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Info!$J$3:$AH$6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A1462" i="3"/>
  <c r="C1462" i="3"/>
  <c r="A1463" i="3"/>
  <c r="C1463" i="3"/>
  <c r="A1464" i="3"/>
  <c r="C1464" i="3"/>
  <c r="A1465" i="3"/>
  <c r="C1465" i="3"/>
  <c r="A1466" i="3"/>
  <c r="C1466" i="3"/>
  <c r="A1467" i="3"/>
  <c r="C1467" i="3"/>
  <c r="A1468" i="3"/>
  <c r="C1468" i="3"/>
  <c r="A1469" i="3"/>
  <c r="C1469" i="3"/>
  <c r="A1470" i="3"/>
  <c r="C1470" i="3"/>
  <c r="A1471" i="3"/>
  <c r="C1471" i="3"/>
  <c r="A1472" i="3"/>
  <c r="C1472" i="3"/>
  <c r="A1473" i="3"/>
  <c r="C1473" i="3"/>
  <c r="A1474" i="3"/>
  <c r="C1474" i="3"/>
  <c r="A1475" i="3"/>
  <c r="C1475" i="3"/>
  <c r="A1476" i="3"/>
  <c r="C1476" i="3"/>
  <c r="A1477" i="3"/>
  <c r="C1477" i="3"/>
  <c r="A1478" i="3"/>
  <c r="C1478" i="3"/>
  <c r="A1479" i="3"/>
  <c r="C1479" i="3"/>
  <c r="A1480" i="3"/>
  <c r="C1480" i="3"/>
  <c r="A1481" i="3"/>
  <c r="C1481" i="3"/>
  <c r="A1482" i="3"/>
  <c r="C1482" i="3"/>
  <c r="A1483" i="3"/>
  <c r="C1483" i="3"/>
  <c r="A1484" i="3"/>
  <c r="C1484" i="3"/>
  <c r="A1485" i="3"/>
  <c r="C1485" i="3"/>
  <c r="A1486" i="3"/>
  <c r="C1486" i="3"/>
  <c r="A1487" i="3"/>
  <c r="C1487" i="3"/>
  <c r="A1488" i="3"/>
  <c r="C1488" i="3"/>
  <c r="A1489" i="3"/>
  <c r="C1489" i="3"/>
  <c r="A1490" i="3"/>
  <c r="C1490" i="3"/>
  <c r="A1491" i="3"/>
  <c r="C1491" i="3"/>
  <c r="A1492" i="3"/>
  <c r="C1492" i="3"/>
  <c r="A1493" i="3"/>
  <c r="C1493" i="3"/>
  <c r="A1494" i="3"/>
  <c r="C1494" i="3"/>
  <c r="A1495" i="3"/>
  <c r="C1495" i="3"/>
  <c r="A1496" i="3"/>
  <c r="C1496" i="3"/>
  <c r="A1497" i="3"/>
  <c r="C1497" i="3"/>
  <c r="A1498" i="3"/>
  <c r="C1498" i="3"/>
  <c r="A1499" i="3"/>
  <c r="C1499" i="3"/>
  <c r="A1500" i="3"/>
  <c r="C1500" i="3"/>
  <c r="A1501" i="3"/>
  <c r="C1501" i="3"/>
  <c r="A1502" i="3"/>
  <c r="C1502" i="3"/>
  <c r="A1503" i="3"/>
  <c r="C1503" i="3"/>
  <c r="A1504" i="3"/>
  <c r="C1504" i="3"/>
  <c r="A1505" i="3"/>
  <c r="C1505" i="3"/>
  <c r="A1506" i="3"/>
  <c r="C1506" i="3"/>
  <c r="A1507" i="3"/>
  <c r="C1507" i="3"/>
  <c r="A1508" i="3"/>
  <c r="C1508" i="3"/>
  <c r="A1509" i="3"/>
  <c r="C1509" i="3"/>
  <c r="A1510" i="3"/>
  <c r="C1510" i="3"/>
  <c r="A1511" i="3"/>
  <c r="C1511" i="3"/>
  <c r="A1512" i="3"/>
  <c r="C1512" i="3"/>
  <c r="A1513" i="3"/>
  <c r="C1513" i="3"/>
  <c r="A1514" i="3"/>
  <c r="C1514" i="3"/>
  <c r="A1515" i="3"/>
  <c r="C1515" i="3"/>
  <c r="A1516" i="3"/>
  <c r="C1516" i="3"/>
  <c r="A1517" i="3"/>
  <c r="C1517" i="3"/>
  <c r="A1518" i="3"/>
  <c r="C1518" i="3"/>
  <c r="A1519" i="3"/>
  <c r="C1519" i="3"/>
  <c r="A1520" i="3"/>
  <c r="C1520" i="3"/>
  <c r="A1521" i="3"/>
  <c r="C1521" i="3"/>
  <c r="A1522" i="3"/>
  <c r="C1522" i="3"/>
  <c r="A1523" i="3"/>
  <c r="C1523" i="3"/>
  <c r="A1524" i="3"/>
  <c r="C1524" i="3"/>
  <c r="A1525" i="3"/>
  <c r="C1525" i="3"/>
  <c r="A1526" i="3"/>
  <c r="C1526" i="3"/>
  <c r="A1527" i="3"/>
  <c r="C1527" i="3"/>
  <c r="A1528" i="3"/>
  <c r="C1528" i="3"/>
  <c r="A1529" i="3"/>
  <c r="C1529" i="3"/>
  <c r="A1530" i="3"/>
  <c r="C1530" i="3"/>
  <c r="A1531" i="3"/>
  <c r="C1531" i="3"/>
  <c r="A1532" i="3"/>
  <c r="C1532" i="3"/>
  <c r="A1533" i="3"/>
  <c r="C1533" i="3"/>
  <c r="A1534" i="3"/>
  <c r="C1534" i="3"/>
  <c r="A1535" i="3"/>
  <c r="C1535" i="3"/>
  <c r="A1536" i="3"/>
  <c r="C1536" i="3"/>
  <c r="A1537" i="3"/>
  <c r="C1537" i="3"/>
  <c r="A1538" i="3"/>
  <c r="C1538" i="3"/>
  <c r="A1539" i="3"/>
  <c r="C1539" i="3"/>
  <c r="A1540" i="3"/>
  <c r="C1540" i="3"/>
  <c r="A1541" i="3"/>
  <c r="C1541" i="3"/>
  <c r="A1542" i="3"/>
  <c r="C1542" i="3"/>
  <c r="A1543" i="3"/>
  <c r="C1543" i="3"/>
  <c r="A1544" i="3"/>
  <c r="C1544" i="3"/>
  <c r="A1545" i="3"/>
  <c r="C1545" i="3"/>
  <c r="A1546" i="3"/>
  <c r="C1546" i="3"/>
  <c r="A1547" i="3"/>
  <c r="C1547" i="3"/>
  <c r="A1548" i="3"/>
  <c r="C1548" i="3"/>
  <c r="A1549" i="3"/>
  <c r="C1549" i="3"/>
  <c r="A1550" i="3"/>
  <c r="C1550" i="3"/>
  <c r="A1551" i="3"/>
  <c r="C1551" i="3"/>
  <c r="A1552" i="3"/>
  <c r="C1552" i="3"/>
  <c r="A1553" i="3"/>
  <c r="C1553" i="3"/>
  <c r="A1554" i="3"/>
  <c r="C1554" i="3"/>
  <c r="A1555" i="3"/>
  <c r="C1555" i="3"/>
  <c r="A1556" i="3"/>
  <c r="C1556" i="3"/>
  <c r="A1557" i="3"/>
  <c r="C1557" i="3"/>
  <c r="A1558" i="3"/>
  <c r="C1558" i="3"/>
  <c r="A1559" i="3"/>
  <c r="C1559" i="3"/>
  <c r="A1560" i="3"/>
  <c r="C1560" i="3"/>
  <c r="A1561" i="3"/>
  <c r="C1561" i="3"/>
  <c r="A1562" i="3"/>
  <c r="C1562" i="3"/>
  <c r="A1563" i="3"/>
  <c r="C1563" i="3"/>
  <c r="A1564" i="3"/>
  <c r="C1564" i="3"/>
  <c r="A1565" i="3"/>
  <c r="C1565" i="3"/>
  <c r="A1566" i="3"/>
  <c r="C1566" i="3"/>
  <c r="A1567" i="3"/>
  <c r="C1567" i="3"/>
  <c r="A1568" i="3"/>
  <c r="C1568" i="3"/>
  <c r="A1569" i="3"/>
  <c r="C1569" i="3"/>
  <c r="A1570" i="3"/>
  <c r="C1570" i="3"/>
  <c r="A1571" i="3"/>
  <c r="C1571" i="3"/>
  <c r="A1572" i="3"/>
  <c r="C1572" i="3"/>
  <c r="A1573" i="3"/>
  <c r="C1573" i="3"/>
  <c r="A1574" i="3"/>
  <c r="C1574" i="3"/>
  <c r="A1575" i="3"/>
  <c r="C1575" i="3"/>
  <c r="A1576" i="3"/>
  <c r="C1576" i="3"/>
  <c r="A1577" i="3"/>
  <c r="C1577" i="3"/>
  <c r="A1578" i="3"/>
  <c r="C1578" i="3"/>
  <c r="A1579" i="3"/>
  <c r="C1579" i="3"/>
  <c r="A1580" i="3"/>
  <c r="C1580" i="3"/>
  <c r="A1581" i="3"/>
  <c r="C1581" i="3"/>
  <c r="A1582" i="3"/>
  <c r="C1582" i="3"/>
  <c r="A1583" i="3"/>
  <c r="C1583" i="3"/>
  <c r="A1584" i="3"/>
  <c r="C1584" i="3"/>
  <c r="A1585" i="3"/>
  <c r="C1585" i="3"/>
  <c r="A1586" i="3"/>
  <c r="C1586" i="3"/>
  <c r="A1587" i="3"/>
  <c r="C1587" i="3"/>
  <c r="A1588" i="3"/>
  <c r="C1588" i="3"/>
  <c r="A1589" i="3"/>
  <c r="C1589" i="3"/>
  <c r="A1590" i="3"/>
  <c r="C1590" i="3"/>
  <c r="A1591" i="3"/>
  <c r="C1591" i="3"/>
  <c r="A1592" i="3"/>
  <c r="C1592" i="3"/>
  <c r="A1593" i="3"/>
  <c r="C1593" i="3"/>
  <c r="A1594" i="3"/>
  <c r="C1594" i="3"/>
  <c r="A1595" i="3"/>
  <c r="C1595" i="3"/>
  <c r="A1596" i="3"/>
  <c r="C1596" i="3"/>
  <c r="A1597" i="3"/>
  <c r="C1597" i="3"/>
  <c r="A1598" i="3"/>
  <c r="C1598" i="3"/>
  <c r="A1599" i="3"/>
  <c r="C1599" i="3"/>
  <c r="A1600" i="3"/>
  <c r="C1600" i="3"/>
  <c r="A1601" i="3"/>
  <c r="C1601" i="3"/>
  <c r="A1602" i="3"/>
  <c r="C1602" i="3"/>
  <c r="A1603" i="3"/>
  <c r="C1603" i="3"/>
  <c r="A1604" i="3"/>
  <c r="C1604" i="3"/>
  <c r="A1605" i="3"/>
  <c r="C1605" i="3"/>
  <c r="A1606" i="3"/>
  <c r="C1606" i="3"/>
  <c r="A1607" i="3"/>
  <c r="C1607" i="3"/>
  <c r="A1608" i="3"/>
  <c r="C1608" i="3"/>
  <c r="A1609" i="3"/>
  <c r="C1609" i="3"/>
  <c r="A1610" i="3"/>
  <c r="C1610" i="3"/>
  <c r="A1611" i="3"/>
  <c r="C1611" i="3"/>
  <c r="A1612" i="3"/>
  <c r="C1612" i="3"/>
  <c r="A1613" i="3"/>
  <c r="C1613" i="3"/>
  <c r="A1614" i="3"/>
  <c r="C1614" i="3"/>
  <c r="A1615" i="3"/>
  <c r="C1615" i="3"/>
  <c r="A1616" i="3"/>
  <c r="C1616" i="3"/>
  <c r="A1617" i="3"/>
  <c r="C1617" i="3"/>
  <c r="A1618" i="3"/>
  <c r="C1618" i="3"/>
  <c r="A1619" i="3"/>
  <c r="C1619" i="3"/>
  <c r="A1620" i="3"/>
  <c r="C1620" i="3"/>
  <c r="A1621" i="3"/>
  <c r="C1621" i="3"/>
  <c r="A1622" i="3"/>
  <c r="C1622" i="3"/>
  <c r="A1623" i="3"/>
  <c r="C1623" i="3"/>
  <c r="A1624" i="3"/>
  <c r="C1624" i="3"/>
  <c r="A1625" i="3"/>
  <c r="C1625" i="3"/>
  <c r="A1626" i="3"/>
  <c r="C1626" i="3"/>
  <c r="A1627" i="3"/>
  <c r="C1627" i="3"/>
  <c r="A1628" i="3"/>
  <c r="C1628" i="3"/>
  <c r="A1629" i="3"/>
  <c r="C1629" i="3"/>
  <c r="A1630" i="3"/>
  <c r="C1630" i="3"/>
  <c r="A1631" i="3"/>
  <c r="C1631" i="3"/>
  <c r="A1632" i="3"/>
  <c r="C1632" i="3"/>
  <c r="A1633" i="3"/>
  <c r="C1633" i="3"/>
  <c r="A1634" i="3"/>
  <c r="C1634" i="3"/>
  <c r="A1635" i="3"/>
  <c r="C1635" i="3"/>
  <c r="A1636" i="3"/>
  <c r="C1636" i="3"/>
  <c r="A1637" i="3"/>
  <c r="C1637" i="3"/>
  <c r="A1638" i="3"/>
  <c r="C1638" i="3"/>
  <c r="A1639" i="3"/>
  <c r="C1639" i="3"/>
  <c r="A1640" i="3"/>
  <c r="C1640" i="3"/>
  <c r="A1641" i="3"/>
  <c r="C1641" i="3"/>
  <c r="A1642" i="3"/>
  <c r="C1642" i="3"/>
  <c r="A1643" i="3"/>
  <c r="C1643" i="3"/>
  <c r="A1644" i="3"/>
  <c r="C1644" i="3"/>
  <c r="A1645" i="3"/>
  <c r="C1645" i="3"/>
  <c r="A1646" i="3"/>
  <c r="C1646" i="3"/>
  <c r="A1647" i="3"/>
  <c r="C1647" i="3"/>
  <c r="A1648" i="3"/>
  <c r="C1648" i="3"/>
  <c r="A1649" i="3"/>
  <c r="C1649" i="3"/>
  <c r="A1650" i="3"/>
  <c r="C1650" i="3"/>
  <c r="A1651" i="3"/>
  <c r="C1651" i="3"/>
  <c r="A1652" i="3"/>
  <c r="C1652" i="3"/>
  <c r="A1653" i="3"/>
  <c r="C1653" i="3"/>
  <c r="A1654" i="3"/>
  <c r="C1654" i="3"/>
  <c r="A1655" i="3"/>
  <c r="C1655" i="3"/>
  <c r="A1656" i="3"/>
  <c r="C1656" i="3"/>
  <c r="A1657" i="3"/>
  <c r="C1657" i="3"/>
  <c r="A1658" i="3"/>
  <c r="C1658" i="3"/>
  <c r="A1659" i="3"/>
  <c r="C1659" i="3"/>
  <c r="A1660" i="3"/>
  <c r="C1660" i="3"/>
  <c r="A1661" i="3"/>
  <c r="C1661" i="3"/>
  <c r="A1662" i="3"/>
  <c r="C1662" i="3"/>
  <c r="A1663" i="3"/>
  <c r="C1663" i="3"/>
  <c r="A1664" i="3"/>
  <c r="C1664" i="3"/>
  <c r="A1665" i="3"/>
  <c r="C1665" i="3"/>
  <c r="A1666" i="3"/>
  <c r="C1666" i="3"/>
  <c r="A1667" i="3"/>
  <c r="C1667" i="3"/>
  <c r="A1668" i="3"/>
  <c r="C1668" i="3"/>
  <c r="A1669" i="3"/>
  <c r="C1669" i="3"/>
  <c r="A1670" i="3"/>
  <c r="C1670" i="3"/>
  <c r="A1671" i="3"/>
  <c r="C1671" i="3"/>
  <c r="A1672" i="3"/>
  <c r="C1672" i="3"/>
  <c r="A1673" i="3"/>
  <c r="C1673" i="3"/>
  <c r="A1674" i="3"/>
  <c r="C1674" i="3"/>
  <c r="A1675" i="3"/>
  <c r="C1675" i="3"/>
  <c r="A1676" i="3"/>
  <c r="C1676" i="3"/>
  <c r="A1677" i="3"/>
  <c r="C1677" i="3"/>
  <c r="A1678" i="3"/>
  <c r="C1678" i="3"/>
  <c r="A1679" i="3"/>
  <c r="C1679" i="3"/>
  <c r="A1680" i="3"/>
  <c r="C1680" i="3"/>
  <c r="A1681" i="3"/>
  <c r="C1681" i="3"/>
  <c r="A1682" i="3"/>
  <c r="C1682" i="3"/>
  <c r="A1683" i="3"/>
  <c r="C1683" i="3"/>
  <c r="A1684" i="3"/>
  <c r="C1684" i="3"/>
  <c r="A1685" i="3"/>
  <c r="C1685" i="3"/>
  <c r="A1686" i="3"/>
  <c r="C1686" i="3"/>
  <c r="A1687" i="3"/>
  <c r="C1687" i="3"/>
  <c r="A1688" i="3"/>
  <c r="C1688" i="3"/>
  <c r="A1689" i="3"/>
  <c r="C1689" i="3"/>
  <c r="A1690" i="3"/>
  <c r="C1690" i="3"/>
  <c r="A1691" i="3"/>
  <c r="C1691" i="3"/>
  <c r="A1692" i="3"/>
  <c r="C1692" i="3"/>
  <c r="A1693" i="3"/>
  <c r="C1693" i="3"/>
  <c r="A1694" i="3"/>
  <c r="C1694" i="3"/>
  <c r="A1695" i="3"/>
  <c r="C1695" i="3"/>
  <c r="A1696" i="3"/>
  <c r="C1696" i="3"/>
  <c r="A1697" i="3"/>
  <c r="C1697" i="3"/>
  <c r="A1698" i="3"/>
  <c r="C1698" i="3"/>
  <c r="A1699" i="3"/>
  <c r="C1699" i="3"/>
  <c r="A1700" i="3"/>
  <c r="C1700" i="3"/>
  <c r="A1701" i="3"/>
  <c r="C1701" i="3"/>
  <c r="A1702" i="3"/>
  <c r="C1702" i="3"/>
  <c r="A1703" i="3"/>
  <c r="C1703" i="3"/>
  <c r="A1704" i="3"/>
  <c r="C1704" i="3"/>
  <c r="A1705" i="3"/>
  <c r="C1705" i="3"/>
  <c r="A1706" i="3"/>
  <c r="C1706" i="3"/>
  <c r="A1707" i="3"/>
  <c r="C1707" i="3"/>
  <c r="A1708" i="3"/>
  <c r="C1708" i="3"/>
  <c r="A1709" i="3"/>
  <c r="C1709" i="3"/>
  <c r="A1710" i="3"/>
  <c r="C1710" i="3"/>
  <c r="A1711" i="3"/>
  <c r="C1711" i="3"/>
  <c r="A1712" i="3"/>
  <c r="C1712" i="3"/>
  <c r="A1713" i="3"/>
  <c r="C1713" i="3"/>
  <c r="A1714" i="3"/>
  <c r="C1714" i="3"/>
  <c r="A1715" i="3"/>
  <c r="C1715" i="3"/>
  <c r="A1716" i="3"/>
  <c r="C1716" i="3"/>
  <c r="A1717" i="3"/>
  <c r="C1717" i="3"/>
  <c r="A1718" i="3"/>
  <c r="C1718" i="3"/>
  <c r="A1719" i="3"/>
  <c r="C1719" i="3"/>
  <c r="A1720" i="3"/>
  <c r="C1720" i="3"/>
  <c r="A1721" i="3"/>
  <c r="C1721" i="3"/>
  <c r="A1722" i="3"/>
  <c r="C1722" i="3"/>
  <c r="A1723" i="3"/>
  <c r="C1723" i="3"/>
  <c r="A1724" i="3"/>
  <c r="C1724" i="3"/>
  <c r="A1725" i="3"/>
  <c r="C1725" i="3"/>
  <c r="A1726" i="3"/>
  <c r="C1726" i="3"/>
  <c r="A1727" i="3"/>
  <c r="C1727" i="3"/>
  <c r="A1728" i="3"/>
  <c r="C1728" i="3"/>
  <c r="A1729" i="3"/>
  <c r="C1729" i="3"/>
  <c r="A1730" i="3"/>
  <c r="C1730" i="3"/>
  <c r="A1731" i="3"/>
  <c r="C1731" i="3"/>
  <c r="A1732" i="3"/>
  <c r="C1732" i="3"/>
  <c r="A1733" i="3"/>
  <c r="C1733" i="3"/>
  <c r="A1734" i="3"/>
  <c r="C1734" i="3"/>
  <c r="A1735" i="3"/>
  <c r="C1735" i="3"/>
  <c r="A1736" i="3"/>
  <c r="C1736" i="3"/>
  <c r="A1737" i="3"/>
  <c r="C1737" i="3"/>
  <c r="A1738" i="3"/>
  <c r="C1738" i="3"/>
  <c r="A1739" i="3"/>
  <c r="C1739" i="3"/>
  <c r="A1740" i="3"/>
  <c r="C1740" i="3"/>
  <c r="A1741" i="3"/>
  <c r="C1741" i="3"/>
  <c r="A1742" i="3"/>
  <c r="C1742" i="3"/>
  <c r="A1743" i="3"/>
  <c r="C1743" i="3"/>
  <c r="A1744" i="3"/>
  <c r="C1744" i="3"/>
  <c r="A1745" i="3"/>
  <c r="C1745" i="3"/>
  <c r="A1746" i="3"/>
  <c r="C1746" i="3"/>
  <c r="A1747" i="3"/>
  <c r="C1747" i="3"/>
  <c r="A1748" i="3"/>
  <c r="C1748" i="3"/>
  <c r="A1749" i="3"/>
  <c r="C1749" i="3"/>
  <c r="A1750" i="3"/>
  <c r="C1750" i="3"/>
  <c r="A1751" i="3"/>
  <c r="C1751" i="3"/>
  <c r="A1752" i="3"/>
  <c r="C1752" i="3"/>
  <c r="A1753" i="3"/>
  <c r="C1753" i="3"/>
  <c r="A1754" i="3"/>
  <c r="C1754" i="3"/>
  <c r="A1755" i="3"/>
  <c r="C1755" i="3"/>
  <c r="A1756" i="3"/>
  <c r="C1756" i="3"/>
  <c r="A1757" i="3"/>
  <c r="C1757" i="3"/>
  <c r="A1758" i="3"/>
  <c r="C1758" i="3"/>
  <c r="A1759" i="3"/>
  <c r="C1759" i="3"/>
  <c r="A1760" i="3"/>
  <c r="C1760" i="3"/>
  <c r="A1761" i="3"/>
  <c r="C1761" i="3"/>
  <c r="A1762" i="3"/>
  <c r="C1762" i="3"/>
  <c r="A1763" i="3"/>
  <c r="C1763" i="3"/>
  <c r="A1764" i="3"/>
  <c r="C1764" i="3"/>
  <c r="A1765" i="3"/>
  <c r="C1765" i="3"/>
  <c r="A1766" i="3"/>
  <c r="C1766" i="3"/>
  <c r="A1767" i="3"/>
  <c r="C1767" i="3"/>
  <c r="A1768" i="3"/>
  <c r="C1768" i="3"/>
  <c r="A1769" i="3"/>
  <c r="C1769" i="3"/>
  <c r="A1770" i="3"/>
  <c r="C1770" i="3"/>
  <c r="A1771" i="3"/>
  <c r="C1771" i="3"/>
  <c r="A1772" i="3"/>
  <c r="C1772" i="3"/>
  <c r="A1773" i="3"/>
  <c r="C1773" i="3"/>
  <c r="A1774" i="3"/>
  <c r="C1774" i="3"/>
  <c r="A1775" i="3"/>
  <c r="C1775" i="3"/>
  <c r="A1776" i="3"/>
  <c r="C1776" i="3"/>
  <c r="A1777" i="3"/>
  <c r="C1777" i="3"/>
  <c r="A1778" i="3"/>
  <c r="C1778" i="3"/>
  <c r="A1779" i="3"/>
  <c r="C1779" i="3"/>
  <c r="A1780" i="3"/>
  <c r="C1780" i="3"/>
  <c r="A1781" i="3"/>
  <c r="C1781" i="3"/>
  <c r="A1782" i="3"/>
  <c r="C1782" i="3"/>
  <c r="A1783" i="3"/>
  <c r="C1783" i="3"/>
  <c r="A1784" i="3"/>
  <c r="C1784" i="3"/>
  <c r="A1785" i="3"/>
  <c r="C1785" i="3"/>
  <c r="A1786" i="3"/>
  <c r="C1786" i="3"/>
  <c r="A1787" i="3"/>
  <c r="C1787" i="3"/>
  <c r="A1788" i="3"/>
  <c r="C1788" i="3"/>
  <c r="A1789" i="3"/>
  <c r="C1789" i="3"/>
  <c r="A1790" i="3"/>
  <c r="C1790" i="3"/>
  <c r="A1791" i="3"/>
  <c r="C1791" i="3"/>
  <c r="A1792" i="3"/>
  <c r="C1792" i="3"/>
  <c r="A1793" i="3"/>
  <c r="C1793" i="3"/>
  <c r="A1794" i="3"/>
  <c r="C1794" i="3"/>
  <c r="A1795" i="3"/>
  <c r="C1795" i="3"/>
  <c r="A1796" i="3"/>
  <c r="C1796" i="3"/>
  <c r="A1797" i="3"/>
  <c r="C1797" i="3"/>
  <c r="A1798" i="3"/>
  <c r="C1798" i="3"/>
  <c r="A1799" i="3"/>
  <c r="C1799" i="3"/>
  <c r="A1800" i="3"/>
  <c r="C1800" i="3"/>
  <c r="A1801" i="3"/>
  <c r="C1801" i="3"/>
  <c r="A1802" i="3"/>
  <c r="C1802" i="3"/>
  <c r="A1803" i="3"/>
  <c r="C1803" i="3"/>
  <c r="A1804" i="3"/>
  <c r="C1804" i="3"/>
  <c r="A1805" i="3"/>
  <c r="C1805" i="3"/>
  <c r="A1806" i="3"/>
  <c r="C1806" i="3"/>
  <c r="A1807" i="3"/>
  <c r="C1807" i="3"/>
  <c r="A1808" i="3"/>
  <c r="C1808" i="3"/>
  <c r="A1809" i="3"/>
  <c r="C1809" i="3"/>
  <c r="A1810" i="3"/>
  <c r="C1810" i="3"/>
  <c r="A1811" i="3"/>
  <c r="C1811" i="3"/>
  <c r="A1812" i="3"/>
  <c r="C1812" i="3"/>
  <c r="A1813" i="3"/>
  <c r="C1813" i="3"/>
  <c r="A1814" i="3"/>
  <c r="C1814" i="3"/>
  <c r="A1815" i="3"/>
  <c r="C1815" i="3"/>
  <c r="A1816" i="3"/>
  <c r="C1816" i="3"/>
  <c r="A1817" i="3"/>
  <c r="C1817" i="3"/>
  <c r="A1818" i="3"/>
  <c r="C1818" i="3"/>
  <c r="A1819" i="3"/>
  <c r="C1819" i="3"/>
  <c r="A1820" i="3"/>
  <c r="C1820" i="3"/>
  <c r="A1821" i="3"/>
  <c r="C1821" i="3"/>
  <c r="A1822" i="3"/>
  <c r="C1822" i="3"/>
  <c r="A1823" i="3"/>
  <c r="C1823" i="3"/>
  <c r="A1824" i="3"/>
  <c r="C1824" i="3"/>
  <c r="A1825" i="3"/>
  <c r="C1825" i="3"/>
  <c r="A1826" i="3"/>
  <c r="C1826" i="3"/>
  <c r="A1827" i="3"/>
  <c r="C1827" i="3"/>
  <c r="A1828" i="3"/>
  <c r="C1828" i="3"/>
  <c r="A1829" i="3"/>
  <c r="C1829" i="3"/>
  <c r="A1830" i="3"/>
  <c r="C1830" i="3"/>
  <c r="A1831" i="3"/>
  <c r="C1831" i="3"/>
  <c r="A1832" i="3"/>
  <c r="C1832" i="3"/>
  <c r="A1833" i="3"/>
  <c r="C1833" i="3"/>
  <c r="A1834" i="3"/>
  <c r="C1834" i="3"/>
  <c r="A1835" i="3"/>
  <c r="C1835" i="3"/>
  <c r="A1836" i="3"/>
  <c r="C1836" i="3"/>
  <c r="A1837" i="3"/>
  <c r="C1837" i="3"/>
  <c r="A1838" i="3"/>
  <c r="C1838" i="3"/>
  <c r="A1839" i="3"/>
  <c r="C1839" i="3"/>
  <c r="A1840" i="3"/>
  <c r="C1840" i="3"/>
  <c r="A1841" i="3"/>
  <c r="C1841" i="3"/>
  <c r="A1842" i="3"/>
  <c r="C1842" i="3"/>
  <c r="A1843" i="3"/>
  <c r="C1843" i="3"/>
  <c r="A1844" i="3"/>
  <c r="C1844" i="3"/>
  <c r="A1845" i="3"/>
  <c r="C1845" i="3"/>
  <c r="A1846" i="3"/>
  <c r="C1846" i="3"/>
  <c r="A1847" i="3"/>
  <c r="C1847" i="3"/>
  <c r="A1848" i="3"/>
  <c r="C1848" i="3"/>
  <c r="A1849" i="3"/>
  <c r="C1849" i="3"/>
  <c r="A1850" i="3"/>
  <c r="C1850" i="3"/>
  <c r="A1851" i="3"/>
  <c r="C1851" i="3"/>
  <c r="A1852" i="3"/>
  <c r="C1852" i="3"/>
  <c r="A1853" i="3"/>
  <c r="C1853" i="3"/>
  <c r="A1854" i="3"/>
  <c r="C1854" i="3"/>
  <c r="A1855" i="3"/>
  <c r="C1855" i="3"/>
  <c r="A1856" i="3"/>
  <c r="C1856" i="3"/>
  <c r="A1857" i="3"/>
  <c r="C1857" i="3"/>
  <c r="A1858" i="3"/>
  <c r="C1858" i="3"/>
  <c r="A1859" i="3"/>
  <c r="C1859" i="3"/>
  <c r="A1860" i="3"/>
  <c r="C1860" i="3"/>
  <c r="A1861" i="3"/>
  <c r="C1861" i="3"/>
  <c r="A1862" i="3"/>
  <c r="C1862" i="3"/>
  <c r="A1863" i="3"/>
  <c r="C1863" i="3"/>
  <c r="A1864" i="3"/>
  <c r="C1864" i="3"/>
  <c r="A1865" i="3"/>
  <c r="C1865" i="3"/>
  <c r="A1866" i="3"/>
  <c r="C1866" i="3"/>
  <c r="A1867" i="3"/>
  <c r="C1867" i="3"/>
  <c r="A1868" i="3"/>
  <c r="C1868" i="3"/>
  <c r="A1869" i="3"/>
  <c r="C1869" i="3"/>
  <c r="A1870" i="3"/>
  <c r="C1870" i="3"/>
  <c r="A1871" i="3"/>
  <c r="C1871" i="3"/>
  <c r="A1872" i="3"/>
  <c r="C1872" i="3"/>
  <c r="A1873" i="3"/>
  <c r="C1873" i="3"/>
  <c r="A1874" i="3"/>
  <c r="C1874" i="3"/>
  <c r="A1875" i="3"/>
  <c r="C1875" i="3"/>
  <c r="A1876" i="3"/>
  <c r="C1876" i="3"/>
  <c r="A1877" i="3"/>
  <c r="C1877" i="3"/>
  <c r="A1878" i="3"/>
  <c r="C1878" i="3"/>
  <c r="A1879" i="3"/>
  <c r="C1879" i="3"/>
  <c r="A1880" i="3"/>
  <c r="C1880" i="3"/>
  <c r="A1881" i="3"/>
  <c r="C1881" i="3"/>
  <c r="A1882" i="3"/>
  <c r="C1882" i="3"/>
  <c r="A1883" i="3"/>
  <c r="C1883" i="3"/>
  <c r="A1884" i="3"/>
  <c r="C1884" i="3"/>
  <c r="A1885" i="3"/>
  <c r="C1885" i="3"/>
  <c r="A1886" i="3"/>
  <c r="C1886" i="3"/>
  <c r="A1887" i="3"/>
  <c r="C1887" i="3"/>
  <c r="A1888" i="3"/>
  <c r="C1888" i="3"/>
  <c r="A1889" i="3"/>
  <c r="C1889" i="3"/>
  <c r="A1890" i="3"/>
  <c r="C1890" i="3"/>
  <c r="A1891" i="3"/>
  <c r="C1891" i="3"/>
  <c r="A1892" i="3"/>
  <c r="C1892" i="3"/>
  <c r="A1893" i="3"/>
  <c r="C1893" i="3"/>
  <c r="A1894" i="3"/>
  <c r="C1894" i="3"/>
  <c r="A1895" i="3"/>
  <c r="C1895" i="3"/>
  <c r="A1896" i="3"/>
  <c r="C1896" i="3"/>
  <c r="A1897" i="3"/>
  <c r="C1897" i="3"/>
  <c r="A1898" i="3"/>
  <c r="C1898" i="3"/>
  <c r="A1899" i="3"/>
  <c r="C1899" i="3"/>
  <c r="A1900" i="3"/>
  <c r="C1900" i="3"/>
  <c r="A1901" i="3"/>
  <c r="C1901" i="3"/>
  <c r="A1902" i="3"/>
  <c r="C1902" i="3"/>
  <c r="A1903" i="3"/>
  <c r="C1903" i="3"/>
  <c r="A1904" i="3"/>
  <c r="C1904" i="3"/>
  <c r="A1905" i="3"/>
  <c r="C1905" i="3"/>
  <c r="A1906" i="3"/>
  <c r="C1906" i="3"/>
  <c r="A1907" i="3"/>
  <c r="C1907" i="3"/>
  <c r="A1908" i="3"/>
  <c r="C1908" i="3"/>
  <c r="A1909" i="3"/>
  <c r="C1909" i="3"/>
  <c r="A1910" i="3"/>
  <c r="C1910" i="3"/>
  <c r="A1911" i="3"/>
  <c r="C1911" i="3"/>
  <c r="A1912" i="3"/>
  <c r="C1912" i="3"/>
  <c r="A1913" i="3"/>
  <c r="C1913" i="3"/>
  <c r="A1914" i="3"/>
  <c r="C1914" i="3"/>
  <c r="A1915" i="3"/>
  <c r="C1915" i="3"/>
  <c r="A1916" i="3"/>
  <c r="C1916" i="3"/>
  <c r="A1917" i="3"/>
  <c r="C1917" i="3"/>
  <c r="A1918" i="3"/>
  <c r="C1918" i="3"/>
  <c r="A1919" i="3"/>
  <c r="C1919" i="3"/>
  <c r="A1920" i="3"/>
  <c r="C1920" i="3"/>
  <c r="A1921" i="3"/>
  <c r="C1921" i="3"/>
  <c r="A1922" i="3"/>
  <c r="C1922" i="3"/>
  <c r="A1923" i="3"/>
  <c r="C1923" i="3"/>
  <c r="A1924" i="3"/>
  <c r="C1924" i="3"/>
  <c r="A1925" i="3"/>
  <c r="C1925" i="3"/>
  <c r="A1926" i="3"/>
  <c r="C1926" i="3"/>
  <c r="A1927" i="3"/>
  <c r="C1927" i="3"/>
  <c r="A1928" i="3"/>
  <c r="C1928" i="3"/>
  <c r="A1929" i="3"/>
  <c r="C1929" i="3"/>
  <c r="A1930" i="3"/>
  <c r="C1930" i="3"/>
  <c r="A1931" i="3"/>
  <c r="C1931" i="3"/>
  <c r="A1932" i="3"/>
  <c r="C1932" i="3"/>
  <c r="A1933" i="3"/>
  <c r="C1933" i="3"/>
  <c r="A1934" i="3"/>
  <c r="C1934" i="3"/>
  <c r="A1935" i="3"/>
  <c r="C1935" i="3"/>
  <c r="A1936" i="3"/>
  <c r="C1936" i="3"/>
  <c r="A1937" i="3"/>
  <c r="C1937" i="3"/>
  <c r="A1938" i="3"/>
  <c r="C1938" i="3"/>
  <c r="A1939" i="3"/>
  <c r="C1939" i="3"/>
  <c r="A1940" i="3"/>
  <c r="C1940" i="3"/>
  <c r="A1941" i="3"/>
  <c r="C1941" i="3"/>
  <c r="A1942" i="3"/>
  <c r="C1942" i="3"/>
  <c r="A1943" i="3"/>
  <c r="C1943" i="3"/>
  <c r="A1944" i="3"/>
  <c r="C1944" i="3"/>
  <c r="A1945" i="3"/>
  <c r="C1945" i="3"/>
  <c r="A1946" i="3"/>
  <c r="C1946" i="3"/>
  <c r="A1947" i="3"/>
  <c r="C1947" i="3"/>
  <c r="A1948" i="3"/>
  <c r="C1948" i="3"/>
  <c r="A1949" i="3"/>
  <c r="C1949" i="3"/>
  <c r="A1950" i="3"/>
  <c r="C1950" i="3"/>
  <c r="A1951" i="3"/>
  <c r="C1951" i="3"/>
  <c r="A1952" i="3"/>
  <c r="C1952" i="3"/>
  <c r="A1953" i="3"/>
  <c r="C1953" i="3"/>
  <c r="A1954" i="3"/>
  <c r="C1954" i="3"/>
  <c r="A1955" i="3"/>
  <c r="C1955" i="3"/>
  <c r="A1956" i="3"/>
  <c r="C1956" i="3"/>
  <c r="A1957" i="3"/>
  <c r="C1957" i="3"/>
  <c r="A1958" i="3"/>
  <c r="C1958" i="3"/>
  <c r="A1959" i="3"/>
  <c r="C1959" i="3"/>
  <c r="A1960" i="3"/>
  <c r="C1960" i="3"/>
  <c r="A1961" i="3"/>
  <c r="C1961" i="3"/>
  <c r="A1962" i="3"/>
  <c r="C1962" i="3"/>
  <c r="A1963" i="3"/>
  <c r="C1963" i="3"/>
  <c r="A1964" i="3"/>
  <c r="C1964" i="3"/>
  <c r="A1965" i="3"/>
  <c r="C1965" i="3"/>
  <c r="A1966" i="3"/>
  <c r="C1966" i="3"/>
  <c r="A1967" i="3"/>
  <c r="C1967" i="3"/>
  <c r="A1968" i="3"/>
  <c r="C1968" i="3"/>
  <c r="A1969" i="3"/>
  <c r="C1969" i="3"/>
  <c r="A1970" i="3"/>
  <c r="C1970" i="3"/>
  <c r="A1971" i="3"/>
  <c r="C1971" i="3"/>
  <c r="A1972" i="3"/>
  <c r="C1972" i="3"/>
  <c r="A1973" i="3"/>
  <c r="C1973" i="3"/>
  <c r="A1974" i="3"/>
  <c r="C1974" i="3"/>
  <c r="A1975" i="3"/>
  <c r="C1975" i="3"/>
  <c r="A1976" i="3"/>
  <c r="C1976" i="3"/>
  <c r="A1977" i="3"/>
  <c r="C1977" i="3"/>
  <c r="A1978" i="3"/>
  <c r="C1978" i="3"/>
  <c r="A1979" i="3"/>
  <c r="C1979" i="3"/>
  <c r="A1980" i="3"/>
  <c r="C1980" i="3"/>
  <c r="A1981" i="3"/>
  <c r="C1981" i="3"/>
  <c r="A1982" i="3"/>
  <c r="C1982" i="3"/>
  <c r="A1983" i="3"/>
  <c r="C1983" i="3"/>
  <c r="A1984" i="3"/>
  <c r="C1984" i="3"/>
  <c r="A1985" i="3"/>
  <c r="C1985" i="3"/>
  <c r="A1986" i="3"/>
  <c r="C1986" i="3"/>
  <c r="A1987" i="3"/>
  <c r="C1987" i="3"/>
  <c r="A1988" i="3"/>
  <c r="C1988" i="3"/>
  <c r="A1989" i="3"/>
  <c r="C1989" i="3"/>
  <c r="A1990" i="3"/>
  <c r="C1990" i="3"/>
  <c r="A1991" i="3"/>
  <c r="C1991" i="3"/>
  <c r="A1992" i="3"/>
  <c r="C1992" i="3"/>
  <c r="A1993" i="3"/>
  <c r="C1993" i="3"/>
  <c r="A1994" i="3"/>
  <c r="C1994" i="3"/>
  <c r="A1995" i="3"/>
  <c r="C1995" i="3"/>
  <c r="A1996" i="3"/>
  <c r="C1996" i="3"/>
  <c r="A1997" i="3"/>
  <c r="C1997" i="3"/>
  <c r="A1998" i="3"/>
  <c r="C1998" i="3"/>
  <c r="A1999" i="3"/>
  <c r="C1999" i="3"/>
  <c r="A2000" i="3"/>
  <c r="C2000" i="3"/>
  <c r="A2001" i="3"/>
  <c r="C2001" i="3"/>
  <c r="A2002" i="3"/>
  <c r="C2002" i="3"/>
  <c r="A2003" i="3"/>
  <c r="C2003" i="3"/>
  <c r="A2004" i="3"/>
  <c r="C2004" i="3"/>
  <c r="A2005" i="3"/>
  <c r="C2005" i="3"/>
  <c r="A2006" i="3"/>
  <c r="C2006" i="3"/>
  <c r="A2007" i="3"/>
  <c r="C2007" i="3"/>
  <c r="A2008" i="3"/>
  <c r="C2008" i="3"/>
  <c r="A2009" i="3"/>
  <c r="C2009" i="3"/>
  <c r="A2010" i="3"/>
  <c r="C2010" i="3"/>
  <c r="A2011" i="3"/>
  <c r="C2011" i="3"/>
  <c r="A2012" i="3"/>
  <c r="C2012" i="3"/>
  <c r="A2013" i="3"/>
  <c r="C2013" i="3"/>
  <c r="A2014" i="3"/>
  <c r="C2014" i="3"/>
  <c r="A2015" i="3"/>
  <c r="C2015" i="3"/>
  <c r="A2016" i="3"/>
  <c r="C2016" i="3"/>
  <c r="A2017" i="3"/>
  <c r="C2017" i="3"/>
  <c r="A2018" i="3"/>
  <c r="C2018" i="3"/>
  <c r="A2019" i="3"/>
  <c r="C2019" i="3"/>
  <c r="A2020" i="3"/>
  <c r="C2020" i="3"/>
  <c r="A2021" i="3"/>
  <c r="C2021" i="3"/>
  <c r="A2022" i="3"/>
  <c r="C2022" i="3"/>
  <c r="A2023" i="3"/>
  <c r="C2023" i="3"/>
  <c r="A2024" i="3"/>
  <c r="C2024" i="3"/>
  <c r="A2025" i="3"/>
  <c r="C2025" i="3"/>
  <c r="A2026" i="3"/>
  <c r="C2026" i="3"/>
  <c r="A2027" i="3"/>
  <c r="C2027" i="3"/>
  <c r="A2028" i="3"/>
  <c r="C2028" i="3"/>
  <c r="A2029" i="3"/>
  <c r="C2029" i="3"/>
  <c r="A2030" i="3"/>
  <c r="C2030" i="3"/>
  <c r="A2031" i="3"/>
  <c r="C2031" i="3"/>
  <c r="A2032" i="3"/>
  <c r="C2032" i="3"/>
  <c r="A2033" i="3"/>
  <c r="C2033" i="3"/>
  <c r="A2034" i="3"/>
  <c r="C2034" i="3"/>
  <c r="A2035" i="3"/>
  <c r="C2035" i="3"/>
  <c r="A2036" i="3"/>
  <c r="C2036" i="3"/>
  <c r="A2037" i="3"/>
  <c r="C2037" i="3"/>
  <c r="A2038" i="3"/>
  <c r="C2038" i="3"/>
  <c r="A2039" i="3"/>
  <c r="C2039" i="3"/>
  <c r="A2040" i="3"/>
  <c r="C2040" i="3"/>
  <c r="A2041" i="3"/>
  <c r="C2041" i="3"/>
  <c r="A2042" i="3"/>
  <c r="C2042" i="3"/>
  <c r="A2043" i="3"/>
  <c r="C2043" i="3"/>
  <c r="A2044" i="3"/>
  <c r="C2044" i="3"/>
  <c r="A2045" i="3"/>
  <c r="C2045" i="3"/>
  <c r="A2046" i="3"/>
  <c r="C2046" i="3"/>
  <c r="A2047" i="3"/>
  <c r="C2047" i="3"/>
  <c r="A2048" i="3"/>
  <c r="C2048" i="3"/>
  <c r="A2049" i="3"/>
  <c r="C2049" i="3"/>
  <c r="A2050" i="3"/>
  <c r="C2050" i="3"/>
  <c r="A2051" i="3"/>
  <c r="C2051" i="3"/>
  <c r="A2052" i="3"/>
  <c r="C2052" i="3"/>
  <c r="A2053" i="3"/>
  <c r="C2053" i="3"/>
  <c r="A2054" i="3"/>
  <c r="C2054" i="3"/>
  <c r="A2055" i="3"/>
  <c r="C2055" i="3"/>
  <c r="A2056" i="3"/>
  <c r="C2056" i="3"/>
  <c r="A2057" i="3"/>
  <c r="C2057" i="3"/>
  <c r="A2058" i="3"/>
  <c r="C2058" i="3"/>
  <c r="A2059" i="3"/>
  <c r="C2059" i="3"/>
  <c r="A2060" i="3"/>
  <c r="C2060" i="3"/>
  <c r="A2061" i="3"/>
  <c r="C2061" i="3"/>
  <c r="A2062" i="3"/>
  <c r="C2062" i="3"/>
  <c r="A2063" i="3"/>
  <c r="C2063" i="3"/>
  <c r="A2064" i="3"/>
  <c r="C2064" i="3"/>
  <c r="A2065" i="3"/>
  <c r="C2065" i="3"/>
  <c r="A2066" i="3"/>
  <c r="C2066" i="3"/>
  <c r="A2067" i="3"/>
  <c r="C2067" i="3"/>
  <c r="A2068" i="3"/>
  <c r="C2068" i="3"/>
  <c r="A2069" i="3"/>
  <c r="C2069" i="3"/>
  <c r="A2070" i="3"/>
  <c r="C2070" i="3"/>
  <c r="A2071" i="3"/>
  <c r="C2071" i="3"/>
  <c r="A2072" i="3"/>
  <c r="C2072" i="3"/>
  <c r="A2073" i="3"/>
  <c r="C2073" i="3"/>
  <c r="A2074" i="3"/>
  <c r="C2074" i="3"/>
  <c r="A2075" i="3"/>
  <c r="C2075" i="3"/>
  <c r="A2076" i="3"/>
  <c r="C2076" i="3"/>
  <c r="A2077" i="3"/>
  <c r="C2077" i="3"/>
  <c r="A2078" i="3"/>
  <c r="C2078" i="3"/>
  <c r="A2079" i="3"/>
  <c r="C2079" i="3"/>
  <c r="A2080" i="3"/>
  <c r="C2080" i="3"/>
  <c r="A2081" i="3"/>
  <c r="C2081" i="3"/>
  <c r="A2082" i="3"/>
  <c r="C2082" i="3"/>
  <c r="A2083" i="3"/>
  <c r="C2083" i="3"/>
  <c r="A2084" i="3"/>
  <c r="C2084" i="3"/>
  <c r="A2085" i="3"/>
  <c r="C2085" i="3"/>
  <c r="A2086" i="3"/>
  <c r="C2086" i="3"/>
  <c r="A2087" i="3"/>
  <c r="C2087" i="3"/>
  <c r="A2088" i="3"/>
  <c r="C2088" i="3"/>
  <c r="A2089" i="3"/>
  <c r="C2089" i="3"/>
  <c r="A2090" i="3"/>
  <c r="C2090" i="3"/>
  <c r="A2091" i="3"/>
  <c r="C2091" i="3"/>
  <c r="A2092" i="3"/>
  <c r="C2092" i="3"/>
  <c r="A2093" i="3"/>
  <c r="C2093" i="3"/>
  <c r="A2094" i="3"/>
  <c r="C2094" i="3"/>
  <c r="A2095" i="3"/>
  <c r="C2095" i="3"/>
  <c r="A2096" i="3"/>
  <c r="C2096" i="3"/>
  <c r="A2097" i="3"/>
  <c r="C2097" i="3"/>
  <c r="A2098" i="3"/>
  <c r="C2098" i="3"/>
  <c r="A2099" i="3"/>
  <c r="C2099" i="3"/>
  <c r="A2100" i="3"/>
  <c r="C2100" i="3"/>
  <c r="A2101" i="3"/>
  <c r="C2101" i="3"/>
  <c r="A2102" i="3"/>
  <c r="C2102" i="3"/>
  <c r="A2103" i="3"/>
  <c r="C2103" i="3"/>
  <c r="A2104" i="3"/>
  <c r="C2104" i="3"/>
  <c r="A2105" i="3"/>
  <c r="C2105" i="3"/>
  <c r="A2106" i="3"/>
  <c r="C2106" i="3"/>
  <c r="A2107" i="3"/>
  <c r="C2107" i="3"/>
  <c r="A2108" i="3"/>
  <c r="C2108" i="3"/>
  <c r="A2109" i="3"/>
  <c r="C2109" i="3"/>
  <c r="A2110" i="3"/>
  <c r="C2110" i="3"/>
  <c r="A2111" i="3"/>
  <c r="C2111" i="3"/>
  <c r="A2112" i="3"/>
  <c r="C2112" i="3"/>
  <c r="A2113" i="3"/>
  <c r="C2113" i="3"/>
  <c r="A2114" i="3"/>
  <c r="C2114" i="3"/>
  <c r="A2115" i="3"/>
  <c r="C2115" i="3"/>
  <c r="A2116" i="3"/>
  <c r="C2116" i="3"/>
  <c r="A2117" i="3"/>
  <c r="C2117" i="3"/>
  <c r="A2118" i="3"/>
  <c r="C2118" i="3"/>
  <c r="A2119" i="3"/>
  <c r="C2119" i="3"/>
  <c r="A2120" i="3"/>
  <c r="C2120" i="3"/>
  <c r="A2121" i="3"/>
  <c r="C2121" i="3"/>
  <c r="A2122" i="3"/>
  <c r="C2122" i="3"/>
  <c r="A2123" i="3"/>
  <c r="C2123" i="3"/>
  <c r="A2124" i="3"/>
  <c r="C2124" i="3"/>
  <c r="A2125" i="3"/>
  <c r="C2125" i="3"/>
  <c r="A2126" i="3"/>
  <c r="C2126" i="3"/>
  <c r="A2127" i="3"/>
  <c r="C2127" i="3"/>
  <c r="A2128" i="3"/>
  <c r="C2128" i="3"/>
  <c r="A2129" i="3"/>
  <c r="C2129" i="3"/>
  <c r="A2130" i="3"/>
  <c r="C2130" i="3"/>
  <c r="A2131" i="3"/>
  <c r="C2131" i="3"/>
  <c r="A2132" i="3"/>
  <c r="C2132" i="3"/>
  <c r="A2133" i="3"/>
  <c r="C2133" i="3"/>
  <c r="A2134" i="3"/>
  <c r="C2134" i="3"/>
  <c r="A2135" i="3"/>
  <c r="C2135" i="3"/>
  <c r="A2136" i="3"/>
  <c r="C2136" i="3"/>
  <c r="A2137" i="3"/>
  <c r="C2137" i="3"/>
  <c r="A2138" i="3"/>
  <c r="C2138" i="3"/>
  <c r="A2139" i="3"/>
  <c r="C2139" i="3"/>
  <c r="A2140" i="3"/>
  <c r="C2140" i="3"/>
  <c r="A2141" i="3"/>
  <c r="C2141" i="3"/>
  <c r="A2142" i="3"/>
  <c r="C2142" i="3"/>
  <c r="A2143" i="3"/>
  <c r="C2143" i="3"/>
  <c r="A2144" i="3"/>
  <c r="C2144" i="3"/>
  <c r="A2145" i="3"/>
  <c r="C2145" i="3"/>
  <c r="A2146" i="3"/>
  <c r="C2146" i="3"/>
  <c r="A2147" i="3"/>
  <c r="C2147" i="3"/>
  <c r="A2148" i="3"/>
  <c r="C2148" i="3"/>
  <c r="A2149" i="3"/>
  <c r="C2149" i="3"/>
  <c r="A2150" i="3"/>
  <c r="C2150" i="3"/>
  <c r="A2151" i="3"/>
  <c r="C2151" i="3"/>
  <c r="A2152" i="3"/>
  <c r="C2152" i="3"/>
  <c r="A2153" i="3"/>
  <c r="C2153" i="3"/>
  <c r="A2154" i="3"/>
  <c r="C2154" i="3"/>
  <c r="A2155" i="3"/>
  <c r="C2155" i="3"/>
  <c r="A2156" i="3"/>
  <c r="C2156" i="3"/>
  <c r="A2157" i="3"/>
  <c r="C2157" i="3"/>
  <c r="A2158" i="3"/>
  <c r="C2158" i="3"/>
  <c r="A2159" i="3"/>
  <c r="C2159" i="3"/>
  <c r="A2160" i="3"/>
  <c r="C2160" i="3"/>
  <c r="A2161" i="3"/>
  <c r="C2161" i="3"/>
  <c r="A2162" i="3"/>
  <c r="C2162" i="3"/>
  <c r="A2163" i="3"/>
  <c r="C2163" i="3"/>
  <c r="A2164" i="3"/>
  <c r="C2164" i="3"/>
  <c r="A2165" i="3"/>
  <c r="C2165" i="3"/>
  <c r="A2166" i="3"/>
  <c r="C2166" i="3"/>
  <c r="A2167" i="3"/>
  <c r="C2167" i="3"/>
  <c r="A2168" i="3"/>
  <c r="C2168" i="3"/>
  <c r="A2169" i="3"/>
  <c r="C2169" i="3"/>
  <c r="A2170" i="3"/>
  <c r="C2170" i="3"/>
  <c r="A2171" i="3"/>
  <c r="C2171" i="3"/>
  <c r="A2172" i="3"/>
  <c r="C2172" i="3"/>
  <c r="A2173" i="3"/>
  <c r="C2173" i="3"/>
  <c r="A2174" i="3"/>
  <c r="C2174" i="3"/>
  <c r="A2175" i="3"/>
  <c r="C2175" i="3"/>
  <c r="A2176" i="3"/>
  <c r="C2176" i="3"/>
  <c r="A2177" i="3"/>
  <c r="C2177" i="3"/>
  <c r="A2178" i="3"/>
  <c r="C2178" i="3"/>
  <c r="A2179" i="3"/>
  <c r="C2179" i="3"/>
  <c r="A2180" i="3"/>
  <c r="C2180" i="3"/>
  <c r="A2181" i="3"/>
  <c r="C2181" i="3"/>
  <c r="A2182" i="3"/>
  <c r="C2182" i="3"/>
  <c r="A2183" i="3"/>
  <c r="C2183" i="3"/>
  <c r="A2184" i="3"/>
  <c r="C2184" i="3"/>
  <c r="A2185" i="3"/>
  <c r="C2185" i="3"/>
  <c r="A2186" i="3"/>
  <c r="C2186" i="3"/>
  <c r="A2187" i="3"/>
  <c r="C2187" i="3"/>
  <c r="A2188" i="3"/>
  <c r="C2188" i="3"/>
  <c r="A2189" i="3"/>
  <c r="C2189" i="3"/>
  <c r="A2190" i="3"/>
  <c r="C2190" i="3"/>
  <c r="A2191" i="3"/>
  <c r="C2191" i="3"/>
  <c r="A2192" i="3"/>
  <c r="C2192" i="3"/>
  <c r="A2193" i="3"/>
  <c r="C2193" i="3"/>
  <c r="A2194" i="3"/>
  <c r="C2194" i="3"/>
  <c r="A2195" i="3"/>
  <c r="C2195" i="3"/>
  <c r="A2196" i="3"/>
  <c r="C2196" i="3"/>
  <c r="A2197" i="3"/>
  <c r="C2197" i="3"/>
  <c r="A2198" i="3"/>
  <c r="C2198" i="3"/>
  <c r="A2199" i="3"/>
  <c r="C2199" i="3"/>
  <c r="A2200" i="3"/>
  <c r="C2200" i="3"/>
  <c r="A2201" i="3"/>
  <c r="C2201" i="3"/>
  <c r="A2202" i="3"/>
  <c r="C2202" i="3"/>
  <c r="A2203" i="3"/>
  <c r="C2203" i="3"/>
  <c r="A2204" i="3"/>
  <c r="C2204" i="3"/>
  <c r="A2205" i="3"/>
  <c r="C2205" i="3"/>
  <c r="A2206" i="3"/>
  <c r="C2206" i="3"/>
  <c r="A2207" i="3"/>
  <c r="C2207" i="3"/>
  <c r="A2208" i="3"/>
  <c r="C2208" i="3"/>
  <c r="A2209" i="3"/>
  <c r="C2209" i="3"/>
  <c r="A2210" i="3"/>
  <c r="C2210" i="3"/>
  <c r="A2211" i="3"/>
  <c r="C2211" i="3"/>
  <c r="A2212" i="3"/>
  <c r="C2212" i="3"/>
  <c r="A2213" i="3"/>
  <c r="C2213" i="3"/>
  <c r="A2214" i="3"/>
  <c r="C2214" i="3"/>
  <c r="A2215" i="3"/>
  <c r="C2215" i="3"/>
  <c r="A2216" i="3"/>
  <c r="C2216" i="3"/>
  <c r="A2217" i="3"/>
  <c r="C2217" i="3"/>
  <c r="A2218" i="3"/>
  <c r="C2218" i="3"/>
  <c r="A2219" i="3"/>
  <c r="C2219" i="3"/>
  <c r="A2220" i="3"/>
  <c r="C2220" i="3"/>
  <c r="A2221" i="3"/>
  <c r="C2221" i="3"/>
  <c r="A2222" i="3"/>
  <c r="C2222" i="3"/>
  <c r="A2223" i="3"/>
  <c r="C2223" i="3"/>
  <c r="A2224" i="3"/>
  <c r="C2224" i="3"/>
  <c r="A2225" i="3"/>
  <c r="C2225" i="3"/>
  <c r="A2226" i="3"/>
  <c r="C2226" i="3"/>
  <c r="A2227" i="3"/>
  <c r="C2227" i="3"/>
  <c r="A2228" i="3"/>
  <c r="C2228" i="3"/>
  <c r="A2229" i="3"/>
  <c r="C2229" i="3"/>
  <c r="A2230" i="3"/>
  <c r="C2230" i="3"/>
  <c r="A2231" i="3"/>
  <c r="C2231" i="3"/>
  <c r="A2232" i="3"/>
  <c r="C2232" i="3"/>
  <c r="A2233" i="3"/>
  <c r="C2233" i="3"/>
  <c r="A2234" i="3"/>
  <c r="C2234" i="3"/>
  <c r="A2235" i="3"/>
  <c r="C2235" i="3"/>
  <c r="A2236" i="3"/>
  <c r="C2236" i="3"/>
  <c r="A2237" i="3"/>
  <c r="C2237" i="3"/>
  <c r="A2238" i="3"/>
  <c r="C2238" i="3"/>
  <c r="A2239" i="3"/>
  <c r="C2239" i="3"/>
  <c r="A2240" i="3"/>
  <c r="C2240" i="3"/>
  <c r="A2241" i="3"/>
  <c r="C2241" i="3"/>
  <c r="A2242" i="3"/>
  <c r="C2242" i="3"/>
  <c r="A2243" i="3"/>
  <c r="C2243" i="3"/>
  <c r="A2244" i="3"/>
  <c r="C2244" i="3"/>
  <c r="A2245" i="3"/>
  <c r="C2245" i="3"/>
  <c r="A2246" i="3"/>
  <c r="C2246" i="3"/>
  <c r="A2247" i="3"/>
  <c r="C2247" i="3"/>
  <c r="A2248" i="3"/>
  <c r="C2248" i="3"/>
  <c r="A2249" i="3"/>
  <c r="C2249" i="3"/>
  <c r="A2250" i="3"/>
  <c r="C2250" i="3"/>
  <c r="A2251" i="3"/>
  <c r="C2251" i="3"/>
  <c r="A2252" i="3"/>
  <c r="C2252" i="3"/>
  <c r="A2253" i="3"/>
  <c r="C2253" i="3"/>
  <c r="A2254" i="3"/>
  <c r="C2254" i="3"/>
  <c r="A2255" i="3"/>
  <c r="C2255" i="3"/>
  <c r="A2256" i="3"/>
  <c r="C2256" i="3"/>
  <c r="A2257" i="3"/>
  <c r="C2257" i="3"/>
  <c r="A2258" i="3"/>
  <c r="C2258" i="3"/>
  <c r="A2259" i="3"/>
  <c r="C2259" i="3"/>
  <c r="A2260" i="3"/>
  <c r="C2260" i="3"/>
  <c r="A2261" i="3"/>
  <c r="C2261" i="3"/>
  <c r="A2262" i="3"/>
  <c r="C2262" i="3"/>
  <c r="A2263" i="3"/>
  <c r="C2263" i="3"/>
  <c r="A2264" i="3"/>
  <c r="C2264" i="3"/>
  <c r="A2265" i="3"/>
  <c r="C2265" i="3"/>
  <c r="A2266" i="3"/>
  <c r="C2266" i="3"/>
  <c r="A2267" i="3"/>
  <c r="C2267" i="3"/>
  <c r="A2268" i="3"/>
  <c r="C2268" i="3"/>
  <c r="A2269" i="3"/>
  <c r="C2269" i="3"/>
  <c r="A2270" i="3"/>
  <c r="C2270" i="3"/>
  <c r="A2271" i="3"/>
  <c r="C2271" i="3"/>
  <c r="A2272" i="3"/>
  <c r="C2272" i="3"/>
  <c r="A2273" i="3"/>
  <c r="C2273" i="3"/>
  <c r="A2274" i="3"/>
  <c r="C2274" i="3"/>
  <c r="A2275" i="3"/>
  <c r="C2275" i="3"/>
  <c r="A2276" i="3"/>
  <c r="C2276" i="3"/>
  <c r="A2277" i="3"/>
  <c r="C2277" i="3"/>
  <c r="A2278" i="3"/>
  <c r="C2278" i="3"/>
  <c r="A2279" i="3"/>
  <c r="C2279" i="3"/>
  <c r="A2280" i="3"/>
  <c r="C2280" i="3"/>
  <c r="A2281" i="3"/>
  <c r="C2281" i="3"/>
  <c r="A2282" i="3"/>
  <c r="C2282" i="3"/>
  <c r="A2283" i="3"/>
  <c r="C2283" i="3"/>
  <c r="A2284" i="3"/>
  <c r="C2284" i="3"/>
  <c r="A2285" i="3"/>
  <c r="C2285" i="3"/>
  <c r="A2286" i="3"/>
  <c r="C2286" i="3"/>
  <c r="A2287" i="3"/>
  <c r="C2287" i="3"/>
  <c r="A2288" i="3"/>
  <c r="C2288" i="3"/>
  <c r="A2289" i="3"/>
  <c r="C2289" i="3"/>
  <c r="A2290" i="3"/>
  <c r="C2290" i="3"/>
  <c r="A2291" i="3"/>
  <c r="C2291" i="3"/>
  <c r="A2292" i="3"/>
  <c r="C2292" i="3"/>
  <c r="A2293" i="3"/>
  <c r="C2293" i="3"/>
  <c r="A2294" i="3"/>
  <c r="C2294" i="3"/>
  <c r="A2295" i="3"/>
  <c r="C2295" i="3"/>
  <c r="A2296" i="3"/>
  <c r="C2296" i="3"/>
  <c r="A2297" i="3"/>
  <c r="C2297" i="3"/>
  <c r="A2298" i="3"/>
  <c r="C2298" i="3"/>
  <c r="A2299" i="3"/>
  <c r="C2299" i="3"/>
  <c r="A2300" i="3"/>
  <c r="C2300" i="3"/>
  <c r="A2301" i="3"/>
  <c r="C2301" i="3"/>
  <c r="A2302" i="3"/>
  <c r="C2302" i="3"/>
  <c r="A2303" i="3"/>
  <c r="C2303" i="3"/>
  <c r="A2304" i="3"/>
  <c r="C2304" i="3"/>
  <c r="A2305" i="3"/>
  <c r="C2305" i="3"/>
  <c r="A2306" i="3"/>
  <c r="C2306" i="3"/>
  <c r="A2307" i="3"/>
  <c r="C2307" i="3"/>
  <c r="A2308" i="3"/>
  <c r="C2308" i="3"/>
  <c r="A2309" i="3"/>
  <c r="C2309" i="3"/>
  <c r="A2310" i="3"/>
  <c r="C2310" i="3"/>
  <c r="A2311" i="3"/>
  <c r="C2311" i="3"/>
  <c r="A2312" i="3"/>
  <c r="C2312" i="3"/>
  <c r="A2313" i="3"/>
  <c r="C2313" i="3"/>
  <c r="A2314" i="3"/>
  <c r="C2314" i="3"/>
  <c r="A2315" i="3"/>
  <c r="C2315" i="3"/>
  <c r="A2316" i="3"/>
  <c r="C2316" i="3"/>
  <c r="A2317" i="3"/>
  <c r="C2317" i="3"/>
  <c r="A2318" i="3"/>
  <c r="C2318" i="3"/>
  <c r="A2319" i="3"/>
  <c r="C2319" i="3"/>
  <c r="A2320" i="3"/>
  <c r="C2320" i="3"/>
  <c r="A2321" i="3"/>
  <c r="C2321" i="3"/>
  <c r="A2322" i="3"/>
  <c r="C2322" i="3"/>
  <c r="A2323" i="3"/>
  <c r="C2323" i="3"/>
  <c r="A2324" i="3"/>
  <c r="C2324" i="3"/>
  <c r="A2325" i="3"/>
  <c r="C2325" i="3"/>
  <c r="A2326" i="3"/>
  <c r="C2326" i="3"/>
  <c r="A2327" i="3"/>
  <c r="C2327" i="3"/>
  <c r="A2328" i="3"/>
  <c r="C2328" i="3"/>
  <c r="A2329" i="3"/>
  <c r="C2329" i="3"/>
  <c r="A2330" i="3"/>
  <c r="C2330" i="3"/>
  <c r="A2331" i="3"/>
  <c r="C2331" i="3"/>
  <c r="A2332" i="3"/>
  <c r="C2332" i="3"/>
  <c r="A2333" i="3"/>
  <c r="C2333" i="3"/>
  <c r="A2334" i="3"/>
  <c r="C2334" i="3"/>
  <c r="A2335" i="3"/>
  <c r="C2335" i="3"/>
  <c r="A2336" i="3"/>
  <c r="C2336" i="3"/>
  <c r="A2337" i="3"/>
  <c r="C2337" i="3"/>
  <c r="A2338" i="3"/>
  <c r="C2338" i="3"/>
  <c r="A2339" i="3"/>
  <c r="C2339" i="3"/>
  <c r="A2340" i="3"/>
  <c r="C2340" i="3"/>
  <c r="A2341" i="3"/>
  <c r="C2341" i="3"/>
  <c r="A2342" i="3"/>
  <c r="C2342" i="3"/>
  <c r="A2343" i="3"/>
  <c r="C2343" i="3"/>
  <c r="A2344" i="3"/>
  <c r="C2344" i="3"/>
  <c r="A2345" i="3"/>
  <c r="C2345" i="3"/>
  <c r="A2346" i="3"/>
  <c r="C2346" i="3"/>
  <c r="A2347" i="3"/>
  <c r="C2347" i="3"/>
  <c r="A2348" i="3"/>
  <c r="C2348" i="3"/>
  <c r="A2349" i="3"/>
  <c r="C2349" i="3"/>
  <c r="A2350" i="3"/>
  <c r="C2350" i="3"/>
  <c r="A2351" i="3"/>
  <c r="C2351" i="3"/>
  <c r="A2352" i="3"/>
  <c r="C2352" i="3"/>
  <c r="A2353" i="3"/>
  <c r="C2353" i="3"/>
  <c r="A2354" i="3"/>
  <c r="C2354" i="3"/>
  <c r="A2355" i="3"/>
  <c r="C2355" i="3"/>
  <c r="A2356" i="3"/>
  <c r="C2356" i="3"/>
  <c r="A2357" i="3"/>
  <c r="C2357" i="3"/>
  <c r="A2358" i="3"/>
  <c r="C2358" i="3"/>
  <c r="A2359" i="3"/>
  <c r="C2359" i="3"/>
  <c r="A2360" i="3"/>
  <c r="C2360" i="3"/>
  <c r="A2361" i="3"/>
  <c r="C2361" i="3"/>
  <c r="A2362" i="3"/>
  <c r="C2362" i="3"/>
  <c r="A2363" i="3"/>
  <c r="C2363" i="3"/>
  <c r="A2364" i="3"/>
  <c r="C2364" i="3"/>
  <c r="A2365" i="3"/>
  <c r="C2365" i="3"/>
  <c r="A2366" i="3"/>
  <c r="C2366" i="3"/>
  <c r="A2367" i="3"/>
  <c r="C2367" i="3"/>
  <c r="A2368" i="3"/>
  <c r="C2368" i="3"/>
  <c r="A2369" i="3"/>
  <c r="C2369" i="3"/>
  <c r="A2370" i="3"/>
  <c r="C2370" i="3"/>
  <c r="A2371" i="3"/>
  <c r="C2371" i="3"/>
  <c r="A2372" i="3"/>
  <c r="C2372" i="3"/>
  <c r="A2373" i="3"/>
  <c r="C2373" i="3"/>
  <c r="A2374" i="3"/>
  <c r="C2374" i="3"/>
  <c r="A2375" i="3"/>
  <c r="C2375" i="3"/>
  <c r="A2376" i="3"/>
  <c r="C2376" i="3"/>
  <c r="A2377" i="3"/>
  <c r="C2377" i="3"/>
  <c r="A2378" i="3"/>
  <c r="C2378" i="3"/>
  <c r="A2379" i="3"/>
  <c r="C2379" i="3"/>
  <c r="A2380" i="3"/>
  <c r="C2380" i="3"/>
  <c r="A2381" i="3"/>
  <c r="C2381" i="3"/>
  <c r="A2382" i="3"/>
  <c r="C2382" i="3"/>
  <c r="A2383" i="3"/>
  <c r="C2383" i="3"/>
  <c r="A2384" i="3"/>
  <c r="C2384" i="3"/>
  <c r="A2385" i="3"/>
  <c r="C2385" i="3"/>
  <c r="A2386" i="3"/>
  <c r="C2386" i="3"/>
  <c r="A2387" i="3"/>
  <c r="C2387" i="3"/>
  <c r="A2388" i="3"/>
  <c r="C2388" i="3"/>
  <c r="A2389" i="3"/>
  <c r="C2389" i="3"/>
  <c r="A2390" i="3"/>
  <c r="C2390" i="3"/>
  <c r="A2391" i="3"/>
  <c r="C2391" i="3"/>
  <c r="A2392" i="3"/>
  <c r="C2392" i="3"/>
  <c r="A2393" i="3"/>
  <c r="C2393" i="3"/>
  <c r="A2394" i="3"/>
  <c r="C2394" i="3"/>
  <c r="A2395" i="3"/>
  <c r="C2395" i="3"/>
  <c r="A2396" i="3"/>
  <c r="C2396" i="3"/>
  <c r="A2397" i="3"/>
  <c r="C2397" i="3"/>
  <c r="A2398" i="3"/>
  <c r="C2398" i="3"/>
  <c r="A2399" i="3"/>
  <c r="C2399" i="3"/>
  <c r="A2400" i="3"/>
  <c r="C2400" i="3"/>
  <c r="A2401" i="3"/>
  <c r="C2401" i="3"/>
  <c r="A2402" i="3"/>
  <c r="C2402" i="3"/>
  <c r="A2403" i="3"/>
  <c r="C2403" i="3"/>
  <c r="A2404" i="3"/>
  <c r="C2404" i="3"/>
  <c r="A2405" i="3"/>
  <c r="C2405" i="3"/>
  <c r="A2406" i="3"/>
  <c r="C2406" i="3"/>
  <c r="A2407" i="3"/>
  <c r="C2407" i="3"/>
  <c r="A2408" i="3"/>
  <c r="C2408" i="3"/>
  <c r="A2409" i="3"/>
  <c r="C2409" i="3"/>
  <c r="A2410" i="3"/>
  <c r="C2410" i="3"/>
  <c r="A2411" i="3"/>
  <c r="C2411" i="3"/>
  <c r="A2412" i="3"/>
  <c r="C2412" i="3"/>
  <c r="A2413" i="3"/>
  <c r="C2413" i="3"/>
  <c r="A2414" i="3"/>
  <c r="C2414" i="3"/>
  <c r="A2415" i="3"/>
  <c r="C2415" i="3"/>
  <c r="A2416" i="3"/>
  <c r="C2416" i="3"/>
  <c r="A2417" i="3"/>
  <c r="C2417" i="3"/>
  <c r="A2418" i="3"/>
  <c r="C2418" i="3"/>
  <c r="A2419" i="3"/>
  <c r="C2419" i="3"/>
  <c r="A2420" i="3"/>
  <c r="C2420" i="3"/>
  <c r="A2421" i="3"/>
  <c r="C2421" i="3"/>
  <c r="A2422" i="3"/>
  <c r="C2422" i="3"/>
  <c r="A2423" i="3"/>
  <c r="C2423" i="3"/>
  <c r="A2424" i="3"/>
  <c r="C2424" i="3"/>
  <c r="A2425" i="3"/>
  <c r="C2425" i="3"/>
  <c r="A2426" i="3"/>
  <c r="C2426" i="3"/>
  <c r="A2427" i="3"/>
  <c r="C2427" i="3"/>
  <c r="A2428" i="3"/>
  <c r="C2428" i="3"/>
  <c r="A2429" i="3"/>
  <c r="C2429" i="3"/>
  <c r="A2430" i="3"/>
  <c r="C2430" i="3"/>
  <c r="A2431" i="3"/>
  <c r="C2431" i="3"/>
  <c r="A2432" i="3"/>
  <c r="C2432" i="3"/>
  <c r="A2433" i="3"/>
  <c r="C2433" i="3"/>
  <c r="A2434" i="3"/>
  <c r="C2434" i="3"/>
  <c r="A2435" i="3"/>
  <c r="C2435" i="3"/>
  <c r="A2436" i="3"/>
  <c r="C2436" i="3"/>
  <c r="A2437" i="3"/>
  <c r="C2437" i="3"/>
  <c r="A2438" i="3"/>
  <c r="C2438" i="3"/>
  <c r="A2439" i="3"/>
  <c r="C2439" i="3"/>
  <c r="A2440" i="3"/>
  <c r="C2440" i="3"/>
  <c r="A2441" i="3"/>
  <c r="C2441" i="3"/>
  <c r="A2442" i="3"/>
  <c r="C2442" i="3"/>
  <c r="A2443" i="3"/>
  <c r="C2443" i="3"/>
  <c r="A2444" i="3"/>
  <c r="C2444" i="3"/>
  <c r="A2445" i="3"/>
  <c r="C2445" i="3"/>
  <c r="A2446" i="3"/>
  <c r="C2446" i="3"/>
  <c r="A2447" i="3"/>
  <c r="C2447" i="3"/>
  <c r="A2448" i="3"/>
  <c r="C2448" i="3"/>
  <c r="A2449" i="3"/>
  <c r="C2449" i="3"/>
  <c r="A2450" i="3"/>
  <c r="C2450" i="3"/>
  <c r="A2451" i="3"/>
  <c r="C2451" i="3"/>
  <c r="A2452" i="3"/>
  <c r="C2452" i="3"/>
  <c r="A2453" i="3"/>
  <c r="C2453" i="3"/>
  <c r="A2454" i="3"/>
  <c r="C2454" i="3"/>
  <c r="A2455" i="3"/>
  <c r="C2455" i="3"/>
  <c r="A2456" i="3"/>
  <c r="C2456" i="3"/>
  <c r="A2457" i="3"/>
  <c r="C2457" i="3"/>
  <c r="A2458" i="3"/>
  <c r="C2458" i="3"/>
  <c r="A2459" i="3"/>
  <c r="C2459" i="3"/>
  <c r="A2460" i="3"/>
  <c r="C2460" i="3"/>
  <c r="A2461" i="3"/>
  <c r="C2461" i="3"/>
  <c r="A2462" i="3"/>
  <c r="C2462" i="3"/>
  <c r="A2463" i="3"/>
  <c r="C2463" i="3"/>
  <c r="A2464" i="3"/>
  <c r="C2464" i="3"/>
  <c r="A2465" i="3"/>
  <c r="C2465" i="3"/>
  <c r="A2466" i="3"/>
  <c r="C2466" i="3"/>
  <c r="A2467" i="3"/>
  <c r="C2467" i="3"/>
  <c r="A2468" i="3"/>
  <c r="C2468" i="3"/>
  <c r="A2469" i="3"/>
  <c r="C2469" i="3"/>
  <c r="A2470" i="3"/>
  <c r="C2470" i="3"/>
  <c r="A2471" i="3"/>
  <c r="C2471" i="3"/>
  <c r="A2472" i="3"/>
  <c r="C2472" i="3"/>
  <c r="A2473" i="3"/>
  <c r="C2473" i="3"/>
  <c r="A2474" i="3"/>
  <c r="C2474" i="3"/>
  <c r="A2475" i="3"/>
  <c r="C2475" i="3"/>
  <c r="A2476" i="3"/>
  <c r="C2476" i="3"/>
  <c r="A2477" i="3"/>
  <c r="C2477" i="3"/>
  <c r="A2478" i="3"/>
  <c r="C2478" i="3"/>
  <c r="A2479" i="3"/>
  <c r="C2479" i="3"/>
  <c r="A2480" i="3"/>
  <c r="C2480" i="3"/>
  <c r="A2481" i="3"/>
  <c r="C2481" i="3"/>
  <c r="A2482" i="3"/>
  <c r="C2482" i="3"/>
  <c r="A2483" i="3"/>
  <c r="C2483" i="3"/>
  <c r="A2484" i="3"/>
  <c r="C2484" i="3"/>
  <c r="A2485" i="3"/>
  <c r="C2485" i="3"/>
  <c r="A2486" i="3"/>
  <c r="C2486" i="3"/>
  <c r="A2487" i="3"/>
  <c r="C2487" i="3"/>
  <c r="A2488" i="3"/>
  <c r="C2488" i="3"/>
  <c r="A2489" i="3"/>
  <c r="C2489" i="3"/>
  <c r="A2490" i="3"/>
  <c r="C2490" i="3"/>
  <c r="A2491" i="3"/>
  <c r="C2491" i="3"/>
  <c r="A2492" i="3"/>
  <c r="C2492" i="3"/>
  <c r="A2493" i="3"/>
  <c r="C2493" i="3"/>
  <c r="A2494" i="3"/>
  <c r="C2494" i="3"/>
  <c r="A2495" i="3"/>
  <c r="C2495" i="3"/>
  <c r="A2496" i="3"/>
  <c r="C2496" i="3"/>
  <c r="A2497" i="3"/>
  <c r="C2497" i="3"/>
  <c r="A2498" i="3"/>
  <c r="C2498" i="3"/>
  <c r="A2499" i="3"/>
  <c r="C2499" i="3"/>
  <c r="A2500" i="3"/>
  <c r="C2500" i="3"/>
  <c r="A2501" i="3"/>
  <c r="C2501" i="3"/>
  <c r="A2502" i="3"/>
  <c r="C2502" i="3"/>
  <c r="A2503" i="3"/>
  <c r="C2503" i="3"/>
  <c r="A2504" i="3"/>
  <c r="C2504" i="3"/>
  <c r="A2505" i="3"/>
  <c r="C2505" i="3"/>
  <c r="A2506" i="3"/>
  <c r="C2506" i="3"/>
  <c r="A2507" i="3"/>
  <c r="C2507" i="3"/>
  <c r="A2508" i="3"/>
  <c r="C2508" i="3"/>
  <c r="A2509" i="3"/>
  <c r="C2509" i="3"/>
  <c r="A2510" i="3"/>
  <c r="C2510" i="3"/>
  <c r="A2511" i="3"/>
  <c r="C2511" i="3"/>
  <c r="A2512" i="3"/>
  <c r="C2512" i="3"/>
  <c r="A2513" i="3"/>
  <c r="C2513" i="3"/>
  <c r="A2514" i="3"/>
  <c r="C2514" i="3"/>
  <c r="A2515" i="3"/>
  <c r="C2515" i="3"/>
  <c r="A2516" i="3"/>
  <c r="C2516" i="3"/>
  <c r="A2517" i="3"/>
  <c r="C2517" i="3"/>
  <c r="A2518" i="3"/>
  <c r="C2518" i="3"/>
  <c r="A2519" i="3"/>
  <c r="C2519" i="3"/>
  <c r="A2520" i="3"/>
  <c r="C2520" i="3"/>
  <c r="A2521" i="3"/>
  <c r="C2521" i="3"/>
  <c r="A2522" i="3"/>
  <c r="C2522" i="3"/>
  <c r="A2523" i="3"/>
  <c r="C2523" i="3"/>
  <c r="A2524" i="3"/>
  <c r="C2524" i="3"/>
  <c r="A2525" i="3"/>
  <c r="C2525" i="3"/>
  <c r="A2526" i="3"/>
  <c r="C2526" i="3"/>
  <c r="A2527" i="3"/>
  <c r="C2527" i="3"/>
  <c r="A2528" i="3"/>
  <c r="C2528" i="3"/>
  <c r="A2529" i="3"/>
  <c r="C2529" i="3"/>
  <c r="A2530" i="3"/>
  <c r="C2530" i="3"/>
  <c r="A2531" i="3"/>
  <c r="C2531" i="3"/>
  <c r="A2532" i="3"/>
  <c r="C2532" i="3"/>
  <c r="A2533" i="3"/>
  <c r="C2533" i="3"/>
  <c r="A2534" i="3"/>
  <c r="C2534" i="3"/>
  <c r="A2535" i="3"/>
  <c r="C2535" i="3"/>
  <c r="A2536" i="3"/>
  <c r="C2536" i="3"/>
  <c r="A2537" i="3"/>
  <c r="C2537" i="3"/>
  <c r="A2538" i="3"/>
  <c r="C2538" i="3"/>
  <c r="A2539" i="3"/>
  <c r="C2539" i="3"/>
  <c r="A2540" i="3"/>
  <c r="C2540" i="3"/>
  <c r="A2541" i="3"/>
  <c r="C2541" i="3"/>
  <c r="A2542" i="3"/>
  <c r="C2542" i="3"/>
  <c r="A2543" i="3"/>
  <c r="C2543" i="3"/>
  <c r="A2544" i="3"/>
  <c r="C2544" i="3"/>
  <c r="A2545" i="3"/>
  <c r="C2545" i="3"/>
  <c r="A2546" i="3"/>
  <c r="C2546" i="3"/>
  <c r="A2547" i="3"/>
  <c r="C2547" i="3"/>
  <c r="A2548" i="3"/>
  <c r="C2548" i="3"/>
  <c r="A2549" i="3"/>
  <c r="C2549" i="3"/>
  <c r="A2550" i="3"/>
  <c r="C2550" i="3"/>
  <c r="A2551" i="3"/>
  <c r="C2551" i="3"/>
  <c r="A2552" i="3"/>
  <c r="C2552" i="3"/>
  <c r="A2553" i="3"/>
  <c r="C2553" i="3"/>
  <c r="A2554" i="3"/>
  <c r="C2554" i="3"/>
  <c r="A2555" i="3"/>
  <c r="C2555" i="3"/>
  <c r="A2556" i="3"/>
  <c r="C2556" i="3"/>
  <c r="A2557" i="3"/>
  <c r="C2557" i="3"/>
  <c r="A2558" i="3"/>
  <c r="C2558" i="3"/>
  <c r="A2559" i="3"/>
  <c r="C2559" i="3"/>
  <c r="A2560" i="3"/>
  <c r="C2560" i="3"/>
  <c r="A2561" i="3"/>
  <c r="C2561" i="3"/>
  <c r="A2562" i="3"/>
  <c r="C2562" i="3"/>
  <c r="A2563" i="3"/>
  <c r="C2563" i="3"/>
  <c r="A2564" i="3"/>
  <c r="C2564" i="3"/>
  <c r="A2565" i="3"/>
  <c r="C2565" i="3"/>
  <c r="A2566" i="3"/>
  <c r="C2566" i="3"/>
  <c r="A2567" i="3"/>
  <c r="C2567" i="3"/>
  <c r="A2568" i="3"/>
  <c r="C2568" i="3"/>
  <c r="A2569" i="3"/>
  <c r="C2569" i="3"/>
  <c r="A2570" i="3"/>
  <c r="C2570" i="3"/>
  <c r="A2571" i="3"/>
  <c r="C2571" i="3"/>
  <c r="A2572" i="3"/>
  <c r="C2572" i="3"/>
  <c r="A2573" i="3"/>
  <c r="C2573" i="3"/>
  <c r="A2574" i="3"/>
  <c r="C2574" i="3"/>
  <c r="A2575" i="3"/>
  <c r="C2575" i="3"/>
  <c r="A2576" i="3"/>
  <c r="C2576" i="3"/>
  <c r="A2577" i="3"/>
  <c r="C2577" i="3"/>
  <c r="A2578" i="3"/>
  <c r="C2578" i="3"/>
  <c r="A2579" i="3"/>
  <c r="C2579" i="3"/>
  <c r="A2580" i="3"/>
  <c r="C2580" i="3"/>
  <c r="A2581" i="3"/>
  <c r="C2581" i="3"/>
  <c r="A2582" i="3"/>
  <c r="C2582" i="3"/>
  <c r="A2583" i="3"/>
  <c r="C2583" i="3"/>
  <c r="A2584" i="3"/>
  <c r="C2584" i="3"/>
  <c r="A2585" i="3"/>
  <c r="C2585" i="3"/>
  <c r="A2586" i="3"/>
  <c r="C2586" i="3"/>
  <c r="A2587" i="3"/>
  <c r="C2587" i="3"/>
  <c r="A2588" i="3"/>
  <c r="C2588" i="3"/>
  <c r="A2589" i="3"/>
  <c r="C2589" i="3"/>
  <c r="A2590" i="3"/>
  <c r="C2590" i="3"/>
  <c r="A2591" i="3"/>
  <c r="C2591" i="3"/>
  <c r="A2592" i="3"/>
  <c r="C2592" i="3"/>
  <c r="A2593" i="3"/>
  <c r="C2593" i="3"/>
  <c r="A2594" i="3"/>
  <c r="C2594" i="3"/>
  <c r="A2595" i="3"/>
  <c r="C2595" i="3"/>
  <c r="A2596" i="3"/>
  <c r="C2596" i="3"/>
  <c r="A2597" i="3"/>
  <c r="C2597" i="3"/>
  <c r="A2598" i="3"/>
  <c r="C2598" i="3"/>
  <c r="A2599" i="3"/>
  <c r="C2599" i="3"/>
  <c r="A2600" i="3"/>
  <c r="C2600" i="3"/>
  <c r="A2601" i="3"/>
  <c r="C2601" i="3"/>
  <c r="A2602" i="3"/>
  <c r="C2602" i="3"/>
  <c r="A2603" i="3"/>
  <c r="C2603" i="3"/>
  <c r="A2604" i="3"/>
  <c r="C2604" i="3"/>
  <c r="A2605" i="3"/>
  <c r="C2605" i="3"/>
  <c r="A2606" i="3"/>
  <c r="C2606" i="3"/>
  <c r="A2607" i="3"/>
  <c r="C2607" i="3"/>
  <c r="A2608" i="3"/>
  <c r="C2608" i="3"/>
  <c r="A2609" i="3"/>
  <c r="C2609" i="3"/>
  <c r="A2610" i="3"/>
  <c r="C2610" i="3"/>
  <c r="A2611" i="3"/>
  <c r="C2611" i="3"/>
  <c r="A2612" i="3"/>
  <c r="C2612" i="3"/>
  <c r="A2613" i="3"/>
  <c r="C2613" i="3"/>
  <c r="A2614" i="3"/>
  <c r="C2614" i="3"/>
  <c r="A2615" i="3"/>
  <c r="C2615" i="3"/>
  <c r="A2616" i="3"/>
  <c r="C2616" i="3"/>
  <c r="A2617" i="3"/>
  <c r="C2617" i="3"/>
  <c r="A2618" i="3"/>
  <c r="C2618" i="3"/>
  <c r="A2619" i="3"/>
  <c r="C2619" i="3"/>
  <c r="A2620" i="3"/>
  <c r="C2620" i="3"/>
  <c r="A2621" i="3"/>
  <c r="C2621" i="3"/>
  <c r="A2622" i="3"/>
  <c r="C2622" i="3"/>
  <c r="A2623" i="3"/>
  <c r="C2623" i="3"/>
  <c r="A2624" i="3"/>
  <c r="C2624" i="3"/>
  <c r="A2625" i="3"/>
  <c r="C2625" i="3"/>
  <c r="A2626" i="3"/>
  <c r="C2626" i="3"/>
  <c r="A2627" i="3"/>
  <c r="C2627" i="3"/>
  <c r="A2628" i="3"/>
  <c r="C2628" i="3"/>
  <c r="A2629" i="3"/>
  <c r="C2629" i="3"/>
  <c r="A2630" i="3"/>
  <c r="C2630" i="3"/>
  <c r="A2631" i="3"/>
  <c r="C2631" i="3"/>
  <c r="A2632" i="3"/>
  <c r="C2632" i="3"/>
  <c r="A2633" i="3"/>
  <c r="C2633" i="3"/>
  <c r="A2634" i="3"/>
  <c r="C2634" i="3"/>
  <c r="A2635" i="3"/>
  <c r="C2635" i="3"/>
  <c r="A2636" i="3"/>
  <c r="C2636" i="3"/>
  <c r="A2637" i="3"/>
  <c r="C2637" i="3"/>
  <c r="A2638" i="3"/>
  <c r="C2638" i="3"/>
  <c r="A2639" i="3"/>
  <c r="C2639" i="3"/>
  <c r="A2640" i="3"/>
  <c r="C2640" i="3"/>
  <c r="A2641" i="3"/>
  <c r="C2641" i="3"/>
  <c r="A2642" i="3"/>
  <c r="C2642" i="3"/>
  <c r="A2643" i="3"/>
  <c r="C2643" i="3"/>
  <c r="A2644" i="3"/>
  <c r="C2644" i="3"/>
  <c r="A2645" i="3"/>
  <c r="C2645" i="3"/>
  <c r="A2646" i="3"/>
  <c r="C2646" i="3"/>
  <c r="A2647" i="3"/>
  <c r="C2647" i="3"/>
  <c r="A2648" i="3"/>
  <c r="C2648" i="3"/>
  <c r="A2649" i="3"/>
  <c r="C2649" i="3"/>
  <c r="A2650" i="3"/>
  <c r="C2650" i="3"/>
  <c r="A2651" i="3"/>
  <c r="C2651" i="3"/>
  <c r="A2652" i="3"/>
  <c r="C2652" i="3"/>
  <c r="A2653" i="3"/>
  <c r="C2653" i="3"/>
  <c r="A2654" i="3"/>
  <c r="C2654" i="3"/>
  <c r="A2655" i="3"/>
  <c r="C2655" i="3"/>
  <c r="A2656" i="3"/>
  <c r="C2656" i="3"/>
  <c r="A2657" i="3"/>
  <c r="C2657" i="3"/>
  <c r="A2658" i="3"/>
  <c r="C2658" i="3"/>
  <c r="A2659" i="3"/>
  <c r="C2659" i="3"/>
  <c r="A2660" i="3"/>
  <c r="C2660" i="3"/>
  <c r="A2661" i="3"/>
  <c r="C2661" i="3"/>
  <c r="A2662" i="3"/>
  <c r="C2662" i="3"/>
  <c r="A2663" i="3"/>
  <c r="C2663" i="3"/>
  <c r="A2664" i="3"/>
  <c r="C2664" i="3"/>
  <c r="A2665" i="3"/>
  <c r="C2665" i="3"/>
  <c r="A2666" i="3"/>
  <c r="C2666" i="3"/>
  <c r="A2667" i="3"/>
  <c r="C2667" i="3"/>
  <c r="A2668" i="3"/>
  <c r="C2668" i="3"/>
  <c r="A2669" i="3"/>
  <c r="C2669" i="3"/>
  <c r="A2670" i="3"/>
  <c r="C2670" i="3"/>
  <c r="A2671" i="3"/>
  <c r="C2671" i="3"/>
  <c r="A2672" i="3"/>
  <c r="C2672" i="3"/>
  <c r="A2673" i="3"/>
  <c r="C2673" i="3"/>
  <c r="A2674" i="3"/>
  <c r="C2674" i="3"/>
  <c r="A2675" i="3"/>
  <c r="C2675" i="3"/>
  <c r="A2676" i="3"/>
  <c r="C2676" i="3"/>
  <c r="A2677" i="3"/>
  <c r="C2677" i="3"/>
  <c r="A2678" i="3"/>
  <c r="C2678" i="3"/>
  <c r="A2679" i="3"/>
  <c r="C2679" i="3"/>
  <c r="A2680" i="3"/>
  <c r="C2680" i="3"/>
  <c r="A2681" i="3"/>
  <c r="C2681" i="3"/>
  <c r="A2682" i="3"/>
  <c r="C2682" i="3"/>
  <c r="A2683" i="3"/>
  <c r="C2683" i="3"/>
  <c r="A2684" i="3"/>
  <c r="C2684" i="3"/>
  <c r="A2685" i="3"/>
  <c r="C2685" i="3"/>
  <c r="A2686" i="3"/>
  <c r="C2686" i="3"/>
  <c r="A2687" i="3"/>
  <c r="C2687" i="3"/>
  <c r="A2688" i="3"/>
  <c r="C2688" i="3"/>
  <c r="A2689" i="3"/>
  <c r="C2689" i="3"/>
  <c r="A2690" i="3"/>
  <c r="C2690" i="3"/>
  <c r="A2691" i="3"/>
  <c r="C2691" i="3"/>
  <c r="A2692" i="3"/>
  <c r="C2692" i="3"/>
  <c r="A2693" i="3"/>
  <c r="C2693" i="3"/>
  <c r="A2694" i="3"/>
  <c r="C2694" i="3"/>
  <c r="A2695" i="3"/>
  <c r="C2695" i="3"/>
  <c r="A2696" i="3"/>
  <c r="C2696" i="3"/>
  <c r="A2697" i="3"/>
  <c r="C2697" i="3"/>
  <c r="A2698" i="3"/>
  <c r="C2698" i="3"/>
  <c r="A2699" i="3"/>
  <c r="C2699" i="3"/>
  <c r="A2700" i="3"/>
  <c r="C2700" i="3"/>
  <c r="A2701" i="3"/>
  <c r="C2701" i="3"/>
  <c r="A2702" i="3"/>
  <c r="C2702" i="3"/>
  <c r="A2703" i="3"/>
  <c r="C2703" i="3"/>
  <c r="A2704" i="3"/>
  <c r="C2704" i="3"/>
  <c r="A2705" i="3"/>
  <c r="C2705" i="3"/>
  <c r="A2706" i="3"/>
  <c r="C2706" i="3"/>
  <c r="A2707" i="3"/>
  <c r="C2707" i="3"/>
  <c r="A2708" i="3"/>
  <c r="C2708" i="3"/>
  <c r="A2709" i="3"/>
  <c r="C2709" i="3"/>
  <c r="A2710" i="3"/>
  <c r="C2710" i="3"/>
  <c r="A2711" i="3"/>
  <c r="C2711" i="3"/>
  <c r="A2712" i="3"/>
  <c r="C2712" i="3"/>
  <c r="A2713" i="3"/>
  <c r="C2713" i="3"/>
  <c r="A2714" i="3"/>
  <c r="C2714" i="3"/>
  <c r="A2715" i="3"/>
  <c r="C2715" i="3"/>
  <c r="A2716" i="3"/>
  <c r="C2716" i="3"/>
  <c r="A2717" i="3"/>
  <c r="C2717" i="3"/>
  <c r="A2718" i="3"/>
  <c r="C2718" i="3"/>
  <c r="A2719" i="3"/>
  <c r="C2719" i="3"/>
  <c r="A2720" i="3"/>
  <c r="C2720" i="3"/>
  <c r="A2721" i="3"/>
  <c r="C2721" i="3"/>
  <c r="A2722" i="3"/>
  <c r="C2722" i="3"/>
  <c r="A2723" i="3"/>
  <c r="C2723" i="3"/>
  <c r="A2724" i="3"/>
  <c r="C2724" i="3"/>
  <c r="A2725" i="3"/>
  <c r="C2725" i="3"/>
  <c r="A2726" i="3"/>
  <c r="C2726" i="3"/>
  <c r="A2727" i="3"/>
  <c r="C2727" i="3"/>
  <c r="A2728" i="3"/>
  <c r="C2728" i="3"/>
  <c r="A2729" i="3"/>
  <c r="C2729" i="3"/>
  <c r="A2730" i="3"/>
  <c r="C2730" i="3"/>
  <c r="A2731" i="3"/>
  <c r="C2731" i="3"/>
  <c r="A2732" i="3"/>
  <c r="C2732" i="3"/>
  <c r="A2733" i="3"/>
  <c r="C2733" i="3"/>
  <c r="A2734" i="3"/>
  <c r="C2734" i="3"/>
  <c r="A2735" i="3"/>
  <c r="C2735" i="3"/>
  <c r="A2736" i="3"/>
  <c r="C2736" i="3"/>
  <c r="A2737" i="3"/>
  <c r="C2737" i="3"/>
  <c r="A2738" i="3"/>
  <c r="C2738" i="3"/>
  <c r="A2739" i="3"/>
  <c r="C2739" i="3"/>
  <c r="A2740" i="3"/>
  <c r="C2740" i="3"/>
  <c r="A2741" i="3"/>
  <c r="C2741" i="3"/>
  <c r="A2742" i="3"/>
  <c r="C2742" i="3"/>
  <c r="A2743" i="3"/>
  <c r="C2743" i="3"/>
  <c r="A2744" i="3"/>
  <c r="C2744" i="3"/>
  <c r="A2745" i="3"/>
  <c r="C2745" i="3"/>
  <c r="A2746" i="3"/>
  <c r="C2746" i="3"/>
  <c r="A2747" i="3"/>
  <c r="C2747" i="3"/>
  <c r="A2748" i="3"/>
  <c r="C2748" i="3"/>
  <c r="A2749" i="3"/>
  <c r="C2749" i="3"/>
  <c r="A2750" i="3"/>
  <c r="C2750" i="3"/>
  <c r="A2751" i="3"/>
  <c r="C2751" i="3"/>
  <c r="A2752" i="3"/>
  <c r="C2752" i="3"/>
  <c r="A2753" i="3"/>
  <c r="C2753" i="3"/>
  <c r="A2754" i="3"/>
  <c r="C2754" i="3"/>
  <c r="A2755" i="3"/>
  <c r="C2755" i="3"/>
  <c r="A2756" i="3"/>
  <c r="C2756" i="3"/>
  <c r="A2757" i="3"/>
  <c r="C2757" i="3"/>
  <c r="A2758" i="3"/>
  <c r="C2758" i="3"/>
  <c r="A2759" i="3"/>
  <c r="C2759" i="3"/>
  <c r="A2760" i="3"/>
  <c r="C2760" i="3"/>
  <c r="A2761" i="3"/>
  <c r="C2761" i="3"/>
  <c r="A2762" i="3"/>
  <c r="C2762" i="3"/>
  <c r="A2763" i="3"/>
  <c r="C2763" i="3"/>
  <c r="A2764" i="3"/>
  <c r="C2764" i="3"/>
  <c r="A2765" i="3"/>
  <c r="C2765" i="3"/>
  <c r="A2766" i="3"/>
  <c r="C2766" i="3"/>
  <c r="A2767" i="3"/>
  <c r="C2767" i="3"/>
  <c r="A2768" i="3"/>
  <c r="C2768" i="3"/>
  <c r="A2769" i="3"/>
  <c r="C2769" i="3"/>
  <c r="A2770" i="3"/>
  <c r="C2770" i="3"/>
  <c r="A2771" i="3"/>
  <c r="C2771" i="3"/>
  <c r="A2772" i="3"/>
  <c r="C2772" i="3"/>
  <c r="A2773" i="3"/>
  <c r="C2773" i="3"/>
  <c r="A2774" i="3"/>
  <c r="C2774" i="3"/>
  <c r="A2775" i="3"/>
  <c r="C2775" i="3"/>
  <c r="A2776" i="3"/>
  <c r="C2776" i="3"/>
  <c r="A2777" i="3"/>
  <c r="C2777" i="3"/>
  <c r="A2778" i="3"/>
  <c r="C2778" i="3"/>
  <c r="A2779" i="3"/>
  <c r="C2779" i="3"/>
  <c r="A2780" i="3"/>
  <c r="C2780" i="3"/>
  <c r="A2781" i="3"/>
  <c r="C2781" i="3"/>
  <c r="A2782" i="3"/>
  <c r="C2782" i="3"/>
  <c r="A2783" i="3"/>
  <c r="C2783" i="3"/>
  <c r="A2784" i="3"/>
  <c r="C2784" i="3"/>
  <c r="A2785" i="3"/>
  <c r="C2785" i="3"/>
  <c r="A2786" i="3"/>
  <c r="C2786" i="3"/>
  <c r="A2787" i="3"/>
  <c r="C2787" i="3"/>
  <c r="A2788" i="3"/>
  <c r="C2788" i="3"/>
  <c r="A2789" i="3"/>
  <c r="C2789" i="3"/>
  <c r="A2790" i="3"/>
  <c r="C2790" i="3"/>
  <c r="A2791" i="3"/>
  <c r="C2791" i="3"/>
  <c r="A2792" i="3"/>
  <c r="C2792" i="3"/>
  <c r="A2793" i="3"/>
  <c r="C2793" i="3"/>
  <c r="A2794" i="3"/>
  <c r="C2794" i="3"/>
  <c r="A2795" i="3"/>
  <c r="C2795" i="3"/>
  <c r="A2796" i="3"/>
  <c r="C2796" i="3"/>
  <c r="A2797" i="3"/>
  <c r="C2797" i="3"/>
  <c r="A2798" i="3"/>
  <c r="C2798" i="3"/>
  <c r="A2799" i="3"/>
  <c r="C2799" i="3"/>
  <c r="A2800" i="3"/>
  <c r="C2800" i="3"/>
  <c r="A2801" i="3"/>
  <c r="C2801" i="3"/>
  <c r="A2802" i="3"/>
  <c r="C2802" i="3"/>
  <c r="A2803" i="3"/>
  <c r="C2803" i="3"/>
  <c r="A2804" i="3"/>
  <c r="C2804" i="3"/>
  <c r="A2805" i="3"/>
  <c r="C2805" i="3"/>
  <c r="A2806" i="3"/>
  <c r="C2806" i="3"/>
  <c r="A2807" i="3"/>
  <c r="C2807" i="3"/>
  <c r="A2808" i="3"/>
  <c r="C2808" i="3"/>
  <c r="A2809" i="3"/>
  <c r="C2809" i="3"/>
  <c r="A2810" i="3"/>
  <c r="C2810" i="3"/>
  <c r="A2811" i="3"/>
  <c r="C2811" i="3"/>
  <c r="A2812" i="3"/>
  <c r="C2812" i="3"/>
  <c r="A2813" i="3"/>
  <c r="C2813" i="3"/>
  <c r="A2814" i="3"/>
  <c r="C2814" i="3"/>
  <c r="A2815" i="3"/>
  <c r="C2815" i="3"/>
  <c r="A2816" i="3"/>
  <c r="C2816" i="3"/>
  <c r="A2817" i="3"/>
  <c r="C2817" i="3"/>
  <c r="A2818" i="3"/>
  <c r="C2818" i="3"/>
  <c r="A2819" i="3"/>
  <c r="C2819" i="3"/>
  <c r="A2820" i="3"/>
  <c r="C2820" i="3"/>
  <c r="A2821" i="3"/>
  <c r="C2821" i="3"/>
  <c r="A2822" i="3"/>
  <c r="C2822" i="3"/>
  <c r="A2823" i="3"/>
  <c r="C2823" i="3"/>
  <c r="A2824" i="3"/>
  <c r="C2824" i="3"/>
  <c r="A2825" i="3"/>
  <c r="C2825" i="3"/>
  <c r="A2826" i="3"/>
  <c r="C2826" i="3"/>
  <c r="A2827" i="3"/>
  <c r="C2827" i="3"/>
  <c r="A2828" i="3"/>
  <c r="C2828" i="3"/>
  <c r="A2829" i="3"/>
  <c r="C2829" i="3"/>
  <c r="A2830" i="3"/>
  <c r="C2830" i="3"/>
  <c r="A2831" i="3"/>
  <c r="C2831" i="3"/>
  <c r="A2832" i="3"/>
  <c r="C2832" i="3"/>
  <c r="A2833" i="3"/>
  <c r="C2833" i="3"/>
  <c r="A2834" i="3"/>
  <c r="C2834" i="3"/>
  <c r="A2835" i="3"/>
  <c r="C2835" i="3"/>
  <c r="A2836" i="3"/>
  <c r="C2836" i="3"/>
  <c r="A2837" i="3"/>
  <c r="C2837" i="3"/>
  <c r="A2838" i="3"/>
  <c r="C2838" i="3"/>
  <c r="A2839" i="3"/>
  <c r="C2839" i="3"/>
  <c r="A2840" i="3"/>
  <c r="C2840" i="3"/>
  <c r="A2841" i="3"/>
  <c r="C2841" i="3"/>
  <c r="A2842" i="3"/>
  <c r="C2842" i="3"/>
  <c r="A2843" i="3"/>
  <c r="C2843" i="3"/>
  <c r="A2844" i="3"/>
  <c r="C2844" i="3"/>
  <c r="A2845" i="3"/>
  <c r="C2845" i="3"/>
  <c r="A2846" i="3"/>
  <c r="C2846" i="3"/>
  <c r="A2847" i="3"/>
  <c r="C2847" i="3"/>
  <c r="A2848" i="3"/>
  <c r="C2848" i="3"/>
  <c r="A2849" i="3"/>
  <c r="C2849" i="3"/>
  <c r="A2850" i="3"/>
  <c r="C2850" i="3"/>
  <c r="A2851" i="3"/>
  <c r="C2851" i="3"/>
  <c r="A2852" i="3"/>
  <c r="C2852" i="3"/>
  <c r="A2853" i="3"/>
  <c r="C2853" i="3"/>
  <c r="A2854" i="3"/>
  <c r="C2854" i="3"/>
  <c r="A2855" i="3"/>
  <c r="C2855" i="3"/>
  <c r="A2856" i="3"/>
  <c r="C2856" i="3"/>
  <c r="A2857" i="3"/>
  <c r="C2857" i="3"/>
  <c r="A2858" i="3"/>
  <c r="C2858" i="3"/>
  <c r="A2859" i="3"/>
  <c r="C2859" i="3"/>
  <c r="A2860" i="3"/>
  <c r="C2860" i="3"/>
  <c r="A2861" i="3"/>
  <c r="C2861" i="3"/>
  <c r="A2862" i="3"/>
  <c r="C2862" i="3"/>
  <c r="A2863" i="3"/>
  <c r="C2863" i="3"/>
  <c r="A2864" i="3"/>
  <c r="C2864" i="3"/>
  <c r="A2865" i="3"/>
  <c r="C2865" i="3"/>
  <c r="A2866" i="3"/>
  <c r="C2866" i="3"/>
  <c r="A2867" i="3"/>
  <c r="C2867" i="3"/>
  <c r="A2868" i="3"/>
  <c r="C2868" i="3"/>
  <c r="A2869" i="3"/>
  <c r="C2869" i="3"/>
  <c r="A2870" i="3"/>
  <c r="C2870" i="3"/>
  <c r="A2871" i="3"/>
  <c r="C2871" i="3"/>
  <c r="A2872" i="3"/>
  <c r="C2872" i="3"/>
  <c r="A2873" i="3"/>
  <c r="C2873" i="3"/>
  <c r="A2874" i="3"/>
  <c r="C2874" i="3"/>
  <c r="A2875" i="3"/>
  <c r="C2875" i="3"/>
  <c r="A2876" i="3"/>
  <c r="C2876" i="3"/>
  <c r="A2877" i="3"/>
  <c r="C2877" i="3"/>
  <c r="A2878" i="3"/>
  <c r="C2878" i="3"/>
  <c r="A2879" i="3"/>
  <c r="C2879" i="3"/>
  <c r="A2880" i="3"/>
  <c r="C2880" i="3"/>
  <c r="A2881" i="3"/>
  <c r="C2881" i="3"/>
  <c r="A2882" i="3"/>
  <c r="C2882" i="3"/>
  <c r="A2883" i="3"/>
  <c r="C2883" i="3"/>
  <c r="A2884" i="3"/>
  <c r="C2884" i="3"/>
  <c r="A2885" i="3"/>
  <c r="C2885" i="3"/>
  <c r="A2886" i="3"/>
  <c r="C2886" i="3"/>
  <c r="A2887" i="3"/>
  <c r="C2887" i="3"/>
  <c r="A2888" i="3"/>
  <c r="C2888" i="3"/>
  <c r="A2889" i="3"/>
  <c r="C2889" i="3"/>
  <c r="A2890" i="3"/>
  <c r="C2890" i="3"/>
  <c r="A2891" i="3"/>
  <c r="C2891" i="3"/>
  <c r="A2892" i="3"/>
  <c r="C2892" i="3"/>
  <c r="A2893" i="3"/>
  <c r="C2893" i="3"/>
  <c r="A2894" i="3"/>
  <c r="C2894" i="3"/>
  <c r="A2895" i="3"/>
  <c r="C2895" i="3"/>
  <c r="A2896" i="3"/>
  <c r="C2896" i="3"/>
  <c r="A2897" i="3"/>
  <c r="C2897" i="3"/>
  <c r="A2898" i="3"/>
  <c r="C2898" i="3"/>
  <c r="A2899" i="3"/>
  <c r="C2899" i="3"/>
  <c r="A2900" i="3"/>
  <c r="C2900" i="3"/>
  <c r="A2901" i="3"/>
  <c r="C2901" i="3"/>
  <c r="A2902" i="3"/>
  <c r="C2902" i="3"/>
  <c r="A2903" i="3"/>
  <c r="C2903" i="3"/>
  <c r="A2904" i="3"/>
  <c r="C2904" i="3"/>
  <c r="A2905" i="3"/>
  <c r="C2905" i="3"/>
  <c r="A2906" i="3"/>
  <c r="C2906" i="3"/>
  <c r="A2907" i="3"/>
  <c r="C2907" i="3"/>
  <c r="A2908" i="3"/>
  <c r="C2908" i="3"/>
  <c r="A2909" i="3"/>
  <c r="C2909" i="3"/>
  <c r="A2910" i="3"/>
  <c r="C2910" i="3"/>
  <c r="A2911" i="3"/>
  <c r="C2911" i="3"/>
  <c r="A2912" i="3"/>
  <c r="C2912" i="3"/>
  <c r="A2913" i="3"/>
  <c r="C2913" i="3"/>
  <c r="A2914" i="3"/>
  <c r="C2914" i="3"/>
  <c r="A2915" i="3"/>
  <c r="C2915" i="3"/>
  <c r="A2916" i="3"/>
  <c r="C2916" i="3"/>
  <c r="A2917" i="3"/>
  <c r="C2917" i="3"/>
  <c r="A2918" i="3"/>
  <c r="C2918" i="3"/>
  <c r="A2919" i="3"/>
  <c r="C2919" i="3"/>
  <c r="A2920" i="3"/>
  <c r="C2920" i="3"/>
  <c r="A2921" i="3"/>
  <c r="C2921" i="3"/>
  <c r="A2922" i="3"/>
  <c r="C2922" i="3"/>
  <c r="A2923" i="3"/>
  <c r="C2923" i="3"/>
  <c r="A2924" i="3"/>
  <c r="C2924" i="3"/>
  <c r="A2925" i="3"/>
  <c r="C2925" i="3"/>
  <c r="A2926" i="3"/>
  <c r="C2926" i="3"/>
  <c r="A2927" i="3"/>
  <c r="C2927" i="3"/>
  <c r="A2928" i="3"/>
  <c r="C2928" i="3"/>
  <c r="A2929" i="3"/>
  <c r="C2929" i="3"/>
  <c r="A2930" i="3"/>
  <c r="C2930" i="3"/>
  <c r="A2931" i="3"/>
  <c r="C2931" i="3"/>
  <c r="A2932" i="3"/>
  <c r="C2932" i="3"/>
  <c r="A2933" i="3"/>
  <c r="C2933" i="3"/>
  <c r="A2934" i="3"/>
  <c r="C2934" i="3"/>
  <c r="A2935" i="3"/>
  <c r="C2935" i="3"/>
  <c r="A2936" i="3"/>
  <c r="C2936" i="3"/>
  <c r="A2937" i="3"/>
  <c r="C2937" i="3"/>
  <c r="A2938" i="3"/>
  <c r="C2938" i="3"/>
  <c r="A2939" i="3"/>
  <c r="C2939" i="3"/>
  <c r="A2940" i="3"/>
  <c r="C2940" i="3"/>
  <c r="A2941" i="3"/>
  <c r="C2941" i="3"/>
  <c r="A2942" i="3"/>
  <c r="C2942" i="3"/>
  <c r="A2943" i="3"/>
  <c r="C2943" i="3"/>
  <c r="A2944" i="3"/>
  <c r="C2944" i="3"/>
  <c r="A2945" i="3"/>
  <c r="C2945" i="3"/>
  <c r="A2946" i="3"/>
  <c r="C2946" i="3"/>
  <c r="A2947" i="3"/>
  <c r="C2947" i="3"/>
  <c r="A2948" i="3"/>
  <c r="C2948" i="3"/>
  <c r="A2949" i="3"/>
  <c r="C2949" i="3"/>
  <c r="A2950" i="3"/>
  <c r="C2950" i="3"/>
  <c r="A2951" i="3"/>
  <c r="C2951" i="3"/>
  <c r="A2952" i="3"/>
  <c r="C2952" i="3"/>
  <c r="A2953" i="3"/>
  <c r="C2953" i="3"/>
  <c r="A2954" i="3"/>
  <c r="C2954" i="3"/>
  <c r="A2955" i="3"/>
  <c r="C2955" i="3"/>
  <c r="A2956" i="3"/>
  <c r="C2956" i="3"/>
  <c r="A2957" i="3"/>
  <c r="C2957" i="3"/>
  <c r="A2958" i="3"/>
  <c r="C2958" i="3"/>
  <c r="A2959" i="3"/>
  <c r="C2959" i="3"/>
  <c r="A2960" i="3"/>
  <c r="C2960" i="3"/>
  <c r="A2961" i="3"/>
  <c r="C2961" i="3"/>
  <c r="A2962" i="3"/>
  <c r="C2962" i="3"/>
  <c r="A2963" i="3"/>
  <c r="C2963" i="3"/>
  <c r="A2964" i="3"/>
  <c r="C2964" i="3"/>
  <c r="A2965" i="3"/>
  <c r="C2965" i="3"/>
  <c r="A2966" i="3"/>
  <c r="C2966" i="3"/>
  <c r="A2967" i="3"/>
  <c r="C2967" i="3"/>
  <c r="A2968" i="3"/>
  <c r="C2968" i="3"/>
  <c r="A2969" i="3"/>
  <c r="C2969" i="3"/>
  <c r="A2970" i="3"/>
  <c r="C2970" i="3"/>
  <c r="A2971" i="3"/>
  <c r="C2971" i="3"/>
  <c r="A2972" i="3"/>
  <c r="C2972" i="3"/>
  <c r="A2973" i="3"/>
  <c r="C2973" i="3"/>
  <c r="A2974" i="3"/>
  <c r="C2974" i="3"/>
  <c r="A2975" i="3"/>
  <c r="C2975" i="3"/>
  <c r="A2976" i="3"/>
  <c r="C2976" i="3"/>
  <c r="A2977" i="3"/>
  <c r="C2977" i="3"/>
  <c r="A2978" i="3"/>
  <c r="C2978" i="3"/>
  <c r="A2979" i="3"/>
  <c r="C2979" i="3"/>
  <c r="A2980" i="3"/>
  <c r="C2980" i="3"/>
  <c r="A2981" i="3"/>
  <c r="C2981" i="3"/>
  <c r="A2982" i="3"/>
  <c r="C2982" i="3"/>
  <c r="A2983" i="3"/>
  <c r="C2983" i="3"/>
  <c r="A2984" i="3"/>
  <c r="C2984" i="3"/>
  <c r="A2985" i="3"/>
  <c r="C2985" i="3"/>
  <c r="A2986" i="3"/>
  <c r="C2986" i="3"/>
  <c r="A2987" i="3"/>
  <c r="C2987" i="3"/>
  <c r="A2988" i="3"/>
  <c r="C2988" i="3"/>
  <c r="A2989" i="3"/>
  <c r="C2989" i="3"/>
  <c r="A2990" i="3"/>
  <c r="C2990" i="3"/>
  <c r="A2991" i="3"/>
  <c r="C2991" i="3"/>
  <c r="A2992" i="3"/>
  <c r="C2992" i="3"/>
  <c r="A2993" i="3"/>
  <c r="C2993" i="3"/>
  <c r="A2994" i="3"/>
  <c r="C2994" i="3"/>
  <c r="A2995" i="3"/>
  <c r="C2995" i="3"/>
  <c r="A2996" i="3"/>
  <c r="C2996" i="3"/>
  <c r="A2997" i="3"/>
  <c r="C2997" i="3"/>
  <c r="A2998" i="3"/>
  <c r="C2998" i="3"/>
  <c r="A2999" i="3"/>
  <c r="C2999" i="3"/>
  <c r="A3000" i="3"/>
  <c r="C3000" i="3"/>
  <c r="A3001" i="3"/>
  <c r="C3001" i="3"/>
  <c r="A3002" i="3"/>
  <c r="C3002" i="3"/>
  <c r="A3003" i="3"/>
  <c r="C3003" i="3"/>
  <c r="A3004" i="3"/>
  <c r="C3004" i="3"/>
  <c r="A3005" i="3"/>
  <c r="C3005" i="3"/>
  <c r="A3006" i="3"/>
  <c r="C3006" i="3"/>
  <c r="A3007" i="3"/>
  <c r="C3007" i="3"/>
  <c r="A3008" i="3"/>
  <c r="C3008" i="3"/>
  <c r="A3009" i="3"/>
  <c r="C3009" i="3"/>
  <c r="A3010" i="3"/>
  <c r="C3010" i="3"/>
  <c r="A3011" i="3"/>
  <c r="C3011" i="3"/>
  <c r="A3012" i="3"/>
  <c r="C3012" i="3"/>
  <c r="A3013" i="3"/>
  <c r="C3013" i="3"/>
  <c r="A3014" i="3"/>
  <c r="C3014" i="3"/>
  <c r="A3015" i="3"/>
  <c r="C3015" i="3"/>
  <c r="A3016" i="3"/>
  <c r="C3016" i="3"/>
  <c r="A3017" i="3"/>
  <c r="C3017" i="3"/>
  <c r="A3018" i="3"/>
  <c r="C3018" i="3"/>
  <c r="A3019" i="3"/>
  <c r="C3019" i="3"/>
  <c r="A3020" i="3"/>
  <c r="C3020" i="3"/>
  <c r="A3021" i="3"/>
  <c r="C3021" i="3"/>
  <c r="A3022" i="3"/>
  <c r="C3022" i="3"/>
  <c r="A3023" i="3"/>
  <c r="C3023" i="3"/>
  <c r="A3024" i="3"/>
  <c r="C3024" i="3"/>
  <c r="A3025" i="3"/>
  <c r="C3025" i="3"/>
  <c r="A3026" i="3"/>
  <c r="C3026" i="3"/>
  <c r="A3027" i="3"/>
  <c r="C3027" i="3"/>
  <c r="A3028" i="3"/>
  <c r="C3028" i="3"/>
  <c r="A3029" i="3"/>
  <c r="C3029" i="3"/>
  <c r="A3030" i="3"/>
  <c r="C3030" i="3"/>
  <c r="A3031" i="3"/>
  <c r="C3031" i="3"/>
  <c r="A3032" i="3"/>
  <c r="C3032" i="3"/>
  <c r="A3033" i="3"/>
  <c r="C3033" i="3"/>
  <c r="A3034" i="3"/>
  <c r="C3034" i="3"/>
  <c r="A3035" i="3"/>
  <c r="C3035" i="3"/>
  <c r="A3036" i="3"/>
  <c r="C3036" i="3"/>
  <c r="A3037" i="3"/>
  <c r="C3037" i="3"/>
  <c r="A3038" i="3"/>
  <c r="C3038" i="3"/>
  <c r="A3039" i="3"/>
  <c r="C3039" i="3"/>
  <c r="A3040" i="3"/>
  <c r="C3040" i="3"/>
  <c r="A3041" i="3"/>
  <c r="C3041" i="3"/>
  <c r="A3042" i="3"/>
  <c r="C3042" i="3"/>
  <c r="A3043" i="3"/>
  <c r="C3043" i="3"/>
  <c r="A3044" i="3"/>
  <c r="C3044" i="3"/>
  <c r="A3045" i="3"/>
  <c r="C3045" i="3"/>
  <c r="A3046" i="3"/>
  <c r="C3046" i="3"/>
  <c r="A3047" i="3"/>
  <c r="C3047" i="3"/>
  <c r="A3048" i="3"/>
  <c r="C3048" i="3"/>
  <c r="A3049" i="3"/>
  <c r="C3049" i="3"/>
  <c r="A3050" i="3"/>
  <c r="C3050" i="3"/>
  <c r="A3051" i="3"/>
  <c r="C3051" i="3"/>
  <c r="A3052" i="3"/>
  <c r="C3052" i="3"/>
  <c r="A3053" i="3"/>
  <c r="C3053" i="3"/>
  <c r="A3054" i="3"/>
  <c r="C3054" i="3"/>
  <c r="A3055" i="3"/>
  <c r="C3055" i="3"/>
  <c r="A3056" i="3"/>
  <c r="C3056" i="3"/>
  <c r="A3057" i="3"/>
  <c r="C3057" i="3"/>
  <c r="A3058" i="3"/>
  <c r="C3058" i="3"/>
  <c r="A3059" i="3"/>
  <c r="C3059" i="3"/>
  <c r="A3060" i="3"/>
  <c r="C3060" i="3"/>
  <c r="A3061" i="3"/>
  <c r="C3061" i="3"/>
  <c r="A3062" i="3"/>
  <c r="C3062" i="3"/>
  <c r="A3063" i="3"/>
  <c r="C3063" i="3"/>
  <c r="A3064" i="3"/>
  <c r="C3064" i="3"/>
  <c r="A3065" i="3"/>
  <c r="C3065" i="3"/>
  <c r="A3066" i="3"/>
  <c r="C3066" i="3"/>
  <c r="A3067" i="3"/>
  <c r="C3067" i="3"/>
  <c r="A3068" i="3"/>
  <c r="C3068" i="3"/>
  <c r="A3069" i="3"/>
  <c r="C3069" i="3"/>
  <c r="A3070" i="3"/>
  <c r="C3070" i="3"/>
  <c r="A3071" i="3"/>
  <c r="C3071" i="3"/>
  <c r="A3072" i="3"/>
  <c r="C3072" i="3"/>
  <c r="A3073" i="3"/>
  <c r="C3073" i="3"/>
  <c r="A3074" i="3"/>
  <c r="C3074" i="3"/>
  <c r="A3075" i="3"/>
  <c r="C3075" i="3"/>
  <c r="A3076" i="3"/>
  <c r="C3076" i="3"/>
  <c r="A3077" i="3"/>
  <c r="C3077" i="3"/>
  <c r="A3078" i="3"/>
  <c r="C3078" i="3"/>
  <c r="A3079" i="3"/>
  <c r="C3079" i="3"/>
  <c r="A3080" i="3"/>
  <c r="C3080" i="3"/>
  <c r="A3081" i="3"/>
  <c r="C3081" i="3"/>
  <c r="A3082" i="3"/>
  <c r="C3082" i="3"/>
  <c r="A3083" i="3"/>
  <c r="C3083" i="3"/>
  <c r="A3084" i="3"/>
  <c r="C3084" i="3"/>
  <c r="A3085" i="3"/>
  <c r="C3085" i="3"/>
  <c r="A3086" i="3"/>
  <c r="C3086" i="3"/>
  <c r="A3087" i="3"/>
  <c r="C3087" i="3"/>
  <c r="A3088" i="3"/>
  <c r="C3088" i="3"/>
  <c r="A3089" i="3"/>
  <c r="C3089" i="3"/>
  <c r="A3090" i="3"/>
  <c r="C3090" i="3"/>
  <c r="A3091" i="3"/>
  <c r="C3091" i="3"/>
  <c r="A3092" i="3"/>
  <c r="C3092" i="3"/>
  <c r="A3093" i="3"/>
  <c r="C3093" i="3"/>
  <c r="A3094" i="3"/>
  <c r="C3094" i="3"/>
  <c r="A3095" i="3"/>
  <c r="C3095" i="3"/>
  <c r="A3096" i="3"/>
  <c r="C3096" i="3"/>
  <c r="A3097" i="3"/>
  <c r="C3097" i="3"/>
  <c r="A3098" i="3"/>
  <c r="C3098" i="3"/>
  <c r="A3099" i="3"/>
  <c r="C3099" i="3"/>
  <c r="A3100" i="3"/>
  <c r="C3100" i="3"/>
  <c r="A3101" i="3"/>
  <c r="C3101" i="3"/>
  <c r="A3102" i="3"/>
  <c r="C3102" i="3"/>
  <c r="A3103" i="3"/>
  <c r="C3103" i="3"/>
  <c r="A3104" i="3"/>
  <c r="C3104" i="3"/>
  <c r="A3105" i="3"/>
  <c r="C3105" i="3"/>
  <c r="A3106" i="3"/>
  <c r="C3106" i="3"/>
  <c r="A3107" i="3"/>
  <c r="C3107" i="3"/>
  <c r="A3108" i="3"/>
  <c r="C3108" i="3"/>
  <c r="A3109" i="3"/>
  <c r="C3109" i="3"/>
  <c r="A3110" i="3"/>
  <c r="C3110" i="3"/>
  <c r="A3111" i="3"/>
  <c r="C3111" i="3"/>
  <c r="A3112" i="3"/>
  <c r="C3112" i="3"/>
  <c r="A3113" i="3"/>
  <c r="C3113" i="3"/>
  <c r="A3114" i="3"/>
  <c r="C3114" i="3"/>
  <c r="A3115" i="3"/>
  <c r="C3115" i="3"/>
  <c r="A3116" i="3"/>
  <c r="C3116" i="3"/>
  <c r="A3117" i="3"/>
  <c r="C3117" i="3"/>
  <c r="A3118" i="3"/>
  <c r="C3118" i="3"/>
  <c r="A3119" i="3"/>
  <c r="C3119" i="3"/>
  <c r="A3120" i="3"/>
  <c r="C3120" i="3"/>
  <c r="A3121" i="3"/>
  <c r="C3121" i="3"/>
  <c r="A3122" i="3"/>
  <c r="C3122" i="3"/>
  <c r="A3123" i="3"/>
  <c r="C3123" i="3"/>
  <c r="A3124" i="3"/>
  <c r="C3124" i="3"/>
  <c r="A3125" i="3"/>
  <c r="C3125" i="3"/>
  <c r="A3126" i="3"/>
  <c r="C3126" i="3"/>
  <c r="A3127" i="3"/>
  <c r="C3127" i="3"/>
  <c r="A3128" i="3"/>
  <c r="C3128" i="3"/>
  <c r="A3129" i="3"/>
  <c r="C3129" i="3"/>
  <c r="A3130" i="3"/>
  <c r="C3130" i="3"/>
  <c r="A3131" i="3"/>
  <c r="C3131" i="3"/>
  <c r="A3132" i="3"/>
  <c r="C3132" i="3"/>
  <c r="A3133" i="3"/>
  <c r="C3133" i="3"/>
  <c r="A3134" i="3"/>
  <c r="C3134" i="3"/>
  <c r="A3135" i="3"/>
  <c r="C3135" i="3"/>
  <c r="A3136" i="3"/>
  <c r="C3136" i="3"/>
  <c r="A3137" i="3"/>
  <c r="C3137" i="3"/>
  <c r="A3138" i="3"/>
  <c r="C3138" i="3"/>
  <c r="A3139" i="3"/>
  <c r="C3139" i="3"/>
  <c r="A3140" i="3"/>
  <c r="C3140" i="3"/>
  <c r="A3141" i="3"/>
  <c r="C3141" i="3"/>
  <c r="A3142" i="3"/>
  <c r="C3142" i="3"/>
  <c r="A3143" i="3"/>
  <c r="C3143" i="3"/>
  <c r="A3144" i="3"/>
  <c r="C3144" i="3"/>
  <c r="A3145" i="3"/>
  <c r="C3145" i="3"/>
  <c r="A3146" i="3"/>
  <c r="C3146" i="3"/>
  <c r="A3147" i="3"/>
  <c r="C3147" i="3"/>
  <c r="A3148" i="3"/>
  <c r="C3148" i="3"/>
  <c r="A3149" i="3"/>
  <c r="C3149" i="3"/>
  <c r="A3150" i="3"/>
  <c r="C3150" i="3"/>
  <c r="A3151" i="3"/>
  <c r="C3151" i="3"/>
  <c r="A3152" i="3"/>
  <c r="C3152" i="3"/>
  <c r="A3153" i="3"/>
  <c r="C3153" i="3"/>
  <c r="A3154" i="3"/>
  <c r="C3154" i="3"/>
  <c r="A3155" i="3"/>
  <c r="C3155" i="3"/>
  <c r="A3156" i="3"/>
  <c r="C3156" i="3"/>
  <c r="A3157" i="3"/>
  <c r="C3157" i="3"/>
  <c r="A3158" i="3"/>
  <c r="C3158" i="3"/>
  <c r="A3159" i="3"/>
  <c r="C3159" i="3"/>
  <c r="A3160" i="3"/>
  <c r="C3160" i="3"/>
  <c r="A3161" i="3"/>
  <c r="C3161" i="3"/>
  <c r="A3162" i="3"/>
  <c r="C3162" i="3"/>
  <c r="A3163" i="3"/>
  <c r="C3163" i="3"/>
  <c r="A3164" i="3"/>
  <c r="C3164" i="3"/>
  <c r="A3165" i="3"/>
  <c r="C3165" i="3"/>
  <c r="A3166" i="3"/>
  <c r="C3166" i="3"/>
  <c r="A3167" i="3"/>
  <c r="C3167" i="3"/>
  <c r="A3168" i="3"/>
  <c r="C3168" i="3"/>
  <c r="A3169" i="3"/>
  <c r="C3169" i="3"/>
  <c r="A3170" i="3"/>
  <c r="C3170" i="3"/>
  <c r="A3171" i="3"/>
  <c r="C3171" i="3"/>
  <c r="A3172" i="3"/>
  <c r="C3172" i="3"/>
  <c r="A3173" i="3"/>
  <c r="C3173" i="3"/>
  <c r="A3174" i="3"/>
  <c r="C3174" i="3"/>
  <c r="A3175" i="3"/>
  <c r="C3175" i="3"/>
  <c r="A3176" i="3"/>
  <c r="C3176" i="3"/>
  <c r="A3177" i="3"/>
  <c r="C3177" i="3"/>
  <c r="A3178" i="3"/>
  <c r="C3178" i="3"/>
  <c r="A3179" i="3"/>
  <c r="C3179" i="3"/>
  <c r="A3180" i="3"/>
  <c r="C3180" i="3"/>
  <c r="A3181" i="3"/>
  <c r="C3181" i="3"/>
  <c r="A3182" i="3"/>
  <c r="C3182" i="3"/>
  <c r="A3183" i="3"/>
  <c r="C3183" i="3"/>
  <c r="A3184" i="3"/>
  <c r="C3184" i="3"/>
  <c r="A3185" i="3"/>
  <c r="C3185" i="3"/>
  <c r="A3186" i="3"/>
  <c r="C3186" i="3"/>
  <c r="A3187" i="3"/>
  <c r="C3187" i="3"/>
  <c r="A3188" i="3"/>
  <c r="C3188" i="3"/>
  <c r="A3189" i="3"/>
  <c r="C3189" i="3"/>
  <c r="A3190" i="3"/>
  <c r="C3190" i="3"/>
  <c r="A3191" i="3"/>
  <c r="C3191" i="3"/>
  <c r="A3192" i="3"/>
  <c r="C3192" i="3"/>
  <c r="A3193" i="3"/>
  <c r="C3193" i="3"/>
  <c r="A3194" i="3"/>
  <c r="C3194" i="3"/>
  <c r="A3195" i="3"/>
  <c r="C3195" i="3"/>
  <c r="A3196" i="3"/>
  <c r="C3196" i="3"/>
  <c r="A3197" i="3"/>
  <c r="C3197" i="3"/>
  <c r="A3198" i="3"/>
  <c r="C3198" i="3"/>
  <c r="A3199" i="3"/>
  <c r="C3199" i="3"/>
  <c r="A3200" i="3"/>
  <c r="C3200" i="3"/>
  <c r="A3201" i="3"/>
  <c r="C3201" i="3"/>
  <c r="A3202" i="3"/>
  <c r="C3202" i="3"/>
  <c r="A3203" i="3"/>
  <c r="C3203" i="3"/>
  <c r="A3204" i="3"/>
  <c r="C3204" i="3"/>
  <c r="A3205" i="3"/>
  <c r="C3205" i="3"/>
  <c r="A3206" i="3"/>
  <c r="C3206" i="3"/>
  <c r="A3207" i="3"/>
  <c r="C3207" i="3"/>
  <c r="A3208" i="3"/>
  <c r="C3208" i="3"/>
  <c r="A3209" i="3"/>
  <c r="C3209" i="3"/>
  <c r="A3210" i="3"/>
  <c r="C3210" i="3"/>
  <c r="A3211" i="3"/>
  <c r="C3211" i="3"/>
  <c r="A3212" i="3"/>
  <c r="C3212" i="3"/>
  <c r="A3213" i="3"/>
  <c r="C3213" i="3"/>
  <c r="A3214" i="3"/>
  <c r="C3214" i="3"/>
  <c r="A3215" i="3"/>
  <c r="C3215" i="3"/>
  <c r="A3216" i="3"/>
  <c r="C3216" i="3"/>
  <c r="A3217" i="3"/>
  <c r="C3217" i="3"/>
  <c r="A3218" i="3"/>
  <c r="C3218" i="3"/>
  <c r="A3219" i="3"/>
  <c r="C3219" i="3"/>
  <c r="A3220" i="3"/>
  <c r="C3220" i="3"/>
  <c r="A3221" i="3"/>
  <c r="C3221" i="3"/>
  <c r="A3222" i="3"/>
  <c r="C3222" i="3"/>
  <c r="A3223" i="3"/>
  <c r="C3223" i="3"/>
  <c r="A3224" i="3"/>
  <c r="C3224" i="3"/>
  <c r="A3225" i="3"/>
  <c r="C3225" i="3"/>
  <c r="A3226" i="3"/>
  <c r="C3226" i="3"/>
  <c r="A3227" i="3"/>
  <c r="C3227" i="3"/>
  <c r="A3228" i="3"/>
  <c r="C3228" i="3"/>
  <c r="A3229" i="3"/>
  <c r="C3229" i="3"/>
  <c r="A3230" i="3"/>
  <c r="C3230" i="3"/>
  <c r="A3231" i="3"/>
  <c r="C3231" i="3"/>
  <c r="A3232" i="3"/>
  <c r="C3232" i="3"/>
  <c r="A3233" i="3"/>
  <c r="C3233" i="3"/>
  <c r="A3234" i="3"/>
  <c r="C3234" i="3"/>
  <c r="A3235" i="3"/>
  <c r="C3235" i="3"/>
  <c r="A3236" i="3"/>
  <c r="C3236" i="3"/>
  <c r="A3237" i="3"/>
  <c r="C3237" i="3"/>
  <c r="A3238" i="3"/>
  <c r="C3238" i="3"/>
  <c r="A3239" i="3"/>
  <c r="C3239" i="3"/>
  <c r="A3240" i="3"/>
  <c r="C3240" i="3"/>
  <c r="A3241" i="3"/>
  <c r="C3241" i="3"/>
  <c r="A3242" i="3"/>
  <c r="C3242" i="3"/>
  <c r="A3243" i="3"/>
  <c r="C3243" i="3"/>
  <c r="A3244" i="3"/>
  <c r="C3244" i="3"/>
  <c r="A3245" i="3"/>
  <c r="C3245" i="3"/>
  <c r="A3246" i="3"/>
  <c r="C3246" i="3"/>
  <c r="A3247" i="3"/>
  <c r="C3247" i="3"/>
  <c r="A3248" i="3"/>
  <c r="C3248" i="3"/>
  <c r="A3249" i="3"/>
  <c r="C3249" i="3"/>
  <c r="A3250" i="3"/>
  <c r="C3250" i="3"/>
  <c r="A3251" i="3"/>
  <c r="C3251" i="3"/>
  <c r="A3252" i="3"/>
  <c r="C3252" i="3"/>
  <c r="A3253" i="3"/>
  <c r="C3253" i="3"/>
  <c r="A3254" i="3"/>
  <c r="C3254" i="3"/>
  <c r="A3255" i="3"/>
  <c r="C3255" i="3"/>
  <c r="A3256" i="3"/>
  <c r="C3256" i="3"/>
  <c r="A3257" i="3"/>
  <c r="C3257" i="3"/>
  <c r="A3258" i="3"/>
  <c r="C3258" i="3"/>
  <c r="A3259" i="3"/>
  <c r="C3259" i="3"/>
  <c r="A3260" i="3"/>
  <c r="C3260" i="3"/>
  <c r="A3261" i="3"/>
  <c r="C3261" i="3"/>
  <c r="A3262" i="3"/>
  <c r="C3262" i="3"/>
  <c r="A3263" i="3"/>
  <c r="C3263" i="3"/>
  <c r="A3264" i="3"/>
  <c r="C3264" i="3"/>
  <c r="A3265" i="3"/>
  <c r="C3265" i="3"/>
  <c r="A3266" i="3"/>
  <c r="C3266" i="3"/>
  <c r="A3267" i="3"/>
  <c r="C3267" i="3"/>
  <c r="A3268" i="3"/>
  <c r="C3268" i="3"/>
  <c r="A3269" i="3"/>
  <c r="C3269" i="3"/>
  <c r="A3270" i="3"/>
  <c r="C3270" i="3"/>
  <c r="A3271" i="3"/>
  <c r="C3271" i="3"/>
  <c r="A3272" i="3"/>
  <c r="C3272" i="3"/>
  <c r="A3273" i="3"/>
  <c r="C3273" i="3"/>
  <c r="A3274" i="3"/>
  <c r="C3274" i="3"/>
  <c r="A3275" i="3"/>
  <c r="C3275" i="3"/>
  <c r="A3276" i="3"/>
  <c r="C3276" i="3"/>
  <c r="A3277" i="3"/>
  <c r="C3277" i="3"/>
  <c r="A3278" i="3"/>
  <c r="C3278" i="3"/>
  <c r="A3279" i="3"/>
  <c r="C3279" i="3"/>
  <c r="A3280" i="3"/>
  <c r="C3280" i="3"/>
  <c r="A3281" i="3"/>
  <c r="C3281" i="3"/>
  <c r="A3282" i="3"/>
  <c r="C3282" i="3"/>
  <c r="A3283" i="3"/>
  <c r="C3283" i="3"/>
  <c r="A3284" i="3"/>
  <c r="C3284" i="3"/>
  <c r="A3285" i="3"/>
  <c r="C3285" i="3"/>
  <c r="A3286" i="3"/>
  <c r="C3286" i="3"/>
  <c r="A3287" i="3"/>
  <c r="C3287" i="3"/>
  <c r="A3288" i="3"/>
  <c r="C3288" i="3"/>
  <c r="A3289" i="3"/>
  <c r="C3289" i="3"/>
  <c r="A3290" i="3"/>
  <c r="C3290" i="3"/>
  <c r="A3291" i="3"/>
  <c r="C3291" i="3"/>
  <c r="A3292" i="3"/>
  <c r="C3292" i="3"/>
  <c r="A3293" i="3"/>
  <c r="C3293" i="3"/>
  <c r="A3294" i="3"/>
  <c r="C3294" i="3"/>
  <c r="A3295" i="3"/>
  <c r="C3295" i="3"/>
  <c r="A3296" i="3"/>
  <c r="C3296" i="3"/>
  <c r="A3297" i="3"/>
  <c r="C3297" i="3"/>
  <c r="A3298" i="3"/>
  <c r="C3298" i="3"/>
  <c r="A3299" i="3"/>
  <c r="C3299" i="3"/>
  <c r="A3300" i="3"/>
  <c r="C3300" i="3"/>
  <c r="A3301" i="3"/>
  <c r="C3301" i="3"/>
  <c r="A3302" i="3"/>
  <c r="C3302" i="3"/>
  <c r="A3303" i="3"/>
  <c r="C3303" i="3"/>
  <c r="A3304" i="3"/>
  <c r="C3304" i="3"/>
  <c r="A3305" i="3"/>
  <c r="C3305" i="3"/>
  <c r="A3306" i="3"/>
  <c r="C3306" i="3"/>
  <c r="A3307" i="3"/>
  <c r="C3307" i="3"/>
  <c r="A3308" i="3"/>
  <c r="C3308" i="3"/>
  <c r="A3309" i="3"/>
  <c r="C3309" i="3"/>
  <c r="A3310" i="3"/>
  <c r="C3310" i="3"/>
  <c r="A3311" i="3"/>
  <c r="C3311" i="3"/>
  <c r="A3312" i="3"/>
  <c r="C3312" i="3"/>
  <c r="A3313" i="3"/>
  <c r="C3313" i="3"/>
  <c r="A3314" i="3"/>
  <c r="C3314" i="3"/>
  <c r="A3315" i="3"/>
  <c r="C3315" i="3"/>
  <c r="A3316" i="3"/>
  <c r="C3316" i="3"/>
  <c r="A3317" i="3"/>
  <c r="C3317" i="3"/>
  <c r="A3318" i="3"/>
  <c r="C3318" i="3"/>
  <c r="A3319" i="3"/>
  <c r="C3319" i="3"/>
  <c r="A3320" i="3"/>
  <c r="C3320" i="3"/>
  <c r="A3321" i="3"/>
  <c r="C3321" i="3"/>
  <c r="A3322" i="3"/>
  <c r="C3322" i="3"/>
  <c r="A3323" i="3"/>
  <c r="C3323" i="3"/>
  <c r="A3324" i="3"/>
  <c r="C3324" i="3"/>
  <c r="A3325" i="3"/>
  <c r="C3325" i="3"/>
  <c r="A3326" i="3"/>
  <c r="C3326" i="3"/>
  <c r="A3327" i="3"/>
  <c r="C3327" i="3"/>
  <c r="A3328" i="3"/>
  <c r="C3328" i="3"/>
  <c r="A3329" i="3"/>
  <c r="C3329" i="3"/>
  <c r="A3330" i="3"/>
  <c r="C3330" i="3"/>
  <c r="A3331" i="3"/>
  <c r="C3331" i="3"/>
  <c r="A3332" i="3"/>
  <c r="C3332" i="3"/>
  <c r="A3333" i="3"/>
  <c r="C3333" i="3"/>
  <c r="A3334" i="3"/>
  <c r="C3334" i="3"/>
  <c r="A3335" i="3"/>
  <c r="C3335" i="3"/>
  <c r="A3336" i="3"/>
  <c r="C3336" i="3"/>
  <c r="A3337" i="3"/>
  <c r="C3337" i="3"/>
  <c r="A3338" i="3"/>
  <c r="C3338" i="3"/>
  <c r="A3339" i="3"/>
  <c r="C3339" i="3"/>
  <c r="A3340" i="3"/>
  <c r="C3340" i="3"/>
  <c r="A3341" i="3"/>
  <c r="C3341" i="3"/>
  <c r="A3342" i="3"/>
  <c r="C3342" i="3"/>
  <c r="A3343" i="3"/>
  <c r="C3343" i="3"/>
  <c r="A3344" i="3"/>
  <c r="C3344" i="3"/>
  <c r="A3345" i="3"/>
  <c r="C3345" i="3"/>
  <c r="A3346" i="3"/>
  <c r="C3346" i="3"/>
  <c r="A3347" i="3"/>
  <c r="C3347" i="3"/>
  <c r="A3348" i="3"/>
  <c r="C3348" i="3"/>
  <c r="A3349" i="3"/>
  <c r="C3349" i="3"/>
  <c r="A3350" i="3"/>
  <c r="C3350" i="3"/>
  <c r="A3351" i="3"/>
  <c r="C3351" i="3"/>
  <c r="A3352" i="3"/>
  <c r="C3352" i="3"/>
  <c r="A3353" i="3"/>
  <c r="C3353" i="3"/>
  <c r="A3354" i="3"/>
  <c r="C3354" i="3"/>
  <c r="A3355" i="3"/>
  <c r="C3355" i="3"/>
  <c r="A3356" i="3"/>
  <c r="C3356" i="3"/>
  <c r="A3357" i="3"/>
  <c r="C3357" i="3"/>
  <c r="A3358" i="3"/>
  <c r="C3358" i="3"/>
  <c r="A3359" i="3"/>
  <c r="C3359" i="3"/>
  <c r="A3360" i="3"/>
  <c r="C3360" i="3"/>
  <c r="A3361" i="3"/>
  <c r="C3361" i="3"/>
  <c r="A3362" i="3"/>
  <c r="C3362" i="3"/>
  <c r="A3363" i="3"/>
  <c r="C3363" i="3"/>
  <c r="A3364" i="3"/>
  <c r="C3364" i="3"/>
  <c r="A3365" i="3"/>
  <c r="C3365" i="3"/>
  <c r="A3366" i="3"/>
  <c r="C3366" i="3"/>
  <c r="A3367" i="3"/>
  <c r="C3367" i="3"/>
  <c r="A3368" i="3"/>
  <c r="C3368" i="3"/>
  <c r="A3369" i="3"/>
  <c r="C3369" i="3"/>
  <c r="A3370" i="3"/>
  <c r="C3370" i="3"/>
  <c r="A3371" i="3"/>
  <c r="C3371" i="3"/>
  <c r="A3372" i="3"/>
  <c r="C3372" i="3"/>
  <c r="A3373" i="3"/>
  <c r="C3373" i="3"/>
  <c r="A3374" i="3"/>
  <c r="C3374" i="3"/>
  <c r="A3375" i="3"/>
  <c r="C3375" i="3"/>
  <c r="A3376" i="3"/>
  <c r="C3376" i="3"/>
  <c r="A3377" i="3"/>
  <c r="C3377" i="3"/>
  <c r="A3378" i="3"/>
  <c r="C3378" i="3"/>
  <c r="A3379" i="3"/>
  <c r="C3379" i="3"/>
  <c r="A3380" i="3"/>
  <c r="C3380" i="3"/>
  <c r="A3381" i="3"/>
  <c r="C3381" i="3"/>
  <c r="A3382" i="3"/>
  <c r="C3382" i="3"/>
  <c r="A3383" i="3"/>
  <c r="C3383" i="3"/>
  <c r="A3384" i="3"/>
  <c r="C3384" i="3"/>
  <c r="A3385" i="3"/>
  <c r="C3385" i="3"/>
  <c r="A3386" i="3"/>
  <c r="C3386" i="3"/>
  <c r="A3387" i="3"/>
  <c r="C3387" i="3"/>
  <c r="A3388" i="3"/>
  <c r="C3388" i="3"/>
  <c r="A3389" i="3"/>
  <c r="C3389" i="3"/>
  <c r="A3390" i="3"/>
  <c r="C3390" i="3"/>
  <c r="A3391" i="3"/>
  <c r="C3391" i="3"/>
  <c r="A3392" i="3"/>
  <c r="C3392" i="3"/>
  <c r="A3393" i="3"/>
  <c r="C3393" i="3"/>
  <c r="A3394" i="3"/>
  <c r="C3394" i="3"/>
  <c r="A3395" i="3"/>
  <c r="C3395" i="3"/>
  <c r="A3396" i="3"/>
  <c r="C3396" i="3"/>
  <c r="A3397" i="3"/>
  <c r="C3397" i="3"/>
  <c r="A3398" i="3"/>
  <c r="C3398" i="3"/>
  <c r="A3399" i="3"/>
  <c r="C3399" i="3"/>
  <c r="A3400" i="3"/>
  <c r="C3400" i="3"/>
  <c r="A3401" i="3"/>
  <c r="C3401" i="3"/>
  <c r="A3402" i="3"/>
  <c r="C3402" i="3"/>
  <c r="A3403" i="3"/>
  <c r="C3403" i="3"/>
  <c r="A3404" i="3"/>
  <c r="C3404" i="3"/>
  <c r="A3405" i="3"/>
  <c r="C3405" i="3"/>
  <c r="A3406" i="3"/>
  <c r="C3406" i="3"/>
  <c r="A3407" i="3"/>
  <c r="C3407" i="3"/>
  <c r="A3408" i="3"/>
  <c r="C3408" i="3"/>
  <c r="A3409" i="3"/>
  <c r="C3409" i="3"/>
  <c r="A3410" i="3"/>
  <c r="C3410" i="3"/>
  <c r="A3411" i="3"/>
  <c r="C3411" i="3"/>
  <c r="A3412" i="3"/>
  <c r="C3412" i="3"/>
  <c r="A3413" i="3"/>
  <c r="C3413" i="3"/>
  <c r="A3414" i="3"/>
  <c r="C3414" i="3"/>
  <c r="A3415" i="3"/>
  <c r="C3415" i="3"/>
  <c r="A3416" i="3"/>
  <c r="C3416" i="3"/>
  <c r="A3417" i="3"/>
  <c r="C3417" i="3"/>
  <c r="A3418" i="3"/>
  <c r="C3418" i="3"/>
  <c r="A3419" i="3"/>
  <c r="C3419" i="3"/>
  <c r="A3420" i="3"/>
  <c r="C3420" i="3"/>
  <c r="A3421" i="3"/>
  <c r="C3421" i="3"/>
  <c r="A3422" i="3"/>
  <c r="C3422" i="3"/>
  <c r="A3423" i="3"/>
  <c r="C3423" i="3"/>
  <c r="A3424" i="3"/>
  <c r="C3424" i="3"/>
  <c r="A3425" i="3"/>
  <c r="C3425" i="3"/>
  <c r="A3426" i="3"/>
  <c r="C3426" i="3"/>
  <c r="A3427" i="3"/>
  <c r="C3427" i="3"/>
  <c r="A3428" i="3"/>
  <c r="C3428" i="3"/>
  <c r="A3429" i="3"/>
  <c r="C3429" i="3"/>
  <c r="A3430" i="3"/>
  <c r="C3430" i="3"/>
  <c r="A3431" i="3"/>
  <c r="C3431" i="3"/>
  <c r="A3432" i="3"/>
  <c r="C3432" i="3"/>
  <c r="A3433" i="3"/>
  <c r="C3433" i="3"/>
  <c r="A3434" i="3"/>
  <c r="C3434" i="3"/>
  <c r="A3435" i="3"/>
  <c r="C3435" i="3"/>
  <c r="A3436" i="3"/>
  <c r="C3436" i="3"/>
  <c r="A3437" i="3"/>
  <c r="C3437" i="3"/>
  <c r="A3438" i="3"/>
  <c r="C3438" i="3"/>
  <c r="A3439" i="3"/>
  <c r="C3439" i="3"/>
  <c r="A3440" i="3"/>
  <c r="C3440" i="3"/>
  <c r="A3441" i="3"/>
  <c r="C3441" i="3"/>
  <c r="A3442" i="3"/>
  <c r="C3442" i="3"/>
  <c r="A3443" i="3"/>
  <c r="C3443" i="3"/>
  <c r="A3444" i="3"/>
  <c r="C3444" i="3"/>
  <c r="A3445" i="3"/>
  <c r="C3445" i="3"/>
  <c r="A3446" i="3"/>
  <c r="C3446" i="3"/>
  <c r="A3447" i="3"/>
  <c r="C3447" i="3"/>
  <c r="A3448" i="3"/>
  <c r="C3448" i="3"/>
  <c r="A3449" i="3"/>
  <c r="C3449" i="3"/>
  <c r="A3450" i="3"/>
  <c r="C3450" i="3"/>
  <c r="A3451" i="3"/>
  <c r="C3451" i="3"/>
  <c r="A3452" i="3"/>
  <c r="C3452" i="3"/>
  <c r="A3453" i="3"/>
  <c r="C3453" i="3"/>
  <c r="A3454" i="3"/>
  <c r="C3454" i="3"/>
  <c r="A3455" i="3"/>
  <c r="C3455" i="3"/>
  <c r="A3456" i="3"/>
  <c r="C3456" i="3"/>
  <c r="A3457" i="3"/>
  <c r="C3457" i="3"/>
  <c r="A3458" i="3"/>
  <c r="C3458" i="3"/>
  <c r="A3459" i="3"/>
  <c r="C3459" i="3"/>
  <c r="A3460" i="3"/>
  <c r="C3460" i="3"/>
  <c r="A3461" i="3"/>
  <c r="C3461" i="3"/>
  <c r="A3462" i="3"/>
  <c r="C3462" i="3"/>
  <c r="A3463" i="3"/>
  <c r="C3463" i="3"/>
  <c r="A3464" i="3"/>
  <c r="C3464" i="3"/>
  <c r="A3465" i="3"/>
  <c r="C3465" i="3"/>
  <c r="A3466" i="3"/>
  <c r="C3466" i="3"/>
  <c r="A3467" i="3"/>
  <c r="C3467" i="3"/>
  <c r="A3468" i="3"/>
  <c r="C3468" i="3"/>
  <c r="A3469" i="3"/>
  <c r="C3469" i="3"/>
  <c r="A3470" i="3"/>
  <c r="C3470" i="3"/>
  <c r="A3471" i="3"/>
  <c r="C3471" i="3"/>
  <c r="A3472" i="3"/>
  <c r="C3472" i="3"/>
  <c r="A3473" i="3"/>
  <c r="C3473" i="3"/>
  <c r="A3474" i="3"/>
  <c r="C3474" i="3"/>
  <c r="A3475" i="3"/>
  <c r="C3475" i="3"/>
  <c r="A3476" i="3"/>
  <c r="C3476" i="3"/>
  <c r="A3477" i="3"/>
  <c r="C3477" i="3"/>
  <c r="A3478" i="3"/>
  <c r="C3478" i="3"/>
  <c r="A3479" i="3"/>
  <c r="C3479" i="3"/>
  <c r="A3480" i="3"/>
  <c r="C3480" i="3"/>
  <c r="A3481" i="3"/>
  <c r="C3481" i="3"/>
  <c r="A3482" i="3"/>
  <c r="C3482" i="3"/>
  <c r="A3483" i="3"/>
  <c r="C3483" i="3"/>
  <c r="A3484" i="3"/>
  <c r="C3484" i="3"/>
  <c r="A3485" i="3"/>
  <c r="C3485" i="3"/>
  <c r="A3486" i="3"/>
  <c r="C3486" i="3"/>
  <c r="A3487" i="3"/>
  <c r="C3487" i="3"/>
  <c r="A3488" i="3"/>
  <c r="C3488" i="3"/>
  <c r="A3489" i="3"/>
  <c r="C3489" i="3"/>
  <c r="A3490" i="3"/>
  <c r="C3490" i="3"/>
  <c r="A3491" i="3"/>
  <c r="C3491" i="3"/>
  <c r="A3492" i="3"/>
  <c r="C3492" i="3"/>
  <c r="A3493" i="3"/>
  <c r="C3493" i="3"/>
  <c r="A3494" i="3"/>
  <c r="C3494" i="3"/>
  <c r="A3495" i="3"/>
  <c r="C3495" i="3"/>
  <c r="A3496" i="3"/>
  <c r="C3496" i="3"/>
  <c r="A3497" i="3"/>
  <c r="C3497" i="3"/>
  <c r="A3498" i="3"/>
  <c r="C3498" i="3"/>
  <c r="A3499" i="3"/>
  <c r="C3499" i="3"/>
  <c r="A3500" i="3"/>
  <c r="C3500" i="3"/>
  <c r="A3501" i="3"/>
  <c r="C3501" i="3"/>
  <c r="A3502" i="3"/>
  <c r="C3502" i="3"/>
  <c r="A3503" i="3"/>
  <c r="C3503" i="3"/>
  <c r="A3504" i="3"/>
  <c r="C3504" i="3"/>
  <c r="A3505" i="3"/>
  <c r="C3505" i="3"/>
  <c r="A3506" i="3"/>
  <c r="C3506" i="3"/>
  <c r="A3507" i="3"/>
  <c r="C3507" i="3"/>
  <c r="A3508" i="3"/>
  <c r="C3508" i="3"/>
  <c r="A3509" i="3"/>
  <c r="C3509" i="3"/>
  <c r="A3510" i="3"/>
  <c r="C3510" i="3"/>
  <c r="A3511" i="3"/>
  <c r="C3511" i="3"/>
  <c r="A3512" i="3"/>
  <c r="C3512" i="3"/>
  <c r="A3513" i="3"/>
  <c r="C3513" i="3"/>
  <c r="A3514" i="3"/>
  <c r="C3514" i="3"/>
  <c r="A3515" i="3"/>
  <c r="C3515" i="3"/>
  <c r="A3516" i="3"/>
  <c r="C3516" i="3"/>
  <c r="A3517" i="3"/>
  <c r="C3517" i="3"/>
  <c r="A3518" i="3"/>
  <c r="C3518" i="3"/>
  <c r="A3519" i="3"/>
  <c r="C3519" i="3"/>
  <c r="A3520" i="3"/>
  <c r="C3520" i="3"/>
  <c r="A3521" i="3"/>
  <c r="C3521" i="3"/>
  <c r="A3522" i="3"/>
  <c r="C3522" i="3"/>
  <c r="A3523" i="3"/>
  <c r="C3523" i="3"/>
  <c r="A3524" i="3"/>
  <c r="C3524" i="3"/>
  <c r="A3525" i="3"/>
  <c r="C3525" i="3"/>
  <c r="A3526" i="3"/>
  <c r="C3526" i="3"/>
  <c r="A3527" i="3"/>
  <c r="C3527" i="3"/>
  <c r="A3528" i="3"/>
  <c r="C3528" i="3"/>
  <c r="A3529" i="3"/>
  <c r="C3529" i="3"/>
  <c r="A3530" i="3"/>
  <c r="C3530" i="3"/>
  <c r="A3531" i="3"/>
  <c r="C3531" i="3"/>
  <c r="A3532" i="3"/>
  <c r="C3532" i="3"/>
  <c r="A3533" i="3"/>
  <c r="C3533" i="3"/>
  <c r="A3534" i="3"/>
  <c r="C3534" i="3"/>
  <c r="A3535" i="3"/>
  <c r="C3535" i="3"/>
  <c r="A3536" i="3"/>
  <c r="C3536" i="3"/>
  <c r="A3537" i="3"/>
  <c r="C3537" i="3"/>
  <c r="A3538" i="3"/>
  <c r="C3538" i="3"/>
  <c r="A3539" i="3"/>
  <c r="C3539" i="3"/>
  <c r="A3540" i="3"/>
  <c r="C3540" i="3"/>
  <c r="A3541" i="3"/>
  <c r="C3541" i="3"/>
  <c r="A3542" i="3"/>
  <c r="C3542" i="3"/>
  <c r="A3543" i="3"/>
  <c r="C3543" i="3"/>
  <c r="A3544" i="3"/>
  <c r="C3544" i="3"/>
  <c r="A3545" i="3"/>
  <c r="C3545" i="3"/>
  <c r="A3546" i="3"/>
  <c r="C3546" i="3"/>
  <c r="A3547" i="3"/>
  <c r="C3547" i="3"/>
  <c r="A3548" i="3"/>
  <c r="C3548" i="3"/>
  <c r="A3549" i="3"/>
  <c r="C3549" i="3"/>
  <c r="A3550" i="3"/>
  <c r="C3550" i="3"/>
  <c r="A3551" i="3"/>
  <c r="C3551" i="3"/>
  <c r="A3552" i="3"/>
  <c r="C3552" i="3"/>
  <c r="A3553" i="3"/>
  <c r="C3553" i="3"/>
  <c r="A3554" i="3"/>
  <c r="C3554" i="3"/>
  <c r="A3555" i="3"/>
  <c r="C3555" i="3"/>
  <c r="A3556" i="3"/>
  <c r="C3556" i="3"/>
  <c r="A3557" i="3"/>
  <c r="C3557" i="3"/>
  <c r="A3558" i="3"/>
  <c r="C3558" i="3"/>
  <c r="A3559" i="3"/>
  <c r="C3559" i="3"/>
  <c r="A3560" i="3"/>
  <c r="C3560" i="3"/>
  <c r="A3561" i="3"/>
  <c r="C3561" i="3"/>
  <c r="A3562" i="3"/>
  <c r="C3562" i="3"/>
  <c r="A3563" i="3"/>
  <c r="C3563" i="3"/>
  <c r="A3564" i="3"/>
  <c r="C3564" i="3"/>
  <c r="A3565" i="3"/>
  <c r="C3565" i="3"/>
  <c r="A3566" i="3"/>
  <c r="C3566" i="3"/>
  <c r="A3567" i="3"/>
  <c r="C3567" i="3"/>
  <c r="A3568" i="3"/>
  <c r="C3568" i="3"/>
  <c r="A3569" i="3"/>
  <c r="C3569" i="3"/>
  <c r="A3570" i="3"/>
  <c r="C3570" i="3"/>
  <c r="A3571" i="3"/>
  <c r="C3571" i="3"/>
  <c r="A3572" i="3"/>
  <c r="C3572" i="3"/>
  <c r="A3573" i="3"/>
  <c r="C3573" i="3"/>
  <c r="A3574" i="3"/>
  <c r="C3574" i="3"/>
  <c r="A3575" i="3"/>
  <c r="C3575" i="3"/>
  <c r="A3576" i="3"/>
  <c r="C3576" i="3"/>
  <c r="A3577" i="3"/>
  <c r="C3577" i="3"/>
  <c r="A3578" i="3"/>
  <c r="C3578" i="3"/>
  <c r="A3579" i="3"/>
  <c r="C3579" i="3"/>
  <c r="A3580" i="3"/>
  <c r="C3580" i="3"/>
  <c r="A3581" i="3"/>
  <c r="C3581" i="3"/>
  <c r="A3582" i="3"/>
  <c r="C3582" i="3"/>
  <c r="A3583" i="3"/>
  <c r="C3583" i="3"/>
  <c r="A3584" i="3"/>
  <c r="C3584" i="3"/>
  <c r="A3585" i="3"/>
  <c r="C3585" i="3"/>
  <c r="A3586" i="3"/>
  <c r="C3586" i="3"/>
  <c r="A3587" i="3"/>
  <c r="C3587" i="3"/>
  <c r="A3588" i="3"/>
  <c r="C3588" i="3"/>
  <c r="A3589" i="3"/>
  <c r="C3589" i="3"/>
  <c r="A3590" i="3"/>
  <c r="C3590" i="3"/>
  <c r="A3591" i="3"/>
  <c r="C3591" i="3"/>
  <c r="A3592" i="3"/>
  <c r="C3592" i="3"/>
  <c r="A3593" i="3"/>
  <c r="C3593" i="3"/>
  <c r="A3594" i="3"/>
  <c r="C3594" i="3"/>
  <c r="A3595" i="3"/>
  <c r="C3595" i="3"/>
  <c r="A3596" i="3"/>
  <c r="C3596" i="3"/>
  <c r="A3597" i="3"/>
  <c r="C3597" i="3"/>
  <c r="A3598" i="3"/>
  <c r="C3598" i="3"/>
  <c r="A3599" i="3"/>
  <c r="C3599" i="3"/>
  <c r="A3600" i="3"/>
  <c r="C3600" i="3"/>
  <c r="A3601" i="3"/>
  <c r="C3601" i="3"/>
  <c r="A3602" i="3"/>
  <c r="C3602" i="3"/>
  <c r="A3603" i="3"/>
  <c r="C3603" i="3"/>
  <c r="A3604" i="3"/>
  <c r="C3604" i="3"/>
  <c r="A3605" i="3"/>
  <c r="C3605" i="3"/>
  <c r="A3606" i="3"/>
  <c r="C3606" i="3"/>
  <c r="A3607" i="3"/>
  <c r="C3607" i="3"/>
  <c r="A3608" i="3"/>
  <c r="C3608" i="3"/>
  <c r="A3609" i="3"/>
  <c r="C3609" i="3"/>
  <c r="A3610" i="3"/>
  <c r="C3610" i="3"/>
  <c r="A3611" i="3"/>
  <c r="C3611" i="3"/>
  <c r="A3612" i="3"/>
  <c r="C3612" i="3"/>
  <c r="A3613" i="3"/>
  <c r="C3613" i="3"/>
  <c r="A3614" i="3"/>
  <c r="C3614" i="3"/>
  <c r="A3615" i="3"/>
  <c r="C3615" i="3"/>
  <c r="A3616" i="3"/>
  <c r="C3616" i="3"/>
  <c r="A3617" i="3"/>
  <c r="C3617" i="3"/>
  <c r="A3618" i="3"/>
  <c r="C3618" i="3"/>
  <c r="A3619" i="3"/>
  <c r="C3619" i="3"/>
  <c r="A3620" i="3"/>
  <c r="C3620" i="3"/>
  <c r="A3621" i="3"/>
  <c r="C3621" i="3"/>
  <c r="A3622" i="3"/>
  <c r="C3622" i="3"/>
  <c r="A3623" i="3"/>
  <c r="C3623" i="3"/>
  <c r="A3624" i="3"/>
  <c r="C3624" i="3"/>
  <c r="A3625" i="3"/>
  <c r="C3625" i="3"/>
  <c r="A3626" i="3"/>
  <c r="C3626" i="3"/>
  <c r="A3627" i="3"/>
  <c r="C3627" i="3"/>
  <c r="A3628" i="3"/>
  <c r="C3628" i="3"/>
  <c r="A3629" i="3"/>
  <c r="C3629" i="3"/>
  <c r="A3630" i="3"/>
  <c r="C3630" i="3"/>
  <c r="A3631" i="3"/>
  <c r="C3631" i="3"/>
  <c r="A3632" i="3"/>
  <c r="C3632" i="3"/>
  <c r="A3633" i="3"/>
  <c r="C3633" i="3"/>
  <c r="A3634" i="3"/>
  <c r="C3634" i="3"/>
  <c r="A3635" i="3"/>
  <c r="C3635" i="3"/>
  <c r="A3636" i="3"/>
  <c r="C3636" i="3"/>
  <c r="A3637" i="3"/>
  <c r="C3637" i="3"/>
  <c r="A3638" i="3"/>
  <c r="C3638" i="3"/>
  <c r="A3639" i="3"/>
  <c r="C3639" i="3"/>
  <c r="A3640" i="3"/>
  <c r="C3640" i="3"/>
  <c r="A3641" i="3"/>
  <c r="C3641" i="3"/>
  <c r="A3642" i="3"/>
  <c r="C3642" i="3"/>
  <c r="A3643" i="3"/>
  <c r="C3643" i="3"/>
  <c r="A3644" i="3"/>
  <c r="C3644" i="3"/>
  <c r="A3645" i="3"/>
  <c r="C3645" i="3"/>
  <c r="A3646" i="3"/>
  <c r="C3646" i="3"/>
  <c r="A3647" i="3"/>
  <c r="C3647" i="3"/>
  <c r="A3648" i="3"/>
  <c r="C3648" i="3"/>
  <c r="A3649" i="3"/>
  <c r="C3649" i="3"/>
  <c r="A3650" i="3"/>
  <c r="C3650" i="3"/>
  <c r="A3651" i="3"/>
  <c r="C3651" i="3"/>
  <c r="A3652" i="3"/>
  <c r="C3652" i="3"/>
  <c r="A3653" i="3"/>
  <c r="C3653" i="3"/>
  <c r="A3654" i="3"/>
  <c r="C3654" i="3"/>
  <c r="A3655" i="3"/>
  <c r="C3655" i="3"/>
  <c r="A3656" i="3"/>
  <c r="C3656" i="3"/>
  <c r="A3657" i="3"/>
  <c r="C3657" i="3"/>
  <c r="A3658" i="3"/>
  <c r="C3658" i="3"/>
  <c r="A3659" i="3"/>
  <c r="C3659" i="3"/>
  <c r="A3660" i="3"/>
  <c r="C3660" i="3"/>
  <c r="A3661" i="3"/>
  <c r="C3661" i="3"/>
  <c r="A3662" i="3"/>
  <c r="C3662" i="3"/>
  <c r="A3663" i="3"/>
  <c r="C3663" i="3"/>
  <c r="A3664" i="3"/>
  <c r="C3664" i="3"/>
  <c r="A3665" i="3"/>
  <c r="C3665" i="3"/>
  <c r="A3666" i="3"/>
  <c r="C3666" i="3"/>
  <c r="A3667" i="3"/>
  <c r="C3667" i="3"/>
  <c r="A3668" i="3"/>
  <c r="C3668" i="3"/>
  <c r="A3669" i="3"/>
  <c r="C3669" i="3"/>
  <c r="A3670" i="3"/>
  <c r="C3670" i="3"/>
  <c r="A3671" i="3"/>
  <c r="C3671" i="3"/>
  <c r="A3672" i="3"/>
  <c r="C3672" i="3"/>
  <c r="A3673" i="3"/>
  <c r="C3673" i="3"/>
  <c r="A3674" i="3"/>
  <c r="C3674" i="3"/>
  <c r="A3675" i="3"/>
  <c r="C3675" i="3"/>
  <c r="A3676" i="3"/>
  <c r="C3676" i="3"/>
  <c r="A3677" i="3"/>
  <c r="C3677" i="3"/>
  <c r="A3678" i="3"/>
  <c r="C3678" i="3"/>
  <c r="A3679" i="3"/>
  <c r="C3679" i="3"/>
  <c r="A3680" i="3"/>
  <c r="C3680" i="3"/>
  <c r="A3681" i="3"/>
  <c r="C3681" i="3"/>
  <c r="A3682" i="3"/>
  <c r="C3682" i="3"/>
  <c r="A3683" i="3"/>
  <c r="C3683" i="3"/>
  <c r="A3684" i="3"/>
  <c r="C3684" i="3"/>
  <c r="A3685" i="3"/>
  <c r="C3685" i="3"/>
  <c r="A3686" i="3"/>
  <c r="C3686" i="3"/>
  <c r="A3687" i="3"/>
  <c r="C3687" i="3"/>
  <c r="A3688" i="3"/>
  <c r="C3688" i="3"/>
  <c r="A3689" i="3"/>
  <c r="C3689" i="3"/>
  <c r="A3690" i="3"/>
  <c r="C3690" i="3"/>
  <c r="A3691" i="3"/>
  <c r="C3691" i="3"/>
  <c r="A3692" i="3"/>
  <c r="C3692" i="3"/>
  <c r="A3693" i="3"/>
  <c r="C3693" i="3"/>
  <c r="A3694" i="3"/>
  <c r="C3694" i="3"/>
  <c r="A3695" i="3"/>
  <c r="C3695" i="3"/>
  <c r="A3696" i="3"/>
  <c r="C3696" i="3"/>
  <c r="A3697" i="3"/>
  <c r="C3697" i="3"/>
  <c r="A3698" i="3"/>
  <c r="C3698" i="3"/>
  <c r="A3699" i="3"/>
  <c r="C3699" i="3"/>
  <c r="A3700" i="3"/>
  <c r="C3700" i="3"/>
  <c r="A3701" i="3"/>
  <c r="C3701" i="3"/>
  <c r="A3702" i="3"/>
  <c r="C3702" i="3"/>
  <c r="A3703" i="3"/>
  <c r="C3703" i="3"/>
  <c r="A3704" i="3"/>
  <c r="C3704" i="3"/>
  <c r="A3705" i="3"/>
  <c r="C3705" i="3"/>
  <c r="A3706" i="3"/>
  <c r="C3706" i="3"/>
  <c r="A3707" i="3"/>
  <c r="C3707" i="3"/>
  <c r="A3708" i="3"/>
  <c r="C3708" i="3"/>
  <c r="A3709" i="3"/>
  <c r="C3709" i="3"/>
  <c r="A3710" i="3"/>
  <c r="C3710" i="3"/>
  <c r="A3711" i="3"/>
  <c r="C3711" i="3"/>
  <c r="A3712" i="3"/>
  <c r="C3712" i="3"/>
  <c r="A3713" i="3"/>
  <c r="C3713" i="3"/>
  <c r="A3714" i="3"/>
  <c r="C3714" i="3"/>
  <c r="A3715" i="3"/>
  <c r="C3715" i="3"/>
  <c r="A3716" i="3"/>
  <c r="C3716" i="3"/>
  <c r="A3717" i="3"/>
  <c r="C3717" i="3"/>
  <c r="A3718" i="3"/>
  <c r="C3718" i="3"/>
  <c r="A3719" i="3"/>
  <c r="C3719" i="3"/>
  <c r="A3720" i="3"/>
  <c r="C3720" i="3"/>
  <c r="A3721" i="3"/>
  <c r="C3721" i="3"/>
  <c r="A3722" i="3"/>
  <c r="C3722" i="3"/>
  <c r="A3723" i="3"/>
  <c r="C3723" i="3"/>
  <c r="A3724" i="3"/>
  <c r="C3724" i="3"/>
  <c r="A3725" i="3"/>
  <c r="C3725" i="3"/>
  <c r="A3726" i="3"/>
  <c r="C3726" i="3"/>
  <c r="A3727" i="3"/>
  <c r="C3727" i="3"/>
  <c r="A3728" i="3"/>
  <c r="C3728" i="3"/>
  <c r="A3729" i="3"/>
  <c r="C3729" i="3"/>
  <c r="A3730" i="3"/>
  <c r="C3730" i="3"/>
  <c r="A3731" i="3"/>
  <c r="C3731" i="3"/>
  <c r="A3732" i="3"/>
  <c r="C3732" i="3"/>
  <c r="A3733" i="3"/>
  <c r="C3733" i="3"/>
  <c r="A3734" i="3"/>
  <c r="C3734" i="3"/>
  <c r="A3735" i="3"/>
  <c r="C3735" i="3"/>
  <c r="A3736" i="3"/>
  <c r="C3736" i="3"/>
  <c r="A3737" i="3"/>
  <c r="C3737" i="3"/>
  <c r="A3738" i="3"/>
  <c r="C3738" i="3"/>
  <c r="A3739" i="3"/>
  <c r="C3739" i="3"/>
  <c r="A3740" i="3"/>
  <c r="C3740" i="3"/>
  <c r="A3741" i="3"/>
  <c r="C3741" i="3"/>
  <c r="A3742" i="3"/>
  <c r="C3742" i="3"/>
  <c r="A3743" i="3"/>
  <c r="C3743" i="3"/>
  <c r="A3744" i="3"/>
  <c r="C3744" i="3"/>
  <c r="A3745" i="3"/>
  <c r="C3745" i="3"/>
  <c r="A3746" i="3"/>
  <c r="C3746" i="3"/>
  <c r="A3747" i="3"/>
  <c r="C3747" i="3"/>
  <c r="A3748" i="3"/>
  <c r="C3748" i="3"/>
  <c r="A3749" i="3"/>
  <c r="C3749" i="3"/>
  <c r="A3750" i="3"/>
  <c r="C3750" i="3"/>
  <c r="A3751" i="3"/>
  <c r="C3751" i="3"/>
  <c r="A3752" i="3"/>
  <c r="C3752" i="3"/>
  <c r="A3753" i="3"/>
  <c r="C3753" i="3"/>
  <c r="A3754" i="3"/>
  <c r="C3754" i="3"/>
  <c r="A3755" i="3"/>
  <c r="C3755" i="3"/>
  <c r="A3756" i="3"/>
  <c r="C3756" i="3"/>
  <c r="A3757" i="3"/>
  <c r="C3757" i="3"/>
  <c r="A3758" i="3"/>
  <c r="C3758" i="3"/>
  <c r="A3759" i="3"/>
  <c r="C3759" i="3"/>
  <c r="A3760" i="3"/>
  <c r="C3760" i="3"/>
  <c r="A3761" i="3"/>
  <c r="C3761" i="3"/>
  <c r="A3762" i="3"/>
  <c r="C3762" i="3"/>
  <c r="A3763" i="3"/>
  <c r="C3763" i="3"/>
  <c r="A3764" i="3"/>
  <c r="C3764" i="3"/>
  <c r="A3765" i="3"/>
  <c r="C3765" i="3"/>
  <c r="A3766" i="3"/>
  <c r="C3766" i="3"/>
  <c r="A3767" i="3"/>
  <c r="C3767" i="3"/>
  <c r="A3768" i="3"/>
  <c r="C3768" i="3"/>
  <c r="A3769" i="3"/>
  <c r="C3769" i="3"/>
  <c r="A3770" i="3"/>
  <c r="C3770" i="3"/>
  <c r="A3771" i="3"/>
  <c r="C3771" i="3"/>
  <c r="A3772" i="3"/>
  <c r="C3772" i="3"/>
  <c r="A3773" i="3"/>
  <c r="C3773" i="3"/>
  <c r="A3774" i="3"/>
  <c r="C3774" i="3"/>
  <c r="A3775" i="3"/>
  <c r="C3775" i="3"/>
  <c r="A3776" i="3"/>
  <c r="C3776" i="3"/>
  <c r="A3777" i="3"/>
  <c r="C3777" i="3"/>
  <c r="A3778" i="3"/>
  <c r="C3778" i="3"/>
  <c r="A3779" i="3"/>
  <c r="C3779" i="3"/>
  <c r="A3780" i="3"/>
  <c r="C3780" i="3"/>
  <c r="A3781" i="3"/>
  <c r="C3781" i="3"/>
  <c r="A3782" i="3"/>
  <c r="C3782" i="3"/>
  <c r="A3783" i="3"/>
  <c r="C3783" i="3"/>
  <c r="A3784" i="3"/>
  <c r="C3784" i="3"/>
  <c r="A3785" i="3"/>
  <c r="C3785" i="3"/>
  <c r="A3786" i="3"/>
  <c r="C3786" i="3"/>
  <c r="A3787" i="3"/>
  <c r="C3787" i="3"/>
  <c r="A3788" i="3"/>
  <c r="C3788" i="3"/>
  <c r="A3789" i="3"/>
  <c r="C3789" i="3"/>
  <c r="A3790" i="3"/>
  <c r="C3790" i="3"/>
  <c r="A3791" i="3"/>
  <c r="C3791" i="3"/>
  <c r="A3792" i="3"/>
  <c r="C3792" i="3"/>
  <c r="A3793" i="3"/>
  <c r="C3793" i="3"/>
  <c r="A3794" i="3"/>
  <c r="C3794" i="3"/>
  <c r="A3795" i="3"/>
  <c r="C3795" i="3"/>
  <c r="A3796" i="3"/>
  <c r="C3796" i="3"/>
  <c r="A3797" i="3"/>
  <c r="C3797" i="3"/>
  <c r="A3798" i="3"/>
  <c r="C3798" i="3"/>
  <c r="A3799" i="3"/>
  <c r="C3799" i="3"/>
  <c r="A3800" i="3"/>
  <c r="C3800" i="3"/>
  <c r="A3801" i="3"/>
  <c r="C3801" i="3"/>
  <c r="A3802" i="3"/>
  <c r="C3802" i="3"/>
  <c r="A3803" i="3"/>
  <c r="C3803" i="3"/>
  <c r="A3804" i="3"/>
  <c r="C3804" i="3"/>
  <c r="A3805" i="3"/>
  <c r="C3805" i="3"/>
  <c r="A3806" i="3"/>
  <c r="C3806" i="3"/>
  <c r="A3807" i="3"/>
  <c r="C3807" i="3"/>
  <c r="A3808" i="3"/>
  <c r="C3808" i="3"/>
  <c r="A3809" i="3"/>
  <c r="C3809" i="3"/>
  <c r="A3810" i="3"/>
  <c r="C3810" i="3"/>
  <c r="A3811" i="3"/>
  <c r="C3811" i="3"/>
  <c r="A3812" i="3"/>
  <c r="C3812" i="3"/>
  <c r="A3813" i="3"/>
  <c r="C3813" i="3"/>
  <c r="A3814" i="3"/>
  <c r="C3814" i="3"/>
  <c r="A3815" i="3"/>
  <c r="C3815" i="3"/>
  <c r="A3816" i="3"/>
  <c r="C3816" i="3"/>
  <c r="A3817" i="3"/>
  <c r="C3817" i="3"/>
  <c r="A3818" i="3"/>
  <c r="C3818" i="3"/>
  <c r="A3819" i="3"/>
  <c r="C3819" i="3"/>
  <c r="A3820" i="3"/>
  <c r="C3820" i="3"/>
  <c r="A3821" i="3"/>
  <c r="C3821" i="3"/>
  <c r="A3822" i="3"/>
  <c r="C3822" i="3"/>
  <c r="A3823" i="3"/>
  <c r="C3823" i="3"/>
  <c r="A3824" i="3"/>
  <c r="C3824" i="3"/>
  <c r="A3825" i="3"/>
  <c r="C3825" i="3"/>
  <c r="A3826" i="3"/>
  <c r="C3826" i="3"/>
  <c r="A3827" i="3"/>
  <c r="C3827" i="3"/>
  <c r="A3828" i="3"/>
  <c r="C3828" i="3"/>
  <c r="A3829" i="3"/>
  <c r="C3829" i="3"/>
  <c r="A3830" i="3"/>
  <c r="C3830" i="3"/>
  <c r="A3831" i="3"/>
  <c r="C3831" i="3"/>
  <c r="A3832" i="3"/>
  <c r="C3832" i="3"/>
  <c r="A3833" i="3"/>
  <c r="C3833" i="3"/>
  <c r="A3834" i="3"/>
  <c r="C3834" i="3"/>
  <c r="A3835" i="3"/>
  <c r="C3835" i="3"/>
  <c r="A3836" i="3"/>
  <c r="C3836" i="3"/>
  <c r="A3837" i="3"/>
  <c r="C3837" i="3"/>
  <c r="A3838" i="3"/>
  <c r="C3838" i="3"/>
  <c r="A3839" i="3"/>
  <c r="C3839" i="3"/>
  <c r="A3840" i="3"/>
  <c r="C3840" i="3"/>
  <c r="A3841" i="3"/>
  <c r="C3841" i="3"/>
  <c r="A3842" i="3"/>
  <c r="C3842" i="3"/>
  <c r="A3843" i="3"/>
  <c r="C3843" i="3"/>
  <c r="A3844" i="3"/>
  <c r="C3844" i="3"/>
  <c r="A3845" i="3"/>
  <c r="C3845" i="3"/>
  <c r="A3846" i="3"/>
  <c r="C3846" i="3"/>
  <c r="A3847" i="3"/>
  <c r="C3847" i="3"/>
  <c r="A3848" i="3"/>
  <c r="C3848" i="3"/>
  <c r="A3849" i="3"/>
  <c r="C3849" i="3"/>
  <c r="A3850" i="3"/>
  <c r="C3850" i="3"/>
  <c r="A3851" i="3"/>
  <c r="C3851" i="3"/>
  <c r="A3852" i="3"/>
  <c r="C3852" i="3"/>
  <c r="A3853" i="3"/>
  <c r="C3853" i="3"/>
  <c r="A3854" i="3"/>
  <c r="C3854" i="3"/>
  <c r="A3855" i="3"/>
  <c r="C3855" i="3"/>
  <c r="A3856" i="3"/>
  <c r="C3856" i="3"/>
  <c r="A3857" i="3"/>
  <c r="C3857" i="3"/>
  <c r="A3858" i="3"/>
  <c r="C3858" i="3"/>
  <c r="A3859" i="3"/>
  <c r="C3859" i="3"/>
  <c r="A3860" i="3"/>
  <c r="C3860" i="3"/>
  <c r="A3861" i="3"/>
  <c r="C3861" i="3"/>
  <c r="A3862" i="3"/>
  <c r="C3862" i="3"/>
  <c r="A3863" i="3"/>
  <c r="C3863" i="3"/>
  <c r="A3864" i="3"/>
  <c r="C3864" i="3"/>
  <c r="A3865" i="3"/>
  <c r="C3865" i="3"/>
  <c r="A3866" i="3"/>
  <c r="C3866" i="3"/>
  <c r="A3867" i="3"/>
  <c r="C3867" i="3"/>
  <c r="A3868" i="3"/>
  <c r="C3868" i="3"/>
  <c r="A3869" i="3"/>
  <c r="C3869" i="3"/>
  <c r="A3870" i="3"/>
  <c r="C3870" i="3"/>
  <c r="A3871" i="3"/>
  <c r="C3871" i="3"/>
  <c r="A3872" i="3"/>
  <c r="C3872" i="3"/>
  <c r="A3873" i="3"/>
  <c r="C3873" i="3"/>
  <c r="A3874" i="3"/>
  <c r="C3874" i="3"/>
  <c r="A3875" i="3"/>
  <c r="C3875" i="3"/>
  <c r="A3876" i="3"/>
  <c r="C3876" i="3"/>
  <c r="A3877" i="3"/>
  <c r="C3877" i="3"/>
  <c r="A3878" i="3"/>
  <c r="C3878" i="3"/>
  <c r="A3879" i="3"/>
  <c r="C3879" i="3"/>
  <c r="A3880" i="3"/>
  <c r="C3880" i="3"/>
  <c r="A3881" i="3"/>
  <c r="C3881" i="3"/>
  <c r="A3882" i="3"/>
  <c r="C3882" i="3"/>
  <c r="A3883" i="3"/>
  <c r="C3883" i="3"/>
  <c r="A3884" i="3"/>
  <c r="C3884" i="3"/>
  <c r="A3885" i="3"/>
  <c r="C3885" i="3"/>
  <c r="A3886" i="3"/>
  <c r="C3886" i="3"/>
  <c r="A3887" i="3"/>
  <c r="C3887" i="3"/>
  <c r="A3888" i="3"/>
  <c r="C3888" i="3"/>
  <c r="A3889" i="3"/>
  <c r="C3889" i="3"/>
  <c r="A3890" i="3"/>
  <c r="C3890" i="3"/>
  <c r="A3891" i="3"/>
  <c r="C3891" i="3"/>
  <c r="A3892" i="3"/>
  <c r="C3892" i="3"/>
  <c r="A3893" i="3"/>
  <c r="C3893" i="3"/>
  <c r="A3894" i="3"/>
  <c r="C3894" i="3"/>
  <c r="A3895" i="3"/>
  <c r="C3895" i="3"/>
  <c r="A3896" i="3"/>
  <c r="C3896" i="3"/>
  <c r="A3897" i="3"/>
  <c r="C3897" i="3"/>
  <c r="A3898" i="3"/>
  <c r="C3898" i="3"/>
  <c r="A3899" i="3"/>
  <c r="C3899" i="3"/>
  <c r="A3900" i="3"/>
  <c r="C3900" i="3"/>
  <c r="A3901" i="3"/>
  <c r="C3901" i="3"/>
  <c r="A3902" i="3"/>
  <c r="C3902" i="3"/>
  <c r="A3903" i="3"/>
  <c r="C3903" i="3"/>
  <c r="A3904" i="3"/>
  <c r="C3904" i="3"/>
  <c r="A3905" i="3"/>
  <c r="C3905" i="3"/>
  <c r="A3906" i="3"/>
  <c r="C3906" i="3"/>
  <c r="A3907" i="3"/>
  <c r="C3907" i="3"/>
  <c r="A3908" i="3"/>
  <c r="C3908" i="3"/>
  <c r="A3909" i="3"/>
  <c r="C3909" i="3"/>
  <c r="A3910" i="3"/>
  <c r="C3910" i="3"/>
  <c r="A3911" i="3"/>
  <c r="C3911" i="3"/>
  <c r="A3912" i="3"/>
  <c r="C3912" i="3"/>
  <c r="A3913" i="3"/>
  <c r="C3913" i="3"/>
  <c r="A3914" i="3"/>
  <c r="C3914" i="3"/>
  <c r="A3915" i="3"/>
  <c r="C3915" i="3"/>
  <c r="A3916" i="3"/>
  <c r="C3916" i="3"/>
  <c r="A3917" i="3"/>
  <c r="C3917" i="3"/>
  <c r="A3918" i="3"/>
  <c r="C3918" i="3"/>
  <c r="A3919" i="3"/>
  <c r="C3919" i="3"/>
  <c r="A3920" i="3"/>
  <c r="C3920" i="3"/>
  <c r="A3921" i="3"/>
  <c r="C3921" i="3"/>
  <c r="A3922" i="3"/>
  <c r="C3922" i="3"/>
  <c r="A3923" i="3"/>
  <c r="C3923" i="3"/>
  <c r="A3924" i="3"/>
  <c r="C3924" i="3"/>
  <c r="A3925" i="3"/>
  <c r="C3925" i="3"/>
  <c r="A3926" i="3"/>
  <c r="C3926" i="3"/>
  <c r="A3927" i="3"/>
  <c r="C3927" i="3"/>
  <c r="A3928" i="3"/>
  <c r="C3928" i="3"/>
  <c r="A3929" i="3"/>
  <c r="C3929" i="3"/>
  <c r="A3930" i="3"/>
  <c r="C3930" i="3"/>
  <c r="A3931" i="3"/>
  <c r="C3931" i="3"/>
  <c r="A3932" i="3"/>
  <c r="C3932" i="3"/>
  <c r="A3933" i="3"/>
  <c r="C3933" i="3"/>
  <c r="A3934" i="3"/>
  <c r="C3934" i="3"/>
  <c r="A3935" i="3"/>
  <c r="C3935" i="3"/>
  <c r="A3936" i="3"/>
  <c r="C3936" i="3"/>
  <c r="A3937" i="3"/>
  <c r="C3937" i="3"/>
  <c r="A3938" i="3"/>
  <c r="C3938" i="3"/>
  <c r="A3939" i="3"/>
  <c r="C3939" i="3"/>
  <c r="A3940" i="3"/>
  <c r="C3940" i="3"/>
  <c r="A3941" i="3"/>
  <c r="C3941" i="3"/>
  <c r="A3942" i="3"/>
  <c r="C3942" i="3"/>
  <c r="A3943" i="3"/>
  <c r="C3943" i="3"/>
  <c r="A3944" i="3"/>
  <c r="C3944" i="3"/>
  <c r="A3945" i="3"/>
  <c r="C3945" i="3"/>
  <c r="A3946" i="3"/>
  <c r="C3946" i="3"/>
  <c r="A3947" i="3"/>
  <c r="C3947" i="3"/>
  <c r="A3948" i="3"/>
  <c r="C3948" i="3"/>
  <c r="A3949" i="3"/>
  <c r="C3949" i="3"/>
  <c r="A3950" i="3"/>
  <c r="C3950" i="3"/>
  <c r="A3951" i="3"/>
  <c r="C3951" i="3"/>
  <c r="A3952" i="3"/>
  <c r="C3952" i="3"/>
  <c r="A3953" i="3"/>
  <c r="C3953" i="3"/>
  <c r="A3954" i="3"/>
  <c r="C3954" i="3"/>
  <c r="A3955" i="3"/>
  <c r="C3955" i="3"/>
  <c r="A3956" i="3"/>
  <c r="C3956" i="3"/>
  <c r="A3957" i="3"/>
  <c r="C3957" i="3"/>
  <c r="A3958" i="3"/>
  <c r="C3958" i="3"/>
  <c r="A3959" i="3"/>
  <c r="C3959" i="3"/>
  <c r="A3960" i="3"/>
  <c r="C3960" i="3"/>
  <c r="A3961" i="3"/>
  <c r="C3961" i="3"/>
  <c r="A3962" i="3"/>
  <c r="C3962" i="3"/>
  <c r="A3963" i="3"/>
  <c r="C3963" i="3"/>
  <c r="A3964" i="3"/>
  <c r="C3964" i="3"/>
  <c r="A3965" i="3"/>
  <c r="C3965" i="3"/>
  <c r="A3966" i="3"/>
  <c r="C3966" i="3"/>
  <c r="A3967" i="3"/>
  <c r="C3967" i="3"/>
  <c r="A3968" i="3"/>
  <c r="C3968" i="3"/>
  <c r="A3969" i="3"/>
  <c r="C3969" i="3"/>
  <c r="A3970" i="3"/>
  <c r="C3970" i="3"/>
  <c r="A3971" i="3"/>
  <c r="C3971" i="3"/>
  <c r="A3972" i="3"/>
  <c r="C3972" i="3"/>
  <c r="A3973" i="3"/>
  <c r="C3973" i="3"/>
  <c r="A3974" i="3"/>
  <c r="C3974" i="3"/>
  <c r="A3975" i="3"/>
  <c r="C3975" i="3"/>
  <c r="A3976" i="3"/>
  <c r="C3976" i="3"/>
  <c r="A3977" i="3"/>
  <c r="C3977" i="3"/>
  <c r="A3978" i="3"/>
  <c r="C3978" i="3"/>
  <c r="A3979" i="3"/>
  <c r="C3979" i="3"/>
  <c r="A3980" i="3"/>
  <c r="C3980" i="3"/>
  <c r="A3981" i="3"/>
  <c r="C3981" i="3"/>
  <c r="A3982" i="3"/>
  <c r="C3982" i="3"/>
  <c r="A3983" i="3"/>
  <c r="C3983" i="3"/>
  <c r="A3984" i="3"/>
  <c r="C3984" i="3"/>
  <c r="A3985" i="3"/>
  <c r="C3985" i="3"/>
  <c r="A3986" i="3"/>
  <c r="C3986" i="3"/>
  <c r="A3987" i="3"/>
  <c r="C3987" i="3"/>
  <c r="A3988" i="3"/>
  <c r="C3988" i="3"/>
  <c r="A3989" i="3"/>
  <c r="C3989" i="3"/>
  <c r="A3990" i="3"/>
  <c r="C3990" i="3"/>
  <c r="A3991" i="3"/>
  <c r="C3991" i="3"/>
  <c r="A3992" i="3"/>
  <c r="C3992" i="3"/>
  <c r="A3993" i="3"/>
  <c r="C3993" i="3"/>
  <c r="A3994" i="3"/>
  <c r="C3994" i="3"/>
  <c r="A3995" i="3"/>
  <c r="C3995" i="3"/>
  <c r="A3996" i="3"/>
  <c r="C3996" i="3"/>
  <c r="A3997" i="3"/>
  <c r="C3997" i="3"/>
  <c r="A3998" i="3"/>
  <c r="C3998" i="3"/>
  <c r="A3999" i="3"/>
  <c r="C3999" i="3"/>
  <c r="A4000" i="3"/>
  <c r="C4000" i="3"/>
  <c r="A4001" i="3"/>
  <c r="C4001" i="3"/>
  <c r="A4002" i="3"/>
  <c r="C4002" i="3"/>
  <c r="A4003" i="3"/>
  <c r="C4003" i="3"/>
  <c r="A4004" i="3"/>
  <c r="C4004" i="3"/>
  <c r="A4005" i="3"/>
  <c r="C4005" i="3"/>
  <c r="A4006" i="3"/>
  <c r="C4006" i="3"/>
  <c r="A4007" i="3"/>
  <c r="C4007" i="3"/>
  <c r="A4008" i="3"/>
  <c r="C4008" i="3"/>
  <c r="A4009" i="3"/>
  <c r="C4009" i="3"/>
  <c r="A4010" i="3"/>
  <c r="C4010" i="3"/>
  <c r="A4011" i="3"/>
  <c r="C4011" i="3"/>
  <c r="A4012" i="3"/>
  <c r="C4012" i="3"/>
  <c r="A4013" i="3"/>
  <c r="C4013" i="3"/>
  <c r="A4014" i="3"/>
  <c r="C4014" i="3"/>
  <c r="A4015" i="3"/>
  <c r="C4015" i="3"/>
  <c r="A4016" i="3"/>
  <c r="C4016" i="3"/>
  <c r="A4017" i="3"/>
  <c r="C4017" i="3"/>
  <c r="A4018" i="3"/>
  <c r="C4018" i="3"/>
  <c r="A4019" i="3"/>
  <c r="C4019" i="3"/>
  <c r="A4020" i="3"/>
  <c r="C4020" i="3"/>
  <c r="A4021" i="3"/>
  <c r="C4021" i="3"/>
  <c r="A4022" i="3"/>
  <c r="C4022" i="3"/>
  <c r="A4023" i="3"/>
  <c r="C4023" i="3"/>
  <c r="A4024" i="3"/>
  <c r="C4024" i="3"/>
  <c r="A4025" i="3"/>
  <c r="C4025" i="3"/>
  <c r="A4026" i="3"/>
  <c r="C4026" i="3"/>
  <c r="A4027" i="3"/>
  <c r="C4027" i="3"/>
  <c r="A4028" i="3"/>
  <c r="C4028" i="3"/>
  <c r="A4029" i="3"/>
  <c r="C4029" i="3"/>
  <c r="A4030" i="3"/>
  <c r="C4030" i="3"/>
  <c r="A4031" i="3"/>
  <c r="C4031" i="3"/>
  <c r="A4032" i="3"/>
  <c r="C4032" i="3"/>
  <c r="A4033" i="3"/>
  <c r="C4033" i="3"/>
  <c r="A4034" i="3"/>
  <c r="C4034" i="3"/>
  <c r="A4035" i="3"/>
  <c r="C4035" i="3"/>
  <c r="A4036" i="3"/>
  <c r="C4036" i="3"/>
  <c r="A4037" i="3"/>
  <c r="C4037" i="3"/>
  <c r="A4038" i="3"/>
  <c r="C4038" i="3"/>
  <c r="A4039" i="3"/>
  <c r="C4039" i="3"/>
  <c r="A4040" i="3"/>
  <c r="C4040" i="3"/>
  <c r="A4041" i="3"/>
  <c r="C4041" i="3"/>
  <c r="A4042" i="3"/>
  <c r="C4042" i="3"/>
  <c r="A4043" i="3"/>
  <c r="C4043" i="3"/>
  <c r="A4044" i="3"/>
  <c r="C4044" i="3"/>
  <c r="A4045" i="3"/>
  <c r="C4045" i="3"/>
  <c r="A4046" i="3"/>
  <c r="C4046" i="3"/>
  <c r="A4047" i="3"/>
  <c r="C4047" i="3"/>
  <c r="A4048" i="3"/>
  <c r="C4048" i="3"/>
  <c r="A4049" i="3"/>
  <c r="C4049" i="3"/>
  <c r="A4050" i="3"/>
  <c r="C4050" i="3"/>
  <c r="A4051" i="3"/>
  <c r="C4051" i="3"/>
  <c r="A4052" i="3"/>
  <c r="C4052" i="3"/>
  <c r="A4053" i="3"/>
  <c r="C4053" i="3"/>
  <c r="A4054" i="3"/>
  <c r="C4054" i="3"/>
  <c r="A4055" i="3"/>
  <c r="C4055" i="3"/>
  <c r="A4056" i="3"/>
  <c r="C4056" i="3"/>
  <c r="A4057" i="3"/>
  <c r="C4057" i="3"/>
  <c r="A4058" i="3"/>
  <c r="C4058" i="3"/>
  <c r="A4059" i="3"/>
  <c r="C4059" i="3"/>
  <c r="A4060" i="3"/>
  <c r="C4060" i="3"/>
  <c r="A4061" i="3"/>
  <c r="C4061" i="3"/>
  <c r="A4062" i="3"/>
  <c r="C4062" i="3"/>
  <c r="A4063" i="3"/>
  <c r="C4063" i="3"/>
  <c r="A4064" i="3"/>
  <c r="C4064" i="3"/>
  <c r="A4065" i="3"/>
  <c r="C4065" i="3"/>
  <c r="A4066" i="3"/>
  <c r="C4066" i="3"/>
  <c r="A4067" i="3"/>
  <c r="C4067" i="3"/>
  <c r="A4068" i="3"/>
  <c r="C4068" i="3"/>
  <c r="A4069" i="3"/>
  <c r="C4069" i="3"/>
  <c r="A4070" i="3"/>
  <c r="C4070" i="3"/>
  <c r="A4071" i="3"/>
  <c r="C4071" i="3"/>
  <c r="A4072" i="3"/>
  <c r="C4072" i="3"/>
  <c r="A4073" i="3"/>
  <c r="C4073" i="3"/>
  <c r="A4074" i="3"/>
  <c r="C4074" i="3"/>
  <c r="A4075" i="3"/>
  <c r="C4075" i="3"/>
  <c r="A4076" i="3"/>
  <c r="C4076" i="3"/>
  <c r="A4077" i="3"/>
  <c r="C4077" i="3"/>
  <c r="A4078" i="3"/>
  <c r="C4078" i="3"/>
  <c r="A4079" i="3"/>
  <c r="C4079" i="3"/>
  <c r="A4080" i="3"/>
  <c r="C4080" i="3"/>
  <c r="A4081" i="3"/>
  <c r="C4081" i="3"/>
  <c r="A4082" i="3"/>
  <c r="C4082" i="3"/>
  <c r="A4083" i="3"/>
  <c r="C4083" i="3"/>
  <c r="A4084" i="3"/>
  <c r="C4084" i="3"/>
  <c r="A4085" i="3"/>
  <c r="C4085" i="3"/>
  <c r="A4086" i="3"/>
  <c r="C4086" i="3"/>
  <c r="A4087" i="3"/>
  <c r="C4087" i="3"/>
  <c r="A4088" i="3"/>
  <c r="C4088" i="3"/>
  <c r="A4089" i="3"/>
  <c r="C4089" i="3"/>
  <c r="A4090" i="3"/>
  <c r="C4090" i="3"/>
  <c r="A4091" i="3"/>
  <c r="C4091" i="3"/>
  <c r="A4092" i="3"/>
  <c r="C4092" i="3"/>
  <c r="A4093" i="3"/>
  <c r="C4093" i="3"/>
  <c r="A4094" i="3"/>
  <c r="C4094" i="3"/>
  <c r="A4095" i="3"/>
  <c r="C4095" i="3"/>
  <c r="A4096" i="3"/>
  <c r="C4096" i="3"/>
  <c r="A4097" i="3"/>
  <c r="C4097" i="3"/>
  <c r="A4098" i="3"/>
  <c r="C4098" i="3"/>
  <c r="A4099" i="3"/>
  <c r="C4099" i="3"/>
  <c r="A4100" i="3"/>
  <c r="C4100" i="3"/>
  <c r="A4101" i="3"/>
  <c r="C4101" i="3"/>
  <c r="A4102" i="3"/>
  <c r="C4102" i="3"/>
  <c r="A4103" i="3"/>
  <c r="C4103" i="3"/>
  <c r="A4104" i="3"/>
  <c r="C4104" i="3"/>
  <c r="A4105" i="3"/>
  <c r="C4105" i="3"/>
  <c r="A4106" i="3"/>
  <c r="C4106" i="3"/>
  <c r="A4107" i="3"/>
  <c r="C4107" i="3"/>
  <c r="A4108" i="3"/>
  <c r="C4108" i="3"/>
  <c r="A4109" i="3"/>
  <c r="C4109" i="3"/>
  <c r="A4110" i="3"/>
  <c r="C4110" i="3"/>
  <c r="A4111" i="3"/>
  <c r="C4111" i="3"/>
  <c r="A4112" i="3"/>
  <c r="C4112" i="3"/>
  <c r="A4113" i="3"/>
  <c r="C4113" i="3"/>
  <c r="A4114" i="3"/>
  <c r="C4114" i="3"/>
  <c r="A4115" i="3"/>
  <c r="C4115" i="3"/>
  <c r="A4116" i="3"/>
  <c r="C4116" i="3"/>
  <c r="A4117" i="3"/>
  <c r="C4117" i="3"/>
  <c r="A4118" i="3"/>
  <c r="C4118" i="3"/>
  <c r="A4119" i="3"/>
  <c r="C4119" i="3"/>
  <c r="A4120" i="3"/>
  <c r="C4120" i="3"/>
  <c r="A4121" i="3"/>
  <c r="C4121" i="3"/>
  <c r="A4122" i="3"/>
  <c r="C4122" i="3"/>
  <c r="A4123" i="3"/>
  <c r="C4123" i="3"/>
  <c r="A4124" i="3"/>
  <c r="C4124" i="3"/>
  <c r="A4125" i="3"/>
  <c r="C4125" i="3"/>
  <c r="A4126" i="3"/>
  <c r="C4126" i="3"/>
  <c r="A4127" i="3"/>
  <c r="C4127" i="3"/>
  <c r="A4128" i="3"/>
  <c r="C4128" i="3"/>
  <c r="A4129" i="3"/>
  <c r="C4129" i="3"/>
  <c r="A4130" i="3"/>
  <c r="C4130" i="3"/>
  <c r="A4131" i="3"/>
  <c r="C4131" i="3"/>
  <c r="A4132" i="3"/>
  <c r="C4132" i="3"/>
  <c r="A4133" i="3"/>
  <c r="C4133" i="3"/>
  <c r="A4134" i="3"/>
  <c r="C4134" i="3"/>
  <c r="A4135" i="3"/>
  <c r="C4135" i="3"/>
  <c r="A4136" i="3"/>
  <c r="C4136" i="3"/>
  <c r="A4137" i="3"/>
  <c r="C4137" i="3"/>
  <c r="A4138" i="3"/>
  <c r="C4138" i="3"/>
  <c r="A4139" i="3"/>
  <c r="C4139" i="3"/>
  <c r="A4140" i="3"/>
  <c r="C4140" i="3"/>
  <c r="A4141" i="3"/>
  <c r="C4141" i="3"/>
  <c r="A4142" i="3"/>
  <c r="C4142" i="3"/>
  <c r="A4143" i="3"/>
  <c r="C4143" i="3"/>
  <c r="A4144" i="3"/>
  <c r="C4144" i="3"/>
  <c r="A4145" i="3"/>
  <c r="C4145" i="3"/>
  <c r="A4146" i="3"/>
  <c r="C4146" i="3"/>
  <c r="A4147" i="3"/>
  <c r="C4147" i="3"/>
  <c r="A4148" i="3"/>
  <c r="C4148" i="3"/>
  <c r="A4149" i="3"/>
  <c r="C4149" i="3"/>
  <c r="A4150" i="3"/>
  <c r="C4150" i="3"/>
  <c r="A4151" i="3"/>
  <c r="C4151" i="3"/>
  <c r="A4152" i="3"/>
  <c r="C4152" i="3"/>
  <c r="A4153" i="3"/>
  <c r="C4153" i="3"/>
  <c r="A4154" i="3"/>
  <c r="C4154" i="3"/>
  <c r="A4155" i="3"/>
  <c r="C4155" i="3"/>
  <c r="A4156" i="3"/>
  <c r="C4156" i="3"/>
  <c r="A4157" i="3"/>
  <c r="C4157" i="3"/>
  <c r="A4158" i="3"/>
  <c r="C4158" i="3"/>
  <c r="A4159" i="3"/>
  <c r="C4159" i="3"/>
  <c r="A4160" i="3"/>
  <c r="C4160" i="3"/>
  <c r="A4161" i="3"/>
  <c r="C4161" i="3"/>
  <c r="A4162" i="3"/>
  <c r="C4162" i="3"/>
  <c r="A4163" i="3"/>
  <c r="C4163" i="3"/>
  <c r="A4164" i="3"/>
  <c r="C4164" i="3"/>
  <c r="A4165" i="3"/>
  <c r="C4165" i="3"/>
  <c r="A4166" i="3"/>
  <c r="C4166" i="3"/>
  <c r="A4167" i="3"/>
  <c r="C4167" i="3"/>
  <c r="A4168" i="3"/>
  <c r="C4168" i="3"/>
  <c r="A4169" i="3"/>
  <c r="C4169" i="3"/>
  <c r="A4170" i="3"/>
  <c r="C4170" i="3"/>
  <c r="A4171" i="3"/>
  <c r="C4171" i="3"/>
  <c r="A4172" i="3"/>
  <c r="C4172" i="3"/>
  <c r="A4173" i="3"/>
  <c r="C4173" i="3"/>
  <c r="A4174" i="3"/>
  <c r="C4174" i="3"/>
  <c r="A4175" i="3"/>
  <c r="C4175" i="3"/>
  <c r="A4176" i="3"/>
  <c r="C4176" i="3"/>
  <c r="A4177" i="3"/>
  <c r="C4177" i="3"/>
  <c r="A4178" i="3"/>
  <c r="C4178" i="3"/>
  <c r="A4179" i="3"/>
  <c r="C4179" i="3"/>
  <c r="A4180" i="3"/>
  <c r="C4180" i="3"/>
  <c r="A4181" i="3"/>
  <c r="C4181" i="3"/>
  <c r="A4182" i="3"/>
  <c r="C4182" i="3"/>
  <c r="A4183" i="3"/>
  <c r="C4183" i="3"/>
  <c r="A4184" i="3"/>
  <c r="C4184" i="3"/>
  <c r="A4185" i="3"/>
  <c r="C4185" i="3"/>
  <c r="A4186" i="3"/>
  <c r="C4186" i="3"/>
  <c r="A4187" i="3"/>
  <c r="C4187" i="3"/>
  <c r="A4188" i="3"/>
  <c r="C4188" i="3"/>
  <c r="A4189" i="3"/>
  <c r="C4189" i="3"/>
  <c r="A4190" i="3"/>
  <c r="C4190" i="3"/>
  <c r="A4191" i="3"/>
  <c r="C4191" i="3"/>
  <c r="A4192" i="3"/>
  <c r="C4192" i="3"/>
  <c r="A4193" i="3"/>
  <c r="C4193" i="3"/>
  <c r="A4194" i="3"/>
  <c r="C4194" i="3"/>
  <c r="A4195" i="3"/>
  <c r="C4195" i="3"/>
  <c r="A4196" i="3"/>
  <c r="C4196" i="3"/>
  <c r="A4197" i="3"/>
  <c r="C4197" i="3"/>
  <c r="A4198" i="3"/>
  <c r="C4198" i="3"/>
  <c r="A4199" i="3"/>
  <c r="C4199" i="3"/>
  <c r="A4200" i="3"/>
  <c r="C4200" i="3"/>
  <c r="A4201" i="3"/>
  <c r="C4201" i="3"/>
  <c r="A4202" i="3"/>
  <c r="C4202" i="3"/>
  <c r="A4203" i="3"/>
  <c r="C4203" i="3"/>
  <c r="A4204" i="3"/>
  <c r="C4204" i="3"/>
  <c r="A4205" i="3"/>
  <c r="C4205" i="3"/>
  <c r="A4206" i="3"/>
  <c r="C4206" i="3"/>
  <c r="A4207" i="3"/>
  <c r="C4207" i="3"/>
  <c r="A4208" i="3"/>
  <c r="C4208" i="3"/>
  <c r="A4209" i="3"/>
  <c r="C4209" i="3"/>
  <c r="A4210" i="3"/>
  <c r="C4210" i="3"/>
  <c r="A4211" i="3"/>
  <c r="C4211" i="3"/>
  <c r="A4212" i="3"/>
  <c r="C4212" i="3"/>
  <c r="A4213" i="3"/>
  <c r="C4213" i="3"/>
  <c r="A4214" i="3"/>
  <c r="C4214" i="3"/>
  <c r="A4215" i="3"/>
  <c r="C4215" i="3"/>
  <c r="A4216" i="3"/>
  <c r="C4216" i="3"/>
  <c r="A4217" i="3"/>
  <c r="C4217" i="3"/>
  <c r="A4218" i="3"/>
  <c r="C4218" i="3"/>
  <c r="A4219" i="3"/>
  <c r="C4219" i="3"/>
  <c r="A4220" i="3"/>
  <c r="C4220" i="3"/>
  <c r="A4221" i="3"/>
  <c r="C4221" i="3"/>
  <c r="A4222" i="3"/>
  <c r="C4222" i="3"/>
  <c r="A4223" i="3"/>
  <c r="C4223" i="3"/>
  <c r="A4224" i="3"/>
  <c r="C4224" i="3"/>
  <c r="A4225" i="3"/>
  <c r="C4225" i="3"/>
  <c r="A4226" i="3"/>
  <c r="C4226" i="3"/>
  <c r="A4227" i="3"/>
  <c r="C4227" i="3"/>
  <c r="A4228" i="3"/>
  <c r="C4228" i="3"/>
  <c r="A4229" i="3"/>
  <c r="C4229" i="3"/>
  <c r="A4230" i="3"/>
  <c r="C4230" i="3"/>
  <c r="A4231" i="3"/>
  <c r="C4231" i="3"/>
  <c r="A4232" i="3"/>
  <c r="C4232" i="3"/>
  <c r="A4233" i="3"/>
  <c r="C4233" i="3"/>
  <c r="A4234" i="3"/>
  <c r="C4234" i="3"/>
  <c r="A4235" i="3"/>
  <c r="C4235" i="3"/>
  <c r="A4236" i="3"/>
  <c r="C4236" i="3"/>
  <c r="A4237" i="3"/>
  <c r="C4237" i="3"/>
  <c r="A4238" i="3"/>
  <c r="C4238" i="3"/>
  <c r="A4239" i="3"/>
  <c r="C4239" i="3"/>
  <c r="A4240" i="3"/>
  <c r="C4240" i="3"/>
  <c r="A4241" i="3"/>
  <c r="C4241" i="3"/>
  <c r="A4242" i="3"/>
  <c r="C4242" i="3"/>
  <c r="A4243" i="3"/>
  <c r="C4243" i="3"/>
  <c r="A4244" i="3"/>
  <c r="C4244" i="3"/>
  <c r="A4245" i="3"/>
  <c r="C4245" i="3"/>
  <c r="A4246" i="3"/>
  <c r="C4246" i="3"/>
  <c r="A4247" i="3"/>
  <c r="C4247" i="3"/>
  <c r="A4248" i="3"/>
  <c r="C4248" i="3"/>
  <c r="A4249" i="3"/>
  <c r="C4249" i="3"/>
  <c r="A4250" i="3"/>
  <c r="C4250" i="3"/>
  <c r="A4251" i="3"/>
  <c r="C4251" i="3"/>
  <c r="A4252" i="3"/>
  <c r="C4252" i="3"/>
  <c r="A4253" i="3"/>
  <c r="C4253" i="3"/>
  <c r="A4254" i="3"/>
  <c r="C4254" i="3"/>
  <c r="A4255" i="3"/>
  <c r="C4255" i="3"/>
  <c r="A4256" i="3"/>
  <c r="C4256" i="3"/>
  <c r="A4257" i="3"/>
  <c r="C4257" i="3"/>
  <c r="A4258" i="3"/>
  <c r="C4258" i="3"/>
  <c r="A4259" i="3"/>
  <c r="C4259" i="3"/>
  <c r="A4260" i="3"/>
  <c r="C4260" i="3"/>
  <c r="A4261" i="3"/>
  <c r="C4261" i="3"/>
  <c r="A4262" i="3"/>
  <c r="C4262" i="3"/>
  <c r="A4263" i="3"/>
  <c r="C4263" i="3"/>
  <c r="A4264" i="3"/>
  <c r="C4264" i="3"/>
  <c r="A4265" i="3"/>
  <c r="C4265" i="3"/>
  <c r="A4266" i="3"/>
  <c r="C4266" i="3"/>
  <c r="A4267" i="3"/>
  <c r="C4267" i="3"/>
  <c r="A4268" i="3"/>
  <c r="C4268" i="3"/>
  <c r="A4269" i="3"/>
  <c r="C4269" i="3"/>
  <c r="A4270" i="3"/>
  <c r="C4270" i="3"/>
  <c r="A4271" i="3"/>
  <c r="C4271" i="3"/>
  <c r="A4272" i="3"/>
  <c r="C4272" i="3"/>
  <c r="A4273" i="3"/>
  <c r="C4273" i="3"/>
  <c r="A4274" i="3"/>
  <c r="C4274" i="3"/>
  <c r="A4275" i="3"/>
  <c r="C4275" i="3"/>
  <c r="A4276" i="3"/>
  <c r="C4276" i="3"/>
  <c r="A4277" i="3"/>
  <c r="C4277" i="3"/>
  <c r="A4278" i="3"/>
  <c r="C4278" i="3"/>
  <c r="A4279" i="3"/>
  <c r="C4279" i="3"/>
  <c r="A4280" i="3"/>
  <c r="C4280" i="3"/>
  <c r="A4281" i="3"/>
  <c r="C4281" i="3"/>
  <c r="A4282" i="3"/>
  <c r="C4282" i="3"/>
  <c r="A4283" i="3"/>
  <c r="C4283" i="3"/>
  <c r="A4284" i="3"/>
  <c r="C4284" i="3"/>
  <c r="A4285" i="3"/>
  <c r="C4285" i="3"/>
  <c r="A4286" i="3"/>
  <c r="C4286" i="3"/>
  <c r="A4287" i="3"/>
  <c r="C4287" i="3"/>
  <c r="A4288" i="3"/>
  <c r="C4288" i="3"/>
  <c r="A4289" i="3"/>
  <c r="C4289" i="3"/>
  <c r="A4290" i="3"/>
  <c r="C4290" i="3"/>
  <c r="A4291" i="3"/>
  <c r="C4291" i="3"/>
  <c r="A4292" i="3"/>
  <c r="C4292" i="3"/>
  <c r="A4293" i="3"/>
  <c r="C4293" i="3"/>
  <c r="A4294" i="3"/>
  <c r="C4294" i="3"/>
  <c r="A4295" i="3"/>
  <c r="C4295" i="3"/>
  <c r="A4296" i="3"/>
  <c r="C4296" i="3"/>
  <c r="A4297" i="3"/>
  <c r="C4297" i="3"/>
  <c r="A4298" i="3"/>
  <c r="C4298" i="3"/>
  <c r="A4299" i="3"/>
  <c r="C4299" i="3"/>
  <c r="A4300" i="3"/>
  <c r="C4300" i="3"/>
  <c r="A4301" i="3"/>
  <c r="C4301" i="3"/>
  <c r="A4302" i="3"/>
  <c r="C4302" i="3"/>
  <c r="A4303" i="3"/>
  <c r="C4303" i="3"/>
  <c r="A4304" i="3"/>
  <c r="C4304" i="3"/>
  <c r="A4305" i="3"/>
  <c r="C4305" i="3"/>
  <c r="A4306" i="3"/>
  <c r="C4306" i="3"/>
  <c r="A4307" i="3"/>
  <c r="C4307" i="3"/>
  <c r="A4308" i="3"/>
  <c r="C4308" i="3"/>
  <c r="A4309" i="3"/>
  <c r="C4309" i="3"/>
  <c r="A4310" i="3"/>
  <c r="C4310" i="3"/>
  <c r="A4311" i="3"/>
  <c r="C4311" i="3"/>
  <c r="A4312" i="3"/>
  <c r="C4312" i="3"/>
  <c r="A4313" i="3"/>
  <c r="C4313" i="3"/>
  <c r="A4314" i="3"/>
  <c r="C4314" i="3"/>
  <c r="A4315" i="3"/>
  <c r="C4315" i="3"/>
  <c r="A4316" i="3"/>
  <c r="C4316" i="3"/>
  <c r="A4317" i="3"/>
  <c r="C4317" i="3"/>
  <c r="A4318" i="3"/>
  <c r="C4318" i="3"/>
  <c r="A4319" i="3"/>
  <c r="C4319" i="3"/>
  <c r="A4320" i="3"/>
  <c r="C4320" i="3"/>
  <c r="A4321" i="3"/>
  <c r="C4321" i="3"/>
  <c r="A4322" i="3"/>
  <c r="C4322" i="3"/>
  <c r="A4323" i="3"/>
  <c r="C4323" i="3"/>
  <c r="A4324" i="3"/>
  <c r="C4324" i="3"/>
  <c r="A4325" i="3"/>
  <c r="C4325" i="3"/>
  <c r="A4326" i="3"/>
  <c r="C4326" i="3"/>
  <c r="A4327" i="3"/>
  <c r="C4327" i="3"/>
  <c r="A4328" i="3"/>
  <c r="C4328" i="3"/>
  <c r="A4329" i="3"/>
  <c r="C4329" i="3"/>
  <c r="A4330" i="3"/>
  <c r="C4330" i="3"/>
  <c r="A4331" i="3"/>
  <c r="C4331" i="3"/>
  <c r="A4332" i="3"/>
  <c r="C4332" i="3"/>
  <c r="A4333" i="3"/>
  <c r="C4333" i="3"/>
  <c r="A4334" i="3"/>
  <c r="C4334" i="3"/>
  <c r="A4335" i="3"/>
  <c r="C4335" i="3"/>
  <c r="A4336" i="3"/>
  <c r="C4336" i="3"/>
  <c r="A4337" i="3"/>
  <c r="C4337" i="3"/>
  <c r="A4338" i="3"/>
  <c r="C4338" i="3"/>
  <c r="A4339" i="3"/>
  <c r="C4339" i="3"/>
  <c r="A4340" i="3"/>
  <c r="C4340" i="3"/>
  <c r="A4341" i="3"/>
  <c r="C4341" i="3"/>
  <c r="A4342" i="3"/>
  <c r="C4342" i="3"/>
  <c r="A4343" i="3"/>
  <c r="C4343" i="3"/>
  <c r="A4344" i="3"/>
  <c r="C4344" i="3"/>
  <c r="A4345" i="3"/>
  <c r="C4345" i="3"/>
  <c r="A4346" i="3"/>
  <c r="C4346" i="3"/>
  <c r="A4347" i="3"/>
  <c r="C4347" i="3"/>
  <c r="A4348" i="3"/>
  <c r="C4348" i="3"/>
  <c r="A4349" i="3"/>
  <c r="C4349" i="3"/>
  <c r="A4350" i="3"/>
  <c r="C4350" i="3"/>
  <c r="A4351" i="3"/>
  <c r="C4351" i="3"/>
  <c r="A4352" i="3"/>
  <c r="C4352" i="3"/>
  <c r="A4353" i="3"/>
  <c r="C4353" i="3"/>
  <c r="A4354" i="3"/>
  <c r="C4354" i="3"/>
  <c r="A4355" i="3"/>
  <c r="C4355" i="3"/>
  <c r="A4356" i="3"/>
  <c r="C4356" i="3"/>
  <c r="A4357" i="3"/>
  <c r="C4357" i="3"/>
  <c r="A4358" i="3"/>
  <c r="C4358" i="3"/>
  <c r="A4359" i="3"/>
  <c r="C4359" i="3"/>
  <c r="A4360" i="3"/>
  <c r="C4360" i="3"/>
  <c r="A4361" i="3"/>
  <c r="C4361" i="3"/>
  <c r="A4362" i="3"/>
  <c r="C4362" i="3"/>
  <c r="A4363" i="3"/>
  <c r="C4363" i="3"/>
  <c r="A4364" i="3"/>
  <c r="C4364" i="3"/>
  <c r="A4365" i="3"/>
  <c r="C4365" i="3"/>
  <c r="A4366" i="3"/>
  <c r="C4366" i="3"/>
  <c r="A4367" i="3"/>
  <c r="C4367" i="3"/>
  <c r="A4368" i="3"/>
  <c r="C4368" i="3"/>
  <c r="A4369" i="3"/>
  <c r="C4369" i="3"/>
  <c r="A4370" i="3"/>
  <c r="C4370" i="3"/>
  <c r="A4371" i="3"/>
  <c r="C4371" i="3"/>
  <c r="A4372" i="3"/>
  <c r="C4372" i="3"/>
  <c r="A4373" i="3"/>
  <c r="C4373" i="3"/>
  <c r="A4374" i="3"/>
  <c r="C4374" i="3"/>
  <c r="A4375" i="3"/>
  <c r="C4375" i="3"/>
  <c r="A4376" i="3"/>
  <c r="C4376" i="3"/>
  <c r="A4377" i="3"/>
  <c r="C4377" i="3"/>
  <c r="A4378" i="3"/>
  <c r="C4378" i="3"/>
  <c r="A4379" i="3"/>
  <c r="C4379" i="3"/>
  <c r="A4380" i="3"/>
  <c r="C4380" i="3"/>
  <c r="A4381" i="3"/>
  <c r="C4381" i="3"/>
  <c r="A4382" i="3"/>
  <c r="C4382" i="3"/>
  <c r="A4383" i="3"/>
  <c r="C4383" i="3"/>
  <c r="A4384" i="3"/>
  <c r="C4384" i="3"/>
  <c r="A4385" i="3"/>
  <c r="C4385" i="3"/>
  <c r="A4386" i="3"/>
  <c r="C4386" i="3"/>
  <c r="A4387" i="3"/>
  <c r="C4387" i="3"/>
  <c r="A4388" i="3"/>
  <c r="C4388" i="3"/>
  <c r="A4389" i="3"/>
  <c r="C4389" i="3"/>
  <c r="A4390" i="3"/>
  <c r="C4390" i="3"/>
  <c r="A4391" i="3"/>
  <c r="C4391" i="3"/>
  <c r="A4392" i="3"/>
  <c r="C4392" i="3"/>
  <c r="A4393" i="3"/>
  <c r="C4393" i="3"/>
  <c r="A4394" i="3"/>
  <c r="C4394" i="3"/>
  <c r="A4395" i="3"/>
  <c r="C4395" i="3"/>
  <c r="A4396" i="3"/>
  <c r="C4396" i="3"/>
  <c r="A4397" i="3"/>
  <c r="C4397" i="3"/>
  <c r="A4398" i="3"/>
  <c r="C4398" i="3"/>
  <c r="A4399" i="3"/>
  <c r="C4399" i="3"/>
  <c r="A4400" i="3"/>
  <c r="C4400" i="3"/>
  <c r="A4401" i="3"/>
  <c r="C4401" i="3"/>
  <c r="A4402" i="3"/>
  <c r="C4402" i="3"/>
  <c r="A4403" i="3"/>
  <c r="C4403" i="3"/>
  <c r="A4404" i="3"/>
  <c r="C4404" i="3"/>
  <c r="A4405" i="3"/>
  <c r="C4405" i="3"/>
  <c r="A4406" i="3"/>
  <c r="C4406" i="3"/>
  <c r="A4407" i="3"/>
  <c r="C4407" i="3"/>
  <c r="A4408" i="3"/>
  <c r="C4408" i="3"/>
  <c r="A4409" i="3"/>
  <c r="C4409" i="3"/>
  <c r="A4410" i="3"/>
  <c r="C4410" i="3"/>
  <c r="A4411" i="3"/>
  <c r="C4411" i="3"/>
  <c r="A4412" i="3"/>
  <c r="C4412" i="3"/>
  <c r="A4413" i="3"/>
  <c r="C4413" i="3"/>
  <c r="A4414" i="3"/>
  <c r="C4414" i="3"/>
  <c r="A4415" i="3"/>
  <c r="C4415" i="3"/>
  <c r="A4416" i="3"/>
  <c r="C4416" i="3"/>
  <c r="A4417" i="3"/>
  <c r="C4417" i="3"/>
  <c r="A4418" i="3"/>
  <c r="C4418" i="3"/>
  <c r="A4419" i="3"/>
  <c r="C4419" i="3"/>
  <c r="A4420" i="3"/>
  <c r="C4420" i="3"/>
  <c r="A4421" i="3"/>
  <c r="C4421" i="3"/>
  <c r="A4422" i="3"/>
  <c r="C4422" i="3"/>
  <c r="A4423" i="3"/>
  <c r="C4423" i="3"/>
  <c r="A4424" i="3"/>
  <c r="C4424" i="3"/>
  <c r="A4425" i="3"/>
  <c r="C4425" i="3"/>
  <c r="A4426" i="3"/>
  <c r="C4426" i="3"/>
  <c r="A4427" i="3"/>
  <c r="C4427" i="3"/>
  <c r="A4428" i="3"/>
  <c r="C4428" i="3"/>
  <c r="A4429" i="3"/>
  <c r="C4429" i="3"/>
  <c r="A4430" i="3"/>
  <c r="C4430" i="3"/>
  <c r="A4431" i="3"/>
  <c r="C4431" i="3"/>
  <c r="A4432" i="3"/>
  <c r="C4432" i="3"/>
  <c r="A4433" i="3"/>
  <c r="C4433" i="3"/>
  <c r="A4434" i="3"/>
  <c r="C4434" i="3"/>
  <c r="A4435" i="3"/>
  <c r="C4435" i="3"/>
  <c r="A4436" i="3"/>
  <c r="C4436" i="3"/>
  <c r="A4437" i="3"/>
  <c r="C4437" i="3"/>
  <c r="A4438" i="3"/>
  <c r="C4438" i="3"/>
  <c r="A4439" i="3"/>
  <c r="C4439" i="3"/>
  <c r="A4440" i="3"/>
  <c r="C4440" i="3"/>
  <c r="A4441" i="3"/>
  <c r="C4441" i="3"/>
  <c r="A4442" i="3"/>
  <c r="C4442" i="3"/>
  <c r="A4443" i="3"/>
  <c r="C4443" i="3"/>
  <c r="A4444" i="3"/>
  <c r="C4444" i="3"/>
  <c r="A4445" i="3"/>
  <c r="C4445" i="3"/>
  <c r="A4446" i="3"/>
  <c r="C4446" i="3"/>
  <c r="A4447" i="3"/>
  <c r="C4447" i="3"/>
  <c r="A4448" i="3"/>
  <c r="C4448" i="3"/>
  <c r="A4449" i="3"/>
  <c r="C4449" i="3"/>
  <c r="A4450" i="3"/>
  <c r="C4450" i="3"/>
  <c r="A4451" i="3"/>
  <c r="C4451" i="3"/>
  <c r="A4452" i="3"/>
  <c r="C4452" i="3"/>
  <c r="A4453" i="3"/>
  <c r="C4453" i="3"/>
  <c r="A4454" i="3"/>
  <c r="C4454" i="3"/>
  <c r="A4455" i="3"/>
  <c r="C4455" i="3"/>
  <c r="A4456" i="3"/>
  <c r="C4456" i="3"/>
  <c r="A4457" i="3"/>
  <c r="C4457" i="3"/>
  <c r="A4458" i="3"/>
  <c r="C4458" i="3"/>
  <c r="A4459" i="3"/>
  <c r="C4459" i="3"/>
  <c r="A4460" i="3"/>
  <c r="C4460" i="3"/>
  <c r="A4461" i="3"/>
  <c r="C4461" i="3"/>
  <c r="A4462" i="3"/>
  <c r="C4462" i="3"/>
  <c r="A4463" i="3"/>
  <c r="C4463" i="3"/>
  <c r="A4464" i="3"/>
  <c r="C4464" i="3"/>
  <c r="A4465" i="3"/>
  <c r="C4465" i="3"/>
  <c r="A4466" i="3"/>
  <c r="C4466" i="3"/>
  <c r="A4467" i="3"/>
  <c r="C4467" i="3"/>
  <c r="A4468" i="3"/>
  <c r="C4468" i="3"/>
  <c r="A4469" i="3"/>
  <c r="C4469" i="3"/>
  <c r="A4470" i="3"/>
  <c r="C4470" i="3"/>
  <c r="A4471" i="3"/>
  <c r="C4471" i="3"/>
  <c r="A4472" i="3"/>
  <c r="C4472" i="3"/>
  <c r="A4473" i="3"/>
  <c r="C4473" i="3"/>
  <c r="A4474" i="3"/>
  <c r="C4474" i="3"/>
  <c r="A4475" i="3"/>
  <c r="C4475" i="3"/>
  <c r="A4476" i="3"/>
  <c r="C4476" i="3"/>
  <c r="A4477" i="3"/>
  <c r="C4477" i="3"/>
  <c r="A4478" i="3"/>
  <c r="C4478" i="3"/>
  <c r="A4479" i="3"/>
  <c r="C4479" i="3"/>
  <c r="A4480" i="3"/>
  <c r="C4480" i="3"/>
  <c r="A4481" i="3"/>
  <c r="C4481" i="3"/>
  <c r="A4482" i="3"/>
  <c r="C4482" i="3"/>
  <c r="A4483" i="3"/>
  <c r="C4483" i="3"/>
  <c r="A4484" i="3"/>
  <c r="C4484" i="3"/>
  <c r="A4485" i="3"/>
  <c r="C4485" i="3"/>
  <c r="A4486" i="3"/>
  <c r="C4486" i="3"/>
  <c r="A4487" i="3"/>
  <c r="C4487" i="3"/>
  <c r="A4488" i="3"/>
  <c r="C4488" i="3"/>
  <c r="A4489" i="3"/>
  <c r="C4489" i="3"/>
  <c r="A4490" i="3"/>
  <c r="C4490" i="3"/>
  <c r="A4491" i="3"/>
  <c r="C4491" i="3"/>
  <c r="A4492" i="3"/>
  <c r="C4492" i="3"/>
  <c r="A4493" i="3"/>
  <c r="C4493" i="3"/>
  <c r="A4494" i="3"/>
  <c r="C4494" i="3"/>
  <c r="A4495" i="3"/>
  <c r="C4495" i="3"/>
  <c r="A4496" i="3"/>
  <c r="C4496" i="3"/>
  <c r="A4497" i="3"/>
  <c r="C4497" i="3"/>
  <c r="A4498" i="3"/>
  <c r="C4498" i="3"/>
  <c r="A4499" i="3"/>
  <c r="C4499" i="3"/>
  <c r="A4500" i="3"/>
  <c r="C4500" i="3"/>
  <c r="A4501" i="3"/>
  <c r="C4501" i="3"/>
  <c r="A4502" i="3"/>
  <c r="C4502" i="3"/>
  <c r="A4503" i="3"/>
  <c r="C4503" i="3"/>
  <c r="A4504" i="3"/>
  <c r="C4504" i="3"/>
  <c r="A4505" i="3"/>
  <c r="C4505" i="3"/>
  <c r="A4506" i="3"/>
  <c r="C4506" i="3"/>
  <c r="A4507" i="3"/>
  <c r="C4507" i="3"/>
  <c r="A4508" i="3"/>
  <c r="C4508" i="3"/>
  <c r="A4509" i="3"/>
  <c r="C4509" i="3"/>
  <c r="A4510" i="3"/>
  <c r="C4510" i="3"/>
  <c r="A4511" i="3"/>
  <c r="C4511" i="3"/>
  <c r="A4512" i="3"/>
  <c r="C4512" i="3"/>
  <c r="A4513" i="3"/>
  <c r="C4513" i="3"/>
  <c r="A4514" i="3"/>
  <c r="C4514" i="3"/>
  <c r="A4515" i="3"/>
  <c r="C4515" i="3"/>
  <c r="A4516" i="3"/>
  <c r="C4516" i="3"/>
  <c r="A4517" i="3"/>
  <c r="C4517" i="3"/>
  <c r="A4518" i="3"/>
  <c r="C4518" i="3"/>
  <c r="A4519" i="3"/>
  <c r="C4519" i="3"/>
  <c r="A4520" i="3"/>
  <c r="C4520" i="3"/>
  <c r="A4521" i="3"/>
  <c r="C4521" i="3"/>
  <c r="A4522" i="3"/>
  <c r="C4522" i="3"/>
  <c r="A4523" i="3"/>
  <c r="C4523" i="3"/>
  <c r="A4524" i="3"/>
  <c r="C4524" i="3"/>
  <c r="A4525" i="3"/>
  <c r="C4525" i="3"/>
  <c r="A4526" i="3"/>
  <c r="C4526" i="3"/>
  <c r="A4527" i="3"/>
  <c r="C4527" i="3"/>
  <c r="A4528" i="3"/>
  <c r="C4528" i="3"/>
  <c r="A4529" i="3"/>
  <c r="C4529" i="3"/>
  <c r="A4530" i="3"/>
  <c r="C4530" i="3"/>
  <c r="A4531" i="3"/>
  <c r="C4531" i="3"/>
  <c r="A4532" i="3"/>
  <c r="C4532" i="3"/>
  <c r="A4533" i="3"/>
  <c r="C4533" i="3"/>
  <c r="A4534" i="3"/>
  <c r="C4534" i="3"/>
  <c r="A4535" i="3"/>
  <c r="C4535" i="3"/>
  <c r="A4536" i="3"/>
  <c r="C4536" i="3"/>
  <c r="A4537" i="3"/>
  <c r="C4537" i="3"/>
  <c r="A4538" i="3"/>
  <c r="C4538" i="3"/>
  <c r="A4539" i="3"/>
  <c r="C4539" i="3"/>
  <c r="A4540" i="3"/>
  <c r="C4540" i="3"/>
  <c r="A4541" i="3"/>
  <c r="C4541" i="3"/>
  <c r="A4542" i="3"/>
  <c r="C4542" i="3"/>
  <c r="A4543" i="3"/>
  <c r="C4543" i="3"/>
  <c r="A4544" i="3"/>
  <c r="C4544" i="3"/>
  <c r="A4545" i="3"/>
  <c r="C4545" i="3"/>
  <c r="A4546" i="3"/>
  <c r="C4546" i="3"/>
  <c r="A4547" i="3"/>
  <c r="C4547" i="3"/>
  <c r="A4548" i="3"/>
  <c r="C4548" i="3"/>
  <c r="A4549" i="3"/>
  <c r="C4549" i="3"/>
  <c r="A4550" i="3"/>
  <c r="C4550" i="3"/>
  <c r="A4551" i="3"/>
  <c r="C4551" i="3"/>
  <c r="A4552" i="3"/>
  <c r="C4552" i="3"/>
  <c r="A4553" i="3"/>
  <c r="C4553" i="3"/>
  <c r="A4554" i="3"/>
  <c r="C4554" i="3"/>
  <c r="A4555" i="3"/>
  <c r="C4555" i="3"/>
  <c r="A4556" i="3"/>
  <c r="C4556" i="3"/>
  <c r="A4557" i="3"/>
  <c r="C4557" i="3"/>
  <c r="A4558" i="3"/>
  <c r="C4558" i="3"/>
  <c r="A4559" i="3"/>
  <c r="C4559" i="3"/>
  <c r="A4560" i="3"/>
  <c r="C4560" i="3"/>
  <c r="A4561" i="3"/>
  <c r="C4561" i="3"/>
  <c r="A4562" i="3"/>
  <c r="C4562" i="3"/>
  <c r="A4563" i="3"/>
  <c r="C4563" i="3"/>
  <c r="A4564" i="3"/>
  <c r="C4564" i="3"/>
  <c r="A4565" i="3"/>
  <c r="C4565" i="3"/>
  <c r="A4566" i="3"/>
  <c r="C4566" i="3"/>
  <c r="A4567" i="3"/>
  <c r="C4567" i="3"/>
  <c r="A4568" i="3"/>
  <c r="C4568" i="3"/>
  <c r="A4569" i="3"/>
  <c r="C4569" i="3"/>
  <c r="A4570" i="3"/>
  <c r="C4570" i="3"/>
  <c r="A4571" i="3"/>
  <c r="C4571" i="3"/>
  <c r="A4572" i="3"/>
  <c r="C4572" i="3"/>
  <c r="A4573" i="3"/>
  <c r="C4573" i="3"/>
  <c r="A4574" i="3"/>
  <c r="C4574" i="3"/>
  <c r="A4575" i="3"/>
  <c r="C4575" i="3"/>
  <c r="A4576" i="3"/>
  <c r="C4576" i="3"/>
  <c r="A4577" i="3"/>
  <c r="C4577" i="3"/>
  <c r="A4578" i="3"/>
  <c r="C4578" i="3"/>
  <c r="A4579" i="3"/>
  <c r="C4579" i="3"/>
  <c r="A4580" i="3"/>
  <c r="C4580" i="3"/>
  <c r="A4581" i="3"/>
  <c r="C4581" i="3"/>
  <c r="A4582" i="3"/>
  <c r="C4582" i="3"/>
  <c r="A4583" i="3"/>
  <c r="C4583" i="3"/>
  <c r="A4584" i="3"/>
  <c r="C4584" i="3"/>
  <c r="A4585" i="3"/>
  <c r="C4585" i="3"/>
  <c r="A4586" i="3"/>
  <c r="C4586" i="3"/>
  <c r="A4587" i="3"/>
  <c r="C4587" i="3"/>
  <c r="A4588" i="3"/>
  <c r="C4588" i="3"/>
  <c r="A4589" i="3"/>
  <c r="C4589" i="3"/>
  <c r="A4590" i="3"/>
  <c r="C4590" i="3"/>
  <c r="A4591" i="3"/>
  <c r="C4591" i="3"/>
  <c r="A4592" i="3"/>
  <c r="C4592" i="3"/>
  <c r="A4593" i="3"/>
  <c r="C4593" i="3"/>
  <c r="A4594" i="3"/>
  <c r="C4594" i="3"/>
  <c r="A4595" i="3"/>
  <c r="C4595" i="3"/>
  <c r="A4596" i="3"/>
  <c r="C4596" i="3"/>
  <c r="A4597" i="3"/>
  <c r="C4597" i="3"/>
  <c r="A4598" i="3"/>
  <c r="C4598" i="3"/>
  <c r="A4599" i="3"/>
  <c r="C4599" i="3"/>
  <c r="A4600" i="3"/>
  <c r="C4600" i="3"/>
  <c r="A4601" i="3"/>
  <c r="C4601" i="3"/>
  <c r="A4602" i="3"/>
  <c r="C4602" i="3"/>
  <c r="A4603" i="3"/>
  <c r="C4603" i="3"/>
  <c r="A4604" i="3"/>
  <c r="C4604" i="3"/>
  <c r="A4605" i="3"/>
  <c r="C4605" i="3"/>
  <c r="A4606" i="3"/>
  <c r="C4606" i="3"/>
  <c r="A4607" i="3"/>
  <c r="C4607" i="3"/>
  <c r="A4608" i="3"/>
  <c r="C4608" i="3"/>
  <c r="A4609" i="3"/>
  <c r="C4609" i="3"/>
  <c r="A4610" i="3"/>
  <c r="C4610" i="3"/>
  <c r="A4611" i="3"/>
  <c r="C4611" i="3"/>
  <c r="A4612" i="3"/>
  <c r="C4612" i="3"/>
  <c r="A4613" i="3"/>
  <c r="C4613" i="3"/>
  <c r="A4614" i="3"/>
  <c r="C4614" i="3"/>
  <c r="A4615" i="3"/>
  <c r="C4615" i="3"/>
  <c r="A4616" i="3"/>
  <c r="C4616" i="3"/>
  <c r="A4617" i="3"/>
  <c r="C4617" i="3"/>
  <c r="A4618" i="3"/>
  <c r="C4618" i="3"/>
  <c r="A4619" i="3"/>
  <c r="C4619" i="3"/>
  <c r="A4620" i="3"/>
  <c r="C4620" i="3"/>
  <c r="A4621" i="3"/>
  <c r="C4621" i="3"/>
  <c r="A4622" i="3"/>
  <c r="C4622" i="3"/>
  <c r="A4623" i="3"/>
  <c r="C4623" i="3"/>
  <c r="A4624" i="3"/>
  <c r="C4624" i="3"/>
  <c r="A4625" i="3"/>
  <c r="C4625" i="3"/>
  <c r="A4626" i="3"/>
  <c r="C4626" i="3"/>
  <c r="A4627" i="3"/>
  <c r="C4627" i="3"/>
  <c r="A4628" i="3"/>
  <c r="C4628" i="3"/>
  <c r="A4629" i="3"/>
  <c r="C4629" i="3"/>
  <c r="A4630" i="3"/>
  <c r="C4630" i="3"/>
  <c r="A4631" i="3"/>
  <c r="C4631" i="3"/>
  <c r="A4632" i="3"/>
  <c r="C4632" i="3"/>
  <c r="A4633" i="3"/>
  <c r="C4633" i="3"/>
  <c r="A4634" i="3"/>
  <c r="C4634" i="3"/>
  <c r="A4635" i="3"/>
  <c r="C4635" i="3"/>
  <c r="A4636" i="3"/>
  <c r="C4636" i="3"/>
  <c r="A4637" i="3"/>
  <c r="C4637" i="3"/>
  <c r="A4638" i="3"/>
  <c r="C4638" i="3"/>
  <c r="A4639" i="3"/>
  <c r="C4639" i="3"/>
  <c r="A4640" i="3"/>
  <c r="C4640" i="3"/>
  <c r="A4641" i="3"/>
  <c r="C4641" i="3"/>
  <c r="A4642" i="3"/>
  <c r="C4642" i="3"/>
  <c r="A4643" i="3"/>
  <c r="C4643" i="3"/>
  <c r="A4644" i="3"/>
  <c r="C4644" i="3"/>
  <c r="A4645" i="3"/>
  <c r="C4645" i="3"/>
  <c r="A4646" i="3"/>
  <c r="C4646" i="3"/>
  <c r="A4647" i="3"/>
  <c r="C4647" i="3"/>
  <c r="A4648" i="3"/>
  <c r="C4648" i="3"/>
  <c r="A4649" i="3"/>
  <c r="C4649" i="3"/>
  <c r="A4650" i="3"/>
  <c r="C4650" i="3"/>
  <c r="A4651" i="3"/>
  <c r="C4651" i="3"/>
  <c r="A4652" i="3"/>
  <c r="C4652" i="3"/>
  <c r="A4653" i="3"/>
  <c r="C4653" i="3"/>
  <c r="A4654" i="3"/>
  <c r="C4654" i="3"/>
  <c r="A4655" i="3"/>
  <c r="C4655" i="3"/>
  <c r="A4656" i="3"/>
  <c r="C4656" i="3"/>
  <c r="A4657" i="3"/>
  <c r="C4657" i="3"/>
  <c r="A4658" i="3"/>
  <c r="C4658" i="3"/>
  <c r="A4659" i="3"/>
  <c r="C4659" i="3"/>
  <c r="A4660" i="3"/>
  <c r="C4660" i="3"/>
  <c r="A4661" i="3"/>
  <c r="C4661" i="3"/>
  <c r="A4662" i="3"/>
  <c r="C4662" i="3"/>
  <c r="A4663" i="3"/>
  <c r="C4663" i="3"/>
  <c r="A4664" i="3"/>
  <c r="C4664" i="3"/>
  <c r="A4665" i="3"/>
  <c r="C4665" i="3"/>
  <c r="A4666" i="3"/>
  <c r="C4666" i="3"/>
  <c r="A4667" i="3"/>
  <c r="C4667" i="3"/>
  <c r="A4668" i="3"/>
  <c r="C4668" i="3"/>
  <c r="A4669" i="3"/>
  <c r="C4669" i="3"/>
  <c r="A4670" i="3"/>
  <c r="C4670" i="3"/>
  <c r="A4671" i="3"/>
  <c r="C4671" i="3"/>
  <c r="A4672" i="3"/>
  <c r="C4672" i="3"/>
  <c r="A4673" i="3"/>
  <c r="C4673" i="3"/>
  <c r="A4674" i="3"/>
  <c r="C4674" i="3"/>
  <c r="A4675" i="3"/>
  <c r="C4675" i="3"/>
  <c r="A4676" i="3"/>
  <c r="C4676" i="3"/>
  <c r="A4677" i="3"/>
  <c r="C4677" i="3"/>
  <c r="A4678" i="3"/>
  <c r="C4678" i="3"/>
  <c r="A4679" i="3"/>
  <c r="C4679" i="3"/>
  <c r="A4680" i="3"/>
  <c r="C4680" i="3"/>
  <c r="A4681" i="3"/>
  <c r="C4681" i="3"/>
  <c r="A4682" i="3"/>
  <c r="C4682" i="3"/>
  <c r="A4683" i="3"/>
  <c r="C4683" i="3"/>
  <c r="A4684" i="3"/>
  <c r="C4684" i="3"/>
  <c r="A4685" i="3"/>
  <c r="C4685" i="3"/>
  <c r="A4686" i="3"/>
  <c r="C4686" i="3"/>
  <c r="A4687" i="3"/>
  <c r="C4687" i="3"/>
  <c r="A4688" i="3"/>
  <c r="C4688" i="3"/>
  <c r="A4689" i="3"/>
  <c r="C4689" i="3"/>
  <c r="A4690" i="3"/>
  <c r="C4690" i="3"/>
  <c r="A4691" i="3"/>
  <c r="C4691" i="3"/>
  <c r="A4692" i="3"/>
  <c r="C4692" i="3"/>
  <c r="A4693" i="3"/>
  <c r="C4693" i="3"/>
  <c r="A4694" i="3"/>
  <c r="C4694" i="3"/>
  <c r="A4695" i="3"/>
  <c r="C4695" i="3"/>
  <c r="A4696" i="3"/>
  <c r="C4696" i="3"/>
  <c r="A4697" i="3"/>
  <c r="C4697" i="3"/>
  <c r="A4698" i="3"/>
  <c r="C4698" i="3"/>
  <c r="A4699" i="3"/>
  <c r="C4699" i="3"/>
  <c r="A4700" i="3"/>
  <c r="C4700" i="3"/>
  <c r="A4701" i="3"/>
  <c r="C4701" i="3"/>
  <c r="A4702" i="3"/>
  <c r="C4702" i="3"/>
  <c r="A4703" i="3"/>
  <c r="C4703" i="3"/>
  <c r="A4704" i="3"/>
  <c r="C4704" i="3"/>
  <c r="A4705" i="3"/>
  <c r="C4705" i="3"/>
  <c r="A4706" i="3"/>
  <c r="C4706" i="3"/>
  <c r="A4707" i="3"/>
  <c r="C4707" i="3"/>
  <c r="A4708" i="3"/>
  <c r="C4708" i="3"/>
  <c r="A4709" i="3"/>
  <c r="C4709" i="3"/>
  <c r="A4710" i="3"/>
  <c r="C4710" i="3"/>
  <c r="A4711" i="3"/>
  <c r="C4711" i="3"/>
  <c r="A4712" i="3"/>
  <c r="C4712" i="3"/>
  <c r="A4713" i="3"/>
  <c r="C4713" i="3"/>
  <c r="A4714" i="3"/>
  <c r="C4714" i="3"/>
  <c r="A4715" i="3"/>
  <c r="C4715" i="3"/>
  <c r="A4716" i="3"/>
  <c r="C4716" i="3"/>
  <c r="A4717" i="3"/>
  <c r="C4717" i="3"/>
  <c r="A4718" i="3"/>
  <c r="C4718" i="3"/>
  <c r="A4719" i="3"/>
  <c r="C4719" i="3"/>
  <c r="A4720" i="3"/>
  <c r="C4720" i="3"/>
  <c r="A4721" i="3"/>
  <c r="C4721" i="3"/>
  <c r="A4722" i="3"/>
  <c r="C4722" i="3"/>
  <c r="A4723" i="3"/>
  <c r="C4723" i="3"/>
  <c r="A4724" i="3"/>
  <c r="C4724" i="3"/>
  <c r="A4725" i="3"/>
  <c r="C4725" i="3"/>
  <c r="A4726" i="3"/>
  <c r="C4726" i="3"/>
  <c r="A4727" i="3"/>
  <c r="C4727" i="3"/>
  <c r="A4728" i="3"/>
  <c r="C4728" i="3"/>
  <c r="A4729" i="3"/>
  <c r="C4729" i="3"/>
  <c r="A4730" i="3"/>
  <c r="C4730" i="3"/>
  <c r="A4731" i="3"/>
  <c r="C4731" i="3"/>
  <c r="A4732" i="3"/>
  <c r="C4732" i="3"/>
  <c r="A4733" i="3"/>
  <c r="C4733" i="3"/>
  <c r="A4734" i="3"/>
  <c r="C4734" i="3"/>
  <c r="A4735" i="3"/>
  <c r="C4735" i="3"/>
  <c r="A4736" i="3"/>
  <c r="C4736" i="3"/>
  <c r="A4737" i="3"/>
  <c r="C4737" i="3"/>
  <c r="A4738" i="3"/>
  <c r="C4738" i="3"/>
  <c r="A4739" i="3"/>
  <c r="C4739" i="3"/>
  <c r="A4740" i="3"/>
  <c r="C4740" i="3"/>
  <c r="A4741" i="3"/>
  <c r="C4741" i="3"/>
  <c r="A4742" i="3"/>
  <c r="C4742" i="3"/>
  <c r="A4743" i="3"/>
  <c r="C4743" i="3"/>
  <c r="A4744" i="3"/>
  <c r="C4744" i="3"/>
  <c r="A4745" i="3"/>
  <c r="C4745" i="3"/>
  <c r="A4746" i="3"/>
  <c r="C4746" i="3"/>
  <c r="A4747" i="3"/>
  <c r="C4747" i="3"/>
  <c r="A4748" i="3"/>
  <c r="C4748" i="3"/>
  <c r="A4749" i="3"/>
  <c r="C4749" i="3"/>
  <c r="A4750" i="3"/>
  <c r="C4750" i="3"/>
  <c r="A4751" i="3"/>
  <c r="C4751" i="3"/>
  <c r="A4752" i="3"/>
  <c r="C4752" i="3"/>
  <c r="A4753" i="3"/>
  <c r="C4753" i="3"/>
  <c r="A4754" i="3"/>
  <c r="C4754" i="3"/>
  <c r="A4755" i="3"/>
  <c r="C4755" i="3"/>
  <c r="A4756" i="3"/>
  <c r="C4756" i="3"/>
  <c r="A4757" i="3"/>
  <c r="C4757" i="3"/>
  <c r="A4758" i="3"/>
  <c r="C4758" i="3"/>
  <c r="A4759" i="3"/>
  <c r="C4759" i="3"/>
  <c r="A4760" i="3"/>
  <c r="C4760" i="3"/>
  <c r="A4761" i="3"/>
  <c r="C4761" i="3"/>
  <c r="A4762" i="3"/>
  <c r="C4762" i="3"/>
  <c r="A4763" i="3"/>
  <c r="C4763" i="3"/>
  <c r="A4764" i="3"/>
  <c r="C4764" i="3"/>
  <c r="A4765" i="3"/>
  <c r="C4765" i="3"/>
  <c r="A4766" i="3"/>
  <c r="C4766" i="3"/>
  <c r="A4767" i="3"/>
  <c r="C4767" i="3"/>
  <c r="A4768" i="3"/>
  <c r="C4768" i="3"/>
  <c r="A4769" i="3"/>
  <c r="C4769" i="3"/>
  <c r="A4770" i="3"/>
  <c r="C4770" i="3"/>
  <c r="A4771" i="3"/>
  <c r="C4771" i="3"/>
  <c r="A4772" i="3"/>
  <c r="C4772" i="3"/>
  <c r="A4773" i="3"/>
  <c r="C4773" i="3"/>
  <c r="A4774" i="3"/>
  <c r="C4774" i="3"/>
  <c r="A4775" i="3"/>
  <c r="C4775" i="3"/>
  <c r="A4776" i="3"/>
  <c r="C4776" i="3"/>
  <c r="A4777" i="3"/>
  <c r="C4777" i="3"/>
  <c r="A4778" i="3"/>
  <c r="C4778" i="3"/>
  <c r="A4779" i="3"/>
  <c r="C4779" i="3"/>
  <c r="A4780" i="3"/>
  <c r="C4780" i="3"/>
  <c r="A4781" i="3"/>
  <c r="C4781" i="3"/>
  <c r="A4782" i="3"/>
  <c r="C4782" i="3"/>
  <c r="A4783" i="3"/>
  <c r="C4783" i="3"/>
  <c r="A4784" i="3"/>
  <c r="C4784" i="3"/>
  <c r="A4785" i="3"/>
  <c r="C4785" i="3"/>
  <c r="A4786" i="3"/>
  <c r="C4786" i="3"/>
  <c r="A4787" i="3"/>
  <c r="C4787" i="3"/>
  <c r="A4788" i="3"/>
  <c r="C4788" i="3"/>
  <c r="A4789" i="3"/>
  <c r="C4789" i="3"/>
  <c r="A4790" i="3"/>
  <c r="C4790" i="3"/>
  <c r="A4791" i="3"/>
  <c r="C4791" i="3"/>
  <c r="A4792" i="3"/>
  <c r="C4792" i="3"/>
  <c r="A4793" i="3"/>
  <c r="C4793" i="3"/>
  <c r="A4794" i="3"/>
  <c r="C4794" i="3"/>
  <c r="A4795" i="3"/>
  <c r="C4795" i="3"/>
  <c r="A4796" i="3"/>
  <c r="C4796" i="3"/>
  <c r="A4797" i="3"/>
  <c r="C4797" i="3"/>
  <c r="A4798" i="3"/>
  <c r="C4798" i="3"/>
  <c r="A4799" i="3"/>
  <c r="C4799" i="3"/>
  <c r="A4800" i="3"/>
  <c r="C4800" i="3"/>
  <c r="A4801" i="3"/>
  <c r="C4801" i="3"/>
  <c r="A4802" i="3"/>
  <c r="C4802" i="3"/>
  <c r="A4803" i="3"/>
  <c r="C4803" i="3"/>
  <c r="A4804" i="3"/>
  <c r="C4804" i="3"/>
  <c r="A4805" i="3"/>
  <c r="C4805" i="3"/>
  <c r="A4806" i="3"/>
  <c r="C4806" i="3"/>
  <c r="A4807" i="3"/>
  <c r="C4807" i="3"/>
  <c r="A4808" i="3"/>
  <c r="C4808" i="3"/>
  <c r="A4809" i="3"/>
  <c r="C4809" i="3"/>
  <c r="A4810" i="3"/>
  <c r="C4810" i="3"/>
  <c r="A4811" i="3"/>
  <c r="C4811" i="3"/>
  <c r="A4812" i="3"/>
  <c r="C4812" i="3"/>
  <c r="A4813" i="3"/>
  <c r="C4813" i="3"/>
  <c r="A4814" i="3"/>
  <c r="C4814" i="3"/>
  <c r="A4815" i="3"/>
  <c r="C4815" i="3"/>
  <c r="A4816" i="3"/>
  <c r="C4816" i="3"/>
  <c r="A4817" i="3"/>
  <c r="C4817" i="3"/>
  <c r="A4818" i="3"/>
  <c r="C4818" i="3"/>
  <c r="A4819" i="3"/>
  <c r="C4819" i="3"/>
  <c r="A4820" i="3"/>
  <c r="C4820" i="3"/>
  <c r="A4821" i="3"/>
  <c r="C4821" i="3"/>
  <c r="A4822" i="3"/>
  <c r="C4822" i="3"/>
  <c r="A4823" i="3"/>
  <c r="C4823" i="3"/>
  <c r="A4824" i="3"/>
  <c r="C4824" i="3"/>
  <c r="A4825" i="3"/>
  <c r="C4825" i="3"/>
  <c r="A4826" i="3"/>
  <c r="C4826" i="3"/>
  <c r="A4827" i="3"/>
  <c r="C4827" i="3"/>
  <c r="A4828" i="3"/>
  <c r="C4828" i="3"/>
  <c r="A4829" i="3"/>
  <c r="C4829" i="3"/>
  <c r="A4830" i="3"/>
  <c r="C4830" i="3"/>
  <c r="A4831" i="3"/>
  <c r="C4831" i="3"/>
  <c r="A4832" i="3"/>
  <c r="C4832" i="3"/>
  <c r="A4833" i="3"/>
  <c r="C4833" i="3"/>
  <c r="A4834" i="3"/>
  <c r="C4834" i="3"/>
  <c r="A4835" i="3"/>
  <c r="C4835" i="3"/>
  <c r="A4836" i="3"/>
  <c r="C4836" i="3"/>
  <c r="A4837" i="3"/>
  <c r="C4837" i="3"/>
  <c r="A4838" i="3"/>
  <c r="C4838" i="3"/>
  <c r="A4839" i="3"/>
  <c r="C4839" i="3"/>
  <c r="A4840" i="3"/>
  <c r="C4840" i="3"/>
  <c r="A4841" i="3"/>
  <c r="C4841" i="3"/>
  <c r="A4842" i="3"/>
  <c r="C4842" i="3"/>
  <c r="A4843" i="3"/>
  <c r="C4843" i="3"/>
  <c r="A4844" i="3"/>
  <c r="C4844" i="3"/>
  <c r="A4845" i="3"/>
  <c r="C4845" i="3"/>
  <c r="A4846" i="3"/>
  <c r="C4846" i="3"/>
  <c r="A4847" i="3"/>
  <c r="C4847" i="3"/>
  <c r="A4848" i="3"/>
  <c r="C4848" i="3"/>
  <c r="A4849" i="3"/>
  <c r="C4849" i="3"/>
  <c r="A4850" i="3"/>
  <c r="C4850" i="3"/>
  <c r="A4851" i="3"/>
  <c r="C4851" i="3"/>
  <c r="A4852" i="3"/>
  <c r="C4852" i="3"/>
  <c r="A4853" i="3"/>
  <c r="C4853" i="3"/>
  <c r="A4854" i="3"/>
  <c r="C4854" i="3"/>
  <c r="A4855" i="3"/>
  <c r="C4855" i="3"/>
  <c r="A4856" i="3"/>
  <c r="C4856" i="3"/>
  <c r="A4857" i="3"/>
  <c r="C4857" i="3"/>
  <c r="A4858" i="3"/>
  <c r="C4858" i="3"/>
  <c r="A4859" i="3"/>
  <c r="C4859" i="3"/>
  <c r="A4860" i="3"/>
  <c r="C4860" i="3"/>
  <c r="A4861" i="3"/>
  <c r="C4861" i="3"/>
  <c r="A4862" i="3"/>
  <c r="C4862" i="3"/>
  <c r="A4863" i="3"/>
  <c r="C4863" i="3"/>
  <c r="A4864" i="3"/>
  <c r="C4864" i="3"/>
  <c r="A4865" i="3"/>
  <c r="C4865" i="3"/>
  <c r="A4866" i="3"/>
  <c r="C4866" i="3"/>
  <c r="A4867" i="3"/>
  <c r="C4867" i="3"/>
  <c r="A4868" i="3"/>
  <c r="C4868" i="3"/>
  <c r="A4869" i="3"/>
  <c r="C4869" i="3"/>
  <c r="A4870" i="3"/>
  <c r="C4870" i="3"/>
  <c r="A4871" i="3"/>
  <c r="C4871" i="3"/>
  <c r="A4872" i="3"/>
  <c r="C4872" i="3"/>
  <c r="A4873" i="3"/>
  <c r="C4873" i="3"/>
  <c r="A4874" i="3"/>
  <c r="C4874" i="3"/>
  <c r="A4875" i="3"/>
  <c r="C4875" i="3"/>
  <c r="A4876" i="3"/>
  <c r="C4876" i="3"/>
  <c r="A4877" i="3"/>
  <c r="C4877" i="3"/>
  <c r="A4878" i="3"/>
  <c r="C4878" i="3"/>
  <c r="A4879" i="3"/>
  <c r="C4879" i="3"/>
  <c r="A4880" i="3"/>
  <c r="C4880" i="3"/>
  <c r="A4881" i="3"/>
  <c r="C4881" i="3"/>
  <c r="A4882" i="3"/>
  <c r="C4882" i="3"/>
  <c r="A4883" i="3"/>
  <c r="C4883" i="3"/>
  <c r="A4884" i="3"/>
  <c r="C4884" i="3"/>
  <c r="A4885" i="3"/>
  <c r="C4885" i="3"/>
  <c r="A4886" i="3"/>
  <c r="C4886" i="3"/>
  <c r="A4887" i="3"/>
  <c r="C4887" i="3"/>
  <c r="A4888" i="3"/>
  <c r="C4888" i="3"/>
  <c r="A4889" i="3"/>
  <c r="C4889" i="3"/>
  <c r="A4890" i="3"/>
  <c r="C4890" i="3"/>
  <c r="A4891" i="3"/>
  <c r="C4891" i="3"/>
  <c r="A4892" i="3"/>
  <c r="C4892" i="3"/>
  <c r="A4893" i="3"/>
  <c r="C4893" i="3"/>
  <c r="A4894" i="3"/>
  <c r="C4894" i="3"/>
  <c r="A4895" i="3"/>
  <c r="C4895" i="3"/>
  <c r="A4896" i="3"/>
  <c r="C4896" i="3"/>
  <c r="A4897" i="3"/>
  <c r="C4897" i="3"/>
  <c r="A4898" i="3"/>
  <c r="C4898" i="3"/>
  <c r="A4899" i="3"/>
  <c r="C4899" i="3"/>
  <c r="A4900" i="3"/>
  <c r="C4900" i="3"/>
  <c r="A4901" i="3"/>
  <c r="C4901" i="3"/>
  <c r="A4902" i="3"/>
  <c r="C4902" i="3"/>
  <c r="A4903" i="3"/>
  <c r="C4903" i="3"/>
  <c r="A4904" i="3"/>
  <c r="C4904" i="3"/>
  <c r="A4905" i="3"/>
  <c r="C4905" i="3"/>
  <c r="A4906" i="3"/>
  <c r="C4906" i="3"/>
  <c r="A4907" i="3"/>
  <c r="C4907" i="3"/>
  <c r="A4908" i="3"/>
  <c r="C4908" i="3"/>
  <c r="A4909" i="3"/>
  <c r="C4909" i="3"/>
  <c r="A4910" i="3"/>
  <c r="C4910" i="3"/>
  <c r="A4911" i="3"/>
  <c r="C4911" i="3"/>
  <c r="A4912" i="3"/>
  <c r="C4912" i="3"/>
  <c r="A4913" i="3"/>
  <c r="C4913" i="3"/>
  <c r="A4914" i="3"/>
  <c r="C4914" i="3"/>
  <c r="A4915" i="3"/>
  <c r="C4915" i="3"/>
  <c r="A4916" i="3"/>
  <c r="C4916" i="3"/>
  <c r="A4917" i="3"/>
  <c r="C4917" i="3"/>
  <c r="A4918" i="3"/>
  <c r="C4918" i="3"/>
  <c r="A4919" i="3"/>
  <c r="C4919" i="3"/>
  <c r="A4920" i="3"/>
  <c r="C4920" i="3"/>
  <c r="A4921" i="3"/>
  <c r="C4921" i="3"/>
  <c r="A4922" i="3"/>
  <c r="C4922" i="3"/>
  <c r="A4923" i="3"/>
  <c r="C4923" i="3"/>
  <c r="A4924" i="3"/>
  <c r="C4924" i="3"/>
  <c r="A4925" i="3"/>
  <c r="C4925" i="3"/>
  <c r="A4926" i="3"/>
  <c r="C4926" i="3"/>
  <c r="A4927" i="3"/>
  <c r="C4927" i="3"/>
  <c r="A4928" i="3"/>
  <c r="C4928" i="3"/>
  <c r="A4929" i="3"/>
  <c r="C4929" i="3"/>
  <c r="A4930" i="3"/>
  <c r="C4930" i="3"/>
  <c r="A4931" i="3"/>
  <c r="C4931" i="3"/>
  <c r="A4932" i="3"/>
  <c r="C4932" i="3"/>
  <c r="A4933" i="3"/>
  <c r="C4933" i="3"/>
  <c r="A4934" i="3"/>
  <c r="C4934" i="3"/>
  <c r="A4935" i="3"/>
  <c r="C4935" i="3"/>
  <c r="A4936" i="3"/>
  <c r="C4936" i="3"/>
  <c r="A4937" i="3"/>
  <c r="C4937" i="3"/>
  <c r="A4938" i="3"/>
  <c r="C4938" i="3"/>
  <c r="A4939" i="3"/>
  <c r="C4939" i="3"/>
  <c r="A4940" i="3"/>
  <c r="C4940" i="3"/>
  <c r="A4941" i="3"/>
  <c r="C4941" i="3"/>
  <c r="A4942" i="3"/>
  <c r="C4942" i="3"/>
  <c r="A4943" i="3"/>
  <c r="C4943" i="3"/>
  <c r="A4944" i="3"/>
  <c r="C4944" i="3"/>
  <c r="A4945" i="3"/>
  <c r="C4945" i="3"/>
  <c r="A4946" i="3"/>
  <c r="C4946" i="3"/>
  <c r="A4947" i="3"/>
  <c r="C4947" i="3"/>
  <c r="A4948" i="3"/>
  <c r="C4948" i="3"/>
  <c r="A4949" i="3"/>
  <c r="C4949" i="3"/>
  <c r="A4950" i="3"/>
  <c r="C4950" i="3"/>
  <c r="A4951" i="3"/>
  <c r="C4951" i="3"/>
  <c r="A4952" i="3"/>
  <c r="C4952" i="3"/>
  <c r="A4953" i="3"/>
  <c r="C4953" i="3"/>
  <c r="A4954" i="3"/>
  <c r="C4954" i="3"/>
  <c r="A4955" i="3"/>
  <c r="C4955" i="3"/>
  <c r="A4956" i="3"/>
  <c r="C4956" i="3"/>
  <c r="A4957" i="3"/>
  <c r="C4957" i="3"/>
  <c r="A4958" i="3"/>
  <c r="C4958" i="3"/>
  <c r="A4959" i="3"/>
  <c r="C4959" i="3"/>
  <c r="A4960" i="3"/>
  <c r="C4960" i="3"/>
  <c r="A4961" i="3"/>
  <c r="C4961" i="3"/>
  <c r="A4962" i="3"/>
  <c r="C4962" i="3"/>
  <c r="A4963" i="3"/>
  <c r="C4963" i="3"/>
  <c r="A4964" i="3"/>
  <c r="C4964" i="3"/>
  <c r="A4965" i="3"/>
  <c r="C4965" i="3"/>
  <c r="A4966" i="3"/>
  <c r="C4966" i="3"/>
  <c r="A4967" i="3"/>
  <c r="C4967" i="3"/>
  <c r="A4968" i="3"/>
  <c r="C4968" i="3"/>
  <c r="A4969" i="3"/>
  <c r="C4969" i="3"/>
  <c r="A4970" i="3"/>
  <c r="C4970" i="3"/>
  <c r="A4971" i="3"/>
  <c r="C4971" i="3"/>
  <c r="A4972" i="3"/>
  <c r="C4972" i="3"/>
  <c r="A4973" i="3"/>
  <c r="C4973" i="3"/>
  <c r="A4974" i="3"/>
  <c r="C4974" i="3"/>
  <c r="A4975" i="3"/>
  <c r="C4975" i="3"/>
  <c r="A4976" i="3"/>
  <c r="C4976" i="3"/>
  <c r="A4977" i="3"/>
  <c r="C4977" i="3"/>
  <c r="A4978" i="3"/>
  <c r="C4978" i="3"/>
  <c r="A4979" i="3"/>
  <c r="C4979" i="3"/>
  <c r="A4980" i="3"/>
  <c r="C4980" i="3"/>
  <c r="A4981" i="3"/>
  <c r="C4981" i="3"/>
  <c r="A4982" i="3"/>
  <c r="C4982" i="3"/>
  <c r="A4983" i="3"/>
  <c r="C4983" i="3"/>
  <c r="A4984" i="3"/>
  <c r="C4984" i="3"/>
  <c r="A4985" i="3"/>
  <c r="C4985" i="3"/>
  <c r="A4986" i="3"/>
  <c r="C4986" i="3"/>
  <c r="A4987" i="3"/>
  <c r="C4987" i="3"/>
  <c r="A4988" i="3"/>
  <c r="C4988" i="3"/>
  <c r="A4989" i="3"/>
  <c r="C4989" i="3"/>
  <c r="A4990" i="3"/>
  <c r="C4990" i="3"/>
  <c r="A4991" i="3"/>
  <c r="C4991" i="3"/>
  <c r="A4992" i="3"/>
  <c r="C4992" i="3"/>
  <c r="A4993" i="3"/>
  <c r="C4993" i="3"/>
  <c r="A4994" i="3"/>
  <c r="C4994" i="3"/>
  <c r="A4995" i="3"/>
  <c r="C4995" i="3"/>
  <c r="A4996" i="3"/>
  <c r="C4996" i="3"/>
  <c r="A4997" i="3"/>
  <c r="C4997" i="3"/>
  <c r="A4998" i="3"/>
  <c r="C4998" i="3"/>
  <c r="A4999" i="3"/>
  <c r="C4999" i="3"/>
  <c r="A5000" i="3"/>
  <c r="C5000" i="3"/>
  <c r="A5001" i="3"/>
  <c r="C5001" i="3"/>
  <c r="A5002" i="3"/>
  <c r="C5002" i="3"/>
  <c r="A5003" i="3"/>
  <c r="C5003" i="3"/>
  <c r="A5004" i="3"/>
  <c r="C5004" i="3"/>
  <c r="A5005" i="3"/>
  <c r="C5005" i="3"/>
  <c r="A5006" i="3"/>
  <c r="C5006" i="3"/>
  <c r="A5007" i="3"/>
  <c r="C5007" i="3"/>
  <c r="A5008" i="3"/>
  <c r="C5008" i="3"/>
  <c r="A5009" i="3"/>
  <c r="C5009" i="3"/>
  <c r="A5010" i="3"/>
  <c r="C5010" i="3"/>
  <c r="A5011" i="3"/>
  <c r="C5011" i="3"/>
  <c r="A5012" i="3"/>
  <c r="C5012" i="3"/>
  <c r="A5013" i="3"/>
  <c r="C5013" i="3"/>
  <c r="A5014" i="3"/>
  <c r="C5014" i="3"/>
  <c r="A5015" i="3"/>
  <c r="C5015" i="3"/>
  <c r="A5016" i="3"/>
  <c r="C5016" i="3"/>
  <c r="A5017" i="3"/>
  <c r="C5017" i="3"/>
  <c r="A5018" i="3"/>
  <c r="C5018" i="3"/>
  <c r="A5019" i="3"/>
  <c r="C5019" i="3"/>
  <c r="A5020" i="3"/>
  <c r="C5020" i="3"/>
  <c r="A5021" i="3"/>
  <c r="C5021" i="3"/>
  <c r="A5022" i="3"/>
  <c r="C5022" i="3"/>
  <c r="A5023" i="3"/>
  <c r="C5023" i="3"/>
  <c r="A5024" i="3"/>
  <c r="C5024" i="3"/>
  <c r="A5025" i="3"/>
  <c r="C5025" i="3"/>
  <c r="A5026" i="3"/>
  <c r="C5026" i="3"/>
  <c r="A5027" i="3"/>
  <c r="C5027" i="3"/>
  <c r="A5028" i="3"/>
  <c r="C5028" i="3"/>
  <c r="A5029" i="3"/>
  <c r="C5029" i="3"/>
  <c r="A5030" i="3"/>
  <c r="C5030" i="3"/>
  <c r="A5031" i="3"/>
  <c r="C5031" i="3"/>
  <c r="A5032" i="3"/>
  <c r="C5032" i="3"/>
  <c r="A5033" i="3"/>
  <c r="C5033" i="3"/>
  <c r="A5034" i="3"/>
  <c r="C5034" i="3"/>
  <c r="A5035" i="3"/>
  <c r="C5035" i="3"/>
  <c r="A5036" i="3"/>
  <c r="C5036" i="3"/>
  <c r="A5037" i="3"/>
  <c r="C5037" i="3"/>
  <c r="A5038" i="3"/>
  <c r="C5038" i="3"/>
  <c r="A5039" i="3"/>
  <c r="C5039" i="3"/>
  <c r="A5040" i="3"/>
  <c r="C5040" i="3"/>
  <c r="A5041" i="3"/>
  <c r="C5041" i="3"/>
  <c r="A5042" i="3"/>
  <c r="C5042" i="3"/>
  <c r="A5043" i="3"/>
  <c r="C5043" i="3"/>
  <c r="A5044" i="3"/>
  <c r="C5044" i="3"/>
  <c r="A5045" i="3"/>
  <c r="C5045" i="3"/>
  <c r="A5046" i="3"/>
  <c r="C5046" i="3"/>
  <c r="A5047" i="3"/>
  <c r="C5047" i="3"/>
  <c r="A5048" i="3"/>
  <c r="C5048" i="3"/>
  <c r="A5049" i="3"/>
  <c r="C5049" i="3"/>
  <c r="A5050" i="3"/>
  <c r="C5050" i="3"/>
  <c r="A5051" i="3"/>
  <c r="C5051" i="3"/>
  <c r="A5052" i="3"/>
  <c r="C5052" i="3"/>
  <c r="A5053" i="3"/>
  <c r="C5053" i="3"/>
  <c r="A5054" i="3"/>
  <c r="C5054" i="3"/>
  <c r="A5055" i="3"/>
  <c r="C5055" i="3"/>
  <c r="A5056" i="3"/>
  <c r="C5056" i="3"/>
  <c r="A5057" i="3"/>
  <c r="C5057" i="3"/>
  <c r="A5058" i="3"/>
  <c r="C5058" i="3"/>
  <c r="A5059" i="3"/>
  <c r="C5059" i="3"/>
  <c r="A5060" i="3"/>
  <c r="C5060" i="3"/>
  <c r="A5061" i="3"/>
  <c r="C5061" i="3"/>
  <c r="A5062" i="3"/>
  <c r="C5062" i="3"/>
  <c r="A5063" i="3"/>
  <c r="C5063" i="3"/>
  <c r="A5064" i="3"/>
  <c r="C5064" i="3"/>
  <c r="A5065" i="3"/>
  <c r="C5065" i="3"/>
  <c r="A5066" i="3"/>
  <c r="C5066" i="3"/>
  <c r="A5067" i="3"/>
  <c r="C5067" i="3"/>
  <c r="A5068" i="3"/>
  <c r="C5068" i="3"/>
  <c r="A5069" i="3"/>
  <c r="C5069" i="3"/>
  <c r="A5070" i="3"/>
  <c r="C5070" i="3"/>
  <c r="A5071" i="3"/>
  <c r="C5071" i="3"/>
  <c r="A5072" i="3"/>
  <c r="C5072" i="3"/>
  <c r="A5073" i="3"/>
  <c r="C5073" i="3"/>
  <c r="A5074" i="3"/>
  <c r="C5074" i="3"/>
  <c r="A5075" i="3"/>
  <c r="C5075" i="3"/>
  <c r="A5076" i="3"/>
  <c r="C5076" i="3"/>
  <c r="A5077" i="3"/>
  <c r="C5077" i="3"/>
  <c r="A5078" i="3"/>
  <c r="C5078" i="3"/>
  <c r="A5079" i="3"/>
  <c r="C5079" i="3"/>
  <c r="A5080" i="3"/>
  <c r="C5080" i="3"/>
  <c r="A5081" i="3"/>
  <c r="C5081" i="3"/>
  <c r="A5082" i="3"/>
  <c r="C5082" i="3"/>
  <c r="A5083" i="3"/>
  <c r="C5083" i="3"/>
  <c r="A5084" i="3"/>
  <c r="C5084" i="3"/>
  <c r="A5085" i="3"/>
  <c r="C5085" i="3"/>
  <c r="A5086" i="3"/>
  <c r="C5086" i="3"/>
  <c r="A5087" i="3"/>
  <c r="C5087" i="3"/>
  <c r="A5088" i="3"/>
  <c r="C5088" i="3"/>
  <c r="A5089" i="3"/>
  <c r="C5089" i="3"/>
  <c r="A5090" i="3"/>
  <c r="C5090" i="3"/>
  <c r="A5091" i="3"/>
  <c r="C5091" i="3"/>
  <c r="A5092" i="3"/>
  <c r="C5092" i="3"/>
  <c r="A5093" i="3"/>
  <c r="C5093" i="3"/>
  <c r="A5094" i="3"/>
  <c r="C5094" i="3"/>
  <c r="A5095" i="3"/>
  <c r="C5095" i="3"/>
  <c r="A5096" i="3"/>
  <c r="C5096" i="3"/>
  <c r="A5097" i="3"/>
  <c r="C5097" i="3"/>
  <c r="A5098" i="3"/>
  <c r="C5098" i="3"/>
  <c r="A5099" i="3"/>
  <c r="C5099" i="3"/>
  <c r="A5100" i="3"/>
  <c r="C5100" i="3"/>
  <c r="A5101" i="3"/>
  <c r="C5101" i="3"/>
  <c r="A5102" i="3"/>
  <c r="C5102" i="3"/>
  <c r="A5103" i="3"/>
  <c r="C5103" i="3"/>
  <c r="A5104" i="3"/>
  <c r="C5104" i="3"/>
  <c r="A5105" i="3"/>
  <c r="C5105" i="3"/>
  <c r="A5106" i="3"/>
  <c r="C5106" i="3"/>
  <c r="A5107" i="3"/>
  <c r="C5107" i="3"/>
  <c r="A5108" i="3"/>
  <c r="C5108" i="3"/>
  <c r="A5109" i="3"/>
  <c r="C5109" i="3"/>
  <c r="A5110" i="3"/>
  <c r="C5110" i="3"/>
  <c r="A5111" i="3"/>
  <c r="C5111" i="3"/>
  <c r="A5112" i="3"/>
  <c r="C5112" i="3"/>
  <c r="A5113" i="3"/>
  <c r="C5113" i="3"/>
  <c r="A5114" i="3"/>
  <c r="C5114" i="3"/>
  <c r="A5115" i="3"/>
  <c r="C5115" i="3"/>
  <c r="A5116" i="3"/>
  <c r="C5116" i="3"/>
  <c r="A5117" i="3"/>
  <c r="C5117" i="3"/>
  <c r="A5118" i="3"/>
  <c r="C5118" i="3"/>
  <c r="A5119" i="3"/>
  <c r="C5119" i="3"/>
  <c r="A5120" i="3"/>
  <c r="C5120" i="3"/>
  <c r="A5121" i="3"/>
  <c r="C5121" i="3"/>
  <c r="A5122" i="3"/>
  <c r="C5122" i="3"/>
  <c r="A5123" i="3"/>
  <c r="C5123" i="3"/>
  <c r="A5124" i="3"/>
  <c r="C5124" i="3"/>
  <c r="A5125" i="3"/>
  <c r="C5125" i="3"/>
  <c r="A5126" i="3"/>
  <c r="C5126" i="3"/>
  <c r="A5127" i="3"/>
  <c r="C5127" i="3"/>
  <c r="A5128" i="3"/>
  <c r="C5128" i="3"/>
  <c r="A5129" i="3"/>
  <c r="C5129" i="3"/>
  <c r="A5130" i="3"/>
  <c r="C5130" i="3"/>
  <c r="A5131" i="3"/>
  <c r="C5131" i="3"/>
  <c r="A5132" i="3"/>
  <c r="C5132" i="3"/>
  <c r="A5133" i="3"/>
  <c r="C5133" i="3"/>
  <c r="A5134" i="3"/>
  <c r="C5134" i="3"/>
  <c r="A5135" i="3"/>
  <c r="C5135" i="3"/>
  <c r="A5136" i="3"/>
  <c r="C5136" i="3"/>
  <c r="A5137" i="3"/>
  <c r="C5137" i="3"/>
  <c r="A5138" i="3"/>
  <c r="C5138" i="3"/>
  <c r="A5139" i="3"/>
  <c r="C5139" i="3"/>
  <c r="A5140" i="3"/>
  <c r="C5140" i="3"/>
  <c r="A5141" i="3"/>
  <c r="C5141" i="3"/>
  <c r="A5142" i="3"/>
  <c r="C5142" i="3"/>
  <c r="A5143" i="3"/>
  <c r="C5143" i="3"/>
  <c r="A5144" i="3"/>
  <c r="C5144" i="3"/>
  <c r="A5145" i="3"/>
  <c r="C5145" i="3"/>
  <c r="A5146" i="3"/>
  <c r="C5146" i="3"/>
  <c r="A5147" i="3"/>
  <c r="C5147" i="3"/>
  <c r="A5148" i="3"/>
  <c r="C5148" i="3"/>
  <c r="A5149" i="3"/>
  <c r="C5149" i="3"/>
  <c r="A5150" i="3"/>
  <c r="C5150" i="3"/>
  <c r="A5151" i="3"/>
  <c r="C5151" i="3"/>
  <c r="A5152" i="3"/>
  <c r="C5152" i="3"/>
  <c r="A5153" i="3"/>
  <c r="C5153" i="3"/>
  <c r="A5154" i="3"/>
  <c r="C5154" i="3"/>
  <c r="A5155" i="3"/>
  <c r="C5155" i="3"/>
  <c r="A5156" i="3"/>
  <c r="C5156" i="3"/>
  <c r="A5157" i="3"/>
  <c r="C5157" i="3"/>
  <c r="A5158" i="3"/>
  <c r="C5158" i="3"/>
  <c r="A5159" i="3"/>
  <c r="C5159" i="3"/>
  <c r="A5160" i="3"/>
  <c r="C5160" i="3"/>
  <c r="A5161" i="3"/>
  <c r="C5161" i="3"/>
  <c r="A5162" i="3"/>
  <c r="C5162" i="3"/>
  <c r="A5163" i="3"/>
  <c r="C5163" i="3"/>
  <c r="A5164" i="3"/>
  <c r="C5164" i="3"/>
  <c r="A5165" i="3"/>
  <c r="C5165" i="3"/>
  <c r="A5166" i="3"/>
  <c r="C5166" i="3"/>
  <c r="A5167" i="3"/>
  <c r="C5167" i="3"/>
  <c r="A5168" i="3"/>
  <c r="C5168" i="3"/>
  <c r="A5169" i="3"/>
  <c r="C5169" i="3"/>
  <c r="A5170" i="3"/>
  <c r="C5170" i="3"/>
  <c r="A5171" i="3"/>
  <c r="C5171" i="3"/>
  <c r="A5172" i="3"/>
  <c r="C5172" i="3"/>
  <c r="A5173" i="3"/>
  <c r="C5173" i="3"/>
  <c r="A5174" i="3"/>
  <c r="C5174" i="3"/>
  <c r="A5175" i="3"/>
  <c r="C5175" i="3"/>
  <c r="A5176" i="3"/>
  <c r="C5176" i="3"/>
  <c r="A5177" i="3"/>
  <c r="C5177" i="3"/>
  <c r="A5178" i="3"/>
  <c r="C5178" i="3"/>
  <c r="A5179" i="3"/>
  <c r="C5179" i="3"/>
  <c r="A5180" i="3"/>
  <c r="C5180" i="3"/>
  <c r="A5181" i="3"/>
  <c r="C5181" i="3"/>
  <c r="A5182" i="3"/>
  <c r="C5182" i="3"/>
  <c r="A5183" i="3"/>
  <c r="C5183" i="3"/>
  <c r="A5184" i="3"/>
  <c r="C5184" i="3"/>
  <c r="A5185" i="3"/>
  <c r="C5185" i="3"/>
  <c r="A5186" i="3"/>
  <c r="C5186" i="3"/>
  <c r="A5187" i="3"/>
  <c r="C5187" i="3"/>
  <c r="A5188" i="3"/>
  <c r="C5188" i="3"/>
  <c r="A5189" i="3"/>
  <c r="C5189" i="3"/>
  <c r="A5190" i="3"/>
  <c r="C5190" i="3"/>
  <c r="A5191" i="3"/>
  <c r="C5191" i="3"/>
  <c r="A5192" i="3"/>
  <c r="C5192" i="3"/>
  <c r="A5193" i="3"/>
  <c r="C5193" i="3"/>
  <c r="A5194" i="3"/>
  <c r="C5194" i="3"/>
  <c r="A5195" i="3"/>
  <c r="C5195" i="3"/>
  <c r="A5196" i="3"/>
  <c r="C5196" i="3"/>
  <c r="A5197" i="3"/>
  <c r="C5197" i="3"/>
  <c r="A5198" i="3"/>
  <c r="C5198" i="3"/>
  <c r="A5199" i="3"/>
  <c r="C5199" i="3"/>
  <c r="A5200" i="3"/>
  <c r="C5200" i="3"/>
  <c r="A5201" i="3"/>
  <c r="C5201" i="3"/>
  <c r="A5202" i="3"/>
  <c r="C5202" i="3"/>
  <c r="A5203" i="3"/>
  <c r="C5203" i="3"/>
  <c r="A5204" i="3"/>
  <c r="C5204" i="3"/>
  <c r="A5205" i="3"/>
  <c r="C5205" i="3"/>
  <c r="A5206" i="3"/>
  <c r="C5206" i="3"/>
  <c r="A5207" i="3"/>
  <c r="C5207" i="3"/>
  <c r="A5208" i="3"/>
  <c r="C5208" i="3"/>
  <c r="A5209" i="3"/>
  <c r="C5209" i="3"/>
  <c r="A5210" i="3"/>
  <c r="C5210" i="3"/>
  <c r="A5211" i="3"/>
  <c r="C5211" i="3"/>
  <c r="A5212" i="3"/>
  <c r="C5212" i="3"/>
  <c r="A5213" i="3"/>
  <c r="C5213" i="3"/>
  <c r="A5214" i="3"/>
  <c r="C5214" i="3"/>
  <c r="A5215" i="3"/>
  <c r="C5215" i="3"/>
  <c r="A5216" i="3"/>
  <c r="C5216" i="3"/>
  <c r="A5217" i="3"/>
  <c r="C5217" i="3"/>
  <c r="A5218" i="3"/>
  <c r="C5218" i="3"/>
  <c r="A5219" i="3"/>
  <c r="C5219" i="3"/>
  <c r="A5220" i="3"/>
  <c r="C5220" i="3"/>
  <c r="A5221" i="3"/>
  <c r="C5221" i="3"/>
  <c r="A5222" i="3"/>
  <c r="C5222" i="3"/>
  <c r="A5223" i="3"/>
  <c r="C5223" i="3"/>
  <c r="A5224" i="3"/>
  <c r="C5224" i="3"/>
  <c r="A5225" i="3"/>
  <c r="C5225" i="3"/>
  <c r="A5226" i="3"/>
  <c r="C5226" i="3"/>
  <c r="A5227" i="3"/>
  <c r="C5227" i="3"/>
  <c r="A5228" i="3"/>
  <c r="C5228" i="3"/>
  <c r="A5229" i="3"/>
  <c r="C5229" i="3"/>
  <c r="A5230" i="3"/>
  <c r="C5230" i="3"/>
  <c r="A5231" i="3"/>
  <c r="C5231" i="3"/>
  <c r="A5232" i="3"/>
  <c r="C5232" i="3"/>
  <c r="A5233" i="3"/>
  <c r="C5233" i="3"/>
  <c r="A5234" i="3"/>
  <c r="C5234" i="3"/>
  <c r="A5235" i="3"/>
  <c r="C5235" i="3"/>
  <c r="A5236" i="3"/>
  <c r="C5236" i="3"/>
  <c r="A5237" i="3"/>
  <c r="C5237" i="3"/>
  <c r="A5238" i="3"/>
  <c r="C5238" i="3"/>
  <c r="A5239" i="3"/>
  <c r="C5239" i="3"/>
  <c r="A5240" i="3"/>
  <c r="C5240" i="3"/>
  <c r="A5241" i="3"/>
  <c r="C5241" i="3"/>
  <c r="A5242" i="3"/>
  <c r="C5242" i="3"/>
  <c r="A5243" i="3"/>
  <c r="C5243" i="3"/>
  <c r="A5244" i="3"/>
  <c r="C5244" i="3"/>
  <c r="A5245" i="3"/>
  <c r="C5245" i="3"/>
  <c r="A5246" i="3"/>
  <c r="C5246" i="3"/>
  <c r="A5247" i="3"/>
  <c r="C5247" i="3"/>
  <c r="A5248" i="3"/>
  <c r="C5248" i="3"/>
  <c r="A5249" i="3"/>
  <c r="C5249" i="3"/>
  <c r="A5250" i="3"/>
  <c r="C5250" i="3"/>
  <c r="A5251" i="3"/>
  <c r="C5251" i="3"/>
  <c r="A5252" i="3"/>
  <c r="C5252" i="3"/>
  <c r="A5253" i="3"/>
  <c r="C5253" i="3"/>
  <c r="A5254" i="3"/>
  <c r="C5254" i="3"/>
  <c r="A5255" i="3"/>
  <c r="C5255" i="3"/>
  <c r="A5256" i="3"/>
  <c r="C5256" i="3"/>
  <c r="A5257" i="3"/>
  <c r="C5257" i="3"/>
  <c r="A5258" i="3"/>
  <c r="C5258" i="3"/>
  <c r="A5259" i="3"/>
  <c r="C5259" i="3"/>
  <c r="A5260" i="3"/>
  <c r="C5260" i="3"/>
  <c r="A5261" i="3"/>
  <c r="C5261" i="3"/>
  <c r="A5262" i="3"/>
  <c r="C5262" i="3"/>
  <c r="A5263" i="3"/>
  <c r="C5263" i="3"/>
  <c r="A5264" i="3"/>
  <c r="C5264" i="3"/>
  <c r="A5265" i="3"/>
  <c r="C5265" i="3"/>
  <c r="A5266" i="3"/>
  <c r="C5266" i="3"/>
  <c r="A5267" i="3"/>
  <c r="C5267" i="3"/>
  <c r="A5268" i="3"/>
  <c r="C5268" i="3"/>
  <c r="A5269" i="3"/>
  <c r="C5269" i="3"/>
  <c r="A5270" i="3"/>
  <c r="C5270" i="3"/>
  <c r="A5271" i="3"/>
  <c r="C5271" i="3"/>
  <c r="A5272" i="3"/>
  <c r="C5272" i="3"/>
  <c r="A5273" i="3"/>
  <c r="C5273" i="3"/>
  <c r="A5274" i="3"/>
  <c r="C5274" i="3"/>
  <c r="A5275" i="3"/>
  <c r="C5275" i="3"/>
  <c r="A5276" i="3"/>
  <c r="C5276" i="3"/>
  <c r="A5277" i="3"/>
  <c r="C5277" i="3"/>
  <c r="A5278" i="3"/>
  <c r="C5278" i="3"/>
  <c r="A5279" i="3"/>
  <c r="C5279" i="3"/>
  <c r="A5280" i="3"/>
  <c r="C5280" i="3"/>
  <c r="A5281" i="3"/>
  <c r="C5281" i="3"/>
  <c r="A5282" i="3"/>
  <c r="C5282" i="3"/>
  <c r="A5283" i="3"/>
  <c r="C5283" i="3"/>
  <c r="A5284" i="3"/>
  <c r="C5284" i="3"/>
  <c r="A5285" i="3"/>
  <c r="C5285" i="3"/>
  <c r="A5286" i="3"/>
  <c r="C5286" i="3"/>
  <c r="A5287" i="3"/>
  <c r="C5287" i="3"/>
  <c r="A5288" i="3"/>
  <c r="C5288" i="3"/>
  <c r="A5289" i="3"/>
  <c r="C5289" i="3"/>
  <c r="A5290" i="3"/>
  <c r="C5290" i="3"/>
  <c r="A5291" i="3"/>
  <c r="C5291" i="3"/>
  <c r="A5292" i="3"/>
  <c r="C5292" i="3"/>
  <c r="A5293" i="3"/>
  <c r="C5293" i="3"/>
  <c r="A5294" i="3"/>
  <c r="C5294" i="3"/>
  <c r="A5295" i="3"/>
  <c r="C5295" i="3"/>
  <c r="A5296" i="3"/>
  <c r="C5296" i="3"/>
  <c r="A5297" i="3"/>
  <c r="C5297" i="3"/>
  <c r="A5298" i="3"/>
  <c r="C5298" i="3"/>
  <c r="A5299" i="3"/>
  <c r="C5299" i="3"/>
  <c r="A5300" i="3"/>
  <c r="C5300" i="3"/>
  <c r="A5301" i="3"/>
  <c r="C5301" i="3"/>
  <c r="A5302" i="3"/>
  <c r="C5302" i="3"/>
  <c r="A5303" i="3"/>
  <c r="C5303" i="3"/>
  <c r="A5304" i="3"/>
  <c r="C5304" i="3"/>
  <c r="A5305" i="3"/>
  <c r="C5305" i="3"/>
  <c r="A5306" i="3"/>
  <c r="C5306" i="3"/>
  <c r="A5307" i="3"/>
  <c r="C5307" i="3"/>
  <c r="A5308" i="3"/>
  <c r="C5308" i="3"/>
  <c r="A5309" i="3"/>
  <c r="C5309" i="3"/>
  <c r="A5310" i="3"/>
  <c r="C5310" i="3"/>
  <c r="A5311" i="3"/>
  <c r="C5311" i="3"/>
  <c r="A5312" i="3"/>
  <c r="C5312" i="3"/>
  <c r="A5313" i="3"/>
  <c r="C5313" i="3"/>
  <c r="A5314" i="3"/>
  <c r="C5314" i="3"/>
  <c r="A5315" i="3"/>
  <c r="C5315" i="3"/>
  <c r="A5316" i="3"/>
  <c r="C5316" i="3"/>
  <c r="A5317" i="3"/>
  <c r="C5317" i="3"/>
  <c r="A5318" i="3"/>
  <c r="C5318" i="3"/>
  <c r="A5319" i="3"/>
  <c r="C5319" i="3"/>
  <c r="A5320" i="3"/>
  <c r="C5320" i="3"/>
  <c r="A5321" i="3"/>
  <c r="C5321" i="3"/>
  <c r="A5322" i="3"/>
  <c r="C5322" i="3"/>
  <c r="A5323" i="3"/>
  <c r="C5323" i="3"/>
  <c r="A5324" i="3"/>
  <c r="C5324" i="3"/>
  <c r="A5325" i="3"/>
  <c r="C5325" i="3"/>
  <c r="A5326" i="3"/>
  <c r="C5326" i="3"/>
  <c r="A5327" i="3"/>
  <c r="C5327" i="3"/>
  <c r="A5328" i="3"/>
  <c r="C5328" i="3"/>
  <c r="A5329" i="3"/>
  <c r="C5329" i="3"/>
  <c r="A5330" i="3"/>
  <c r="C5330" i="3"/>
  <c r="A5331" i="3"/>
  <c r="C5331" i="3"/>
  <c r="A5332" i="3"/>
  <c r="C5332" i="3"/>
  <c r="A5333" i="3"/>
  <c r="C5333" i="3"/>
  <c r="A5334" i="3"/>
  <c r="C5334" i="3"/>
  <c r="A5335" i="3"/>
  <c r="C5335" i="3"/>
  <c r="A5336" i="3"/>
  <c r="C5336" i="3"/>
  <c r="A5337" i="3"/>
  <c r="C5337" i="3"/>
  <c r="A5338" i="3"/>
  <c r="C5338" i="3"/>
  <c r="A5339" i="3"/>
  <c r="C5339" i="3"/>
  <c r="A5340" i="3"/>
  <c r="C5340" i="3"/>
  <c r="A5341" i="3"/>
  <c r="C5341" i="3"/>
  <c r="A5342" i="3"/>
  <c r="C5342" i="3"/>
  <c r="A5343" i="3"/>
  <c r="C5343" i="3"/>
  <c r="A5344" i="3"/>
  <c r="C5344" i="3"/>
  <c r="A5345" i="3"/>
  <c r="C5345" i="3"/>
  <c r="A5346" i="3"/>
  <c r="C5346" i="3"/>
  <c r="A5347" i="3"/>
  <c r="C5347" i="3"/>
  <c r="A5348" i="3"/>
  <c r="C5348" i="3"/>
  <c r="A5349" i="3"/>
  <c r="C5349" i="3"/>
  <c r="A5350" i="3"/>
  <c r="C5350" i="3"/>
  <c r="A5351" i="3"/>
  <c r="C5351" i="3"/>
  <c r="A5352" i="3"/>
  <c r="C5352" i="3"/>
  <c r="A5353" i="3"/>
  <c r="C5353" i="3"/>
  <c r="A5354" i="3"/>
  <c r="C5354" i="3"/>
  <c r="A5355" i="3"/>
  <c r="C5355" i="3"/>
  <c r="A5356" i="3"/>
  <c r="C5356" i="3"/>
  <c r="A5357" i="3"/>
  <c r="C5357" i="3"/>
  <c r="A5358" i="3"/>
  <c r="C5358" i="3"/>
  <c r="A5359" i="3"/>
  <c r="C5359" i="3"/>
  <c r="A5360" i="3"/>
  <c r="C5360" i="3"/>
  <c r="A5361" i="3"/>
  <c r="C5361" i="3"/>
  <c r="A5362" i="3"/>
  <c r="C5362" i="3"/>
  <c r="A5363" i="3"/>
  <c r="C5363" i="3"/>
  <c r="A5364" i="3"/>
  <c r="C5364" i="3"/>
  <c r="A5365" i="3"/>
  <c r="C5365" i="3"/>
  <c r="A5366" i="3"/>
  <c r="C5366" i="3"/>
  <c r="A5367" i="3"/>
  <c r="C5367" i="3"/>
  <c r="A5368" i="3"/>
  <c r="C5368" i="3"/>
  <c r="A5369" i="3"/>
  <c r="C5369" i="3"/>
  <c r="A5370" i="3"/>
  <c r="C5370" i="3"/>
  <c r="A5371" i="3"/>
  <c r="C5371" i="3"/>
  <c r="A5372" i="3"/>
  <c r="C5372" i="3"/>
  <c r="A5373" i="3"/>
  <c r="C5373" i="3"/>
  <c r="A5374" i="3"/>
  <c r="C5374" i="3"/>
  <c r="A5375" i="3"/>
  <c r="C5375" i="3"/>
  <c r="A5376" i="3"/>
  <c r="C5376" i="3"/>
  <c r="A5377" i="3"/>
  <c r="C5377" i="3"/>
  <c r="A5378" i="3"/>
  <c r="C5378" i="3"/>
  <c r="A5379" i="3"/>
  <c r="C5379" i="3"/>
  <c r="A5380" i="3"/>
  <c r="C5380" i="3"/>
  <c r="A5381" i="3"/>
  <c r="C5381" i="3"/>
  <c r="A5382" i="3"/>
  <c r="C5382" i="3"/>
  <c r="A5383" i="3"/>
  <c r="C5383" i="3"/>
  <c r="A5384" i="3"/>
  <c r="C5384" i="3"/>
  <c r="A5385" i="3"/>
  <c r="C5385" i="3"/>
  <c r="A5386" i="3"/>
  <c r="C5386" i="3"/>
  <c r="A5387" i="3"/>
  <c r="C5387" i="3"/>
  <c r="A5388" i="3"/>
  <c r="C5388" i="3"/>
  <c r="A5389" i="3"/>
  <c r="C5389" i="3"/>
  <c r="A5390" i="3"/>
  <c r="C5390" i="3"/>
  <c r="A5391" i="3"/>
  <c r="C5391" i="3"/>
  <c r="A5392" i="3"/>
  <c r="C5392" i="3"/>
  <c r="A5393" i="3"/>
  <c r="C5393" i="3"/>
  <c r="A5394" i="3"/>
  <c r="C5394" i="3"/>
  <c r="A5395" i="3"/>
  <c r="C5395" i="3"/>
  <c r="A5396" i="3"/>
  <c r="C5396" i="3"/>
  <c r="A5397" i="3"/>
  <c r="C5397" i="3"/>
  <c r="A5398" i="3"/>
  <c r="C5398" i="3"/>
  <c r="A5399" i="3"/>
  <c r="C5399" i="3"/>
  <c r="A5400" i="3"/>
  <c r="C5400" i="3"/>
  <c r="A5401" i="3"/>
  <c r="C5401" i="3"/>
  <c r="A5402" i="3"/>
  <c r="C5402" i="3"/>
  <c r="A5403" i="3"/>
  <c r="C5403" i="3"/>
  <c r="A5404" i="3"/>
  <c r="C5404" i="3"/>
  <c r="A5405" i="3"/>
  <c r="C5405" i="3"/>
  <c r="A5406" i="3"/>
  <c r="C5406" i="3"/>
  <c r="A5407" i="3"/>
  <c r="C5407" i="3"/>
  <c r="A5408" i="3"/>
  <c r="C5408" i="3"/>
  <c r="A5409" i="3"/>
  <c r="C5409" i="3"/>
  <c r="A5410" i="3"/>
  <c r="C5410" i="3"/>
  <c r="A5411" i="3"/>
  <c r="C5411" i="3"/>
  <c r="A5412" i="3"/>
  <c r="C5412" i="3"/>
  <c r="A5413" i="3"/>
  <c r="C5413" i="3"/>
  <c r="A5414" i="3"/>
  <c r="C5414" i="3"/>
  <c r="A5415" i="3"/>
  <c r="C5415" i="3"/>
  <c r="A5416" i="3"/>
  <c r="C5416" i="3"/>
  <c r="A5417" i="3"/>
  <c r="C5417" i="3"/>
  <c r="A5418" i="3"/>
  <c r="C5418" i="3"/>
  <c r="A5419" i="3"/>
  <c r="C5419" i="3"/>
  <c r="A5420" i="3"/>
  <c r="C5420" i="3"/>
  <c r="A5421" i="3"/>
  <c r="C5421" i="3"/>
  <c r="A5422" i="3"/>
  <c r="C5422" i="3"/>
  <c r="A5423" i="3"/>
  <c r="C5423" i="3"/>
  <c r="A5424" i="3"/>
  <c r="C5424" i="3"/>
  <c r="A5425" i="3"/>
  <c r="C5425" i="3"/>
  <c r="A5426" i="3"/>
  <c r="C5426" i="3"/>
  <c r="A5427" i="3"/>
  <c r="C5427" i="3"/>
  <c r="A5428" i="3"/>
  <c r="C5428" i="3"/>
  <c r="A5429" i="3"/>
  <c r="C5429" i="3"/>
  <c r="A5430" i="3"/>
  <c r="C5430" i="3"/>
  <c r="A5431" i="3"/>
  <c r="C5431" i="3"/>
  <c r="A5432" i="3"/>
  <c r="C5432" i="3"/>
  <c r="A5433" i="3"/>
  <c r="C5433" i="3"/>
  <c r="A5434" i="3"/>
  <c r="C5434" i="3"/>
  <c r="A5435" i="3"/>
  <c r="C5435" i="3"/>
  <c r="A5436" i="3"/>
  <c r="C5436" i="3"/>
  <c r="A5437" i="3"/>
  <c r="C5437" i="3"/>
  <c r="A5438" i="3"/>
  <c r="C5438" i="3"/>
  <c r="A5439" i="3"/>
  <c r="C5439" i="3"/>
  <c r="A5440" i="3"/>
  <c r="C5440" i="3"/>
  <c r="A5441" i="3"/>
  <c r="C5441" i="3"/>
  <c r="A5442" i="3"/>
  <c r="C5442" i="3"/>
  <c r="A5443" i="3"/>
  <c r="C5443" i="3"/>
  <c r="A5444" i="3"/>
  <c r="C5444" i="3"/>
  <c r="A5445" i="3"/>
  <c r="C5445" i="3"/>
  <c r="A5446" i="3"/>
  <c r="C5446" i="3"/>
  <c r="A5447" i="3"/>
  <c r="C5447" i="3"/>
  <c r="A5448" i="3"/>
  <c r="C5448" i="3"/>
  <c r="A5449" i="3"/>
  <c r="C5449" i="3"/>
  <c r="A5450" i="3"/>
  <c r="C5450" i="3"/>
  <c r="A5451" i="3"/>
  <c r="C5451" i="3"/>
  <c r="A5452" i="3"/>
  <c r="C5452" i="3"/>
  <c r="A5453" i="3"/>
  <c r="C5453" i="3"/>
  <c r="A5454" i="3"/>
  <c r="C5454" i="3"/>
  <c r="A5455" i="3"/>
  <c r="C5455" i="3"/>
  <c r="A5456" i="3"/>
  <c r="C5456" i="3"/>
  <c r="A5457" i="3"/>
  <c r="C5457" i="3"/>
  <c r="A5458" i="3"/>
  <c r="C5458" i="3"/>
  <c r="A5459" i="3"/>
  <c r="C5459" i="3"/>
  <c r="A5460" i="3"/>
  <c r="C5460" i="3"/>
  <c r="A5461" i="3"/>
  <c r="C5461" i="3"/>
  <c r="A5462" i="3"/>
  <c r="C5462" i="3"/>
  <c r="A5463" i="3"/>
  <c r="C5463" i="3"/>
  <c r="A5464" i="3"/>
  <c r="C5464" i="3"/>
  <c r="A5465" i="3"/>
  <c r="C5465" i="3"/>
  <c r="A5466" i="3"/>
  <c r="C5466" i="3"/>
  <c r="A5467" i="3"/>
  <c r="C5467" i="3"/>
  <c r="A5468" i="3"/>
  <c r="C5468" i="3"/>
  <c r="A5469" i="3"/>
  <c r="C5469" i="3"/>
  <c r="A5470" i="3"/>
  <c r="C5470" i="3"/>
  <c r="A5471" i="3"/>
  <c r="C5471" i="3"/>
  <c r="A5472" i="3"/>
  <c r="C5472" i="3"/>
  <c r="A5473" i="3"/>
  <c r="C5473" i="3"/>
  <c r="A5474" i="3"/>
  <c r="C5474" i="3"/>
  <c r="A5475" i="3"/>
  <c r="C5475" i="3"/>
  <c r="A5476" i="3"/>
  <c r="C5476" i="3"/>
  <c r="A5477" i="3"/>
  <c r="C5477" i="3"/>
  <c r="A5478" i="3"/>
  <c r="C5478" i="3"/>
  <c r="A5479" i="3"/>
  <c r="C5479" i="3"/>
  <c r="A5480" i="3"/>
  <c r="C5480" i="3"/>
  <c r="A5481" i="3"/>
  <c r="C5481" i="3"/>
  <c r="A5482" i="3"/>
  <c r="C5482" i="3"/>
  <c r="A5483" i="3"/>
  <c r="C5483" i="3"/>
  <c r="A5484" i="3"/>
  <c r="C5484" i="3"/>
  <c r="A5485" i="3"/>
  <c r="C5485" i="3"/>
  <c r="A5486" i="3"/>
  <c r="C5486" i="3"/>
  <c r="A5487" i="3"/>
  <c r="C5487" i="3"/>
  <c r="A5488" i="3"/>
  <c r="C5488" i="3"/>
  <c r="A5489" i="3"/>
  <c r="C5489" i="3"/>
  <c r="A5490" i="3"/>
  <c r="C5490" i="3"/>
  <c r="A5491" i="3"/>
  <c r="C5491" i="3"/>
  <c r="A5492" i="3"/>
  <c r="C5492" i="3"/>
  <c r="A5493" i="3"/>
  <c r="C5493" i="3"/>
  <c r="A5494" i="3"/>
  <c r="C5494" i="3"/>
  <c r="A5495" i="3"/>
  <c r="C5495" i="3"/>
  <c r="A5496" i="3"/>
  <c r="C5496" i="3"/>
  <c r="A5497" i="3"/>
  <c r="C5497" i="3"/>
  <c r="A5498" i="3"/>
  <c r="C5498" i="3"/>
  <c r="A5499" i="3"/>
  <c r="C5499" i="3"/>
  <c r="A5500" i="3"/>
  <c r="C5500" i="3"/>
  <c r="A5501" i="3"/>
  <c r="C5501" i="3"/>
  <c r="A5502" i="3"/>
  <c r="C5502" i="3"/>
  <c r="A5503" i="3"/>
  <c r="C5503" i="3"/>
  <c r="A5504" i="3"/>
  <c r="C5504" i="3"/>
  <c r="A5505" i="3"/>
  <c r="C5505" i="3"/>
  <c r="A5506" i="3"/>
  <c r="C5506" i="3"/>
  <c r="A5507" i="3"/>
  <c r="C5507" i="3"/>
  <c r="A5508" i="3"/>
  <c r="C5508" i="3"/>
  <c r="A5509" i="3"/>
  <c r="C5509" i="3"/>
  <c r="A5510" i="3"/>
  <c r="C5510" i="3"/>
  <c r="A5511" i="3"/>
  <c r="C5511" i="3"/>
  <c r="A5512" i="3"/>
  <c r="C5512" i="3"/>
  <c r="A5513" i="3"/>
  <c r="C5513" i="3"/>
  <c r="A5514" i="3"/>
  <c r="C5514" i="3"/>
  <c r="A5515" i="3"/>
  <c r="C5515" i="3"/>
  <c r="A5516" i="3"/>
  <c r="C5516" i="3"/>
  <c r="A5517" i="3"/>
  <c r="C5517" i="3"/>
  <c r="A5518" i="3"/>
  <c r="C5518" i="3"/>
  <c r="A5519" i="3"/>
  <c r="C5519" i="3"/>
  <c r="A5520" i="3"/>
  <c r="C5520" i="3"/>
  <c r="A5521" i="3"/>
  <c r="C5521" i="3"/>
  <c r="A5522" i="3"/>
  <c r="C5522" i="3"/>
  <c r="A5523" i="3"/>
  <c r="C5523" i="3"/>
  <c r="A5524" i="3"/>
  <c r="C5524" i="3"/>
  <c r="A5525" i="3"/>
  <c r="C5525" i="3"/>
  <c r="A5526" i="3"/>
  <c r="C5526" i="3"/>
  <c r="A5527" i="3"/>
  <c r="C5527" i="3"/>
  <c r="A5528" i="3"/>
  <c r="C5528" i="3"/>
  <c r="A5529" i="3"/>
  <c r="C5529" i="3"/>
  <c r="A5530" i="3"/>
  <c r="C5530" i="3"/>
  <c r="A5531" i="3"/>
  <c r="C5531" i="3"/>
  <c r="A5532" i="3"/>
  <c r="C5532" i="3"/>
  <c r="A5533" i="3"/>
  <c r="C5533" i="3"/>
  <c r="A5534" i="3"/>
  <c r="C5534" i="3"/>
  <c r="A5535" i="3"/>
  <c r="C5535" i="3"/>
  <c r="A5536" i="3"/>
  <c r="C5536" i="3"/>
  <c r="A5537" i="3"/>
  <c r="C5537" i="3"/>
  <c r="A5538" i="3"/>
  <c r="C5538" i="3"/>
  <c r="A5539" i="3"/>
  <c r="C5539" i="3"/>
  <c r="A5540" i="3"/>
  <c r="C5540" i="3"/>
  <c r="A5541" i="3"/>
  <c r="C5541" i="3"/>
  <c r="A5542" i="3"/>
  <c r="C5542" i="3"/>
  <c r="A5543" i="3"/>
  <c r="C5543" i="3"/>
  <c r="A5544" i="3"/>
  <c r="C5544" i="3"/>
  <c r="A5545" i="3"/>
  <c r="C5545" i="3"/>
  <c r="A5546" i="3"/>
  <c r="C5546" i="3"/>
  <c r="A5547" i="3"/>
  <c r="C5547" i="3"/>
  <c r="A5548" i="3"/>
  <c r="C5548" i="3"/>
  <c r="A5549" i="3"/>
  <c r="C5549" i="3"/>
  <c r="A5550" i="3"/>
  <c r="C5550" i="3"/>
  <c r="A5551" i="3"/>
  <c r="C5551" i="3"/>
  <c r="A5552" i="3"/>
  <c r="C5552" i="3"/>
  <c r="A5553" i="3"/>
  <c r="C5553" i="3"/>
  <c r="A5554" i="3"/>
  <c r="C5554" i="3"/>
  <c r="A5555" i="3"/>
  <c r="C5555" i="3"/>
  <c r="A5556" i="3"/>
  <c r="C5556" i="3"/>
  <c r="A5557" i="3"/>
  <c r="C5557" i="3"/>
  <c r="A5558" i="3"/>
  <c r="C5558" i="3"/>
  <c r="A5559" i="3"/>
  <c r="C5559" i="3"/>
  <c r="A5560" i="3"/>
  <c r="C5560" i="3"/>
  <c r="A5561" i="3"/>
  <c r="C5561" i="3"/>
  <c r="A5562" i="3"/>
  <c r="C5562" i="3"/>
  <c r="A5563" i="3"/>
  <c r="C5563" i="3"/>
  <c r="A5564" i="3"/>
  <c r="C5564" i="3"/>
  <c r="A5565" i="3"/>
  <c r="C5565" i="3"/>
  <c r="A5566" i="3"/>
  <c r="C5566" i="3"/>
  <c r="A5567" i="3"/>
  <c r="C5567" i="3"/>
  <c r="A5568" i="3"/>
  <c r="C5568" i="3"/>
  <c r="A5569" i="3"/>
  <c r="C5569" i="3"/>
  <c r="A5570" i="3"/>
  <c r="C5570" i="3"/>
  <c r="A5571" i="3"/>
  <c r="C5571" i="3"/>
  <c r="A5572" i="3"/>
  <c r="C5572" i="3"/>
  <c r="A5573" i="3"/>
  <c r="C5573" i="3"/>
  <c r="A5574" i="3"/>
  <c r="C5574" i="3"/>
  <c r="A5575" i="3"/>
  <c r="C5575" i="3"/>
  <c r="A5576" i="3"/>
  <c r="C5576" i="3"/>
  <c r="A5577" i="3"/>
  <c r="C5577" i="3"/>
  <c r="A5578" i="3"/>
  <c r="C5578" i="3"/>
  <c r="A5579" i="3"/>
  <c r="C5579" i="3"/>
  <c r="A5580" i="3"/>
  <c r="C5580" i="3"/>
  <c r="A5581" i="3"/>
  <c r="C5581" i="3"/>
  <c r="A5582" i="3"/>
  <c r="C5582" i="3"/>
  <c r="A5583" i="3"/>
  <c r="C5583" i="3"/>
  <c r="A5584" i="3"/>
  <c r="C5584" i="3"/>
  <c r="A5585" i="3"/>
  <c r="C5585" i="3"/>
  <c r="A5586" i="3"/>
  <c r="C5586" i="3"/>
  <c r="A5587" i="3"/>
  <c r="C5587" i="3"/>
  <c r="A5588" i="3"/>
  <c r="C5588" i="3"/>
  <c r="A5589" i="3"/>
  <c r="C5589" i="3"/>
  <c r="A5590" i="3"/>
  <c r="C5590" i="3"/>
  <c r="A5591" i="3"/>
  <c r="C5591" i="3"/>
  <c r="A5592" i="3"/>
  <c r="C5592" i="3"/>
  <c r="A5593" i="3"/>
  <c r="C5593" i="3"/>
  <c r="A5594" i="3"/>
  <c r="C5594" i="3"/>
  <c r="A5595" i="3"/>
  <c r="C5595" i="3"/>
  <c r="A5596" i="3"/>
  <c r="C5596" i="3"/>
  <c r="A5597" i="3"/>
  <c r="C5597" i="3"/>
  <c r="A5598" i="3"/>
  <c r="C5598" i="3"/>
  <c r="A5599" i="3"/>
  <c r="C5599" i="3"/>
  <c r="A5600" i="3"/>
  <c r="C5600" i="3"/>
  <c r="A5601" i="3"/>
  <c r="C5601" i="3"/>
  <c r="A5602" i="3"/>
  <c r="C5602" i="3"/>
  <c r="A5603" i="3"/>
  <c r="C5603" i="3"/>
  <c r="A5604" i="3"/>
  <c r="C5604" i="3"/>
  <c r="A5605" i="3"/>
  <c r="C5605" i="3"/>
  <c r="A5606" i="3"/>
  <c r="C5606" i="3"/>
  <c r="A5607" i="3"/>
  <c r="C5607" i="3"/>
  <c r="A5608" i="3"/>
  <c r="C5608" i="3"/>
  <c r="A5609" i="3"/>
  <c r="C5609" i="3"/>
  <c r="A5610" i="3"/>
  <c r="C5610" i="3"/>
  <c r="A5611" i="3"/>
  <c r="C5611" i="3"/>
  <c r="A5612" i="3"/>
  <c r="C5612" i="3"/>
  <c r="A5613" i="3"/>
  <c r="C5613" i="3"/>
  <c r="A5614" i="3"/>
  <c r="C5614" i="3"/>
  <c r="A5615" i="3"/>
  <c r="C5615" i="3"/>
  <c r="A5616" i="3"/>
  <c r="C5616" i="3"/>
  <c r="A5617" i="3"/>
  <c r="C5617" i="3"/>
  <c r="A5618" i="3"/>
  <c r="C5618" i="3"/>
  <c r="A5619" i="3"/>
  <c r="C5619" i="3"/>
  <c r="A5620" i="3"/>
  <c r="C5620" i="3"/>
  <c r="A5621" i="3"/>
  <c r="C5621" i="3"/>
  <c r="A5622" i="3"/>
  <c r="C5622" i="3"/>
  <c r="A5623" i="3"/>
  <c r="C5623" i="3"/>
  <c r="A5624" i="3"/>
  <c r="C5624" i="3"/>
  <c r="A5625" i="3"/>
  <c r="C5625" i="3"/>
  <c r="A5626" i="3"/>
  <c r="C5626" i="3"/>
  <c r="A5627" i="3"/>
  <c r="C5627" i="3"/>
  <c r="A5628" i="3"/>
  <c r="C5628" i="3"/>
  <c r="A5629" i="3"/>
  <c r="C5629" i="3"/>
  <c r="A5630" i="3"/>
  <c r="C5630" i="3"/>
  <c r="A5631" i="3"/>
  <c r="C5631" i="3"/>
  <c r="A5632" i="3"/>
  <c r="C5632" i="3"/>
  <c r="A5633" i="3"/>
  <c r="C5633" i="3"/>
  <c r="A5634" i="3"/>
  <c r="C5634" i="3"/>
  <c r="A5635" i="3"/>
  <c r="C5635" i="3"/>
  <c r="A5636" i="3"/>
  <c r="C5636" i="3"/>
  <c r="A5637" i="3"/>
  <c r="C5637" i="3"/>
  <c r="A5638" i="3"/>
  <c r="C5638" i="3"/>
  <c r="A5639" i="3"/>
  <c r="C5639" i="3"/>
  <c r="A5640" i="3"/>
  <c r="C5640" i="3"/>
  <c r="A5641" i="3"/>
  <c r="C5641" i="3"/>
  <c r="A5642" i="3"/>
  <c r="C5642" i="3"/>
  <c r="A5643" i="3"/>
  <c r="C5643" i="3"/>
  <c r="A5644" i="3"/>
  <c r="C5644" i="3"/>
  <c r="A5645" i="3"/>
  <c r="C5645" i="3"/>
  <c r="A5646" i="3"/>
  <c r="C5646" i="3"/>
  <c r="A5647" i="3"/>
  <c r="C5647" i="3"/>
  <c r="A5648" i="3"/>
  <c r="C5648" i="3"/>
  <c r="A5649" i="3"/>
  <c r="C5649" i="3"/>
  <c r="A5650" i="3"/>
  <c r="C5650" i="3"/>
  <c r="A5651" i="3"/>
  <c r="C5651" i="3"/>
  <c r="A5652" i="3"/>
  <c r="C5652" i="3"/>
  <c r="A5653" i="3"/>
  <c r="C5653" i="3"/>
  <c r="A5654" i="3"/>
  <c r="C5654" i="3"/>
  <c r="A5655" i="3"/>
  <c r="C5655" i="3"/>
  <c r="A5656" i="3"/>
  <c r="C5656" i="3"/>
  <c r="A5657" i="3"/>
  <c r="C5657" i="3"/>
  <c r="A5658" i="3"/>
  <c r="C5658" i="3"/>
  <c r="A5659" i="3"/>
  <c r="C5659" i="3"/>
  <c r="A5660" i="3"/>
  <c r="C5660" i="3"/>
  <c r="A5661" i="3"/>
  <c r="C5661" i="3"/>
  <c r="A5662" i="3"/>
  <c r="C5662" i="3"/>
  <c r="A5663" i="3"/>
  <c r="C5663" i="3"/>
  <c r="A5664" i="3"/>
  <c r="C5664" i="3"/>
  <c r="A5665" i="3"/>
  <c r="C5665" i="3"/>
  <c r="A5666" i="3"/>
  <c r="C5666" i="3"/>
  <c r="A5667" i="3"/>
  <c r="C5667" i="3"/>
  <c r="A5668" i="3"/>
  <c r="C5668" i="3"/>
  <c r="A5669" i="3"/>
  <c r="C5669" i="3"/>
  <c r="A5670" i="3"/>
  <c r="C5670" i="3"/>
  <c r="A5671" i="3"/>
  <c r="C5671" i="3"/>
  <c r="A5672" i="3"/>
  <c r="C5672" i="3"/>
  <c r="A5673" i="3"/>
  <c r="C5673" i="3"/>
  <c r="A5674" i="3"/>
  <c r="C5674" i="3"/>
  <c r="A5675" i="3"/>
  <c r="C5675" i="3"/>
  <c r="A5676" i="3"/>
  <c r="C5676" i="3"/>
  <c r="A5677" i="3"/>
  <c r="C5677" i="3"/>
  <c r="A5678" i="3"/>
  <c r="C5678" i="3"/>
  <c r="A5679" i="3"/>
  <c r="C5679" i="3"/>
  <c r="A5680" i="3"/>
  <c r="C5680" i="3"/>
  <c r="A5681" i="3"/>
  <c r="C5681" i="3"/>
  <c r="A5682" i="3"/>
  <c r="C5682" i="3"/>
  <c r="A5683" i="3"/>
  <c r="C5683" i="3"/>
  <c r="A5684" i="3"/>
  <c r="C5684" i="3"/>
  <c r="A5685" i="3"/>
  <c r="C5685" i="3"/>
  <c r="A5686" i="3"/>
  <c r="C5686" i="3"/>
  <c r="A5687" i="3"/>
  <c r="C5687" i="3"/>
  <c r="A5688" i="3"/>
  <c r="C5688" i="3"/>
  <c r="A5689" i="3"/>
  <c r="C5689" i="3"/>
  <c r="A5690" i="3"/>
  <c r="C5690" i="3"/>
  <c r="A5691" i="3"/>
  <c r="C5691" i="3"/>
  <c r="A5692" i="3"/>
  <c r="C5692" i="3"/>
  <c r="A5693" i="3"/>
  <c r="C5693" i="3"/>
  <c r="A5694" i="3"/>
  <c r="C5694" i="3"/>
  <c r="A5695" i="3"/>
  <c r="C5695" i="3"/>
  <c r="A5696" i="3"/>
  <c r="C5696" i="3"/>
  <c r="A5697" i="3"/>
  <c r="C5697" i="3"/>
  <c r="A5698" i="3"/>
  <c r="C5698" i="3"/>
  <c r="A5699" i="3"/>
  <c r="C5699" i="3"/>
  <c r="A5700" i="3"/>
  <c r="C5700" i="3"/>
  <c r="A5701" i="3"/>
  <c r="C5701" i="3"/>
  <c r="A5702" i="3"/>
  <c r="C5702" i="3"/>
  <c r="A5703" i="3"/>
  <c r="C5703" i="3"/>
  <c r="A5704" i="3"/>
  <c r="C5704" i="3"/>
  <c r="A5705" i="3"/>
  <c r="C5705" i="3"/>
  <c r="A5706" i="3"/>
  <c r="C5706" i="3"/>
  <c r="A5707" i="3"/>
  <c r="C5707" i="3"/>
  <c r="A5708" i="3"/>
  <c r="C5708" i="3"/>
  <c r="A5709" i="3"/>
  <c r="C5709" i="3"/>
  <c r="A5710" i="3"/>
  <c r="C5710" i="3"/>
  <c r="A5711" i="3"/>
  <c r="C5711" i="3"/>
  <c r="A5712" i="3"/>
  <c r="C5712" i="3"/>
  <c r="A5713" i="3"/>
  <c r="C5713" i="3"/>
  <c r="A5714" i="3"/>
  <c r="C5714" i="3"/>
  <c r="A5715" i="3"/>
  <c r="C5715" i="3"/>
  <c r="A5716" i="3"/>
  <c r="C5716" i="3"/>
  <c r="A5717" i="3"/>
  <c r="C5717" i="3"/>
  <c r="A5718" i="3"/>
  <c r="C5718" i="3"/>
  <c r="A5719" i="3"/>
  <c r="C5719" i="3"/>
  <c r="A5720" i="3"/>
  <c r="C5720" i="3"/>
  <c r="A5721" i="3"/>
  <c r="C5721" i="3"/>
  <c r="A5722" i="3"/>
  <c r="C5722" i="3"/>
  <c r="A5723" i="3"/>
  <c r="C5723" i="3"/>
  <c r="A5724" i="3"/>
  <c r="C5724" i="3"/>
  <c r="A5725" i="3"/>
  <c r="C5725" i="3"/>
  <c r="A5726" i="3"/>
  <c r="C5726" i="3"/>
  <c r="A5727" i="3"/>
  <c r="C5727" i="3"/>
  <c r="A5728" i="3"/>
  <c r="C5728" i="3"/>
  <c r="A5729" i="3"/>
  <c r="C5729" i="3"/>
  <c r="A5730" i="3"/>
  <c r="C5730" i="3"/>
  <c r="A5731" i="3"/>
  <c r="C5731" i="3"/>
  <c r="A5732" i="3"/>
  <c r="C5732" i="3"/>
  <c r="A5733" i="3"/>
  <c r="C5733" i="3"/>
  <c r="A5734" i="3"/>
  <c r="C5734" i="3"/>
  <c r="A5735" i="3"/>
  <c r="C5735" i="3"/>
  <c r="A5736" i="3"/>
  <c r="C5736" i="3"/>
  <c r="A5737" i="3"/>
  <c r="C5737" i="3"/>
  <c r="A5738" i="3"/>
  <c r="C5738" i="3"/>
  <c r="A5739" i="3"/>
  <c r="C5739" i="3"/>
  <c r="A5740" i="3"/>
  <c r="C5740" i="3"/>
  <c r="A5741" i="3"/>
  <c r="C5741" i="3"/>
  <c r="A5742" i="3"/>
  <c r="C5742" i="3"/>
  <c r="A5743" i="3"/>
  <c r="C5743" i="3"/>
  <c r="A5744" i="3"/>
  <c r="C5744" i="3"/>
  <c r="A5745" i="3"/>
  <c r="C5745" i="3"/>
  <c r="A5746" i="3"/>
  <c r="C5746" i="3"/>
  <c r="A5747" i="3"/>
  <c r="C5747" i="3"/>
  <c r="A5748" i="3"/>
  <c r="C5748" i="3"/>
  <c r="A5749" i="3"/>
  <c r="C5749" i="3"/>
  <c r="A5750" i="3"/>
  <c r="C5750" i="3"/>
  <c r="A5751" i="3"/>
  <c r="C5751" i="3"/>
  <c r="A5752" i="3"/>
  <c r="C5752" i="3"/>
  <c r="A5753" i="3"/>
  <c r="C5753" i="3"/>
  <c r="A5754" i="3"/>
  <c r="C5754" i="3"/>
  <c r="A5755" i="3"/>
  <c r="C5755" i="3"/>
  <c r="A5756" i="3"/>
  <c r="C5756" i="3"/>
  <c r="A5757" i="3"/>
  <c r="C5757" i="3"/>
  <c r="A5758" i="3"/>
  <c r="C5758" i="3"/>
  <c r="A5759" i="3"/>
  <c r="C5759" i="3"/>
  <c r="A5760" i="3"/>
  <c r="C5760" i="3"/>
  <c r="A5761" i="3"/>
  <c r="C5761" i="3"/>
  <c r="A5762" i="3"/>
  <c r="C5762" i="3"/>
  <c r="A5763" i="3"/>
  <c r="C5763" i="3"/>
  <c r="A5764" i="3"/>
  <c r="C5764" i="3"/>
  <c r="A5765" i="3"/>
  <c r="C5765" i="3"/>
  <c r="A5766" i="3"/>
  <c r="C5766" i="3"/>
  <c r="A5767" i="3"/>
  <c r="C5767" i="3"/>
  <c r="A5768" i="3"/>
  <c r="C5768" i="3"/>
  <c r="A5769" i="3"/>
  <c r="C5769" i="3"/>
  <c r="A5770" i="3"/>
  <c r="C5770" i="3"/>
  <c r="A5771" i="3"/>
  <c r="C5771" i="3"/>
  <c r="A5772" i="3"/>
  <c r="C5772" i="3"/>
  <c r="A5773" i="3"/>
  <c r="C5773" i="3"/>
  <c r="A5774" i="3"/>
  <c r="C5774" i="3"/>
  <c r="A5775" i="3"/>
  <c r="C5775" i="3"/>
  <c r="A5776" i="3"/>
  <c r="C5776" i="3"/>
  <c r="A5777" i="3"/>
  <c r="C5777" i="3"/>
  <c r="A5778" i="3"/>
  <c r="C5778" i="3"/>
  <c r="A5779" i="3"/>
  <c r="C5779" i="3"/>
  <c r="A5780" i="3"/>
  <c r="C5780" i="3"/>
  <c r="A5781" i="3"/>
  <c r="C5781" i="3"/>
  <c r="A5782" i="3"/>
  <c r="C5782" i="3"/>
  <c r="A5783" i="3"/>
  <c r="C5783" i="3"/>
  <c r="A5784" i="3"/>
  <c r="C5784" i="3"/>
  <c r="A5785" i="3"/>
  <c r="C5785" i="3"/>
  <c r="A5786" i="3"/>
  <c r="C5786" i="3"/>
  <c r="A5787" i="3"/>
  <c r="C5787" i="3"/>
  <c r="A5788" i="3"/>
  <c r="C5788" i="3"/>
  <c r="A5789" i="3"/>
  <c r="C5789" i="3"/>
  <c r="A5790" i="3"/>
  <c r="C5790" i="3"/>
  <c r="A5791" i="3"/>
  <c r="C5791" i="3"/>
  <c r="A5792" i="3"/>
  <c r="C5792" i="3"/>
  <c r="A5793" i="3"/>
  <c r="C5793" i="3"/>
  <c r="A5794" i="3"/>
  <c r="C5794" i="3"/>
  <c r="A5795" i="3"/>
  <c r="C5795" i="3"/>
  <c r="A5796" i="3"/>
  <c r="C5796" i="3"/>
  <c r="A5797" i="3"/>
  <c r="C5797" i="3"/>
  <c r="A5798" i="3"/>
  <c r="C5798" i="3"/>
  <c r="A5799" i="3"/>
  <c r="C5799" i="3"/>
  <c r="A5800" i="3"/>
  <c r="C5800" i="3"/>
  <c r="A5801" i="3"/>
  <c r="C5801" i="3"/>
  <c r="A5802" i="3"/>
  <c r="C5802" i="3"/>
  <c r="A5803" i="3"/>
  <c r="C5803" i="3"/>
  <c r="A5804" i="3"/>
  <c r="C5804" i="3"/>
  <c r="A5805" i="3"/>
  <c r="C5805" i="3"/>
  <c r="A5806" i="3"/>
  <c r="C5806" i="3"/>
  <c r="A5807" i="3"/>
  <c r="C5807" i="3"/>
  <c r="A5808" i="3"/>
  <c r="C5808" i="3"/>
  <c r="A5809" i="3"/>
  <c r="C5809" i="3"/>
  <c r="A5810" i="3"/>
  <c r="C5810" i="3"/>
  <c r="A5811" i="3"/>
  <c r="C5811" i="3"/>
  <c r="A5812" i="3"/>
  <c r="C5812" i="3"/>
  <c r="A5813" i="3"/>
  <c r="C5813" i="3"/>
  <c r="A5814" i="3"/>
  <c r="C5814" i="3"/>
  <c r="A5815" i="3"/>
  <c r="C5815" i="3"/>
  <c r="A5816" i="3"/>
  <c r="C5816" i="3"/>
  <c r="A5817" i="3"/>
  <c r="C5817" i="3"/>
  <c r="A5818" i="3"/>
  <c r="C5818" i="3"/>
  <c r="A5819" i="3"/>
  <c r="C5819" i="3"/>
  <c r="A5820" i="3"/>
  <c r="C5820" i="3"/>
  <c r="A5821" i="3"/>
  <c r="C5821" i="3"/>
  <c r="A5822" i="3"/>
  <c r="C5822" i="3"/>
  <c r="A5823" i="3"/>
  <c r="C5823" i="3"/>
  <c r="A5824" i="3"/>
  <c r="C5824" i="3"/>
  <c r="A5825" i="3"/>
  <c r="C5825" i="3"/>
  <c r="A5826" i="3"/>
  <c r="C5826" i="3"/>
  <c r="A5827" i="3"/>
  <c r="C5827" i="3"/>
  <c r="A5828" i="3"/>
  <c r="C5828" i="3"/>
  <c r="A5829" i="3"/>
  <c r="C5829" i="3"/>
  <c r="A5830" i="3"/>
  <c r="C5830" i="3"/>
  <c r="A5831" i="3"/>
  <c r="C5831" i="3"/>
  <c r="A5832" i="3"/>
  <c r="C5832" i="3"/>
  <c r="A5833" i="3"/>
  <c r="C5833" i="3"/>
  <c r="A5834" i="3"/>
  <c r="C5834" i="3"/>
  <c r="A5835" i="3"/>
  <c r="C5835" i="3"/>
  <c r="A5836" i="3"/>
  <c r="C5836" i="3"/>
  <c r="A5837" i="3"/>
  <c r="C5837" i="3"/>
  <c r="A5838" i="3"/>
  <c r="C5838" i="3"/>
  <c r="A5839" i="3"/>
  <c r="C5839" i="3"/>
  <c r="A5840" i="3"/>
  <c r="C5840" i="3"/>
  <c r="A5841" i="3"/>
  <c r="C5841" i="3"/>
  <c r="A5842" i="3"/>
  <c r="C5842" i="3"/>
  <c r="A5843" i="3"/>
  <c r="C5843" i="3"/>
  <c r="A5844" i="3"/>
  <c r="C5844" i="3"/>
  <c r="A5845" i="3"/>
  <c r="C5845" i="3"/>
  <c r="A5846" i="3"/>
  <c r="C5846" i="3"/>
  <c r="A5847" i="3"/>
  <c r="C5847" i="3"/>
  <c r="A5848" i="3"/>
  <c r="C5848" i="3"/>
  <c r="A5849" i="3"/>
  <c r="C5849" i="3"/>
  <c r="A5850" i="3"/>
  <c r="C5850" i="3"/>
  <c r="A5851" i="3"/>
  <c r="C5851" i="3"/>
  <c r="A5852" i="3"/>
  <c r="C5852" i="3"/>
  <c r="A5853" i="3"/>
  <c r="C5853" i="3"/>
  <c r="A5854" i="3"/>
  <c r="C5854" i="3"/>
  <c r="A5855" i="3"/>
  <c r="C5855" i="3"/>
  <c r="A5856" i="3"/>
  <c r="C5856" i="3"/>
  <c r="A5857" i="3"/>
  <c r="C5857" i="3"/>
  <c r="A5858" i="3"/>
  <c r="C5858" i="3"/>
  <c r="A5859" i="3"/>
  <c r="C5859" i="3"/>
  <c r="A5860" i="3"/>
  <c r="C5860" i="3"/>
  <c r="A5861" i="3"/>
  <c r="C5861" i="3"/>
  <c r="A5862" i="3"/>
  <c r="C5862" i="3"/>
  <c r="A5863" i="3"/>
  <c r="C5863" i="3"/>
  <c r="A5864" i="3"/>
  <c r="C5864" i="3"/>
  <c r="A5865" i="3"/>
  <c r="C5865" i="3"/>
  <c r="A5866" i="3"/>
  <c r="C5866" i="3"/>
  <c r="A5867" i="3"/>
  <c r="C5867" i="3"/>
  <c r="A5868" i="3"/>
  <c r="C5868" i="3"/>
  <c r="A5869" i="3"/>
  <c r="C5869" i="3"/>
  <c r="A5870" i="3"/>
  <c r="C5870" i="3"/>
  <c r="A5871" i="3"/>
  <c r="C5871" i="3"/>
  <c r="A5872" i="3"/>
  <c r="C5872" i="3"/>
  <c r="A5873" i="3"/>
  <c r="C5873" i="3"/>
  <c r="A5874" i="3"/>
  <c r="C5874" i="3"/>
  <c r="A5875" i="3"/>
  <c r="C5875" i="3"/>
  <c r="A5876" i="3"/>
  <c r="C5876" i="3"/>
  <c r="A5877" i="3"/>
  <c r="C5877" i="3"/>
  <c r="A5878" i="3"/>
  <c r="C5878" i="3"/>
  <c r="A5879" i="3"/>
  <c r="C5879" i="3"/>
  <c r="A5880" i="3"/>
  <c r="C5880" i="3"/>
  <c r="A5881" i="3"/>
  <c r="C5881" i="3"/>
  <c r="A5882" i="3"/>
  <c r="C5882" i="3"/>
  <c r="A5883" i="3"/>
  <c r="C5883" i="3"/>
  <c r="A5884" i="3"/>
  <c r="C5884" i="3"/>
  <c r="A5885" i="3"/>
  <c r="C5885" i="3"/>
  <c r="A5886" i="3"/>
  <c r="C5886" i="3"/>
  <c r="A5887" i="3"/>
  <c r="C5887" i="3"/>
  <c r="A5888" i="3"/>
  <c r="C5888" i="3"/>
  <c r="A5889" i="3"/>
  <c r="C5889" i="3"/>
  <c r="A5890" i="3"/>
  <c r="C5890" i="3"/>
  <c r="A5891" i="3"/>
  <c r="C5891" i="3"/>
  <c r="A5892" i="3"/>
  <c r="C5892" i="3"/>
  <c r="A5893" i="3"/>
  <c r="C5893" i="3"/>
  <c r="A5894" i="3"/>
  <c r="C5894" i="3"/>
  <c r="A5895" i="3"/>
  <c r="C5895" i="3"/>
  <c r="A5896" i="3"/>
  <c r="C5896" i="3"/>
  <c r="A5897" i="3"/>
  <c r="C5897" i="3"/>
  <c r="A5898" i="3"/>
  <c r="C5898" i="3"/>
  <c r="A5899" i="3"/>
  <c r="C5899" i="3"/>
  <c r="A5900" i="3"/>
  <c r="C5900" i="3"/>
  <c r="A5901" i="3"/>
  <c r="C5901" i="3"/>
  <c r="A5902" i="3"/>
  <c r="C5902" i="3"/>
  <c r="A5903" i="3"/>
  <c r="C5903" i="3"/>
  <c r="A5904" i="3"/>
  <c r="C5904" i="3"/>
  <c r="A5905" i="3"/>
  <c r="C5905" i="3"/>
  <c r="A5906" i="3"/>
  <c r="C5906" i="3"/>
  <c r="A5907" i="3"/>
  <c r="C5907" i="3"/>
  <c r="A5908" i="3"/>
  <c r="C5908" i="3"/>
  <c r="A5909" i="3"/>
  <c r="C5909" i="3"/>
  <c r="A5910" i="3"/>
  <c r="C5910" i="3"/>
  <c r="A5911" i="3"/>
  <c r="C5911" i="3"/>
  <c r="A5912" i="3"/>
  <c r="C5912" i="3"/>
  <c r="A5913" i="3"/>
  <c r="C5913" i="3"/>
  <c r="A5914" i="3"/>
  <c r="C5914" i="3"/>
  <c r="A5915" i="3"/>
  <c r="C5915" i="3"/>
  <c r="A5916" i="3"/>
  <c r="C5916" i="3"/>
  <c r="A5917" i="3"/>
  <c r="C5917" i="3"/>
  <c r="A5918" i="3"/>
  <c r="C5918" i="3"/>
  <c r="A5919" i="3"/>
  <c r="C5919" i="3"/>
  <c r="A5920" i="3"/>
  <c r="C5920" i="3"/>
  <c r="A5921" i="3"/>
  <c r="C5921" i="3"/>
  <c r="A5922" i="3"/>
  <c r="C5922" i="3"/>
  <c r="A5923" i="3"/>
  <c r="C5923" i="3"/>
  <c r="A5924" i="3"/>
  <c r="C5924" i="3"/>
  <c r="A5925" i="3"/>
  <c r="C5925" i="3"/>
  <c r="A5926" i="3"/>
  <c r="C5926" i="3"/>
  <c r="A5927" i="3"/>
  <c r="C5927" i="3"/>
  <c r="A5928" i="3"/>
  <c r="C5928" i="3"/>
  <c r="A5929" i="3"/>
  <c r="C5929" i="3"/>
  <c r="A5930" i="3"/>
  <c r="C5930" i="3"/>
  <c r="A5931" i="3"/>
  <c r="C5931" i="3"/>
  <c r="A5932" i="3"/>
  <c r="C5932" i="3"/>
  <c r="A5933" i="3"/>
  <c r="C5933" i="3"/>
  <c r="A5934" i="3"/>
  <c r="C5934" i="3"/>
  <c r="A5935" i="3"/>
  <c r="C5935" i="3"/>
  <c r="A5936" i="3"/>
  <c r="C5936" i="3"/>
  <c r="A5937" i="3"/>
  <c r="C5937" i="3"/>
  <c r="A5938" i="3"/>
  <c r="C5938" i="3"/>
  <c r="A5939" i="3"/>
  <c r="C5939" i="3"/>
  <c r="A5940" i="3"/>
  <c r="C5940" i="3"/>
  <c r="A5941" i="3"/>
  <c r="C5941" i="3"/>
  <c r="A5942" i="3"/>
  <c r="C5942" i="3"/>
  <c r="A5943" i="3"/>
  <c r="C5943" i="3"/>
  <c r="A5944" i="3"/>
  <c r="C5944" i="3"/>
  <c r="A5945" i="3"/>
  <c r="C5945" i="3"/>
  <c r="A5946" i="3"/>
  <c r="C5946" i="3"/>
  <c r="A5947" i="3"/>
  <c r="C5947" i="3"/>
  <c r="A5948" i="3"/>
  <c r="C5948" i="3"/>
  <c r="A5949" i="3"/>
  <c r="C5949" i="3"/>
  <c r="A5950" i="3"/>
  <c r="C5950" i="3"/>
  <c r="A5951" i="3"/>
  <c r="C5951" i="3"/>
  <c r="A5952" i="3"/>
  <c r="C5952" i="3"/>
  <c r="A5953" i="3"/>
  <c r="C5953" i="3"/>
  <c r="A5954" i="3"/>
  <c r="C5954" i="3"/>
  <c r="A5955" i="3"/>
  <c r="C5955" i="3"/>
  <c r="A5956" i="3"/>
  <c r="C5956" i="3"/>
  <c r="A5957" i="3"/>
  <c r="C5957" i="3"/>
  <c r="A5958" i="3"/>
  <c r="C5958" i="3"/>
  <c r="A5959" i="3"/>
  <c r="C5959" i="3"/>
  <c r="A5960" i="3"/>
  <c r="C5960" i="3"/>
  <c r="A5961" i="3"/>
  <c r="C5961" i="3"/>
  <c r="A5962" i="3"/>
  <c r="C5962" i="3"/>
  <c r="A5963" i="3"/>
  <c r="C5963" i="3"/>
  <c r="A5964" i="3"/>
  <c r="C5964" i="3"/>
  <c r="A5965" i="3"/>
  <c r="C5965" i="3"/>
  <c r="A5966" i="3"/>
  <c r="C5966" i="3"/>
  <c r="A5967" i="3"/>
  <c r="C5967" i="3"/>
  <c r="A5968" i="3"/>
  <c r="C5968" i="3"/>
  <c r="A5969" i="3"/>
  <c r="C5969" i="3"/>
  <c r="A5970" i="3"/>
  <c r="C5970" i="3"/>
  <c r="A5971" i="3"/>
  <c r="C5971" i="3"/>
  <c r="A5972" i="3"/>
  <c r="C5972" i="3"/>
  <c r="A5973" i="3"/>
  <c r="C5973" i="3"/>
  <c r="A5974" i="3"/>
  <c r="C5974" i="3"/>
  <c r="A5975" i="3"/>
  <c r="C5975" i="3"/>
  <c r="A5976" i="3"/>
  <c r="C5976" i="3"/>
  <c r="A5977" i="3"/>
  <c r="C5977" i="3"/>
  <c r="A5978" i="3"/>
  <c r="C5978" i="3"/>
  <c r="A5979" i="3"/>
  <c r="C5979" i="3"/>
  <c r="A5980" i="3"/>
  <c r="C5980" i="3"/>
  <c r="A5981" i="3"/>
  <c r="C5981" i="3"/>
  <c r="A5982" i="3"/>
  <c r="C5982" i="3"/>
  <c r="A5983" i="3"/>
  <c r="C5983" i="3"/>
  <c r="A5984" i="3"/>
  <c r="C5984" i="3"/>
  <c r="A5985" i="3"/>
  <c r="C5985" i="3"/>
  <c r="A5986" i="3"/>
  <c r="C5986" i="3"/>
  <c r="A5987" i="3"/>
  <c r="C5987" i="3"/>
  <c r="A5988" i="3"/>
  <c r="C5988" i="3"/>
  <c r="A5989" i="3"/>
  <c r="C5989" i="3"/>
  <c r="A5990" i="3"/>
  <c r="C5990" i="3"/>
  <c r="A5991" i="3"/>
  <c r="C5991" i="3"/>
  <c r="A5992" i="3"/>
  <c r="C5992" i="3"/>
  <c r="A5993" i="3"/>
  <c r="C5993" i="3"/>
  <c r="A5994" i="3"/>
  <c r="C5994" i="3"/>
  <c r="A5995" i="3"/>
  <c r="C5995" i="3"/>
  <c r="A5996" i="3"/>
  <c r="C5996" i="3"/>
  <c r="A5997" i="3"/>
  <c r="C5997" i="3"/>
  <c r="A5998" i="3"/>
  <c r="C5998" i="3"/>
  <c r="A5999" i="3"/>
  <c r="C5999" i="3"/>
  <c r="A6000" i="3"/>
  <c r="C6000" i="3"/>
  <c r="A6001" i="3"/>
  <c r="C6001" i="3"/>
  <c r="A6002" i="3"/>
  <c r="C6002" i="3"/>
  <c r="A6003" i="3"/>
  <c r="C6003" i="3"/>
  <c r="A6004" i="3"/>
  <c r="C6004" i="3"/>
  <c r="A6005" i="3"/>
  <c r="C6005" i="3"/>
  <c r="A6006" i="3"/>
  <c r="C6006" i="3"/>
  <c r="A6007" i="3"/>
  <c r="C6007" i="3"/>
  <c r="A6008" i="3"/>
  <c r="C6008" i="3"/>
  <c r="A6009" i="3"/>
  <c r="C6009" i="3"/>
  <c r="A6010" i="3"/>
  <c r="C6010" i="3"/>
  <c r="A6011" i="3"/>
  <c r="C6011" i="3"/>
  <c r="A6012" i="3"/>
  <c r="C6012" i="3"/>
  <c r="A6013" i="3"/>
  <c r="C6013" i="3"/>
  <c r="A6014" i="3"/>
  <c r="C6014" i="3"/>
  <c r="A6015" i="3"/>
  <c r="C6015" i="3"/>
  <c r="A6016" i="3"/>
  <c r="C6016" i="3"/>
  <c r="A6017" i="3"/>
  <c r="C6017" i="3"/>
  <c r="A6018" i="3"/>
  <c r="C6018" i="3"/>
  <c r="A6019" i="3"/>
  <c r="C6019" i="3"/>
  <c r="A6020" i="3"/>
  <c r="C6020" i="3"/>
  <c r="A6021" i="3"/>
  <c r="C6021" i="3"/>
  <c r="A6022" i="3"/>
  <c r="C6022" i="3"/>
  <c r="A6023" i="3"/>
  <c r="C6023" i="3"/>
  <c r="A6024" i="3"/>
  <c r="C6024" i="3"/>
  <c r="A6025" i="3"/>
  <c r="C6025" i="3"/>
  <c r="A6026" i="3"/>
  <c r="C6026" i="3"/>
  <c r="A6027" i="3"/>
  <c r="C6027" i="3"/>
  <c r="A6028" i="3"/>
  <c r="C6028" i="3"/>
  <c r="A6029" i="3"/>
  <c r="C6029" i="3"/>
  <c r="A6030" i="3"/>
  <c r="C6030" i="3"/>
  <c r="A6031" i="3"/>
  <c r="C6031" i="3"/>
  <c r="A6032" i="3"/>
  <c r="C6032" i="3"/>
  <c r="A6033" i="3"/>
  <c r="C6033" i="3"/>
  <c r="A6034" i="3"/>
  <c r="C6034" i="3"/>
  <c r="A6035" i="3"/>
  <c r="C6035" i="3"/>
  <c r="A6036" i="3"/>
  <c r="C6036" i="3"/>
  <c r="A6037" i="3"/>
  <c r="C6037" i="3"/>
  <c r="A6038" i="3"/>
  <c r="C6038" i="3"/>
  <c r="A6039" i="3"/>
  <c r="C6039" i="3"/>
  <c r="A6040" i="3"/>
  <c r="C6040" i="3"/>
  <c r="A6041" i="3"/>
  <c r="C6041" i="3"/>
  <c r="A6042" i="3"/>
  <c r="C6042" i="3"/>
  <c r="A6043" i="3"/>
  <c r="C6043" i="3"/>
  <c r="A6044" i="3"/>
  <c r="C6044" i="3"/>
  <c r="A6045" i="3"/>
  <c r="C6045" i="3"/>
  <c r="A6046" i="3"/>
  <c r="C6046" i="3"/>
  <c r="A6047" i="3"/>
  <c r="C6047" i="3"/>
  <c r="A6048" i="3"/>
  <c r="C6048" i="3"/>
  <c r="A6049" i="3"/>
  <c r="C6049" i="3"/>
  <c r="A6050" i="3"/>
  <c r="C6050" i="3"/>
  <c r="A6051" i="3"/>
  <c r="C6051" i="3"/>
  <c r="A6052" i="3"/>
  <c r="C6052" i="3"/>
  <c r="A6053" i="3"/>
  <c r="C6053" i="3"/>
  <c r="A6054" i="3"/>
  <c r="C6054" i="3"/>
  <c r="A6055" i="3"/>
  <c r="C6055" i="3"/>
  <c r="A6056" i="3"/>
  <c r="C6056" i="3"/>
  <c r="A6057" i="3"/>
  <c r="C6057" i="3"/>
  <c r="A6058" i="3"/>
  <c r="C6058" i="3"/>
  <c r="A6059" i="3"/>
  <c r="C6059" i="3"/>
  <c r="A6060" i="3"/>
  <c r="C6060" i="3"/>
  <c r="A6061" i="3"/>
  <c r="C6061" i="3"/>
  <c r="A6062" i="3"/>
  <c r="C6062" i="3"/>
  <c r="A6063" i="3"/>
  <c r="C6063" i="3"/>
  <c r="A6064" i="3"/>
  <c r="C6064" i="3"/>
  <c r="A6065" i="3"/>
  <c r="C6065" i="3"/>
  <c r="A6066" i="3"/>
  <c r="C6066" i="3"/>
  <c r="A6067" i="3"/>
  <c r="C6067" i="3"/>
  <c r="A6068" i="3"/>
  <c r="C6068" i="3"/>
  <c r="A6069" i="3"/>
  <c r="C6069" i="3"/>
  <c r="A6070" i="3"/>
  <c r="C6070" i="3"/>
  <c r="A6071" i="3"/>
  <c r="C6071" i="3"/>
  <c r="A6072" i="3"/>
  <c r="C6072" i="3"/>
  <c r="A6073" i="3"/>
  <c r="C6073" i="3"/>
  <c r="A6074" i="3"/>
  <c r="C6074" i="3"/>
  <c r="A6075" i="3"/>
  <c r="C6075" i="3"/>
  <c r="A6076" i="3"/>
  <c r="C6076" i="3"/>
  <c r="A6077" i="3"/>
  <c r="C6077" i="3"/>
  <c r="A6078" i="3"/>
  <c r="C6078" i="3"/>
  <c r="A6079" i="3"/>
  <c r="C6079" i="3"/>
  <c r="A6080" i="3"/>
  <c r="C6080" i="3"/>
  <c r="A6081" i="3"/>
  <c r="C6081" i="3"/>
  <c r="A6082" i="3"/>
  <c r="C6082" i="3"/>
  <c r="A6083" i="3"/>
  <c r="C6083" i="3"/>
  <c r="A6084" i="3"/>
  <c r="C6084" i="3"/>
  <c r="A6085" i="3"/>
  <c r="C6085" i="3"/>
  <c r="A6086" i="3"/>
  <c r="C6086" i="3"/>
  <c r="A6087" i="3"/>
  <c r="C6087" i="3"/>
  <c r="A6088" i="3"/>
  <c r="C6088" i="3"/>
  <c r="A6089" i="3"/>
  <c r="C6089" i="3"/>
  <c r="A6090" i="3"/>
  <c r="C6090" i="3"/>
  <c r="A6091" i="3"/>
  <c r="C6091" i="3"/>
  <c r="A6092" i="3"/>
  <c r="C6092" i="3"/>
  <c r="A6093" i="3"/>
  <c r="C6093" i="3"/>
  <c r="A6094" i="3"/>
  <c r="C6094" i="3"/>
  <c r="A6095" i="3"/>
  <c r="C6095" i="3"/>
  <c r="A6096" i="3"/>
  <c r="C6096" i="3"/>
  <c r="A6097" i="3"/>
  <c r="C6097" i="3"/>
  <c r="A6098" i="3"/>
  <c r="C6098" i="3"/>
  <c r="A6099" i="3"/>
  <c r="C6099" i="3"/>
  <c r="A6100" i="3"/>
  <c r="C6100" i="3"/>
  <c r="A6101" i="3"/>
  <c r="C6101" i="3"/>
  <c r="A6102" i="3"/>
  <c r="C6102" i="3"/>
  <c r="A6103" i="3"/>
  <c r="C6103" i="3"/>
  <c r="A6104" i="3"/>
  <c r="C6104" i="3"/>
  <c r="A6105" i="3"/>
  <c r="C6105" i="3"/>
  <c r="A6106" i="3"/>
  <c r="C6106" i="3"/>
  <c r="A6107" i="3"/>
  <c r="C6107" i="3"/>
  <c r="A6108" i="3"/>
  <c r="C6108" i="3"/>
  <c r="A6109" i="3"/>
  <c r="C6109" i="3"/>
  <c r="A6110" i="3"/>
  <c r="C6110" i="3"/>
  <c r="A6111" i="3"/>
  <c r="C6111" i="3"/>
  <c r="A6112" i="3"/>
  <c r="C6112" i="3"/>
  <c r="A6113" i="3"/>
  <c r="C6113" i="3"/>
  <c r="A6114" i="3"/>
  <c r="C6114" i="3"/>
  <c r="A6115" i="3"/>
  <c r="C6115" i="3"/>
  <c r="A6116" i="3"/>
  <c r="C6116" i="3"/>
  <c r="A6117" i="3"/>
  <c r="C6117" i="3"/>
  <c r="A6118" i="3"/>
  <c r="C6118" i="3"/>
  <c r="A6119" i="3"/>
  <c r="C6119" i="3"/>
  <c r="A6120" i="3"/>
  <c r="C6120" i="3"/>
  <c r="A6121" i="3"/>
  <c r="C6121" i="3"/>
  <c r="A6122" i="3"/>
  <c r="C6122" i="3"/>
  <c r="A6123" i="3"/>
  <c r="C6123" i="3"/>
  <c r="A6124" i="3"/>
  <c r="C6124" i="3"/>
  <c r="A6125" i="3"/>
  <c r="C6125" i="3"/>
  <c r="A6126" i="3"/>
  <c r="C6126" i="3"/>
  <c r="A6127" i="3"/>
  <c r="C6127" i="3"/>
  <c r="A6128" i="3"/>
  <c r="C6128" i="3"/>
  <c r="A6129" i="3"/>
  <c r="C6129" i="3"/>
  <c r="A6130" i="3"/>
  <c r="C6130" i="3"/>
  <c r="A6131" i="3"/>
  <c r="C6131" i="3"/>
  <c r="A6132" i="3"/>
  <c r="C6132" i="3"/>
  <c r="A6133" i="3"/>
  <c r="C6133" i="3"/>
  <c r="A6134" i="3"/>
  <c r="C6134" i="3"/>
  <c r="A6135" i="3"/>
  <c r="C6135" i="3"/>
  <c r="A6136" i="3"/>
  <c r="C6136" i="3"/>
  <c r="A6137" i="3"/>
  <c r="C6137" i="3"/>
  <c r="A6138" i="3"/>
  <c r="C6138" i="3"/>
  <c r="A6139" i="3"/>
  <c r="C6139" i="3"/>
  <c r="A6140" i="3"/>
  <c r="C6140" i="3"/>
  <c r="A6141" i="3"/>
  <c r="C6141" i="3"/>
  <c r="A6142" i="3"/>
  <c r="C6142" i="3"/>
  <c r="A6143" i="3"/>
  <c r="C6143" i="3"/>
  <c r="A6144" i="3"/>
  <c r="C6144" i="3"/>
  <c r="A6145" i="3"/>
  <c r="C6145" i="3"/>
  <c r="A6146" i="3"/>
  <c r="C6146" i="3"/>
  <c r="A6147" i="3"/>
  <c r="C6147" i="3"/>
  <c r="A6148" i="3"/>
  <c r="C6148" i="3"/>
  <c r="A6149" i="3"/>
  <c r="C6149" i="3"/>
  <c r="A6150" i="3"/>
  <c r="C6150" i="3"/>
  <c r="A6151" i="3"/>
  <c r="C6151" i="3"/>
  <c r="A6152" i="3"/>
  <c r="C6152" i="3"/>
  <c r="A6153" i="3"/>
  <c r="C6153" i="3"/>
  <c r="A6154" i="3"/>
  <c r="C6154" i="3"/>
  <c r="A6155" i="3"/>
  <c r="C6155" i="3"/>
  <c r="A6156" i="3"/>
  <c r="C6156" i="3"/>
  <c r="A6157" i="3"/>
  <c r="C6157" i="3"/>
  <c r="A6158" i="3"/>
  <c r="C6158" i="3"/>
  <c r="A6159" i="3"/>
  <c r="C6159" i="3"/>
  <c r="A6160" i="3"/>
  <c r="C6160" i="3"/>
  <c r="A6161" i="3"/>
  <c r="C6161" i="3"/>
  <c r="A6162" i="3"/>
  <c r="C6162" i="3"/>
  <c r="A6163" i="3"/>
  <c r="C6163" i="3"/>
  <c r="A6164" i="3"/>
  <c r="C6164" i="3"/>
  <c r="A6165" i="3"/>
  <c r="C6165" i="3"/>
  <c r="A6166" i="3"/>
  <c r="C6166" i="3"/>
  <c r="A6167" i="3"/>
  <c r="C6167" i="3"/>
  <c r="A6168" i="3"/>
  <c r="C6168" i="3"/>
  <c r="A6169" i="3"/>
  <c r="C6169" i="3"/>
  <c r="A6170" i="3"/>
  <c r="C6170" i="3"/>
  <c r="A6171" i="3"/>
  <c r="C6171" i="3"/>
  <c r="A6172" i="3"/>
  <c r="C6172" i="3"/>
  <c r="A6173" i="3"/>
  <c r="C6173" i="3"/>
  <c r="A6174" i="3"/>
  <c r="C6174" i="3"/>
  <c r="A6175" i="3"/>
  <c r="C6175" i="3"/>
  <c r="A6176" i="3"/>
  <c r="C6176" i="3"/>
  <c r="A6177" i="3"/>
  <c r="C6177" i="3"/>
  <c r="A6178" i="3"/>
  <c r="C6178" i="3"/>
  <c r="A6179" i="3"/>
  <c r="C6179" i="3"/>
  <c r="A6180" i="3"/>
  <c r="C6180" i="3"/>
  <c r="A6181" i="3"/>
  <c r="C6181" i="3"/>
  <c r="A6182" i="3"/>
  <c r="C6182" i="3"/>
  <c r="A6183" i="3"/>
  <c r="C6183" i="3"/>
  <c r="A6184" i="3"/>
  <c r="C6184" i="3"/>
  <c r="A6185" i="3"/>
  <c r="C6185" i="3"/>
  <c r="A6186" i="3"/>
  <c r="C6186" i="3"/>
  <c r="A6187" i="3"/>
  <c r="C6187" i="3"/>
  <c r="A6188" i="3"/>
  <c r="C6188" i="3"/>
  <c r="A6189" i="3"/>
  <c r="C6189" i="3"/>
  <c r="A6190" i="3"/>
  <c r="C6190" i="3"/>
  <c r="A6191" i="3"/>
  <c r="C6191" i="3"/>
  <c r="A6192" i="3"/>
  <c r="C6192" i="3"/>
  <c r="A6193" i="3"/>
  <c r="C6193" i="3"/>
  <c r="A6194" i="3"/>
  <c r="C6194" i="3"/>
  <c r="A6195" i="3"/>
  <c r="C6195" i="3"/>
  <c r="A6196" i="3"/>
  <c r="C6196" i="3"/>
  <c r="A6197" i="3"/>
  <c r="C6197" i="3"/>
  <c r="A6198" i="3"/>
  <c r="C6198" i="3"/>
  <c r="A6199" i="3"/>
  <c r="C6199" i="3"/>
  <c r="A6200" i="3"/>
  <c r="C6200" i="3"/>
  <c r="A6201" i="3"/>
  <c r="C6201" i="3"/>
  <c r="A6202" i="3"/>
  <c r="C6202" i="3"/>
  <c r="A6203" i="3"/>
  <c r="C6203" i="3"/>
  <c r="A6204" i="3"/>
  <c r="C6204" i="3"/>
  <c r="A6205" i="3"/>
  <c r="C6205" i="3"/>
  <c r="A6206" i="3"/>
  <c r="C6206" i="3"/>
  <c r="A6207" i="3"/>
  <c r="C6207" i="3"/>
  <c r="A6208" i="3"/>
  <c r="C6208" i="3"/>
  <c r="A6209" i="3"/>
  <c r="C6209" i="3"/>
  <c r="A6210" i="3"/>
  <c r="C6210" i="3"/>
  <c r="A6211" i="3"/>
  <c r="C6211" i="3"/>
  <c r="A6212" i="3"/>
  <c r="C6212" i="3"/>
  <c r="A6213" i="3"/>
  <c r="C6213" i="3"/>
  <c r="A6214" i="3"/>
  <c r="C6214" i="3"/>
  <c r="A6215" i="3"/>
  <c r="C6215" i="3"/>
  <c r="A6216" i="3"/>
  <c r="C6216" i="3"/>
  <c r="A6217" i="3"/>
  <c r="C6217" i="3"/>
  <c r="A6218" i="3"/>
  <c r="C6218" i="3"/>
  <c r="A6219" i="3"/>
  <c r="C6219" i="3"/>
  <c r="A6220" i="3"/>
  <c r="C6220" i="3"/>
  <c r="A6221" i="3"/>
  <c r="C6221" i="3"/>
  <c r="A6222" i="3"/>
  <c r="C6222" i="3"/>
  <c r="A6223" i="3"/>
  <c r="C6223" i="3"/>
  <c r="A6224" i="3"/>
  <c r="C6224" i="3"/>
  <c r="A6225" i="3"/>
  <c r="C6225" i="3"/>
  <c r="A6226" i="3"/>
  <c r="C6226" i="3"/>
  <c r="A6227" i="3"/>
  <c r="C6227" i="3"/>
  <c r="A6228" i="3"/>
  <c r="C6228" i="3"/>
  <c r="A6229" i="3"/>
  <c r="C6229" i="3"/>
  <c r="A6230" i="3"/>
  <c r="C6230" i="3"/>
  <c r="A6231" i="3"/>
  <c r="C6231" i="3"/>
  <c r="A6232" i="3"/>
  <c r="C6232" i="3"/>
  <c r="A6233" i="3"/>
  <c r="C6233" i="3"/>
  <c r="A6234" i="3"/>
  <c r="C6234" i="3"/>
  <c r="A6235" i="3"/>
  <c r="C6235" i="3"/>
  <c r="A6236" i="3"/>
  <c r="C6236" i="3"/>
  <c r="A6237" i="3"/>
  <c r="C6237" i="3"/>
  <c r="A6238" i="3"/>
  <c r="C6238" i="3"/>
  <c r="A6239" i="3"/>
  <c r="C6239" i="3"/>
  <c r="A6240" i="3"/>
  <c r="C6240" i="3"/>
  <c r="A6241" i="3"/>
  <c r="C6241" i="3"/>
  <c r="A6242" i="3"/>
  <c r="C6242" i="3"/>
  <c r="A6243" i="3"/>
  <c r="C6243" i="3"/>
  <c r="A6244" i="3"/>
  <c r="C6244" i="3"/>
  <c r="A6245" i="3"/>
  <c r="C6245" i="3"/>
  <c r="A6246" i="3"/>
  <c r="C6246" i="3"/>
  <c r="A6247" i="3"/>
  <c r="C6247" i="3"/>
  <c r="A6248" i="3"/>
  <c r="C6248" i="3"/>
  <c r="A6249" i="3"/>
  <c r="C6249" i="3"/>
  <c r="A6250" i="3"/>
  <c r="C6250" i="3"/>
  <c r="A6251" i="3"/>
  <c r="C6251" i="3"/>
  <c r="A6252" i="3"/>
  <c r="C6252" i="3"/>
  <c r="A6253" i="3"/>
  <c r="C6253" i="3"/>
  <c r="A6254" i="3"/>
  <c r="C6254" i="3"/>
  <c r="A6255" i="3"/>
  <c r="C6255" i="3"/>
  <c r="A6256" i="3"/>
  <c r="C6256" i="3"/>
  <c r="A6257" i="3"/>
  <c r="C6257" i="3"/>
  <c r="A6258" i="3"/>
  <c r="C6258" i="3"/>
  <c r="A6259" i="3"/>
  <c r="C6259" i="3"/>
  <c r="A6260" i="3"/>
  <c r="C6260" i="3"/>
  <c r="A6261" i="3"/>
  <c r="C6261" i="3"/>
  <c r="A6262" i="3"/>
  <c r="C6262" i="3"/>
  <c r="A6263" i="3"/>
  <c r="C6263" i="3"/>
  <c r="A6264" i="3"/>
  <c r="C6264" i="3"/>
  <c r="A6265" i="3"/>
  <c r="C6265" i="3"/>
  <c r="A6266" i="3"/>
  <c r="C6266" i="3"/>
  <c r="A6267" i="3"/>
  <c r="C6267" i="3"/>
  <c r="A6268" i="3"/>
  <c r="C6268" i="3"/>
  <c r="A6269" i="3"/>
  <c r="C6269" i="3"/>
  <c r="A6270" i="3"/>
  <c r="C6270" i="3"/>
  <c r="A6271" i="3"/>
  <c r="C6271" i="3"/>
  <c r="A6272" i="3"/>
  <c r="C6272" i="3"/>
  <c r="A6273" i="3"/>
  <c r="C6273" i="3"/>
  <c r="A6274" i="3"/>
  <c r="C6274" i="3"/>
  <c r="A6275" i="3"/>
  <c r="C6275" i="3"/>
  <c r="A6276" i="3"/>
  <c r="C6276" i="3"/>
  <c r="A6277" i="3"/>
  <c r="C6277" i="3"/>
  <c r="A6278" i="3"/>
  <c r="C6278" i="3"/>
  <c r="A6279" i="3"/>
  <c r="C6279" i="3"/>
  <c r="A6280" i="3"/>
  <c r="C6280" i="3"/>
  <c r="A6281" i="3"/>
  <c r="C6281" i="3"/>
  <c r="A6282" i="3"/>
  <c r="C6282" i="3"/>
  <c r="A6283" i="3"/>
  <c r="C6283" i="3"/>
  <c r="A6284" i="3"/>
  <c r="C6284" i="3"/>
  <c r="A6285" i="3"/>
  <c r="C6285" i="3"/>
  <c r="A6286" i="3"/>
  <c r="C6286" i="3"/>
  <c r="A6287" i="3"/>
  <c r="C6287" i="3"/>
  <c r="A6288" i="3"/>
  <c r="C6288" i="3"/>
  <c r="A6289" i="3"/>
  <c r="C6289" i="3"/>
  <c r="A6290" i="3"/>
  <c r="C6290" i="3"/>
  <c r="A6291" i="3"/>
  <c r="C6291" i="3"/>
  <c r="A6292" i="3"/>
  <c r="C6292" i="3"/>
  <c r="A6293" i="3"/>
  <c r="C6293" i="3"/>
  <c r="A6294" i="3"/>
  <c r="C6294" i="3"/>
  <c r="A6295" i="3"/>
  <c r="C6295" i="3"/>
  <c r="A6296" i="3"/>
  <c r="C6296" i="3"/>
  <c r="A6297" i="3"/>
  <c r="C6297" i="3"/>
  <c r="A6298" i="3"/>
  <c r="C6298" i="3"/>
  <c r="A6299" i="3"/>
  <c r="C6299" i="3"/>
  <c r="A6300" i="3"/>
  <c r="C6300" i="3"/>
  <c r="A6301" i="3"/>
  <c r="C6301" i="3"/>
  <c r="A6302" i="3"/>
  <c r="C6302" i="3"/>
  <c r="A6303" i="3"/>
  <c r="C6303" i="3"/>
  <c r="A6304" i="3"/>
  <c r="C6304" i="3"/>
  <c r="A6305" i="3"/>
  <c r="C6305" i="3"/>
  <c r="A6306" i="3"/>
  <c r="C6306" i="3"/>
  <c r="A6307" i="3"/>
  <c r="C6307" i="3"/>
  <c r="A6308" i="3"/>
  <c r="C6308" i="3"/>
  <c r="A6309" i="3"/>
  <c r="C6309" i="3"/>
  <c r="A6310" i="3"/>
  <c r="C6310" i="3"/>
  <c r="A6311" i="3"/>
  <c r="C6311" i="3"/>
  <c r="A6312" i="3"/>
  <c r="C6312" i="3"/>
  <c r="A6313" i="3"/>
  <c r="C6313" i="3"/>
  <c r="A6314" i="3"/>
  <c r="C6314" i="3"/>
  <c r="A6315" i="3"/>
  <c r="C6315" i="3"/>
  <c r="A6316" i="3"/>
  <c r="C6316" i="3"/>
  <c r="A6317" i="3"/>
  <c r="C6317" i="3"/>
  <c r="A6318" i="3"/>
  <c r="C6318" i="3"/>
  <c r="A6319" i="3"/>
  <c r="C6319" i="3"/>
  <c r="A6320" i="3"/>
  <c r="C6320" i="3"/>
  <c r="A6321" i="3"/>
  <c r="C6321" i="3"/>
  <c r="A6322" i="3"/>
  <c r="C6322" i="3"/>
  <c r="A6323" i="3"/>
  <c r="C6323" i="3"/>
  <c r="A6324" i="3"/>
  <c r="C6324" i="3"/>
  <c r="A6325" i="3"/>
  <c r="C6325" i="3"/>
  <c r="A6326" i="3"/>
  <c r="C6326" i="3"/>
  <c r="A6327" i="3"/>
  <c r="C6327" i="3"/>
  <c r="A6328" i="3"/>
  <c r="C6328" i="3"/>
  <c r="A6329" i="3"/>
  <c r="C6329" i="3"/>
  <c r="A6330" i="3"/>
  <c r="C6330" i="3"/>
  <c r="A6331" i="3"/>
  <c r="C6331" i="3"/>
  <c r="A6332" i="3"/>
  <c r="C6332" i="3"/>
  <c r="A6333" i="3"/>
  <c r="C6333" i="3"/>
  <c r="A6334" i="3"/>
  <c r="C6334" i="3"/>
  <c r="A6335" i="3"/>
  <c r="C6335" i="3"/>
  <c r="A6336" i="3"/>
  <c r="C6336" i="3"/>
  <c r="A6337" i="3"/>
  <c r="C6337" i="3"/>
  <c r="A6338" i="3"/>
  <c r="C6338" i="3"/>
  <c r="A6339" i="3"/>
  <c r="C6339" i="3"/>
  <c r="A6340" i="3"/>
  <c r="C6340" i="3"/>
  <c r="A6341" i="3"/>
  <c r="C6341" i="3"/>
  <c r="A6342" i="3"/>
  <c r="C6342" i="3"/>
  <c r="A6343" i="3"/>
  <c r="C6343" i="3"/>
  <c r="A6344" i="3"/>
  <c r="C6344" i="3"/>
  <c r="A6345" i="3"/>
  <c r="C6345" i="3"/>
  <c r="A6346" i="3"/>
  <c r="C6346" i="3"/>
  <c r="A6347" i="3"/>
  <c r="C6347" i="3"/>
  <c r="A6348" i="3"/>
  <c r="C6348" i="3"/>
  <c r="A6349" i="3"/>
  <c r="C6349" i="3"/>
  <c r="A6350" i="3"/>
  <c r="C6350" i="3"/>
  <c r="A6351" i="3"/>
  <c r="C6351" i="3"/>
  <c r="A6352" i="3"/>
  <c r="C6352" i="3"/>
  <c r="A6353" i="3"/>
  <c r="C6353" i="3"/>
  <c r="A6354" i="3"/>
  <c r="C6354" i="3"/>
  <c r="A6355" i="3"/>
  <c r="C6355" i="3"/>
  <c r="A6356" i="3"/>
  <c r="C6356" i="3"/>
  <c r="A6357" i="3"/>
  <c r="C6357" i="3"/>
  <c r="A6358" i="3"/>
  <c r="C6358" i="3"/>
  <c r="A6359" i="3"/>
  <c r="C6359" i="3"/>
  <c r="A6360" i="3"/>
  <c r="C6360" i="3"/>
  <c r="A6361" i="3"/>
  <c r="C6361" i="3"/>
  <c r="A6362" i="3"/>
  <c r="C6362" i="3"/>
  <c r="A6363" i="3"/>
  <c r="C6363" i="3"/>
  <c r="A6364" i="3"/>
  <c r="C6364" i="3"/>
  <c r="A6365" i="3"/>
  <c r="C6365" i="3"/>
  <c r="A6366" i="3"/>
  <c r="C6366" i="3"/>
  <c r="A6367" i="3"/>
  <c r="C6367" i="3"/>
  <c r="A6368" i="3"/>
  <c r="C6368" i="3"/>
  <c r="A6369" i="3"/>
  <c r="C6369" i="3"/>
  <c r="A6370" i="3"/>
  <c r="C6370" i="3"/>
  <c r="A6371" i="3"/>
  <c r="C6371" i="3"/>
  <c r="A6372" i="3"/>
  <c r="C6372" i="3"/>
  <c r="A6373" i="3"/>
  <c r="C6373" i="3"/>
  <c r="A6374" i="3"/>
  <c r="C6374" i="3"/>
  <c r="A6375" i="3"/>
  <c r="C6375" i="3"/>
  <c r="A6376" i="3"/>
  <c r="C6376" i="3"/>
  <c r="A6377" i="3"/>
  <c r="C6377" i="3"/>
  <c r="A6378" i="3"/>
  <c r="C6378" i="3"/>
  <c r="A6379" i="3"/>
  <c r="C6379" i="3"/>
  <c r="A6380" i="3"/>
  <c r="C6380" i="3"/>
  <c r="A6381" i="3"/>
  <c r="C6381" i="3"/>
  <c r="A6382" i="3"/>
  <c r="C6382" i="3"/>
  <c r="A6383" i="3"/>
  <c r="C6383" i="3"/>
  <c r="A6384" i="3"/>
  <c r="C6384" i="3"/>
  <c r="A6385" i="3"/>
  <c r="C6385" i="3"/>
  <c r="A6386" i="3"/>
  <c r="C6386" i="3"/>
  <c r="A6387" i="3"/>
  <c r="C6387" i="3"/>
  <c r="A6388" i="3"/>
  <c r="C6388" i="3"/>
  <c r="A6389" i="3"/>
  <c r="C6389" i="3"/>
  <c r="A6390" i="3"/>
  <c r="C6390" i="3"/>
  <c r="A6391" i="3"/>
  <c r="C6391" i="3"/>
  <c r="A6392" i="3"/>
  <c r="C6392" i="3"/>
  <c r="A6393" i="3"/>
  <c r="C6393" i="3"/>
  <c r="A6394" i="3"/>
  <c r="C6394" i="3"/>
  <c r="A6395" i="3"/>
  <c r="C6395" i="3"/>
  <c r="A6396" i="3"/>
  <c r="C6396" i="3"/>
  <c r="A6397" i="3"/>
  <c r="C6397" i="3"/>
  <c r="A6398" i="3"/>
  <c r="C6398" i="3"/>
  <c r="A6399" i="3"/>
  <c r="C6399" i="3"/>
  <c r="A6400" i="3"/>
  <c r="C6400" i="3"/>
  <c r="A6401" i="3"/>
  <c r="C6401" i="3"/>
  <c r="A6402" i="3"/>
  <c r="C6402" i="3"/>
  <c r="A6403" i="3"/>
  <c r="C6403" i="3"/>
  <c r="A6404" i="3"/>
  <c r="C6404" i="3"/>
  <c r="A6405" i="3"/>
  <c r="C6405" i="3"/>
  <c r="A6406" i="3"/>
  <c r="C6406" i="3"/>
  <c r="A6407" i="3"/>
  <c r="C6407" i="3"/>
  <c r="A6408" i="3"/>
  <c r="C6408" i="3"/>
  <c r="A6409" i="3"/>
  <c r="C6409" i="3"/>
  <c r="A6410" i="3"/>
  <c r="C6410" i="3"/>
  <c r="A6411" i="3"/>
  <c r="C6411" i="3"/>
  <c r="A6412" i="3"/>
  <c r="C6412" i="3"/>
  <c r="A6413" i="3"/>
  <c r="C6413" i="3"/>
  <c r="A6414" i="3"/>
  <c r="C6414" i="3"/>
  <c r="A6415" i="3"/>
  <c r="C6415" i="3"/>
  <c r="A6416" i="3"/>
  <c r="C6416" i="3"/>
  <c r="A6417" i="3"/>
  <c r="C6417" i="3"/>
  <c r="A6418" i="3"/>
  <c r="C6418" i="3"/>
  <c r="A6419" i="3"/>
  <c r="C6419" i="3"/>
  <c r="A6420" i="3"/>
  <c r="C6420" i="3"/>
  <c r="A6421" i="3"/>
  <c r="C6421" i="3"/>
  <c r="A6422" i="3"/>
  <c r="C6422" i="3"/>
  <c r="A6423" i="3"/>
  <c r="C6423" i="3"/>
  <c r="A6424" i="3"/>
  <c r="C6424" i="3"/>
  <c r="A6425" i="3"/>
  <c r="C6425" i="3"/>
  <c r="A6426" i="3"/>
  <c r="C6426" i="3"/>
  <c r="A6427" i="3"/>
  <c r="C6427" i="3"/>
  <c r="A6428" i="3"/>
  <c r="C6428" i="3"/>
  <c r="A6429" i="3"/>
  <c r="C6429" i="3"/>
  <c r="A6430" i="3"/>
  <c r="C6430" i="3"/>
  <c r="A6431" i="3"/>
  <c r="C6431" i="3"/>
  <c r="A6432" i="3"/>
  <c r="C6432" i="3"/>
  <c r="A6433" i="3"/>
  <c r="C6433" i="3"/>
  <c r="A6434" i="3"/>
  <c r="C6434" i="3"/>
  <c r="A6435" i="3"/>
  <c r="C6435" i="3"/>
  <c r="A6436" i="3"/>
  <c r="C6436" i="3"/>
  <c r="A6437" i="3"/>
  <c r="C6437" i="3"/>
  <c r="A6438" i="3"/>
  <c r="C6438" i="3"/>
  <c r="A6439" i="3"/>
  <c r="C6439" i="3"/>
  <c r="A6440" i="3"/>
  <c r="C6440" i="3"/>
  <c r="A6441" i="3"/>
  <c r="C6441" i="3"/>
  <c r="A6442" i="3"/>
  <c r="C6442" i="3"/>
  <c r="A6443" i="3"/>
  <c r="C6443" i="3"/>
  <c r="A6444" i="3"/>
  <c r="C6444" i="3"/>
  <c r="A6445" i="3"/>
  <c r="C6445" i="3"/>
  <c r="A6446" i="3"/>
  <c r="C6446" i="3"/>
  <c r="A6447" i="3"/>
  <c r="C6447" i="3"/>
  <c r="A6448" i="3"/>
  <c r="C6448" i="3"/>
  <c r="A6449" i="3"/>
  <c r="C6449" i="3"/>
  <c r="A6450" i="3"/>
  <c r="C6450" i="3"/>
  <c r="A6451" i="3"/>
  <c r="C6451" i="3"/>
  <c r="A6452" i="3"/>
  <c r="C6452" i="3"/>
  <c r="A6453" i="3"/>
  <c r="C6453" i="3"/>
  <c r="A6454" i="3"/>
  <c r="C6454" i="3"/>
  <c r="A6455" i="3"/>
  <c r="C6455" i="3"/>
  <c r="A6456" i="3"/>
  <c r="C6456" i="3"/>
  <c r="A6457" i="3"/>
  <c r="C6457" i="3"/>
  <c r="A6458" i="3"/>
  <c r="C6458" i="3"/>
  <c r="A6459" i="3"/>
  <c r="C6459" i="3"/>
  <c r="A6460" i="3"/>
  <c r="C6460" i="3"/>
  <c r="A6461" i="3"/>
  <c r="C6461" i="3"/>
  <c r="A6462" i="3"/>
  <c r="C6462" i="3"/>
  <c r="A6463" i="3"/>
  <c r="C6463" i="3"/>
  <c r="A6464" i="3"/>
  <c r="C6464" i="3"/>
  <c r="A6465" i="3"/>
  <c r="C6465" i="3"/>
  <c r="A6466" i="3"/>
  <c r="C6466" i="3"/>
  <c r="A6467" i="3"/>
  <c r="C6467" i="3"/>
  <c r="A6468" i="3"/>
  <c r="C6468" i="3"/>
  <c r="A6469" i="3"/>
  <c r="C6469" i="3"/>
  <c r="A6470" i="3"/>
  <c r="C6470" i="3"/>
  <c r="A6471" i="3"/>
  <c r="C6471" i="3"/>
  <c r="A6472" i="3"/>
  <c r="C6472" i="3"/>
  <c r="A6473" i="3"/>
  <c r="C6473" i="3"/>
  <c r="A6474" i="3"/>
  <c r="C6474" i="3"/>
  <c r="A6475" i="3"/>
  <c r="C6475" i="3"/>
  <c r="A6476" i="3"/>
  <c r="C6476" i="3"/>
  <c r="A6477" i="3"/>
  <c r="C6477" i="3"/>
  <c r="A6478" i="3"/>
  <c r="C6478" i="3"/>
  <c r="A6479" i="3"/>
  <c r="C6479" i="3"/>
  <c r="A6480" i="3"/>
  <c r="C6480" i="3"/>
  <c r="A6481" i="3"/>
  <c r="C6481" i="3"/>
  <c r="A6482" i="3"/>
  <c r="C6482" i="3"/>
  <c r="A6483" i="3"/>
  <c r="C6483" i="3"/>
  <c r="A6484" i="3"/>
  <c r="C6484" i="3"/>
  <c r="A6485" i="3"/>
  <c r="C6485" i="3"/>
  <c r="A6486" i="3"/>
  <c r="C6486" i="3"/>
  <c r="A6487" i="3"/>
  <c r="C6487" i="3"/>
  <c r="A6488" i="3"/>
  <c r="C6488" i="3"/>
  <c r="A6489" i="3"/>
  <c r="C6489" i="3"/>
  <c r="A6490" i="3"/>
  <c r="C6490" i="3"/>
  <c r="A6491" i="3"/>
  <c r="C6491" i="3"/>
  <c r="A6492" i="3"/>
  <c r="C6492" i="3"/>
  <c r="A6493" i="3"/>
  <c r="C6493" i="3"/>
  <c r="A6494" i="3"/>
  <c r="C6494" i="3"/>
  <c r="A6495" i="3"/>
  <c r="C6495" i="3"/>
  <c r="A6496" i="3"/>
  <c r="C6496" i="3"/>
  <c r="A6497" i="3"/>
  <c r="C6497" i="3"/>
  <c r="A6498" i="3"/>
  <c r="C6498" i="3"/>
  <c r="A6499" i="3"/>
  <c r="C6499" i="3"/>
  <c r="A6500" i="3"/>
  <c r="C6500" i="3"/>
  <c r="A6501" i="3"/>
  <c r="C6501" i="3"/>
  <c r="A6502" i="3"/>
  <c r="C6502" i="3"/>
  <c r="A6503" i="3"/>
  <c r="C6503" i="3"/>
  <c r="A6504" i="3"/>
  <c r="C6504" i="3"/>
  <c r="A6505" i="3"/>
  <c r="C6505" i="3"/>
  <c r="A6506" i="3"/>
  <c r="C6506" i="3"/>
  <c r="A6507" i="3"/>
  <c r="C6507" i="3"/>
  <c r="A6508" i="3"/>
  <c r="C6508" i="3"/>
  <c r="A6509" i="3"/>
  <c r="C6509" i="3"/>
  <c r="A6510" i="3"/>
  <c r="C6510" i="3"/>
  <c r="A6511" i="3"/>
  <c r="C6511" i="3"/>
  <c r="A6512" i="3"/>
  <c r="C6512" i="3"/>
  <c r="A6513" i="3"/>
  <c r="C6513" i="3"/>
  <c r="A6514" i="3"/>
  <c r="C6514" i="3"/>
  <c r="A6515" i="3"/>
  <c r="C6515" i="3"/>
  <c r="A6516" i="3"/>
  <c r="C6516" i="3"/>
  <c r="A6517" i="3"/>
  <c r="C6517" i="3"/>
  <c r="A6518" i="3"/>
  <c r="C6518" i="3"/>
  <c r="A6519" i="3"/>
  <c r="C6519" i="3"/>
  <c r="A6520" i="3"/>
  <c r="C6520" i="3"/>
  <c r="A6521" i="3"/>
  <c r="C6521" i="3"/>
  <c r="A6522" i="3"/>
  <c r="C6522" i="3"/>
  <c r="A6523" i="3"/>
  <c r="C6523" i="3"/>
  <c r="A6524" i="3"/>
  <c r="C6524" i="3"/>
  <c r="A6525" i="3"/>
  <c r="C6525" i="3"/>
  <c r="A6526" i="3"/>
  <c r="C6526" i="3"/>
  <c r="A6527" i="3"/>
  <c r="C6527" i="3"/>
  <c r="A6528" i="3"/>
  <c r="C6528" i="3"/>
  <c r="A6529" i="3"/>
  <c r="C6529" i="3"/>
  <c r="A6530" i="3"/>
  <c r="C6530" i="3"/>
  <c r="A6531" i="3"/>
  <c r="C6531" i="3"/>
  <c r="A6532" i="3"/>
  <c r="C6532" i="3"/>
  <c r="A6533" i="3"/>
  <c r="C6533" i="3"/>
  <c r="A6534" i="3"/>
  <c r="C6534" i="3"/>
  <c r="A6535" i="3"/>
  <c r="C6535" i="3"/>
  <c r="A6536" i="3"/>
  <c r="C6536" i="3"/>
  <c r="A6537" i="3"/>
  <c r="C6537" i="3"/>
  <c r="A6538" i="3"/>
  <c r="C6538" i="3"/>
  <c r="A6539" i="3"/>
  <c r="C6539" i="3"/>
  <c r="A6540" i="3"/>
  <c r="C6540" i="3"/>
  <c r="A6541" i="3"/>
  <c r="C6541" i="3"/>
  <c r="A6542" i="3"/>
  <c r="C6542" i="3"/>
  <c r="A6543" i="3"/>
  <c r="C6543" i="3"/>
  <c r="A6544" i="3"/>
  <c r="C6544" i="3"/>
  <c r="A6545" i="3"/>
  <c r="C6545" i="3"/>
  <c r="A6546" i="3"/>
  <c r="C6546" i="3"/>
  <c r="A6547" i="3"/>
  <c r="C6547" i="3"/>
  <c r="A6548" i="3"/>
  <c r="C6548" i="3"/>
  <c r="A6549" i="3"/>
  <c r="C6549" i="3"/>
  <c r="A6550" i="3"/>
  <c r="C6550" i="3"/>
  <c r="A6551" i="3"/>
  <c r="C6551" i="3"/>
  <c r="A6552" i="3"/>
  <c r="C6552" i="3"/>
  <c r="A6553" i="3"/>
  <c r="C6553" i="3"/>
  <c r="A6554" i="3"/>
  <c r="C6554" i="3"/>
  <c r="A6555" i="3"/>
  <c r="C6555" i="3"/>
  <c r="A6556" i="3"/>
  <c r="C6556" i="3"/>
  <c r="A6557" i="3"/>
  <c r="C6557" i="3"/>
  <c r="A6558" i="3"/>
  <c r="C6558" i="3"/>
  <c r="A6559" i="3"/>
  <c r="C6559" i="3"/>
  <c r="A6560" i="3"/>
  <c r="C6560" i="3"/>
  <c r="A6561" i="3"/>
  <c r="C6561" i="3"/>
  <c r="A6562" i="3"/>
  <c r="C6562" i="3"/>
  <c r="A6563" i="3"/>
  <c r="C6563" i="3"/>
  <c r="A6564" i="3"/>
  <c r="C6564" i="3"/>
  <c r="A6565" i="3"/>
  <c r="C6565" i="3"/>
  <c r="A6566" i="3"/>
  <c r="C6566" i="3"/>
  <c r="A6567" i="3"/>
  <c r="C6567" i="3"/>
  <c r="A6568" i="3"/>
  <c r="C6568" i="3"/>
  <c r="A6569" i="3"/>
  <c r="C6569" i="3"/>
  <c r="A6570" i="3"/>
  <c r="C6570" i="3"/>
  <c r="A6571" i="3"/>
  <c r="C6571" i="3"/>
  <c r="A6572" i="3"/>
  <c r="C6572" i="3"/>
  <c r="A6573" i="3"/>
  <c r="C6573" i="3"/>
  <c r="A6574" i="3"/>
  <c r="C6574" i="3"/>
  <c r="A6575" i="3"/>
  <c r="C6575" i="3"/>
  <c r="A6576" i="3"/>
  <c r="C6576" i="3"/>
  <c r="A6577" i="3"/>
  <c r="C6577" i="3"/>
  <c r="A6578" i="3"/>
  <c r="C6578" i="3"/>
  <c r="A6579" i="3"/>
  <c r="C6579" i="3"/>
  <c r="A6580" i="3"/>
  <c r="C6580" i="3"/>
  <c r="A6581" i="3"/>
  <c r="C6581" i="3"/>
  <c r="A6582" i="3"/>
  <c r="C6582" i="3"/>
  <c r="A6583" i="3"/>
  <c r="C6583" i="3"/>
  <c r="A6584" i="3"/>
  <c r="C6584" i="3"/>
  <c r="A6585" i="3"/>
  <c r="C6585" i="3"/>
  <c r="A6586" i="3"/>
  <c r="C6586" i="3"/>
  <c r="A6587" i="3"/>
  <c r="C6587" i="3"/>
  <c r="A6588" i="3"/>
  <c r="C6588" i="3"/>
  <c r="A6589" i="3"/>
  <c r="C6589" i="3"/>
  <c r="A6590" i="3"/>
  <c r="C6590" i="3"/>
  <c r="A6591" i="3"/>
  <c r="C6591" i="3"/>
  <c r="A6592" i="3"/>
  <c r="C6592" i="3"/>
  <c r="A6593" i="3"/>
  <c r="C6593" i="3"/>
  <c r="A6594" i="3"/>
  <c r="C6594" i="3"/>
  <c r="A6595" i="3"/>
  <c r="C6595" i="3"/>
  <c r="A6596" i="3"/>
  <c r="C6596" i="3"/>
  <c r="A6597" i="3"/>
  <c r="C6597" i="3"/>
  <c r="A6598" i="3"/>
  <c r="C6598" i="3"/>
  <c r="A6599" i="3"/>
  <c r="C6599" i="3"/>
  <c r="A6600" i="3"/>
  <c r="C6600" i="3"/>
  <c r="A6601" i="3"/>
  <c r="C6601" i="3"/>
  <c r="A6602" i="3"/>
  <c r="C6602" i="3"/>
  <c r="A6603" i="3"/>
  <c r="C6603" i="3"/>
  <c r="A6604" i="3"/>
  <c r="C6604" i="3"/>
  <c r="A6605" i="3"/>
  <c r="C6605" i="3"/>
  <c r="A6606" i="3"/>
  <c r="C6606" i="3"/>
  <c r="A6607" i="3"/>
  <c r="C6607" i="3"/>
  <c r="A6608" i="3"/>
  <c r="C6608" i="3"/>
  <c r="A6609" i="3"/>
  <c r="C6609" i="3"/>
  <c r="A6610" i="3"/>
  <c r="C6610" i="3"/>
  <c r="A6611" i="3"/>
  <c r="C6611" i="3"/>
  <c r="A6612" i="3"/>
  <c r="C6612" i="3"/>
  <c r="A6613" i="3"/>
  <c r="C6613" i="3"/>
  <c r="A6614" i="3"/>
  <c r="C6614" i="3"/>
  <c r="A6615" i="3"/>
  <c r="C6615" i="3"/>
  <c r="A6616" i="3"/>
  <c r="C6616" i="3"/>
  <c r="A6617" i="3"/>
  <c r="C6617" i="3"/>
  <c r="A6618" i="3"/>
  <c r="C6618" i="3"/>
  <c r="A6619" i="3"/>
  <c r="C6619" i="3"/>
  <c r="A6620" i="3"/>
  <c r="C6620" i="3"/>
  <c r="A6621" i="3"/>
  <c r="C6621" i="3"/>
  <c r="A6622" i="3"/>
  <c r="C6622" i="3"/>
  <c r="A6623" i="3"/>
  <c r="C6623" i="3"/>
  <c r="A6624" i="3"/>
  <c r="C6624" i="3"/>
  <c r="A6625" i="3"/>
  <c r="C6625" i="3"/>
  <c r="A6626" i="3"/>
  <c r="C6626" i="3"/>
  <c r="A6627" i="3"/>
  <c r="C6627" i="3"/>
  <c r="A6628" i="3"/>
  <c r="C6628" i="3"/>
  <c r="A6629" i="3"/>
  <c r="C6629" i="3"/>
  <c r="A6630" i="3"/>
  <c r="C6630" i="3"/>
  <c r="A6631" i="3"/>
  <c r="C6631" i="3"/>
  <c r="A6632" i="3"/>
  <c r="C6632" i="3"/>
  <c r="A6633" i="3"/>
  <c r="C6633" i="3"/>
  <c r="A6634" i="3"/>
  <c r="C6634" i="3"/>
  <c r="A6635" i="3"/>
  <c r="C6635" i="3"/>
  <c r="A6636" i="3"/>
  <c r="C6636" i="3"/>
  <c r="A6637" i="3"/>
  <c r="C6637" i="3"/>
  <c r="A6638" i="3"/>
  <c r="C6638" i="3"/>
  <c r="A6639" i="3"/>
  <c r="C6639" i="3"/>
  <c r="A6640" i="3"/>
  <c r="C6640" i="3"/>
  <c r="A6641" i="3"/>
  <c r="C6641" i="3"/>
  <c r="A6642" i="3"/>
  <c r="C6642" i="3"/>
  <c r="A6643" i="3"/>
  <c r="C6643" i="3"/>
  <c r="A6644" i="3"/>
  <c r="C6644" i="3"/>
  <c r="A6645" i="3"/>
  <c r="C6645" i="3"/>
  <c r="A6646" i="3"/>
  <c r="C6646" i="3"/>
  <c r="A6647" i="3"/>
  <c r="C6647" i="3"/>
  <c r="A6648" i="3"/>
  <c r="C6648" i="3"/>
  <c r="A6649" i="3"/>
  <c r="C6649" i="3"/>
  <c r="A6650" i="3"/>
  <c r="C6650" i="3"/>
  <c r="A6651" i="3"/>
  <c r="C6651" i="3"/>
  <c r="A6652" i="3"/>
  <c r="C6652" i="3"/>
  <c r="A6653" i="3"/>
  <c r="C6653" i="3"/>
  <c r="A6654" i="3"/>
  <c r="C6654" i="3"/>
  <c r="A6655" i="3"/>
  <c r="C6655" i="3"/>
  <c r="A6656" i="3"/>
  <c r="C6656" i="3"/>
  <c r="A6657" i="3"/>
  <c r="C6657" i="3"/>
  <c r="A6658" i="3"/>
  <c r="C6658" i="3"/>
  <c r="A6659" i="3"/>
  <c r="C6659" i="3"/>
  <c r="A6660" i="3"/>
  <c r="C6660" i="3"/>
  <c r="A6661" i="3"/>
  <c r="C6661" i="3"/>
  <c r="A6662" i="3"/>
  <c r="C6662" i="3"/>
  <c r="A6663" i="3"/>
  <c r="C6663" i="3"/>
  <c r="A6664" i="3"/>
  <c r="C6664" i="3"/>
  <c r="A6665" i="3"/>
  <c r="C6665" i="3"/>
  <c r="A6666" i="3"/>
  <c r="C6666" i="3"/>
  <c r="A6667" i="3"/>
  <c r="C6667" i="3"/>
  <c r="A6668" i="3"/>
  <c r="C6668" i="3"/>
  <c r="A6669" i="3"/>
  <c r="C6669" i="3"/>
  <c r="A6670" i="3"/>
  <c r="C6670" i="3"/>
  <c r="A6671" i="3"/>
  <c r="C6671" i="3"/>
  <c r="A6672" i="3"/>
  <c r="C6672" i="3"/>
  <c r="A6673" i="3"/>
  <c r="C6673" i="3"/>
  <c r="A6674" i="3"/>
  <c r="C6674" i="3"/>
  <c r="A6675" i="3"/>
  <c r="C6675" i="3"/>
  <c r="A6676" i="3"/>
  <c r="C6676" i="3"/>
  <c r="A6677" i="3"/>
  <c r="C6677" i="3"/>
  <c r="A6678" i="3"/>
  <c r="C6678" i="3"/>
  <c r="A6679" i="3"/>
  <c r="C6679" i="3"/>
  <c r="A6680" i="3"/>
  <c r="C6680" i="3"/>
  <c r="A6681" i="3"/>
  <c r="C6681" i="3"/>
  <c r="A6682" i="3"/>
  <c r="C6682" i="3"/>
  <c r="A6683" i="3"/>
  <c r="C6683" i="3"/>
  <c r="A6684" i="3"/>
  <c r="C6684" i="3"/>
  <c r="A6685" i="3"/>
  <c r="C6685" i="3"/>
  <c r="A6686" i="3"/>
  <c r="C6686" i="3"/>
  <c r="A6687" i="3"/>
  <c r="C6687" i="3"/>
  <c r="A6688" i="3"/>
  <c r="C6688" i="3"/>
  <c r="A6689" i="3"/>
  <c r="C6689" i="3"/>
  <c r="A6690" i="3"/>
  <c r="C6690" i="3"/>
  <c r="A6691" i="3"/>
  <c r="C6691" i="3"/>
  <c r="A6692" i="3"/>
  <c r="C6692" i="3"/>
  <c r="A6693" i="3"/>
  <c r="C6693" i="3"/>
  <c r="A6694" i="3"/>
  <c r="C6694" i="3"/>
  <c r="A6695" i="3"/>
  <c r="C6695" i="3"/>
  <c r="A6696" i="3"/>
  <c r="C6696" i="3"/>
  <c r="A6697" i="3"/>
  <c r="C6697" i="3"/>
  <c r="A6698" i="3"/>
  <c r="C6698" i="3"/>
  <c r="A6699" i="3"/>
  <c r="C6699" i="3"/>
  <c r="A6700" i="3"/>
  <c r="C6700" i="3"/>
  <c r="A6701" i="3"/>
  <c r="C6701" i="3"/>
  <c r="A6702" i="3"/>
  <c r="C6702" i="3"/>
  <c r="A6703" i="3"/>
  <c r="C6703" i="3"/>
  <c r="A6704" i="3"/>
  <c r="C6704" i="3"/>
  <c r="A6705" i="3"/>
  <c r="C6705" i="3"/>
  <c r="A6706" i="3"/>
  <c r="C6706" i="3"/>
  <c r="A6707" i="3"/>
  <c r="C6707" i="3"/>
  <c r="A6708" i="3"/>
  <c r="C6708" i="3"/>
  <c r="A6709" i="3"/>
  <c r="C6709" i="3"/>
  <c r="A6710" i="3"/>
  <c r="C6710" i="3"/>
  <c r="A6711" i="3"/>
  <c r="C6711" i="3"/>
  <c r="A6712" i="3"/>
  <c r="C6712" i="3"/>
  <c r="A6713" i="3"/>
  <c r="C6713" i="3"/>
  <c r="A6714" i="3"/>
  <c r="C6714" i="3"/>
  <c r="A6715" i="3"/>
  <c r="C6715" i="3"/>
  <c r="A6716" i="3"/>
  <c r="C6716" i="3"/>
  <c r="A6717" i="3"/>
  <c r="C6717" i="3"/>
  <c r="A6718" i="3"/>
  <c r="C6718" i="3"/>
  <c r="A6719" i="3"/>
  <c r="C6719" i="3"/>
  <c r="A6720" i="3"/>
  <c r="C6720" i="3"/>
  <c r="A6721" i="3"/>
  <c r="C6721" i="3"/>
  <c r="A6722" i="3"/>
  <c r="C6722" i="3"/>
  <c r="A6723" i="3"/>
  <c r="C6723" i="3"/>
  <c r="A6724" i="3"/>
  <c r="C6724" i="3"/>
  <c r="A6725" i="3"/>
  <c r="C6725" i="3"/>
  <c r="A6726" i="3"/>
  <c r="C6726" i="3"/>
  <c r="A6727" i="3"/>
  <c r="C6727" i="3"/>
  <c r="A6728" i="3"/>
  <c r="C6728" i="3"/>
  <c r="A6729" i="3"/>
  <c r="C6729" i="3"/>
  <c r="A6730" i="3"/>
  <c r="C6730" i="3"/>
  <c r="A6731" i="3"/>
  <c r="C6731" i="3"/>
  <c r="A6732" i="3"/>
  <c r="C6732" i="3"/>
  <c r="A6733" i="3"/>
  <c r="C6733" i="3"/>
  <c r="A6734" i="3"/>
  <c r="C6734" i="3"/>
  <c r="A6735" i="3"/>
  <c r="C6735" i="3"/>
  <c r="A6736" i="3"/>
  <c r="C6736" i="3"/>
  <c r="A6737" i="3"/>
  <c r="C6737" i="3"/>
  <c r="A6738" i="3"/>
  <c r="C6738" i="3"/>
  <c r="A6739" i="3"/>
  <c r="C6739" i="3"/>
  <c r="A6740" i="3"/>
  <c r="C6740" i="3"/>
  <c r="A6741" i="3"/>
  <c r="C6741" i="3"/>
  <c r="A6742" i="3"/>
  <c r="C6742" i="3"/>
  <c r="A6743" i="3"/>
  <c r="C6743" i="3"/>
  <c r="A6744" i="3"/>
  <c r="C6744" i="3"/>
  <c r="A6745" i="3"/>
  <c r="C6745" i="3"/>
  <c r="A6746" i="3"/>
  <c r="C6746" i="3"/>
  <c r="A6747" i="3"/>
  <c r="C6747" i="3"/>
  <c r="A6748" i="3"/>
  <c r="C6748" i="3"/>
  <c r="A6749" i="3"/>
  <c r="C6749" i="3"/>
  <c r="A6750" i="3"/>
  <c r="C6750" i="3"/>
  <c r="A6751" i="3"/>
  <c r="C6751" i="3"/>
  <c r="A6752" i="3"/>
  <c r="C6752" i="3"/>
  <c r="A6753" i="3"/>
  <c r="C6753" i="3"/>
  <c r="A6754" i="3"/>
  <c r="C6754" i="3"/>
  <c r="A6755" i="3"/>
  <c r="C6755" i="3"/>
  <c r="A6756" i="3"/>
  <c r="C6756" i="3"/>
  <c r="A6757" i="3"/>
  <c r="C6757" i="3"/>
  <c r="A6758" i="3"/>
  <c r="C6758" i="3"/>
  <c r="A6759" i="3"/>
  <c r="C6759" i="3"/>
  <c r="A6760" i="3"/>
  <c r="C6760" i="3"/>
  <c r="A6761" i="3"/>
  <c r="C6761" i="3"/>
  <c r="A6762" i="3"/>
  <c r="C6762" i="3"/>
  <c r="A6763" i="3"/>
  <c r="C6763" i="3"/>
  <c r="A6764" i="3"/>
  <c r="C6764" i="3"/>
  <c r="A6765" i="3"/>
  <c r="C6765" i="3"/>
  <c r="A6766" i="3"/>
  <c r="C6766" i="3"/>
  <c r="A6767" i="3"/>
  <c r="C6767" i="3"/>
  <c r="A6768" i="3"/>
  <c r="C6768" i="3"/>
  <c r="A6769" i="3"/>
  <c r="C6769" i="3"/>
  <c r="A6770" i="3"/>
  <c r="C6770" i="3"/>
  <c r="A6771" i="3"/>
  <c r="C6771" i="3"/>
  <c r="A6772" i="3"/>
  <c r="C6772" i="3"/>
  <c r="A6773" i="3"/>
  <c r="C6773" i="3"/>
  <c r="A6774" i="3"/>
  <c r="C6774" i="3"/>
  <c r="A6775" i="3"/>
  <c r="C6775" i="3"/>
  <c r="A6776" i="3"/>
  <c r="C6776" i="3"/>
  <c r="A6777" i="3"/>
  <c r="C6777" i="3"/>
  <c r="A6778" i="3"/>
  <c r="C6778" i="3"/>
  <c r="A6779" i="3"/>
  <c r="C6779" i="3"/>
  <c r="A6780" i="3"/>
  <c r="C6780" i="3"/>
  <c r="A6781" i="3"/>
  <c r="C6781" i="3"/>
  <c r="A6782" i="3"/>
  <c r="C6782" i="3"/>
  <c r="A6783" i="3"/>
  <c r="C6783" i="3"/>
  <c r="A6784" i="3"/>
  <c r="C6784" i="3"/>
  <c r="A6785" i="3"/>
  <c r="C6785" i="3"/>
  <c r="A6786" i="3"/>
  <c r="C6786" i="3"/>
  <c r="A6787" i="3"/>
  <c r="C6787" i="3"/>
  <c r="A6788" i="3"/>
  <c r="C6788" i="3"/>
  <c r="A6789" i="3"/>
  <c r="C6789" i="3"/>
  <c r="A6790" i="3"/>
  <c r="C6790" i="3"/>
  <c r="A6791" i="3"/>
  <c r="C6791" i="3"/>
  <c r="A6792" i="3"/>
  <c r="C6792" i="3"/>
  <c r="A6793" i="3"/>
  <c r="C6793" i="3"/>
  <c r="A6794" i="3"/>
  <c r="C6794" i="3"/>
  <c r="A6795" i="3"/>
  <c r="C6795" i="3"/>
  <c r="A6796" i="3"/>
  <c r="C6796" i="3"/>
  <c r="A6797" i="3"/>
  <c r="C6797" i="3"/>
  <c r="A6798" i="3"/>
  <c r="C6798" i="3"/>
  <c r="A6799" i="3"/>
  <c r="C6799" i="3"/>
  <c r="A6800" i="3"/>
  <c r="C6800" i="3"/>
  <c r="A6801" i="3"/>
  <c r="C6801" i="3"/>
  <c r="A6802" i="3"/>
  <c r="C6802" i="3"/>
  <c r="A6803" i="3"/>
  <c r="C6803" i="3"/>
  <c r="A6804" i="3"/>
  <c r="C6804" i="3"/>
  <c r="A6805" i="3"/>
  <c r="C6805" i="3"/>
  <c r="A6806" i="3"/>
  <c r="C6806" i="3"/>
  <c r="A6807" i="3"/>
  <c r="C6807" i="3"/>
  <c r="A6808" i="3"/>
  <c r="C6808" i="3"/>
  <c r="A6809" i="3"/>
  <c r="C6809" i="3"/>
  <c r="A6810" i="3"/>
  <c r="C6810" i="3"/>
  <c r="A6811" i="3"/>
  <c r="C6811" i="3"/>
  <c r="A6812" i="3"/>
  <c r="C6812" i="3"/>
  <c r="A6813" i="3"/>
  <c r="C6813" i="3"/>
  <c r="A6814" i="3"/>
  <c r="C6814" i="3"/>
  <c r="A6815" i="3"/>
  <c r="C6815" i="3"/>
  <c r="A6816" i="3"/>
  <c r="C6816" i="3"/>
  <c r="A6817" i="3"/>
  <c r="C6817" i="3"/>
  <c r="A6818" i="3"/>
  <c r="C6818" i="3"/>
  <c r="A6819" i="3"/>
  <c r="C6819" i="3"/>
  <c r="A6820" i="3"/>
  <c r="C6820" i="3"/>
  <c r="A6821" i="3"/>
  <c r="C6821" i="3"/>
  <c r="A6822" i="3"/>
  <c r="C6822" i="3"/>
  <c r="A6823" i="3"/>
  <c r="C6823" i="3"/>
  <c r="A6824" i="3"/>
  <c r="C6824" i="3"/>
  <c r="A6825" i="3"/>
  <c r="C6825" i="3"/>
  <c r="A6826" i="3"/>
  <c r="C6826" i="3"/>
  <c r="A6827" i="3"/>
  <c r="C6827" i="3"/>
  <c r="A6828" i="3"/>
  <c r="C6828" i="3"/>
  <c r="A6829" i="3"/>
  <c r="C6829" i="3"/>
  <c r="A6830" i="3"/>
  <c r="C6830" i="3"/>
  <c r="A6831" i="3"/>
  <c r="C6831" i="3"/>
  <c r="A6832" i="3"/>
  <c r="C6832" i="3"/>
  <c r="A6833" i="3"/>
  <c r="C6833" i="3"/>
  <c r="A6834" i="3"/>
  <c r="C6834" i="3"/>
  <c r="A6835" i="3"/>
  <c r="C6835" i="3"/>
  <c r="A6836" i="3"/>
  <c r="C6836" i="3"/>
  <c r="A6837" i="3"/>
  <c r="C6837" i="3"/>
  <c r="A6838" i="3"/>
  <c r="C6838" i="3"/>
  <c r="A6839" i="3"/>
  <c r="C6839" i="3"/>
  <c r="A6840" i="3"/>
  <c r="C6840" i="3"/>
  <c r="A6841" i="3"/>
  <c r="C6841" i="3"/>
  <c r="A6842" i="3"/>
  <c r="C6842" i="3"/>
  <c r="A6843" i="3"/>
  <c r="C6843" i="3"/>
  <c r="A6844" i="3"/>
  <c r="C6844" i="3"/>
  <c r="A6845" i="3"/>
  <c r="C6845" i="3"/>
  <c r="A6846" i="3"/>
  <c r="C6846" i="3"/>
  <c r="A6847" i="3"/>
  <c r="C6847" i="3"/>
  <c r="A6848" i="3"/>
  <c r="C6848" i="3"/>
  <c r="A6849" i="3"/>
  <c r="C6849" i="3"/>
  <c r="A6850" i="3"/>
  <c r="C6850" i="3"/>
  <c r="A6851" i="3"/>
  <c r="C6851" i="3"/>
  <c r="A6852" i="3"/>
  <c r="C6852" i="3"/>
  <c r="A6853" i="3"/>
  <c r="C6853" i="3"/>
  <c r="A6854" i="3"/>
  <c r="C6854" i="3"/>
  <c r="A6855" i="3"/>
  <c r="C6855" i="3"/>
  <c r="A6856" i="3"/>
  <c r="C6856" i="3"/>
  <c r="A6857" i="3"/>
  <c r="C6857" i="3"/>
  <c r="A6858" i="3"/>
  <c r="C6858" i="3"/>
  <c r="A6859" i="3"/>
  <c r="C6859" i="3"/>
  <c r="A6860" i="3"/>
  <c r="C6860" i="3"/>
  <c r="A6861" i="3"/>
  <c r="C6861" i="3"/>
  <c r="A6862" i="3"/>
  <c r="C6862" i="3"/>
  <c r="A6863" i="3"/>
  <c r="C6863" i="3"/>
  <c r="A6864" i="3"/>
  <c r="C6864" i="3"/>
  <c r="A6865" i="3"/>
  <c r="C6865" i="3"/>
  <c r="A6866" i="3"/>
  <c r="C6866" i="3"/>
  <c r="A6867" i="3"/>
  <c r="C6867" i="3"/>
  <c r="A6868" i="3"/>
  <c r="C6868" i="3"/>
  <c r="A6869" i="3"/>
  <c r="C6869" i="3"/>
  <c r="A6870" i="3"/>
  <c r="C6870" i="3"/>
  <c r="A6871" i="3"/>
  <c r="C6871" i="3"/>
  <c r="A6872" i="3"/>
  <c r="C6872" i="3"/>
  <c r="A6873" i="3"/>
  <c r="C6873" i="3"/>
  <c r="A6874" i="3"/>
  <c r="C6874" i="3"/>
  <c r="A6875" i="3"/>
  <c r="C6875" i="3"/>
  <c r="A6876" i="3"/>
  <c r="C6876" i="3"/>
  <c r="A6877" i="3"/>
  <c r="C6877" i="3"/>
  <c r="A6878" i="3"/>
  <c r="C6878" i="3"/>
  <c r="A6879" i="3"/>
  <c r="C6879" i="3"/>
  <c r="A6880" i="3"/>
  <c r="C6880" i="3"/>
  <c r="A6881" i="3"/>
  <c r="C6881" i="3"/>
  <c r="A6882" i="3"/>
  <c r="C6882" i="3"/>
  <c r="A6883" i="3"/>
  <c r="C6883" i="3"/>
  <c r="A6884" i="3"/>
  <c r="C6884" i="3"/>
  <c r="A6885" i="3"/>
  <c r="C6885" i="3"/>
  <c r="A6886" i="3"/>
  <c r="C6886" i="3"/>
  <c r="A6887" i="3"/>
  <c r="C6887" i="3"/>
  <c r="A6888" i="3"/>
  <c r="C6888" i="3"/>
  <c r="A6889" i="3"/>
  <c r="C6889" i="3"/>
  <c r="A6890" i="3"/>
  <c r="C6890" i="3"/>
  <c r="A6891" i="3"/>
  <c r="C6891" i="3"/>
  <c r="A6892" i="3"/>
  <c r="C6892" i="3"/>
  <c r="A6893" i="3"/>
  <c r="C6893" i="3"/>
  <c r="A6894" i="3"/>
  <c r="C6894" i="3"/>
  <c r="A6895" i="3"/>
  <c r="C6895" i="3"/>
  <c r="A6896" i="3"/>
  <c r="C6896" i="3"/>
  <c r="A6897" i="3"/>
  <c r="C6897" i="3"/>
  <c r="A6898" i="3"/>
  <c r="C6898" i="3"/>
  <c r="A6899" i="3"/>
  <c r="C6899" i="3"/>
  <c r="A6900" i="3"/>
  <c r="C6900" i="3"/>
  <c r="A6901" i="3"/>
  <c r="C6901" i="3"/>
  <c r="A6902" i="3"/>
  <c r="C6902" i="3"/>
  <c r="A6903" i="3"/>
  <c r="C6903" i="3"/>
  <c r="A6904" i="3"/>
  <c r="C6904" i="3"/>
  <c r="A6905" i="3"/>
  <c r="C6905" i="3"/>
  <c r="A6906" i="3"/>
  <c r="C6906" i="3"/>
  <c r="A6907" i="3"/>
  <c r="C6907" i="3"/>
  <c r="A6908" i="3"/>
  <c r="C6908" i="3"/>
  <c r="A6909" i="3"/>
  <c r="C6909" i="3"/>
  <c r="A6910" i="3"/>
  <c r="C6910" i="3"/>
  <c r="A6911" i="3"/>
  <c r="C6911" i="3"/>
  <c r="A6912" i="3"/>
  <c r="C6912" i="3"/>
  <c r="A6913" i="3"/>
  <c r="C6913" i="3"/>
  <c r="A6914" i="3"/>
  <c r="C6914" i="3"/>
  <c r="A6915" i="3"/>
  <c r="C6915" i="3"/>
  <c r="A6916" i="3"/>
  <c r="C6916" i="3"/>
  <c r="A6917" i="3"/>
  <c r="C6917" i="3"/>
  <c r="A6918" i="3"/>
  <c r="C6918" i="3"/>
  <c r="A6919" i="3"/>
  <c r="C6919" i="3"/>
  <c r="A6920" i="3"/>
  <c r="C6920" i="3"/>
  <c r="A6921" i="3"/>
  <c r="C6921" i="3"/>
  <c r="A6922" i="3"/>
  <c r="C6922" i="3"/>
  <c r="A6923" i="3"/>
  <c r="C6923" i="3"/>
  <c r="A6924" i="3"/>
  <c r="C6924" i="3"/>
  <c r="A6925" i="3"/>
  <c r="C6925" i="3"/>
  <c r="A6926" i="3"/>
  <c r="C6926" i="3"/>
  <c r="A6927" i="3"/>
  <c r="C6927" i="3"/>
  <c r="A6928" i="3"/>
  <c r="C6928" i="3"/>
  <c r="A6929" i="3"/>
  <c r="C6929" i="3"/>
  <c r="A6930" i="3"/>
  <c r="C6930" i="3"/>
  <c r="A6931" i="3"/>
  <c r="C6931" i="3"/>
  <c r="A6932" i="3"/>
  <c r="C6932" i="3"/>
  <c r="A6933" i="3"/>
  <c r="C6933" i="3"/>
  <c r="A6934" i="3"/>
  <c r="C6934" i="3"/>
  <c r="A6935" i="3"/>
  <c r="C6935" i="3"/>
  <c r="A6936" i="3"/>
  <c r="C6936" i="3"/>
  <c r="A6937" i="3"/>
  <c r="C6937" i="3"/>
  <c r="A6938" i="3"/>
  <c r="C6938" i="3"/>
  <c r="A6939" i="3"/>
  <c r="C6939" i="3"/>
  <c r="A6940" i="3"/>
  <c r="C6940" i="3"/>
  <c r="A6941" i="3"/>
  <c r="C6941" i="3"/>
  <c r="A6942" i="3"/>
  <c r="C6942" i="3"/>
  <c r="A6943" i="3"/>
  <c r="C6943" i="3"/>
  <c r="A6944" i="3"/>
  <c r="C6944" i="3"/>
  <c r="A6945" i="3"/>
  <c r="C6945" i="3"/>
  <c r="A6946" i="3"/>
  <c r="C6946" i="3"/>
  <c r="A6947" i="3"/>
  <c r="C6947" i="3"/>
  <c r="A6948" i="3"/>
  <c r="C6948" i="3"/>
  <c r="A6949" i="3"/>
  <c r="C6949" i="3"/>
  <c r="A6950" i="3"/>
  <c r="C6950" i="3"/>
  <c r="A6951" i="3"/>
  <c r="C6951" i="3"/>
  <c r="A6952" i="3"/>
  <c r="C6952" i="3"/>
  <c r="A6953" i="3"/>
  <c r="C6953" i="3"/>
  <c r="A6954" i="3"/>
  <c r="C6954" i="3"/>
  <c r="A6955" i="3"/>
  <c r="C6955" i="3"/>
  <c r="A6956" i="3"/>
  <c r="C6956" i="3"/>
  <c r="A6957" i="3"/>
  <c r="C6957" i="3"/>
  <c r="A6958" i="3"/>
  <c r="C6958" i="3"/>
  <c r="A6959" i="3"/>
  <c r="C6959" i="3"/>
  <c r="A6960" i="3"/>
  <c r="C6960" i="3"/>
  <c r="A6961" i="3"/>
  <c r="C6961" i="3"/>
  <c r="A6962" i="3"/>
  <c r="C6962" i="3"/>
  <c r="A6963" i="3"/>
  <c r="C6963" i="3"/>
  <c r="A6964" i="3"/>
  <c r="C6964" i="3"/>
  <c r="A6965" i="3"/>
  <c r="C6965" i="3"/>
  <c r="A6966" i="3"/>
  <c r="C6966" i="3"/>
  <c r="A6967" i="3"/>
  <c r="C6967" i="3"/>
  <c r="A6968" i="3"/>
  <c r="C6968" i="3"/>
  <c r="A6969" i="3"/>
  <c r="C6969" i="3"/>
  <c r="A6970" i="3"/>
  <c r="C6970" i="3"/>
  <c r="A6971" i="3"/>
  <c r="C6971" i="3"/>
  <c r="A6972" i="3"/>
  <c r="C6972" i="3"/>
  <c r="A6973" i="3"/>
  <c r="C6973" i="3"/>
  <c r="A6974" i="3"/>
  <c r="C6974" i="3"/>
  <c r="A6975" i="3"/>
  <c r="C6975" i="3"/>
  <c r="A6976" i="3"/>
  <c r="C6976" i="3"/>
  <c r="A6977" i="3"/>
  <c r="C6977" i="3"/>
  <c r="A6978" i="3"/>
  <c r="C6978" i="3"/>
  <c r="A6979" i="3"/>
  <c r="C6979" i="3"/>
  <c r="A6980" i="3"/>
  <c r="C6980" i="3"/>
  <c r="A6981" i="3"/>
  <c r="C6981" i="3"/>
  <c r="A6982" i="3"/>
  <c r="C6982" i="3"/>
  <c r="A6983" i="3"/>
  <c r="C6983" i="3"/>
  <c r="A6984" i="3"/>
  <c r="C6984" i="3"/>
  <c r="A6985" i="3"/>
  <c r="C6985" i="3"/>
  <c r="A6986" i="3"/>
  <c r="C6986" i="3"/>
  <c r="A6987" i="3"/>
  <c r="C6987" i="3"/>
  <c r="A6988" i="3"/>
  <c r="C6988" i="3"/>
  <c r="A6989" i="3"/>
  <c r="C6989" i="3"/>
  <c r="A6990" i="3"/>
  <c r="C6990" i="3"/>
  <c r="A6991" i="3"/>
  <c r="C6991" i="3"/>
  <c r="A6992" i="3"/>
  <c r="C6992" i="3"/>
  <c r="A6993" i="3"/>
  <c r="C6993" i="3"/>
  <c r="A6994" i="3"/>
  <c r="C6994" i="3"/>
  <c r="A6995" i="3"/>
  <c r="C6995" i="3"/>
  <c r="A6996" i="3"/>
  <c r="C6996" i="3"/>
  <c r="A6997" i="3"/>
  <c r="C6997" i="3"/>
  <c r="A6998" i="3"/>
  <c r="C6998" i="3"/>
  <c r="A6999" i="3"/>
  <c r="C6999" i="3"/>
  <c r="A7000" i="3"/>
  <c r="C7000" i="3"/>
  <c r="A7001" i="3"/>
  <c r="C7001" i="3"/>
  <c r="A7002" i="3"/>
  <c r="C7002" i="3"/>
  <c r="A7003" i="3"/>
  <c r="C7003" i="3"/>
  <c r="A7004" i="3"/>
  <c r="C7004" i="3"/>
  <c r="A7005" i="3"/>
  <c r="C7005" i="3"/>
  <c r="A7006" i="3"/>
  <c r="C7006" i="3"/>
  <c r="A7007" i="3"/>
  <c r="C7007" i="3"/>
  <c r="A7008" i="3"/>
  <c r="C7008" i="3"/>
  <c r="A7009" i="3"/>
  <c r="C7009" i="3"/>
  <c r="A7010" i="3"/>
  <c r="C7010" i="3"/>
  <c r="A7011" i="3"/>
  <c r="C7011" i="3"/>
  <c r="A7012" i="3"/>
  <c r="C7012" i="3"/>
  <c r="A7013" i="3"/>
  <c r="C7013" i="3"/>
  <c r="A7014" i="3"/>
  <c r="C7014" i="3"/>
  <c r="A7015" i="3"/>
  <c r="C7015" i="3"/>
  <c r="A7016" i="3"/>
  <c r="C7016" i="3"/>
  <c r="A7017" i="3"/>
  <c r="C7017" i="3"/>
  <c r="A7018" i="3"/>
  <c r="C7018" i="3"/>
  <c r="A7019" i="3"/>
  <c r="C7019" i="3"/>
  <c r="A7020" i="3"/>
  <c r="C7020" i="3"/>
  <c r="A7021" i="3"/>
  <c r="C7021" i="3"/>
  <c r="A7022" i="3"/>
  <c r="C7022" i="3"/>
  <c r="A7023" i="3"/>
  <c r="C7023" i="3"/>
  <c r="A7024" i="3"/>
  <c r="C7024" i="3"/>
  <c r="A7025" i="3"/>
  <c r="C7025" i="3"/>
  <c r="A7026" i="3"/>
  <c r="C7026" i="3"/>
  <c r="A7027" i="3"/>
  <c r="C7027" i="3"/>
  <c r="A7028" i="3"/>
  <c r="C7028" i="3"/>
  <c r="A7029" i="3"/>
  <c r="C7029" i="3"/>
  <c r="A7030" i="3"/>
  <c r="C7030" i="3"/>
  <c r="A7031" i="3"/>
  <c r="C7031" i="3"/>
  <c r="A7032" i="3"/>
  <c r="C7032" i="3"/>
  <c r="A7033" i="3"/>
  <c r="C7033" i="3"/>
  <c r="A7034" i="3"/>
  <c r="C7034" i="3"/>
  <c r="A7035" i="3"/>
  <c r="C7035" i="3"/>
  <c r="A7036" i="3"/>
  <c r="C7036" i="3"/>
  <c r="A7037" i="3"/>
  <c r="C7037" i="3"/>
  <c r="A7038" i="3"/>
  <c r="C7038" i="3"/>
  <c r="A7039" i="3"/>
  <c r="C7039" i="3"/>
  <c r="A7040" i="3"/>
  <c r="C7040" i="3"/>
  <c r="A7041" i="3"/>
  <c r="C7041" i="3"/>
  <c r="A7042" i="3"/>
  <c r="C7042" i="3"/>
  <c r="A7043" i="3"/>
  <c r="C7043" i="3"/>
  <c r="A7044" i="3"/>
  <c r="C7044" i="3"/>
  <c r="A7045" i="3"/>
  <c r="C7045" i="3"/>
  <c r="A7046" i="3"/>
  <c r="C7046" i="3"/>
  <c r="A7047" i="3"/>
  <c r="C7047" i="3"/>
  <c r="A7048" i="3"/>
  <c r="C7048" i="3"/>
  <c r="A7049" i="3"/>
  <c r="C7049" i="3"/>
  <c r="A7050" i="3"/>
  <c r="C7050" i="3"/>
  <c r="A7051" i="3"/>
  <c r="C7051" i="3"/>
  <c r="A7052" i="3"/>
  <c r="C7052" i="3"/>
  <c r="A7053" i="3"/>
  <c r="C7053" i="3"/>
  <c r="A7054" i="3"/>
  <c r="C7054" i="3"/>
  <c r="A7055" i="3"/>
  <c r="C7055" i="3"/>
  <c r="A7056" i="3"/>
  <c r="C7056" i="3"/>
  <c r="A7057" i="3"/>
  <c r="C7057" i="3"/>
  <c r="A7058" i="3"/>
  <c r="C7058" i="3"/>
  <c r="A7059" i="3"/>
  <c r="C7059" i="3"/>
  <c r="A7060" i="3"/>
  <c r="C7060" i="3"/>
  <c r="A7061" i="3"/>
  <c r="C7061" i="3"/>
  <c r="A7062" i="3"/>
  <c r="C7062" i="3"/>
  <c r="A7063" i="3"/>
  <c r="C7063" i="3"/>
  <c r="A7064" i="3"/>
  <c r="C7064" i="3"/>
  <c r="A7065" i="3"/>
  <c r="C7065" i="3"/>
  <c r="A7066" i="3"/>
  <c r="C7066" i="3"/>
  <c r="A7067" i="3"/>
  <c r="C7067" i="3"/>
  <c r="A7068" i="3"/>
  <c r="C7068" i="3"/>
  <c r="A7069" i="3"/>
  <c r="C7069" i="3"/>
  <c r="A7070" i="3"/>
  <c r="C7070" i="3"/>
  <c r="A7071" i="3"/>
  <c r="C7071" i="3"/>
  <c r="A7072" i="3"/>
  <c r="C7072" i="3"/>
  <c r="A7073" i="3"/>
  <c r="C7073" i="3"/>
  <c r="A7074" i="3"/>
  <c r="C7074" i="3"/>
  <c r="A7075" i="3"/>
  <c r="C7075" i="3"/>
  <c r="A7076" i="3"/>
  <c r="C7076" i="3"/>
  <c r="A7077" i="3"/>
  <c r="C7077" i="3"/>
  <c r="A7078" i="3"/>
  <c r="C7078" i="3"/>
  <c r="A7079" i="3"/>
  <c r="C7079" i="3"/>
  <c r="A7080" i="3"/>
  <c r="C7080" i="3"/>
  <c r="A7081" i="3"/>
  <c r="C7081" i="3"/>
  <c r="A7082" i="3"/>
  <c r="C7082" i="3"/>
  <c r="A7083" i="3"/>
  <c r="C7083" i="3"/>
  <c r="A7084" i="3"/>
  <c r="C7084" i="3"/>
  <c r="A7085" i="3"/>
  <c r="C7085" i="3"/>
  <c r="A7086" i="3"/>
  <c r="C7086" i="3"/>
  <c r="A7087" i="3"/>
  <c r="C7087" i="3"/>
  <c r="A7088" i="3"/>
  <c r="C7088" i="3"/>
  <c r="A7089" i="3"/>
  <c r="C7089" i="3"/>
  <c r="A7090" i="3"/>
  <c r="C7090" i="3"/>
  <c r="A7091" i="3"/>
  <c r="C7091" i="3"/>
  <c r="A7092" i="3"/>
  <c r="C7092" i="3"/>
  <c r="A7093" i="3"/>
  <c r="C7093" i="3"/>
  <c r="A7094" i="3"/>
  <c r="C7094" i="3"/>
  <c r="A7095" i="3"/>
  <c r="C7095" i="3"/>
  <c r="A7096" i="3"/>
  <c r="C7096" i="3"/>
  <c r="A7097" i="3"/>
  <c r="C7097" i="3"/>
  <c r="A7098" i="3"/>
  <c r="C7098" i="3"/>
  <c r="A7099" i="3"/>
  <c r="C7099" i="3"/>
  <c r="A7100" i="3"/>
  <c r="C7100" i="3"/>
  <c r="A7101" i="3"/>
  <c r="C7101" i="3"/>
  <c r="A7102" i="3"/>
  <c r="C7102" i="3"/>
  <c r="A7103" i="3"/>
  <c r="C7103" i="3"/>
  <c r="A7104" i="3"/>
  <c r="C7104" i="3"/>
  <c r="A7105" i="3"/>
  <c r="C7105" i="3"/>
  <c r="A7106" i="3"/>
  <c r="C7106" i="3"/>
  <c r="A7107" i="3"/>
  <c r="C7107" i="3"/>
  <c r="A7108" i="3"/>
  <c r="C7108" i="3"/>
  <c r="A7109" i="3"/>
  <c r="C7109" i="3"/>
  <c r="A7110" i="3"/>
  <c r="C7110" i="3"/>
  <c r="A7111" i="3"/>
  <c r="C7111" i="3"/>
  <c r="A7112" i="3"/>
  <c r="C7112" i="3"/>
  <c r="A7113" i="3"/>
  <c r="C7113" i="3"/>
  <c r="A7114" i="3"/>
  <c r="C7114" i="3"/>
  <c r="A7115" i="3"/>
  <c r="C7115" i="3"/>
  <c r="A7116" i="3"/>
  <c r="C7116" i="3"/>
  <c r="A7117" i="3"/>
  <c r="C7117" i="3"/>
  <c r="A7118" i="3"/>
  <c r="C7118" i="3"/>
  <c r="A7119" i="3"/>
  <c r="C7119" i="3"/>
  <c r="A7120" i="3"/>
  <c r="C7120" i="3"/>
  <c r="A7121" i="3"/>
  <c r="C7121" i="3"/>
  <c r="A7122" i="3"/>
  <c r="C7122" i="3"/>
  <c r="A7123" i="3"/>
  <c r="C7123" i="3"/>
  <c r="A7124" i="3"/>
  <c r="C7124" i="3"/>
  <c r="A7125" i="3"/>
  <c r="C7125" i="3"/>
  <c r="A7126" i="3"/>
  <c r="C7126" i="3"/>
  <c r="A7127" i="3"/>
  <c r="C7127" i="3"/>
  <c r="A7128" i="3"/>
  <c r="C7128" i="3"/>
  <c r="A7129" i="3"/>
  <c r="C7129" i="3"/>
  <c r="A7130" i="3"/>
  <c r="C7130" i="3"/>
  <c r="A7131" i="3"/>
  <c r="C7131" i="3"/>
  <c r="A7132" i="3"/>
  <c r="C7132" i="3"/>
  <c r="A7133" i="3"/>
  <c r="C7133" i="3"/>
  <c r="A7134" i="3"/>
  <c r="C7134" i="3"/>
  <c r="A7135" i="3"/>
  <c r="C7135" i="3"/>
  <c r="A7136" i="3"/>
  <c r="C7136" i="3"/>
  <c r="A7137" i="3"/>
  <c r="C7137" i="3"/>
  <c r="A7138" i="3"/>
  <c r="C7138" i="3"/>
  <c r="A7139" i="3"/>
  <c r="C7139" i="3"/>
  <c r="A7140" i="3"/>
  <c r="C7140" i="3"/>
  <c r="A7141" i="3"/>
  <c r="C7141" i="3"/>
  <c r="A7142" i="3"/>
  <c r="C7142" i="3"/>
  <c r="A7143" i="3"/>
  <c r="C7143" i="3"/>
  <c r="A7144" i="3"/>
  <c r="C7144" i="3"/>
  <c r="A7145" i="3"/>
  <c r="C7145" i="3"/>
  <c r="A7146" i="3"/>
  <c r="C7146" i="3"/>
  <c r="A7147" i="3"/>
  <c r="C7147" i="3"/>
  <c r="A7148" i="3"/>
  <c r="C7148" i="3"/>
  <c r="A7149" i="3"/>
  <c r="C7149" i="3"/>
  <c r="A7150" i="3"/>
  <c r="C7150" i="3"/>
  <c r="A7151" i="3"/>
  <c r="C7151" i="3"/>
  <c r="A7152" i="3"/>
  <c r="C7152" i="3"/>
  <c r="A7153" i="3"/>
  <c r="C7153" i="3"/>
  <c r="A7154" i="3"/>
  <c r="C7154" i="3"/>
  <c r="A7155" i="3"/>
  <c r="C7155" i="3"/>
  <c r="A7156" i="3"/>
  <c r="C7156" i="3"/>
  <c r="A7157" i="3"/>
  <c r="C7157" i="3"/>
  <c r="A7158" i="3"/>
  <c r="C7158" i="3"/>
  <c r="A7159" i="3"/>
  <c r="C7159" i="3"/>
  <c r="A7160" i="3"/>
  <c r="C7160" i="3"/>
  <c r="A7161" i="3"/>
  <c r="C7161" i="3"/>
  <c r="A7162" i="3"/>
  <c r="C7162" i="3"/>
  <c r="A7163" i="3"/>
  <c r="C7163" i="3"/>
  <c r="A7164" i="3"/>
  <c r="C7164" i="3"/>
  <c r="A7165" i="3"/>
  <c r="C7165" i="3"/>
  <c r="A7166" i="3"/>
  <c r="C7166" i="3"/>
  <c r="A7167" i="3"/>
  <c r="C7167" i="3"/>
  <c r="A7168" i="3"/>
  <c r="C7168" i="3"/>
  <c r="A7169" i="3"/>
  <c r="C7169" i="3"/>
  <c r="A7170" i="3"/>
  <c r="C7170" i="3"/>
  <c r="A7171" i="3"/>
  <c r="C7171" i="3"/>
  <c r="A7172" i="3"/>
  <c r="C7172" i="3"/>
  <c r="A7173" i="3"/>
  <c r="C7173" i="3"/>
  <c r="A7174" i="3"/>
  <c r="C7174" i="3"/>
  <c r="A7175" i="3"/>
  <c r="C7175" i="3"/>
  <c r="A7176" i="3"/>
  <c r="C7176" i="3"/>
  <c r="A7177" i="3"/>
  <c r="C7177" i="3"/>
  <c r="A7178" i="3"/>
  <c r="C7178" i="3"/>
  <c r="A7179" i="3"/>
  <c r="C7179" i="3"/>
  <c r="A7180" i="3"/>
  <c r="C7180" i="3"/>
  <c r="A7181" i="3"/>
  <c r="C7181" i="3"/>
  <c r="A7182" i="3"/>
  <c r="C7182" i="3"/>
  <c r="A7183" i="3"/>
  <c r="C7183" i="3"/>
  <c r="A7184" i="3"/>
  <c r="C7184" i="3"/>
  <c r="A7185" i="3"/>
  <c r="C7185" i="3"/>
  <c r="A7186" i="3"/>
  <c r="C7186" i="3"/>
  <c r="A7187" i="3"/>
  <c r="C7187" i="3"/>
  <c r="A7188" i="3"/>
  <c r="C7188" i="3"/>
  <c r="A7189" i="3"/>
  <c r="C7189" i="3"/>
  <c r="A7190" i="3"/>
  <c r="C7190" i="3"/>
  <c r="A7191" i="3"/>
  <c r="C7191" i="3"/>
  <c r="A7192" i="3"/>
  <c r="C7192" i="3"/>
  <c r="A7193" i="3"/>
  <c r="C7193" i="3"/>
  <c r="A7194" i="3"/>
  <c r="C7194" i="3"/>
  <c r="A7195" i="3"/>
  <c r="C7195" i="3"/>
  <c r="A7196" i="3"/>
  <c r="C7196" i="3"/>
  <c r="A7197" i="3"/>
  <c r="C7197" i="3"/>
  <c r="A7198" i="3"/>
  <c r="C7198" i="3"/>
  <c r="A7199" i="3"/>
  <c r="C7199" i="3"/>
  <c r="A7200" i="3"/>
  <c r="C7200" i="3"/>
  <c r="A7201" i="3"/>
  <c r="C7201" i="3"/>
  <c r="A7202" i="3"/>
  <c r="C7202" i="3"/>
  <c r="A7203" i="3"/>
  <c r="C7203" i="3"/>
  <c r="A7204" i="3"/>
  <c r="C7204" i="3"/>
  <c r="A7205" i="3"/>
  <c r="C7205" i="3"/>
  <c r="A7206" i="3"/>
  <c r="C7206" i="3"/>
  <c r="A7207" i="3"/>
  <c r="C7207" i="3"/>
  <c r="A7208" i="3"/>
  <c r="C7208" i="3"/>
  <c r="A7209" i="3"/>
  <c r="C7209" i="3"/>
  <c r="A7210" i="3"/>
  <c r="C7210" i="3"/>
  <c r="A7211" i="3"/>
  <c r="C7211" i="3"/>
  <c r="A7212" i="3"/>
  <c r="C7212" i="3"/>
  <c r="A7213" i="3"/>
  <c r="C7213" i="3"/>
  <c r="A7214" i="3"/>
  <c r="C7214" i="3"/>
  <c r="A7215" i="3"/>
  <c r="C7215" i="3"/>
  <c r="A7216" i="3"/>
  <c r="C7216" i="3"/>
  <c r="A7217" i="3"/>
  <c r="C7217" i="3"/>
  <c r="A7218" i="3"/>
  <c r="C7218" i="3"/>
  <c r="A7219" i="3"/>
  <c r="C7219" i="3"/>
  <c r="A7220" i="3"/>
  <c r="C7220" i="3"/>
  <c r="A7221" i="3"/>
  <c r="C7221" i="3"/>
  <c r="A7222" i="3"/>
  <c r="C7222" i="3"/>
  <c r="A7223" i="3"/>
  <c r="C7223" i="3"/>
  <c r="A7224" i="3"/>
  <c r="C7224" i="3"/>
  <c r="A7225" i="3"/>
  <c r="C7225" i="3"/>
  <c r="A7226" i="3"/>
  <c r="C7226" i="3"/>
  <c r="A7227" i="3"/>
  <c r="C7227" i="3"/>
  <c r="A7228" i="3"/>
  <c r="C7228" i="3"/>
  <c r="A7229" i="3"/>
  <c r="C7229" i="3"/>
  <c r="A7230" i="3"/>
  <c r="C7230" i="3"/>
  <c r="A7231" i="3"/>
  <c r="C7231" i="3"/>
  <c r="A7232" i="3"/>
  <c r="C7232" i="3"/>
  <c r="A7233" i="3"/>
  <c r="C7233" i="3"/>
  <c r="A7234" i="3"/>
  <c r="C7234" i="3"/>
  <c r="A7235" i="3"/>
  <c r="C7235" i="3"/>
  <c r="A7236" i="3"/>
  <c r="C7236" i="3"/>
  <c r="A7237" i="3"/>
  <c r="C7237" i="3"/>
  <c r="A7238" i="3"/>
  <c r="C7238" i="3"/>
  <c r="A7239" i="3"/>
  <c r="C7239" i="3"/>
  <c r="A7240" i="3"/>
  <c r="C7240" i="3"/>
  <c r="A7241" i="3"/>
  <c r="C7241" i="3"/>
  <c r="A7242" i="3"/>
  <c r="C7242" i="3"/>
  <c r="A7243" i="3"/>
  <c r="C7243" i="3"/>
  <c r="A7244" i="3"/>
  <c r="C7244" i="3"/>
  <c r="A7245" i="3"/>
  <c r="C7245" i="3"/>
  <c r="A7246" i="3"/>
  <c r="C7246" i="3"/>
  <c r="A7247" i="3"/>
  <c r="C7247" i="3"/>
  <c r="A7248" i="3"/>
  <c r="C7248" i="3"/>
  <c r="A7249" i="3"/>
  <c r="C7249" i="3"/>
  <c r="A7250" i="3"/>
  <c r="C7250" i="3"/>
  <c r="A7251" i="3"/>
  <c r="C7251" i="3"/>
  <c r="A7252" i="3"/>
  <c r="C7252" i="3"/>
  <c r="A7253" i="3"/>
  <c r="C7253" i="3"/>
  <c r="A7254" i="3"/>
  <c r="C7254" i="3"/>
  <c r="A7255" i="3"/>
  <c r="C7255" i="3"/>
  <c r="A7256" i="3"/>
  <c r="C7256" i="3"/>
  <c r="A7257" i="3"/>
  <c r="C7257" i="3"/>
  <c r="A7258" i="3"/>
  <c r="C7258" i="3"/>
  <c r="A7259" i="3"/>
  <c r="C7259" i="3"/>
  <c r="A7260" i="3"/>
  <c r="C7260" i="3"/>
  <c r="A7261" i="3"/>
  <c r="C7261" i="3"/>
  <c r="A7262" i="3"/>
  <c r="C7262" i="3"/>
  <c r="A7263" i="3"/>
  <c r="C7263" i="3"/>
  <c r="A7264" i="3"/>
  <c r="C7264" i="3"/>
  <c r="A7265" i="3"/>
  <c r="C7265" i="3"/>
  <c r="A7266" i="3"/>
  <c r="C7266" i="3"/>
  <c r="A7267" i="3"/>
  <c r="C7267" i="3"/>
  <c r="A7268" i="3"/>
  <c r="C7268" i="3"/>
  <c r="A7269" i="3"/>
  <c r="C7269" i="3"/>
  <c r="A7270" i="3"/>
  <c r="C7270" i="3"/>
  <c r="A7271" i="3"/>
  <c r="C7271" i="3"/>
  <c r="A7272" i="3"/>
  <c r="C7272" i="3"/>
  <c r="A7273" i="3"/>
  <c r="C7273" i="3"/>
  <c r="A7274" i="3"/>
  <c r="C7274" i="3"/>
  <c r="A7275" i="3"/>
  <c r="C7275" i="3"/>
  <c r="A7276" i="3"/>
  <c r="C7276" i="3"/>
  <c r="A7277" i="3"/>
  <c r="C7277" i="3"/>
  <c r="A7278" i="3"/>
  <c r="C7278" i="3"/>
  <c r="A7279" i="3"/>
  <c r="C7279" i="3"/>
  <c r="A7280" i="3"/>
  <c r="C7280" i="3"/>
  <c r="A7281" i="3"/>
  <c r="C7281" i="3"/>
  <c r="A7282" i="3"/>
  <c r="C7282" i="3"/>
  <c r="A7283" i="3"/>
  <c r="C7283" i="3"/>
  <c r="A7284" i="3"/>
  <c r="C7284" i="3"/>
  <c r="A7285" i="3"/>
  <c r="C7285" i="3"/>
  <c r="A7286" i="3"/>
  <c r="C7286" i="3"/>
  <c r="A7287" i="3"/>
  <c r="C7287" i="3"/>
  <c r="A7288" i="3"/>
  <c r="C7288" i="3"/>
  <c r="A7289" i="3"/>
  <c r="C7289" i="3"/>
  <c r="A7290" i="3"/>
  <c r="C7290" i="3"/>
  <c r="A7291" i="3"/>
  <c r="C7291" i="3"/>
  <c r="A7292" i="3"/>
  <c r="C7292" i="3"/>
  <c r="A7293" i="3"/>
  <c r="C7293" i="3"/>
  <c r="A7294" i="3"/>
  <c r="C7294" i="3"/>
  <c r="A7295" i="3"/>
  <c r="C7295" i="3"/>
  <c r="A7296" i="3"/>
  <c r="C7296" i="3"/>
  <c r="A7297" i="3"/>
  <c r="C7297" i="3"/>
  <c r="A7298" i="3"/>
  <c r="C7298" i="3"/>
  <c r="A7299" i="3"/>
  <c r="C7299" i="3"/>
  <c r="A7300" i="3"/>
  <c r="C7300" i="3"/>
  <c r="A7301" i="3"/>
  <c r="C7301" i="3"/>
  <c r="A7302" i="3"/>
  <c r="C7302" i="3"/>
  <c r="A7303" i="3"/>
  <c r="C7303" i="3"/>
  <c r="A7304" i="3"/>
  <c r="C7304" i="3"/>
  <c r="A7305" i="3"/>
  <c r="C7305" i="3"/>
  <c r="A7306" i="3"/>
  <c r="C7306" i="3"/>
  <c r="A7307" i="3"/>
  <c r="C7307" i="3"/>
  <c r="A7308" i="3"/>
  <c r="C7308" i="3"/>
  <c r="A7309" i="3"/>
  <c r="C7309" i="3"/>
  <c r="A7310" i="3"/>
  <c r="C7310" i="3"/>
  <c r="A7311" i="3"/>
  <c r="C7311" i="3"/>
  <c r="A7312" i="3"/>
  <c r="C7312" i="3"/>
  <c r="A7313" i="3"/>
  <c r="C7313" i="3"/>
  <c r="A7314" i="3"/>
  <c r="C7314" i="3"/>
  <c r="A7315" i="3"/>
  <c r="C7315" i="3"/>
  <c r="A7316" i="3"/>
  <c r="C7316" i="3"/>
  <c r="A7317" i="3"/>
  <c r="C7317" i="3"/>
  <c r="A7318" i="3"/>
  <c r="C7318" i="3"/>
  <c r="A7319" i="3"/>
  <c r="C7319" i="3"/>
  <c r="A7320" i="3"/>
  <c r="C7320" i="3"/>
  <c r="A7321" i="3"/>
  <c r="C7321" i="3"/>
  <c r="A7322" i="3"/>
  <c r="C7322" i="3"/>
  <c r="A7323" i="3"/>
  <c r="C7323" i="3"/>
  <c r="A7324" i="3"/>
  <c r="C7324" i="3"/>
  <c r="A7325" i="3"/>
  <c r="C7325" i="3"/>
  <c r="A7326" i="3"/>
  <c r="C7326" i="3"/>
  <c r="A7327" i="3"/>
  <c r="C7327" i="3"/>
  <c r="A7328" i="3"/>
  <c r="C7328" i="3"/>
  <c r="A7329" i="3"/>
  <c r="C7329" i="3"/>
  <c r="A7330" i="3"/>
  <c r="C7330" i="3"/>
  <c r="A7331" i="3"/>
  <c r="C7331" i="3"/>
  <c r="A7332" i="3"/>
  <c r="C7332" i="3"/>
  <c r="A7333" i="3"/>
  <c r="C7333" i="3"/>
  <c r="A7334" i="3"/>
  <c r="C7334" i="3"/>
  <c r="A7335" i="3"/>
  <c r="C7335" i="3"/>
  <c r="A7336" i="3"/>
  <c r="C7336" i="3"/>
  <c r="A7337" i="3"/>
  <c r="C7337" i="3"/>
  <c r="A7338" i="3"/>
  <c r="C7338" i="3"/>
  <c r="A7339" i="3"/>
  <c r="C7339" i="3"/>
  <c r="A7340" i="3"/>
  <c r="C7340" i="3"/>
  <c r="A7341" i="3"/>
  <c r="C7341" i="3"/>
  <c r="A7342" i="3"/>
  <c r="C7342" i="3"/>
  <c r="A7343" i="3"/>
  <c r="C7343" i="3"/>
  <c r="A7344" i="3"/>
  <c r="C7344" i="3"/>
  <c r="A7345" i="3"/>
  <c r="C7345" i="3"/>
  <c r="A7346" i="3"/>
  <c r="C7346" i="3"/>
  <c r="A7347" i="3"/>
  <c r="C7347" i="3"/>
  <c r="A7348" i="3"/>
  <c r="C7348" i="3"/>
  <c r="A7349" i="3"/>
  <c r="C7349" i="3"/>
  <c r="A7350" i="3"/>
  <c r="C7350" i="3"/>
  <c r="A7351" i="3"/>
  <c r="C7351" i="3"/>
  <c r="A7352" i="3"/>
  <c r="C7352" i="3"/>
  <c r="A7353" i="3"/>
  <c r="C7353" i="3"/>
  <c r="A7354" i="3"/>
  <c r="C7354" i="3"/>
  <c r="A7355" i="3"/>
  <c r="C7355" i="3"/>
  <c r="A7356" i="3"/>
  <c r="C7356" i="3"/>
  <c r="A7357" i="3"/>
  <c r="C7357" i="3"/>
  <c r="A7358" i="3"/>
  <c r="C7358" i="3"/>
  <c r="A7359" i="3"/>
  <c r="C7359" i="3"/>
  <c r="A7360" i="3"/>
  <c r="C7360" i="3"/>
  <c r="A7361" i="3"/>
  <c r="C7361" i="3"/>
  <c r="A7362" i="3"/>
  <c r="C7362" i="3"/>
  <c r="A7363" i="3"/>
  <c r="C7363" i="3"/>
  <c r="A7364" i="3"/>
  <c r="C7364" i="3"/>
  <c r="A7365" i="3"/>
  <c r="C7365" i="3"/>
  <c r="A7366" i="3"/>
  <c r="C7366" i="3"/>
  <c r="A7367" i="3"/>
  <c r="C7367" i="3"/>
  <c r="A7368" i="3"/>
  <c r="C7368" i="3"/>
  <c r="A7369" i="3"/>
  <c r="C7369" i="3"/>
  <c r="A7370" i="3"/>
  <c r="C7370" i="3"/>
  <c r="A7371" i="3"/>
  <c r="C7371" i="3"/>
  <c r="A7372" i="3"/>
  <c r="C7372" i="3"/>
  <c r="A7373" i="3"/>
  <c r="C7373" i="3"/>
  <c r="A7374" i="3"/>
  <c r="C7374" i="3"/>
  <c r="A7375" i="3"/>
  <c r="C7375" i="3"/>
  <c r="A7376" i="3"/>
  <c r="C7376" i="3"/>
  <c r="A7377" i="3"/>
  <c r="C7377" i="3"/>
  <c r="A7378" i="3"/>
  <c r="C7378" i="3"/>
  <c r="A7379" i="3"/>
  <c r="C7379" i="3"/>
  <c r="A7380" i="3"/>
  <c r="C7380" i="3"/>
  <c r="A7381" i="3"/>
  <c r="C7381" i="3"/>
  <c r="A7382" i="3"/>
  <c r="C7382" i="3"/>
  <c r="A7383" i="3"/>
  <c r="C7383" i="3"/>
  <c r="A7384" i="3"/>
  <c r="C7384" i="3"/>
  <c r="A7385" i="3"/>
  <c r="C7385" i="3"/>
  <c r="A7386" i="3"/>
  <c r="C7386" i="3"/>
  <c r="A7387" i="3"/>
  <c r="C7387" i="3"/>
  <c r="A7388" i="3"/>
  <c r="C7388" i="3"/>
  <c r="A7389" i="3"/>
  <c r="C7389" i="3"/>
  <c r="A7390" i="3"/>
  <c r="C7390" i="3"/>
  <c r="A7391" i="3"/>
  <c r="C7391" i="3"/>
  <c r="A7392" i="3"/>
  <c r="C7392" i="3"/>
  <c r="A7393" i="3"/>
  <c r="C7393" i="3"/>
  <c r="A7394" i="3"/>
  <c r="C7394" i="3"/>
  <c r="A7395" i="3"/>
  <c r="C7395" i="3"/>
  <c r="A7396" i="3"/>
  <c r="C7396" i="3"/>
  <c r="A7397" i="3"/>
  <c r="C7397" i="3"/>
  <c r="A7398" i="3"/>
  <c r="C7398" i="3"/>
  <c r="A7399" i="3"/>
  <c r="C7399" i="3"/>
  <c r="A7400" i="3"/>
  <c r="C7400" i="3"/>
  <c r="A7401" i="3"/>
  <c r="C7401" i="3"/>
  <c r="A7402" i="3"/>
  <c r="C7402" i="3"/>
  <c r="A7403" i="3"/>
  <c r="C7403" i="3"/>
  <c r="A7404" i="3"/>
  <c r="C7404" i="3"/>
  <c r="A7405" i="3"/>
  <c r="C7405" i="3"/>
  <c r="A7406" i="3"/>
  <c r="C7406" i="3"/>
  <c r="A7407" i="3"/>
  <c r="C7407" i="3"/>
  <c r="A7408" i="3"/>
  <c r="C7408" i="3"/>
  <c r="A7409" i="3"/>
  <c r="C7409" i="3"/>
  <c r="A7410" i="3"/>
  <c r="C7410" i="3"/>
  <c r="A7411" i="3"/>
  <c r="C7411" i="3"/>
  <c r="A7412" i="3"/>
  <c r="C7412" i="3"/>
  <c r="A7413" i="3"/>
  <c r="C7413" i="3"/>
  <c r="A7414" i="3"/>
  <c r="C7414" i="3"/>
  <c r="A7415" i="3"/>
  <c r="C7415" i="3"/>
  <c r="A7416" i="3"/>
  <c r="C7416" i="3"/>
  <c r="A7417" i="3"/>
  <c r="C7417" i="3"/>
  <c r="A7418" i="3"/>
  <c r="C7418" i="3"/>
  <c r="A7419" i="3"/>
  <c r="C7419" i="3"/>
  <c r="A7420" i="3"/>
  <c r="C7420" i="3"/>
  <c r="A7421" i="3"/>
  <c r="C7421" i="3"/>
  <c r="A7422" i="3"/>
  <c r="C7422" i="3"/>
  <c r="A7423" i="3"/>
  <c r="C7423" i="3"/>
  <c r="A7424" i="3"/>
  <c r="C7424" i="3"/>
  <c r="A7425" i="3"/>
  <c r="C7425" i="3"/>
  <c r="A7426" i="3"/>
  <c r="C7426" i="3"/>
  <c r="A7427" i="3"/>
  <c r="C7427" i="3"/>
  <c r="A7428" i="3"/>
  <c r="C7428" i="3"/>
  <c r="A7429" i="3"/>
  <c r="C7429" i="3"/>
  <c r="A7430" i="3"/>
  <c r="C7430" i="3"/>
  <c r="A7431" i="3"/>
  <c r="C7431" i="3"/>
  <c r="A7432" i="3"/>
  <c r="C7432" i="3"/>
  <c r="A7433" i="3"/>
  <c r="C7433" i="3"/>
  <c r="A7434" i="3"/>
  <c r="C7434" i="3"/>
  <c r="A7435" i="3"/>
  <c r="C7435" i="3"/>
  <c r="A7436" i="3"/>
  <c r="C7436" i="3"/>
  <c r="A7437" i="3"/>
  <c r="C7437" i="3"/>
  <c r="A7438" i="3"/>
  <c r="C7438" i="3"/>
  <c r="A7439" i="3"/>
  <c r="C7439" i="3"/>
  <c r="A7440" i="3"/>
  <c r="C7440" i="3"/>
  <c r="A7441" i="3"/>
  <c r="C7441" i="3"/>
  <c r="A7442" i="3"/>
  <c r="C7442" i="3"/>
  <c r="A7443" i="3"/>
  <c r="C7443" i="3"/>
  <c r="A7444" i="3"/>
  <c r="C7444" i="3"/>
  <c r="A7445" i="3"/>
  <c r="C7445" i="3"/>
  <c r="A7446" i="3"/>
  <c r="C7446" i="3"/>
  <c r="A7447" i="3"/>
  <c r="C7447" i="3"/>
  <c r="A7448" i="3"/>
  <c r="C7448" i="3"/>
  <c r="A7449" i="3"/>
  <c r="C7449" i="3"/>
  <c r="A7450" i="3"/>
  <c r="C7450" i="3"/>
  <c r="A7451" i="3"/>
  <c r="C7451" i="3"/>
  <c r="A7452" i="3"/>
  <c r="C7452" i="3"/>
  <c r="A7453" i="3"/>
  <c r="C7453" i="3"/>
  <c r="A7454" i="3"/>
  <c r="C7454" i="3"/>
  <c r="A7455" i="3"/>
  <c r="C7455" i="3"/>
  <c r="A7456" i="3"/>
  <c r="C7456" i="3"/>
  <c r="A7457" i="3"/>
  <c r="C7457" i="3"/>
  <c r="A7458" i="3"/>
  <c r="C7458" i="3"/>
  <c r="A7459" i="3"/>
  <c r="C7459" i="3"/>
  <c r="A7460" i="3"/>
  <c r="C7460" i="3"/>
  <c r="A7461" i="3"/>
  <c r="C7461" i="3"/>
  <c r="A7462" i="3"/>
  <c r="C7462" i="3"/>
  <c r="A7463" i="3"/>
  <c r="C7463" i="3"/>
  <c r="A7464" i="3"/>
  <c r="C7464" i="3"/>
  <c r="A7465" i="3"/>
  <c r="C7465" i="3"/>
  <c r="A7466" i="3"/>
  <c r="C7466" i="3"/>
  <c r="A7467" i="3"/>
  <c r="C7467" i="3"/>
  <c r="A7468" i="3"/>
  <c r="C7468" i="3"/>
  <c r="A7469" i="3"/>
  <c r="C7469" i="3"/>
  <c r="A7470" i="3"/>
  <c r="C7470" i="3"/>
  <c r="A7471" i="3"/>
  <c r="C7471" i="3"/>
  <c r="A7472" i="3"/>
  <c r="C7472" i="3"/>
  <c r="A7473" i="3"/>
  <c r="C7473" i="3"/>
  <c r="A7474" i="3"/>
  <c r="C7474" i="3"/>
  <c r="A7475" i="3"/>
  <c r="C7475" i="3"/>
  <c r="A7476" i="3"/>
  <c r="C7476" i="3"/>
  <c r="A7477" i="3"/>
  <c r="C7477" i="3"/>
  <c r="A7478" i="3"/>
  <c r="C7478" i="3"/>
  <c r="A7479" i="3"/>
  <c r="C7479" i="3"/>
  <c r="A7480" i="3"/>
  <c r="C7480" i="3"/>
  <c r="A7481" i="3"/>
  <c r="C7481" i="3"/>
  <c r="A7482" i="3"/>
  <c r="C7482" i="3"/>
  <c r="A7483" i="3"/>
  <c r="C7483" i="3"/>
  <c r="A7484" i="3"/>
  <c r="C7484" i="3"/>
  <c r="A7485" i="3"/>
  <c r="C7485" i="3"/>
  <c r="A7486" i="3"/>
  <c r="C7486" i="3"/>
  <c r="A7487" i="3"/>
  <c r="C7487" i="3"/>
  <c r="A7488" i="3"/>
  <c r="C7488" i="3"/>
  <c r="A7489" i="3"/>
  <c r="C7489" i="3"/>
  <c r="A7490" i="3"/>
  <c r="C7490" i="3"/>
  <c r="A7491" i="3"/>
  <c r="C7491" i="3"/>
  <c r="A7492" i="3"/>
  <c r="C7492" i="3"/>
  <c r="A7493" i="3"/>
  <c r="C7493" i="3"/>
  <c r="A7494" i="3"/>
  <c r="C7494" i="3"/>
  <c r="A7495" i="3"/>
  <c r="C7495" i="3"/>
  <c r="A7496" i="3"/>
  <c r="C7496" i="3"/>
  <c r="A7497" i="3"/>
  <c r="C7497" i="3"/>
  <c r="A7498" i="3"/>
  <c r="C7498" i="3"/>
  <c r="A7499" i="3"/>
  <c r="C7499" i="3"/>
  <c r="A7500" i="3"/>
  <c r="C7500" i="3"/>
  <c r="A7501" i="3"/>
  <c r="C7501" i="3"/>
  <c r="A7502" i="3"/>
  <c r="C7502" i="3"/>
  <c r="A7503" i="3"/>
  <c r="C7503" i="3"/>
  <c r="A7504" i="3"/>
  <c r="C7504" i="3"/>
  <c r="A7505" i="3"/>
  <c r="C7505" i="3"/>
  <c r="A7506" i="3"/>
  <c r="C7506" i="3"/>
  <c r="A7507" i="3"/>
  <c r="C7507" i="3"/>
  <c r="A7508" i="3"/>
  <c r="C7508" i="3"/>
  <c r="A7509" i="3"/>
  <c r="C7509" i="3"/>
  <c r="A7510" i="3"/>
  <c r="C7510" i="3"/>
  <c r="A7511" i="3"/>
  <c r="C7511" i="3"/>
  <c r="A7512" i="3"/>
  <c r="C7512" i="3"/>
  <c r="A7513" i="3"/>
  <c r="C7513" i="3"/>
  <c r="A7514" i="3"/>
  <c r="C7514" i="3"/>
  <c r="A7515" i="3"/>
  <c r="C7515" i="3"/>
  <c r="A7516" i="3"/>
  <c r="C7516" i="3"/>
  <c r="A7517" i="3"/>
  <c r="C7517" i="3"/>
  <c r="A7518" i="3"/>
  <c r="C7518" i="3"/>
  <c r="A7519" i="3"/>
  <c r="C7519" i="3"/>
  <c r="A7520" i="3"/>
  <c r="C7520" i="3"/>
  <c r="A7521" i="3"/>
  <c r="C7521" i="3"/>
  <c r="A7522" i="3"/>
  <c r="C7522" i="3"/>
  <c r="A7523" i="3"/>
  <c r="C7523" i="3"/>
  <c r="A7524" i="3"/>
  <c r="C7524" i="3"/>
  <c r="A7525" i="3"/>
  <c r="C7525" i="3"/>
  <c r="A7526" i="3"/>
  <c r="C7526" i="3"/>
  <c r="A7527" i="3"/>
  <c r="C7527" i="3"/>
  <c r="A7528" i="3"/>
  <c r="C7528" i="3"/>
  <c r="A7529" i="3"/>
  <c r="C7529" i="3"/>
  <c r="A7530" i="3"/>
  <c r="C7530" i="3"/>
  <c r="A7531" i="3"/>
  <c r="C7531" i="3"/>
  <c r="A7532" i="3"/>
  <c r="C7532" i="3"/>
  <c r="A7533" i="3"/>
  <c r="C7533" i="3"/>
  <c r="A7534" i="3"/>
  <c r="C7534" i="3"/>
  <c r="A7535" i="3"/>
  <c r="C7535" i="3"/>
  <c r="A7536" i="3"/>
  <c r="C7536" i="3"/>
  <c r="A7537" i="3"/>
  <c r="C7537" i="3"/>
  <c r="A7538" i="3"/>
  <c r="C7538" i="3"/>
  <c r="A7539" i="3"/>
  <c r="C7539" i="3"/>
  <c r="A7540" i="3"/>
  <c r="C7540" i="3"/>
  <c r="A7541" i="3"/>
  <c r="C7541" i="3"/>
  <c r="A7542" i="3"/>
  <c r="C7542" i="3"/>
  <c r="A7543" i="3"/>
  <c r="C7543" i="3"/>
  <c r="A7544" i="3"/>
  <c r="C7544" i="3"/>
  <c r="A7545" i="3"/>
  <c r="C7545" i="3"/>
  <c r="A7546" i="3"/>
  <c r="C7546" i="3"/>
  <c r="A7547" i="3"/>
  <c r="C7547" i="3"/>
  <c r="A7548" i="3"/>
  <c r="C7548" i="3"/>
  <c r="A7549" i="3"/>
  <c r="C7549" i="3"/>
  <c r="A7550" i="3"/>
  <c r="C7550" i="3"/>
  <c r="A7551" i="3"/>
  <c r="C7551" i="3"/>
  <c r="A7552" i="3"/>
  <c r="C7552" i="3"/>
  <c r="A7553" i="3"/>
  <c r="C7553" i="3"/>
  <c r="A7554" i="3"/>
  <c r="C7554" i="3"/>
  <c r="A7555" i="3"/>
  <c r="C7555" i="3"/>
  <c r="A7556" i="3"/>
  <c r="C7556" i="3"/>
  <c r="A7557" i="3"/>
  <c r="C7557" i="3"/>
  <c r="A7558" i="3"/>
  <c r="C7558" i="3"/>
  <c r="A7559" i="3"/>
  <c r="C7559" i="3"/>
  <c r="A7560" i="3"/>
  <c r="C7560" i="3"/>
  <c r="A7561" i="3"/>
  <c r="C7561" i="3"/>
  <c r="A7562" i="3"/>
  <c r="C7562" i="3"/>
  <c r="A7563" i="3"/>
  <c r="C7563" i="3"/>
  <c r="A7564" i="3"/>
  <c r="C7564" i="3"/>
  <c r="A7565" i="3"/>
  <c r="C7565" i="3"/>
  <c r="A7566" i="3"/>
  <c r="C7566" i="3"/>
  <c r="A7567" i="3"/>
  <c r="C7567" i="3"/>
  <c r="A7568" i="3"/>
  <c r="C7568" i="3"/>
  <c r="A7569" i="3"/>
  <c r="C7569" i="3"/>
  <c r="A7570" i="3"/>
  <c r="C7570" i="3"/>
  <c r="A7571" i="3"/>
  <c r="C7571" i="3"/>
  <c r="A7572" i="3"/>
  <c r="C7572" i="3"/>
  <c r="A7573" i="3"/>
  <c r="C7573" i="3"/>
  <c r="A7574" i="3"/>
  <c r="C7574" i="3"/>
  <c r="A7575" i="3"/>
  <c r="C7575" i="3"/>
  <c r="A7576" i="3"/>
  <c r="C7576" i="3"/>
  <c r="A7577" i="3"/>
  <c r="C7577" i="3"/>
  <c r="A7578" i="3"/>
  <c r="C7578" i="3"/>
  <c r="A7579" i="3"/>
  <c r="C7579" i="3"/>
  <c r="A7580" i="3"/>
  <c r="C7580" i="3"/>
  <c r="A7581" i="3"/>
  <c r="C7581" i="3"/>
  <c r="A7582" i="3"/>
  <c r="C7582" i="3"/>
  <c r="A7583" i="3"/>
  <c r="C7583" i="3"/>
  <c r="A7584" i="3"/>
  <c r="C7584" i="3"/>
  <c r="A7585" i="3"/>
  <c r="C7585" i="3"/>
  <c r="A7586" i="3"/>
  <c r="C7586" i="3"/>
  <c r="A7587" i="3"/>
  <c r="C7587" i="3"/>
  <c r="A7588" i="3"/>
  <c r="C7588" i="3"/>
  <c r="A7589" i="3"/>
  <c r="C7589" i="3"/>
  <c r="A7590" i="3"/>
  <c r="C7590" i="3"/>
  <c r="A7591" i="3"/>
  <c r="C7591" i="3"/>
  <c r="A7592" i="3"/>
  <c r="C7592" i="3"/>
  <c r="A7593" i="3"/>
  <c r="C7593" i="3"/>
  <c r="A7594" i="3"/>
  <c r="C7594" i="3"/>
  <c r="A7595" i="3"/>
  <c r="C7595" i="3"/>
  <c r="A7596" i="3"/>
  <c r="C7596" i="3"/>
  <c r="A7597" i="3"/>
  <c r="C7597" i="3"/>
  <c r="A7598" i="3"/>
  <c r="C7598" i="3"/>
  <c r="A7599" i="3"/>
  <c r="C7599" i="3"/>
  <c r="A7600" i="3"/>
  <c r="C7600" i="3"/>
  <c r="A7601" i="3"/>
  <c r="C7601" i="3"/>
  <c r="A7602" i="3"/>
  <c r="C7602" i="3"/>
  <c r="A7603" i="3"/>
  <c r="C7603" i="3"/>
  <c r="A7604" i="3"/>
  <c r="C7604" i="3"/>
  <c r="A7605" i="3"/>
  <c r="C7605" i="3"/>
  <c r="A7606" i="3"/>
  <c r="C7606" i="3"/>
  <c r="A7607" i="3"/>
  <c r="C7607" i="3"/>
  <c r="A7608" i="3"/>
  <c r="C7608" i="3"/>
  <c r="A7609" i="3"/>
  <c r="C7609" i="3"/>
  <c r="A7610" i="3"/>
  <c r="C7610" i="3"/>
  <c r="A7611" i="3"/>
  <c r="C7611" i="3"/>
  <c r="A7612" i="3"/>
  <c r="C7612" i="3"/>
  <c r="A7613" i="3"/>
  <c r="C7613" i="3"/>
  <c r="A7614" i="3"/>
  <c r="C7614" i="3"/>
  <c r="A7615" i="3"/>
  <c r="C7615" i="3"/>
  <c r="A7616" i="3"/>
  <c r="C7616" i="3"/>
  <c r="A7617" i="3"/>
  <c r="C7617" i="3"/>
  <c r="A7618" i="3"/>
  <c r="C7618" i="3"/>
  <c r="A7619" i="3"/>
  <c r="C7619" i="3"/>
  <c r="A7620" i="3"/>
  <c r="C7620" i="3"/>
  <c r="A7621" i="3"/>
  <c r="C7621" i="3"/>
  <c r="A7622" i="3"/>
  <c r="C7622" i="3"/>
  <c r="A7623" i="3"/>
  <c r="C7623" i="3"/>
  <c r="A7624" i="3"/>
  <c r="C7624" i="3"/>
  <c r="A7625" i="3"/>
  <c r="C7625" i="3"/>
  <c r="A7626" i="3"/>
  <c r="C7626" i="3"/>
  <c r="A7627" i="3"/>
  <c r="C7627" i="3"/>
  <c r="A7628" i="3"/>
  <c r="C7628" i="3"/>
  <c r="A7629" i="3"/>
  <c r="C7629" i="3"/>
  <c r="A7630" i="3"/>
  <c r="C7630" i="3"/>
  <c r="A7631" i="3"/>
  <c r="C7631" i="3"/>
  <c r="A7632" i="3"/>
  <c r="C7632" i="3"/>
  <c r="A7633" i="3"/>
  <c r="C7633" i="3"/>
  <c r="A7634" i="3"/>
  <c r="C7634" i="3"/>
  <c r="A7635" i="3"/>
  <c r="C7635" i="3"/>
  <c r="A7636" i="3"/>
  <c r="C7636" i="3"/>
  <c r="A7637" i="3"/>
  <c r="C7637" i="3"/>
  <c r="A7638" i="3"/>
  <c r="C7638" i="3"/>
  <c r="A7639" i="3"/>
  <c r="C7639" i="3"/>
  <c r="A7640" i="3"/>
  <c r="C7640" i="3"/>
  <c r="A7641" i="3"/>
  <c r="C7641" i="3"/>
  <c r="A7642" i="3"/>
  <c r="C7642" i="3"/>
  <c r="A7643" i="3"/>
  <c r="C7643" i="3"/>
  <c r="A7644" i="3"/>
  <c r="C7644" i="3"/>
  <c r="A7645" i="3"/>
  <c r="C7645" i="3"/>
  <c r="A7646" i="3"/>
  <c r="C7646" i="3"/>
  <c r="A7647" i="3"/>
  <c r="C7647" i="3"/>
  <c r="A7648" i="3"/>
  <c r="C7648" i="3"/>
  <c r="A7649" i="3"/>
  <c r="C7649" i="3"/>
  <c r="A7650" i="3"/>
  <c r="C7650" i="3"/>
  <c r="A7651" i="3"/>
  <c r="C7651" i="3"/>
  <c r="A7652" i="3"/>
  <c r="C7652" i="3"/>
  <c r="A7653" i="3"/>
  <c r="C7653" i="3"/>
  <c r="A7654" i="3"/>
  <c r="C7654" i="3"/>
  <c r="A7655" i="3"/>
  <c r="C7655" i="3"/>
  <c r="A7656" i="3"/>
  <c r="C7656" i="3"/>
  <c r="A7657" i="3"/>
  <c r="C7657" i="3"/>
  <c r="A7658" i="3"/>
  <c r="C7658" i="3"/>
  <c r="A7659" i="3"/>
  <c r="C7659" i="3"/>
  <c r="A7660" i="3"/>
  <c r="C7660" i="3"/>
  <c r="A7661" i="3"/>
  <c r="C7661" i="3"/>
  <c r="A7662" i="3"/>
  <c r="C7662" i="3"/>
  <c r="A7663" i="3"/>
  <c r="C7663" i="3"/>
  <c r="A7664" i="3"/>
  <c r="C7664" i="3"/>
  <c r="A7665" i="3"/>
  <c r="C7665" i="3"/>
  <c r="A7666" i="3"/>
  <c r="C7666" i="3"/>
  <c r="A7667" i="3"/>
  <c r="C7667" i="3"/>
  <c r="A7668" i="3"/>
  <c r="C7668" i="3"/>
  <c r="A7669" i="3"/>
  <c r="C7669" i="3"/>
  <c r="A7670" i="3"/>
  <c r="C7670" i="3"/>
  <c r="A7671" i="3"/>
  <c r="C7671" i="3"/>
  <c r="A7672" i="3"/>
  <c r="C7672" i="3"/>
  <c r="A7673" i="3"/>
  <c r="C7673" i="3"/>
  <c r="A7674" i="3"/>
  <c r="C7674" i="3"/>
  <c r="A7675" i="3"/>
  <c r="C7675" i="3"/>
  <c r="A7676" i="3"/>
  <c r="C7676" i="3"/>
  <c r="A7677" i="3"/>
  <c r="C7677" i="3"/>
  <c r="A7678" i="3"/>
  <c r="C7678" i="3"/>
  <c r="A7679" i="3"/>
  <c r="C7679" i="3"/>
  <c r="A7680" i="3"/>
  <c r="C7680" i="3"/>
  <c r="A7681" i="3"/>
  <c r="C7681" i="3"/>
  <c r="A7682" i="3"/>
  <c r="C7682" i="3"/>
  <c r="A7683" i="3"/>
  <c r="C7683" i="3"/>
  <c r="A7684" i="3"/>
  <c r="C7684" i="3"/>
  <c r="A7685" i="3"/>
  <c r="C7685" i="3"/>
  <c r="A7686" i="3"/>
  <c r="C7686" i="3"/>
  <c r="A7687" i="3"/>
  <c r="C7687" i="3"/>
  <c r="A7688" i="3"/>
  <c r="C7688" i="3"/>
  <c r="A7689" i="3"/>
  <c r="C7689" i="3"/>
  <c r="A7690" i="3"/>
  <c r="C7690" i="3"/>
  <c r="A7691" i="3"/>
  <c r="C7691" i="3"/>
  <c r="A7692" i="3"/>
  <c r="C7692" i="3"/>
  <c r="A7693" i="3"/>
  <c r="C7693" i="3"/>
  <c r="A7694" i="3"/>
  <c r="C7694" i="3"/>
  <c r="A7695" i="3"/>
  <c r="C7695" i="3"/>
  <c r="A7696" i="3"/>
  <c r="C7696" i="3"/>
  <c r="A7697" i="3"/>
  <c r="C7697" i="3"/>
  <c r="A7698" i="3"/>
  <c r="C7698" i="3"/>
  <c r="A7699" i="3"/>
  <c r="C7699" i="3"/>
  <c r="A7700" i="3"/>
  <c r="C7700" i="3"/>
  <c r="A7701" i="3"/>
  <c r="C7701" i="3"/>
  <c r="A7702" i="3"/>
  <c r="C7702" i="3"/>
  <c r="A7703" i="3"/>
  <c r="C7703" i="3"/>
  <c r="A7704" i="3"/>
  <c r="C7704" i="3"/>
  <c r="A7705" i="3"/>
  <c r="C7705" i="3"/>
  <c r="A7706" i="3"/>
  <c r="C7706" i="3"/>
  <c r="A7707" i="3"/>
  <c r="C7707" i="3"/>
  <c r="A7708" i="3"/>
  <c r="C7708" i="3"/>
  <c r="A7709" i="3"/>
  <c r="C7709" i="3"/>
  <c r="A7710" i="3"/>
  <c r="C7710" i="3"/>
  <c r="A7711" i="3"/>
  <c r="C7711" i="3"/>
  <c r="A7712" i="3"/>
  <c r="C7712" i="3"/>
  <c r="A7713" i="3"/>
  <c r="C7713" i="3"/>
  <c r="A7714" i="3"/>
  <c r="C7714" i="3"/>
  <c r="A7715" i="3"/>
  <c r="C7715" i="3"/>
  <c r="A7716" i="3"/>
  <c r="C7716" i="3"/>
  <c r="A7717" i="3"/>
  <c r="C7717" i="3"/>
  <c r="A7718" i="3"/>
  <c r="C7718" i="3"/>
  <c r="A7719" i="3"/>
  <c r="C7719" i="3"/>
  <c r="A7720" i="3"/>
  <c r="C7720" i="3"/>
  <c r="A7721" i="3"/>
  <c r="C7721" i="3"/>
  <c r="A7722" i="3"/>
  <c r="C7722" i="3"/>
  <c r="A7723" i="3"/>
  <c r="C7723" i="3"/>
  <c r="A7724" i="3"/>
  <c r="C7724" i="3"/>
  <c r="A7725" i="3"/>
  <c r="C7725" i="3"/>
  <c r="A7726" i="3"/>
  <c r="C7726" i="3"/>
  <c r="A7727" i="3"/>
  <c r="C7727" i="3"/>
  <c r="A7728" i="3"/>
  <c r="C7728" i="3"/>
  <c r="A7729" i="3"/>
  <c r="C7729" i="3"/>
  <c r="A7730" i="3"/>
  <c r="C7730" i="3"/>
  <c r="A7731" i="3"/>
  <c r="C7731" i="3"/>
  <c r="A7732" i="3"/>
  <c r="C7732" i="3"/>
  <c r="A7733" i="3"/>
  <c r="C7733" i="3"/>
  <c r="A7734" i="3"/>
  <c r="C7734" i="3"/>
  <c r="A7735" i="3"/>
  <c r="C7735" i="3"/>
  <c r="A7736" i="3"/>
  <c r="C7736" i="3"/>
  <c r="A7737" i="3"/>
  <c r="C7737" i="3"/>
  <c r="A7738" i="3"/>
  <c r="C7738" i="3"/>
  <c r="A7739" i="3"/>
  <c r="C7739" i="3"/>
  <c r="A7740" i="3"/>
  <c r="C7740" i="3"/>
  <c r="A7741" i="3"/>
  <c r="C7741" i="3"/>
  <c r="A7742" i="3"/>
  <c r="C7742" i="3"/>
  <c r="A7743" i="3"/>
  <c r="C7743" i="3"/>
  <c r="A7744" i="3"/>
  <c r="C7744" i="3"/>
  <c r="A7745" i="3"/>
  <c r="C7745" i="3"/>
  <c r="A7746" i="3"/>
  <c r="C7746" i="3"/>
  <c r="A7747" i="3"/>
  <c r="C7747" i="3"/>
  <c r="A7748" i="3"/>
  <c r="C7748" i="3"/>
  <c r="A7749" i="3"/>
  <c r="C7749" i="3"/>
  <c r="A7750" i="3"/>
  <c r="C7750" i="3"/>
  <c r="A7751" i="3"/>
  <c r="C7751" i="3"/>
  <c r="A7752" i="3"/>
  <c r="C7752" i="3"/>
  <c r="A7753" i="3"/>
  <c r="C7753" i="3"/>
  <c r="A7754" i="3"/>
  <c r="C7754" i="3"/>
  <c r="A7755" i="3"/>
  <c r="C7755" i="3"/>
  <c r="A7756" i="3"/>
  <c r="C7756" i="3"/>
  <c r="A7757" i="3"/>
  <c r="C7757" i="3"/>
  <c r="A7758" i="3"/>
  <c r="C7758" i="3"/>
  <c r="A7759" i="3"/>
  <c r="C7759" i="3"/>
  <c r="A7760" i="3"/>
  <c r="C7760" i="3"/>
  <c r="A7761" i="3"/>
  <c r="C7761" i="3"/>
  <c r="A7762" i="3"/>
  <c r="C7762" i="3"/>
  <c r="A7763" i="3"/>
  <c r="C7763" i="3"/>
  <c r="A7764" i="3"/>
  <c r="C7764" i="3"/>
  <c r="A7765" i="3"/>
  <c r="C7765" i="3"/>
  <c r="A7766" i="3"/>
  <c r="C7766" i="3"/>
  <c r="A7767" i="3"/>
  <c r="C7767" i="3"/>
  <c r="A7768" i="3"/>
  <c r="C7768" i="3"/>
  <c r="A7769" i="3"/>
  <c r="C7769" i="3"/>
  <c r="A7770" i="3"/>
  <c r="C7770" i="3"/>
  <c r="A7771" i="3"/>
  <c r="C7771" i="3"/>
  <c r="A7772" i="3"/>
  <c r="C7772" i="3"/>
  <c r="A7773" i="3"/>
  <c r="C7773" i="3"/>
  <c r="A7774" i="3"/>
  <c r="C7774" i="3"/>
  <c r="A7775" i="3"/>
  <c r="C7775" i="3"/>
  <c r="A7776" i="3"/>
  <c r="C7776" i="3"/>
  <c r="A7777" i="3"/>
  <c r="C7777" i="3"/>
  <c r="A7778" i="3"/>
  <c r="C7778" i="3"/>
  <c r="A7779" i="3"/>
  <c r="C7779" i="3"/>
  <c r="A7780" i="3"/>
  <c r="C7780" i="3"/>
  <c r="A7781" i="3"/>
  <c r="C7781" i="3"/>
  <c r="A7782" i="3"/>
  <c r="C7782" i="3"/>
  <c r="A7783" i="3"/>
  <c r="C7783" i="3"/>
  <c r="A7784" i="3"/>
  <c r="C7784" i="3"/>
  <c r="A7785" i="3"/>
  <c r="C7785" i="3"/>
  <c r="A7786" i="3"/>
  <c r="C7786" i="3"/>
  <c r="A7787" i="3"/>
  <c r="C7787" i="3"/>
  <c r="A7788" i="3"/>
  <c r="C7788" i="3"/>
  <c r="A7789" i="3"/>
  <c r="C7789" i="3"/>
  <c r="A7790" i="3"/>
  <c r="C7790" i="3"/>
  <c r="A7791" i="3"/>
  <c r="C7791" i="3"/>
  <c r="A7792" i="3"/>
  <c r="C7792" i="3"/>
  <c r="A7793" i="3"/>
  <c r="C7793" i="3"/>
  <c r="A7794" i="3"/>
  <c r="C7794" i="3"/>
  <c r="A7795" i="3"/>
  <c r="C7795" i="3"/>
  <c r="A7796" i="3"/>
  <c r="C7796" i="3"/>
  <c r="A7797" i="3"/>
  <c r="C7797" i="3"/>
  <c r="A7798" i="3"/>
  <c r="C7798" i="3"/>
  <c r="A7799" i="3"/>
  <c r="C7799" i="3"/>
  <c r="A7800" i="3"/>
  <c r="C7800" i="3"/>
  <c r="A7801" i="3"/>
  <c r="C7801" i="3"/>
  <c r="A7802" i="3"/>
  <c r="C7802" i="3"/>
  <c r="A7803" i="3"/>
  <c r="C7803" i="3"/>
  <c r="A7804" i="3"/>
  <c r="C7804" i="3"/>
  <c r="A7805" i="3"/>
  <c r="C7805" i="3"/>
  <c r="A7806" i="3"/>
  <c r="C7806" i="3"/>
  <c r="A7807" i="3"/>
  <c r="C7807" i="3"/>
  <c r="A7808" i="3"/>
  <c r="C7808" i="3"/>
  <c r="A7809" i="3"/>
  <c r="C7809" i="3"/>
  <c r="A7810" i="3"/>
  <c r="C7810" i="3"/>
  <c r="A7811" i="3"/>
  <c r="C7811" i="3"/>
  <c r="A7812" i="3"/>
  <c r="C7812" i="3"/>
  <c r="A7813" i="3"/>
  <c r="C7813" i="3"/>
  <c r="A7814" i="3"/>
  <c r="C7814" i="3"/>
  <c r="A7815" i="3"/>
  <c r="C7815" i="3"/>
  <c r="A7816" i="3"/>
  <c r="C7816" i="3"/>
  <c r="A7817" i="3"/>
  <c r="C7817" i="3"/>
  <c r="A7818" i="3"/>
  <c r="C7818" i="3"/>
  <c r="A7819" i="3"/>
  <c r="C7819" i="3"/>
  <c r="A7820" i="3"/>
  <c r="C7820" i="3"/>
  <c r="A7821" i="3"/>
  <c r="C7821" i="3"/>
  <c r="A7822" i="3"/>
  <c r="C7822" i="3"/>
  <c r="A7823" i="3"/>
  <c r="C7823" i="3"/>
  <c r="A7824" i="3"/>
  <c r="C7824" i="3"/>
  <c r="A7825" i="3"/>
  <c r="C7825" i="3"/>
  <c r="A7826" i="3"/>
  <c r="C7826" i="3"/>
  <c r="A7827" i="3"/>
  <c r="C7827" i="3"/>
  <c r="A7828" i="3"/>
  <c r="C7828" i="3"/>
  <c r="A7829" i="3"/>
  <c r="C7829" i="3"/>
  <c r="A7830" i="3"/>
  <c r="C7830" i="3"/>
  <c r="A7831" i="3"/>
  <c r="C7831" i="3"/>
  <c r="A7832" i="3"/>
  <c r="C7832" i="3"/>
  <c r="A7833" i="3"/>
  <c r="C7833" i="3"/>
  <c r="A7834" i="3"/>
  <c r="C7834" i="3"/>
  <c r="A7835" i="3"/>
  <c r="C7835" i="3"/>
  <c r="A7836" i="3"/>
  <c r="C7836" i="3"/>
  <c r="A7837" i="3"/>
  <c r="C7837" i="3"/>
  <c r="A7838" i="3"/>
  <c r="C7838" i="3"/>
  <c r="A7839" i="3"/>
  <c r="C7839" i="3"/>
  <c r="A7840" i="3"/>
  <c r="C7840" i="3"/>
  <c r="A7841" i="3"/>
  <c r="C7841" i="3"/>
  <c r="A7842" i="3"/>
  <c r="C7842" i="3"/>
  <c r="A7843" i="3"/>
  <c r="C7843" i="3"/>
  <c r="A7844" i="3"/>
  <c r="C7844" i="3"/>
  <c r="A7845" i="3"/>
  <c r="C7845" i="3"/>
  <c r="A7846" i="3"/>
  <c r="C7846" i="3"/>
  <c r="A7847" i="3"/>
  <c r="C7847" i="3"/>
  <c r="A7848" i="3"/>
  <c r="C7848" i="3"/>
  <c r="A7849" i="3"/>
  <c r="C7849" i="3"/>
  <c r="A7850" i="3"/>
  <c r="C7850" i="3"/>
  <c r="A7851" i="3"/>
  <c r="C7851" i="3"/>
  <c r="A7852" i="3"/>
  <c r="C7852" i="3"/>
  <c r="A7853" i="3"/>
  <c r="C7853" i="3"/>
  <c r="A7854" i="3"/>
  <c r="C7854" i="3"/>
  <c r="A7855" i="3"/>
  <c r="C7855" i="3"/>
  <c r="A7856" i="3"/>
  <c r="C7856" i="3"/>
  <c r="A7857" i="3"/>
  <c r="C7857" i="3"/>
  <c r="A7858" i="3"/>
  <c r="C7858" i="3"/>
  <c r="A7859" i="3"/>
  <c r="C7859" i="3"/>
  <c r="A7860" i="3"/>
  <c r="C7860" i="3"/>
  <c r="A7861" i="3"/>
  <c r="C7861" i="3"/>
  <c r="A7862" i="3"/>
  <c r="C7862" i="3"/>
  <c r="A7863" i="3"/>
  <c r="C7863" i="3"/>
  <c r="A7864" i="3"/>
  <c r="C7864" i="3"/>
  <c r="A7865" i="3"/>
  <c r="C7865" i="3"/>
  <c r="A7866" i="3"/>
  <c r="C7866" i="3"/>
  <c r="A7867" i="3"/>
  <c r="C7867" i="3"/>
  <c r="A7868" i="3"/>
  <c r="C7868" i="3"/>
  <c r="A7869" i="3"/>
  <c r="C7869" i="3"/>
  <c r="A7870" i="3"/>
  <c r="C7870" i="3"/>
  <c r="A7871" i="3"/>
  <c r="C7871" i="3"/>
  <c r="A7872" i="3"/>
  <c r="C7872" i="3"/>
  <c r="A7873" i="3"/>
  <c r="C7873" i="3"/>
  <c r="A7874" i="3"/>
  <c r="C7874" i="3"/>
  <c r="A7875" i="3"/>
  <c r="C7875" i="3"/>
  <c r="A7876" i="3"/>
  <c r="C7876" i="3"/>
  <c r="A7877" i="3"/>
  <c r="C7877" i="3"/>
  <c r="A7878" i="3"/>
  <c r="C7878" i="3"/>
  <c r="A7879" i="3"/>
  <c r="C7879" i="3"/>
  <c r="A7880" i="3"/>
  <c r="C7880" i="3"/>
  <c r="A7881" i="3"/>
  <c r="C7881" i="3"/>
  <c r="A7882" i="3"/>
  <c r="C7882" i="3"/>
  <c r="A7883" i="3"/>
  <c r="C7883" i="3"/>
  <c r="A7884" i="3"/>
  <c r="C7884" i="3"/>
  <c r="A7885" i="3"/>
  <c r="C7885" i="3"/>
  <c r="A7886" i="3"/>
  <c r="C7886" i="3"/>
  <c r="A7887" i="3"/>
  <c r="C7887" i="3"/>
  <c r="A7888" i="3"/>
  <c r="C7888" i="3"/>
  <c r="A7889" i="3"/>
  <c r="C7889" i="3"/>
  <c r="A7890" i="3"/>
  <c r="C7890" i="3"/>
  <c r="A7891" i="3"/>
  <c r="C7891" i="3"/>
  <c r="A7892" i="3"/>
  <c r="C7892" i="3"/>
  <c r="A7893" i="3"/>
  <c r="C7893" i="3"/>
  <c r="A7894" i="3"/>
  <c r="C7894" i="3"/>
  <c r="A7895" i="3"/>
  <c r="C7895" i="3"/>
  <c r="A7896" i="3"/>
  <c r="C7896" i="3"/>
  <c r="A7897" i="3"/>
  <c r="C7897" i="3"/>
  <c r="A7898" i="3"/>
  <c r="C7898" i="3"/>
  <c r="A7899" i="3"/>
  <c r="C7899" i="3"/>
  <c r="A7900" i="3"/>
  <c r="C7900" i="3"/>
  <c r="A7901" i="3"/>
  <c r="C7901" i="3"/>
  <c r="A7902" i="3"/>
  <c r="C7902" i="3"/>
  <c r="A7903" i="3"/>
  <c r="C7903" i="3"/>
  <c r="A7904" i="3"/>
  <c r="C7904" i="3"/>
  <c r="A7905" i="3"/>
  <c r="C7905" i="3"/>
  <c r="A7906" i="3"/>
  <c r="C7906" i="3"/>
  <c r="A7907" i="3"/>
  <c r="C7907" i="3"/>
  <c r="A7908" i="3"/>
  <c r="C7908" i="3"/>
  <c r="A7909" i="3"/>
  <c r="C7909" i="3"/>
  <c r="A7910" i="3"/>
  <c r="C7910" i="3"/>
  <c r="A7911" i="3"/>
  <c r="C7911" i="3"/>
  <c r="A7912" i="3"/>
  <c r="C7912" i="3"/>
  <c r="A7913" i="3"/>
  <c r="C7913" i="3"/>
  <c r="A7914" i="3"/>
  <c r="C7914" i="3"/>
  <c r="A7915" i="3"/>
  <c r="C7915" i="3"/>
  <c r="A7916" i="3"/>
  <c r="C7916" i="3"/>
  <c r="A7917" i="3"/>
  <c r="C7917" i="3"/>
  <c r="A7918" i="3"/>
  <c r="C7918" i="3"/>
  <c r="A7919" i="3"/>
  <c r="C7919" i="3"/>
  <c r="A7920" i="3"/>
  <c r="C7920" i="3"/>
  <c r="A7921" i="3"/>
  <c r="C7921" i="3"/>
  <c r="A7922" i="3"/>
  <c r="C7922" i="3"/>
  <c r="A7923" i="3"/>
  <c r="C7923" i="3"/>
  <c r="A7924" i="3"/>
  <c r="C7924" i="3"/>
  <c r="A7925" i="3"/>
  <c r="C7925" i="3"/>
  <c r="A7926" i="3"/>
  <c r="C7926" i="3"/>
  <c r="A7927" i="3"/>
  <c r="C7927" i="3"/>
  <c r="A7928" i="3"/>
  <c r="C7928" i="3"/>
  <c r="A7929" i="3"/>
  <c r="C7929" i="3"/>
  <c r="A7930" i="3"/>
  <c r="C7930" i="3"/>
  <c r="A7931" i="3"/>
  <c r="C7931" i="3"/>
  <c r="A7932" i="3"/>
  <c r="C7932" i="3"/>
  <c r="A7933" i="3"/>
  <c r="C7933" i="3"/>
  <c r="A7934" i="3"/>
  <c r="C7934" i="3"/>
  <c r="A7935" i="3"/>
  <c r="C7935" i="3"/>
  <c r="A7936" i="3"/>
  <c r="C7936" i="3"/>
  <c r="A7937" i="3"/>
  <c r="C7937" i="3"/>
  <c r="A7938" i="3"/>
  <c r="C7938" i="3"/>
  <c r="A7939" i="3"/>
  <c r="C7939" i="3"/>
  <c r="A7940" i="3"/>
  <c r="C7940" i="3"/>
  <c r="A7941" i="3"/>
  <c r="C7941" i="3"/>
  <c r="A7942" i="3"/>
  <c r="C7942" i="3"/>
  <c r="A7943" i="3"/>
  <c r="C7943" i="3"/>
  <c r="A7944" i="3"/>
  <c r="C7944" i="3"/>
  <c r="A7945" i="3"/>
  <c r="C7945" i="3"/>
  <c r="A7946" i="3"/>
  <c r="C7946" i="3"/>
  <c r="A7947" i="3"/>
  <c r="C7947" i="3"/>
  <c r="A7948" i="3"/>
  <c r="C7948" i="3"/>
  <c r="A7949" i="3"/>
  <c r="C7949" i="3"/>
  <c r="A7950" i="3"/>
  <c r="C7950" i="3"/>
  <c r="A7951" i="3"/>
  <c r="C7951" i="3"/>
  <c r="A7952" i="3"/>
  <c r="C7952" i="3"/>
  <c r="A7953" i="3"/>
  <c r="C7953" i="3"/>
  <c r="A7954" i="3"/>
  <c r="C7954" i="3"/>
  <c r="A7955" i="3"/>
  <c r="C7955" i="3"/>
  <c r="A7956" i="3"/>
  <c r="C7956" i="3"/>
  <c r="A7957" i="3"/>
  <c r="C7957" i="3"/>
  <c r="A7958" i="3"/>
  <c r="C7958" i="3"/>
  <c r="A7959" i="3"/>
  <c r="C7959" i="3"/>
  <c r="A7960" i="3"/>
  <c r="C7960" i="3"/>
  <c r="A7961" i="3"/>
  <c r="C7961" i="3"/>
  <c r="A7962" i="3"/>
  <c r="C7962" i="3"/>
  <c r="A7963" i="3"/>
  <c r="C7963" i="3"/>
  <c r="A7964" i="3"/>
  <c r="C7964" i="3"/>
  <c r="A7965" i="3"/>
  <c r="C7965" i="3"/>
  <c r="A7966" i="3"/>
  <c r="C7966" i="3"/>
  <c r="A7967" i="3"/>
  <c r="C7967" i="3"/>
  <c r="A7968" i="3"/>
  <c r="C7968" i="3"/>
  <c r="A7969" i="3"/>
  <c r="C7969" i="3"/>
  <c r="A7970" i="3"/>
  <c r="C7970" i="3"/>
  <c r="A7971" i="3"/>
  <c r="C7971" i="3"/>
  <c r="A7972" i="3"/>
  <c r="C7972" i="3"/>
  <c r="A7973" i="3"/>
  <c r="C7973" i="3"/>
  <c r="A7974" i="3"/>
  <c r="C7974" i="3"/>
  <c r="A7975" i="3"/>
  <c r="C7975" i="3"/>
  <c r="A7976" i="3"/>
  <c r="C7976" i="3"/>
  <c r="A7977" i="3"/>
  <c r="C7977" i="3"/>
  <c r="A7978" i="3"/>
  <c r="C7978" i="3"/>
  <c r="A7979" i="3"/>
  <c r="C7979" i="3"/>
  <c r="A7980" i="3"/>
  <c r="C7980" i="3"/>
  <c r="A7981" i="3"/>
  <c r="C7981" i="3"/>
  <c r="A7982" i="3"/>
  <c r="C7982" i="3"/>
  <c r="A7983" i="3"/>
  <c r="C7983" i="3"/>
  <c r="A7984" i="3"/>
  <c r="C7984" i="3"/>
  <c r="A7985" i="3"/>
  <c r="C7985" i="3"/>
  <c r="A7986" i="3"/>
  <c r="C7986" i="3"/>
  <c r="A7987" i="3"/>
  <c r="C7987" i="3"/>
  <c r="A7988" i="3"/>
  <c r="C7988" i="3"/>
  <c r="A7989" i="3"/>
  <c r="C7989" i="3"/>
  <c r="A7990" i="3"/>
  <c r="C7990" i="3"/>
  <c r="A7991" i="3"/>
  <c r="C7991" i="3"/>
  <c r="A7992" i="3"/>
  <c r="C7992" i="3"/>
  <c r="A7993" i="3"/>
  <c r="C7993" i="3"/>
  <c r="A7994" i="3"/>
  <c r="C7994" i="3"/>
  <c r="A7995" i="3"/>
  <c r="C7995" i="3"/>
  <c r="A7996" i="3"/>
  <c r="C7996" i="3"/>
  <c r="A7997" i="3"/>
  <c r="C7997" i="3"/>
  <c r="A7998" i="3"/>
  <c r="C7998" i="3"/>
  <c r="A7999" i="3"/>
  <c r="C7999" i="3"/>
  <c r="A8000" i="3"/>
  <c r="C8000" i="3"/>
  <c r="A8001" i="3"/>
  <c r="C8001" i="3"/>
  <c r="A8002" i="3"/>
  <c r="C8002" i="3"/>
  <c r="A8003" i="3"/>
  <c r="C8003" i="3"/>
  <c r="A8004" i="3"/>
  <c r="C8004" i="3"/>
  <c r="A8005" i="3"/>
  <c r="C8005" i="3"/>
  <c r="A8006" i="3"/>
  <c r="C8006" i="3"/>
  <c r="A8007" i="3"/>
  <c r="C8007" i="3"/>
  <c r="A8008" i="3"/>
  <c r="C8008" i="3"/>
  <c r="A8009" i="3"/>
  <c r="C8009" i="3"/>
  <c r="A8010" i="3"/>
  <c r="C8010" i="3"/>
  <c r="A8011" i="3"/>
  <c r="C8011" i="3"/>
  <c r="A8012" i="3"/>
  <c r="C8012" i="3"/>
  <c r="A8013" i="3"/>
  <c r="C8013" i="3"/>
  <c r="A8014" i="3"/>
  <c r="C8014" i="3"/>
  <c r="A8015" i="3"/>
  <c r="C8015" i="3"/>
  <c r="A8016" i="3"/>
  <c r="C8016" i="3"/>
  <c r="A8017" i="3"/>
  <c r="C8017" i="3"/>
  <c r="A8018" i="3"/>
  <c r="C8018" i="3"/>
  <c r="A8019" i="3"/>
  <c r="C8019" i="3"/>
  <c r="A8020" i="3"/>
  <c r="C8020" i="3"/>
  <c r="A8021" i="3"/>
  <c r="C8021" i="3"/>
  <c r="A8022" i="3"/>
  <c r="C8022" i="3"/>
  <c r="A8023" i="3"/>
  <c r="C8023" i="3"/>
  <c r="A8024" i="3"/>
  <c r="C8024" i="3"/>
  <c r="A8025" i="3"/>
  <c r="C8025" i="3"/>
  <c r="A8026" i="3"/>
  <c r="C8026" i="3"/>
  <c r="A8027" i="3"/>
  <c r="C8027" i="3"/>
  <c r="A8028" i="3"/>
  <c r="C8028" i="3"/>
  <c r="A8029" i="3"/>
  <c r="C8029" i="3"/>
  <c r="A8030" i="3"/>
  <c r="C8030" i="3"/>
  <c r="A8031" i="3"/>
  <c r="C8031" i="3"/>
  <c r="A8032" i="3"/>
  <c r="C8032" i="3"/>
  <c r="A8033" i="3"/>
  <c r="C8033" i="3"/>
  <c r="A8034" i="3"/>
  <c r="C8034" i="3"/>
  <c r="A8035" i="3"/>
  <c r="C8035" i="3"/>
  <c r="A8036" i="3"/>
  <c r="C8036" i="3"/>
  <c r="A8037" i="3"/>
  <c r="C8037" i="3"/>
  <c r="A8038" i="3"/>
  <c r="C8038" i="3"/>
  <c r="A8039" i="3"/>
  <c r="C8039" i="3"/>
  <c r="A8040" i="3"/>
  <c r="C8040" i="3"/>
  <c r="A8041" i="3"/>
  <c r="C8041" i="3"/>
  <c r="A8042" i="3"/>
  <c r="C8042" i="3"/>
  <c r="A8043" i="3"/>
  <c r="C8043" i="3"/>
  <c r="A8044" i="3"/>
  <c r="C8044" i="3"/>
  <c r="A8045" i="3"/>
  <c r="C8045" i="3"/>
  <c r="A8046" i="3"/>
  <c r="C8046" i="3"/>
  <c r="A8047" i="3"/>
  <c r="C8047" i="3"/>
  <c r="A8048" i="3"/>
  <c r="C8048" i="3"/>
  <c r="A8049" i="3"/>
  <c r="C8049" i="3"/>
  <c r="A8050" i="3"/>
  <c r="C8050" i="3"/>
  <c r="A8051" i="3"/>
  <c r="C8051" i="3"/>
  <c r="A8052" i="3"/>
  <c r="C8052" i="3"/>
  <c r="A8053" i="3"/>
  <c r="C8053" i="3"/>
  <c r="A8054" i="3"/>
  <c r="C8054" i="3"/>
  <c r="A8055" i="3"/>
  <c r="C8055" i="3"/>
  <c r="A8056" i="3"/>
  <c r="C8056" i="3"/>
  <c r="A8057" i="3"/>
  <c r="C8057" i="3"/>
  <c r="A8058" i="3"/>
  <c r="C8058" i="3"/>
  <c r="A8059" i="3"/>
  <c r="C8059" i="3"/>
  <c r="A8060" i="3"/>
  <c r="C8060" i="3"/>
  <c r="A8061" i="3"/>
  <c r="C8061" i="3"/>
  <c r="A8062" i="3"/>
  <c r="C8062" i="3"/>
  <c r="A8063" i="3"/>
  <c r="C8063" i="3"/>
  <c r="A8064" i="3"/>
  <c r="C8064" i="3"/>
  <c r="A8065" i="3"/>
  <c r="C8065" i="3"/>
  <c r="A8066" i="3"/>
  <c r="C8066" i="3"/>
  <c r="A8067" i="3"/>
  <c r="C8067" i="3"/>
  <c r="A8068" i="3"/>
  <c r="C8068" i="3"/>
  <c r="A8069" i="3"/>
  <c r="C8069" i="3"/>
  <c r="A8070" i="3"/>
  <c r="C8070" i="3"/>
  <c r="A8071" i="3"/>
  <c r="C8071" i="3"/>
  <c r="A8072" i="3"/>
  <c r="C8072" i="3"/>
  <c r="A8073" i="3"/>
  <c r="C8073" i="3"/>
  <c r="A8074" i="3"/>
  <c r="C8074" i="3"/>
  <c r="A8075" i="3"/>
  <c r="C8075" i="3"/>
  <c r="A8076" i="3"/>
  <c r="C8076" i="3"/>
  <c r="A8077" i="3"/>
  <c r="C8077" i="3"/>
  <c r="A8078" i="3"/>
  <c r="C8078" i="3"/>
  <c r="A8079" i="3"/>
  <c r="C8079" i="3"/>
  <c r="A8080" i="3"/>
  <c r="C8080" i="3"/>
  <c r="A8081" i="3"/>
  <c r="C8081" i="3"/>
  <c r="A8082" i="3"/>
  <c r="C8082" i="3"/>
  <c r="A8083" i="3"/>
  <c r="C8083" i="3"/>
  <c r="A8084" i="3"/>
  <c r="C8084" i="3"/>
  <c r="A8085" i="3"/>
  <c r="C8085" i="3"/>
  <c r="A8086" i="3"/>
  <c r="C8086" i="3"/>
  <c r="A8087" i="3"/>
  <c r="C8087" i="3"/>
  <c r="A8088" i="3"/>
  <c r="C8088" i="3"/>
  <c r="A8089" i="3"/>
  <c r="C8089" i="3"/>
  <c r="A8090" i="3"/>
  <c r="C8090" i="3"/>
  <c r="A8091" i="3"/>
  <c r="C8091" i="3"/>
  <c r="A8092" i="3"/>
  <c r="C8092" i="3"/>
  <c r="A8093" i="3"/>
  <c r="C8093" i="3"/>
  <c r="A8094" i="3"/>
  <c r="C8094" i="3"/>
  <c r="A8095" i="3"/>
  <c r="C8095" i="3"/>
  <c r="A8096" i="3"/>
  <c r="C8096" i="3"/>
  <c r="A8097" i="3"/>
  <c r="C8097" i="3"/>
  <c r="A8098" i="3"/>
  <c r="C8098" i="3"/>
  <c r="A8099" i="3"/>
  <c r="C8099" i="3"/>
  <c r="A8100" i="3"/>
  <c r="C8100" i="3"/>
  <c r="A8101" i="3"/>
  <c r="C8101" i="3"/>
  <c r="A8102" i="3"/>
  <c r="C8102" i="3"/>
  <c r="A8103" i="3"/>
  <c r="C8103" i="3"/>
  <c r="A8104" i="3"/>
  <c r="C8104" i="3"/>
  <c r="A8105" i="3"/>
  <c r="C8105" i="3"/>
  <c r="A8106" i="3"/>
  <c r="C8106" i="3"/>
  <c r="A8107" i="3"/>
  <c r="C8107" i="3"/>
  <c r="A8108" i="3"/>
  <c r="C8108" i="3"/>
  <c r="A8109" i="3"/>
  <c r="C8109" i="3"/>
  <c r="A8110" i="3"/>
  <c r="C8110" i="3"/>
  <c r="A8111" i="3"/>
  <c r="C8111" i="3"/>
  <c r="A8112" i="3"/>
  <c r="C8112" i="3"/>
  <c r="A8113" i="3"/>
  <c r="C8113" i="3"/>
  <c r="A8114" i="3"/>
  <c r="C8114" i="3"/>
  <c r="A8115" i="3"/>
  <c r="C8115" i="3"/>
  <c r="A8116" i="3"/>
  <c r="C8116" i="3"/>
  <c r="A8117" i="3"/>
  <c r="C8117" i="3"/>
  <c r="A8118" i="3"/>
  <c r="C8118" i="3"/>
  <c r="A8119" i="3"/>
  <c r="C8119" i="3"/>
  <c r="A8120" i="3"/>
  <c r="C8120" i="3"/>
  <c r="A8121" i="3"/>
  <c r="C8121" i="3"/>
  <c r="A8122" i="3"/>
  <c r="C8122" i="3"/>
  <c r="A8123" i="3"/>
  <c r="C8123" i="3"/>
  <c r="A8124" i="3"/>
  <c r="C8124" i="3"/>
  <c r="A8125" i="3"/>
  <c r="C8125" i="3"/>
  <c r="A8126" i="3"/>
  <c r="C8126" i="3"/>
  <c r="A8127" i="3"/>
  <c r="C8127" i="3"/>
  <c r="A8128" i="3"/>
  <c r="C8128" i="3"/>
  <c r="A8129" i="3"/>
  <c r="C8129" i="3"/>
  <c r="A8130" i="3"/>
  <c r="C8130" i="3"/>
  <c r="A8131" i="3"/>
  <c r="C8131" i="3"/>
  <c r="A8132" i="3"/>
  <c r="C8132" i="3"/>
  <c r="A8133" i="3"/>
  <c r="C8133" i="3"/>
  <c r="A8134" i="3"/>
  <c r="C8134" i="3"/>
  <c r="A8135" i="3"/>
  <c r="C8135" i="3"/>
  <c r="A8136" i="3"/>
  <c r="C8136" i="3"/>
  <c r="A8137" i="3"/>
  <c r="C8137" i="3"/>
  <c r="A8138" i="3"/>
  <c r="C8138" i="3"/>
  <c r="A8139" i="3"/>
  <c r="C8139" i="3"/>
  <c r="A8140" i="3"/>
  <c r="C8140" i="3"/>
  <c r="A8141" i="3"/>
  <c r="C8141" i="3"/>
  <c r="A8142" i="3"/>
  <c r="C8142" i="3"/>
  <c r="A8143" i="3"/>
  <c r="C8143" i="3"/>
  <c r="A8144" i="3"/>
  <c r="C8144" i="3"/>
  <c r="A8145" i="3"/>
  <c r="C8145" i="3"/>
  <c r="A8146" i="3"/>
  <c r="C8146" i="3"/>
  <c r="A8147" i="3"/>
  <c r="C8147" i="3"/>
  <c r="A8148" i="3"/>
  <c r="C8148" i="3"/>
  <c r="A8149" i="3"/>
  <c r="C8149" i="3"/>
  <c r="A8150" i="3"/>
  <c r="C8150" i="3"/>
  <c r="A8151" i="3"/>
  <c r="C8151" i="3"/>
  <c r="A8152" i="3"/>
  <c r="C8152" i="3"/>
  <c r="A8153" i="3"/>
  <c r="C8153" i="3"/>
  <c r="A8154" i="3"/>
  <c r="C8154" i="3"/>
  <c r="A8155" i="3"/>
  <c r="C8155" i="3"/>
  <c r="A8156" i="3"/>
  <c r="C8156" i="3"/>
  <c r="A8157" i="3"/>
  <c r="C8157" i="3"/>
  <c r="A8158" i="3"/>
  <c r="C8158" i="3"/>
  <c r="A8159" i="3"/>
  <c r="C8159" i="3"/>
  <c r="A8160" i="3"/>
  <c r="C8160" i="3"/>
  <c r="A8161" i="3"/>
  <c r="C8161" i="3"/>
  <c r="A8162" i="3"/>
  <c r="C8162" i="3"/>
  <c r="A8163" i="3"/>
  <c r="C8163" i="3"/>
  <c r="A8164" i="3"/>
  <c r="C8164" i="3"/>
  <c r="A8165" i="3"/>
  <c r="C8165" i="3"/>
  <c r="A8166" i="3"/>
  <c r="C8166" i="3"/>
  <c r="A8167" i="3"/>
  <c r="C8167" i="3"/>
  <c r="A8168" i="3"/>
  <c r="C8168" i="3"/>
  <c r="A8169" i="3"/>
  <c r="C8169" i="3"/>
  <c r="A8170" i="3"/>
  <c r="C8170" i="3"/>
  <c r="A8171" i="3"/>
  <c r="C8171" i="3"/>
  <c r="A8172" i="3"/>
  <c r="C8172" i="3"/>
  <c r="A8173" i="3"/>
  <c r="C8173" i="3"/>
  <c r="A8174" i="3"/>
  <c r="C8174" i="3"/>
  <c r="A8175" i="3"/>
  <c r="C8175" i="3"/>
  <c r="A8176" i="3"/>
  <c r="C8176" i="3"/>
  <c r="A8177" i="3"/>
  <c r="C8177" i="3"/>
  <c r="A8178" i="3"/>
  <c r="C8178" i="3"/>
  <c r="A8179" i="3"/>
  <c r="C8179" i="3"/>
  <c r="A8180" i="3"/>
  <c r="C8180" i="3"/>
  <c r="A8181" i="3"/>
  <c r="C8181" i="3"/>
  <c r="A8182" i="3"/>
  <c r="C8182" i="3"/>
  <c r="A8183" i="3"/>
  <c r="C8183" i="3"/>
  <c r="A8184" i="3"/>
  <c r="C8184" i="3"/>
  <c r="A8185" i="3"/>
  <c r="C8185" i="3"/>
  <c r="A8186" i="3"/>
  <c r="C8186" i="3"/>
  <c r="A8187" i="3"/>
  <c r="C8187" i="3"/>
  <c r="A8188" i="3"/>
  <c r="C8188" i="3"/>
  <c r="A8189" i="3"/>
  <c r="C8189" i="3"/>
  <c r="A8190" i="3"/>
  <c r="C8190" i="3"/>
  <c r="A8191" i="3"/>
  <c r="C8191" i="3"/>
  <c r="A8192" i="3"/>
  <c r="C8192" i="3"/>
  <c r="A8193" i="3"/>
  <c r="C8193" i="3"/>
  <c r="A8194" i="3"/>
  <c r="C8194" i="3"/>
  <c r="A8195" i="3"/>
  <c r="C8195" i="3"/>
  <c r="A8196" i="3"/>
  <c r="C8196" i="3"/>
  <c r="A8197" i="3"/>
  <c r="C8197" i="3"/>
  <c r="A8198" i="3"/>
  <c r="C8198" i="3"/>
  <c r="A8199" i="3"/>
  <c r="C8199" i="3"/>
  <c r="A8200" i="3"/>
  <c r="C8200" i="3"/>
  <c r="A8201" i="3"/>
  <c r="C8201" i="3"/>
  <c r="A8202" i="3"/>
  <c r="C8202" i="3"/>
  <c r="A8203" i="3"/>
  <c r="C8203" i="3"/>
  <c r="A8204" i="3"/>
  <c r="C8204" i="3"/>
  <c r="A8205" i="3"/>
  <c r="C8205" i="3"/>
  <c r="A8206" i="3"/>
  <c r="C8206" i="3"/>
  <c r="A8207" i="3"/>
  <c r="C8207" i="3"/>
  <c r="A8208" i="3"/>
  <c r="C8208" i="3"/>
  <c r="A8209" i="3"/>
  <c r="C8209" i="3"/>
  <c r="A8210" i="3"/>
  <c r="C8210" i="3"/>
  <c r="A8211" i="3"/>
  <c r="C8211" i="3"/>
  <c r="A8212" i="3"/>
  <c r="C8212" i="3"/>
  <c r="A8213" i="3"/>
  <c r="C8213" i="3"/>
  <c r="A8214" i="3"/>
  <c r="C8214" i="3"/>
  <c r="A8215" i="3"/>
  <c r="C8215" i="3"/>
  <c r="A8216" i="3"/>
  <c r="C8216" i="3"/>
  <c r="A8217" i="3"/>
  <c r="C8217" i="3"/>
  <c r="A8218" i="3"/>
  <c r="C8218" i="3"/>
  <c r="A8219" i="3"/>
  <c r="C8219" i="3"/>
  <c r="A8220" i="3"/>
  <c r="C8220" i="3"/>
  <c r="A8221" i="3"/>
  <c r="C8221" i="3"/>
  <c r="A8222" i="3"/>
  <c r="C8222" i="3"/>
  <c r="A8223" i="3"/>
  <c r="C8223" i="3"/>
  <c r="A8224" i="3"/>
  <c r="C8224" i="3"/>
  <c r="A8225" i="3"/>
  <c r="C8225" i="3"/>
  <c r="A8226" i="3"/>
  <c r="C8226" i="3"/>
  <c r="A8227" i="3"/>
  <c r="C8227" i="3"/>
  <c r="A8228" i="3"/>
  <c r="C8228" i="3"/>
  <c r="A8229" i="3"/>
  <c r="C8229" i="3"/>
  <c r="A8230" i="3"/>
  <c r="C8230" i="3"/>
  <c r="A8231" i="3"/>
  <c r="C8231" i="3"/>
  <c r="A8232" i="3"/>
  <c r="C8232" i="3"/>
  <c r="A8233" i="3"/>
  <c r="C8233" i="3"/>
  <c r="A8234" i="3"/>
  <c r="C8234" i="3"/>
  <c r="A8235" i="3"/>
  <c r="C8235" i="3"/>
  <c r="A8236" i="3"/>
  <c r="C8236" i="3"/>
  <c r="A8237" i="3"/>
  <c r="C8237" i="3"/>
  <c r="A8238" i="3"/>
  <c r="C8238" i="3"/>
  <c r="A8239" i="3"/>
  <c r="C8239" i="3"/>
  <c r="A8240" i="3"/>
  <c r="C8240" i="3"/>
  <c r="A8241" i="3"/>
  <c r="C8241" i="3"/>
  <c r="A8242" i="3"/>
  <c r="C8242" i="3"/>
  <c r="A8243" i="3"/>
  <c r="C8243" i="3"/>
  <c r="A8244" i="3"/>
  <c r="C8244" i="3"/>
  <c r="A8245" i="3"/>
  <c r="C8245" i="3"/>
  <c r="A8246" i="3"/>
  <c r="C8246" i="3"/>
  <c r="A8247" i="3"/>
  <c r="C8247" i="3"/>
  <c r="A8248" i="3"/>
  <c r="C8248" i="3"/>
  <c r="A8249" i="3"/>
  <c r="C8249" i="3"/>
  <c r="A8250" i="3"/>
  <c r="C8250" i="3"/>
  <c r="A8251" i="3"/>
  <c r="C8251" i="3"/>
  <c r="A8252" i="3"/>
  <c r="C8252" i="3"/>
  <c r="A8253" i="3"/>
  <c r="C8253" i="3"/>
  <c r="A8254" i="3"/>
  <c r="C8254" i="3"/>
  <c r="A8255" i="3"/>
  <c r="C8255" i="3"/>
  <c r="A8256" i="3"/>
  <c r="C8256" i="3"/>
  <c r="A8257" i="3"/>
  <c r="C8257" i="3"/>
  <c r="A8258" i="3"/>
  <c r="C8258" i="3"/>
  <c r="A8259" i="3"/>
  <c r="C8259" i="3"/>
  <c r="A8260" i="3"/>
  <c r="C8260" i="3"/>
  <c r="A8261" i="3"/>
  <c r="C8261" i="3"/>
  <c r="A8262" i="3"/>
  <c r="C8262" i="3"/>
  <c r="A8263" i="3"/>
  <c r="C8263" i="3"/>
  <c r="A8264" i="3"/>
  <c r="C8264" i="3"/>
  <c r="A8265" i="3"/>
  <c r="C8265" i="3"/>
  <c r="A8266" i="3"/>
  <c r="C8266" i="3"/>
  <c r="A8267" i="3"/>
  <c r="C8267" i="3"/>
  <c r="A8268" i="3"/>
  <c r="C8268" i="3"/>
  <c r="A8269" i="3"/>
  <c r="C8269" i="3"/>
  <c r="A8270" i="3"/>
  <c r="C8270" i="3"/>
  <c r="A8271" i="3"/>
  <c r="C8271" i="3"/>
  <c r="A8272" i="3"/>
  <c r="C8272" i="3"/>
  <c r="A8273" i="3"/>
  <c r="C8273" i="3"/>
  <c r="A8274" i="3"/>
  <c r="C8274" i="3"/>
  <c r="A8275" i="3"/>
  <c r="C8275" i="3"/>
  <c r="A8276" i="3"/>
  <c r="C8276" i="3"/>
  <c r="A8277" i="3"/>
  <c r="C8277" i="3"/>
  <c r="A8278" i="3"/>
  <c r="C8278" i="3"/>
  <c r="A8279" i="3"/>
  <c r="C8279" i="3"/>
  <c r="A8280" i="3"/>
  <c r="C8280" i="3"/>
  <c r="A8281" i="3"/>
  <c r="C8281" i="3"/>
  <c r="A8282" i="3"/>
  <c r="C8282" i="3"/>
  <c r="A8283" i="3"/>
  <c r="C8283" i="3"/>
  <c r="A8284" i="3"/>
  <c r="C8284" i="3"/>
  <c r="A8285" i="3"/>
  <c r="C8285" i="3"/>
  <c r="A8286" i="3"/>
  <c r="C8286" i="3"/>
  <c r="A8287" i="3"/>
  <c r="C8287" i="3"/>
  <c r="A8288" i="3"/>
  <c r="C8288" i="3"/>
  <c r="A8289" i="3"/>
  <c r="C8289" i="3"/>
  <c r="A8290" i="3"/>
  <c r="C8290" i="3"/>
  <c r="A8291" i="3"/>
  <c r="C8291" i="3"/>
  <c r="A8292" i="3"/>
  <c r="C8292" i="3"/>
  <c r="A8293" i="3"/>
  <c r="C8293" i="3"/>
  <c r="A8294" i="3"/>
  <c r="C8294" i="3"/>
  <c r="A8295" i="3"/>
  <c r="C8295" i="3"/>
  <c r="A8296" i="3"/>
  <c r="C8296" i="3"/>
  <c r="A8297" i="3"/>
  <c r="C8297" i="3"/>
  <c r="A8298" i="3"/>
  <c r="C8298" i="3"/>
  <c r="A8299" i="3"/>
  <c r="C8299" i="3"/>
  <c r="A8300" i="3"/>
  <c r="C8300" i="3"/>
  <c r="A8301" i="3"/>
  <c r="C8301" i="3"/>
  <c r="A8302" i="3"/>
  <c r="C8302" i="3"/>
  <c r="A8303" i="3"/>
  <c r="C8303" i="3"/>
  <c r="A8304" i="3"/>
  <c r="C8304" i="3"/>
  <c r="A8305" i="3"/>
  <c r="C8305" i="3"/>
  <c r="A8306" i="3"/>
  <c r="C8306" i="3"/>
  <c r="A8307" i="3"/>
  <c r="C8307" i="3"/>
  <c r="A8308" i="3"/>
  <c r="C8308" i="3"/>
  <c r="A8309" i="3"/>
  <c r="C8309" i="3"/>
  <c r="A8310" i="3"/>
  <c r="C8310" i="3"/>
  <c r="A8311" i="3"/>
  <c r="C8311" i="3"/>
  <c r="A8312" i="3"/>
  <c r="C8312" i="3"/>
  <c r="A8313" i="3"/>
  <c r="C8313" i="3"/>
  <c r="A8314" i="3"/>
  <c r="C8314" i="3"/>
  <c r="A8315" i="3"/>
  <c r="C8315" i="3"/>
  <c r="A8316" i="3"/>
  <c r="C8316" i="3"/>
  <c r="A8317" i="3"/>
  <c r="C8317" i="3"/>
  <c r="A8318" i="3"/>
  <c r="C8318" i="3"/>
  <c r="A8319" i="3"/>
  <c r="C8319" i="3"/>
  <c r="A8320" i="3"/>
  <c r="C8320" i="3"/>
  <c r="A8321" i="3"/>
  <c r="C8321" i="3"/>
  <c r="A8322" i="3"/>
  <c r="C8322" i="3"/>
  <c r="A8323" i="3"/>
  <c r="C8323" i="3"/>
  <c r="A8324" i="3"/>
  <c r="C8324" i="3"/>
  <c r="A8325" i="3"/>
  <c r="C8325" i="3"/>
  <c r="A8326" i="3"/>
  <c r="C8326" i="3"/>
  <c r="A8327" i="3"/>
  <c r="C8327" i="3"/>
  <c r="A8328" i="3"/>
  <c r="C8328" i="3"/>
  <c r="A8329" i="3"/>
  <c r="C8329" i="3"/>
  <c r="A8330" i="3"/>
  <c r="C8330" i="3"/>
  <c r="A8331" i="3"/>
  <c r="C8331" i="3"/>
  <c r="A8332" i="3"/>
  <c r="C8332" i="3"/>
  <c r="A8333" i="3"/>
  <c r="C8333" i="3"/>
  <c r="A8334" i="3"/>
  <c r="C8334" i="3"/>
  <c r="A8335" i="3"/>
  <c r="C8335" i="3"/>
  <c r="A8336" i="3"/>
  <c r="C8336" i="3"/>
  <c r="A8337" i="3"/>
  <c r="C8337" i="3"/>
  <c r="A8338" i="3"/>
  <c r="C8338" i="3"/>
  <c r="A8339" i="3"/>
  <c r="C8339" i="3"/>
  <c r="A8340" i="3"/>
  <c r="C8340" i="3"/>
  <c r="A8341" i="3"/>
  <c r="C8341" i="3"/>
  <c r="A8342" i="3"/>
  <c r="C8342" i="3"/>
  <c r="A8343" i="3"/>
  <c r="C8343" i="3"/>
  <c r="A8344" i="3"/>
  <c r="C8344" i="3"/>
  <c r="A8345" i="3"/>
  <c r="C8345" i="3"/>
  <c r="A8346" i="3"/>
  <c r="C8346" i="3"/>
  <c r="A8347" i="3"/>
  <c r="C8347" i="3"/>
  <c r="A8348" i="3"/>
  <c r="C8348" i="3"/>
  <c r="A8349" i="3"/>
  <c r="C8349" i="3"/>
  <c r="A8350" i="3"/>
  <c r="C8350" i="3"/>
  <c r="A8351" i="3"/>
  <c r="C8351" i="3"/>
  <c r="A8352" i="3"/>
  <c r="C8352" i="3"/>
  <c r="A8353" i="3"/>
  <c r="C8353" i="3"/>
  <c r="A8354" i="3"/>
  <c r="C8354" i="3"/>
  <c r="A8355" i="3"/>
  <c r="C8355" i="3"/>
  <c r="A8356" i="3"/>
  <c r="C8356" i="3"/>
  <c r="A8357" i="3"/>
  <c r="C8357" i="3"/>
  <c r="A8358" i="3"/>
  <c r="C8358" i="3"/>
  <c r="A8359" i="3"/>
  <c r="C8359" i="3"/>
  <c r="A8360" i="3"/>
  <c r="C8360" i="3"/>
  <c r="A8361" i="3"/>
  <c r="C8361" i="3"/>
  <c r="A8362" i="3"/>
  <c r="C8362" i="3"/>
  <c r="A8363" i="3"/>
  <c r="C8363" i="3"/>
  <c r="A8364" i="3"/>
  <c r="C8364" i="3"/>
  <c r="A8365" i="3"/>
  <c r="C8365" i="3"/>
  <c r="A8366" i="3"/>
  <c r="C8366" i="3"/>
  <c r="A8367" i="3"/>
  <c r="C8367" i="3"/>
  <c r="A8368" i="3"/>
  <c r="C8368" i="3"/>
  <c r="A8369" i="3"/>
  <c r="C8369" i="3"/>
  <c r="A8370" i="3"/>
  <c r="C8370" i="3"/>
  <c r="A8371" i="3"/>
  <c r="C8371" i="3"/>
  <c r="A8372" i="3"/>
  <c r="C8372" i="3"/>
  <c r="A8373" i="3"/>
  <c r="C8373" i="3"/>
  <c r="A8374" i="3"/>
  <c r="C8374" i="3"/>
  <c r="A8375" i="3"/>
  <c r="C8375" i="3"/>
  <c r="A8376" i="3"/>
  <c r="C8376" i="3"/>
  <c r="A8377" i="3"/>
  <c r="C8377" i="3"/>
  <c r="A8378" i="3"/>
  <c r="C8378" i="3"/>
  <c r="A8379" i="3"/>
  <c r="C8379" i="3"/>
  <c r="A8380" i="3"/>
  <c r="C8380" i="3"/>
  <c r="A8381" i="3"/>
  <c r="C8381" i="3"/>
  <c r="A8382" i="3"/>
  <c r="C8382" i="3"/>
  <c r="A8383" i="3"/>
  <c r="C8383" i="3"/>
  <c r="A8384" i="3"/>
  <c r="C8384" i="3"/>
  <c r="A8385" i="3"/>
  <c r="C8385" i="3"/>
  <c r="A8386" i="3"/>
  <c r="C8386" i="3"/>
  <c r="A8387" i="3"/>
  <c r="C8387" i="3"/>
  <c r="A8388" i="3"/>
  <c r="C8388" i="3"/>
  <c r="A8389" i="3"/>
  <c r="C8389" i="3"/>
  <c r="A8390" i="3"/>
  <c r="C8390" i="3"/>
  <c r="A8391" i="3"/>
  <c r="C8391" i="3"/>
  <c r="A8392" i="3"/>
  <c r="C8392" i="3"/>
  <c r="A8393" i="3"/>
  <c r="C8393" i="3"/>
  <c r="A8394" i="3"/>
  <c r="C8394" i="3"/>
  <c r="A8395" i="3"/>
  <c r="C8395" i="3"/>
  <c r="A8396" i="3"/>
  <c r="C8396" i="3"/>
  <c r="A8397" i="3"/>
  <c r="C8397" i="3"/>
  <c r="A8398" i="3"/>
  <c r="C8398" i="3"/>
  <c r="A8399" i="3"/>
  <c r="C8399" i="3"/>
  <c r="A8400" i="3"/>
  <c r="C8400" i="3"/>
  <c r="A8401" i="3"/>
  <c r="C8401" i="3"/>
  <c r="A8402" i="3"/>
  <c r="C8402" i="3"/>
  <c r="A8403" i="3"/>
  <c r="C8403" i="3"/>
  <c r="A8404" i="3"/>
  <c r="C8404" i="3"/>
  <c r="A8405" i="3"/>
  <c r="C8405" i="3"/>
  <c r="A8406" i="3"/>
  <c r="C8406" i="3"/>
  <c r="A8407" i="3"/>
  <c r="C8407" i="3"/>
  <c r="A8408" i="3"/>
  <c r="C8408" i="3"/>
  <c r="A8409" i="3"/>
  <c r="C8409" i="3"/>
  <c r="A8410" i="3"/>
  <c r="C8410" i="3"/>
  <c r="A8411" i="3"/>
  <c r="C8411" i="3"/>
  <c r="A8412" i="3"/>
  <c r="C8412" i="3"/>
  <c r="A8413" i="3"/>
  <c r="C8413" i="3"/>
  <c r="A8414" i="3"/>
  <c r="C8414" i="3"/>
  <c r="A8415" i="3"/>
  <c r="C8415" i="3"/>
  <c r="A8416" i="3"/>
  <c r="C8416" i="3"/>
  <c r="A8417" i="3"/>
  <c r="C8417" i="3"/>
  <c r="A8418" i="3"/>
  <c r="C8418" i="3"/>
  <c r="A8419" i="3"/>
  <c r="C8419" i="3"/>
  <c r="A8420" i="3"/>
  <c r="C8420" i="3"/>
  <c r="A8421" i="3"/>
  <c r="C8421" i="3"/>
  <c r="A8422" i="3"/>
  <c r="C8422" i="3"/>
  <c r="A8423" i="3"/>
  <c r="C8423" i="3"/>
  <c r="A8424" i="3"/>
  <c r="C8424" i="3"/>
  <c r="A8425" i="3"/>
  <c r="C8425" i="3"/>
  <c r="A8426" i="3"/>
  <c r="C8426" i="3"/>
  <c r="A8427" i="3"/>
  <c r="C8427" i="3"/>
  <c r="A8428" i="3"/>
  <c r="C8428" i="3"/>
  <c r="A8429" i="3"/>
  <c r="C8429" i="3"/>
  <c r="A8430" i="3"/>
  <c r="C8430" i="3"/>
  <c r="A8431" i="3"/>
  <c r="C8431" i="3"/>
  <c r="A8432" i="3"/>
  <c r="C8432" i="3"/>
  <c r="A8433" i="3"/>
  <c r="C8433" i="3"/>
  <c r="A8434" i="3"/>
  <c r="C8434" i="3"/>
  <c r="A8435" i="3"/>
  <c r="C8435" i="3"/>
  <c r="A8436" i="3"/>
  <c r="C8436" i="3"/>
  <c r="A8437" i="3"/>
  <c r="C8437" i="3"/>
  <c r="A8438" i="3"/>
  <c r="C8438" i="3"/>
  <c r="A8439" i="3"/>
  <c r="C8439" i="3"/>
  <c r="A8440" i="3"/>
  <c r="C8440" i="3"/>
  <c r="A8441" i="3"/>
  <c r="C8441" i="3"/>
  <c r="A8442" i="3"/>
  <c r="C8442" i="3"/>
  <c r="A8443" i="3"/>
  <c r="C8443" i="3"/>
  <c r="A8444" i="3"/>
  <c r="C8444" i="3"/>
  <c r="A8445" i="3"/>
  <c r="C8445" i="3"/>
  <c r="A8446" i="3"/>
  <c r="C8446" i="3"/>
  <c r="A8447" i="3"/>
  <c r="C8447" i="3"/>
  <c r="A8448" i="3"/>
  <c r="C8448" i="3"/>
  <c r="A8449" i="3"/>
  <c r="C8449" i="3"/>
  <c r="A8450" i="3"/>
  <c r="C8450" i="3"/>
  <c r="A8451" i="3"/>
  <c r="C8451" i="3"/>
  <c r="A8452" i="3"/>
  <c r="C8452" i="3"/>
  <c r="A8453" i="3"/>
  <c r="C8453" i="3"/>
  <c r="A8454" i="3"/>
  <c r="C8454" i="3"/>
  <c r="A8455" i="3"/>
  <c r="C8455" i="3"/>
  <c r="A8456" i="3"/>
  <c r="C8456" i="3"/>
  <c r="A8457" i="3"/>
  <c r="C8457" i="3"/>
  <c r="A8458" i="3"/>
  <c r="C8458" i="3"/>
  <c r="A8459" i="3"/>
  <c r="C8459" i="3"/>
  <c r="A8460" i="3"/>
  <c r="C8460" i="3"/>
  <c r="A8461" i="3"/>
  <c r="C8461" i="3"/>
  <c r="A8462" i="3"/>
  <c r="C8462" i="3"/>
  <c r="A8463" i="3"/>
  <c r="C8463" i="3"/>
  <c r="A8464" i="3"/>
  <c r="C8464" i="3"/>
  <c r="A8465" i="3"/>
  <c r="C8465" i="3"/>
  <c r="A8466" i="3"/>
  <c r="C8466" i="3"/>
  <c r="A8467" i="3"/>
  <c r="C8467" i="3"/>
  <c r="A8468" i="3"/>
  <c r="C8468" i="3"/>
  <c r="A8469" i="3"/>
  <c r="C8469" i="3"/>
  <c r="A8470" i="3"/>
  <c r="C8470" i="3"/>
  <c r="A8471" i="3"/>
  <c r="C8471" i="3"/>
  <c r="A8472" i="3"/>
  <c r="C8472" i="3"/>
  <c r="A8473" i="3"/>
  <c r="C8473" i="3"/>
  <c r="A8474" i="3"/>
  <c r="C8474" i="3"/>
  <c r="A8475" i="3"/>
  <c r="C8475" i="3"/>
  <c r="A8476" i="3"/>
  <c r="C8476" i="3"/>
  <c r="A8477" i="3"/>
  <c r="C8477" i="3"/>
  <c r="A8478" i="3"/>
  <c r="C8478" i="3"/>
  <c r="A8479" i="3"/>
  <c r="C8479" i="3"/>
  <c r="A8480" i="3"/>
  <c r="C8480" i="3"/>
  <c r="A8481" i="3"/>
  <c r="C8481" i="3"/>
  <c r="A8482" i="3"/>
  <c r="C8482" i="3"/>
  <c r="A8483" i="3"/>
  <c r="C8483" i="3"/>
  <c r="A8484" i="3"/>
  <c r="C8484" i="3"/>
  <c r="A8485" i="3"/>
  <c r="C8485" i="3"/>
  <c r="A8486" i="3"/>
  <c r="C8486" i="3"/>
  <c r="A8487" i="3"/>
  <c r="C8487" i="3"/>
  <c r="A8488" i="3"/>
  <c r="C8488" i="3"/>
  <c r="A8489" i="3"/>
  <c r="C8489" i="3"/>
  <c r="A8490" i="3"/>
  <c r="C8490" i="3"/>
  <c r="A8491" i="3"/>
  <c r="C8491" i="3"/>
  <c r="A8492" i="3"/>
  <c r="C8492" i="3"/>
  <c r="A8493" i="3"/>
  <c r="C8493" i="3"/>
  <c r="A8494" i="3"/>
  <c r="C8494" i="3"/>
  <c r="A8495" i="3"/>
  <c r="C8495" i="3"/>
  <c r="A8496" i="3"/>
  <c r="C8496" i="3"/>
  <c r="A8497" i="3"/>
  <c r="C8497" i="3"/>
  <c r="A8498" i="3"/>
  <c r="C8498" i="3"/>
  <c r="A8499" i="3"/>
  <c r="C8499" i="3"/>
  <c r="A8500" i="3"/>
  <c r="C8500" i="3"/>
  <c r="A8501" i="3"/>
  <c r="C8501" i="3"/>
  <c r="A8502" i="3"/>
  <c r="C8502" i="3"/>
  <c r="A8503" i="3"/>
  <c r="C8503" i="3"/>
  <c r="A8504" i="3"/>
  <c r="C8504" i="3"/>
  <c r="A8505" i="3"/>
  <c r="C8505" i="3"/>
  <c r="A8506" i="3"/>
  <c r="C8506" i="3"/>
  <c r="A8507" i="3"/>
  <c r="C8507" i="3"/>
  <c r="A8508" i="3"/>
  <c r="C8508" i="3"/>
  <c r="A8509" i="3"/>
  <c r="C8509" i="3"/>
  <c r="A8510" i="3"/>
  <c r="C8510" i="3"/>
  <c r="A8511" i="3"/>
  <c r="C8511" i="3"/>
  <c r="A8512" i="3"/>
  <c r="C8512" i="3"/>
  <c r="A8513" i="3"/>
  <c r="C8513" i="3"/>
  <c r="A8514" i="3"/>
  <c r="C8514" i="3"/>
  <c r="A8515" i="3"/>
  <c r="C8515" i="3"/>
  <c r="A8516" i="3"/>
  <c r="C8516" i="3"/>
  <c r="A8517" i="3"/>
  <c r="C8517" i="3"/>
  <c r="A8518" i="3"/>
  <c r="C8518" i="3"/>
  <c r="A8519" i="3"/>
  <c r="C8519" i="3"/>
  <c r="A8520" i="3"/>
  <c r="C8520" i="3"/>
  <c r="A8521" i="3"/>
  <c r="C8521" i="3"/>
  <c r="A8522" i="3"/>
  <c r="C8522" i="3"/>
  <c r="A8523" i="3"/>
  <c r="C8523" i="3"/>
  <c r="A8524" i="3"/>
  <c r="C8524" i="3"/>
  <c r="A8525" i="3"/>
  <c r="C8525" i="3"/>
  <c r="A8526" i="3"/>
  <c r="C8526" i="3"/>
  <c r="A8527" i="3"/>
  <c r="C8527" i="3"/>
  <c r="A8528" i="3"/>
  <c r="C8528" i="3"/>
  <c r="A8529" i="3"/>
  <c r="C8529" i="3"/>
  <c r="A8530" i="3"/>
  <c r="C8530" i="3"/>
  <c r="A8531" i="3"/>
  <c r="C8531" i="3"/>
  <c r="A8532" i="3"/>
  <c r="C8532" i="3"/>
  <c r="A8533" i="3"/>
  <c r="C8533" i="3"/>
  <c r="A8534" i="3"/>
  <c r="C8534" i="3"/>
  <c r="A8535" i="3"/>
  <c r="C8535" i="3"/>
  <c r="A8536" i="3"/>
  <c r="C8536" i="3"/>
  <c r="A8537" i="3"/>
  <c r="C8537" i="3"/>
  <c r="A8538" i="3"/>
  <c r="C8538" i="3"/>
  <c r="A8539" i="3"/>
  <c r="C8539" i="3"/>
  <c r="A8540" i="3"/>
  <c r="C8540" i="3"/>
  <c r="A8541" i="3"/>
  <c r="C8541" i="3"/>
  <c r="A8542" i="3"/>
  <c r="C8542" i="3"/>
  <c r="A8543" i="3"/>
  <c r="C8543" i="3"/>
  <c r="A8544" i="3"/>
  <c r="C8544" i="3"/>
  <c r="A8545" i="3"/>
  <c r="C8545" i="3"/>
  <c r="A8546" i="3"/>
  <c r="C8546" i="3"/>
  <c r="A8547" i="3"/>
  <c r="C8547" i="3"/>
  <c r="A8548" i="3"/>
  <c r="C8548" i="3"/>
  <c r="A8549" i="3"/>
  <c r="C8549" i="3"/>
  <c r="A8550" i="3"/>
  <c r="C8550" i="3"/>
  <c r="A8551" i="3"/>
  <c r="C8551" i="3"/>
  <c r="A8552" i="3"/>
  <c r="C8552" i="3"/>
  <c r="A8553" i="3"/>
  <c r="C8553" i="3"/>
  <c r="A8554" i="3"/>
  <c r="C8554" i="3"/>
  <c r="A8555" i="3"/>
  <c r="C8555" i="3"/>
  <c r="A8556" i="3"/>
  <c r="C8556" i="3"/>
  <c r="A8557" i="3"/>
  <c r="C8557" i="3"/>
  <c r="A8558" i="3"/>
  <c r="C8558" i="3"/>
  <c r="A8559" i="3"/>
  <c r="C8559" i="3"/>
  <c r="A8560" i="3"/>
  <c r="C8560" i="3"/>
  <c r="A8561" i="3"/>
  <c r="C8561" i="3"/>
  <c r="A8562" i="3"/>
  <c r="C8562" i="3"/>
  <c r="A8563" i="3"/>
  <c r="C8563" i="3"/>
  <c r="A8564" i="3"/>
  <c r="C8564" i="3"/>
  <c r="A8565" i="3"/>
  <c r="C8565" i="3"/>
  <c r="A8566" i="3"/>
  <c r="C8566" i="3"/>
  <c r="A8567" i="3"/>
  <c r="C8567" i="3"/>
  <c r="A8568" i="3"/>
  <c r="C8568" i="3"/>
  <c r="A8569" i="3"/>
  <c r="C8569" i="3"/>
  <c r="A8570" i="3"/>
  <c r="C8570" i="3"/>
  <c r="A8571" i="3"/>
  <c r="C8571" i="3"/>
  <c r="A8572" i="3"/>
  <c r="C8572" i="3"/>
  <c r="A8573" i="3"/>
  <c r="C8573" i="3"/>
  <c r="A8574" i="3"/>
  <c r="C8574" i="3"/>
  <c r="A8575" i="3"/>
  <c r="C8575" i="3"/>
  <c r="A8576" i="3"/>
  <c r="C8576" i="3"/>
  <c r="A8577" i="3"/>
  <c r="C8577" i="3"/>
  <c r="A8578" i="3"/>
  <c r="C8578" i="3"/>
  <c r="A8579" i="3"/>
  <c r="C8579" i="3"/>
  <c r="A8580" i="3"/>
  <c r="C8580" i="3"/>
  <c r="A8581" i="3"/>
  <c r="C8581" i="3"/>
  <c r="A8582" i="3"/>
  <c r="C8582" i="3"/>
  <c r="A8583" i="3"/>
  <c r="C8583" i="3"/>
  <c r="A8584" i="3"/>
  <c r="C8584" i="3"/>
  <c r="A8585" i="3"/>
  <c r="C8585" i="3"/>
  <c r="A8586" i="3"/>
  <c r="C8586" i="3"/>
  <c r="A8587" i="3"/>
  <c r="C8587" i="3"/>
  <c r="A8588" i="3"/>
  <c r="C8588" i="3"/>
  <c r="A8589" i="3"/>
  <c r="C8589" i="3"/>
  <c r="A8590" i="3"/>
  <c r="C8590" i="3"/>
  <c r="A8591" i="3"/>
  <c r="C8591" i="3"/>
  <c r="A8592" i="3"/>
  <c r="C8592" i="3"/>
  <c r="A8593" i="3"/>
  <c r="C8593" i="3"/>
  <c r="A8594" i="3"/>
  <c r="C8594" i="3"/>
  <c r="A8595" i="3"/>
  <c r="C8595" i="3"/>
  <c r="A8596" i="3"/>
  <c r="C8596" i="3"/>
  <c r="A8597" i="3"/>
  <c r="C8597" i="3"/>
  <c r="A8598" i="3"/>
  <c r="C8598" i="3"/>
  <c r="A8599" i="3"/>
  <c r="C8599" i="3"/>
  <c r="A8600" i="3"/>
  <c r="C8600" i="3"/>
  <c r="A8601" i="3"/>
  <c r="C8601" i="3"/>
  <c r="A8602" i="3"/>
  <c r="C8602" i="3"/>
  <c r="A8603" i="3"/>
  <c r="C8603" i="3"/>
  <c r="A8604" i="3"/>
  <c r="C8604" i="3"/>
  <c r="A8605" i="3"/>
  <c r="C8605" i="3"/>
  <c r="A8606" i="3"/>
  <c r="C8606" i="3"/>
  <c r="A8607" i="3"/>
  <c r="C8607" i="3"/>
  <c r="A8608" i="3"/>
  <c r="C8608" i="3"/>
  <c r="A8609" i="3"/>
  <c r="C8609" i="3"/>
  <c r="A8610" i="3"/>
  <c r="C8610" i="3"/>
  <c r="A8611" i="3"/>
  <c r="C8611" i="3"/>
  <c r="A8612" i="3"/>
  <c r="C8612" i="3"/>
  <c r="A8613" i="3"/>
  <c r="C8613" i="3"/>
  <c r="A8614" i="3"/>
  <c r="C8614" i="3"/>
  <c r="A8615" i="3"/>
  <c r="C8615" i="3"/>
  <c r="A8616" i="3"/>
  <c r="C8616" i="3"/>
  <c r="A8617" i="3"/>
  <c r="C8617" i="3"/>
  <c r="A8618" i="3"/>
  <c r="C8618" i="3"/>
  <c r="A8619" i="3"/>
  <c r="C8619" i="3"/>
  <c r="A8620" i="3"/>
  <c r="C8620" i="3"/>
  <c r="A8621" i="3"/>
  <c r="C8621" i="3"/>
  <c r="A8622" i="3"/>
  <c r="C8622" i="3"/>
  <c r="A8623" i="3"/>
  <c r="C8623" i="3"/>
  <c r="A8624" i="3"/>
  <c r="C8624" i="3"/>
  <c r="A8625" i="3"/>
  <c r="C8625" i="3"/>
  <c r="A8626" i="3"/>
  <c r="C8626" i="3"/>
  <c r="A8627" i="3"/>
  <c r="C8627" i="3"/>
  <c r="A8628" i="3"/>
  <c r="C8628" i="3"/>
  <c r="A8629" i="3"/>
  <c r="C8629" i="3"/>
  <c r="A8630" i="3"/>
  <c r="C8630" i="3"/>
  <c r="A8631" i="3"/>
  <c r="C8631" i="3"/>
  <c r="A8632" i="3"/>
  <c r="C8632" i="3"/>
  <c r="A8633" i="3"/>
  <c r="C8633" i="3"/>
  <c r="A8634" i="3"/>
  <c r="C8634" i="3"/>
  <c r="A8635" i="3"/>
  <c r="C8635" i="3"/>
  <c r="A8636" i="3"/>
  <c r="C8636" i="3"/>
  <c r="A8637" i="3"/>
  <c r="C8637" i="3"/>
  <c r="A8638" i="3"/>
  <c r="C8638" i="3"/>
  <c r="A8639" i="3"/>
  <c r="C8639" i="3"/>
  <c r="A8640" i="3"/>
  <c r="C8640" i="3"/>
  <c r="A8641" i="3"/>
  <c r="C8641" i="3"/>
  <c r="A8642" i="3"/>
  <c r="C8642" i="3"/>
  <c r="A8643" i="3"/>
  <c r="C8643" i="3"/>
  <c r="A8644" i="3"/>
  <c r="C8644" i="3"/>
  <c r="A8645" i="3"/>
  <c r="C8645" i="3"/>
  <c r="A8646" i="3"/>
  <c r="C8646" i="3"/>
  <c r="A8647" i="3"/>
  <c r="C8647" i="3"/>
  <c r="A8648" i="3"/>
  <c r="C8648" i="3"/>
  <c r="A8649" i="3"/>
  <c r="C8649" i="3"/>
  <c r="A8650" i="3"/>
  <c r="C8650" i="3"/>
  <c r="A8651" i="3"/>
  <c r="C8651" i="3"/>
  <c r="A8652" i="3"/>
  <c r="C8652" i="3"/>
  <c r="A8653" i="3"/>
  <c r="C8653" i="3"/>
  <c r="A8654" i="3"/>
  <c r="C8654" i="3"/>
  <c r="A8655" i="3"/>
  <c r="C8655" i="3"/>
  <c r="A8656" i="3"/>
  <c r="C8656" i="3"/>
  <c r="A8657" i="3"/>
  <c r="C8657" i="3"/>
  <c r="A8658" i="3"/>
  <c r="C8658" i="3"/>
  <c r="A8659" i="3"/>
  <c r="C8659" i="3"/>
  <c r="A8660" i="3"/>
  <c r="C8660" i="3"/>
  <c r="A8661" i="3"/>
  <c r="C8661" i="3"/>
  <c r="A8662" i="3"/>
  <c r="C8662" i="3"/>
  <c r="A8663" i="3"/>
  <c r="C8663" i="3"/>
  <c r="A8664" i="3"/>
  <c r="C8664" i="3"/>
  <c r="A8665" i="3"/>
  <c r="C8665" i="3"/>
  <c r="A8666" i="3"/>
  <c r="C8666" i="3"/>
  <c r="A8667" i="3"/>
  <c r="C8667" i="3"/>
  <c r="A8668" i="3"/>
  <c r="C8668" i="3"/>
  <c r="A8669" i="3"/>
  <c r="C8669" i="3"/>
  <c r="A8670" i="3"/>
  <c r="C8670" i="3"/>
  <c r="A8671" i="3"/>
  <c r="C8671" i="3"/>
  <c r="A8672" i="3"/>
  <c r="C8672" i="3"/>
  <c r="A8673" i="3"/>
  <c r="C8673" i="3"/>
  <c r="A8674" i="3"/>
  <c r="C8674" i="3"/>
  <c r="A8675" i="3"/>
  <c r="C8675" i="3"/>
  <c r="A8676" i="3"/>
  <c r="C8676" i="3"/>
  <c r="A8677" i="3"/>
  <c r="C8677" i="3"/>
  <c r="A8678" i="3"/>
  <c r="C8678" i="3"/>
  <c r="A8679" i="3"/>
  <c r="C8679" i="3"/>
  <c r="A8680" i="3"/>
  <c r="C8680" i="3"/>
  <c r="A8681" i="3"/>
  <c r="C8681" i="3"/>
  <c r="A8682" i="3"/>
  <c r="C8682" i="3"/>
  <c r="A8683" i="3"/>
  <c r="C8683" i="3"/>
  <c r="A8684" i="3"/>
  <c r="C8684" i="3"/>
  <c r="A8685" i="3"/>
  <c r="C8685" i="3"/>
  <c r="A8686" i="3"/>
  <c r="C8686" i="3"/>
  <c r="A8687" i="3"/>
  <c r="C8687" i="3"/>
  <c r="A8688" i="3"/>
  <c r="C8688" i="3"/>
  <c r="A8689" i="3"/>
  <c r="C8689" i="3"/>
  <c r="A8690" i="3"/>
  <c r="C8690" i="3"/>
  <c r="A8691" i="3"/>
  <c r="C8691" i="3"/>
  <c r="A8692" i="3"/>
  <c r="C8692" i="3"/>
  <c r="A8693" i="3"/>
  <c r="C8693" i="3"/>
  <c r="A8694" i="3"/>
  <c r="C8694" i="3"/>
  <c r="A8695" i="3"/>
  <c r="C8695" i="3"/>
  <c r="A8696" i="3"/>
  <c r="C8696" i="3"/>
  <c r="A8697" i="3"/>
  <c r="C8697" i="3"/>
  <c r="A8698" i="3"/>
  <c r="C8698" i="3"/>
  <c r="A8699" i="3"/>
  <c r="C8699" i="3"/>
  <c r="A8700" i="3"/>
  <c r="C8700" i="3"/>
  <c r="A8701" i="3"/>
  <c r="C8701" i="3"/>
  <c r="A8702" i="3"/>
  <c r="C8702" i="3"/>
  <c r="A8703" i="3"/>
  <c r="C8703" i="3"/>
  <c r="A8704" i="3"/>
  <c r="C8704" i="3"/>
  <c r="A8705" i="3"/>
  <c r="C8705" i="3"/>
  <c r="A8706" i="3"/>
  <c r="C8706" i="3"/>
  <c r="A8707" i="3"/>
  <c r="C8707" i="3"/>
  <c r="A8708" i="3"/>
  <c r="C8708" i="3"/>
  <c r="A8709" i="3"/>
  <c r="C8709" i="3"/>
  <c r="A8710" i="3"/>
  <c r="C8710" i="3"/>
  <c r="A8711" i="3"/>
  <c r="C8711" i="3"/>
  <c r="A8712" i="3"/>
  <c r="C8712" i="3"/>
  <c r="A8713" i="3"/>
  <c r="C8713" i="3"/>
  <c r="A8714" i="3"/>
  <c r="C8714" i="3"/>
  <c r="A8715" i="3"/>
  <c r="C8715" i="3"/>
  <c r="A8716" i="3"/>
  <c r="C8716" i="3"/>
  <c r="A8717" i="3"/>
  <c r="C8717" i="3"/>
  <c r="A8718" i="3"/>
  <c r="C8718" i="3"/>
  <c r="A8719" i="3"/>
  <c r="C8719" i="3"/>
  <c r="A8720" i="3"/>
  <c r="C8720" i="3"/>
  <c r="A8721" i="3"/>
  <c r="C8721" i="3"/>
  <c r="A8722" i="3"/>
  <c r="C8722" i="3"/>
  <c r="A8723" i="3"/>
  <c r="C8723" i="3"/>
  <c r="A8724" i="3"/>
  <c r="C8724" i="3"/>
  <c r="A8725" i="3"/>
  <c r="C8725" i="3"/>
  <c r="A8726" i="3"/>
  <c r="C8726" i="3"/>
  <c r="A8727" i="3"/>
  <c r="C8727" i="3"/>
  <c r="A8728" i="3"/>
  <c r="C8728" i="3"/>
  <c r="A8729" i="3"/>
  <c r="C8729" i="3"/>
  <c r="A8730" i="3"/>
  <c r="C8730" i="3"/>
  <c r="A8731" i="3"/>
  <c r="C8731" i="3"/>
  <c r="A8732" i="3"/>
  <c r="C8732" i="3"/>
  <c r="A8733" i="3"/>
  <c r="C8733" i="3"/>
  <c r="A8734" i="3"/>
  <c r="C8734" i="3"/>
  <c r="A8735" i="3"/>
  <c r="C8735" i="3"/>
  <c r="A8736" i="3"/>
  <c r="C8736" i="3"/>
  <c r="A8737" i="3"/>
  <c r="C8737" i="3"/>
  <c r="A8738" i="3"/>
  <c r="C8738" i="3"/>
  <c r="A8739" i="3"/>
  <c r="C8739" i="3"/>
  <c r="A8740" i="3"/>
  <c r="C8740" i="3"/>
  <c r="A8741" i="3"/>
  <c r="C8741" i="3"/>
  <c r="A8742" i="3"/>
  <c r="C8742" i="3"/>
  <c r="A8743" i="3"/>
  <c r="C8743" i="3"/>
  <c r="A8744" i="3"/>
  <c r="C8744" i="3"/>
  <c r="A8745" i="3"/>
  <c r="C8745" i="3"/>
  <c r="A8746" i="3"/>
  <c r="C8746" i="3"/>
  <c r="A8747" i="3"/>
  <c r="C8747" i="3"/>
  <c r="A8748" i="3"/>
  <c r="C8748" i="3"/>
  <c r="A8749" i="3"/>
  <c r="C8749" i="3"/>
  <c r="A8750" i="3"/>
  <c r="C8750" i="3"/>
  <c r="A8751" i="3"/>
  <c r="C8751" i="3"/>
  <c r="A8752" i="3"/>
  <c r="C8752" i="3"/>
  <c r="A8753" i="3"/>
  <c r="C8753" i="3"/>
  <c r="A8754" i="3"/>
  <c r="C8754" i="3"/>
  <c r="A8755" i="3"/>
  <c r="C8755" i="3"/>
  <c r="A8756" i="3"/>
  <c r="C8756" i="3"/>
  <c r="A8757" i="3"/>
  <c r="C8757" i="3"/>
  <c r="A8758" i="3"/>
  <c r="C8758" i="3"/>
  <c r="A8759" i="3"/>
  <c r="C8759" i="3"/>
  <c r="A8760" i="3"/>
  <c r="C8760" i="3"/>
  <c r="A8761" i="3"/>
  <c r="C8761" i="3"/>
  <c r="A1" i="6"/>
  <c r="C2" i="3" l="1"/>
  <c r="Z348" i="1" l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5" i="1"/>
  <c r="B4" i="3" l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3" i="3"/>
  <c r="B37" i="3"/>
  <c r="B41" i="3"/>
  <c r="B45" i="3"/>
  <c r="B49" i="3"/>
  <c r="B53" i="3"/>
  <c r="B57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31" i="3"/>
  <c r="B35" i="3"/>
  <c r="B39" i="3"/>
  <c r="B43" i="3"/>
  <c r="B47" i="3"/>
  <c r="B51" i="3"/>
  <c r="B55" i="3"/>
  <c r="B59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11" i="3"/>
  <c r="B315" i="3"/>
  <c r="B319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401" i="3"/>
  <c r="B403" i="3"/>
  <c r="B405" i="3"/>
  <c r="B407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313" i="3"/>
  <c r="B317" i="3"/>
  <c r="B321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32" i="3"/>
  <c r="B734" i="3"/>
  <c r="B736" i="3"/>
  <c r="B738" i="3"/>
  <c r="B740" i="3"/>
  <c r="B742" i="3"/>
  <c r="B744" i="3"/>
  <c r="B746" i="3"/>
  <c r="B748" i="3"/>
  <c r="B750" i="3"/>
  <c r="B752" i="3"/>
  <c r="B754" i="3"/>
  <c r="B756" i="3"/>
  <c r="B758" i="3"/>
  <c r="B760" i="3"/>
  <c r="B762" i="3"/>
  <c r="B764" i="3"/>
  <c r="B766" i="3"/>
  <c r="B768" i="3"/>
  <c r="B770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1" i="3"/>
  <c r="B773" i="3"/>
  <c r="B775" i="3"/>
  <c r="B777" i="3"/>
  <c r="B779" i="3"/>
  <c r="B781" i="3"/>
  <c r="B783" i="3"/>
  <c r="B785" i="3"/>
  <c r="B787" i="3"/>
  <c r="B789" i="3"/>
  <c r="B791" i="3"/>
  <c r="B793" i="3"/>
  <c r="B795" i="3"/>
  <c r="B797" i="3"/>
  <c r="B799" i="3"/>
  <c r="B801" i="3"/>
  <c r="B803" i="3"/>
  <c r="B805" i="3"/>
  <c r="B807" i="3"/>
  <c r="B809" i="3"/>
  <c r="B811" i="3"/>
  <c r="B813" i="3"/>
  <c r="B815" i="3"/>
  <c r="B817" i="3"/>
  <c r="B819" i="3"/>
  <c r="B821" i="3"/>
  <c r="B823" i="3"/>
  <c r="B825" i="3"/>
  <c r="B827" i="3"/>
  <c r="B829" i="3"/>
  <c r="B831" i="3"/>
  <c r="B833" i="3"/>
  <c r="B835" i="3"/>
  <c r="B837" i="3"/>
  <c r="B839" i="3"/>
  <c r="B841" i="3"/>
  <c r="B843" i="3"/>
  <c r="B845" i="3"/>
  <c r="B847" i="3"/>
  <c r="B849" i="3"/>
  <c r="B851" i="3"/>
  <c r="B853" i="3"/>
  <c r="B855" i="3"/>
  <c r="B857" i="3"/>
  <c r="B859" i="3"/>
  <c r="B861" i="3"/>
  <c r="B863" i="3"/>
  <c r="B865" i="3"/>
  <c r="B867" i="3"/>
  <c r="B869" i="3"/>
  <c r="B871" i="3"/>
  <c r="B873" i="3"/>
  <c r="B875" i="3"/>
  <c r="B877" i="3"/>
  <c r="B879" i="3"/>
  <c r="B881" i="3"/>
  <c r="B883" i="3"/>
  <c r="B885" i="3"/>
  <c r="B887" i="3"/>
  <c r="B889" i="3"/>
  <c r="B891" i="3"/>
  <c r="B893" i="3"/>
  <c r="B895" i="3"/>
  <c r="B897" i="3"/>
  <c r="B899" i="3"/>
  <c r="B901" i="3"/>
  <c r="B903" i="3"/>
  <c r="B905" i="3"/>
  <c r="B907" i="3"/>
  <c r="B909" i="3"/>
  <c r="B911" i="3"/>
  <c r="B913" i="3"/>
  <c r="B915" i="3"/>
  <c r="B917" i="3"/>
  <c r="B919" i="3"/>
  <c r="B921" i="3"/>
  <c r="B923" i="3"/>
  <c r="B925" i="3"/>
  <c r="B927" i="3"/>
  <c r="B929" i="3"/>
  <c r="B931" i="3"/>
  <c r="B933" i="3"/>
  <c r="B935" i="3"/>
  <c r="B937" i="3"/>
  <c r="B939" i="3"/>
  <c r="B941" i="3"/>
  <c r="B943" i="3"/>
  <c r="B945" i="3"/>
  <c r="B947" i="3"/>
  <c r="B949" i="3"/>
  <c r="B951" i="3"/>
  <c r="B953" i="3"/>
  <c r="B955" i="3"/>
  <c r="B957" i="3"/>
  <c r="B959" i="3"/>
  <c r="B961" i="3"/>
  <c r="B963" i="3"/>
  <c r="B965" i="3"/>
  <c r="B967" i="3"/>
  <c r="B969" i="3"/>
  <c r="B971" i="3"/>
  <c r="B973" i="3"/>
  <c r="B975" i="3"/>
  <c r="B977" i="3"/>
  <c r="B979" i="3"/>
  <c r="B981" i="3"/>
  <c r="B983" i="3"/>
  <c r="B985" i="3"/>
  <c r="B987" i="3"/>
  <c r="B989" i="3"/>
  <c r="B991" i="3"/>
  <c r="B993" i="3"/>
  <c r="B995" i="3"/>
  <c r="B997" i="3"/>
  <c r="B999" i="3"/>
  <c r="B1001" i="3"/>
  <c r="B1003" i="3"/>
  <c r="B1005" i="3"/>
  <c r="B1007" i="3"/>
  <c r="B1009" i="3"/>
  <c r="B1011" i="3"/>
  <c r="B1013" i="3"/>
  <c r="B1015" i="3"/>
  <c r="B1017" i="3"/>
  <c r="B1019" i="3"/>
  <c r="B1021" i="3"/>
  <c r="B1023" i="3"/>
  <c r="B1025" i="3"/>
  <c r="B1027" i="3"/>
  <c r="B1029" i="3"/>
  <c r="B1031" i="3"/>
  <c r="B1033" i="3"/>
  <c r="B1035" i="3"/>
  <c r="B1037" i="3"/>
  <c r="B1039" i="3"/>
  <c r="B1041" i="3"/>
  <c r="B1043" i="3"/>
  <c r="B1045" i="3"/>
  <c r="B1047" i="3"/>
  <c r="B1049" i="3"/>
  <c r="B1051" i="3"/>
  <c r="B1053" i="3"/>
  <c r="B1055" i="3"/>
  <c r="B1057" i="3"/>
  <c r="B1059" i="3"/>
  <c r="B1061" i="3"/>
  <c r="B1063" i="3"/>
  <c r="B1065" i="3"/>
  <c r="B1067" i="3"/>
  <c r="B1069" i="3"/>
  <c r="B1071" i="3"/>
  <c r="B1073" i="3"/>
  <c r="B1075" i="3"/>
  <c r="B1077" i="3"/>
  <c r="B1079" i="3"/>
  <c r="B1081" i="3"/>
  <c r="B1083" i="3"/>
  <c r="B1085" i="3"/>
  <c r="B1087" i="3"/>
  <c r="B1089" i="3"/>
  <c r="B1091" i="3"/>
  <c r="B1093" i="3"/>
  <c r="B1095" i="3"/>
  <c r="B1097" i="3"/>
  <c r="B1099" i="3"/>
  <c r="B1101" i="3"/>
  <c r="B1103" i="3"/>
  <c r="B1105" i="3"/>
  <c r="B1107" i="3"/>
  <c r="B1109" i="3"/>
  <c r="B1111" i="3"/>
  <c r="B1113" i="3"/>
  <c r="B1115" i="3"/>
  <c r="B1117" i="3"/>
  <c r="B1119" i="3"/>
  <c r="B1121" i="3"/>
  <c r="B1123" i="3"/>
  <c r="B1125" i="3"/>
  <c r="B1127" i="3"/>
  <c r="B1129" i="3"/>
  <c r="B1131" i="3"/>
  <c r="B1133" i="3"/>
  <c r="B1135" i="3"/>
  <c r="B1137" i="3"/>
  <c r="B1139" i="3"/>
  <c r="B1141" i="3"/>
  <c r="B1143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2" i="3"/>
  <c r="B774" i="3"/>
  <c r="B776" i="3"/>
  <c r="B778" i="3"/>
  <c r="B780" i="3"/>
  <c r="B782" i="3"/>
  <c r="B784" i="3"/>
  <c r="B786" i="3"/>
  <c r="B788" i="3"/>
  <c r="B790" i="3"/>
  <c r="B792" i="3"/>
  <c r="B794" i="3"/>
  <c r="B796" i="3"/>
  <c r="B798" i="3"/>
  <c r="B800" i="3"/>
  <c r="B802" i="3"/>
  <c r="B804" i="3"/>
  <c r="B806" i="3"/>
  <c r="B808" i="3"/>
  <c r="B810" i="3"/>
  <c r="B812" i="3"/>
  <c r="B814" i="3"/>
  <c r="B816" i="3"/>
  <c r="B818" i="3"/>
  <c r="B820" i="3"/>
  <c r="B822" i="3"/>
  <c r="B824" i="3"/>
  <c r="B826" i="3"/>
  <c r="B828" i="3"/>
  <c r="B830" i="3"/>
  <c r="B832" i="3"/>
  <c r="B834" i="3"/>
  <c r="B836" i="3"/>
  <c r="B838" i="3"/>
  <c r="B840" i="3"/>
  <c r="B842" i="3"/>
  <c r="B844" i="3"/>
  <c r="B846" i="3"/>
  <c r="B848" i="3"/>
  <c r="B850" i="3"/>
  <c r="B852" i="3"/>
  <c r="B854" i="3"/>
  <c r="B856" i="3"/>
  <c r="B858" i="3"/>
  <c r="B860" i="3"/>
  <c r="B862" i="3"/>
  <c r="B864" i="3"/>
  <c r="B866" i="3"/>
  <c r="B868" i="3"/>
  <c r="B870" i="3"/>
  <c r="B872" i="3"/>
  <c r="B874" i="3"/>
  <c r="B876" i="3"/>
  <c r="B878" i="3"/>
  <c r="B880" i="3"/>
  <c r="B882" i="3"/>
  <c r="B884" i="3"/>
  <c r="B886" i="3"/>
  <c r="B888" i="3"/>
  <c r="B890" i="3"/>
  <c r="B892" i="3"/>
  <c r="B894" i="3"/>
  <c r="B896" i="3"/>
  <c r="B898" i="3"/>
  <c r="B900" i="3"/>
  <c r="B902" i="3"/>
  <c r="B904" i="3"/>
  <c r="B906" i="3"/>
  <c r="B908" i="3"/>
  <c r="B910" i="3"/>
  <c r="B912" i="3"/>
  <c r="B914" i="3"/>
  <c r="B916" i="3"/>
  <c r="B918" i="3"/>
  <c r="B920" i="3"/>
  <c r="B922" i="3"/>
  <c r="B924" i="3"/>
  <c r="B926" i="3"/>
  <c r="B928" i="3"/>
  <c r="B930" i="3"/>
  <c r="B932" i="3"/>
  <c r="B934" i="3"/>
  <c r="B936" i="3"/>
  <c r="B938" i="3"/>
  <c r="B940" i="3"/>
  <c r="B942" i="3"/>
  <c r="B944" i="3"/>
  <c r="B946" i="3"/>
  <c r="B948" i="3"/>
  <c r="B950" i="3"/>
  <c r="B952" i="3"/>
  <c r="B954" i="3"/>
  <c r="B956" i="3"/>
  <c r="B958" i="3"/>
  <c r="B960" i="3"/>
  <c r="B962" i="3"/>
  <c r="B964" i="3"/>
  <c r="B966" i="3"/>
  <c r="B968" i="3"/>
  <c r="B970" i="3"/>
  <c r="B972" i="3"/>
  <c r="B974" i="3"/>
  <c r="B976" i="3"/>
  <c r="B978" i="3"/>
  <c r="B980" i="3"/>
  <c r="B982" i="3"/>
  <c r="B984" i="3"/>
  <c r="B986" i="3"/>
  <c r="B988" i="3"/>
  <c r="B990" i="3"/>
  <c r="B992" i="3"/>
  <c r="B994" i="3"/>
  <c r="B996" i="3"/>
  <c r="B998" i="3"/>
  <c r="B1000" i="3"/>
  <c r="B1002" i="3"/>
  <c r="B1004" i="3"/>
  <c r="B1006" i="3"/>
  <c r="B1008" i="3"/>
  <c r="B1010" i="3"/>
  <c r="B1012" i="3"/>
  <c r="B1014" i="3"/>
  <c r="B1016" i="3"/>
  <c r="B1018" i="3"/>
  <c r="B1020" i="3"/>
  <c r="B1022" i="3"/>
  <c r="B1024" i="3"/>
  <c r="B1026" i="3"/>
  <c r="B1028" i="3"/>
  <c r="B1030" i="3"/>
  <c r="B1032" i="3"/>
  <c r="B1034" i="3"/>
  <c r="B1036" i="3"/>
  <c r="B1038" i="3"/>
  <c r="B1040" i="3"/>
  <c r="B1042" i="3"/>
  <c r="B1044" i="3"/>
  <c r="B1046" i="3"/>
  <c r="B1048" i="3"/>
  <c r="B1050" i="3"/>
  <c r="B1052" i="3"/>
  <c r="B1054" i="3"/>
  <c r="B1056" i="3"/>
  <c r="B1058" i="3"/>
  <c r="B1060" i="3"/>
  <c r="B1062" i="3"/>
  <c r="B1064" i="3"/>
  <c r="B1066" i="3"/>
  <c r="B1068" i="3"/>
  <c r="B1070" i="3"/>
  <c r="B1072" i="3"/>
  <c r="B1074" i="3"/>
  <c r="B1076" i="3"/>
  <c r="B1078" i="3"/>
  <c r="B1080" i="3"/>
  <c r="B1082" i="3"/>
  <c r="B1084" i="3"/>
  <c r="B1086" i="3"/>
  <c r="B1088" i="3"/>
  <c r="B1090" i="3"/>
  <c r="B1092" i="3"/>
  <c r="B1094" i="3"/>
  <c r="B1096" i="3"/>
  <c r="B1098" i="3"/>
  <c r="B1100" i="3"/>
  <c r="B1102" i="3"/>
  <c r="B1104" i="3"/>
  <c r="B1106" i="3"/>
  <c r="B1108" i="3"/>
  <c r="B1110" i="3"/>
  <c r="B1112" i="3"/>
  <c r="B1114" i="3"/>
  <c r="B1116" i="3"/>
  <c r="B1118" i="3"/>
  <c r="B1120" i="3"/>
  <c r="B1122" i="3"/>
  <c r="B1124" i="3"/>
  <c r="B1126" i="3"/>
  <c r="B1128" i="3"/>
  <c r="B1130" i="3"/>
  <c r="B1132" i="3"/>
  <c r="B1134" i="3"/>
  <c r="B1136" i="3"/>
  <c r="B1138" i="3"/>
  <c r="B1140" i="3"/>
  <c r="B1142" i="3"/>
  <c r="B1144" i="3"/>
  <c r="B1146" i="3"/>
  <c r="B1148" i="3"/>
  <c r="B1150" i="3"/>
  <c r="B1152" i="3"/>
  <c r="B1154" i="3"/>
  <c r="B1156" i="3"/>
  <c r="B1158" i="3"/>
  <c r="B1160" i="3"/>
  <c r="B1162" i="3"/>
  <c r="B1164" i="3"/>
  <c r="B1166" i="3"/>
  <c r="B1168" i="3"/>
  <c r="B1170" i="3"/>
  <c r="B1172" i="3"/>
  <c r="B1174" i="3"/>
  <c r="B1176" i="3"/>
  <c r="B1178" i="3"/>
  <c r="B1180" i="3"/>
  <c r="B1182" i="3"/>
  <c r="B1184" i="3"/>
  <c r="B1186" i="3"/>
  <c r="B1188" i="3"/>
  <c r="B1190" i="3"/>
  <c r="B1192" i="3"/>
  <c r="B1194" i="3"/>
  <c r="B1196" i="3"/>
  <c r="B1198" i="3"/>
  <c r="B1145" i="3"/>
  <c r="B1149" i="3"/>
  <c r="B1153" i="3"/>
  <c r="B1157" i="3"/>
  <c r="B1161" i="3"/>
  <c r="B1165" i="3"/>
  <c r="B1169" i="3"/>
  <c r="B1173" i="3"/>
  <c r="B1177" i="3"/>
  <c r="B1181" i="3"/>
  <c r="B1185" i="3"/>
  <c r="B1189" i="3"/>
  <c r="B1193" i="3"/>
  <c r="B1197" i="3"/>
  <c r="B1200" i="3"/>
  <c r="B1202" i="3"/>
  <c r="B1204" i="3"/>
  <c r="B1206" i="3"/>
  <c r="B1208" i="3"/>
  <c r="B1210" i="3"/>
  <c r="B1212" i="3"/>
  <c r="B1214" i="3"/>
  <c r="B1216" i="3"/>
  <c r="B1218" i="3"/>
  <c r="B1220" i="3"/>
  <c r="B1222" i="3"/>
  <c r="B1224" i="3"/>
  <c r="B1226" i="3"/>
  <c r="B1228" i="3"/>
  <c r="B1230" i="3"/>
  <c r="B1232" i="3"/>
  <c r="B1234" i="3"/>
  <c r="B1236" i="3"/>
  <c r="B1238" i="3"/>
  <c r="B1240" i="3"/>
  <c r="B1242" i="3"/>
  <c r="B1244" i="3"/>
  <c r="B1246" i="3"/>
  <c r="B1248" i="3"/>
  <c r="B1250" i="3"/>
  <c r="B1252" i="3"/>
  <c r="B1254" i="3"/>
  <c r="B1256" i="3"/>
  <c r="B1258" i="3"/>
  <c r="B1260" i="3"/>
  <c r="B1262" i="3"/>
  <c r="B1264" i="3"/>
  <c r="B1266" i="3"/>
  <c r="B1268" i="3"/>
  <c r="B1270" i="3"/>
  <c r="B1272" i="3"/>
  <c r="B1274" i="3"/>
  <c r="B1276" i="3"/>
  <c r="B1278" i="3"/>
  <c r="B1280" i="3"/>
  <c r="B1282" i="3"/>
  <c r="B1284" i="3"/>
  <c r="B1286" i="3"/>
  <c r="B1288" i="3"/>
  <c r="B1290" i="3"/>
  <c r="B1292" i="3"/>
  <c r="B1294" i="3"/>
  <c r="B1296" i="3"/>
  <c r="B1298" i="3"/>
  <c r="B1300" i="3"/>
  <c r="B1302" i="3"/>
  <c r="B1304" i="3"/>
  <c r="B1306" i="3"/>
  <c r="B1308" i="3"/>
  <c r="B1310" i="3"/>
  <c r="B1312" i="3"/>
  <c r="B1314" i="3"/>
  <c r="B1316" i="3"/>
  <c r="B1318" i="3"/>
  <c r="B1320" i="3"/>
  <c r="B1322" i="3"/>
  <c r="B1324" i="3"/>
  <c r="B1326" i="3"/>
  <c r="B1328" i="3"/>
  <c r="B1330" i="3"/>
  <c r="B1332" i="3"/>
  <c r="B1334" i="3"/>
  <c r="B1336" i="3"/>
  <c r="B1338" i="3"/>
  <c r="B1340" i="3"/>
  <c r="B1342" i="3"/>
  <c r="B1344" i="3"/>
  <c r="B1346" i="3"/>
  <c r="B1348" i="3"/>
  <c r="B1350" i="3"/>
  <c r="B1352" i="3"/>
  <c r="B1354" i="3"/>
  <c r="B1356" i="3"/>
  <c r="B1358" i="3"/>
  <c r="B1360" i="3"/>
  <c r="B1362" i="3"/>
  <c r="B1364" i="3"/>
  <c r="B1366" i="3"/>
  <c r="B1368" i="3"/>
  <c r="B1370" i="3"/>
  <c r="B1372" i="3"/>
  <c r="B1374" i="3"/>
  <c r="B1376" i="3"/>
  <c r="B1378" i="3"/>
  <c r="B1380" i="3"/>
  <c r="B1382" i="3"/>
  <c r="B1384" i="3"/>
  <c r="B1386" i="3"/>
  <c r="B1388" i="3"/>
  <c r="B1390" i="3"/>
  <c r="B1392" i="3"/>
  <c r="B1394" i="3"/>
  <c r="B1396" i="3"/>
  <c r="B1398" i="3"/>
  <c r="B1400" i="3"/>
  <c r="B1402" i="3"/>
  <c r="B1404" i="3"/>
  <c r="B1406" i="3"/>
  <c r="B1408" i="3"/>
  <c r="B1410" i="3"/>
  <c r="B1412" i="3"/>
  <c r="B1414" i="3"/>
  <c r="B1416" i="3"/>
  <c r="B1418" i="3"/>
  <c r="B1420" i="3"/>
  <c r="B1422" i="3"/>
  <c r="B1424" i="3"/>
  <c r="B1426" i="3"/>
  <c r="B1428" i="3"/>
  <c r="B1430" i="3"/>
  <c r="B1432" i="3"/>
  <c r="B1434" i="3"/>
  <c r="B1436" i="3"/>
  <c r="B1438" i="3"/>
  <c r="B1440" i="3"/>
  <c r="B1442" i="3"/>
  <c r="B1444" i="3"/>
  <c r="B1446" i="3"/>
  <c r="B1448" i="3"/>
  <c r="B1450" i="3"/>
  <c r="B1452" i="3"/>
  <c r="B1454" i="3"/>
  <c r="B1456" i="3"/>
  <c r="B1458" i="3"/>
  <c r="B1460" i="3"/>
  <c r="B1462" i="3"/>
  <c r="B1464" i="3"/>
  <c r="B1466" i="3"/>
  <c r="B1468" i="3"/>
  <c r="B1470" i="3"/>
  <c r="B1472" i="3"/>
  <c r="B1474" i="3"/>
  <c r="B1476" i="3"/>
  <c r="B1478" i="3"/>
  <c r="B1480" i="3"/>
  <c r="B1482" i="3"/>
  <c r="B1484" i="3"/>
  <c r="B1486" i="3"/>
  <c r="B1488" i="3"/>
  <c r="B1490" i="3"/>
  <c r="B1492" i="3"/>
  <c r="B1494" i="3"/>
  <c r="B1496" i="3"/>
  <c r="B1498" i="3"/>
  <c r="B1500" i="3"/>
  <c r="B1502" i="3"/>
  <c r="B1504" i="3"/>
  <c r="B1506" i="3"/>
  <c r="B1508" i="3"/>
  <c r="B1510" i="3"/>
  <c r="B1512" i="3"/>
  <c r="B1514" i="3"/>
  <c r="B1516" i="3"/>
  <c r="B1518" i="3"/>
  <c r="B1520" i="3"/>
  <c r="B1522" i="3"/>
  <c r="B1524" i="3"/>
  <c r="B1526" i="3"/>
  <c r="B1528" i="3"/>
  <c r="B1530" i="3"/>
  <c r="B1532" i="3"/>
  <c r="B1534" i="3"/>
  <c r="B1536" i="3"/>
  <c r="B1538" i="3"/>
  <c r="B1540" i="3"/>
  <c r="B1542" i="3"/>
  <c r="B1544" i="3"/>
  <c r="B1546" i="3"/>
  <c r="B1548" i="3"/>
  <c r="B1550" i="3"/>
  <c r="B1552" i="3"/>
  <c r="B1554" i="3"/>
  <c r="B1556" i="3"/>
  <c r="B1558" i="3"/>
  <c r="B1560" i="3"/>
  <c r="B1562" i="3"/>
  <c r="B1564" i="3"/>
  <c r="B1566" i="3"/>
  <c r="B1568" i="3"/>
  <c r="B1570" i="3"/>
  <c r="B1572" i="3"/>
  <c r="B1574" i="3"/>
  <c r="B1576" i="3"/>
  <c r="B1578" i="3"/>
  <c r="B1580" i="3"/>
  <c r="B1582" i="3"/>
  <c r="B1584" i="3"/>
  <c r="B1586" i="3"/>
  <c r="B1588" i="3"/>
  <c r="B1590" i="3"/>
  <c r="B1592" i="3"/>
  <c r="B1594" i="3"/>
  <c r="B1596" i="3"/>
  <c r="B1598" i="3"/>
  <c r="B1600" i="3"/>
  <c r="B1602" i="3"/>
  <c r="B1604" i="3"/>
  <c r="B1606" i="3"/>
  <c r="B1608" i="3"/>
  <c r="B1610" i="3"/>
  <c r="B1612" i="3"/>
  <c r="B1614" i="3"/>
  <c r="B1616" i="3"/>
  <c r="B1618" i="3"/>
  <c r="B1620" i="3"/>
  <c r="B1622" i="3"/>
  <c r="B1624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1199" i="3"/>
  <c r="B1201" i="3"/>
  <c r="B1203" i="3"/>
  <c r="B1205" i="3"/>
  <c r="B1207" i="3"/>
  <c r="B1209" i="3"/>
  <c r="B1211" i="3"/>
  <c r="B1213" i="3"/>
  <c r="B1215" i="3"/>
  <c r="B1217" i="3"/>
  <c r="B1219" i="3"/>
  <c r="B1221" i="3"/>
  <c r="B1223" i="3"/>
  <c r="B1225" i="3"/>
  <c r="B1227" i="3"/>
  <c r="B1229" i="3"/>
  <c r="B1231" i="3"/>
  <c r="B1233" i="3"/>
  <c r="B1235" i="3"/>
  <c r="B1237" i="3"/>
  <c r="B1239" i="3"/>
  <c r="B1241" i="3"/>
  <c r="B1243" i="3"/>
  <c r="B1245" i="3"/>
  <c r="B1247" i="3"/>
  <c r="B1249" i="3"/>
  <c r="B1251" i="3"/>
  <c r="B1253" i="3"/>
  <c r="B1255" i="3"/>
  <c r="B1257" i="3"/>
  <c r="B1259" i="3"/>
  <c r="B1261" i="3"/>
  <c r="B1263" i="3"/>
  <c r="B1265" i="3"/>
  <c r="B1267" i="3"/>
  <c r="B1269" i="3"/>
  <c r="B1271" i="3"/>
  <c r="B1273" i="3"/>
  <c r="B1275" i="3"/>
  <c r="B1277" i="3"/>
  <c r="B1279" i="3"/>
  <c r="B1281" i="3"/>
  <c r="B1283" i="3"/>
  <c r="B1285" i="3"/>
  <c r="B1287" i="3"/>
  <c r="B1289" i="3"/>
  <c r="B1291" i="3"/>
  <c r="B1293" i="3"/>
  <c r="B1295" i="3"/>
  <c r="B1297" i="3"/>
  <c r="B1299" i="3"/>
  <c r="B1301" i="3"/>
  <c r="B1303" i="3"/>
  <c r="B1305" i="3"/>
  <c r="B1307" i="3"/>
  <c r="B1309" i="3"/>
  <c r="B1311" i="3"/>
  <c r="B1313" i="3"/>
  <c r="B1315" i="3"/>
  <c r="B1317" i="3"/>
  <c r="B1319" i="3"/>
  <c r="B1321" i="3"/>
  <c r="B1323" i="3"/>
  <c r="B1325" i="3"/>
  <c r="B1327" i="3"/>
  <c r="B1329" i="3"/>
  <c r="B1331" i="3"/>
  <c r="B1333" i="3"/>
  <c r="B1335" i="3"/>
  <c r="B1337" i="3"/>
  <c r="B1339" i="3"/>
  <c r="B1341" i="3"/>
  <c r="B1343" i="3"/>
  <c r="B1345" i="3"/>
  <c r="B1347" i="3"/>
  <c r="B1349" i="3"/>
  <c r="B1351" i="3"/>
  <c r="B1353" i="3"/>
  <c r="B1355" i="3"/>
  <c r="B1357" i="3"/>
  <c r="B1359" i="3"/>
  <c r="B1361" i="3"/>
  <c r="B1363" i="3"/>
  <c r="B1365" i="3"/>
  <c r="B1367" i="3"/>
  <c r="B1369" i="3"/>
  <c r="B1371" i="3"/>
  <c r="B1373" i="3"/>
  <c r="B1375" i="3"/>
  <c r="B1377" i="3"/>
  <c r="B1379" i="3"/>
  <c r="B1381" i="3"/>
  <c r="B1383" i="3"/>
  <c r="B1385" i="3"/>
  <c r="B1387" i="3"/>
  <c r="B1389" i="3"/>
  <c r="B1391" i="3"/>
  <c r="B1393" i="3"/>
  <c r="B1395" i="3"/>
  <c r="B1397" i="3"/>
  <c r="B1399" i="3"/>
  <c r="B1401" i="3"/>
  <c r="B1403" i="3"/>
  <c r="B1405" i="3"/>
  <c r="B1407" i="3"/>
  <c r="B1409" i="3"/>
  <c r="B1411" i="3"/>
  <c r="B1413" i="3"/>
  <c r="B1415" i="3"/>
  <c r="B1417" i="3"/>
  <c r="B1419" i="3"/>
  <c r="B1421" i="3"/>
  <c r="B1423" i="3"/>
  <c r="B1425" i="3"/>
  <c r="B1427" i="3"/>
  <c r="B1429" i="3"/>
  <c r="B1431" i="3"/>
  <c r="B1433" i="3"/>
  <c r="B1435" i="3"/>
  <c r="B1437" i="3"/>
  <c r="B1439" i="3"/>
  <c r="B1441" i="3"/>
  <c r="B1443" i="3"/>
  <c r="B1445" i="3"/>
  <c r="B1447" i="3"/>
  <c r="B1449" i="3"/>
  <c r="B1451" i="3"/>
  <c r="B1453" i="3"/>
  <c r="B1455" i="3"/>
  <c r="B1457" i="3"/>
  <c r="B1459" i="3"/>
  <c r="B1461" i="3"/>
  <c r="B1463" i="3"/>
  <c r="B1465" i="3"/>
  <c r="B1467" i="3"/>
  <c r="B1469" i="3"/>
  <c r="B1471" i="3"/>
  <c r="B1473" i="3"/>
  <c r="B1475" i="3"/>
  <c r="B1477" i="3"/>
  <c r="B1479" i="3"/>
  <c r="B1481" i="3"/>
  <c r="B1483" i="3"/>
  <c r="B1485" i="3"/>
  <c r="B1487" i="3"/>
  <c r="B1489" i="3"/>
  <c r="B1491" i="3"/>
  <c r="B1493" i="3"/>
  <c r="B1495" i="3"/>
  <c r="B1497" i="3"/>
  <c r="B1499" i="3"/>
  <c r="B1501" i="3"/>
  <c r="B1503" i="3"/>
  <c r="B1505" i="3"/>
  <c r="B1507" i="3"/>
  <c r="B1509" i="3"/>
  <c r="B1511" i="3"/>
  <c r="B1513" i="3"/>
  <c r="B1515" i="3"/>
  <c r="B1517" i="3"/>
  <c r="B1519" i="3"/>
  <c r="B1521" i="3"/>
  <c r="B1523" i="3"/>
  <c r="B1525" i="3"/>
  <c r="B1527" i="3"/>
  <c r="B1529" i="3"/>
  <c r="B1531" i="3"/>
  <c r="B1533" i="3"/>
  <c r="B1535" i="3"/>
  <c r="B1537" i="3"/>
  <c r="B1539" i="3"/>
  <c r="B1541" i="3"/>
  <c r="B1543" i="3"/>
  <c r="B1545" i="3"/>
  <c r="B1547" i="3"/>
  <c r="B1549" i="3"/>
  <c r="B1551" i="3"/>
  <c r="B1553" i="3"/>
  <c r="B1555" i="3"/>
  <c r="B1557" i="3"/>
  <c r="B1559" i="3"/>
  <c r="B1561" i="3"/>
  <c r="B1563" i="3"/>
  <c r="B1565" i="3"/>
  <c r="B1567" i="3"/>
  <c r="B1569" i="3"/>
  <c r="B1571" i="3"/>
  <c r="B1573" i="3"/>
  <c r="B1575" i="3"/>
  <c r="B1577" i="3"/>
  <c r="B1579" i="3"/>
  <c r="B1581" i="3"/>
  <c r="B1583" i="3"/>
  <c r="B1585" i="3"/>
  <c r="B1587" i="3"/>
  <c r="B1589" i="3"/>
  <c r="B1591" i="3"/>
  <c r="B1593" i="3"/>
  <c r="B1595" i="3"/>
  <c r="B1597" i="3"/>
  <c r="B1599" i="3"/>
  <c r="B1601" i="3"/>
  <c r="B1603" i="3"/>
  <c r="B1605" i="3"/>
  <c r="B1607" i="3"/>
  <c r="B1609" i="3"/>
  <c r="B1611" i="3"/>
  <c r="B1613" i="3"/>
  <c r="B1615" i="3"/>
  <c r="B1617" i="3"/>
  <c r="B1619" i="3"/>
  <c r="B1621" i="3"/>
  <c r="B1623" i="3"/>
  <c r="B1625" i="3"/>
  <c r="B1626" i="3"/>
  <c r="B1628" i="3"/>
  <c r="B1630" i="3"/>
  <c r="B1632" i="3"/>
  <c r="B1634" i="3"/>
  <c r="B1636" i="3"/>
  <c r="B1638" i="3"/>
  <c r="B1640" i="3"/>
  <c r="B1642" i="3"/>
  <c r="B1644" i="3"/>
  <c r="B1646" i="3"/>
  <c r="B1648" i="3"/>
  <c r="B1650" i="3"/>
  <c r="B1652" i="3"/>
  <c r="B1654" i="3"/>
  <c r="B1656" i="3"/>
  <c r="B1658" i="3"/>
  <c r="B1660" i="3"/>
  <c r="B1662" i="3"/>
  <c r="B1664" i="3"/>
  <c r="B1666" i="3"/>
  <c r="B1668" i="3"/>
  <c r="B1670" i="3"/>
  <c r="B1672" i="3"/>
  <c r="B1674" i="3"/>
  <c r="B1676" i="3"/>
  <c r="B1678" i="3"/>
  <c r="B1680" i="3"/>
  <c r="B1682" i="3"/>
  <c r="B1684" i="3"/>
  <c r="B1686" i="3"/>
  <c r="B1688" i="3"/>
  <c r="B1690" i="3"/>
  <c r="B1692" i="3"/>
  <c r="B1694" i="3"/>
  <c r="B1696" i="3"/>
  <c r="B1698" i="3"/>
  <c r="B1700" i="3"/>
  <c r="B1702" i="3"/>
  <c r="B1704" i="3"/>
  <c r="B1706" i="3"/>
  <c r="B1708" i="3"/>
  <c r="B1710" i="3"/>
  <c r="B1712" i="3"/>
  <c r="B1714" i="3"/>
  <c r="B1716" i="3"/>
  <c r="B1718" i="3"/>
  <c r="B1720" i="3"/>
  <c r="B1722" i="3"/>
  <c r="B1724" i="3"/>
  <c r="B1726" i="3"/>
  <c r="B1728" i="3"/>
  <c r="B1730" i="3"/>
  <c r="B1732" i="3"/>
  <c r="B1734" i="3"/>
  <c r="B1736" i="3"/>
  <c r="B1738" i="3"/>
  <c r="B1740" i="3"/>
  <c r="B1742" i="3"/>
  <c r="B1744" i="3"/>
  <c r="B1746" i="3"/>
  <c r="B1748" i="3"/>
  <c r="B1750" i="3"/>
  <c r="B1752" i="3"/>
  <c r="B1754" i="3"/>
  <c r="B1756" i="3"/>
  <c r="B1758" i="3"/>
  <c r="B1760" i="3"/>
  <c r="B1762" i="3"/>
  <c r="B1764" i="3"/>
  <c r="B1766" i="3"/>
  <c r="B1768" i="3"/>
  <c r="B1770" i="3"/>
  <c r="B1772" i="3"/>
  <c r="B1774" i="3"/>
  <c r="B1776" i="3"/>
  <c r="B1778" i="3"/>
  <c r="B1780" i="3"/>
  <c r="B1782" i="3"/>
  <c r="B1784" i="3"/>
  <c r="B1786" i="3"/>
  <c r="B1788" i="3"/>
  <c r="B1790" i="3"/>
  <c r="B1792" i="3"/>
  <c r="B1794" i="3"/>
  <c r="B1796" i="3"/>
  <c r="B1798" i="3"/>
  <c r="B1800" i="3"/>
  <c r="B1802" i="3"/>
  <c r="B1804" i="3"/>
  <c r="B1806" i="3"/>
  <c r="B1808" i="3"/>
  <c r="B1810" i="3"/>
  <c r="B1812" i="3"/>
  <c r="B1814" i="3"/>
  <c r="B1816" i="3"/>
  <c r="B1818" i="3"/>
  <c r="B1820" i="3"/>
  <c r="B1822" i="3"/>
  <c r="B1824" i="3"/>
  <c r="B1826" i="3"/>
  <c r="B1828" i="3"/>
  <c r="B1830" i="3"/>
  <c r="B1832" i="3"/>
  <c r="B1834" i="3"/>
  <c r="B1836" i="3"/>
  <c r="B1838" i="3"/>
  <c r="B1840" i="3"/>
  <c r="B1842" i="3"/>
  <c r="B1844" i="3"/>
  <c r="B1846" i="3"/>
  <c r="B1848" i="3"/>
  <c r="B1850" i="3"/>
  <c r="B1852" i="3"/>
  <c r="B1854" i="3"/>
  <c r="B1856" i="3"/>
  <c r="B1858" i="3"/>
  <c r="B1860" i="3"/>
  <c r="B1862" i="3"/>
  <c r="B1864" i="3"/>
  <c r="B1866" i="3"/>
  <c r="B1868" i="3"/>
  <c r="B1870" i="3"/>
  <c r="B1872" i="3"/>
  <c r="B1874" i="3"/>
  <c r="B1876" i="3"/>
  <c r="B1878" i="3"/>
  <c r="B1880" i="3"/>
  <c r="B1882" i="3"/>
  <c r="B1884" i="3"/>
  <c r="B1886" i="3"/>
  <c r="B1888" i="3"/>
  <c r="B1890" i="3"/>
  <c r="B1892" i="3"/>
  <c r="B1894" i="3"/>
  <c r="B1896" i="3"/>
  <c r="B1898" i="3"/>
  <c r="B1900" i="3"/>
  <c r="B1902" i="3"/>
  <c r="B1904" i="3"/>
  <c r="B1906" i="3"/>
  <c r="B1908" i="3"/>
  <c r="B1910" i="3"/>
  <c r="B1912" i="3"/>
  <c r="B1914" i="3"/>
  <c r="B1916" i="3"/>
  <c r="B1918" i="3"/>
  <c r="B1920" i="3"/>
  <c r="B1922" i="3"/>
  <c r="B1924" i="3"/>
  <c r="B1926" i="3"/>
  <c r="B1928" i="3"/>
  <c r="B1930" i="3"/>
  <c r="B1932" i="3"/>
  <c r="B1934" i="3"/>
  <c r="B1936" i="3"/>
  <c r="B1938" i="3"/>
  <c r="B1940" i="3"/>
  <c r="B1942" i="3"/>
  <c r="B1944" i="3"/>
  <c r="B1946" i="3"/>
  <c r="B1948" i="3"/>
  <c r="B1950" i="3"/>
  <c r="B1952" i="3"/>
  <c r="B1954" i="3"/>
  <c r="B1956" i="3"/>
  <c r="B1958" i="3"/>
  <c r="B1960" i="3"/>
  <c r="B1962" i="3"/>
  <c r="B1964" i="3"/>
  <c r="B1966" i="3"/>
  <c r="B1968" i="3"/>
  <c r="B1970" i="3"/>
  <c r="B1972" i="3"/>
  <c r="B1974" i="3"/>
  <c r="B1976" i="3"/>
  <c r="B1978" i="3"/>
  <c r="B1980" i="3"/>
  <c r="B1982" i="3"/>
  <c r="B1984" i="3"/>
  <c r="B1986" i="3"/>
  <c r="B1988" i="3"/>
  <c r="B1990" i="3"/>
  <c r="B1992" i="3"/>
  <c r="B1994" i="3"/>
  <c r="B1996" i="3"/>
  <c r="B1998" i="3"/>
  <c r="B2000" i="3"/>
  <c r="B2002" i="3"/>
  <c r="B2004" i="3"/>
  <c r="B2006" i="3"/>
  <c r="B2008" i="3"/>
  <c r="B2010" i="3"/>
  <c r="B2012" i="3"/>
  <c r="B2014" i="3"/>
  <c r="B2016" i="3"/>
  <c r="B2018" i="3"/>
  <c r="B2020" i="3"/>
  <c r="B2022" i="3"/>
  <c r="B2024" i="3"/>
  <c r="B2026" i="3"/>
  <c r="B2028" i="3"/>
  <c r="B2030" i="3"/>
  <c r="B2032" i="3"/>
  <c r="B2034" i="3"/>
  <c r="B2036" i="3"/>
  <c r="B2038" i="3"/>
  <c r="B2040" i="3"/>
  <c r="B2042" i="3"/>
  <c r="B2044" i="3"/>
  <c r="B2046" i="3"/>
  <c r="B2048" i="3"/>
  <c r="B2050" i="3"/>
  <c r="B2052" i="3"/>
  <c r="B2054" i="3"/>
  <c r="B2056" i="3"/>
  <c r="B2058" i="3"/>
  <c r="B2060" i="3"/>
  <c r="B2062" i="3"/>
  <c r="B2064" i="3"/>
  <c r="B2066" i="3"/>
  <c r="B2068" i="3"/>
  <c r="B2070" i="3"/>
  <c r="B2072" i="3"/>
  <c r="B2074" i="3"/>
  <c r="B2076" i="3"/>
  <c r="B2078" i="3"/>
  <c r="B2080" i="3"/>
  <c r="B2082" i="3"/>
  <c r="B2084" i="3"/>
  <c r="B2086" i="3"/>
  <c r="B2088" i="3"/>
  <c r="B2090" i="3"/>
  <c r="B2092" i="3"/>
  <c r="B2094" i="3"/>
  <c r="B2096" i="3"/>
  <c r="B2098" i="3"/>
  <c r="B2100" i="3"/>
  <c r="B2102" i="3"/>
  <c r="B2104" i="3"/>
  <c r="B2106" i="3"/>
  <c r="B2108" i="3"/>
  <c r="B2110" i="3"/>
  <c r="B2112" i="3"/>
  <c r="B2114" i="3"/>
  <c r="B2116" i="3"/>
  <c r="B2118" i="3"/>
  <c r="B2120" i="3"/>
  <c r="B2122" i="3"/>
  <c r="B2124" i="3"/>
  <c r="B2126" i="3"/>
  <c r="B2128" i="3"/>
  <c r="B2130" i="3"/>
  <c r="B2132" i="3"/>
  <c r="B2134" i="3"/>
  <c r="B2136" i="3"/>
  <c r="B2138" i="3"/>
  <c r="B2140" i="3"/>
  <c r="B2142" i="3"/>
  <c r="B2144" i="3"/>
  <c r="B2146" i="3"/>
  <c r="B2148" i="3"/>
  <c r="B2150" i="3"/>
  <c r="B2152" i="3"/>
  <c r="B2154" i="3"/>
  <c r="B2156" i="3"/>
  <c r="B2158" i="3"/>
  <c r="B2160" i="3"/>
  <c r="B2162" i="3"/>
  <c r="B2164" i="3"/>
  <c r="B2166" i="3"/>
  <c r="B2168" i="3"/>
  <c r="B2170" i="3"/>
  <c r="B2172" i="3"/>
  <c r="B2174" i="3"/>
  <c r="B2176" i="3"/>
  <c r="B2178" i="3"/>
  <c r="B2180" i="3"/>
  <c r="B2182" i="3"/>
  <c r="B2184" i="3"/>
  <c r="B2186" i="3"/>
  <c r="B2188" i="3"/>
  <c r="B2190" i="3"/>
  <c r="B2192" i="3"/>
  <c r="B2194" i="3"/>
  <c r="B2196" i="3"/>
  <c r="B2198" i="3"/>
  <c r="B2200" i="3"/>
  <c r="B2202" i="3"/>
  <c r="B2204" i="3"/>
  <c r="B2206" i="3"/>
  <c r="B2208" i="3"/>
  <c r="B2210" i="3"/>
  <c r="B2212" i="3"/>
  <c r="B2214" i="3"/>
  <c r="B2216" i="3"/>
  <c r="B2218" i="3"/>
  <c r="B2220" i="3"/>
  <c r="B2222" i="3"/>
  <c r="B2224" i="3"/>
  <c r="B2226" i="3"/>
  <c r="B2228" i="3"/>
  <c r="B2230" i="3"/>
  <c r="B2232" i="3"/>
  <c r="B2234" i="3"/>
  <c r="B2236" i="3"/>
  <c r="B2238" i="3"/>
  <c r="B2240" i="3"/>
  <c r="B2242" i="3"/>
  <c r="B2244" i="3"/>
  <c r="B2246" i="3"/>
  <c r="B2248" i="3"/>
  <c r="B2250" i="3"/>
  <c r="B2252" i="3"/>
  <c r="B2254" i="3"/>
  <c r="B2256" i="3"/>
  <c r="B2258" i="3"/>
  <c r="B2260" i="3"/>
  <c r="B2262" i="3"/>
  <c r="B2264" i="3"/>
  <c r="B2266" i="3"/>
  <c r="B2268" i="3"/>
  <c r="B2270" i="3"/>
  <c r="B2272" i="3"/>
  <c r="B2274" i="3"/>
  <c r="B2276" i="3"/>
  <c r="B2278" i="3"/>
  <c r="B2280" i="3"/>
  <c r="B2282" i="3"/>
  <c r="B2284" i="3"/>
  <c r="B2286" i="3"/>
  <c r="B2288" i="3"/>
  <c r="B2290" i="3"/>
  <c r="B2292" i="3"/>
  <c r="B2294" i="3"/>
  <c r="B2296" i="3"/>
  <c r="B2298" i="3"/>
  <c r="B2300" i="3"/>
  <c r="B2302" i="3"/>
  <c r="B2304" i="3"/>
  <c r="B2306" i="3"/>
  <c r="B2308" i="3"/>
  <c r="B2310" i="3"/>
  <c r="B2312" i="3"/>
  <c r="B2314" i="3"/>
  <c r="B2316" i="3"/>
  <c r="B2318" i="3"/>
  <c r="B2320" i="3"/>
  <c r="B2322" i="3"/>
  <c r="B2324" i="3"/>
  <c r="B2326" i="3"/>
  <c r="B2328" i="3"/>
  <c r="B2330" i="3"/>
  <c r="B2332" i="3"/>
  <c r="B2334" i="3"/>
  <c r="B2336" i="3"/>
  <c r="B2338" i="3"/>
  <c r="B2340" i="3"/>
  <c r="B2342" i="3"/>
  <c r="B2344" i="3"/>
  <c r="B2346" i="3"/>
  <c r="B2348" i="3"/>
  <c r="B2350" i="3"/>
  <c r="B2352" i="3"/>
  <c r="B2354" i="3"/>
  <c r="B2356" i="3"/>
  <c r="B2358" i="3"/>
  <c r="B2360" i="3"/>
  <c r="B2362" i="3"/>
  <c r="B2364" i="3"/>
  <c r="B2366" i="3"/>
  <c r="B2368" i="3"/>
  <c r="B2370" i="3"/>
  <c r="B2372" i="3"/>
  <c r="B2374" i="3"/>
  <c r="B2376" i="3"/>
  <c r="B2378" i="3"/>
  <c r="B2380" i="3"/>
  <c r="B2382" i="3"/>
  <c r="B2384" i="3"/>
  <c r="B2386" i="3"/>
  <c r="B2388" i="3"/>
  <c r="B2390" i="3"/>
  <c r="B2392" i="3"/>
  <c r="B2394" i="3"/>
  <c r="B2396" i="3"/>
  <c r="B2398" i="3"/>
  <c r="B2400" i="3"/>
  <c r="B2402" i="3"/>
  <c r="B2404" i="3"/>
  <c r="B2406" i="3"/>
  <c r="B2408" i="3"/>
  <c r="B2410" i="3"/>
  <c r="B2412" i="3"/>
  <c r="B2414" i="3"/>
  <c r="B2416" i="3"/>
  <c r="B2418" i="3"/>
  <c r="B2420" i="3"/>
  <c r="B2422" i="3"/>
  <c r="B2424" i="3"/>
  <c r="B2426" i="3"/>
  <c r="B2428" i="3"/>
  <c r="B2430" i="3"/>
  <c r="B2432" i="3"/>
  <c r="B2434" i="3"/>
  <c r="B2436" i="3"/>
  <c r="B2438" i="3"/>
  <c r="B2440" i="3"/>
  <c r="B2442" i="3"/>
  <c r="B2444" i="3"/>
  <c r="B2446" i="3"/>
  <c r="B2448" i="3"/>
  <c r="B2450" i="3"/>
  <c r="B2452" i="3"/>
  <c r="B2454" i="3"/>
  <c r="B2456" i="3"/>
  <c r="B2458" i="3"/>
  <c r="B2460" i="3"/>
  <c r="B2462" i="3"/>
  <c r="B2464" i="3"/>
  <c r="B2466" i="3"/>
  <c r="B2468" i="3"/>
  <c r="B2470" i="3"/>
  <c r="B2472" i="3"/>
  <c r="B2474" i="3"/>
  <c r="B2476" i="3"/>
  <c r="B2478" i="3"/>
  <c r="B2480" i="3"/>
  <c r="B2482" i="3"/>
  <c r="B2484" i="3"/>
  <c r="B2486" i="3"/>
  <c r="B2488" i="3"/>
  <c r="B2490" i="3"/>
  <c r="B2492" i="3"/>
  <c r="B2494" i="3"/>
  <c r="B2496" i="3"/>
  <c r="B2498" i="3"/>
  <c r="B2500" i="3"/>
  <c r="B2502" i="3"/>
  <c r="B2504" i="3"/>
  <c r="B2506" i="3"/>
  <c r="B2508" i="3"/>
  <c r="B2510" i="3"/>
  <c r="B2512" i="3"/>
  <c r="B2514" i="3"/>
  <c r="B2516" i="3"/>
  <c r="B2518" i="3"/>
  <c r="B2520" i="3"/>
  <c r="B2522" i="3"/>
  <c r="B2524" i="3"/>
  <c r="B2526" i="3"/>
  <c r="B2528" i="3"/>
  <c r="B1627" i="3"/>
  <c r="B1629" i="3"/>
  <c r="B1631" i="3"/>
  <c r="B1633" i="3"/>
  <c r="B1635" i="3"/>
  <c r="B1637" i="3"/>
  <c r="B1639" i="3"/>
  <c r="B1641" i="3"/>
  <c r="B1643" i="3"/>
  <c r="B1645" i="3"/>
  <c r="B1647" i="3"/>
  <c r="B1649" i="3"/>
  <c r="B1651" i="3"/>
  <c r="B1653" i="3"/>
  <c r="B1655" i="3"/>
  <c r="B1657" i="3"/>
  <c r="B1659" i="3"/>
  <c r="B1661" i="3"/>
  <c r="B1663" i="3"/>
  <c r="B1665" i="3"/>
  <c r="B1667" i="3"/>
  <c r="B1669" i="3"/>
  <c r="B1671" i="3"/>
  <c r="B1673" i="3"/>
  <c r="B1675" i="3"/>
  <c r="B1677" i="3"/>
  <c r="B1679" i="3"/>
  <c r="B1681" i="3"/>
  <c r="B1683" i="3"/>
  <c r="B1685" i="3"/>
  <c r="B1687" i="3"/>
  <c r="B1689" i="3"/>
  <c r="B1691" i="3"/>
  <c r="B1693" i="3"/>
  <c r="B1695" i="3"/>
  <c r="B1697" i="3"/>
  <c r="B1699" i="3"/>
  <c r="B1701" i="3"/>
  <c r="B1703" i="3"/>
  <c r="B1705" i="3"/>
  <c r="B1707" i="3"/>
  <c r="B1709" i="3"/>
  <c r="B1711" i="3"/>
  <c r="B1713" i="3"/>
  <c r="B1715" i="3"/>
  <c r="B1717" i="3"/>
  <c r="B1719" i="3"/>
  <c r="B1721" i="3"/>
  <c r="B1723" i="3"/>
  <c r="B1725" i="3"/>
  <c r="B1727" i="3"/>
  <c r="B1729" i="3"/>
  <c r="B1731" i="3"/>
  <c r="B1733" i="3"/>
  <c r="B1735" i="3"/>
  <c r="B1737" i="3"/>
  <c r="B1739" i="3"/>
  <c r="B1741" i="3"/>
  <c r="B1743" i="3"/>
  <c r="B1745" i="3"/>
  <c r="B1747" i="3"/>
  <c r="B1749" i="3"/>
  <c r="B1751" i="3"/>
  <c r="B1753" i="3"/>
  <c r="B1755" i="3"/>
  <c r="B1757" i="3"/>
  <c r="B1759" i="3"/>
  <c r="B1761" i="3"/>
  <c r="B1763" i="3"/>
  <c r="B1765" i="3"/>
  <c r="B1767" i="3"/>
  <c r="B1769" i="3"/>
  <c r="B1771" i="3"/>
  <c r="B1773" i="3"/>
  <c r="B1775" i="3"/>
  <c r="B1777" i="3"/>
  <c r="B1779" i="3"/>
  <c r="B1781" i="3"/>
  <c r="B1783" i="3"/>
  <c r="B1785" i="3"/>
  <c r="B1787" i="3"/>
  <c r="B1789" i="3"/>
  <c r="B1791" i="3"/>
  <c r="B1793" i="3"/>
  <c r="B1795" i="3"/>
  <c r="B1797" i="3"/>
  <c r="B1799" i="3"/>
  <c r="B1801" i="3"/>
  <c r="B1803" i="3"/>
  <c r="B1805" i="3"/>
  <c r="B1807" i="3"/>
  <c r="B1809" i="3"/>
  <c r="B1811" i="3"/>
  <c r="B1813" i="3"/>
  <c r="B1815" i="3"/>
  <c r="B1817" i="3"/>
  <c r="B1819" i="3"/>
  <c r="B1821" i="3"/>
  <c r="B1823" i="3"/>
  <c r="B1825" i="3"/>
  <c r="B1827" i="3"/>
  <c r="B1829" i="3"/>
  <c r="B1831" i="3"/>
  <c r="B1833" i="3"/>
  <c r="B1835" i="3"/>
  <c r="B1837" i="3"/>
  <c r="B1839" i="3"/>
  <c r="B1841" i="3"/>
  <c r="B1843" i="3"/>
  <c r="B1845" i="3"/>
  <c r="B1847" i="3"/>
  <c r="B1849" i="3"/>
  <c r="B1851" i="3"/>
  <c r="B1853" i="3"/>
  <c r="B1855" i="3"/>
  <c r="B1857" i="3"/>
  <c r="B1859" i="3"/>
  <c r="B1861" i="3"/>
  <c r="B1863" i="3"/>
  <c r="B1865" i="3"/>
  <c r="B1867" i="3"/>
  <c r="B1869" i="3"/>
  <c r="B1871" i="3"/>
  <c r="B1873" i="3"/>
  <c r="B1875" i="3"/>
  <c r="B1877" i="3"/>
  <c r="B1879" i="3"/>
  <c r="B1881" i="3"/>
  <c r="B1883" i="3"/>
  <c r="B1885" i="3"/>
  <c r="B1887" i="3"/>
  <c r="B1889" i="3"/>
  <c r="B1891" i="3"/>
  <c r="B1893" i="3"/>
  <c r="B1895" i="3"/>
  <c r="B1897" i="3"/>
  <c r="B1899" i="3"/>
  <c r="B1901" i="3"/>
  <c r="B1903" i="3"/>
  <c r="B1905" i="3"/>
  <c r="B1907" i="3"/>
  <c r="B1909" i="3"/>
  <c r="B1911" i="3"/>
  <c r="B1913" i="3"/>
  <c r="B1915" i="3"/>
  <c r="B1917" i="3"/>
  <c r="B1919" i="3"/>
  <c r="B1921" i="3"/>
  <c r="B1923" i="3"/>
  <c r="B1925" i="3"/>
  <c r="B1927" i="3"/>
  <c r="B1929" i="3"/>
  <c r="B1931" i="3"/>
  <c r="B1933" i="3"/>
  <c r="B1935" i="3"/>
  <c r="B1937" i="3"/>
  <c r="B1939" i="3"/>
  <c r="B1941" i="3"/>
  <c r="B1943" i="3"/>
  <c r="B1945" i="3"/>
  <c r="B1947" i="3"/>
  <c r="B1949" i="3"/>
  <c r="B1951" i="3"/>
  <c r="B1953" i="3"/>
  <c r="B1955" i="3"/>
  <c r="B1957" i="3"/>
  <c r="B1959" i="3"/>
  <c r="B1961" i="3"/>
  <c r="B1963" i="3"/>
  <c r="B1965" i="3"/>
  <c r="B1967" i="3"/>
  <c r="B1969" i="3"/>
  <c r="B1971" i="3"/>
  <c r="B1973" i="3"/>
  <c r="B1975" i="3"/>
  <c r="B1977" i="3"/>
  <c r="B1979" i="3"/>
  <c r="B1981" i="3"/>
  <c r="B1983" i="3"/>
  <c r="B1985" i="3"/>
  <c r="B1987" i="3"/>
  <c r="B1989" i="3"/>
  <c r="B1991" i="3"/>
  <c r="B1993" i="3"/>
  <c r="B1995" i="3"/>
  <c r="B1997" i="3"/>
  <c r="B1999" i="3"/>
  <c r="B2001" i="3"/>
  <c r="B2003" i="3"/>
  <c r="B2005" i="3"/>
  <c r="B2007" i="3"/>
  <c r="B2009" i="3"/>
  <c r="B2011" i="3"/>
  <c r="B2013" i="3"/>
  <c r="B2015" i="3"/>
  <c r="B2017" i="3"/>
  <c r="B2019" i="3"/>
  <c r="B2021" i="3"/>
  <c r="B2023" i="3"/>
  <c r="B2025" i="3"/>
  <c r="B2027" i="3"/>
  <c r="B2029" i="3"/>
  <c r="B2031" i="3"/>
  <c r="B2033" i="3"/>
  <c r="B2035" i="3"/>
  <c r="B2037" i="3"/>
  <c r="B2039" i="3"/>
  <c r="B2041" i="3"/>
  <c r="B2043" i="3"/>
  <c r="B2045" i="3"/>
  <c r="B2047" i="3"/>
  <c r="B2049" i="3"/>
  <c r="B2051" i="3"/>
  <c r="B2053" i="3"/>
  <c r="B2055" i="3"/>
  <c r="B2057" i="3"/>
  <c r="B2059" i="3"/>
  <c r="B2061" i="3"/>
  <c r="B2063" i="3"/>
  <c r="B2065" i="3"/>
  <c r="B2067" i="3"/>
  <c r="B2069" i="3"/>
  <c r="B2071" i="3"/>
  <c r="B2073" i="3"/>
  <c r="B2075" i="3"/>
  <c r="B2077" i="3"/>
  <c r="B2079" i="3"/>
  <c r="B2081" i="3"/>
  <c r="B2083" i="3"/>
  <c r="B2085" i="3"/>
  <c r="B2087" i="3"/>
  <c r="B2089" i="3"/>
  <c r="B2091" i="3"/>
  <c r="B2093" i="3"/>
  <c r="B2095" i="3"/>
  <c r="B2097" i="3"/>
  <c r="B2099" i="3"/>
  <c r="B2101" i="3"/>
  <c r="B2103" i="3"/>
  <c r="B2105" i="3"/>
  <c r="B2107" i="3"/>
  <c r="B2109" i="3"/>
  <c r="B2111" i="3"/>
  <c r="B2113" i="3"/>
  <c r="B2115" i="3"/>
  <c r="B2117" i="3"/>
  <c r="B2119" i="3"/>
  <c r="B2121" i="3"/>
  <c r="B2123" i="3"/>
  <c r="B2125" i="3"/>
  <c r="B2127" i="3"/>
  <c r="B2129" i="3"/>
  <c r="B2131" i="3"/>
  <c r="B2133" i="3"/>
  <c r="B2135" i="3"/>
  <c r="B2137" i="3"/>
  <c r="B2139" i="3"/>
  <c r="B2141" i="3"/>
  <c r="B2143" i="3"/>
  <c r="B2145" i="3"/>
  <c r="B2147" i="3"/>
  <c r="B2149" i="3"/>
  <c r="B2151" i="3"/>
  <c r="B2153" i="3"/>
  <c r="B2155" i="3"/>
  <c r="B2157" i="3"/>
  <c r="B2159" i="3"/>
  <c r="B2161" i="3"/>
  <c r="B2163" i="3"/>
  <c r="B2165" i="3"/>
  <c r="B2167" i="3"/>
  <c r="B2169" i="3"/>
  <c r="B2171" i="3"/>
  <c r="B2173" i="3"/>
  <c r="B2175" i="3"/>
  <c r="B2177" i="3"/>
  <c r="B2179" i="3"/>
  <c r="B2181" i="3"/>
  <c r="B2183" i="3"/>
  <c r="B2185" i="3"/>
  <c r="B2187" i="3"/>
  <c r="B2189" i="3"/>
  <c r="B2191" i="3"/>
  <c r="B2193" i="3"/>
  <c r="B2195" i="3"/>
  <c r="B2197" i="3"/>
  <c r="B2199" i="3"/>
  <c r="B2201" i="3"/>
  <c r="B2203" i="3"/>
  <c r="B2205" i="3"/>
  <c r="B2207" i="3"/>
  <c r="B2209" i="3"/>
  <c r="B2211" i="3"/>
  <c r="B2213" i="3"/>
  <c r="B2215" i="3"/>
  <c r="B2217" i="3"/>
  <c r="B2219" i="3"/>
  <c r="B2221" i="3"/>
  <c r="B2223" i="3"/>
  <c r="B2225" i="3"/>
  <c r="B2227" i="3"/>
  <c r="B2229" i="3"/>
  <c r="B2231" i="3"/>
  <c r="B2233" i="3"/>
  <c r="B2235" i="3"/>
  <c r="B2237" i="3"/>
  <c r="B2239" i="3"/>
  <c r="B2241" i="3"/>
  <c r="B2243" i="3"/>
  <c r="B2245" i="3"/>
  <c r="B2247" i="3"/>
  <c r="B2249" i="3"/>
  <c r="B2251" i="3"/>
  <c r="B2253" i="3"/>
  <c r="B2255" i="3"/>
  <c r="B2257" i="3"/>
  <c r="B2259" i="3"/>
  <c r="B2261" i="3"/>
  <c r="B2263" i="3"/>
  <c r="B2265" i="3"/>
  <c r="B2267" i="3"/>
  <c r="B2269" i="3"/>
  <c r="B2271" i="3"/>
  <c r="B2273" i="3"/>
  <c r="B2275" i="3"/>
  <c r="B2277" i="3"/>
  <c r="B2279" i="3"/>
  <c r="B2281" i="3"/>
  <c r="B2283" i="3"/>
  <c r="B2285" i="3"/>
  <c r="B2287" i="3"/>
  <c r="B2289" i="3"/>
  <c r="B2291" i="3"/>
  <c r="B2293" i="3"/>
  <c r="B2295" i="3"/>
  <c r="B2297" i="3"/>
  <c r="B2299" i="3"/>
  <c r="B2301" i="3"/>
  <c r="B2303" i="3"/>
  <c r="B2305" i="3"/>
  <c r="B2307" i="3"/>
  <c r="B2309" i="3"/>
  <c r="B2311" i="3"/>
  <c r="B2313" i="3"/>
  <c r="B2315" i="3"/>
  <c r="B2317" i="3"/>
  <c r="B2319" i="3"/>
  <c r="B2321" i="3"/>
  <c r="B2323" i="3"/>
  <c r="B2325" i="3"/>
  <c r="B2327" i="3"/>
  <c r="B2329" i="3"/>
  <c r="B2331" i="3"/>
  <c r="B2333" i="3"/>
  <c r="B2335" i="3"/>
  <c r="B2337" i="3"/>
  <c r="B2339" i="3"/>
  <c r="B2341" i="3"/>
  <c r="B2343" i="3"/>
  <c r="B2345" i="3"/>
  <c r="B2347" i="3"/>
  <c r="B2349" i="3"/>
  <c r="B2351" i="3"/>
  <c r="B2353" i="3"/>
  <c r="B2355" i="3"/>
  <c r="B2357" i="3"/>
  <c r="B2359" i="3"/>
  <c r="B2361" i="3"/>
  <c r="B2363" i="3"/>
  <c r="B2365" i="3"/>
  <c r="B2367" i="3"/>
  <c r="B2369" i="3"/>
  <c r="B2371" i="3"/>
  <c r="B2373" i="3"/>
  <c r="B2375" i="3"/>
  <c r="B2377" i="3"/>
  <c r="B2379" i="3"/>
  <c r="B2381" i="3"/>
  <c r="B2383" i="3"/>
  <c r="B2385" i="3"/>
  <c r="B2387" i="3"/>
  <c r="B2389" i="3"/>
  <c r="B2391" i="3"/>
  <c r="B2393" i="3"/>
  <c r="B2395" i="3"/>
  <c r="B2397" i="3"/>
  <c r="B2399" i="3"/>
  <c r="B2401" i="3"/>
  <c r="B2403" i="3"/>
  <c r="B2405" i="3"/>
  <c r="B2407" i="3"/>
  <c r="B2409" i="3"/>
  <c r="B2411" i="3"/>
  <c r="B2413" i="3"/>
  <c r="B2415" i="3"/>
  <c r="B2417" i="3"/>
  <c r="B2419" i="3"/>
  <c r="B2421" i="3"/>
  <c r="B2423" i="3"/>
  <c r="B2425" i="3"/>
  <c r="B2427" i="3"/>
  <c r="B2429" i="3"/>
  <c r="B2431" i="3"/>
  <c r="B2433" i="3"/>
  <c r="B2435" i="3"/>
  <c r="B2437" i="3"/>
  <c r="B2439" i="3"/>
  <c r="B2441" i="3"/>
  <c r="B2443" i="3"/>
  <c r="B2445" i="3"/>
  <c r="B2447" i="3"/>
  <c r="B2449" i="3"/>
  <c r="B2451" i="3"/>
  <c r="B2453" i="3"/>
  <c r="B2455" i="3"/>
  <c r="B2457" i="3"/>
  <c r="B2459" i="3"/>
  <c r="B2461" i="3"/>
  <c r="B2463" i="3"/>
  <c r="B2465" i="3"/>
  <c r="B2467" i="3"/>
  <c r="B2469" i="3"/>
  <c r="B2471" i="3"/>
  <c r="B2473" i="3"/>
  <c r="B2475" i="3"/>
  <c r="B2477" i="3"/>
  <c r="B2479" i="3"/>
  <c r="B2481" i="3"/>
  <c r="B2483" i="3"/>
  <c r="B2485" i="3"/>
  <c r="B2487" i="3"/>
  <c r="B2489" i="3"/>
  <c r="B2491" i="3"/>
  <c r="B2493" i="3"/>
  <c r="B2495" i="3"/>
  <c r="B2497" i="3"/>
  <c r="B2499" i="3"/>
  <c r="B2501" i="3"/>
  <c r="B2503" i="3"/>
  <c r="B2505" i="3"/>
  <c r="B2507" i="3"/>
  <c r="B2509" i="3"/>
  <c r="B2511" i="3"/>
  <c r="B2513" i="3"/>
  <c r="B2515" i="3"/>
  <c r="B2517" i="3"/>
  <c r="B2519" i="3"/>
  <c r="B2521" i="3"/>
  <c r="B2523" i="3"/>
  <c r="B2525" i="3"/>
  <c r="B2527" i="3"/>
  <c r="B2529" i="3"/>
  <c r="B2531" i="3"/>
  <c r="B2533" i="3"/>
  <c r="B2535" i="3"/>
  <c r="B2530" i="3"/>
  <c r="B2534" i="3"/>
  <c r="B2537" i="3"/>
  <c r="B2539" i="3"/>
  <c r="B2541" i="3"/>
  <c r="B2543" i="3"/>
  <c r="B2545" i="3"/>
  <c r="B2547" i="3"/>
  <c r="B2549" i="3"/>
  <c r="B2551" i="3"/>
  <c r="B2553" i="3"/>
  <c r="B2555" i="3"/>
  <c r="B2557" i="3"/>
  <c r="B2559" i="3"/>
  <c r="B2561" i="3"/>
  <c r="B2563" i="3"/>
  <c r="B2565" i="3"/>
  <c r="B2567" i="3"/>
  <c r="B2569" i="3"/>
  <c r="B2571" i="3"/>
  <c r="B2573" i="3"/>
  <c r="B2575" i="3"/>
  <c r="B2577" i="3"/>
  <c r="B2579" i="3"/>
  <c r="B2581" i="3"/>
  <c r="B2583" i="3"/>
  <c r="B2585" i="3"/>
  <c r="B2587" i="3"/>
  <c r="B2589" i="3"/>
  <c r="B2591" i="3"/>
  <c r="B2593" i="3"/>
  <c r="B2595" i="3"/>
  <c r="B2597" i="3"/>
  <c r="B2599" i="3"/>
  <c r="B2601" i="3"/>
  <c r="B2603" i="3"/>
  <c r="B2605" i="3"/>
  <c r="B2607" i="3"/>
  <c r="B2609" i="3"/>
  <c r="B2611" i="3"/>
  <c r="B2613" i="3"/>
  <c r="B2615" i="3"/>
  <c r="B2617" i="3"/>
  <c r="B2619" i="3"/>
  <c r="B2621" i="3"/>
  <c r="B2623" i="3"/>
  <c r="B2625" i="3"/>
  <c r="B2627" i="3"/>
  <c r="B2629" i="3"/>
  <c r="B2631" i="3"/>
  <c r="B2633" i="3"/>
  <c r="B2635" i="3"/>
  <c r="B2637" i="3"/>
  <c r="B2639" i="3"/>
  <c r="B2641" i="3"/>
  <c r="B2643" i="3"/>
  <c r="B2645" i="3"/>
  <c r="B2647" i="3"/>
  <c r="B2649" i="3"/>
  <c r="B2651" i="3"/>
  <c r="B2653" i="3"/>
  <c r="B2655" i="3"/>
  <c r="B2657" i="3"/>
  <c r="B2659" i="3"/>
  <c r="B2661" i="3"/>
  <c r="B2663" i="3"/>
  <c r="B2665" i="3"/>
  <c r="B2667" i="3"/>
  <c r="B2669" i="3"/>
  <c r="B2671" i="3"/>
  <c r="B2673" i="3"/>
  <c r="B2675" i="3"/>
  <c r="B2677" i="3"/>
  <c r="B2679" i="3"/>
  <c r="B2681" i="3"/>
  <c r="B2683" i="3"/>
  <c r="B2685" i="3"/>
  <c r="B2687" i="3"/>
  <c r="B2689" i="3"/>
  <c r="B2691" i="3"/>
  <c r="B2693" i="3"/>
  <c r="B2695" i="3"/>
  <c r="B2697" i="3"/>
  <c r="B2699" i="3"/>
  <c r="B2701" i="3"/>
  <c r="B2703" i="3"/>
  <c r="B2705" i="3"/>
  <c r="B2707" i="3"/>
  <c r="B2709" i="3"/>
  <c r="B2711" i="3"/>
  <c r="B2713" i="3"/>
  <c r="B2715" i="3"/>
  <c r="B2717" i="3"/>
  <c r="B2719" i="3"/>
  <c r="B2721" i="3"/>
  <c r="B2723" i="3"/>
  <c r="B2725" i="3"/>
  <c r="B2727" i="3"/>
  <c r="B2729" i="3"/>
  <c r="B2731" i="3"/>
  <c r="B2733" i="3"/>
  <c r="B2735" i="3"/>
  <c r="B2737" i="3"/>
  <c r="B2739" i="3"/>
  <c r="B2741" i="3"/>
  <c r="B2743" i="3"/>
  <c r="B2745" i="3"/>
  <c r="B2747" i="3"/>
  <c r="B2749" i="3"/>
  <c r="B2751" i="3"/>
  <c r="B2753" i="3"/>
  <c r="B2755" i="3"/>
  <c r="B2757" i="3"/>
  <c r="B2759" i="3"/>
  <c r="B2761" i="3"/>
  <c r="B2763" i="3"/>
  <c r="B2765" i="3"/>
  <c r="B2767" i="3"/>
  <c r="B2769" i="3"/>
  <c r="B2771" i="3"/>
  <c r="B2773" i="3"/>
  <c r="B2775" i="3"/>
  <c r="B2777" i="3"/>
  <c r="B2779" i="3"/>
  <c r="B2781" i="3"/>
  <c r="B2783" i="3"/>
  <c r="B2785" i="3"/>
  <c r="B2787" i="3"/>
  <c r="B2789" i="3"/>
  <c r="B2791" i="3"/>
  <c r="B2793" i="3"/>
  <c r="B2795" i="3"/>
  <c r="B2797" i="3"/>
  <c r="B2799" i="3"/>
  <c r="B2801" i="3"/>
  <c r="B2803" i="3"/>
  <c r="B2805" i="3"/>
  <c r="B2807" i="3"/>
  <c r="B2809" i="3"/>
  <c r="B2811" i="3"/>
  <c r="B2813" i="3"/>
  <c r="B2815" i="3"/>
  <c r="B2817" i="3"/>
  <c r="B2819" i="3"/>
  <c r="B2821" i="3"/>
  <c r="B2823" i="3"/>
  <c r="B2825" i="3"/>
  <c r="B2827" i="3"/>
  <c r="B2829" i="3"/>
  <c r="B2831" i="3"/>
  <c r="B2833" i="3"/>
  <c r="B2835" i="3"/>
  <c r="B2837" i="3"/>
  <c r="B2839" i="3"/>
  <c r="B2841" i="3"/>
  <c r="B2843" i="3"/>
  <c r="B2845" i="3"/>
  <c r="B2847" i="3"/>
  <c r="B2849" i="3"/>
  <c r="B2851" i="3"/>
  <c r="B2853" i="3"/>
  <c r="B2855" i="3"/>
  <c r="B2857" i="3"/>
  <c r="B2859" i="3"/>
  <c r="B2861" i="3"/>
  <c r="B2863" i="3"/>
  <c r="B2865" i="3"/>
  <c r="B2867" i="3"/>
  <c r="B2869" i="3"/>
  <c r="B2871" i="3"/>
  <c r="B2873" i="3"/>
  <c r="B2875" i="3"/>
  <c r="B2877" i="3"/>
  <c r="B2879" i="3"/>
  <c r="B2881" i="3"/>
  <c r="B2883" i="3"/>
  <c r="B2885" i="3"/>
  <c r="B2887" i="3"/>
  <c r="B2889" i="3"/>
  <c r="B2891" i="3"/>
  <c r="B2893" i="3"/>
  <c r="B2895" i="3"/>
  <c r="B2897" i="3"/>
  <c r="B2899" i="3"/>
  <c r="B2901" i="3"/>
  <c r="B2903" i="3"/>
  <c r="B2905" i="3"/>
  <c r="B2907" i="3"/>
  <c r="B2909" i="3"/>
  <c r="B2911" i="3"/>
  <c r="B2913" i="3"/>
  <c r="B2915" i="3"/>
  <c r="B2917" i="3"/>
  <c r="B2919" i="3"/>
  <c r="B2921" i="3"/>
  <c r="B2923" i="3"/>
  <c r="B2925" i="3"/>
  <c r="B2927" i="3"/>
  <c r="B2929" i="3"/>
  <c r="B2931" i="3"/>
  <c r="B2933" i="3"/>
  <c r="B2935" i="3"/>
  <c r="B2937" i="3"/>
  <c r="B2939" i="3"/>
  <c r="B2941" i="3"/>
  <c r="B2943" i="3"/>
  <c r="B2945" i="3"/>
  <c r="B2947" i="3"/>
  <c r="B2949" i="3"/>
  <c r="B2951" i="3"/>
  <c r="B2953" i="3"/>
  <c r="B2955" i="3"/>
  <c r="B2957" i="3"/>
  <c r="B2959" i="3"/>
  <c r="B2961" i="3"/>
  <c r="B2963" i="3"/>
  <c r="B2965" i="3"/>
  <c r="B2967" i="3"/>
  <c r="B2969" i="3"/>
  <c r="B2971" i="3"/>
  <c r="B2973" i="3"/>
  <c r="B2975" i="3"/>
  <c r="B2977" i="3"/>
  <c r="B2979" i="3"/>
  <c r="B2981" i="3"/>
  <c r="B2983" i="3"/>
  <c r="B2985" i="3"/>
  <c r="B2987" i="3"/>
  <c r="B2989" i="3"/>
  <c r="B2991" i="3"/>
  <c r="B2993" i="3"/>
  <c r="B2995" i="3"/>
  <c r="B2997" i="3"/>
  <c r="B2999" i="3"/>
  <c r="B3001" i="3"/>
  <c r="B3003" i="3"/>
  <c r="B3005" i="3"/>
  <c r="B3007" i="3"/>
  <c r="B3009" i="3"/>
  <c r="B3011" i="3"/>
  <c r="B3013" i="3"/>
  <c r="B3015" i="3"/>
  <c r="B3017" i="3"/>
  <c r="B3019" i="3"/>
  <c r="B3021" i="3"/>
  <c r="B3023" i="3"/>
  <c r="B3025" i="3"/>
  <c r="B3027" i="3"/>
  <c r="B3029" i="3"/>
  <c r="B3031" i="3"/>
  <c r="B3033" i="3"/>
  <c r="B3035" i="3"/>
  <c r="B3037" i="3"/>
  <c r="B3039" i="3"/>
  <c r="B3041" i="3"/>
  <c r="B3043" i="3"/>
  <c r="B3045" i="3"/>
  <c r="B3047" i="3"/>
  <c r="B3049" i="3"/>
  <c r="B3051" i="3"/>
  <c r="B3053" i="3"/>
  <c r="B3055" i="3"/>
  <c r="B3057" i="3"/>
  <c r="B3059" i="3"/>
  <c r="B3061" i="3"/>
  <c r="B3063" i="3"/>
  <c r="B3065" i="3"/>
  <c r="B3067" i="3"/>
  <c r="B3069" i="3"/>
  <c r="B3071" i="3"/>
  <c r="B3073" i="3"/>
  <c r="B3075" i="3"/>
  <c r="B3077" i="3"/>
  <c r="B3079" i="3"/>
  <c r="B3081" i="3"/>
  <c r="B3083" i="3"/>
  <c r="B3085" i="3"/>
  <c r="B3087" i="3"/>
  <c r="B3089" i="3"/>
  <c r="B3091" i="3"/>
  <c r="B3093" i="3"/>
  <c r="B3095" i="3"/>
  <c r="B3097" i="3"/>
  <c r="B3099" i="3"/>
  <c r="B3101" i="3"/>
  <c r="B3103" i="3"/>
  <c r="B3105" i="3"/>
  <c r="B3107" i="3"/>
  <c r="B3109" i="3"/>
  <c r="B3111" i="3"/>
  <c r="B3113" i="3"/>
  <c r="B3115" i="3"/>
  <c r="B3117" i="3"/>
  <c r="B3119" i="3"/>
  <c r="B3121" i="3"/>
  <c r="B3123" i="3"/>
  <c r="B3125" i="3"/>
  <c r="B3127" i="3"/>
  <c r="B3129" i="3"/>
  <c r="B3131" i="3"/>
  <c r="B3133" i="3"/>
  <c r="B3135" i="3"/>
  <c r="B3137" i="3"/>
  <c r="B3139" i="3"/>
  <c r="B3141" i="3"/>
  <c r="B3143" i="3"/>
  <c r="B3145" i="3"/>
  <c r="B3147" i="3"/>
  <c r="B3149" i="3"/>
  <c r="B3151" i="3"/>
  <c r="B3153" i="3"/>
  <c r="B3155" i="3"/>
  <c r="B3157" i="3"/>
  <c r="B3159" i="3"/>
  <c r="B3161" i="3"/>
  <c r="B3163" i="3"/>
  <c r="B3165" i="3"/>
  <c r="B3167" i="3"/>
  <c r="B3169" i="3"/>
  <c r="B3171" i="3"/>
  <c r="B3173" i="3"/>
  <c r="B3175" i="3"/>
  <c r="B3177" i="3"/>
  <c r="B3179" i="3"/>
  <c r="B3181" i="3"/>
  <c r="B3183" i="3"/>
  <c r="B3185" i="3"/>
  <c r="B3187" i="3"/>
  <c r="B3189" i="3"/>
  <c r="B3191" i="3"/>
  <c r="B3193" i="3"/>
  <c r="B3195" i="3"/>
  <c r="B3197" i="3"/>
  <c r="B3199" i="3"/>
  <c r="B3201" i="3"/>
  <c r="B3203" i="3"/>
  <c r="B3205" i="3"/>
  <c r="B3207" i="3"/>
  <c r="B3209" i="3"/>
  <c r="B3211" i="3"/>
  <c r="B3213" i="3"/>
  <c r="B3215" i="3"/>
  <c r="B3217" i="3"/>
  <c r="B3219" i="3"/>
  <c r="B3221" i="3"/>
  <c r="B3223" i="3"/>
  <c r="B3225" i="3"/>
  <c r="B3227" i="3"/>
  <c r="B3229" i="3"/>
  <c r="B3231" i="3"/>
  <c r="B3233" i="3"/>
  <c r="B3235" i="3"/>
  <c r="B3237" i="3"/>
  <c r="B3239" i="3"/>
  <c r="B3241" i="3"/>
  <c r="B3243" i="3"/>
  <c r="B3245" i="3"/>
  <c r="B3247" i="3"/>
  <c r="B3249" i="3"/>
  <c r="B3251" i="3"/>
  <c r="B3253" i="3"/>
  <c r="B3255" i="3"/>
  <c r="B3257" i="3"/>
  <c r="B3259" i="3"/>
  <c r="B3261" i="3"/>
  <c r="B3263" i="3"/>
  <c r="B3265" i="3"/>
  <c r="B3267" i="3"/>
  <c r="B3269" i="3"/>
  <c r="B3271" i="3"/>
  <c r="B3273" i="3"/>
  <c r="B3275" i="3"/>
  <c r="B3277" i="3"/>
  <c r="B3279" i="3"/>
  <c r="B3281" i="3"/>
  <c r="B3283" i="3"/>
  <c r="B3285" i="3"/>
  <c r="B3287" i="3"/>
  <c r="B3289" i="3"/>
  <c r="B3291" i="3"/>
  <c r="B3293" i="3"/>
  <c r="B3295" i="3"/>
  <c r="B3297" i="3"/>
  <c r="B3299" i="3"/>
  <c r="B3301" i="3"/>
  <c r="B3303" i="3"/>
  <c r="B3305" i="3"/>
  <c r="B3307" i="3"/>
  <c r="B3309" i="3"/>
  <c r="B3311" i="3"/>
  <c r="B3313" i="3"/>
  <c r="B3315" i="3"/>
  <c r="B3317" i="3"/>
  <c r="B3319" i="3"/>
  <c r="B3321" i="3"/>
  <c r="B3323" i="3"/>
  <c r="B3325" i="3"/>
  <c r="B3327" i="3"/>
  <c r="B3329" i="3"/>
  <c r="B3331" i="3"/>
  <c r="B3333" i="3"/>
  <c r="B3335" i="3"/>
  <c r="B3337" i="3"/>
  <c r="B3339" i="3"/>
  <c r="B3341" i="3"/>
  <c r="B3343" i="3"/>
  <c r="B3345" i="3"/>
  <c r="B3347" i="3"/>
  <c r="B3349" i="3"/>
  <c r="B3351" i="3"/>
  <c r="B3353" i="3"/>
  <c r="B3355" i="3"/>
  <c r="B3357" i="3"/>
  <c r="B3359" i="3"/>
  <c r="B3361" i="3"/>
  <c r="B3363" i="3"/>
  <c r="B3365" i="3"/>
  <c r="B3367" i="3"/>
  <c r="B3369" i="3"/>
  <c r="B3371" i="3"/>
  <c r="B3373" i="3"/>
  <c r="B3375" i="3"/>
  <c r="B3377" i="3"/>
  <c r="B3379" i="3"/>
  <c r="B3381" i="3"/>
  <c r="B3383" i="3"/>
  <c r="B3385" i="3"/>
  <c r="B3387" i="3"/>
  <c r="B3389" i="3"/>
  <c r="B3391" i="3"/>
  <c r="B3393" i="3"/>
  <c r="B3395" i="3"/>
  <c r="B3397" i="3"/>
  <c r="B3399" i="3"/>
  <c r="B3401" i="3"/>
  <c r="B3403" i="3"/>
  <c r="B3405" i="3"/>
  <c r="B3407" i="3"/>
  <c r="B3409" i="3"/>
  <c r="B3411" i="3"/>
  <c r="B3413" i="3"/>
  <c r="B3415" i="3"/>
  <c r="B3417" i="3"/>
  <c r="B3419" i="3"/>
  <c r="B3421" i="3"/>
  <c r="B3423" i="3"/>
  <c r="B3425" i="3"/>
  <c r="B3427" i="3"/>
  <c r="B3429" i="3"/>
  <c r="B3431" i="3"/>
  <c r="B3433" i="3"/>
  <c r="B3435" i="3"/>
  <c r="B3437" i="3"/>
  <c r="B3439" i="3"/>
  <c r="B3441" i="3"/>
  <c r="B2532" i="3"/>
  <c r="B2536" i="3"/>
  <c r="B2538" i="3"/>
  <c r="B2540" i="3"/>
  <c r="B2542" i="3"/>
  <c r="B2544" i="3"/>
  <c r="B2546" i="3"/>
  <c r="B2548" i="3"/>
  <c r="B2550" i="3"/>
  <c r="B2552" i="3"/>
  <c r="B2554" i="3"/>
  <c r="B2556" i="3"/>
  <c r="B2558" i="3"/>
  <c r="B2560" i="3"/>
  <c r="B2562" i="3"/>
  <c r="B2564" i="3"/>
  <c r="B2566" i="3"/>
  <c r="B2568" i="3"/>
  <c r="B2570" i="3"/>
  <c r="B2572" i="3"/>
  <c r="B2574" i="3"/>
  <c r="B2576" i="3"/>
  <c r="B2578" i="3"/>
  <c r="B2580" i="3"/>
  <c r="B2582" i="3"/>
  <c r="B2584" i="3"/>
  <c r="B2586" i="3"/>
  <c r="B2588" i="3"/>
  <c r="B2590" i="3"/>
  <c r="B2592" i="3"/>
  <c r="B2594" i="3"/>
  <c r="B2596" i="3"/>
  <c r="B2598" i="3"/>
  <c r="B2600" i="3"/>
  <c r="B2602" i="3"/>
  <c r="B2604" i="3"/>
  <c r="B2606" i="3"/>
  <c r="B2608" i="3"/>
  <c r="B2610" i="3"/>
  <c r="B2612" i="3"/>
  <c r="B2614" i="3"/>
  <c r="B2616" i="3"/>
  <c r="B2618" i="3"/>
  <c r="B2620" i="3"/>
  <c r="B2622" i="3"/>
  <c r="B2624" i="3"/>
  <c r="B2626" i="3"/>
  <c r="B2628" i="3"/>
  <c r="B2630" i="3"/>
  <c r="B2632" i="3"/>
  <c r="B2634" i="3"/>
  <c r="B2636" i="3"/>
  <c r="B2638" i="3"/>
  <c r="B2640" i="3"/>
  <c r="B2642" i="3"/>
  <c r="B2644" i="3"/>
  <c r="B2646" i="3"/>
  <c r="B2648" i="3"/>
  <c r="B2650" i="3"/>
  <c r="B2652" i="3"/>
  <c r="B2654" i="3"/>
  <c r="B2656" i="3"/>
  <c r="B2658" i="3"/>
  <c r="B2660" i="3"/>
  <c r="B2662" i="3"/>
  <c r="B2664" i="3"/>
  <c r="B2666" i="3"/>
  <c r="B2668" i="3"/>
  <c r="B2670" i="3"/>
  <c r="B2672" i="3"/>
  <c r="B2674" i="3"/>
  <c r="B2676" i="3"/>
  <c r="B2678" i="3"/>
  <c r="B2680" i="3"/>
  <c r="B2682" i="3"/>
  <c r="B2684" i="3"/>
  <c r="B2686" i="3"/>
  <c r="B2688" i="3"/>
  <c r="B2690" i="3"/>
  <c r="B2692" i="3"/>
  <c r="B2694" i="3"/>
  <c r="B2696" i="3"/>
  <c r="B2698" i="3"/>
  <c r="B2700" i="3"/>
  <c r="B2702" i="3"/>
  <c r="B2704" i="3"/>
  <c r="B2706" i="3"/>
  <c r="B2708" i="3"/>
  <c r="B2710" i="3"/>
  <c r="B2712" i="3"/>
  <c r="B2714" i="3"/>
  <c r="B2716" i="3"/>
  <c r="B2718" i="3"/>
  <c r="B2720" i="3"/>
  <c r="B2722" i="3"/>
  <c r="B2724" i="3"/>
  <c r="B2726" i="3"/>
  <c r="B2728" i="3"/>
  <c r="B2730" i="3"/>
  <c r="B2732" i="3"/>
  <c r="B2734" i="3"/>
  <c r="B2736" i="3"/>
  <c r="B2738" i="3"/>
  <c r="B2740" i="3"/>
  <c r="B2742" i="3"/>
  <c r="B2744" i="3"/>
  <c r="B2746" i="3"/>
  <c r="B2748" i="3"/>
  <c r="B2750" i="3"/>
  <c r="B2752" i="3"/>
  <c r="B2754" i="3"/>
  <c r="B2756" i="3"/>
  <c r="B2758" i="3"/>
  <c r="B2760" i="3"/>
  <c r="B2762" i="3"/>
  <c r="B2764" i="3"/>
  <c r="B2766" i="3"/>
  <c r="B2768" i="3"/>
  <c r="B2770" i="3"/>
  <c r="B2772" i="3"/>
  <c r="B2774" i="3"/>
  <c r="B2776" i="3"/>
  <c r="B2778" i="3"/>
  <c r="B2780" i="3"/>
  <c r="B2782" i="3"/>
  <c r="B2784" i="3"/>
  <c r="B2786" i="3"/>
  <c r="B2788" i="3"/>
  <c r="B2790" i="3"/>
  <c r="B2792" i="3"/>
  <c r="B2794" i="3"/>
  <c r="B2796" i="3"/>
  <c r="B2798" i="3"/>
  <c r="B2800" i="3"/>
  <c r="B2802" i="3"/>
  <c r="B2804" i="3"/>
  <c r="B2806" i="3"/>
  <c r="B2808" i="3"/>
  <c r="B2810" i="3"/>
  <c r="B2812" i="3"/>
  <c r="B2814" i="3"/>
  <c r="B2816" i="3"/>
  <c r="B2818" i="3"/>
  <c r="B2820" i="3"/>
  <c r="B2822" i="3"/>
  <c r="B2824" i="3"/>
  <c r="B2826" i="3"/>
  <c r="B2828" i="3"/>
  <c r="B2830" i="3"/>
  <c r="B2832" i="3"/>
  <c r="B2834" i="3"/>
  <c r="B2836" i="3"/>
  <c r="B2838" i="3"/>
  <c r="B2840" i="3"/>
  <c r="B2842" i="3"/>
  <c r="B2844" i="3"/>
  <c r="B2846" i="3"/>
  <c r="B2848" i="3"/>
  <c r="B2850" i="3"/>
  <c r="B2852" i="3"/>
  <c r="B2854" i="3"/>
  <c r="B2856" i="3"/>
  <c r="B2858" i="3"/>
  <c r="B2860" i="3"/>
  <c r="B2862" i="3"/>
  <c r="B2864" i="3"/>
  <c r="B2866" i="3"/>
  <c r="B2868" i="3"/>
  <c r="B2870" i="3"/>
  <c r="B2872" i="3"/>
  <c r="B2874" i="3"/>
  <c r="B2876" i="3"/>
  <c r="B2878" i="3"/>
  <c r="B2880" i="3"/>
  <c r="B2882" i="3"/>
  <c r="B2884" i="3"/>
  <c r="B2886" i="3"/>
  <c r="B2888" i="3"/>
  <c r="B2890" i="3"/>
  <c r="B2892" i="3"/>
  <c r="B2894" i="3"/>
  <c r="B2896" i="3"/>
  <c r="B2898" i="3"/>
  <c r="B2900" i="3"/>
  <c r="B2902" i="3"/>
  <c r="B2904" i="3"/>
  <c r="B2906" i="3"/>
  <c r="B2908" i="3"/>
  <c r="B2910" i="3"/>
  <c r="B2912" i="3"/>
  <c r="B2914" i="3"/>
  <c r="B2916" i="3"/>
  <c r="B2918" i="3"/>
  <c r="B2920" i="3"/>
  <c r="B2922" i="3"/>
  <c r="B2924" i="3"/>
  <c r="B2926" i="3"/>
  <c r="B2928" i="3"/>
  <c r="B2930" i="3"/>
  <c r="B2932" i="3"/>
  <c r="B2934" i="3"/>
  <c r="B2936" i="3"/>
  <c r="B2938" i="3"/>
  <c r="B2940" i="3"/>
  <c r="B2942" i="3"/>
  <c r="B2944" i="3"/>
  <c r="B2946" i="3"/>
  <c r="B2948" i="3"/>
  <c r="B2950" i="3"/>
  <c r="B2952" i="3"/>
  <c r="B2954" i="3"/>
  <c r="B2956" i="3"/>
  <c r="B2958" i="3"/>
  <c r="B2960" i="3"/>
  <c r="B2962" i="3"/>
  <c r="B2964" i="3"/>
  <c r="B2966" i="3"/>
  <c r="B2968" i="3"/>
  <c r="B2970" i="3"/>
  <c r="B2972" i="3"/>
  <c r="B2974" i="3"/>
  <c r="B2976" i="3"/>
  <c r="B2978" i="3"/>
  <c r="B2980" i="3"/>
  <c r="B2982" i="3"/>
  <c r="B2984" i="3"/>
  <c r="B2986" i="3"/>
  <c r="B2988" i="3"/>
  <c r="B2990" i="3"/>
  <c r="B2992" i="3"/>
  <c r="B2994" i="3"/>
  <c r="B2996" i="3"/>
  <c r="B2998" i="3"/>
  <c r="B3000" i="3"/>
  <c r="B3002" i="3"/>
  <c r="B3004" i="3"/>
  <c r="B3006" i="3"/>
  <c r="B3008" i="3"/>
  <c r="B3010" i="3"/>
  <c r="B3012" i="3"/>
  <c r="B3014" i="3"/>
  <c r="B3016" i="3"/>
  <c r="B3018" i="3"/>
  <c r="B3020" i="3"/>
  <c r="B3022" i="3"/>
  <c r="B3024" i="3"/>
  <c r="B3026" i="3"/>
  <c r="B3028" i="3"/>
  <c r="B3030" i="3"/>
  <c r="B3032" i="3"/>
  <c r="B3034" i="3"/>
  <c r="B3036" i="3"/>
  <c r="B3038" i="3"/>
  <c r="B3040" i="3"/>
  <c r="B3042" i="3"/>
  <c r="B3044" i="3"/>
  <c r="B3046" i="3"/>
  <c r="B3048" i="3"/>
  <c r="B3050" i="3"/>
  <c r="B3052" i="3"/>
  <c r="B3054" i="3"/>
  <c r="B3056" i="3"/>
  <c r="B3058" i="3"/>
  <c r="B3060" i="3"/>
  <c r="B3062" i="3"/>
  <c r="B3064" i="3"/>
  <c r="B3066" i="3"/>
  <c r="B3068" i="3"/>
  <c r="B3070" i="3"/>
  <c r="B3072" i="3"/>
  <c r="B3074" i="3"/>
  <c r="B3076" i="3"/>
  <c r="B3078" i="3"/>
  <c r="B3080" i="3"/>
  <c r="B3082" i="3"/>
  <c r="B3084" i="3"/>
  <c r="B3086" i="3"/>
  <c r="B3088" i="3"/>
  <c r="B3090" i="3"/>
  <c r="B3092" i="3"/>
  <c r="B3094" i="3"/>
  <c r="B3096" i="3"/>
  <c r="B3098" i="3"/>
  <c r="B3100" i="3"/>
  <c r="B3102" i="3"/>
  <c r="B3104" i="3"/>
  <c r="B3106" i="3"/>
  <c r="B3108" i="3"/>
  <c r="B3110" i="3"/>
  <c r="B3112" i="3"/>
  <c r="B3114" i="3"/>
  <c r="B3116" i="3"/>
  <c r="B3118" i="3"/>
  <c r="B3120" i="3"/>
  <c r="B3122" i="3"/>
  <c r="B3124" i="3"/>
  <c r="B3126" i="3"/>
  <c r="B3128" i="3"/>
  <c r="B3130" i="3"/>
  <c r="B3132" i="3"/>
  <c r="B3134" i="3"/>
  <c r="B3136" i="3"/>
  <c r="B3138" i="3"/>
  <c r="B3140" i="3"/>
  <c r="B3142" i="3"/>
  <c r="B3144" i="3"/>
  <c r="B3146" i="3"/>
  <c r="B3148" i="3"/>
  <c r="B3150" i="3"/>
  <c r="B3152" i="3"/>
  <c r="B3154" i="3"/>
  <c r="B3156" i="3"/>
  <c r="B3158" i="3"/>
  <c r="B3160" i="3"/>
  <c r="B3162" i="3"/>
  <c r="B3164" i="3"/>
  <c r="B3166" i="3"/>
  <c r="B3168" i="3"/>
  <c r="B3170" i="3"/>
  <c r="B3172" i="3"/>
  <c r="B3174" i="3"/>
  <c r="B3176" i="3"/>
  <c r="B3178" i="3"/>
  <c r="B3180" i="3"/>
  <c r="B3182" i="3"/>
  <c r="B3184" i="3"/>
  <c r="B3186" i="3"/>
  <c r="B3188" i="3"/>
  <c r="B3190" i="3"/>
  <c r="B3192" i="3"/>
  <c r="B3194" i="3"/>
  <c r="B3196" i="3"/>
  <c r="B3198" i="3"/>
  <c r="B3200" i="3"/>
  <c r="B3202" i="3"/>
  <c r="B3204" i="3"/>
  <c r="B3206" i="3"/>
  <c r="B3208" i="3"/>
  <c r="B3210" i="3"/>
  <c r="B3212" i="3"/>
  <c r="B3214" i="3"/>
  <c r="B3216" i="3"/>
  <c r="B3218" i="3"/>
  <c r="B3220" i="3"/>
  <c r="B3222" i="3"/>
  <c r="B3224" i="3"/>
  <c r="B3226" i="3"/>
  <c r="B3228" i="3"/>
  <c r="B3230" i="3"/>
  <c r="B3232" i="3"/>
  <c r="B3234" i="3"/>
  <c r="B3236" i="3"/>
  <c r="B3238" i="3"/>
  <c r="B3240" i="3"/>
  <c r="B3242" i="3"/>
  <c r="B3244" i="3"/>
  <c r="B3246" i="3"/>
  <c r="B3248" i="3"/>
  <c r="B3250" i="3"/>
  <c r="B3252" i="3"/>
  <c r="B3254" i="3"/>
  <c r="B3256" i="3"/>
  <c r="B3258" i="3"/>
  <c r="B3260" i="3"/>
  <c r="B3262" i="3"/>
  <c r="B3264" i="3"/>
  <c r="B3266" i="3"/>
  <c r="B3268" i="3"/>
  <c r="B3270" i="3"/>
  <c r="B3272" i="3"/>
  <c r="B3274" i="3"/>
  <c r="B3276" i="3"/>
  <c r="B3278" i="3"/>
  <c r="B3280" i="3"/>
  <c r="B3282" i="3"/>
  <c r="B3284" i="3"/>
  <c r="B3286" i="3"/>
  <c r="B3288" i="3"/>
  <c r="B3290" i="3"/>
  <c r="B3292" i="3"/>
  <c r="B3294" i="3"/>
  <c r="B3296" i="3"/>
  <c r="B3298" i="3"/>
  <c r="B3300" i="3"/>
  <c r="B3302" i="3"/>
  <c r="B3304" i="3"/>
  <c r="B3306" i="3"/>
  <c r="B3308" i="3"/>
  <c r="B3310" i="3"/>
  <c r="B3312" i="3"/>
  <c r="B3314" i="3"/>
  <c r="B3316" i="3"/>
  <c r="B3318" i="3"/>
  <c r="B3320" i="3"/>
  <c r="B3322" i="3"/>
  <c r="B3324" i="3"/>
  <c r="B3326" i="3"/>
  <c r="B3328" i="3"/>
  <c r="B3330" i="3"/>
  <c r="B3332" i="3"/>
  <c r="B3334" i="3"/>
  <c r="B3336" i="3"/>
  <c r="B3338" i="3"/>
  <c r="B3340" i="3"/>
  <c r="B3342" i="3"/>
  <c r="B3344" i="3"/>
  <c r="B3346" i="3"/>
  <c r="B3348" i="3"/>
  <c r="B3350" i="3"/>
  <c r="B3352" i="3"/>
  <c r="B3354" i="3"/>
  <c r="B3356" i="3"/>
  <c r="B3358" i="3"/>
  <c r="B3360" i="3"/>
  <c r="B3362" i="3"/>
  <c r="B3364" i="3"/>
  <c r="B3366" i="3"/>
  <c r="B3368" i="3"/>
  <c r="B3370" i="3"/>
  <c r="B3372" i="3"/>
  <c r="B3374" i="3"/>
  <c r="B3376" i="3"/>
  <c r="B3378" i="3"/>
  <c r="B3380" i="3"/>
  <c r="B3382" i="3"/>
  <c r="B3384" i="3"/>
  <c r="B3386" i="3"/>
  <c r="B3388" i="3"/>
  <c r="B3390" i="3"/>
  <c r="B3392" i="3"/>
  <c r="B3394" i="3"/>
  <c r="B3396" i="3"/>
  <c r="B3398" i="3"/>
  <c r="B3400" i="3"/>
  <c r="B3402" i="3"/>
  <c r="B3404" i="3"/>
  <c r="B3406" i="3"/>
  <c r="B3408" i="3"/>
  <c r="B3410" i="3"/>
  <c r="B3412" i="3"/>
  <c r="B3414" i="3"/>
  <c r="B3416" i="3"/>
  <c r="B3418" i="3"/>
  <c r="B3420" i="3"/>
  <c r="B3422" i="3"/>
  <c r="B3424" i="3"/>
  <c r="B3426" i="3"/>
  <c r="B3428" i="3"/>
  <c r="B3430" i="3"/>
  <c r="B3432" i="3"/>
  <c r="B3434" i="3"/>
  <c r="B3436" i="3"/>
  <c r="B3438" i="3"/>
  <c r="B3440" i="3"/>
  <c r="B3442" i="3"/>
  <c r="B3444" i="3"/>
  <c r="B3446" i="3"/>
  <c r="B3448" i="3"/>
  <c r="B3450" i="3"/>
  <c r="B3452" i="3"/>
  <c r="B3454" i="3"/>
  <c r="B3456" i="3"/>
  <c r="B3458" i="3"/>
  <c r="B3460" i="3"/>
  <c r="B3462" i="3"/>
  <c r="B3464" i="3"/>
  <c r="B3466" i="3"/>
  <c r="B3468" i="3"/>
  <c r="B3470" i="3"/>
  <c r="B3472" i="3"/>
  <c r="B3474" i="3"/>
  <c r="B3476" i="3"/>
  <c r="B3478" i="3"/>
  <c r="B3480" i="3"/>
  <c r="B3482" i="3"/>
  <c r="B3484" i="3"/>
  <c r="B3486" i="3"/>
  <c r="B3488" i="3"/>
  <c r="B3490" i="3"/>
  <c r="B3492" i="3"/>
  <c r="B3494" i="3"/>
  <c r="B3496" i="3"/>
  <c r="B3498" i="3"/>
  <c r="B3500" i="3"/>
  <c r="B3502" i="3"/>
  <c r="B3504" i="3"/>
  <c r="B3506" i="3"/>
  <c r="B3508" i="3"/>
  <c r="B3510" i="3"/>
  <c r="B3512" i="3"/>
  <c r="B3514" i="3"/>
  <c r="B3516" i="3"/>
  <c r="B3518" i="3"/>
  <c r="B3520" i="3"/>
  <c r="B3522" i="3"/>
  <c r="B3524" i="3"/>
  <c r="B3526" i="3"/>
  <c r="B3528" i="3"/>
  <c r="B3530" i="3"/>
  <c r="B3532" i="3"/>
  <c r="B3534" i="3"/>
  <c r="B3536" i="3"/>
  <c r="B3538" i="3"/>
  <c r="B3540" i="3"/>
  <c r="B3542" i="3"/>
  <c r="B3544" i="3"/>
  <c r="B3546" i="3"/>
  <c r="B3548" i="3"/>
  <c r="B3550" i="3"/>
  <c r="B3552" i="3"/>
  <c r="B3554" i="3"/>
  <c r="B3556" i="3"/>
  <c r="B3558" i="3"/>
  <c r="B3560" i="3"/>
  <c r="B3562" i="3"/>
  <c r="B3564" i="3"/>
  <c r="B3566" i="3"/>
  <c r="B3568" i="3"/>
  <c r="B3570" i="3"/>
  <c r="B3572" i="3"/>
  <c r="B3574" i="3"/>
  <c r="B3576" i="3"/>
  <c r="B3578" i="3"/>
  <c r="B3580" i="3"/>
  <c r="B3582" i="3"/>
  <c r="B3584" i="3"/>
  <c r="B3586" i="3"/>
  <c r="B3588" i="3"/>
  <c r="B3590" i="3"/>
  <c r="B3592" i="3"/>
  <c r="B3594" i="3"/>
  <c r="B3596" i="3"/>
  <c r="B3598" i="3"/>
  <c r="B3600" i="3"/>
  <c r="B3602" i="3"/>
  <c r="B3604" i="3"/>
  <c r="B3606" i="3"/>
  <c r="B3608" i="3"/>
  <c r="B3610" i="3"/>
  <c r="B3612" i="3"/>
  <c r="B3614" i="3"/>
  <c r="B3616" i="3"/>
  <c r="B3618" i="3"/>
  <c r="B3620" i="3"/>
  <c r="B3622" i="3"/>
  <c r="B3624" i="3"/>
  <c r="B3626" i="3"/>
  <c r="B3628" i="3"/>
  <c r="B3630" i="3"/>
  <c r="B3632" i="3"/>
  <c r="B3634" i="3"/>
  <c r="B3636" i="3"/>
  <c r="B3638" i="3"/>
  <c r="B3640" i="3"/>
  <c r="B3642" i="3"/>
  <c r="B3644" i="3"/>
  <c r="B3646" i="3"/>
  <c r="B3648" i="3"/>
  <c r="B3650" i="3"/>
  <c r="B3652" i="3"/>
  <c r="B3654" i="3"/>
  <c r="B3656" i="3"/>
  <c r="B3658" i="3"/>
  <c r="B3660" i="3"/>
  <c r="B3662" i="3"/>
  <c r="B3664" i="3"/>
  <c r="B3666" i="3"/>
  <c r="B3668" i="3"/>
  <c r="B3670" i="3"/>
  <c r="B3672" i="3"/>
  <c r="B3674" i="3"/>
  <c r="B3676" i="3"/>
  <c r="B3678" i="3"/>
  <c r="B3680" i="3"/>
  <c r="B3682" i="3"/>
  <c r="B3684" i="3"/>
  <c r="B3686" i="3"/>
  <c r="B3688" i="3"/>
  <c r="B3690" i="3"/>
  <c r="B3692" i="3"/>
  <c r="B3694" i="3"/>
  <c r="B3696" i="3"/>
  <c r="B3698" i="3"/>
  <c r="B3700" i="3"/>
  <c r="B3702" i="3"/>
  <c r="B3704" i="3"/>
  <c r="B3706" i="3"/>
  <c r="B3708" i="3"/>
  <c r="B3710" i="3"/>
  <c r="B3712" i="3"/>
  <c r="B3714" i="3"/>
  <c r="B3716" i="3"/>
  <c r="B3718" i="3"/>
  <c r="B3720" i="3"/>
  <c r="B3722" i="3"/>
  <c r="B3724" i="3"/>
  <c r="B3726" i="3"/>
  <c r="B3728" i="3"/>
  <c r="B3730" i="3"/>
  <c r="B3732" i="3"/>
  <c r="B3734" i="3"/>
  <c r="B3736" i="3"/>
  <c r="B3738" i="3"/>
  <c r="B3740" i="3"/>
  <c r="B3742" i="3"/>
  <c r="B3744" i="3"/>
  <c r="B3746" i="3"/>
  <c r="B3748" i="3"/>
  <c r="B3750" i="3"/>
  <c r="B3752" i="3"/>
  <c r="B3754" i="3"/>
  <c r="B3756" i="3"/>
  <c r="B3758" i="3"/>
  <c r="B3760" i="3"/>
  <c r="B3762" i="3"/>
  <c r="B3764" i="3"/>
  <c r="B3766" i="3"/>
  <c r="B3768" i="3"/>
  <c r="B3770" i="3"/>
  <c r="B3772" i="3"/>
  <c r="B3774" i="3"/>
  <c r="B3776" i="3"/>
  <c r="B3778" i="3"/>
  <c r="B3780" i="3"/>
  <c r="B3782" i="3"/>
  <c r="B3784" i="3"/>
  <c r="B3786" i="3"/>
  <c r="B3788" i="3"/>
  <c r="B3790" i="3"/>
  <c r="B3792" i="3"/>
  <c r="B3794" i="3"/>
  <c r="B3796" i="3"/>
  <c r="B3798" i="3"/>
  <c r="B3800" i="3"/>
  <c r="B3802" i="3"/>
  <c r="B3804" i="3"/>
  <c r="B3806" i="3"/>
  <c r="B3808" i="3"/>
  <c r="B3810" i="3"/>
  <c r="B3812" i="3"/>
  <c r="B3814" i="3"/>
  <c r="B3816" i="3"/>
  <c r="B3818" i="3"/>
  <c r="B3820" i="3"/>
  <c r="B3822" i="3"/>
  <c r="B3824" i="3"/>
  <c r="B3826" i="3"/>
  <c r="B3828" i="3"/>
  <c r="B3830" i="3"/>
  <c r="B3832" i="3"/>
  <c r="B3834" i="3"/>
  <c r="B3836" i="3"/>
  <c r="B3838" i="3"/>
  <c r="B3840" i="3"/>
  <c r="B3842" i="3"/>
  <c r="B3844" i="3"/>
  <c r="B3846" i="3"/>
  <c r="B3848" i="3"/>
  <c r="B3850" i="3"/>
  <c r="B3852" i="3"/>
  <c r="B3854" i="3"/>
  <c r="B3856" i="3"/>
  <c r="B3858" i="3"/>
  <c r="B3860" i="3"/>
  <c r="B3862" i="3"/>
  <c r="B3864" i="3"/>
  <c r="B3866" i="3"/>
  <c r="B3868" i="3"/>
  <c r="B3870" i="3"/>
  <c r="B3872" i="3"/>
  <c r="B3874" i="3"/>
  <c r="B3876" i="3"/>
  <c r="B3878" i="3"/>
  <c r="B3880" i="3"/>
  <c r="B3882" i="3"/>
  <c r="B3884" i="3"/>
  <c r="B3886" i="3"/>
  <c r="B3888" i="3"/>
  <c r="B3890" i="3"/>
  <c r="B3892" i="3"/>
  <c r="B3894" i="3"/>
  <c r="B3896" i="3"/>
  <c r="B3898" i="3"/>
  <c r="B3900" i="3"/>
  <c r="B3902" i="3"/>
  <c r="B3904" i="3"/>
  <c r="B3906" i="3"/>
  <c r="B3908" i="3"/>
  <c r="B3910" i="3"/>
  <c r="B3912" i="3"/>
  <c r="B3914" i="3"/>
  <c r="B3916" i="3"/>
  <c r="B3918" i="3"/>
  <c r="B3920" i="3"/>
  <c r="B3922" i="3"/>
  <c r="B3924" i="3"/>
  <c r="B3926" i="3"/>
  <c r="B3928" i="3"/>
  <c r="B3930" i="3"/>
  <c r="B3932" i="3"/>
  <c r="B3934" i="3"/>
  <c r="B3936" i="3"/>
  <c r="B3938" i="3"/>
  <c r="B3940" i="3"/>
  <c r="B3942" i="3"/>
  <c r="B3944" i="3"/>
  <c r="B3946" i="3"/>
  <c r="B3948" i="3"/>
  <c r="B3950" i="3"/>
  <c r="B3952" i="3"/>
  <c r="B3954" i="3"/>
  <c r="B3956" i="3"/>
  <c r="B3958" i="3"/>
  <c r="B3960" i="3"/>
  <c r="B3962" i="3"/>
  <c r="B3964" i="3"/>
  <c r="B3966" i="3"/>
  <c r="B3968" i="3"/>
  <c r="B3970" i="3"/>
  <c r="B3972" i="3"/>
  <c r="B3974" i="3"/>
  <c r="B3976" i="3"/>
  <c r="B3978" i="3"/>
  <c r="B3980" i="3"/>
  <c r="B3982" i="3"/>
  <c r="B3984" i="3"/>
  <c r="B3986" i="3"/>
  <c r="B3988" i="3"/>
  <c r="B3990" i="3"/>
  <c r="B3992" i="3"/>
  <c r="B3994" i="3"/>
  <c r="B3996" i="3"/>
  <c r="B3998" i="3"/>
  <c r="B4000" i="3"/>
  <c r="B4002" i="3"/>
  <c r="B4004" i="3"/>
  <c r="B4006" i="3"/>
  <c r="B4008" i="3"/>
  <c r="B4010" i="3"/>
  <c r="B4012" i="3"/>
  <c r="B4014" i="3"/>
  <c r="B4016" i="3"/>
  <c r="B4018" i="3"/>
  <c r="B4020" i="3"/>
  <c r="B4022" i="3"/>
  <c r="B4024" i="3"/>
  <c r="B4026" i="3"/>
  <c r="B4028" i="3"/>
  <c r="B4030" i="3"/>
  <c r="B4032" i="3"/>
  <c r="B4034" i="3"/>
  <c r="B4036" i="3"/>
  <c r="B4038" i="3"/>
  <c r="B4040" i="3"/>
  <c r="B4042" i="3"/>
  <c r="B4044" i="3"/>
  <c r="B4046" i="3"/>
  <c r="B4048" i="3"/>
  <c r="B4050" i="3"/>
  <c r="B4052" i="3"/>
  <c r="B4054" i="3"/>
  <c r="B4056" i="3"/>
  <c r="B4058" i="3"/>
  <c r="B4060" i="3"/>
  <c r="B4062" i="3"/>
  <c r="B4064" i="3"/>
  <c r="B4066" i="3"/>
  <c r="B4068" i="3"/>
  <c r="B4070" i="3"/>
  <c r="B4072" i="3"/>
  <c r="B4074" i="3"/>
  <c r="B4076" i="3"/>
  <c r="B4078" i="3"/>
  <c r="B4080" i="3"/>
  <c r="B4082" i="3"/>
  <c r="B4084" i="3"/>
  <c r="B4086" i="3"/>
  <c r="B4088" i="3"/>
  <c r="B4090" i="3"/>
  <c r="B4092" i="3"/>
  <c r="B4094" i="3"/>
  <c r="B4096" i="3"/>
  <c r="B4098" i="3"/>
  <c r="B4100" i="3"/>
  <c r="B4102" i="3"/>
  <c r="B4104" i="3"/>
  <c r="B4106" i="3"/>
  <c r="B4108" i="3"/>
  <c r="B4110" i="3"/>
  <c r="B4112" i="3"/>
  <c r="B4114" i="3"/>
  <c r="B4116" i="3"/>
  <c r="B4118" i="3"/>
  <c r="B4120" i="3"/>
  <c r="B4122" i="3"/>
  <c r="B4124" i="3"/>
  <c r="B4126" i="3"/>
  <c r="B4128" i="3"/>
  <c r="B4130" i="3"/>
  <c r="B4132" i="3"/>
  <c r="B4134" i="3"/>
  <c r="B4136" i="3"/>
  <c r="B4138" i="3"/>
  <c r="B4140" i="3"/>
  <c r="B4142" i="3"/>
  <c r="B4144" i="3"/>
  <c r="B4146" i="3"/>
  <c r="B4148" i="3"/>
  <c r="B4150" i="3"/>
  <c r="B4152" i="3"/>
  <c r="B4154" i="3"/>
  <c r="B4156" i="3"/>
  <c r="B4158" i="3"/>
  <c r="B4160" i="3"/>
  <c r="B4162" i="3"/>
  <c r="B4164" i="3"/>
  <c r="B4166" i="3"/>
  <c r="B4168" i="3"/>
  <c r="B4170" i="3"/>
  <c r="B4172" i="3"/>
  <c r="B4174" i="3"/>
  <c r="B4176" i="3"/>
  <c r="B4178" i="3"/>
  <c r="B4180" i="3"/>
  <c r="B4182" i="3"/>
  <c r="B4184" i="3"/>
  <c r="B4186" i="3"/>
  <c r="B4188" i="3"/>
  <c r="B4190" i="3"/>
  <c r="B4192" i="3"/>
  <c r="B4194" i="3"/>
  <c r="B4196" i="3"/>
  <c r="B4198" i="3"/>
  <c r="B4200" i="3"/>
  <c r="B4202" i="3"/>
  <c r="B4204" i="3"/>
  <c r="B4206" i="3"/>
  <c r="B4208" i="3"/>
  <c r="B4210" i="3"/>
  <c r="B4212" i="3"/>
  <c r="B4214" i="3"/>
  <c r="B4216" i="3"/>
  <c r="B4218" i="3"/>
  <c r="B4220" i="3"/>
  <c r="B4222" i="3"/>
  <c r="B4224" i="3"/>
  <c r="B4226" i="3"/>
  <c r="B4228" i="3"/>
  <c r="B4230" i="3"/>
  <c r="B4232" i="3"/>
  <c r="B4234" i="3"/>
  <c r="B4236" i="3"/>
  <c r="B4238" i="3"/>
  <c r="B4240" i="3"/>
  <c r="B4242" i="3"/>
  <c r="B4244" i="3"/>
  <c r="B4246" i="3"/>
  <c r="B4248" i="3"/>
  <c r="B4250" i="3"/>
  <c r="B4252" i="3"/>
  <c r="B4254" i="3"/>
  <c r="B4256" i="3"/>
  <c r="B4258" i="3"/>
  <c r="B4260" i="3"/>
  <c r="B4262" i="3"/>
  <c r="B4264" i="3"/>
  <c r="B4266" i="3"/>
  <c r="B4268" i="3"/>
  <c r="B4270" i="3"/>
  <c r="B4272" i="3"/>
  <c r="B4274" i="3"/>
  <c r="B4276" i="3"/>
  <c r="B4278" i="3"/>
  <c r="B4280" i="3"/>
  <c r="B4282" i="3"/>
  <c r="B4284" i="3"/>
  <c r="B4286" i="3"/>
  <c r="B4288" i="3"/>
  <c r="B4290" i="3"/>
  <c r="B4292" i="3"/>
  <c r="B4294" i="3"/>
  <c r="B4296" i="3"/>
  <c r="B4298" i="3"/>
  <c r="B4300" i="3"/>
  <c r="B4302" i="3"/>
  <c r="B4304" i="3"/>
  <c r="B4306" i="3"/>
  <c r="B4308" i="3"/>
  <c r="B4310" i="3"/>
  <c r="B4312" i="3"/>
  <c r="B4314" i="3"/>
  <c r="B4316" i="3"/>
  <c r="B4318" i="3"/>
  <c r="B4320" i="3"/>
  <c r="B4322" i="3"/>
  <c r="B4324" i="3"/>
  <c r="B4326" i="3"/>
  <c r="B4328" i="3"/>
  <c r="B4330" i="3"/>
  <c r="B4332" i="3"/>
  <c r="B4334" i="3"/>
  <c r="B4336" i="3"/>
  <c r="B4338" i="3"/>
  <c r="B4340" i="3"/>
  <c r="B4342" i="3"/>
  <c r="B4344" i="3"/>
  <c r="B4346" i="3"/>
  <c r="B4348" i="3"/>
  <c r="B4350" i="3"/>
  <c r="B4352" i="3"/>
  <c r="B4354" i="3"/>
  <c r="B4356" i="3"/>
  <c r="B4358" i="3"/>
  <c r="B4360" i="3"/>
  <c r="B4362" i="3"/>
  <c r="B4364" i="3"/>
  <c r="B4366" i="3"/>
  <c r="B4368" i="3"/>
  <c r="B4370" i="3"/>
  <c r="B4372" i="3"/>
  <c r="B4374" i="3"/>
  <c r="B4376" i="3"/>
  <c r="B4378" i="3"/>
  <c r="B4380" i="3"/>
  <c r="B4382" i="3"/>
  <c r="B4384" i="3"/>
  <c r="B4386" i="3"/>
  <c r="B4388" i="3"/>
  <c r="B4390" i="3"/>
  <c r="B4392" i="3"/>
  <c r="B4394" i="3"/>
  <c r="B4396" i="3"/>
  <c r="B4398" i="3"/>
  <c r="B4400" i="3"/>
  <c r="B4402" i="3"/>
  <c r="B4404" i="3"/>
  <c r="B4406" i="3"/>
  <c r="B4408" i="3"/>
  <c r="B4410" i="3"/>
  <c r="B4412" i="3"/>
  <c r="B4414" i="3"/>
  <c r="B4416" i="3"/>
  <c r="B4418" i="3"/>
  <c r="B4420" i="3"/>
  <c r="B4422" i="3"/>
  <c r="B4424" i="3"/>
  <c r="B4426" i="3"/>
  <c r="B4428" i="3"/>
  <c r="B4430" i="3"/>
  <c r="B4432" i="3"/>
  <c r="B4434" i="3"/>
  <c r="B4436" i="3"/>
  <c r="B4438" i="3"/>
  <c r="B4440" i="3"/>
  <c r="B4442" i="3"/>
  <c r="B4444" i="3"/>
  <c r="B4446" i="3"/>
  <c r="B4448" i="3"/>
  <c r="B4450" i="3"/>
  <c r="B4452" i="3"/>
  <c r="B4454" i="3"/>
  <c r="B4456" i="3"/>
  <c r="B4458" i="3"/>
  <c r="B4460" i="3"/>
  <c r="B4462" i="3"/>
  <c r="B4464" i="3"/>
  <c r="B4466" i="3"/>
  <c r="B4468" i="3"/>
  <c r="B4470" i="3"/>
  <c r="B4472" i="3"/>
  <c r="B4474" i="3"/>
  <c r="B4476" i="3"/>
  <c r="B4478" i="3"/>
  <c r="B4480" i="3"/>
  <c r="B4482" i="3"/>
  <c r="B4484" i="3"/>
  <c r="B4486" i="3"/>
  <c r="B4488" i="3"/>
  <c r="B4490" i="3"/>
  <c r="B4492" i="3"/>
  <c r="B4494" i="3"/>
  <c r="B4496" i="3"/>
  <c r="B4498" i="3"/>
  <c r="B4500" i="3"/>
  <c r="B4502" i="3"/>
  <c r="B4504" i="3"/>
  <c r="B4506" i="3"/>
  <c r="B4508" i="3"/>
  <c r="B4510" i="3"/>
  <c r="B4512" i="3"/>
  <c r="B4514" i="3"/>
  <c r="B4516" i="3"/>
  <c r="B4518" i="3"/>
  <c r="B4520" i="3"/>
  <c r="B4522" i="3"/>
  <c r="B4524" i="3"/>
  <c r="B4526" i="3"/>
  <c r="B4528" i="3"/>
  <c r="B4530" i="3"/>
  <c r="B4532" i="3"/>
  <c r="B4534" i="3"/>
  <c r="B4536" i="3"/>
  <c r="B4538" i="3"/>
  <c r="B4540" i="3"/>
  <c r="B4542" i="3"/>
  <c r="B4544" i="3"/>
  <c r="B4546" i="3"/>
  <c r="B4548" i="3"/>
  <c r="B4550" i="3"/>
  <c r="B4552" i="3"/>
  <c r="B4554" i="3"/>
  <c r="B4556" i="3"/>
  <c r="B4558" i="3"/>
  <c r="B4560" i="3"/>
  <c r="B4562" i="3"/>
  <c r="B4564" i="3"/>
  <c r="B4566" i="3"/>
  <c r="B4568" i="3"/>
  <c r="B4570" i="3"/>
  <c r="B4572" i="3"/>
  <c r="B4574" i="3"/>
  <c r="B4576" i="3"/>
  <c r="B4578" i="3"/>
  <c r="B4580" i="3"/>
  <c r="B4582" i="3"/>
  <c r="B4584" i="3"/>
  <c r="B4586" i="3"/>
  <c r="B4588" i="3"/>
  <c r="B4590" i="3"/>
  <c r="B4592" i="3"/>
  <c r="B4594" i="3"/>
  <c r="B4596" i="3"/>
  <c r="B4598" i="3"/>
  <c r="B4600" i="3"/>
  <c r="B4602" i="3"/>
  <c r="B4604" i="3"/>
  <c r="B4606" i="3"/>
  <c r="B4608" i="3"/>
  <c r="B4610" i="3"/>
  <c r="B4612" i="3"/>
  <c r="B4614" i="3"/>
  <c r="B4616" i="3"/>
  <c r="B4618" i="3"/>
  <c r="B4620" i="3"/>
  <c r="B4622" i="3"/>
  <c r="B4624" i="3"/>
  <c r="B4626" i="3"/>
  <c r="B4628" i="3"/>
  <c r="B4630" i="3"/>
  <c r="B4632" i="3"/>
  <c r="B4634" i="3"/>
  <c r="B4636" i="3"/>
  <c r="B4638" i="3"/>
  <c r="B4640" i="3"/>
  <c r="B4642" i="3"/>
  <c r="B4644" i="3"/>
  <c r="B4646" i="3"/>
  <c r="B4648" i="3"/>
  <c r="B4650" i="3"/>
  <c r="B4652" i="3"/>
  <c r="B4654" i="3"/>
  <c r="B4656" i="3"/>
  <c r="B4658" i="3"/>
  <c r="B4660" i="3"/>
  <c r="B4662" i="3"/>
  <c r="B4664" i="3"/>
  <c r="B4666" i="3"/>
  <c r="B4668" i="3"/>
  <c r="B4670" i="3"/>
  <c r="B4672" i="3"/>
  <c r="B4674" i="3"/>
  <c r="B4676" i="3"/>
  <c r="B4678" i="3"/>
  <c r="B4680" i="3"/>
  <c r="B4682" i="3"/>
  <c r="B4684" i="3"/>
  <c r="B4686" i="3"/>
  <c r="B4688" i="3"/>
  <c r="B4690" i="3"/>
  <c r="B4692" i="3"/>
  <c r="B4694" i="3"/>
  <c r="B4696" i="3"/>
  <c r="B4698" i="3"/>
  <c r="B4700" i="3"/>
  <c r="B4702" i="3"/>
  <c r="B4704" i="3"/>
  <c r="B4706" i="3"/>
  <c r="B4708" i="3"/>
  <c r="B4710" i="3"/>
  <c r="B4712" i="3"/>
  <c r="B4714" i="3"/>
  <c r="B4716" i="3"/>
  <c r="B4718" i="3"/>
  <c r="B4720" i="3"/>
  <c r="B4722" i="3"/>
  <c r="B4724" i="3"/>
  <c r="B4726" i="3"/>
  <c r="B4728" i="3"/>
  <c r="B4730" i="3"/>
  <c r="B4732" i="3"/>
  <c r="B4734" i="3"/>
  <c r="B4736" i="3"/>
  <c r="B4738" i="3"/>
  <c r="B4740" i="3"/>
  <c r="B4742" i="3"/>
  <c r="B4744" i="3"/>
  <c r="B4746" i="3"/>
  <c r="B4748" i="3"/>
  <c r="B4750" i="3"/>
  <c r="B4752" i="3"/>
  <c r="B4754" i="3"/>
  <c r="B4756" i="3"/>
  <c r="B4758" i="3"/>
  <c r="B4760" i="3"/>
  <c r="B4762" i="3"/>
  <c r="B4764" i="3"/>
  <c r="B4766" i="3"/>
  <c r="B4768" i="3"/>
  <c r="B4770" i="3"/>
  <c r="B4772" i="3"/>
  <c r="B4774" i="3"/>
  <c r="B4776" i="3"/>
  <c r="B4778" i="3"/>
  <c r="B4780" i="3"/>
  <c r="B4782" i="3"/>
  <c r="B4784" i="3"/>
  <c r="B4786" i="3"/>
  <c r="B4788" i="3"/>
  <c r="B4790" i="3"/>
  <c r="B4792" i="3"/>
  <c r="B4794" i="3"/>
  <c r="B4796" i="3"/>
  <c r="B4798" i="3"/>
  <c r="B4800" i="3"/>
  <c r="B4802" i="3"/>
  <c r="B4804" i="3"/>
  <c r="B4806" i="3"/>
  <c r="B4808" i="3"/>
  <c r="B4810" i="3"/>
  <c r="B4812" i="3"/>
  <c r="B4814" i="3"/>
  <c r="B4816" i="3"/>
  <c r="B4818" i="3"/>
  <c r="B4820" i="3"/>
  <c r="B4822" i="3"/>
  <c r="B4824" i="3"/>
  <c r="B4826" i="3"/>
  <c r="B4828" i="3"/>
  <c r="B4830" i="3"/>
  <c r="B4832" i="3"/>
  <c r="B4834" i="3"/>
  <c r="B4836" i="3"/>
  <c r="B4838" i="3"/>
  <c r="B4840" i="3"/>
  <c r="B4842" i="3"/>
  <c r="B4844" i="3"/>
  <c r="B4846" i="3"/>
  <c r="B4848" i="3"/>
  <c r="B4850" i="3"/>
  <c r="B4852" i="3"/>
  <c r="B4854" i="3"/>
  <c r="B4856" i="3"/>
  <c r="B4858" i="3"/>
  <c r="B4860" i="3"/>
  <c r="B4862" i="3"/>
  <c r="B4864" i="3"/>
  <c r="B4866" i="3"/>
  <c r="B4868" i="3"/>
  <c r="B4870" i="3"/>
  <c r="B4872" i="3"/>
  <c r="B4874" i="3"/>
  <c r="B4876" i="3"/>
  <c r="B4878" i="3"/>
  <c r="B4880" i="3"/>
  <c r="B4882" i="3"/>
  <c r="B4884" i="3"/>
  <c r="B4886" i="3"/>
  <c r="B4888" i="3"/>
  <c r="B4890" i="3"/>
  <c r="B4892" i="3"/>
  <c r="B4894" i="3"/>
  <c r="B4896" i="3"/>
  <c r="B4898" i="3"/>
  <c r="B4900" i="3"/>
  <c r="B4902" i="3"/>
  <c r="B4904" i="3"/>
  <c r="B4906" i="3"/>
  <c r="B4908" i="3"/>
  <c r="B4910" i="3"/>
  <c r="B4912" i="3"/>
  <c r="B4914" i="3"/>
  <c r="B4916" i="3"/>
  <c r="B4918" i="3"/>
  <c r="B4920" i="3"/>
  <c r="B4922" i="3"/>
  <c r="B4924" i="3"/>
  <c r="B4926" i="3"/>
  <c r="B4928" i="3"/>
  <c r="B4930" i="3"/>
  <c r="B4932" i="3"/>
  <c r="B4934" i="3"/>
  <c r="B4936" i="3"/>
  <c r="B4938" i="3"/>
  <c r="B4940" i="3"/>
  <c r="B4942" i="3"/>
  <c r="B4944" i="3"/>
  <c r="B4946" i="3"/>
  <c r="B4948" i="3"/>
  <c r="B4950" i="3"/>
  <c r="B4952" i="3"/>
  <c r="B4954" i="3"/>
  <c r="B4956" i="3"/>
  <c r="B4958" i="3"/>
  <c r="B4960" i="3"/>
  <c r="B4962" i="3"/>
  <c r="B4964" i="3"/>
  <c r="B4966" i="3"/>
  <c r="B4968" i="3"/>
  <c r="B4970" i="3"/>
  <c r="B4972" i="3"/>
  <c r="B4974" i="3"/>
  <c r="B4976" i="3"/>
  <c r="B4978" i="3"/>
  <c r="B4980" i="3"/>
  <c r="B4982" i="3"/>
  <c r="B4984" i="3"/>
  <c r="B4986" i="3"/>
  <c r="B4988" i="3"/>
  <c r="B4990" i="3"/>
  <c r="B4992" i="3"/>
  <c r="B4994" i="3"/>
  <c r="B4996" i="3"/>
  <c r="B4998" i="3"/>
  <c r="B5000" i="3"/>
  <c r="B5002" i="3"/>
  <c r="B5004" i="3"/>
  <c r="B5006" i="3"/>
  <c r="B5008" i="3"/>
  <c r="B5010" i="3"/>
  <c r="B5012" i="3"/>
  <c r="B5014" i="3"/>
  <c r="B5016" i="3"/>
  <c r="B5018" i="3"/>
  <c r="B5020" i="3"/>
  <c r="B5022" i="3"/>
  <c r="B5024" i="3"/>
  <c r="B5026" i="3"/>
  <c r="B5028" i="3"/>
  <c r="B5030" i="3"/>
  <c r="B5032" i="3"/>
  <c r="B5034" i="3"/>
  <c r="B5036" i="3"/>
  <c r="B5038" i="3"/>
  <c r="B5040" i="3"/>
  <c r="B5042" i="3"/>
  <c r="B5044" i="3"/>
  <c r="B5046" i="3"/>
  <c r="B5048" i="3"/>
  <c r="B5050" i="3"/>
  <c r="B5052" i="3"/>
  <c r="B5054" i="3"/>
  <c r="B5056" i="3"/>
  <c r="B5058" i="3"/>
  <c r="B5060" i="3"/>
  <c r="B5062" i="3"/>
  <c r="B5064" i="3"/>
  <c r="B5066" i="3"/>
  <c r="B5068" i="3"/>
  <c r="B5070" i="3"/>
  <c r="B5072" i="3"/>
  <c r="B5074" i="3"/>
  <c r="B5076" i="3"/>
  <c r="B5078" i="3"/>
  <c r="B5080" i="3"/>
  <c r="B5082" i="3"/>
  <c r="B5084" i="3"/>
  <c r="B5086" i="3"/>
  <c r="B5088" i="3"/>
  <c r="B5090" i="3"/>
  <c r="B5092" i="3"/>
  <c r="B5094" i="3"/>
  <c r="B5096" i="3"/>
  <c r="B5098" i="3"/>
  <c r="B5100" i="3"/>
  <c r="B5102" i="3"/>
  <c r="B5104" i="3"/>
  <c r="B5106" i="3"/>
  <c r="B5108" i="3"/>
  <c r="B5110" i="3"/>
  <c r="B5112" i="3"/>
  <c r="B5114" i="3"/>
  <c r="B5116" i="3"/>
  <c r="B5118" i="3"/>
  <c r="B5120" i="3"/>
  <c r="B5122" i="3"/>
  <c r="B5124" i="3"/>
  <c r="B5126" i="3"/>
  <c r="B5128" i="3"/>
  <c r="B5130" i="3"/>
  <c r="B5132" i="3"/>
  <c r="B5134" i="3"/>
  <c r="B5136" i="3"/>
  <c r="B5138" i="3"/>
  <c r="B5140" i="3"/>
  <c r="B5142" i="3"/>
  <c r="B5144" i="3"/>
  <c r="B5146" i="3"/>
  <c r="B5148" i="3"/>
  <c r="B5150" i="3"/>
  <c r="B5152" i="3"/>
  <c r="B5154" i="3"/>
  <c r="B5156" i="3"/>
  <c r="B5158" i="3"/>
  <c r="B5160" i="3"/>
  <c r="B5162" i="3"/>
  <c r="B5164" i="3"/>
  <c r="B5166" i="3"/>
  <c r="B5168" i="3"/>
  <c r="B5170" i="3"/>
  <c r="B5172" i="3"/>
  <c r="B5174" i="3"/>
  <c r="B5176" i="3"/>
  <c r="B5178" i="3"/>
  <c r="B5180" i="3"/>
  <c r="B5182" i="3"/>
  <c r="B5184" i="3"/>
  <c r="B5186" i="3"/>
  <c r="B5188" i="3"/>
  <c r="B5190" i="3"/>
  <c r="B5192" i="3"/>
  <c r="B5194" i="3"/>
  <c r="B5196" i="3"/>
  <c r="B5198" i="3"/>
  <c r="B5200" i="3"/>
  <c r="B5202" i="3"/>
  <c r="B5204" i="3"/>
  <c r="B5206" i="3"/>
  <c r="B5208" i="3"/>
  <c r="B5210" i="3"/>
  <c r="B5212" i="3"/>
  <c r="B5214" i="3"/>
  <c r="B5216" i="3"/>
  <c r="B5218" i="3"/>
  <c r="B5220" i="3"/>
  <c r="B5222" i="3"/>
  <c r="B5224" i="3"/>
  <c r="B5226" i="3"/>
  <c r="B5228" i="3"/>
  <c r="B5230" i="3"/>
  <c r="B5232" i="3"/>
  <c r="B5234" i="3"/>
  <c r="B5236" i="3"/>
  <c r="B5238" i="3"/>
  <c r="B5240" i="3"/>
  <c r="B5242" i="3"/>
  <c r="B5244" i="3"/>
  <c r="B5246" i="3"/>
  <c r="B5248" i="3"/>
  <c r="B5250" i="3"/>
  <c r="B5252" i="3"/>
  <c r="B5254" i="3"/>
  <c r="B5256" i="3"/>
  <c r="B5258" i="3"/>
  <c r="B5260" i="3"/>
  <c r="B5262" i="3"/>
  <c r="B3443" i="3"/>
  <c r="B3445" i="3"/>
  <c r="B3447" i="3"/>
  <c r="B3449" i="3"/>
  <c r="B3451" i="3"/>
  <c r="B3453" i="3"/>
  <c r="B3455" i="3"/>
  <c r="B3457" i="3"/>
  <c r="B3459" i="3"/>
  <c r="B3461" i="3"/>
  <c r="B3463" i="3"/>
  <c r="B3465" i="3"/>
  <c r="B3467" i="3"/>
  <c r="B3469" i="3"/>
  <c r="B3471" i="3"/>
  <c r="B3473" i="3"/>
  <c r="B3475" i="3"/>
  <c r="B3477" i="3"/>
  <c r="B3479" i="3"/>
  <c r="B3481" i="3"/>
  <c r="B3483" i="3"/>
  <c r="B3485" i="3"/>
  <c r="B3487" i="3"/>
  <c r="B3489" i="3"/>
  <c r="B3491" i="3"/>
  <c r="B3493" i="3"/>
  <c r="B3495" i="3"/>
  <c r="B3497" i="3"/>
  <c r="B3499" i="3"/>
  <c r="B3501" i="3"/>
  <c r="B3503" i="3"/>
  <c r="B3505" i="3"/>
  <c r="B3507" i="3"/>
  <c r="B3509" i="3"/>
  <c r="B3511" i="3"/>
  <c r="B3513" i="3"/>
  <c r="B3515" i="3"/>
  <c r="B3517" i="3"/>
  <c r="B3519" i="3"/>
  <c r="B3521" i="3"/>
  <c r="B3523" i="3"/>
  <c r="B3525" i="3"/>
  <c r="B3527" i="3"/>
  <c r="B3529" i="3"/>
  <c r="B3531" i="3"/>
  <c r="B3533" i="3"/>
  <c r="B3535" i="3"/>
  <c r="B3537" i="3"/>
  <c r="B3539" i="3"/>
  <c r="B3541" i="3"/>
  <c r="B3543" i="3"/>
  <c r="B3545" i="3"/>
  <c r="B3547" i="3"/>
  <c r="B3549" i="3"/>
  <c r="B3551" i="3"/>
  <c r="B3553" i="3"/>
  <c r="B3555" i="3"/>
  <c r="B3557" i="3"/>
  <c r="B3559" i="3"/>
  <c r="B3561" i="3"/>
  <c r="B3563" i="3"/>
  <c r="B3565" i="3"/>
  <c r="B3567" i="3"/>
  <c r="B3569" i="3"/>
  <c r="B3571" i="3"/>
  <c r="B3573" i="3"/>
  <c r="B3575" i="3"/>
  <c r="B3577" i="3"/>
  <c r="B3579" i="3"/>
  <c r="B3581" i="3"/>
  <c r="B3583" i="3"/>
  <c r="B3585" i="3"/>
  <c r="B3587" i="3"/>
  <c r="B3589" i="3"/>
  <c r="B3591" i="3"/>
  <c r="B3593" i="3"/>
  <c r="B3595" i="3"/>
  <c r="B3597" i="3"/>
  <c r="B3599" i="3"/>
  <c r="B3601" i="3"/>
  <c r="B3603" i="3"/>
  <c r="B3605" i="3"/>
  <c r="B3607" i="3"/>
  <c r="B3609" i="3"/>
  <c r="B3611" i="3"/>
  <c r="B3613" i="3"/>
  <c r="B3615" i="3"/>
  <c r="B3617" i="3"/>
  <c r="B3619" i="3"/>
  <c r="B3621" i="3"/>
  <c r="B3623" i="3"/>
  <c r="B3625" i="3"/>
  <c r="B3627" i="3"/>
  <c r="B3629" i="3"/>
  <c r="B3631" i="3"/>
  <c r="B3633" i="3"/>
  <c r="B3635" i="3"/>
  <c r="B3637" i="3"/>
  <c r="B3639" i="3"/>
  <c r="B3641" i="3"/>
  <c r="B3643" i="3"/>
  <c r="B3645" i="3"/>
  <c r="B3647" i="3"/>
  <c r="B3649" i="3"/>
  <c r="B3651" i="3"/>
  <c r="B3653" i="3"/>
  <c r="B3655" i="3"/>
  <c r="B3657" i="3"/>
  <c r="B3659" i="3"/>
  <c r="B3661" i="3"/>
  <c r="B3663" i="3"/>
  <c r="B3665" i="3"/>
  <c r="B3667" i="3"/>
  <c r="B3669" i="3"/>
  <c r="B3671" i="3"/>
  <c r="B3673" i="3"/>
  <c r="B3675" i="3"/>
  <c r="B3677" i="3"/>
  <c r="B3679" i="3"/>
  <c r="B3681" i="3"/>
  <c r="B3683" i="3"/>
  <c r="B3685" i="3"/>
  <c r="B3687" i="3"/>
  <c r="B3689" i="3"/>
  <c r="B3691" i="3"/>
  <c r="B3693" i="3"/>
  <c r="B3695" i="3"/>
  <c r="B3697" i="3"/>
  <c r="B3699" i="3"/>
  <c r="B3701" i="3"/>
  <c r="B3703" i="3"/>
  <c r="B3705" i="3"/>
  <c r="B3707" i="3"/>
  <c r="B3709" i="3"/>
  <c r="B3711" i="3"/>
  <c r="B3713" i="3"/>
  <c r="B3715" i="3"/>
  <c r="B3717" i="3"/>
  <c r="B3719" i="3"/>
  <c r="B3721" i="3"/>
  <c r="B3723" i="3"/>
  <c r="B3725" i="3"/>
  <c r="B3727" i="3"/>
  <c r="B3729" i="3"/>
  <c r="B3731" i="3"/>
  <c r="B3733" i="3"/>
  <c r="B3735" i="3"/>
  <c r="B3737" i="3"/>
  <c r="B3739" i="3"/>
  <c r="B3741" i="3"/>
  <c r="B3743" i="3"/>
  <c r="B3745" i="3"/>
  <c r="B3747" i="3"/>
  <c r="B3749" i="3"/>
  <c r="B3751" i="3"/>
  <c r="B3753" i="3"/>
  <c r="B3755" i="3"/>
  <c r="B3757" i="3"/>
  <c r="B3759" i="3"/>
  <c r="B3761" i="3"/>
  <c r="B3763" i="3"/>
  <c r="B3765" i="3"/>
  <c r="B3767" i="3"/>
  <c r="B3769" i="3"/>
  <c r="B3771" i="3"/>
  <c r="B3773" i="3"/>
  <c r="B3775" i="3"/>
  <c r="B3777" i="3"/>
  <c r="B3779" i="3"/>
  <c r="B3781" i="3"/>
  <c r="B3783" i="3"/>
  <c r="B3785" i="3"/>
  <c r="B3787" i="3"/>
  <c r="B3789" i="3"/>
  <c r="B3791" i="3"/>
  <c r="B3793" i="3"/>
  <c r="B3795" i="3"/>
  <c r="B3797" i="3"/>
  <c r="B3799" i="3"/>
  <c r="B3801" i="3"/>
  <c r="B3803" i="3"/>
  <c r="B3805" i="3"/>
  <c r="B3807" i="3"/>
  <c r="B3809" i="3"/>
  <c r="B3811" i="3"/>
  <c r="B3813" i="3"/>
  <c r="B3815" i="3"/>
  <c r="B3817" i="3"/>
  <c r="B3819" i="3"/>
  <c r="B3821" i="3"/>
  <c r="B3823" i="3"/>
  <c r="B3825" i="3"/>
  <c r="B3827" i="3"/>
  <c r="B3829" i="3"/>
  <c r="B3831" i="3"/>
  <c r="B3833" i="3"/>
  <c r="B3835" i="3"/>
  <c r="B3837" i="3"/>
  <c r="B3839" i="3"/>
  <c r="B3841" i="3"/>
  <c r="B3843" i="3"/>
  <c r="B3845" i="3"/>
  <c r="B3847" i="3"/>
  <c r="B3849" i="3"/>
  <c r="B3851" i="3"/>
  <c r="B3853" i="3"/>
  <c r="B3855" i="3"/>
  <c r="B3857" i="3"/>
  <c r="B3859" i="3"/>
  <c r="B3861" i="3"/>
  <c r="B3863" i="3"/>
  <c r="B3865" i="3"/>
  <c r="B3867" i="3"/>
  <c r="B3869" i="3"/>
  <c r="B3871" i="3"/>
  <c r="B3873" i="3"/>
  <c r="B3875" i="3"/>
  <c r="B3877" i="3"/>
  <c r="B3879" i="3"/>
  <c r="B3881" i="3"/>
  <c r="B3883" i="3"/>
  <c r="B3885" i="3"/>
  <c r="B3887" i="3"/>
  <c r="B3889" i="3"/>
  <c r="B3891" i="3"/>
  <c r="B3893" i="3"/>
  <c r="B3895" i="3"/>
  <c r="B3897" i="3"/>
  <c r="B3899" i="3"/>
  <c r="B3901" i="3"/>
  <c r="B3903" i="3"/>
  <c r="B3905" i="3"/>
  <c r="B3907" i="3"/>
  <c r="B3909" i="3"/>
  <c r="B3911" i="3"/>
  <c r="B3913" i="3"/>
  <c r="B3915" i="3"/>
  <c r="B3917" i="3"/>
  <c r="B3919" i="3"/>
  <c r="B3921" i="3"/>
  <c r="B3923" i="3"/>
  <c r="B3925" i="3"/>
  <c r="B3927" i="3"/>
  <c r="B3929" i="3"/>
  <c r="B3931" i="3"/>
  <c r="B3933" i="3"/>
  <c r="B3935" i="3"/>
  <c r="B3937" i="3"/>
  <c r="B3939" i="3"/>
  <c r="B3941" i="3"/>
  <c r="B3943" i="3"/>
  <c r="B3945" i="3"/>
  <c r="B3947" i="3"/>
  <c r="B3949" i="3"/>
  <c r="B3951" i="3"/>
  <c r="B3953" i="3"/>
  <c r="B3955" i="3"/>
  <c r="B3957" i="3"/>
  <c r="B3959" i="3"/>
  <c r="B3961" i="3"/>
  <c r="B3963" i="3"/>
  <c r="B3965" i="3"/>
  <c r="B3967" i="3"/>
  <c r="B3969" i="3"/>
  <c r="B3971" i="3"/>
  <c r="B3973" i="3"/>
  <c r="B3975" i="3"/>
  <c r="B3977" i="3"/>
  <c r="B3979" i="3"/>
  <c r="B3981" i="3"/>
  <c r="B3983" i="3"/>
  <c r="B3985" i="3"/>
  <c r="B3987" i="3"/>
  <c r="B3989" i="3"/>
  <c r="B3991" i="3"/>
  <c r="B3993" i="3"/>
  <c r="B3995" i="3"/>
  <c r="B3997" i="3"/>
  <c r="B3999" i="3"/>
  <c r="B4001" i="3"/>
  <c r="B4003" i="3"/>
  <c r="B4005" i="3"/>
  <c r="B4007" i="3"/>
  <c r="B4009" i="3"/>
  <c r="B4011" i="3"/>
  <c r="B4013" i="3"/>
  <c r="B4015" i="3"/>
  <c r="B4017" i="3"/>
  <c r="B4019" i="3"/>
  <c r="B4021" i="3"/>
  <c r="B4023" i="3"/>
  <c r="B4025" i="3"/>
  <c r="B4027" i="3"/>
  <c r="B4029" i="3"/>
  <c r="B4031" i="3"/>
  <c r="B4033" i="3"/>
  <c r="B4035" i="3"/>
  <c r="B4037" i="3"/>
  <c r="B4039" i="3"/>
  <c r="B4041" i="3"/>
  <c r="B4043" i="3"/>
  <c r="B4045" i="3"/>
  <c r="B4047" i="3"/>
  <c r="B4049" i="3"/>
  <c r="B4051" i="3"/>
  <c r="B4053" i="3"/>
  <c r="B4055" i="3"/>
  <c r="B4057" i="3"/>
  <c r="B4059" i="3"/>
  <c r="B4061" i="3"/>
  <c r="B4063" i="3"/>
  <c r="B4065" i="3"/>
  <c r="B4067" i="3"/>
  <c r="B4069" i="3"/>
  <c r="B4071" i="3"/>
  <c r="B4073" i="3"/>
  <c r="B4075" i="3"/>
  <c r="B4077" i="3"/>
  <c r="B4079" i="3"/>
  <c r="B4081" i="3"/>
  <c r="B4083" i="3"/>
  <c r="B4085" i="3"/>
  <c r="B4087" i="3"/>
  <c r="B4089" i="3"/>
  <c r="B4091" i="3"/>
  <c r="B4093" i="3"/>
  <c r="B4095" i="3"/>
  <c r="B4097" i="3"/>
  <c r="B4099" i="3"/>
  <c r="B4101" i="3"/>
  <c r="B4103" i="3"/>
  <c r="B4105" i="3"/>
  <c r="B4107" i="3"/>
  <c r="B4109" i="3"/>
  <c r="B4111" i="3"/>
  <c r="B4113" i="3"/>
  <c r="B4115" i="3"/>
  <c r="B4117" i="3"/>
  <c r="B4119" i="3"/>
  <c r="B4121" i="3"/>
  <c r="B4123" i="3"/>
  <c r="B4125" i="3"/>
  <c r="B4127" i="3"/>
  <c r="B4129" i="3"/>
  <c r="B4131" i="3"/>
  <c r="B4133" i="3"/>
  <c r="B4135" i="3"/>
  <c r="B4137" i="3"/>
  <c r="B4139" i="3"/>
  <c r="B4141" i="3"/>
  <c r="B4143" i="3"/>
  <c r="B4145" i="3"/>
  <c r="B4147" i="3"/>
  <c r="B4149" i="3"/>
  <c r="B4151" i="3"/>
  <c r="B4153" i="3"/>
  <c r="B4155" i="3"/>
  <c r="B4157" i="3"/>
  <c r="B4159" i="3"/>
  <c r="B4161" i="3"/>
  <c r="B4163" i="3"/>
  <c r="B4165" i="3"/>
  <c r="B4167" i="3"/>
  <c r="B4169" i="3"/>
  <c r="B4171" i="3"/>
  <c r="B4173" i="3"/>
  <c r="B4175" i="3"/>
  <c r="B4177" i="3"/>
  <c r="B4179" i="3"/>
  <c r="B4181" i="3"/>
  <c r="B4183" i="3"/>
  <c r="B4185" i="3"/>
  <c r="B4187" i="3"/>
  <c r="B4189" i="3"/>
  <c r="B4191" i="3"/>
  <c r="B4193" i="3"/>
  <c r="B4195" i="3"/>
  <c r="B4197" i="3"/>
  <c r="B4199" i="3"/>
  <c r="B4201" i="3"/>
  <c r="B4203" i="3"/>
  <c r="B4205" i="3"/>
  <c r="B4207" i="3"/>
  <c r="B4209" i="3"/>
  <c r="B4211" i="3"/>
  <c r="B4213" i="3"/>
  <c r="B4215" i="3"/>
  <c r="B4217" i="3"/>
  <c r="B4219" i="3"/>
  <c r="B4221" i="3"/>
  <c r="B4223" i="3"/>
  <c r="B4225" i="3"/>
  <c r="B4227" i="3"/>
  <c r="B4229" i="3"/>
  <c r="B4231" i="3"/>
  <c r="B4233" i="3"/>
  <c r="B4235" i="3"/>
  <c r="B4237" i="3"/>
  <c r="B4239" i="3"/>
  <c r="B4241" i="3"/>
  <c r="B4243" i="3"/>
  <c r="B4245" i="3"/>
  <c r="B4247" i="3"/>
  <c r="B4249" i="3"/>
  <c r="B4251" i="3"/>
  <c r="B4253" i="3"/>
  <c r="B4255" i="3"/>
  <c r="B4257" i="3"/>
  <c r="B4259" i="3"/>
  <c r="B4261" i="3"/>
  <c r="B4263" i="3"/>
  <c r="B4265" i="3"/>
  <c r="B4267" i="3"/>
  <c r="B4269" i="3"/>
  <c r="B4271" i="3"/>
  <c r="B4273" i="3"/>
  <c r="B4275" i="3"/>
  <c r="B4277" i="3"/>
  <c r="B4279" i="3"/>
  <c r="B4281" i="3"/>
  <c r="B4283" i="3"/>
  <c r="B4285" i="3"/>
  <c r="B4287" i="3"/>
  <c r="B4289" i="3"/>
  <c r="B4291" i="3"/>
  <c r="B4293" i="3"/>
  <c r="B4295" i="3"/>
  <c r="B4297" i="3"/>
  <c r="B4299" i="3"/>
  <c r="B4301" i="3"/>
  <c r="B4303" i="3"/>
  <c r="B4305" i="3"/>
  <c r="B4307" i="3"/>
  <c r="B4309" i="3"/>
  <c r="B4311" i="3"/>
  <c r="B4313" i="3"/>
  <c r="B4315" i="3"/>
  <c r="B4317" i="3"/>
  <c r="B4319" i="3"/>
  <c r="B4321" i="3"/>
  <c r="B4323" i="3"/>
  <c r="B4325" i="3"/>
  <c r="B4327" i="3"/>
  <c r="B4329" i="3"/>
  <c r="B4331" i="3"/>
  <c r="B4333" i="3"/>
  <c r="B4335" i="3"/>
  <c r="B4337" i="3"/>
  <c r="B4339" i="3"/>
  <c r="B4341" i="3"/>
  <c r="B4343" i="3"/>
  <c r="B4345" i="3"/>
  <c r="B4347" i="3"/>
  <c r="B4349" i="3"/>
  <c r="B4351" i="3"/>
  <c r="B4353" i="3"/>
  <c r="B4355" i="3"/>
  <c r="B4357" i="3"/>
  <c r="B4359" i="3"/>
  <c r="B4361" i="3"/>
  <c r="B4363" i="3"/>
  <c r="B4365" i="3"/>
  <c r="B4367" i="3"/>
  <c r="B4369" i="3"/>
  <c r="B4371" i="3"/>
  <c r="B4373" i="3"/>
  <c r="B4375" i="3"/>
  <c r="B4377" i="3"/>
  <c r="B4379" i="3"/>
  <c r="B4381" i="3"/>
  <c r="B4383" i="3"/>
  <c r="B4385" i="3"/>
  <c r="B4387" i="3"/>
  <c r="B4389" i="3"/>
  <c r="B4391" i="3"/>
  <c r="B4393" i="3"/>
  <c r="B4395" i="3"/>
  <c r="B4397" i="3"/>
  <c r="B4399" i="3"/>
  <c r="B4401" i="3"/>
  <c r="B4403" i="3"/>
  <c r="B4405" i="3"/>
  <c r="B4407" i="3"/>
  <c r="B4409" i="3"/>
  <c r="B4411" i="3"/>
  <c r="B4413" i="3"/>
  <c r="B4415" i="3"/>
  <c r="B4417" i="3"/>
  <c r="B4419" i="3"/>
  <c r="B4421" i="3"/>
  <c r="B4423" i="3"/>
  <c r="B4425" i="3"/>
  <c r="B4427" i="3"/>
  <c r="B4429" i="3"/>
  <c r="B4431" i="3"/>
  <c r="B4433" i="3"/>
  <c r="B4435" i="3"/>
  <c r="B4437" i="3"/>
  <c r="B4439" i="3"/>
  <c r="B4441" i="3"/>
  <c r="B4443" i="3"/>
  <c r="B4445" i="3"/>
  <c r="B4447" i="3"/>
  <c r="B4449" i="3"/>
  <c r="B4451" i="3"/>
  <c r="B4453" i="3"/>
  <c r="B4455" i="3"/>
  <c r="B4457" i="3"/>
  <c r="B4459" i="3"/>
  <c r="B4461" i="3"/>
  <c r="B4463" i="3"/>
  <c r="B4465" i="3"/>
  <c r="B4467" i="3"/>
  <c r="B4469" i="3"/>
  <c r="B4471" i="3"/>
  <c r="B4473" i="3"/>
  <c r="B4475" i="3"/>
  <c r="B4477" i="3"/>
  <c r="B4479" i="3"/>
  <c r="B4481" i="3"/>
  <c r="B4483" i="3"/>
  <c r="B4485" i="3"/>
  <c r="B4487" i="3"/>
  <c r="B4489" i="3"/>
  <c r="B4491" i="3"/>
  <c r="B4493" i="3"/>
  <c r="B4495" i="3"/>
  <c r="B4497" i="3"/>
  <c r="B4499" i="3"/>
  <c r="B4501" i="3"/>
  <c r="B4503" i="3"/>
  <c r="B4505" i="3"/>
  <c r="B4507" i="3"/>
  <c r="B4509" i="3"/>
  <c r="B4511" i="3"/>
  <c r="B4513" i="3"/>
  <c r="B4515" i="3"/>
  <c r="B4517" i="3"/>
  <c r="B4519" i="3"/>
  <c r="B4521" i="3"/>
  <c r="B4523" i="3"/>
  <c r="B4525" i="3"/>
  <c r="B4527" i="3"/>
  <c r="B4529" i="3"/>
  <c r="B4531" i="3"/>
  <c r="B4533" i="3"/>
  <c r="B4535" i="3"/>
  <c r="B4537" i="3"/>
  <c r="B4539" i="3"/>
  <c r="B4541" i="3"/>
  <c r="B4543" i="3"/>
  <c r="B4545" i="3"/>
  <c r="B4547" i="3"/>
  <c r="B4549" i="3"/>
  <c r="B4551" i="3"/>
  <c r="B4553" i="3"/>
  <c r="B4555" i="3"/>
  <c r="B4557" i="3"/>
  <c r="B4559" i="3"/>
  <c r="B4561" i="3"/>
  <c r="B4563" i="3"/>
  <c r="B4565" i="3"/>
  <c r="B4567" i="3"/>
  <c r="B4569" i="3"/>
  <c r="B4571" i="3"/>
  <c r="B4573" i="3"/>
  <c r="B4575" i="3"/>
  <c r="B4577" i="3"/>
  <c r="B4579" i="3"/>
  <c r="B4581" i="3"/>
  <c r="B4583" i="3"/>
  <c r="B4585" i="3"/>
  <c r="B4587" i="3"/>
  <c r="B4589" i="3"/>
  <c r="B4591" i="3"/>
  <c r="B4593" i="3"/>
  <c r="B4595" i="3"/>
  <c r="B4597" i="3"/>
  <c r="B4599" i="3"/>
  <c r="B4601" i="3"/>
  <c r="B4603" i="3"/>
  <c r="B4605" i="3"/>
  <c r="B4607" i="3"/>
  <c r="B4609" i="3"/>
  <c r="B4611" i="3"/>
  <c r="B4613" i="3"/>
  <c r="B4615" i="3"/>
  <c r="B4617" i="3"/>
  <c r="B4619" i="3"/>
  <c r="B4621" i="3"/>
  <c r="B4623" i="3"/>
  <c r="B4625" i="3"/>
  <c r="B4627" i="3"/>
  <c r="B4629" i="3"/>
  <c r="B4631" i="3"/>
  <c r="B4633" i="3"/>
  <c r="B4635" i="3"/>
  <c r="B4637" i="3"/>
  <c r="B4639" i="3"/>
  <c r="B4641" i="3"/>
  <c r="B4643" i="3"/>
  <c r="B4645" i="3"/>
  <c r="B4647" i="3"/>
  <c r="B4649" i="3"/>
  <c r="B4651" i="3"/>
  <c r="B4653" i="3"/>
  <c r="B4655" i="3"/>
  <c r="B4657" i="3"/>
  <c r="B4659" i="3"/>
  <c r="B4661" i="3"/>
  <c r="B4663" i="3"/>
  <c r="B4665" i="3"/>
  <c r="B4667" i="3"/>
  <c r="B4669" i="3"/>
  <c r="B4671" i="3"/>
  <c r="B4673" i="3"/>
  <c r="B4675" i="3"/>
  <c r="B4677" i="3"/>
  <c r="B4679" i="3"/>
  <c r="B4681" i="3"/>
  <c r="B4683" i="3"/>
  <c r="B4685" i="3"/>
  <c r="B4687" i="3"/>
  <c r="B4689" i="3"/>
  <c r="B4691" i="3"/>
  <c r="B4693" i="3"/>
  <c r="B4695" i="3"/>
  <c r="B4697" i="3"/>
  <c r="B4699" i="3"/>
  <c r="B4701" i="3"/>
  <c r="B4703" i="3"/>
  <c r="B4705" i="3"/>
  <c r="B4707" i="3"/>
  <c r="B4709" i="3"/>
  <c r="B4711" i="3"/>
  <c r="B4713" i="3"/>
  <c r="B4715" i="3"/>
  <c r="B4717" i="3"/>
  <c r="B4719" i="3"/>
  <c r="B4721" i="3"/>
  <c r="B4723" i="3"/>
  <c r="B4725" i="3"/>
  <c r="B4727" i="3"/>
  <c r="B4729" i="3"/>
  <c r="B4731" i="3"/>
  <c r="B4733" i="3"/>
  <c r="B4735" i="3"/>
  <c r="B4737" i="3"/>
  <c r="B4739" i="3"/>
  <c r="B4741" i="3"/>
  <c r="B4743" i="3"/>
  <c r="B4745" i="3"/>
  <c r="B4747" i="3"/>
  <c r="B4749" i="3"/>
  <c r="B4751" i="3"/>
  <c r="B4753" i="3"/>
  <c r="B4755" i="3"/>
  <c r="B4757" i="3"/>
  <c r="B4759" i="3"/>
  <c r="B4761" i="3"/>
  <c r="B4763" i="3"/>
  <c r="B4765" i="3"/>
  <c r="B4767" i="3"/>
  <c r="B4769" i="3"/>
  <c r="B4771" i="3"/>
  <c r="B4773" i="3"/>
  <c r="B4775" i="3"/>
  <c r="B4777" i="3"/>
  <c r="B4779" i="3"/>
  <c r="B4781" i="3"/>
  <c r="B4783" i="3"/>
  <c r="B4785" i="3"/>
  <c r="B4787" i="3"/>
  <c r="B4789" i="3"/>
  <c r="B4791" i="3"/>
  <c r="B4793" i="3"/>
  <c r="B4795" i="3"/>
  <c r="B4797" i="3"/>
  <c r="B4799" i="3"/>
  <c r="B4801" i="3"/>
  <c r="B4803" i="3"/>
  <c r="B4805" i="3"/>
  <c r="B4807" i="3"/>
  <c r="B4809" i="3"/>
  <c r="B4811" i="3"/>
  <c r="B4813" i="3"/>
  <c r="B4815" i="3"/>
  <c r="B4817" i="3"/>
  <c r="B4819" i="3"/>
  <c r="B4821" i="3"/>
  <c r="B4823" i="3"/>
  <c r="B4825" i="3"/>
  <c r="B4827" i="3"/>
  <c r="B4829" i="3"/>
  <c r="B4831" i="3"/>
  <c r="B4833" i="3"/>
  <c r="B4835" i="3"/>
  <c r="B4837" i="3"/>
  <c r="B4839" i="3"/>
  <c r="B4841" i="3"/>
  <c r="B4843" i="3"/>
  <c r="B4845" i="3"/>
  <c r="B4847" i="3"/>
  <c r="B4849" i="3"/>
  <c r="B4851" i="3"/>
  <c r="B4853" i="3"/>
  <c r="B4855" i="3"/>
  <c r="B4857" i="3"/>
  <c r="B4859" i="3"/>
  <c r="B4861" i="3"/>
  <c r="B4863" i="3"/>
  <c r="B4865" i="3"/>
  <c r="B4867" i="3"/>
  <c r="B4869" i="3"/>
  <c r="B4871" i="3"/>
  <c r="B4873" i="3"/>
  <c r="B4875" i="3"/>
  <c r="B4877" i="3"/>
  <c r="B4879" i="3"/>
  <c r="B4881" i="3"/>
  <c r="B4883" i="3"/>
  <c r="B4885" i="3"/>
  <c r="B4887" i="3"/>
  <c r="B4889" i="3"/>
  <c r="B4891" i="3"/>
  <c r="B4893" i="3"/>
  <c r="B4895" i="3"/>
  <c r="B4897" i="3"/>
  <c r="B4899" i="3"/>
  <c r="B4901" i="3"/>
  <c r="B4903" i="3"/>
  <c r="B4905" i="3"/>
  <c r="B4907" i="3"/>
  <c r="B4909" i="3"/>
  <c r="B4911" i="3"/>
  <c r="B4913" i="3"/>
  <c r="B4915" i="3"/>
  <c r="B4917" i="3"/>
  <c r="B4919" i="3"/>
  <c r="B4921" i="3"/>
  <c r="B4923" i="3"/>
  <c r="B4925" i="3"/>
  <c r="B4927" i="3"/>
  <c r="B4929" i="3"/>
  <c r="B4931" i="3"/>
  <c r="B4933" i="3"/>
  <c r="B4935" i="3"/>
  <c r="B4937" i="3"/>
  <c r="B4939" i="3"/>
  <c r="B4941" i="3"/>
  <c r="B4943" i="3"/>
  <c r="B4945" i="3"/>
  <c r="B4947" i="3"/>
  <c r="B4949" i="3"/>
  <c r="B4951" i="3"/>
  <c r="B4953" i="3"/>
  <c r="B4955" i="3"/>
  <c r="B4957" i="3"/>
  <c r="B4959" i="3"/>
  <c r="B4961" i="3"/>
  <c r="B4963" i="3"/>
  <c r="B4965" i="3"/>
  <c r="B4967" i="3"/>
  <c r="B4969" i="3"/>
  <c r="B4971" i="3"/>
  <c r="B4973" i="3"/>
  <c r="B4975" i="3"/>
  <c r="B4977" i="3"/>
  <c r="B4979" i="3"/>
  <c r="B4981" i="3"/>
  <c r="B4983" i="3"/>
  <c r="B4985" i="3"/>
  <c r="B4987" i="3"/>
  <c r="B4989" i="3"/>
  <c r="B4991" i="3"/>
  <c r="B4993" i="3"/>
  <c r="B4995" i="3"/>
  <c r="B4997" i="3"/>
  <c r="B4999" i="3"/>
  <c r="B5001" i="3"/>
  <c r="B5003" i="3"/>
  <c r="B5005" i="3"/>
  <c r="B5007" i="3"/>
  <c r="B5009" i="3"/>
  <c r="B5011" i="3"/>
  <c r="B5013" i="3"/>
  <c r="B5015" i="3"/>
  <c r="B5017" i="3"/>
  <c r="B5019" i="3"/>
  <c r="B5021" i="3"/>
  <c r="B5023" i="3"/>
  <c r="B5025" i="3"/>
  <c r="B5027" i="3"/>
  <c r="B5029" i="3"/>
  <c r="B5031" i="3"/>
  <c r="B5033" i="3"/>
  <c r="B5035" i="3"/>
  <c r="B5037" i="3"/>
  <c r="B5039" i="3"/>
  <c r="B5041" i="3"/>
  <c r="B5043" i="3"/>
  <c r="B5045" i="3"/>
  <c r="B5047" i="3"/>
  <c r="B5049" i="3"/>
  <c r="B5051" i="3"/>
  <c r="B5053" i="3"/>
  <c r="B5055" i="3"/>
  <c r="B5057" i="3"/>
  <c r="B5059" i="3"/>
  <c r="B5061" i="3"/>
  <c r="B5063" i="3"/>
  <c r="B5065" i="3"/>
  <c r="B5067" i="3"/>
  <c r="B5069" i="3"/>
  <c r="B5071" i="3"/>
  <c r="B5073" i="3"/>
  <c r="B5075" i="3"/>
  <c r="B5077" i="3"/>
  <c r="B5079" i="3"/>
  <c r="B5081" i="3"/>
  <c r="B5083" i="3"/>
  <c r="B5085" i="3"/>
  <c r="B5087" i="3"/>
  <c r="B5089" i="3"/>
  <c r="B5091" i="3"/>
  <c r="B5093" i="3"/>
  <c r="B5095" i="3"/>
  <c r="B5097" i="3"/>
  <c r="B5099" i="3"/>
  <c r="B5101" i="3"/>
  <c r="B5103" i="3"/>
  <c r="B5105" i="3"/>
  <c r="B5107" i="3"/>
  <c r="B5109" i="3"/>
  <c r="B5111" i="3"/>
  <c r="B5113" i="3"/>
  <c r="B5115" i="3"/>
  <c r="B5117" i="3"/>
  <c r="B5119" i="3"/>
  <c r="B5121" i="3"/>
  <c r="B5123" i="3"/>
  <c r="B5125" i="3"/>
  <c r="B5127" i="3"/>
  <c r="B5129" i="3"/>
  <c r="B5131" i="3"/>
  <c r="B5133" i="3"/>
  <c r="B5135" i="3"/>
  <c r="B5137" i="3"/>
  <c r="B5139" i="3"/>
  <c r="B5141" i="3"/>
  <c r="B5143" i="3"/>
  <c r="B5145" i="3"/>
  <c r="B5147" i="3"/>
  <c r="B5149" i="3"/>
  <c r="B5151" i="3"/>
  <c r="B5153" i="3"/>
  <c r="B5155" i="3"/>
  <c r="B5157" i="3"/>
  <c r="B5159" i="3"/>
  <c r="B5161" i="3"/>
  <c r="B5163" i="3"/>
  <c r="B5165" i="3"/>
  <c r="B5167" i="3"/>
  <c r="B5169" i="3"/>
  <c r="B5171" i="3"/>
  <c r="B5173" i="3"/>
  <c r="B5175" i="3"/>
  <c r="B5177" i="3"/>
  <c r="B5179" i="3"/>
  <c r="B5181" i="3"/>
  <c r="B5183" i="3"/>
  <c r="B5185" i="3"/>
  <c r="B5187" i="3"/>
  <c r="B5189" i="3"/>
  <c r="B5191" i="3"/>
  <c r="B5193" i="3"/>
  <c r="B5195" i="3"/>
  <c r="B5197" i="3"/>
  <c r="B5199" i="3"/>
  <c r="B5201" i="3"/>
  <c r="B5203" i="3"/>
  <c r="B5205" i="3"/>
  <c r="B5207" i="3"/>
  <c r="B5209" i="3"/>
  <c r="B5211" i="3"/>
  <c r="B5213" i="3"/>
  <c r="B5215" i="3"/>
  <c r="B5217" i="3"/>
  <c r="B5219" i="3"/>
  <c r="B5221" i="3"/>
  <c r="B5223" i="3"/>
  <c r="B5225" i="3"/>
  <c r="B5227" i="3"/>
  <c r="B5229" i="3"/>
  <c r="B5231" i="3"/>
  <c r="B5233" i="3"/>
  <c r="B5235" i="3"/>
  <c r="B5237" i="3"/>
  <c r="B5239" i="3"/>
  <c r="B5241" i="3"/>
  <c r="B5243" i="3"/>
  <c r="B5245" i="3"/>
  <c r="B5247" i="3"/>
  <c r="B5249" i="3"/>
  <c r="B5251" i="3"/>
  <c r="B5253" i="3"/>
  <c r="B5255" i="3"/>
  <c r="B5257" i="3"/>
  <c r="B5259" i="3"/>
  <c r="B5261" i="3"/>
  <c r="B5263" i="3"/>
  <c r="B5265" i="3"/>
  <c r="B5267" i="3"/>
  <c r="B5269" i="3"/>
  <c r="B5271" i="3"/>
  <c r="B5273" i="3"/>
  <c r="B5275" i="3"/>
  <c r="B5277" i="3"/>
  <c r="B5279" i="3"/>
  <c r="B5281" i="3"/>
  <c r="B5283" i="3"/>
  <c r="B5285" i="3"/>
  <c r="B5287" i="3"/>
  <c r="B5289" i="3"/>
  <c r="B5291" i="3"/>
  <c r="B5293" i="3"/>
  <c r="B5295" i="3"/>
  <c r="B5297" i="3"/>
  <c r="B5299" i="3"/>
  <c r="B5301" i="3"/>
  <c r="B5303" i="3"/>
  <c r="B5305" i="3"/>
  <c r="B5307" i="3"/>
  <c r="B5309" i="3"/>
  <c r="B5311" i="3"/>
  <c r="B5313" i="3"/>
  <c r="B5315" i="3"/>
  <c r="B5317" i="3"/>
  <c r="B5319" i="3"/>
  <c r="B5321" i="3"/>
  <c r="B5323" i="3"/>
  <c r="B5325" i="3"/>
  <c r="B5327" i="3"/>
  <c r="B5329" i="3"/>
  <c r="B5331" i="3"/>
  <c r="B5333" i="3"/>
  <c r="B5335" i="3"/>
  <c r="B5337" i="3"/>
  <c r="B5339" i="3"/>
  <c r="B5341" i="3"/>
  <c r="B5343" i="3"/>
  <c r="B5345" i="3"/>
  <c r="B5347" i="3"/>
  <c r="B5349" i="3"/>
  <c r="B5351" i="3"/>
  <c r="B5353" i="3"/>
  <c r="B5355" i="3"/>
  <c r="B5357" i="3"/>
  <c r="B5359" i="3"/>
  <c r="B5361" i="3"/>
  <c r="B5363" i="3"/>
  <c r="B5365" i="3"/>
  <c r="B5367" i="3"/>
  <c r="B5369" i="3"/>
  <c r="B5371" i="3"/>
  <c r="B5373" i="3"/>
  <c r="B5375" i="3"/>
  <c r="B5377" i="3"/>
  <c r="B5379" i="3"/>
  <c r="B5381" i="3"/>
  <c r="B5383" i="3"/>
  <c r="B5385" i="3"/>
  <c r="B5387" i="3"/>
  <c r="B5389" i="3"/>
  <c r="B5391" i="3"/>
  <c r="B5393" i="3"/>
  <c r="B5395" i="3"/>
  <c r="B5397" i="3"/>
  <c r="B5399" i="3"/>
  <c r="B5401" i="3"/>
  <c r="B5403" i="3"/>
  <c r="B5405" i="3"/>
  <c r="B5407" i="3"/>
  <c r="B5409" i="3"/>
  <c r="B5411" i="3"/>
  <c r="B5413" i="3"/>
  <c r="B5415" i="3"/>
  <c r="B5417" i="3"/>
  <c r="B5419" i="3"/>
  <c r="B5421" i="3"/>
  <c r="B5423" i="3"/>
  <c r="B5425" i="3"/>
  <c r="B5427" i="3"/>
  <c r="B5429" i="3"/>
  <c r="B5431" i="3"/>
  <c r="B5433" i="3"/>
  <c r="B5435" i="3"/>
  <c r="B5437" i="3"/>
  <c r="B5439" i="3"/>
  <c r="B5441" i="3"/>
  <c r="B5443" i="3"/>
  <c r="B5445" i="3"/>
  <c r="B5447" i="3"/>
  <c r="B5449" i="3"/>
  <c r="B5451" i="3"/>
  <c r="B5453" i="3"/>
  <c r="B5455" i="3"/>
  <c r="B5457" i="3"/>
  <c r="B5459" i="3"/>
  <c r="B5461" i="3"/>
  <c r="B5463" i="3"/>
  <c r="B5465" i="3"/>
  <c r="B5467" i="3"/>
  <c r="B5469" i="3"/>
  <c r="B5471" i="3"/>
  <c r="B5473" i="3"/>
  <c r="B5475" i="3"/>
  <c r="B5477" i="3"/>
  <c r="B5479" i="3"/>
  <c r="B5481" i="3"/>
  <c r="B5483" i="3"/>
  <c r="B5485" i="3"/>
  <c r="B5487" i="3"/>
  <c r="B5489" i="3"/>
  <c r="B5491" i="3"/>
  <c r="B5493" i="3"/>
  <c r="B5495" i="3"/>
  <c r="B5497" i="3"/>
  <c r="B5499" i="3"/>
  <c r="B5501" i="3"/>
  <c r="B5503" i="3"/>
  <c r="B5505" i="3"/>
  <c r="B5507" i="3"/>
  <c r="B5509" i="3"/>
  <c r="B5511" i="3"/>
  <c r="B5513" i="3"/>
  <c r="B5515" i="3"/>
  <c r="B5517" i="3"/>
  <c r="B5519" i="3"/>
  <c r="B5521" i="3"/>
  <c r="B5523" i="3"/>
  <c r="B5525" i="3"/>
  <c r="B5527" i="3"/>
  <c r="B5529" i="3"/>
  <c r="B5531" i="3"/>
  <c r="B5533" i="3"/>
  <c r="B5535" i="3"/>
  <c r="B5537" i="3"/>
  <c r="B5539" i="3"/>
  <c r="B5541" i="3"/>
  <c r="B5543" i="3"/>
  <c r="B5545" i="3"/>
  <c r="B5547" i="3"/>
  <c r="B5549" i="3"/>
  <c r="B5551" i="3"/>
  <c r="B5553" i="3"/>
  <c r="B5555" i="3"/>
  <c r="B5557" i="3"/>
  <c r="B5559" i="3"/>
  <c r="B5561" i="3"/>
  <c r="B5563" i="3"/>
  <c r="B5565" i="3"/>
  <c r="B5567" i="3"/>
  <c r="B5569" i="3"/>
  <c r="B5571" i="3"/>
  <c r="B5573" i="3"/>
  <c r="B5575" i="3"/>
  <c r="B5577" i="3"/>
  <c r="B5579" i="3"/>
  <c r="B5581" i="3"/>
  <c r="B5583" i="3"/>
  <c r="B5585" i="3"/>
  <c r="B5587" i="3"/>
  <c r="B5589" i="3"/>
  <c r="B5591" i="3"/>
  <c r="B5593" i="3"/>
  <c r="B5595" i="3"/>
  <c r="B5597" i="3"/>
  <c r="B5599" i="3"/>
  <c r="B5601" i="3"/>
  <c r="B5603" i="3"/>
  <c r="B5605" i="3"/>
  <c r="B5607" i="3"/>
  <c r="B5609" i="3"/>
  <c r="B5611" i="3"/>
  <c r="B5613" i="3"/>
  <c r="B5615" i="3"/>
  <c r="B5617" i="3"/>
  <c r="B5619" i="3"/>
  <c r="B5621" i="3"/>
  <c r="B5623" i="3"/>
  <c r="B5625" i="3"/>
  <c r="B5627" i="3"/>
  <c r="B5629" i="3"/>
  <c r="B5631" i="3"/>
  <c r="B5633" i="3"/>
  <c r="B5635" i="3"/>
  <c r="B5637" i="3"/>
  <c r="B5639" i="3"/>
  <c r="B5641" i="3"/>
  <c r="B5643" i="3"/>
  <c r="B5645" i="3"/>
  <c r="B5647" i="3"/>
  <c r="B5649" i="3"/>
  <c r="B5651" i="3"/>
  <c r="B5653" i="3"/>
  <c r="B5655" i="3"/>
  <c r="B5657" i="3"/>
  <c r="B5659" i="3"/>
  <c r="B5661" i="3"/>
  <c r="B5663" i="3"/>
  <c r="B5665" i="3"/>
  <c r="B5667" i="3"/>
  <c r="B5669" i="3"/>
  <c r="B5671" i="3"/>
  <c r="B5673" i="3"/>
  <c r="B5675" i="3"/>
  <c r="B5677" i="3"/>
  <c r="B5679" i="3"/>
  <c r="B5681" i="3"/>
  <c r="B5683" i="3"/>
  <c r="B5685" i="3"/>
  <c r="B5687" i="3"/>
  <c r="B5689" i="3"/>
  <c r="B5691" i="3"/>
  <c r="B5693" i="3"/>
  <c r="B5695" i="3"/>
  <c r="B5697" i="3"/>
  <c r="B5699" i="3"/>
  <c r="B5701" i="3"/>
  <c r="B5703" i="3"/>
  <c r="B5705" i="3"/>
  <c r="B5707" i="3"/>
  <c r="B5709" i="3"/>
  <c r="B5711" i="3"/>
  <c r="B5713" i="3"/>
  <c r="B5715" i="3"/>
  <c r="B5717" i="3"/>
  <c r="B5719" i="3"/>
  <c r="B5721" i="3"/>
  <c r="B5723" i="3"/>
  <c r="B5725" i="3"/>
  <c r="B5727" i="3"/>
  <c r="B5729" i="3"/>
  <c r="B5731" i="3"/>
  <c r="B5733" i="3"/>
  <c r="B5735" i="3"/>
  <c r="B5737" i="3"/>
  <c r="B5739" i="3"/>
  <c r="B5741" i="3"/>
  <c r="B5743" i="3"/>
  <c r="B5745" i="3"/>
  <c r="B5747" i="3"/>
  <c r="B5749" i="3"/>
  <c r="B5751" i="3"/>
  <c r="B5753" i="3"/>
  <c r="B5755" i="3"/>
  <c r="B5757" i="3"/>
  <c r="B5759" i="3"/>
  <c r="B5761" i="3"/>
  <c r="B5763" i="3"/>
  <c r="B5765" i="3"/>
  <c r="B5767" i="3"/>
  <c r="B5769" i="3"/>
  <c r="B5771" i="3"/>
  <c r="B5773" i="3"/>
  <c r="B5775" i="3"/>
  <c r="B5777" i="3"/>
  <c r="B5779" i="3"/>
  <c r="B5781" i="3"/>
  <c r="B5783" i="3"/>
  <c r="B5785" i="3"/>
  <c r="B5787" i="3"/>
  <c r="B5789" i="3"/>
  <c r="B5791" i="3"/>
  <c r="B5793" i="3"/>
  <c r="B5795" i="3"/>
  <c r="B5797" i="3"/>
  <c r="B5799" i="3"/>
  <c r="B5801" i="3"/>
  <c r="B5803" i="3"/>
  <c r="B5805" i="3"/>
  <c r="B5807" i="3"/>
  <c r="B5809" i="3"/>
  <c r="B5811" i="3"/>
  <c r="B5813" i="3"/>
  <c r="B5815" i="3"/>
  <c r="B5817" i="3"/>
  <c r="B5819" i="3"/>
  <c r="B5821" i="3"/>
  <c r="B5823" i="3"/>
  <c r="B5825" i="3"/>
  <c r="B5827" i="3"/>
  <c r="B5829" i="3"/>
  <c r="B5831" i="3"/>
  <c r="B5833" i="3"/>
  <c r="B5835" i="3"/>
  <c r="B5837" i="3"/>
  <c r="B5839" i="3"/>
  <c r="B5841" i="3"/>
  <c r="B5843" i="3"/>
  <c r="B5845" i="3"/>
  <c r="B5847" i="3"/>
  <c r="B5849" i="3"/>
  <c r="B5851" i="3"/>
  <c r="B5853" i="3"/>
  <c r="B5855" i="3"/>
  <c r="B5857" i="3"/>
  <c r="B5859" i="3"/>
  <c r="B5861" i="3"/>
  <c r="B5863" i="3"/>
  <c r="B5865" i="3"/>
  <c r="B5867" i="3"/>
  <c r="B5869" i="3"/>
  <c r="B5871" i="3"/>
  <c r="B5873" i="3"/>
  <c r="B5875" i="3"/>
  <c r="B5877" i="3"/>
  <c r="B5879" i="3"/>
  <c r="B5881" i="3"/>
  <c r="B5883" i="3"/>
  <c r="B5885" i="3"/>
  <c r="B5887" i="3"/>
  <c r="B5889" i="3"/>
  <c r="B5891" i="3"/>
  <c r="B5893" i="3"/>
  <c r="B5895" i="3"/>
  <c r="B5897" i="3"/>
  <c r="B5899" i="3"/>
  <c r="B5901" i="3"/>
  <c r="B5903" i="3"/>
  <c r="B5905" i="3"/>
  <c r="B5907" i="3"/>
  <c r="B5909" i="3"/>
  <c r="B5911" i="3"/>
  <c r="B5913" i="3"/>
  <c r="B5915" i="3"/>
  <c r="B5917" i="3"/>
  <c r="B5919" i="3"/>
  <c r="B5921" i="3"/>
  <c r="B5923" i="3"/>
  <c r="B5925" i="3"/>
  <c r="B5927" i="3"/>
  <c r="B5929" i="3"/>
  <c r="B5931" i="3"/>
  <c r="B5933" i="3"/>
  <c r="B5935" i="3"/>
  <c r="B5937" i="3"/>
  <c r="B5939" i="3"/>
  <c r="B5941" i="3"/>
  <c r="B5943" i="3"/>
  <c r="B5945" i="3"/>
  <c r="B5947" i="3"/>
  <c r="B5949" i="3"/>
  <c r="B5951" i="3"/>
  <c r="B5953" i="3"/>
  <c r="B5955" i="3"/>
  <c r="B5957" i="3"/>
  <c r="B5959" i="3"/>
  <c r="B5961" i="3"/>
  <c r="B5963" i="3"/>
  <c r="B5965" i="3"/>
  <c r="B5967" i="3"/>
  <c r="B5969" i="3"/>
  <c r="B5971" i="3"/>
  <c r="B5973" i="3"/>
  <c r="B5975" i="3"/>
  <c r="B5977" i="3"/>
  <c r="B5979" i="3"/>
  <c r="B5981" i="3"/>
  <c r="B5983" i="3"/>
  <c r="B5985" i="3"/>
  <c r="B5987" i="3"/>
  <c r="B5989" i="3"/>
  <c r="B5991" i="3"/>
  <c r="B5993" i="3"/>
  <c r="B5995" i="3"/>
  <c r="B5997" i="3"/>
  <c r="B5999" i="3"/>
  <c r="B6001" i="3"/>
  <c r="B6003" i="3"/>
  <c r="B6005" i="3"/>
  <c r="B6007" i="3"/>
  <c r="B6009" i="3"/>
  <c r="B6011" i="3"/>
  <c r="B6013" i="3"/>
  <c r="B6015" i="3"/>
  <c r="B6017" i="3"/>
  <c r="B6019" i="3"/>
  <c r="B6021" i="3"/>
  <c r="B6023" i="3"/>
  <c r="B6025" i="3"/>
  <c r="B6027" i="3"/>
  <c r="B6029" i="3"/>
  <c r="B6031" i="3"/>
  <c r="B6033" i="3"/>
  <c r="B6035" i="3"/>
  <c r="B6037" i="3"/>
  <c r="B6039" i="3"/>
  <c r="B6041" i="3"/>
  <c r="B6043" i="3"/>
  <c r="B6045" i="3"/>
  <c r="B6047" i="3"/>
  <c r="B6049" i="3"/>
  <c r="B6051" i="3"/>
  <c r="B6053" i="3"/>
  <c r="B6055" i="3"/>
  <c r="B6057" i="3"/>
  <c r="B6059" i="3"/>
  <c r="B6061" i="3"/>
  <c r="B6063" i="3"/>
  <c r="B6065" i="3"/>
  <c r="B6067" i="3"/>
  <c r="B6069" i="3"/>
  <c r="B6071" i="3"/>
  <c r="B6073" i="3"/>
  <c r="B6075" i="3"/>
  <c r="B6077" i="3"/>
  <c r="B6079" i="3"/>
  <c r="B6081" i="3"/>
  <c r="B6083" i="3"/>
  <c r="B6085" i="3"/>
  <c r="B6087" i="3"/>
  <c r="B6089" i="3"/>
  <c r="B6091" i="3"/>
  <c r="B6093" i="3"/>
  <c r="B6095" i="3"/>
  <c r="B6097" i="3"/>
  <c r="B6099" i="3"/>
  <c r="B6101" i="3"/>
  <c r="B6103" i="3"/>
  <c r="B6105" i="3"/>
  <c r="B6107" i="3"/>
  <c r="B6109" i="3"/>
  <c r="B6111" i="3"/>
  <c r="B6113" i="3"/>
  <c r="B6115" i="3"/>
  <c r="B6117" i="3"/>
  <c r="B6119" i="3"/>
  <c r="B6121" i="3"/>
  <c r="B6123" i="3"/>
  <c r="B6125" i="3"/>
  <c r="B6127" i="3"/>
  <c r="B6129" i="3"/>
  <c r="B6131" i="3"/>
  <c r="B6133" i="3"/>
  <c r="B6135" i="3"/>
  <c r="B6137" i="3"/>
  <c r="B6139" i="3"/>
  <c r="B6141" i="3"/>
  <c r="B6143" i="3"/>
  <c r="B6145" i="3"/>
  <c r="B6147" i="3"/>
  <c r="B6149" i="3"/>
  <c r="B6151" i="3"/>
  <c r="B6153" i="3"/>
  <c r="B6155" i="3"/>
  <c r="B6157" i="3"/>
  <c r="B6159" i="3"/>
  <c r="B6161" i="3"/>
  <c r="B6163" i="3"/>
  <c r="B6165" i="3"/>
  <c r="B6167" i="3"/>
  <c r="B6169" i="3"/>
  <c r="B6171" i="3"/>
  <c r="B6173" i="3"/>
  <c r="B6175" i="3"/>
  <c r="B6177" i="3"/>
  <c r="B6179" i="3"/>
  <c r="B6181" i="3"/>
  <c r="B6183" i="3"/>
  <c r="B6185" i="3"/>
  <c r="B6187" i="3"/>
  <c r="B6189" i="3"/>
  <c r="B6191" i="3"/>
  <c r="B6193" i="3"/>
  <c r="B6195" i="3"/>
  <c r="B6197" i="3"/>
  <c r="B6199" i="3"/>
  <c r="B6201" i="3"/>
  <c r="B6203" i="3"/>
  <c r="B6205" i="3"/>
  <c r="B6207" i="3"/>
  <c r="B6209" i="3"/>
  <c r="B6211" i="3"/>
  <c r="B6213" i="3"/>
  <c r="B6215" i="3"/>
  <c r="B6217" i="3"/>
  <c r="B6219" i="3"/>
  <c r="B6221" i="3"/>
  <c r="B6223" i="3"/>
  <c r="B6225" i="3"/>
  <c r="B6227" i="3"/>
  <c r="B6229" i="3"/>
  <c r="B6231" i="3"/>
  <c r="B6233" i="3"/>
  <c r="B6235" i="3"/>
  <c r="B6237" i="3"/>
  <c r="B6239" i="3"/>
  <c r="B6241" i="3"/>
  <c r="B6243" i="3"/>
  <c r="B6245" i="3"/>
  <c r="B6247" i="3"/>
  <c r="B6249" i="3"/>
  <c r="B6251" i="3"/>
  <c r="B6253" i="3"/>
  <c r="B6255" i="3"/>
  <c r="B6257" i="3"/>
  <c r="B6259" i="3"/>
  <c r="B6261" i="3"/>
  <c r="B6263" i="3"/>
  <c r="B6265" i="3"/>
  <c r="B6267" i="3"/>
  <c r="B6269" i="3"/>
  <c r="B6271" i="3"/>
  <c r="B6273" i="3"/>
  <c r="B6275" i="3"/>
  <c r="B6277" i="3"/>
  <c r="B6279" i="3"/>
  <c r="B6281" i="3"/>
  <c r="B6283" i="3"/>
  <c r="B6285" i="3"/>
  <c r="B6287" i="3"/>
  <c r="B6289" i="3"/>
  <c r="B6291" i="3"/>
  <c r="B6293" i="3"/>
  <c r="B6295" i="3"/>
  <c r="B6297" i="3"/>
  <c r="B6299" i="3"/>
  <c r="B6301" i="3"/>
  <c r="B6303" i="3"/>
  <c r="B6305" i="3"/>
  <c r="B6307" i="3"/>
  <c r="B6309" i="3"/>
  <c r="B6311" i="3"/>
  <c r="B6313" i="3"/>
  <c r="B6315" i="3"/>
  <c r="B6317" i="3"/>
  <c r="B6319" i="3"/>
  <c r="B6321" i="3"/>
  <c r="B6323" i="3"/>
  <c r="B6325" i="3"/>
  <c r="B6327" i="3"/>
  <c r="B6329" i="3"/>
  <c r="B6331" i="3"/>
  <c r="B6333" i="3"/>
  <c r="B6335" i="3"/>
  <c r="B6337" i="3"/>
  <c r="B6339" i="3"/>
  <c r="B6341" i="3"/>
  <c r="B6343" i="3"/>
  <c r="B6345" i="3"/>
  <c r="B6347" i="3"/>
  <c r="B6349" i="3"/>
  <c r="B6351" i="3"/>
  <c r="B6353" i="3"/>
  <c r="B6355" i="3"/>
  <c r="B6357" i="3"/>
  <c r="B6359" i="3"/>
  <c r="B6361" i="3"/>
  <c r="B6363" i="3"/>
  <c r="B6365" i="3"/>
  <c r="B6367" i="3"/>
  <c r="B6369" i="3"/>
  <c r="B6371" i="3"/>
  <c r="B6373" i="3"/>
  <c r="B6375" i="3"/>
  <c r="B6377" i="3"/>
  <c r="B6379" i="3"/>
  <c r="B6381" i="3"/>
  <c r="B6383" i="3"/>
  <c r="B6385" i="3"/>
  <c r="B6387" i="3"/>
  <c r="B6389" i="3"/>
  <c r="B6391" i="3"/>
  <c r="B6393" i="3"/>
  <c r="B6395" i="3"/>
  <c r="B6397" i="3"/>
  <c r="B6399" i="3"/>
  <c r="B6401" i="3"/>
  <c r="B6403" i="3"/>
  <c r="B6405" i="3"/>
  <c r="B6407" i="3"/>
  <c r="B6409" i="3"/>
  <c r="B6411" i="3"/>
  <c r="B6413" i="3"/>
  <c r="B6415" i="3"/>
  <c r="B6417" i="3"/>
  <c r="B6419" i="3"/>
  <c r="B6421" i="3"/>
  <c r="B6423" i="3"/>
  <c r="B6425" i="3"/>
  <c r="B6427" i="3"/>
  <c r="B6429" i="3"/>
  <c r="B6431" i="3"/>
  <c r="B6433" i="3"/>
  <c r="B6435" i="3"/>
  <c r="B6437" i="3"/>
  <c r="B6439" i="3"/>
  <c r="B6441" i="3"/>
  <c r="B6443" i="3"/>
  <c r="B6445" i="3"/>
  <c r="B6447" i="3"/>
  <c r="B6449" i="3"/>
  <c r="B6451" i="3"/>
  <c r="B6453" i="3"/>
  <c r="B6455" i="3"/>
  <c r="B6457" i="3"/>
  <c r="B6459" i="3"/>
  <c r="B6461" i="3"/>
  <c r="B6463" i="3"/>
  <c r="B6465" i="3"/>
  <c r="B6467" i="3"/>
  <c r="B6469" i="3"/>
  <c r="B6471" i="3"/>
  <c r="B6473" i="3"/>
  <c r="B6475" i="3"/>
  <c r="B6477" i="3"/>
  <c r="B6479" i="3"/>
  <c r="B6481" i="3"/>
  <c r="B6483" i="3"/>
  <c r="B6485" i="3"/>
  <c r="B6487" i="3"/>
  <c r="B6489" i="3"/>
  <c r="B6491" i="3"/>
  <c r="B6493" i="3"/>
  <c r="B6495" i="3"/>
  <c r="B6497" i="3"/>
  <c r="B6499" i="3"/>
  <c r="B6501" i="3"/>
  <c r="B6503" i="3"/>
  <c r="B6505" i="3"/>
  <c r="B6507" i="3"/>
  <c r="B6509" i="3"/>
  <c r="B6511" i="3"/>
  <c r="B6513" i="3"/>
  <c r="B6515" i="3"/>
  <c r="B6517" i="3"/>
  <c r="B6519" i="3"/>
  <c r="B6521" i="3"/>
  <c r="B6523" i="3"/>
  <c r="B6525" i="3"/>
  <c r="B6527" i="3"/>
  <c r="B6529" i="3"/>
  <c r="B6531" i="3"/>
  <c r="B6533" i="3"/>
  <c r="B6535" i="3"/>
  <c r="B6537" i="3"/>
  <c r="B6539" i="3"/>
  <c r="B6541" i="3"/>
  <c r="B6543" i="3"/>
  <c r="B6545" i="3"/>
  <c r="B6547" i="3"/>
  <c r="B6549" i="3"/>
  <c r="B6551" i="3"/>
  <c r="B6553" i="3"/>
  <c r="B6555" i="3"/>
  <c r="B6557" i="3"/>
  <c r="B6559" i="3"/>
  <c r="B6561" i="3"/>
  <c r="B6563" i="3"/>
  <c r="B6565" i="3"/>
  <c r="B6567" i="3"/>
  <c r="B6569" i="3"/>
  <c r="B6571" i="3"/>
  <c r="B6573" i="3"/>
  <c r="B6575" i="3"/>
  <c r="B6577" i="3"/>
  <c r="B6579" i="3"/>
  <c r="B6581" i="3"/>
  <c r="B6583" i="3"/>
  <c r="B6585" i="3"/>
  <c r="B6587" i="3"/>
  <c r="B6589" i="3"/>
  <c r="B6591" i="3"/>
  <c r="B6593" i="3"/>
  <c r="B6595" i="3"/>
  <c r="B6597" i="3"/>
  <c r="B6599" i="3"/>
  <c r="B6601" i="3"/>
  <c r="B6603" i="3"/>
  <c r="B6605" i="3"/>
  <c r="B6607" i="3"/>
  <c r="B6609" i="3"/>
  <c r="B6611" i="3"/>
  <c r="B6613" i="3"/>
  <c r="B6615" i="3"/>
  <c r="B6617" i="3"/>
  <c r="B6619" i="3"/>
  <c r="B6621" i="3"/>
  <c r="B6623" i="3"/>
  <c r="B6625" i="3"/>
  <c r="B6627" i="3"/>
  <c r="B6629" i="3"/>
  <c r="B6631" i="3"/>
  <c r="B6633" i="3"/>
  <c r="B6635" i="3"/>
  <c r="B6637" i="3"/>
  <c r="B6639" i="3"/>
  <c r="B6641" i="3"/>
  <c r="B6643" i="3"/>
  <c r="B6645" i="3"/>
  <c r="B6647" i="3"/>
  <c r="B6649" i="3"/>
  <c r="B6651" i="3"/>
  <c r="B6653" i="3"/>
  <c r="B6655" i="3"/>
  <c r="B6657" i="3"/>
  <c r="B6659" i="3"/>
  <c r="B6661" i="3"/>
  <c r="B6663" i="3"/>
  <c r="B6665" i="3"/>
  <c r="B6667" i="3"/>
  <c r="B6669" i="3"/>
  <c r="B6671" i="3"/>
  <c r="B6673" i="3"/>
  <c r="B6675" i="3"/>
  <c r="B6677" i="3"/>
  <c r="B6679" i="3"/>
  <c r="B6681" i="3"/>
  <c r="B6683" i="3"/>
  <c r="B6685" i="3"/>
  <c r="B6687" i="3"/>
  <c r="B6689" i="3"/>
  <c r="B6691" i="3"/>
  <c r="B6693" i="3"/>
  <c r="B6695" i="3"/>
  <c r="B6697" i="3"/>
  <c r="B6699" i="3"/>
  <c r="B6701" i="3"/>
  <c r="B6703" i="3"/>
  <c r="B6705" i="3"/>
  <c r="B6707" i="3"/>
  <c r="B6709" i="3"/>
  <c r="B6711" i="3"/>
  <c r="B6713" i="3"/>
  <c r="B6715" i="3"/>
  <c r="B6717" i="3"/>
  <c r="B6719" i="3"/>
  <c r="B6721" i="3"/>
  <c r="B6723" i="3"/>
  <c r="B6725" i="3"/>
  <c r="B6727" i="3"/>
  <c r="B6729" i="3"/>
  <c r="B6731" i="3"/>
  <c r="B6733" i="3"/>
  <c r="B6735" i="3"/>
  <c r="B6737" i="3"/>
  <c r="B6739" i="3"/>
  <c r="B6741" i="3"/>
  <c r="B6743" i="3"/>
  <c r="B6745" i="3"/>
  <c r="B6747" i="3"/>
  <c r="B6749" i="3"/>
  <c r="B6751" i="3"/>
  <c r="B6753" i="3"/>
  <c r="B6755" i="3"/>
  <c r="B6757" i="3"/>
  <c r="B6759" i="3"/>
  <c r="B6761" i="3"/>
  <c r="B6763" i="3"/>
  <c r="B6765" i="3"/>
  <c r="B6767" i="3"/>
  <c r="B6769" i="3"/>
  <c r="B6771" i="3"/>
  <c r="B6773" i="3"/>
  <c r="B6775" i="3"/>
  <c r="B6777" i="3"/>
  <c r="B6779" i="3"/>
  <c r="B6781" i="3"/>
  <c r="B6783" i="3"/>
  <c r="B6785" i="3"/>
  <c r="B6787" i="3"/>
  <c r="B6789" i="3"/>
  <c r="B6791" i="3"/>
  <c r="B6793" i="3"/>
  <c r="B6795" i="3"/>
  <c r="B6797" i="3"/>
  <c r="B6799" i="3"/>
  <c r="B6801" i="3"/>
  <c r="B6803" i="3"/>
  <c r="B6805" i="3"/>
  <c r="B6807" i="3"/>
  <c r="B6809" i="3"/>
  <c r="B6811" i="3"/>
  <c r="B6813" i="3"/>
  <c r="B6815" i="3"/>
  <c r="B6817" i="3"/>
  <c r="B6819" i="3"/>
  <c r="B6821" i="3"/>
  <c r="B6823" i="3"/>
  <c r="B6825" i="3"/>
  <c r="B6827" i="3"/>
  <c r="B6829" i="3"/>
  <c r="B6831" i="3"/>
  <c r="B6833" i="3"/>
  <c r="B6835" i="3"/>
  <c r="B6837" i="3"/>
  <c r="B6839" i="3"/>
  <c r="B6841" i="3"/>
  <c r="B6843" i="3"/>
  <c r="B6845" i="3"/>
  <c r="B6847" i="3"/>
  <c r="B6849" i="3"/>
  <c r="B6851" i="3"/>
  <c r="B6853" i="3"/>
  <c r="B6855" i="3"/>
  <c r="B6857" i="3"/>
  <c r="B6859" i="3"/>
  <c r="B6861" i="3"/>
  <c r="B6863" i="3"/>
  <c r="B6865" i="3"/>
  <c r="B6867" i="3"/>
  <c r="B6869" i="3"/>
  <c r="B6871" i="3"/>
  <c r="B6873" i="3"/>
  <c r="B6875" i="3"/>
  <c r="B6877" i="3"/>
  <c r="B6879" i="3"/>
  <c r="B6881" i="3"/>
  <c r="B6883" i="3"/>
  <c r="B6885" i="3"/>
  <c r="B6887" i="3"/>
  <c r="B6889" i="3"/>
  <c r="B6891" i="3"/>
  <c r="B6893" i="3"/>
  <c r="B6895" i="3"/>
  <c r="B6897" i="3"/>
  <c r="B6899" i="3"/>
  <c r="B6901" i="3"/>
  <c r="B6903" i="3"/>
  <c r="B6905" i="3"/>
  <c r="B6907" i="3"/>
  <c r="B6909" i="3"/>
  <c r="B6911" i="3"/>
  <c r="B6913" i="3"/>
  <c r="B6915" i="3"/>
  <c r="B6917" i="3"/>
  <c r="B6919" i="3"/>
  <c r="B6921" i="3"/>
  <c r="B6923" i="3"/>
  <c r="B6925" i="3"/>
  <c r="B6927" i="3"/>
  <c r="B6929" i="3"/>
  <c r="B6931" i="3"/>
  <c r="B6933" i="3"/>
  <c r="B6935" i="3"/>
  <c r="B6937" i="3"/>
  <c r="B6939" i="3"/>
  <c r="B6941" i="3"/>
  <c r="B6943" i="3"/>
  <c r="B6945" i="3"/>
  <c r="B6947" i="3"/>
  <c r="B6949" i="3"/>
  <c r="B6951" i="3"/>
  <c r="B6953" i="3"/>
  <c r="B6955" i="3"/>
  <c r="B6957" i="3"/>
  <c r="B6959" i="3"/>
  <c r="B6961" i="3"/>
  <c r="B6963" i="3"/>
  <c r="B6965" i="3"/>
  <c r="B6967" i="3"/>
  <c r="B6969" i="3"/>
  <c r="B6971" i="3"/>
  <c r="B6973" i="3"/>
  <c r="B6975" i="3"/>
  <c r="B6977" i="3"/>
  <c r="B6979" i="3"/>
  <c r="B6981" i="3"/>
  <c r="B6983" i="3"/>
  <c r="B6985" i="3"/>
  <c r="B6987" i="3"/>
  <c r="B6989" i="3"/>
  <c r="B6991" i="3"/>
  <c r="B6993" i="3"/>
  <c r="B6995" i="3"/>
  <c r="B6997" i="3"/>
  <c r="B6999" i="3"/>
  <c r="B7001" i="3"/>
  <c r="B7003" i="3"/>
  <c r="B7005" i="3"/>
  <c r="B7007" i="3"/>
  <c r="B7009" i="3"/>
  <c r="B7011" i="3"/>
  <c r="B7013" i="3"/>
  <c r="B7015" i="3"/>
  <c r="B7017" i="3"/>
  <c r="B7019" i="3"/>
  <c r="B7021" i="3"/>
  <c r="B7023" i="3"/>
  <c r="B7025" i="3"/>
  <c r="B7027" i="3"/>
  <c r="B7029" i="3"/>
  <c r="B7031" i="3"/>
  <c r="B7033" i="3"/>
  <c r="B7035" i="3"/>
  <c r="B7037" i="3"/>
  <c r="B7039" i="3"/>
  <c r="B7041" i="3"/>
  <c r="B7043" i="3"/>
  <c r="B7045" i="3"/>
  <c r="B7047" i="3"/>
  <c r="B7049" i="3"/>
  <c r="B7051" i="3"/>
  <c r="B7053" i="3"/>
  <c r="B7055" i="3"/>
  <c r="B7057" i="3"/>
  <c r="B7059" i="3"/>
  <c r="B7061" i="3"/>
  <c r="B7063" i="3"/>
  <c r="B7065" i="3"/>
  <c r="B7067" i="3"/>
  <c r="B7069" i="3"/>
  <c r="B7071" i="3"/>
  <c r="B7073" i="3"/>
  <c r="B7075" i="3"/>
  <c r="B7077" i="3"/>
  <c r="B7079" i="3"/>
  <c r="B7081" i="3"/>
  <c r="B7083" i="3"/>
  <c r="B7085" i="3"/>
  <c r="B7087" i="3"/>
  <c r="B7089" i="3"/>
  <c r="B7091" i="3"/>
  <c r="B7093" i="3"/>
  <c r="B7095" i="3"/>
  <c r="B7097" i="3"/>
  <c r="B7099" i="3"/>
  <c r="B7101" i="3"/>
  <c r="B7103" i="3"/>
  <c r="B7105" i="3"/>
  <c r="B7107" i="3"/>
  <c r="B7109" i="3"/>
  <c r="B7111" i="3"/>
  <c r="B7113" i="3"/>
  <c r="B7115" i="3"/>
  <c r="B7117" i="3"/>
  <c r="B7119" i="3"/>
  <c r="B7121" i="3"/>
  <c r="B7123" i="3"/>
  <c r="B7125" i="3"/>
  <c r="B5264" i="3"/>
  <c r="B5266" i="3"/>
  <c r="B5268" i="3"/>
  <c r="B5270" i="3"/>
  <c r="B5272" i="3"/>
  <c r="B5274" i="3"/>
  <c r="B5276" i="3"/>
  <c r="B5278" i="3"/>
  <c r="B5280" i="3"/>
  <c r="B5282" i="3"/>
  <c r="B5284" i="3"/>
  <c r="B5286" i="3"/>
  <c r="B5288" i="3"/>
  <c r="B5290" i="3"/>
  <c r="B5292" i="3"/>
  <c r="B5294" i="3"/>
  <c r="B5296" i="3"/>
  <c r="B5298" i="3"/>
  <c r="B5300" i="3"/>
  <c r="B5302" i="3"/>
  <c r="B5304" i="3"/>
  <c r="B5306" i="3"/>
  <c r="B5308" i="3"/>
  <c r="B5310" i="3"/>
  <c r="B5312" i="3"/>
  <c r="B5314" i="3"/>
  <c r="B5316" i="3"/>
  <c r="B5318" i="3"/>
  <c r="B5320" i="3"/>
  <c r="B5322" i="3"/>
  <c r="B5324" i="3"/>
  <c r="B5326" i="3"/>
  <c r="B5328" i="3"/>
  <c r="B5330" i="3"/>
  <c r="B5332" i="3"/>
  <c r="B5334" i="3"/>
  <c r="B5336" i="3"/>
  <c r="B5338" i="3"/>
  <c r="B5340" i="3"/>
  <c r="B5342" i="3"/>
  <c r="B5344" i="3"/>
  <c r="B5346" i="3"/>
  <c r="B5348" i="3"/>
  <c r="B5350" i="3"/>
  <c r="B5352" i="3"/>
  <c r="B5354" i="3"/>
  <c r="B5356" i="3"/>
  <c r="B5358" i="3"/>
  <c r="B5360" i="3"/>
  <c r="B5362" i="3"/>
  <c r="B5364" i="3"/>
  <c r="B5366" i="3"/>
  <c r="B5368" i="3"/>
  <c r="B5370" i="3"/>
  <c r="B5372" i="3"/>
  <c r="B5374" i="3"/>
  <c r="B5376" i="3"/>
  <c r="B5378" i="3"/>
  <c r="B5380" i="3"/>
  <c r="B5382" i="3"/>
  <c r="B5384" i="3"/>
  <c r="B5386" i="3"/>
  <c r="B5388" i="3"/>
  <c r="B5390" i="3"/>
  <c r="B5392" i="3"/>
  <c r="B5394" i="3"/>
  <c r="B5396" i="3"/>
  <c r="B5398" i="3"/>
  <c r="B5400" i="3"/>
  <c r="B5402" i="3"/>
  <c r="B5404" i="3"/>
  <c r="B5406" i="3"/>
  <c r="B5408" i="3"/>
  <c r="B5410" i="3"/>
  <c r="B5412" i="3"/>
  <c r="B5414" i="3"/>
  <c r="B5416" i="3"/>
  <c r="B5418" i="3"/>
  <c r="B5420" i="3"/>
  <c r="B5422" i="3"/>
  <c r="B5424" i="3"/>
  <c r="B5426" i="3"/>
  <c r="B5428" i="3"/>
  <c r="B5430" i="3"/>
  <c r="B5432" i="3"/>
  <c r="B5434" i="3"/>
  <c r="B5436" i="3"/>
  <c r="B5438" i="3"/>
  <c r="B5440" i="3"/>
  <c r="B5442" i="3"/>
  <c r="B5444" i="3"/>
  <c r="B5446" i="3"/>
  <c r="B5448" i="3"/>
  <c r="B5450" i="3"/>
  <c r="B5452" i="3"/>
  <c r="B5454" i="3"/>
  <c r="B5456" i="3"/>
  <c r="B5458" i="3"/>
  <c r="B5460" i="3"/>
  <c r="B5462" i="3"/>
  <c r="B5464" i="3"/>
  <c r="B5466" i="3"/>
  <c r="B5468" i="3"/>
  <c r="B5470" i="3"/>
  <c r="B5472" i="3"/>
  <c r="B5474" i="3"/>
  <c r="B5476" i="3"/>
  <c r="B5478" i="3"/>
  <c r="B5480" i="3"/>
  <c r="B5482" i="3"/>
  <c r="B5484" i="3"/>
  <c r="B5486" i="3"/>
  <c r="B5488" i="3"/>
  <c r="B5490" i="3"/>
  <c r="B5492" i="3"/>
  <c r="B5494" i="3"/>
  <c r="B5496" i="3"/>
  <c r="B5498" i="3"/>
  <c r="B5500" i="3"/>
  <c r="B5502" i="3"/>
  <c r="B5504" i="3"/>
  <c r="B5506" i="3"/>
  <c r="B5508" i="3"/>
  <c r="B5510" i="3"/>
  <c r="B5512" i="3"/>
  <c r="B5514" i="3"/>
  <c r="B5516" i="3"/>
  <c r="B5518" i="3"/>
  <c r="B5520" i="3"/>
  <c r="B5522" i="3"/>
  <c r="B5524" i="3"/>
  <c r="B5526" i="3"/>
  <c r="B5528" i="3"/>
  <c r="B5530" i="3"/>
  <c r="B5532" i="3"/>
  <c r="B5534" i="3"/>
  <c r="B5536" i="3"/>
  <c r="B5538" i="3"/>
  <c r="B5540" i="3"/>
  <c r="B5542" i="3"/>
  <c r="B5544" i="3"/>
  <c r="B5546" i="3"/>
  <c r="B5548" i="3"/>
  <c r="B5550" i="3"/>
  <c r="B5552" i="3"/>
  <c r="B5554" i="3"/>
  <c r="B5556" i="3"/>
  <c r="B5558" i="3"/>
  <c r="B5560" i="3"/>
  <c r="B5562" i="3"/>
  <c r="B5564" i="3"/>
  <c r="B5566" i="3"/>
  <c r="B5568" i="3"/>
  <c r="B5570" i="3"/>
  <c r="B5572" i="3"/>
  <c r="B5574" i="3"/>
  <c r="B5576" i="3"/>
  <c r="B5578" i="3"/>
  <c r="B5580" i="3"/>
  <c r="B5582" i="3"/>
  <c r="B5584" i="3"/>
  <c r="B5586" i="3"/>
  <c r="B5588" i="3"/>
  <c r="B5590" i="3"/>
  <c r="B5592" i="3"/>
  <c r="B5594" i="3"/>
  <c r="B5596" i="3"/>
  <c r="B5598" i="3"/>
  <c r="B5600" i="3"/>
  <c r="B5602" i="3"/>
  <c r="B5604" i="3"/>
  <c r="B5606" i="3"/>
  <c r="B5608" i="3"/>
  <c r="B5610" i="3"/>
  <c r="B5612" i="3"/>
  <c r="B5614" i="3"/>
  <c r="B5616" i="3"/>
  <c r="B5618" i="3"/>
  <c r="B5620" i="3"/>
  <c r="B5622" i="3"/>
  <c r="B5624" i="3"/>
  <c r="B5626" i="3"/>
  <c r="B5628" i="3"/>
  <c r="B5630" i="3"/>
  <c r="B5632" i="3"/>
  <c r="B5634" i="3"/>
  <c r="B5636" i="3"/>
  <c r="B5638" i="3"/>
  <c r="B5640" i="3"/>
  <c r="B5642" i="3"/>
  <c r="B5644" i="3"/>
  <c r="B5646" i="3"/>
  <c r="B5648" i="3"/>
  <c r="B5650" i="3"/>
  <c r="B5652" i="3"/>
  <c r="B5654" i="3"/>
  <c r="B5656" i="3"/>
  <c r="B5658" i="3"/>
  <c r="B5660" i="3"/>
  <c r="B5662" i="3"/>
  <c r="B5664" i="3"/>
  <c r="B5666" i="3"/>
  <c r="B5668" i="3"/>
  <c r="B5670" i="3"/>
  <c r="B5672" i="3"/>
  <c r="B5674" i="3"/>
  <c r="B5676" i="3"/>
  <c r="B5678" i="3"/>
  <c r="B5680" i="3"/>
  <c r="B5682" i="3"/>
  <c r="B5684" i="3"/>
  <c r="B5686" i="3"/>
  <c r="B5688" i="3"/>
  <c r="B5690" i="3"/>
  <c r="B5692" i="3"/>
  <c r="B5694" i="3"/>
  <c r="B5696" i="3"/>
  <c r="B5698" i="3"/>
  <c r="B5700" i="3"/>
  <c r="B5702" i="3"/>
  <c r="B5704" i="3"/>
  <c r="B5706" i="3"/>
  <c r="B5708" i="3"/>
  <c r="B5710" i="3"/>
  <c r="B5712" i="3"/>
  <c r="B5714" i="3"/>
  <c r="B5716" i="3"/>
  <c r="B5718" i="3"/>
  <c r="B5720" i="3"/>
  <c r="B5722" i="3"/>
  <c r="B5724" i="3"/>
  <c r="B5726" i="3"/>
  <c r="B5728" i="3"/>
  <c r="B5730" i="3"/>
  <c r="B5732" i="3"/>
  <c r="B5734" i="3"/>
  <c r="B5736" i="3"/>
  <c r="B5738" i="3"/>
  <c r="B5740" i="3"/>
  <c r="B5742" i="3"/>
  <c r="B5744" i="3"/>
  <c r="B5746" i="3"/>
  <c r="B5748" i="3"/>
  <c r="B5750" i="3"/>
  <c r="B5752" i="3"/>
  <c r="B5754" i="3"/>
  <c r="B5756" i="3"/>
  <c r="B5758" i="3"/>
  <c r="B5760" i="3"/>
  <c r="B5762" i="3"/>
  <c r="B5764" i="3"/>
  <c r="B5766" i="3"/>
  <c r="B5768" i="3"/>
  <c r="B5770" i="3"/>
  <c r="B5772" i="3"/>
  <c r="B5774" i="3"/>
  <c r="B5776" i="3"/>
  <c r="B5778" i="3"/>
  <c r="B5780" i="3"/>
  <c r="B5782" i="3"/>
  <c r="B5784" i="3"/>
  <c r="B5786" i="3"/>
  <c r="B5788" i="3"/>
  <c r="B5790" i="3"/>
  <c r="B5792" i="3"/>
  <c r="B5794" i="3"/>
  <c r="B5796" i="3"/>
  <c r="B5798" i="3"/>
  <c r="B5800" i="3"/>
  <c r="B5802" i="3"/>
  <c r="B5804" i="3"/>
  <c r="B5806" i="3"/>
  <c r="B5808" i="3"/>
  <c r="B5810" i="3"/>
  <c r="B5812" i="3"/>
  <c r="B5814" i="3"/>
  <c r="B5816" i="3"/>
  <c r="B5818" i="3"/>
  <c r="B5820" i="3"/>
  <c r="B5822" i="3"/>
  <c r="B5824" i="3"/>
  <c r="B5826" i="3"/>
  <c r="B5828" i="3"/>
  <c r="B5830" i="3"/>
  <c r="B5832" i="3"/>
  <c r="B5834" i="3"/>
  <c r="B5836" i="3"/>
  <c r="B5838" i="3"/>
  <c r="B5840" i="3"/>
  <c r="B5842" i="3"/>
  <c r="B5844" i="3"/>
  <c r="B5846" i="3"/>
  <c r="B5848" i="3"/>
  <c r="B5850" i="3"/>
  <c r="B5852" i="3"/>
  <c r="B5854" i="3"/>
  <c r="B5856" i="3"/>
  <c r="B5858" i="3"/>
  <c r="B5860" i="3"/>
  <c r="B5862" i="3"/>
  <c r="B5864" i="3"/>
  <c r="B5866" i="3"/>
  <c r="B5868" i="3"/>
  <c r="B5870" i="3"/>
  <c r="B5872" i="3"/>
  <c r="B5874" i="3"/>
  <c r="B5876" i="3"/>
  <c r="B5878" i="3"/>
  <c r="B5880" i="3"/>
  <c r="B5882" i="3"/>
  <c r="B5884" i="3"/>
  <c r="B5886" i="3"/>
  <c r="B5888" i="3"/>
  <c r="B5890" i="3"/>
  <c r="B5892" i="3"/>
  <c r="B5894" i="3"/>
  <c r="B5896" i="3"/>
  <c r="B5898" i="3"/>
  <c r="B5900" i="3"/>
  <c r="B5902" i="3"/>
  <c r="B5904" i="3"/>
  <c r="B5906" i="3"/>
  <c r="B5908" i="3"/>
  <c r="B5910" i="3"/>
  <c r="B5912" i="3"/>
  <c r="B5914" i="3"/>
  <c r="B5916" i="3"/>
  <c r="B5918" i="3"/>
  <c r="B5920" i="3"/>
  <c r="B5922" i="3"/>
  <c r="B5924" i="3"/>
  <c r="B5926" i="3"/>
  <c r="B5928" i="3"/>
  <c r="B5930" i="3"/>
  <c r="B5932" i="3"/>
  <c r="B5934" i="3"/>
  <c r="B5936" i="3"/>
  <c r="B5938" i="3"/>
  <c r="B5940" i="3"/>
  <c r="B5942" i="3"/>
  <c r="B5944" i="3"/>
  <c r="B5946" i="3"/>
  <c r="B5948" i="3"/>
  <c r="B5950" i="3"/>
  <c r="B5952" i="3"/>
  <c r="B5954" i="3"/>
  <c r="B5956" i="3"/>
  <c r="B5958" i="3"/>
  <c r="B5960" i="3"/>
  <c r="B5962" i="3"/>
  <c r="B5964" i="3"/>
  <c r="B5966" i="3"/>
  <c r="B5968" i="3"/>
  <c r="B5970" i="3"/>
  <c r="B5972" i="3"/>
  <c r="B5974" i="3"/>
  <c r="B5976" i="3"/>
  <c r="B5978" i="3"/>
  <c r="B5980" i="3"/>
  <c r="B5982" i="3"/>
  <c r="B5984" i="3"/>
  <c r="B5986" i="3"/>
  <c r="B5988" i="3"/>
  <c r="B5990" i="3"/>
  <c r="B5992" i="3"/>
  <c r="B5994" i="3"/>
  <c r="B5996" i="3"/>
  <c r="B5998" i="3"/>
  <c r="B6000" i="3"/>
  <c r="B6002" i="3"/>
  <c r="B6004" i="3"/>
  <c r="B6006" i="3"/>
  <c r="B6008" i="3"/>
  <c r="B6010" i="3"/>
  <c r="B6012" i="3"/>
  <c r="B6014" i="3"/>
  <c r="B6016" i="3"/>
  <c r="B6018" i="3"/>
  <c r="B6020" i="3"/>
  <c r="B6022" i="3"/>
  <c r="B6024" i="3"/>
  <c r="B6026" i="3"/>
  <c r="B6028" i="3"/>
  <c r="B6030" i="3"/>
  <c r="B6032" i="3"/>
  <c r="B6034" i="3"/>
  <c r="B6036" i="3"/>
  <c r="B6038" i="3"/>
  <c r="B6040" i="3"/>
  <c r="B6042" i="3"/>
  <c r="B6044" i="3"/>
  <c r="B6046" i="3"/>
  <c r="B6048" i="3"/>
  <c r="B6050" i="3"/>
  <c r="B6052" i="3"/>
  <c r="B6054" i="3"/>
  <c r="B6056" i="3"/>
  <c r="B6058" i="3"/>
  <c r="B6060" i="3"/>
  <c r="B6062" i="3"/>
  <c r="B6064" i="3"/>
  <c r="B6066" i="3"/>
  <c r="B6068" i="3"/>
  <c r="B6070" i="3"/>
  <c r="B6072" i="3"/>
  <c r="B6074" i="3"/>
  <c r="B6076" i="3"/>
  <c r="B6078" i="3"/>
  <c r="B6080" i="3"/>
  <c r="B6082" i="3"/>
  <c r="B6084" i="3"/>
  <c r="B6086" i="3"/>
  <c r="B6088" i="3"/>
  <c r="B6090" i="3"/>
  <c r="B6092" i="3"/>
  <c r="B6094" i="3"/>
  <c r="B6096" i="3"/>
  <c r="B6098" i="3"/>
  <c r="B6100" i="3"/>
  <c r="B6102" i="3"/>
  <c r="B6104" i="3"/>
  <c r="B6106" i="3"/>
  <c r="B6108" i="3"/>
  <c r="B6110" i="3"/>
  <c r="B6112" i="3"/>
  <c r="B6114" i="3"/>
  <c r="B6116" i="3"/>
  <c r="B6118" i="3"/>
  <c r="B6120" i="3"/>
  <c r="B6122" i="3"/>
  <c r="B6124" i="3"/>
  <c r="B6126" i="3"/>
  <c r="B6128" i="3"/>
  <c r="B6130" i="3"/>
  <c r="B6132" i="3"/>
  <c r="B6134" i="3"/>
  <c r="B6136" i="3"/>
  <c r="B6138" i="3"/>
  <c r="B6140" i="3"/>
  <c r="B6142" i="3"/>
  <c r="B6144" i="3"/>
  <c r="B6146" i="3"/>
  <c r="B6148" i="3"/>
  <c r="B6150" i="3"/>
  <c r="B6152" i="3"/>
  <c r="B6154" i="3"/>
  <c r="B6156" i="3"/>
  <c r="B6158" i="3"/>
  <c r="B6160" i="3"/>
  <c r="B6162" i="3"/>
  <c r="B6164" i="3"/>
  <c r="B6166" i="3"/>
  <c r="B6168" i="3"/>
  <c r="B6170" i="3"/>
  <c r="B6172" i="3"/>
  <c r="B6174" i="3"/>
  <c r="B6176" i="3"/>
  <c r="B6178" i="3"/>
  <c r="B6180" i="3"/>
  <c r="B6182" i="3"/>
  <c r="B6184" i="3"/>
  <c r="B6186" i="3"/>
  <c r="B6188" i="3"/>
  <c r="B6190" i="3"/>
  <c r="B6192" i="3"/>
  <c r="B6194" i="3"/>
  <c r="B6196" i="3"/>
  <c r="B6198" i="3"/>
  <c r="B6200" i="3"/>
  <c r="B6202" i="3"/>
  <c r="B6204" i="3"/>
  <c r="B6206" i="3"/>
  <c r="B6208" i="3"/>
  <c r="B6210" i="3"/>
  <c r="B6212" i="3"/>
  <c r="B6214" i="3"/>
  <c r="B6216" i="3"/>
  <c r="B6218" i="3"/>
  <c r="B6220" i="3"/>
  <c r="B6222" i="3"/>
  <c r="B6224" i="3"/>
  <c r="B6226" i="3"/>
  <c r="B6228" i="3"/>
  <c r="B6230" i="3"/>
  <c r="B6232" i="3"/>
  <c r="B6234" i="3"/>
  <c r="B6236" i="3"/>
  <c r="B6238" i="3"/>
  <c r="B6240" i="3"/>
  <c r="B6242" i="3"/>
  <c r="B6244" i="3"/>
  <c r="B6246" i="3"/>
  <c r="B6248" i="3"/>
  <c r="B6250" i="3"/>
  <c r="B6252" i="3"/>
  <c r="B6254" i="3"/>
  <c r="B6256" i="3"/>
  <c r="B6258" i="3"/>
  <c r="B6260" i="3"/>
  <c r="B6262" i="3"/>
  <c r="B6264" i="3"/>
  <c r="B6266" i="3"/>
  <c r="B6268" i="3"/>
  <c r="B6270" i="3"/>
  <c r="B6272" i="3"/>
  <c r="B6274" i="3"/>
  <c r="B6276" i="3"/>
  <c r="B6278" i="3"/>
  <c r="B6280" i="3"/>
  <c r="B6282" i="3"/>
  <c r="B6284" i="3"/>
  <c r="B6286" i="3"/>
  <c r="B6288" i="3"/>
  <c r="B6290" i="3"/>
  <c r="B6292" i="3"/>
  <c r="B6294" i="3"/>
  <c r="B6296" i="3"/>
  <c r="B6298" i="3"/>
  <c r="B6300" i="3"/>
  <c r="B6302" i="3"/>
  <c r="B6304" i="3"/>
  <c r="B6306" i="3"/>
  <c r="B6308" i="3"/>
  <c r="B6310" i="3"/>
  <c r="B6312" i="3"/>
  <c r="B6314" i="3"/>
  <c r="B6316" i="3"/>
  <c r="B6318" i="3"/>
  <c r="B6320" i="3"/>
  <c r="B6322" i="3"/>
  <c r="B6324" i="3"/>
  <c r="B6326" i="3"/>
  <c r="B6328" i="3"/>
  <c r="B6330" i="3"/>
  <c r="B6332" i="3"/>
  <c r="B6334" i="3"/>
  <c r="B6336" i="3"/>
  <c r="B6338" i="3"/>
  <c r="B6340" i="3"/>
  <c r="B6342" i="3"/>
  <c r="B6344" i="3"/>
  <c r="B6346" i="3"/>
  <c r="B6348" i="3"/>
  <c r="B6350" i="3"/>
  <c r="B6352" i="3"/>
  <c r="B6354" i="3"/>
  <c r="B6356" i="3"/>
  <c r="B6358" i="3"/>
  <c r="B6360" i="3"/>
  <c r="B6362" i="3"/>
  <c r="B6364" i="3"/>
  <c r="B6366" i="3"/>
  <c r="B6368" i="3"/>
  <c r="B6370" i="3"/>
  <c r="B6372" i="3"/>
  <c r="B6374" i="3"/>
  <c r="B6376" i="3"/>
  <c r="B6378" i="3"/>
  <c r="B6380" i="3"/>
  <c r="B6382" i="3"/>
  <c r="B6384" i="3"/>
  <c r="B6386" i="3"/>
  <c r="B6388" i="3"/>
  <c r="B6390" i="3"/>
  <c r="B6392" i="3"/>
  <c r="B6394" i="3"/>
  <c r="B6396" i="3"/>
  <c r="B6398" i="3"/>
  <c r="B6400" i="3"/>
  <c r="B6402" i="3"/>
  <c r="B6404" i="3"/>
  <c r="B6406" i="3"/>
  <c r="B6408" i="3"/>
  <c r="B6410" i="3"/>
  <c r="B6412" i="3"/>
  <c r="B6414" i="3"/>
  <c r="B6416" i="3"/>
  <c r="B6418" i="3"/>
  <c r="B6420" i="3"/>
  <c r="B6422" i="3"/>
  <c r="B6424" i="3"/>
  <c r="B6426" i="3"/>
  <c r="B6428" i="3"/>
  <c r="B6430" i="3"/>
  <c r="B6432" i="3"/>
  <c r="B6434" i="3"/>
  <c r="B6436" i="3"/>
  <c r="B6438" i="3"/>
  <c r="B6440" i="3"/>
  <c r="B6442" i="3"/>
  <c r="B6444" i="3"/>
  <c r="B6446" i="3"/>
  <c r="B6448" i="3"/>
  <c r="B6450" i="3"/>
  <c r="B6452" i="3"/>
  <c r="B6454" i="3"/>
  <c r="B6456" i="3"/>
  <c r="B6458" i="3"/>
  <c r="B6460" i="3"/>
  <c r="B6462" i="3"/>
  <c r="B6464" i="3"/>
  <c r="B6466" i="3"/>
  <c r="B6468" i="3"/>
  <c r="B6470" i="3"/>
  <c r="B6472" i="3"/>
  <c r="B6474" i="3"/>
  <c r="B6476" i="3"/>
  <c r="B6478" i="3"/>
  <c r="B6480" i="3"/>
  <c r="B6482" i="3"/>
  <c r="B6484" i="3"/>
  <c r="B6486" i="3"/>
  <c r="B6488" i="3"/>
  <c r="B6490" i="3"/>
  <c r="B6492" i="3"/>
  <c r="B6494" i="3"/>
  <c r="B6496" i="3"/>
  <c r="B6498" i="3"/>
  <c r="B6500" i="3"/>
  <c r="B6502" i="3"/>
  <c r="B6504" i="3"/>
  <c r="B6506" i="3"/>
  <c r="B6508" i="3"/>
  <c r="B6510" i="3"/>
  <c r="B6512" i="3"/>
  <c r="B6514" i="3"/>
  <c r="B6516" i="3"/>
  <c r="B6518" i="3"/>
  <c r="B6520" i="3"/>
  <c r="B6522" i="3"/>
  <c r="B6524" i="3"/>
  <c r="B6526" i="3"/>
  <c r="B6528" i="3"/>
  <c r="B6530" i="3"/>
  <c r="B6532" i="3"/>
  <c r="B6534" i="3"/>
  <c r="B6536" i="3"/>
  <c r="B6538" i="3"/>
  <c r="B6540" i="3"/>
  <c r="B6542" i="3"/>
  <c r="B6544" i="3"/>
  <c r="B6546" i="3"/>
  <c r="B6548" i="3"/>
  <c r="B6550" i="3"/>
  <c r="B6552" i="3"/>
  <c r="B6554" i="3"/>
  <c r="B6556" i="3"/>
  <c r="B6558" i="3"/>
  <c r="B6560" i="3"/>
  <c r="B6562" i="3"/>
  <c r="B6564" i="3"/>
  <c r="B6566" i="3"/>
  <c r="B6568" i="3"/>
  <c r="B6570" i="3"/>
  <c r="B6572" i="3"/>
  <c r="B6574" i="3"/>
  <c r="B6576" i="3"/>
  <c r="B6578" i="3"/>
  <c r="B6580" i="3"/>
  <c r="B6582" i="3"/>
  <c r="B6584" i="3"/>
  <c r="B6586" i="3"/>
  <c r="B6588" i="3"/>
  <c r="B6590" i="3"/>
  <c r="B6592" i="3"/>
  <c r="B6594" i="3"/>
  <c r="B6596" i="3"/>
  <c r="B6598" i="3"/>
  <c r="B6600" i="3"/>
  <c r="B6602" i="3"/>
  <c r="B6604" i="3"/>
  <c r="B6606" i="3"/>
  <c r="B6608" i="3"/>
  <c r="B6610" i="3"/>
  <c r="B6612" i="3"/>
  <c r="B6614" i="3"/>
  <c r="B6616" i="3"/>
  <c r="B6618" i="3"/>
  <c r="B6620" i="3"/>
  <c r="B6622" i="3"/>
  <c r="B6624" i="3"/>
  <c r="B6626" i="3"/>
  <c r="B6628" i="3"/>
  <c r="B6630" i="3"/>
  <c r="B6632" i="3"/>
  <c r="B6634" i="3"/>
  <c r="B6636" i="3"/>
  <c r="B6638" i="3"/>
  <c r="B6640" i="3"/>
  <c r="B6642" i="3"/>
  <c r="B6644" i="3"/>
  <c r="B6646" i="3"/>
  <c r="B6648" i="3"/>
  <c r="B6650" i="3"/>
  <c r="B6652" i="3"/>
  <c r="B6654" i="3"/>
  <c r="B6656" i="3"/>
  <c r="B6658" i="3"/>
  <c r="B6660" i="3"/>
  <c r="B6662" i="3"/>
  <c r="B6664" i="3"/>
  <c r="B6666" i="3"/>
  <c r="B6668" i="3"/>
  <c r="B6670" i="3"/>
  <c r="B6672" i="3"/>
  <c r="B6674" i="3"/>
  <c r="B6676" i="3"/>
  <c r="B6678" i="3"/>
  <c r="B6680" i="3"/>
  <c r="B6682" i="3"/>
  <c r="B6684" i="3"/>
  <c r="B6686" i="3"/>
  <c r="B6688" i="3"/>
  <c r="B6690" i="3"/>
  <c r="B6692" i="3"/>
  <c r="B6694" i="3"/>
  <c r="B6696" i="3"/>
  <c r="B6698" i="3"/>
  <c r="B6700" i="3"/>
  <c r="B6702" i="3"/>
  <c r="B6704" i="3"/>
  <c r="B6706" i="3"/>
  <c r="B6708" i="3"/>
  <c r="B6710" i="3"/>
  <c r="B6712" i="3"/>
  <c r="B6714" i="3"/>
  <c r="B6716" i="3"/>
  <c r="B6718" i="3"/>
  <c r="B6720" i="3"/>
  <c r="B6722" i="3"/>
  <c r="B6724" i="3"/>
  <c r="B6726" i="3"/>
  <c r="B6728" i="3"/>
  <c r="B6730" i="3"/>
  <c r="B6732" i="3"/>
  <c r="B6734" i="3"/>
  <c r="B6736" i="3"/>
  <c r="B6738" i="3"/>
  <c r="B6740" i="3"/>
  <c r="B6742" i="3"/>
  <c r="B6744" i="3"/>
  <c r="B6746" i="3"/>
  <c r="B6748" i="3"/>
  <c r="B6750" i="3"/>
  <c r="B6752" i="3"/>
  <c r="B6754" i="3"/>
  <c r="B6756" i="3"/>
  <c r="B6758" i="3"/>
  <c r="B6760" i="3"/>
  <c r="B6762" i="3"/>
  <c r="B6764" i="3"/>
  <c r="B6766" i="3"/>
  <c r="B6768" i="3"/>
  <c r="B6770" i="3"/>
  <c r="B6772" i="3"/>
  <c r="B6774" i="3"/>
  <c r="B6776" i="3"/>
  <c r="B6778" i="3"/>
  <c r="B6780" i="3"/>
  <c r="B6782" i="3"/>
  <c r="B6784" i="3"/>
  <c r="B6786" i="3"/>
  <c r="B6788" i="3"/>
  <c r="B6790" i="3"/>
  <c r="B6792" i="3"/>
  <c r="B6794" i="3"/>
  <c r="B6796" i="3"/>
  <c r="B6798" i="3"/>
  <c r="B6800" i="3"/>
  <c r="B6802" i="3"/>
  <c r="B6804" i="3"/>
  <c r="B6806" i="3"/>
  <c r="B6808" i="3"/>
  <c r="B6810" i="3"/>
  <c r="B6812" i="3"/>
  <c r="B6814" i="3"/>
  <c r="B6816" i="3"/>
  <c r="B6818" i="3"/>
  <c r="B6820" i="3"/>
  <c r="B6822" i="3"/>
  <c r="B6824" i="3"/>
  <c r="B6826" i="3"/>
  <c r="B6828" i="3"/>
  <c r="B6830" i="3"/>
  <c r="B6832" i="3"/>
  <c r="B6834" i="3"/>
  <c r="B6836" i="3"/>
  <c r="B6838" i="3"/>
  <c r="B6840" i="3"/>
  <c r="B6842" i="3"/>
  <c r="B6844" i="3"/>
  <c r="B6846" i="3"/>
  <c r="B6848" i="3"/>
  <c r="B6850" i="3"/>
  <c r="B6852" i="3"/>
  <c r="B6854" i="3"/>
  <c r="B6856" i="3"/>
  <c r="B6858" i="3"/>
  <c r="B6860" i="3"/>
  <c r="B6862" i="3"/>
  <c r="B6864" i="3"/>
  <c r="B6866" i="3"/>
  <c r="B6868" i="3"/>
  <c r="B6870" i="3"/>
  <c r="B6872" i="3"/>
  <c r="B6874" i="3"/>
  <c r="B6876" i="3"/>
  <c r="B6878" i="3"/>
  <c r="B6880" i="3"/>
  <c r="B6882" i="3"/>
  <c r="B6884" i="3"/>
  <c r="B6886" i="3"/>
  <c r="B6888" i="3"/>
  <c r="B6890" i="3"/>
  <c r="B6892" i="3"/>
  <c r="B6894" i="3"/>
  <c r="B6896" i="3"/>
  <c r="B6898" i="3"/>
  <c r="B6900" i="3"/>
  <c r="B6902" i="3"/>
  <c r="B6904" i="3"/>
  <c r="B6906" i="3"/>
  <c r="B6908" i="3"/>
  <c r="B6910" i="3"/>
  <c r="B6912" i="3"/>
  <c r="B6914" i="3"/>
  <c r="B6916" i="3"/>
  <c r="B6918" i="3"/>
  <c r="B6920" i="3"/>
  <c r="B6922" i="3"/>
  <c r="B6924" i="3"/>
  <c r="B6926" i="3"/>
  <c r="B6928" i="3"/>
  <c r="B6930" i="3"/>
  <c r="B6932" i="3"/>
  <c r="B6934" i="3"/>
  <c r="B6936" i="3"/>
  <c r="B6938" i="3"/>
  <c r="B6940" i="3"/>
  <c r="B6942" i="3"/>
  <c r="B6944" i="3"/>
  <c r="B6946" i="3"/>
  <c r="B6948" i="3"/>
  <c r="B6950" i="3"/>
  <c r="B6952" i="3"/>
  <c r="B6954" i="3"/>
  <c r="B6956" i="3"/>
  <c r="B6958" i="3"/>
  <c r="B6960" i="3"/>
  <c r="B6962" i="3"/>
  <c r="B6964" i="3"/>
  <c r="B6966" i="3"/>
  <c r="B6968" i="3"/>
  <c r="B6970" i="3"/>
  <c r="B6972" i="3"/>
  <c r="B6974" i="3"/>
  <c r="B6976" i="3"/>
  <c r="B6978" i="3"/>
  <c r="B6980" i="3"/>
  <c r="B6982" i="3"/>
  <c r="B6984" i="3"/>
  <c r="B6986" i="3"/>
  <c r="B6988" i="3"/>
  <c r="B6990" i="3"/>
  <c r="B6992" i="3"/>
  <c r="B6994" i="3"/>
  <c r="B6996" i="3"/>
  <c r="B6998" i="3"/>
  <c r="B7000" i="3"/>
  <c r="B7002" i="3"/>
  <c r="B7004" i="3"/>
  <c r="B7006" i="3"/>
  <c r="B7008" i="3"/>
  <c r="B7010" i="3"/>
  <c r="B7012" i="3"/>
  <c r="B7014" i="3"/>
  <c r="B7016" i="3"/>
  <c r="B7018" i="3"/>
  <c r="B7020" i="3"/>
  <c r="B7022" i="3"/>
  <c r="B7024" i="3"/>
  <c r="B7026" i="3"/>
  <c r="B7028" i="3"/>
  <c r="B7030" i="3"/>
  <c r="B7032" i="3"/>
  <c r="B7034" i="3"/>
  <c r="B7036" i="3"/>
  <c r="B7038" i="3"/>
  <c r="B7040" i="3"/>
  <c r="B7042" i="3"/>
  <c r="B7044" i="3"/>
  <c r="B7046" i="3"/>
  <c r="B7048" i="3"/>
  <c r="B7050" i="3"/>
  <c r="B7052" i="3"/>
  <c r="B7054" i="3"/>
  <c r="B7056" i="3"/>
  <c r="B7058" i="3"/>
  <c r="B7060" i="3"/>
  <c r="B7062" i="3"/>
  <c r="B7064" i="3"/>
  <c r="B7066" i="3"/>
  <c r="B7068" i="3"/>
  <c r="B7070" i="3"/>
  <c r="B7072" i="3"/>
  <c r="B7074" i="3"/>
  <c r="B7076" i="3"/>
  <c r="B7078" i="3"/>
  <c r="B7080" i="3"/>
  <c r="B7082" i="3"/>
  <c r="B7086" i="3"/>
  <c r="B7090" i="3"/>
  <c r="B7094" i="3"/>
  <c r="B7098" i="3"/>
  <c r="B7102" i="3"/>
  <c r="B7106" i="3"/>
  <c r="B7110" i="3"/>
  <c r="B7114" i="3"/>
  <c r="B7118" i="3"/>
  <c r="B7122" i="3"/>
  <c r="B7126" i="3"/>
  <c r="B7128" i="3"/>
  <c r="B7130" i="3"/>
  <c r="B7132" i="3"/>
  <c r="B7134" i="3"/>
  <c r="B7136" i="3"/>
  <c r="B7138" i="3"/>
  <c r="B7140" i="3"/>
  <c r="B7142" i="3"/>
  <c r="B7144" i="3"/>
  <c r="B7146" i="3"/>
  <c r="B7148" i="3"/>
  <c r="B7150" i="3"/>
  <c r="B7152" i="3"/>
  <c r="B7154" i="3"/>
  <c r="B7156" i="3"/>
  <c r="B7158" i="3"/>
  <c r="B7160" i="3"/>
  <c r="B7162" i="3"/>
  <c r="B7164" i="3"/>
  <c r="B7166" i="3"/>
  <c r="B7168" i="3"/>
  <c r="B7170" i="3"/>
  <c r="B7172" i="3"/>
  <c r="B7174" i="3"/>
  <c r="B7176" i="3"/>
  <c r="B7178" i="3"/>
  <c r="B7180" i="3"/>
  <c r="B7182" i="3"/>
  <c r="B7184" i="3"/>
  <c r="B7186" i="3"/>
  <c r="B7188" i="3"/>
  <c r="B7190" i="3"/>
  <c r="B7192" i="3"/>
  <c r="B7194" i="3"/>
  <c r="B7196" i="3"/>
  <c r="B7198" i="3"/>
  <c r="B7200" i="3"/>
  <c r="B7202" i="3"/>
  <c r="B7204" i="3"/>
  <c r="B7206" i="3"/>
  <c r="B7208" i="3"/>
  <c r="B7210" i="3"/>
  <c r="B7212" i="3"/>
  <c r="B7214" i="3"/>
  <c r="B7216" i="3"/>
  <c r="B7218" i="3"/>
  <c r="B7220" i="3"/>
  <c r="B7222" i="3"/>
  <c r="B7224" i="3"/>
  <c r="B7226" i="3"/>
  <c r="B7228" i="3"/>
  <c r="B7230" i="3"/>
  <c r="B7232" i="3"/>
  <c r="B7234" i="3"/>
  <c r="B7236" i="3"/>
  <c r="B7238" i="3"/>
  <c r="B7240" i="3"/>
  <c r="B7242" i="3"/>
  <c r="B7244" i="3"/>
  <c r="B7246" i="3"/>
  <c r="B7248" i="3"/>
  <c r="B7250" i="3"/>
  <c r="B7252" i="3"/>
  <c r="B7254" i="3"/>
  <c r="B7256" i="3"/>
  <c r="B7258" i="3"/>
  <c r="B7260" i="3"/>
  <c r="B7262" i="3"/>
  <c r="B7264" i="3"/>
  <c r="B7266" i="3"/>
  <c r="B7268" i="3"/>
  <c r="B7270" i="3"/>
  <c r="B7272" i="3"/>
  <c r="B7274" i="3"/>
  <c r="B7276" i="3"/>
  <c r="B7278" i="3"/>
  <c r="B7280" i="3"/>
  <c r="B7282" i="3"/>
  <c r="B7284" i="3"/>
  <c r="B7286" i="3"/>
  <c r="B7288" i="3"/>
  <c r="B7290" i="3"/>
  <c r="B7292" i="3"/>
  <c r="B7294" i="3"/>
  <c r="B7296" i="3"/>
  <c r="B7298" i="3"/>
  <c r="B7300" i="3"/>
  <c r="B7302" i="3"/>
  <c r="B7304" i="3"/>
  <c r="B7306" i="3"/>
  <c r="B7308" i="3"/>
  <c r="B7310" i="3"/>
  <c r="B7312" i="3"/>
  <c r="B7314" i="3"/>
  <c r="B7316" i="3"/>
  <c r="B7318" i="3"/>
  <c r="B7320" i="3"/>
  <c r="B7322" i="3"/>
  <c r="B7324" i="3"/>
  <c r="B7326" i="3"/>
  <c r="B7328" i="3"/>
  <c r="B7330" i="3"/>
  <c r="B7332" i="3"/>
  <c r="B7334" i="3"/>
  <c r="B7336" i="3"/>
  <c r="B7338" i="3"/>
  <c r="B7340" i="3"/>
  <c r="B7342" i="3"/>
  <c r="B7344" i="3"/>
  <c r="B7346" i="3"/>
  <c r="B7348" i="3"/>
  <c r="B7350" i="3"/>
  <c r="B7352" i="3"/>
  <c r="B7354" i="3"/>
  <c r="B7356" i="3"/>
  <c r="B7358" i="3"/>
  <c r="B7360" i="3"/>
  <c r="B7362" i="3"/>
  <c r="B7364" i="3"/>
  <c r="B7366" i="3"/>
  <c r="B7368" i="3"/>
  <c r="B7370" i="3"/>
  <c r="B7372" i="3"/>
  <c r="B7374" i="3"/>
  <c r="B7376" i="3"/>
  <c r="B7378" i="3"/>
  <c r="B7380" i="3"/>
  <c r="B7382" i="3"/>
  <c r="B7384" i="3"/>
  <c r="B7386" i="3"/>
  <c r="B7388" i="3"/>
  <c r="B7390" i="3"/>
  <c r="B7392" i="3"/>
  <c r="B7394" i="3"/>
  <c r="B7396" i="3"/>
  <c r="B7398" i="3"/>
  <c r="B7400" i="3"/>
  <c r="B7402" i="3"/>
  <c r="B7404" i="3"/>
  <c r="B7406" i="3"/>
  <c r="B7408" i="3"/>
  <c r="B7410" i="3"/>
  <c r="B7412" i="3"/>
  <c r="B7414" i="3"/>
  <c r="B7416" i="3"/>
  <c r="B7418" i="3"/>
  <c r="B7420" i="3"/>
  <c r="B7422" i="3"/>
  <c r="B7424" i="3"/>
  <c r="B7426" i="3"/>
  <c r="B7428" i="3"/>
  <c r="B7430" i="3"/>
  <c r="B7432" i="3"/>
  <c r="B7434" i="3"/>
  <c r="B7436" i="3"/>
  <c r="B7438" i="3"/>
  <c r="B7440" i="3"/>
  <c r="B7442" i="3"/>
  <c r="B7444" i="3"/>
  <c r="B7446" i="3"/>
  <c r="B7448" i="3"/>
  <c r="B7450" i="3"/>
  <c r="B7452" i="3"/>
  <c r="B7454" i="3"/>
  <c r="B7456" i="3"/>
  <c r="B7458" i="3"/>
  <c r="B7460" i="3"/>
  <c r="B7462" i="3"/>
  <c r="B7464" i="3"/>
  <c r="B7466" i="3"/>
  <c r="B7468" i="3"/>
  <c r="B7470" i="3"/>
  <c r="B7472" i="3"/>
  <c r="B7474" i="3"/>
  <c r="B7476" i="3"/>
  <c r="B7478" i="3"/>
  <c r="B7480" i="3"/>
  <c r="B7482" i="3"/>
  <c r="B7484" i="3"/>
  <c r="B7486" i="3"/>
  <c r="B7488" i="3"/>
  <c r="B7490" i="3"/>
  <c r="B7492" i="3"/>
  <c r="B7494" i="3"/>
  <c r="B7496" i="3"/>
  <c r="B7498" i="3"/>
  <c r="B7500" i="3"/>
  <c r="B7502" i="3"/>
  <c r="B7504" i="3"/>
  <c r="B7506" i="3"/>
  <c r="B7508" i="3"/>
  <c r="B7510" i="3"/>
  <c r="B7512" i="3"/>
  <c r="B7514" i="3"/>
  <c r="B7516" i="3"/>
  <c r="B7518" i="3"/>
  <c r="B7520" i="3"/>
  <c r="B7522" i="3"/>
  <c r="B7524" i="3"/>
  <c r="B7526" i="3"/>
  <c r="B7528" i="3"/>
  <c r="B7530" i="3"/>
  <c r="B7532" i="3"/>
  <c r="B7534" i="3"/>
  <c r="B7536" i="3"/>
  <c r="B7538" i="3"/>
  <c r="B7540" i="3"/>
  <c r="B7542" i="3"/>
  <c r="B7544" i="3"/>
  <c r="B7546" i="3"/>
  <c r="B7548" i="3"/>
  <c r="B7550" i="3"/>
  <c r="B7552" i="3"/>
  <c r="B7554" i="3"/>
  <c r="B7556" i="3"/>
  <c r="B7558" i="3"/>
  <c r="B7560" i="3"/>
  <c r="B7562" i="3"/>
  <c r="B7564" i="3"/>
  <c r="B7566" i="3"/>
  <c r="B7568" i="3"/>
  <c r="B7570" i="3"/>
  <c r="B7572" i="3"/>
  <c r="B7574" i="3"/>
  <c r="B7576" i="3"/>
  <c r="B7578" i="3"/>
  <c r="B7580" i="3"/>
  <c r="B7582" i="3"/>
  <c r="B7584" i="3"/>
  <c r="B7586" i="3"/>
  <c r="B7588" i="3"/>
  <c r="B7590" i="3"/>
  <c r="B7592" i="3"/>
  <c r="B7594" i="3"/>
  <c r="B7596" i="3"/>
  <c r="B7598" i="3"/>
  <c r="B7600" i="3"/>
  <c r="B7602" i="3"/>
  <c r="B7604" i="3"/>
  <c r="B7606" i="3"/>
  <c r="B7608" i="3"/>
  <c r="B7610" i="3"/>
  <c r="B7612" i="3"/>
  <c r="B7614" i="3"/>
  <c r="B7616" i="3"/>
  <c r="B7618" i="3"/>
  <c r="B7620" i="3"/>
  <c r="B7622" i="3"/>
  <c r="B7624" i="3"/>
  <c r="B7626" i="3"/>
  <c r="B7628" i="3"/>
  <c r="B7630" i="3"/>
  <c r="B7632" i="3"/>
  <c r="B7634" i="3"/>
  <c r="B7636" i="3"/>
  <c r="B7638" i="3"/>
  <c r="B7640" i="3"/>
  <c r="B7642" i="3"/>
  <c r="B7644" i="3"/>
  <c r="B7646" i="3"/>
  <c r="B7648" i="3"/>
  <c r="B7650" i="3"/>
  <c r="B7652" i="3"/>
  <c r="B7654" i="3"/>
  <c r="B7656" i="3"/>
  <c r="B7658" i="3"/>
  <c r="B7660" i="3"/>
  <c r="B7662" i="3"/>
  <c r="B7664" i="3"/>
  <c r="B7666" i="3"/>
  <c r="B7668" i="3"/>
  <c r="B7670" i="3"/>
  <c r="B7672" i="3"/>
  <c r="B7674" i="3"/>
  <c r="B7676" i="3"/>
  <c r="B7678" i="3"/>
  <c r="B7680" i="3"/>
  <c r="B7682" i="3"/>
  <c r="B7684" i="3"/>
  <c r="B7686" i="3"/>
  <c r="B7688" i="3"/>
  <c r="B7690" i="3"/>
  <c r="B7692" i="3"/>
  <c r="B7694" i="3"/>
  <c r="B7696" i="3"/>
  <c r="B7698" i="3"/>
  <c r="B7700" i="3"/>
  <c r="B7702" i="3"/>
  <c r="B7704" i="3"/>
  <c r="B7706" i="3"/>
  <c r="B7708" i="3"/>
  <c r="B7710" i="3"/>
  <c r="B7712" i="3"/>
  <c r="B7714" i="3"/>
  <c r="B7716" i="3"/>
  <c r="B7718" i="3"/>
  <c r="B7720" i="3"/>
  <c r="B7722" i="3"/>
  <c r="B7724" i="3"/>
  <c r="B7726" i="3"/>
  <c r="B7728" i="3"/>
  <c r="B7730" i="3"/>
  <c r="B7732" i="3"/>
  <c r="B7734" i="3"/>
  <c r="B7736" i="3"/>
  <c r="B7738" i="3"/>
  <c r="B7740" i="3"/>
  <c r="B7742" i="3"/>
  <c r="B7744" i="3"/>
  <c r="B7746" i="3"/>
  <c r="B7748" i="3"/>
  <c r="B7750" i="3"/>
  <c r="B7752" i="3"/>
  <c r="B7754" i="3"/>
  <c r="B7756" i="3"/>
  <c r="B7758" i="3"/>
  <c r="B7760" i="3"/>
  <c r="B7762" i="3"/>
  <c r="B7764" i="3"/>
  <c r="B7766" i="3"/>
  <c r="B7768" i="3"/>
  <c r="B7770" i="3"/>
  <c r="B7772" i="3"/>
  <c r="B7774" i="3"/>
  <c r="B7776" i="3"/>
  <c r="B7778" i="3"/>
  <c r="B7780" i="3"/>
  <c r="B7782" i="3"/>
  <c r="B7784" i="3"/>
  <c r="B7786" i="3"/>
  <c r="B7788" i="3"/>
  <c r="B7790" i="3"/>
  <c r="B7792" i="3"/>
  <c r="B7794" i="3"/>
  <c r="B7796" i="3"/>
  <c r="B7798" i="3"/>
  <c r="B7800" i="3"/>
  <c r="B7802" i="3"/>
  <c r="B7804" i="3"/>
  <c r="B7806" i="3"/>
  <c r="B7808" i="3"/>
  <c r="B7810" i="3"/>
  <c r="B7812" i="3"/>
  <c r="B7814" i="3"/>
  <c r="B7816" i="3"/>
  <c r="B7818" i="3"/>
  <c r="B7820" i="3"/>
  <c r="B7822" i="3"/>
  <c r="B7824" i="3"/>
  <c r="B7826" i="3"/>
  <c r="B7828" i="3"/>
  <c r="B7830" i="3"/>
  <c r="B7832" i="3"/>
  <c r="B7834" i="3"/>
  <c r="B7836" i="3"/>
  <c r="B7838" i="3"/>
  <c r="B7840" i="3"/>
  <c r="B7842" i="3"/>
  <c r="B7844" i="3"/>
  <c r="B7846" i="3"/>
  <c r="B7848" i="3"/>
  <c r="B7850" i="3"/>
  <c r="B7852" i="3"/>
  <c r="B7854" i="3"/>
  <c r="B7856" i="3"/>
  <c r="B7858" i="3"/>
  <c r="B7860" i="3"/>
  <c r="B7862" i="3"/>
  <c r="B7864" i="3"/>
  <c r="B7866" i="3"/>
  <c r="B7868" i="3"/>
  <c r="B7870" i="3"/>
  <c r="B7872" i="3"/>
  <c r="B7874" i="3"/>
  <c r="B7876" i="3"/>
  <c r="B7878" i="3"/>
  <c r="B7880" i="3"/>
  <c r="B7882" i="3"/>
  <c r="B7884" i="3"/>
  <c r="B7886" i="3"/>
  <c r="B7888" i="3"/>
  <c r="B7890" i="3"/>
  <c r="B7892" i="3"/>
  <c r="B7894" i="3"/>
  <c r="B7896" i="3"/>
  <c r="B7898" i="3"/>
  <c r="B7900" i="3"/>
  <c r="B7902" i="3"/>
  <c r="B7904" i="3"/>
  <c r="B7906" i="3"/>
  <c r="B7908" i="3"/>
  <c r="B7910" i="3"/>
  <c r="B7912" i="3"/>
  <c r="B7914" i="3"/>
  <c r="B7916" i="3"/>
  <c r="B7918" i="3"/>
  <c r="B7920" i="3"/>
  <c r="B7922" i="3"/>
  <c r="B7924" i="3"/>
  <c r="B7926" i="3"/>
  <c r="B7928" i="3"/>
  <c r="B7930" i="3"/>
  <c r="B7932" i="3"/>
  <c r="B7934" i="3"/>
  <c r="B7936" i="3"/>
  <c r="B7938" i="3"/>
  <c r="B7940" i="3"/>
  <c r="B7942" i="3"/>
  <c r="B7944" i="3"/>
  <c r="B7946" i="3"/>
  <c r="B7948" i="3"/>
  <c r="B7950" i="3"/>
  <c r="B7952" i="3"/>
  <c r="B7954" i="3"/>
  <c r="B7956" i="3"/>
  <c r="B7958" i="3"/>
  <c r="B7960" i="3"/>
  <c r="B7962" i="3"/>
  <c r="B7964" i="3"/>
  <c r="B7966" i="3"/>
  <c r="B7968" i="3"/>
  <c r="B7970" i="3"/>
  <c r="B7972" i="3"/>
  <c r="B7974" i="3"/>
  <c r="B7976" i="3"/>
  <c r="B7978" i="3"/>
  <c r="B7980" i="3"/>
  <c r="B7982" i="3"/>
  <c r="B7984" i="3"/>
  <c r="B7986" i="3"/>
  <c r="B7988" i="3"/>
  <c r="B7990" i="3"/>
  <c r="B7992" i="3"/>
  <c r="B7994" i="3"/>
  <c r="B7996" i="3"/>
  <c r="B7998" i="3"/>
  <c r="B8000" i="3"/>
  <c r="B8002" i="3"/>
  <c r="B8004" i="3"/>
  <c r="B8006" i="3"/>
  <c r="B8008" i="3"/>
  <c r="B8010" i="3"/>
  <c r="B8012" i="3"/>
  <c r="B8014" i="3"/>
  <c r="B8016" i="3"/>
  <c r="B8018" i="3"/>
  <c r="B8020" i="3"/>
  <c r="B8022" i="3"/>
  <c r="B8024" i="3"/>
  <c r="B8026" i="3"/>
  <c r="B8028" i="3"/>
  <c r="B8030" i="3"/>
  <c r="B8032" i="3"/>
  <c r="B8034" i="3"/>
  <c r="B8036" i="3"/>
  <c r="B8038" i="3"/>
  <c r="B8040" i="3"/>
  <c r="B8042" i="3"/>
  <c r="B8044" i="3"/>
  <c r="B8046" i="3"/>
  <c r="B8048" i="3"/>
  <c r="B8050" i="3"/>
  <c r="B8052" i="3"/>
  <c r="B8054" i="3"/>
  <c r="B8056" i="3"/>
  <c r="B8058" i="3"/>
  <c r="B8060" i="3"/>
  <c r="B8062" i="3"/>
  <c r="B8064" i="3"/>
  <c r="B8066" i="3"/>
  <c r="B8068" i="3"/>
  <c r="B8070" i="3"/>
  <c r="B8072" i="3"/>
  <c r="B8074" i="3"/>
  <c r="B8076" i="3"/>
  <c r="B8078" i="3"/>
  <c r="B8080" i="3"/>
  <c r="B8082" i="3"/>
  <c r="B8084" i="3"/>
  <c r="B8086" i="3"/>
  <c r="B8088" i="3"/>
  <c r="B8090" i="3"/>
  <c r="B8092" i="3"/>
  <c r="B8094" i="3"/>
  <c r="B8096" i="3"/>
  <c r="B8098" i="3"/>
  <c r="B8100" i="3"/>
  <c r="B8102" i="3"/>
  <c r="B8104" i="3"/>
  <c r="B8106" i="3"/>
  <c r="B8108" i="3"/>
  <c r="B8110" i="3"/>
  <c r="B8112" i="3"/>
  <c r="B8114" i="3"/>
  <c r="B8116" i="3"/>
  <c r="B8118" i="3"/>
  <c r="B8120" i="3"/>
  <c r="B8122" i="3"/>
  <c r="B8124" i="3"/>
  <c r="B8126" i="3"/>
  <c r="B8128" i="3"/>
  <c r="B8130" i="3"/>
  <c r="B8132" i="3"/>
  <c r="B8134" i="3"/>
  <c r="B8136" i="3"/>
  <c r="B8138" i="3"/>
  <c r="B8140" i="3"/>
  <c r="B8142" i="3"/>
  <c r="B8144" i="3"/>
  <c r="B8146" i="3"/>
  <c r="B8148" i="3"/>
  <c r="B8150" i="3"/>
  <c r="B8152" i="3"/>
  <c r="B8154" i="3"/>
  <c r="B8156" i="3"/>
  <c r="B8158" i="3"/>
  <c r="B8160" i="3"/>
  <c r="B8162" i="3"/>
  <c r="B8164" i="3"/>
  <c r="B8166" i="3"/>
  <c r="B8168" i="3"/>
  <c r="B8170" i="3"/>
  <c r="B8172" i="3"/>
  <c r="B8174" i="3"/>
  <c r="B8176" i="3"/>
  <c r="B8178" i="3"/>
  <c r="B8180" i="3"/>
  <c r="B8182" i="3"/>
  <c r="B8184" i="3"/>
  <c r="B8186" i="3"/>
  <c r="B8188" i="3"/>
  <c r="B8190" i="3"/>
  <c r="B8192" i="3"/>
  <c r="B8194" i="3"/>
  <c r="B8196" i="3"/>
  <c r="B8198" i="3"/>
  <c r="B8200" i="3"/>
  <c r="B8202" i="3"/>
  <c r="B8204" i="3"/>
  <c r="B8206" i="3"/>
  <c r="B8208" i="3"/>
  <c r="B8210" i="3"/>
  <c r="B8212" i="3"/>
  <c r="B8214" i="3"/>
  <c r="B8216" i="3"/>
  <c r="B8218" i="3"/>
  <c r="B8220" i="3"/>
  <c r="B8222" i="3"/>
  <c r="B8224" i="3"/>
  <c r="B8226" i="3"/>
  <c r="B8228" i="3"/>
  <c r="B8230" i="3"/>
  <c r="B8232" i="3"/>
  <c r="B8234" i="3"/>
  <c r="B8236" i="3"/>
  <c r="B8238" i="3"/>
  <c r="B8240" i="3"/>
  <c r="B8242" i="3"/>
  <c r="B8244" i="3"/>
  <c r="B8246" i="3"/>
  <c r="B8248" i="3"/>
  <c r="B8250" i="3"/>
  <c r="B8252" i="3"/>
  <c r="B8254" i="3"/>
  <c r="B8256" i="3"/>
  <c r="B8258" i="3"/>
  <c r="B8260" i="3"/>
  <c r="B8262" i="3"/>
  <c r="B8264" i="3"/>
  <c r="B8266" i="3"/>
  <c r="B8268" i="3"/>
  <c r="B8270" i="3"/>
  <c r="B8272" i="3"/>
  <c r="B8274" i="3"/>
  <c r="B8276" i="3"/>
  <c r="B8278" i="3"/>
  <c r="B8280" i="3"/>
  <c r="B8282" i="3"/>
  <c r="B8284" i="3"/>
  <c r="B8286" i="3"/>
  <c r="B8288" i="3"/>
  <c r="B8290" i="3"/>
  <c r="B8292" i="3"/>
  <c r="B8294" i="3"/>
  <c r="B8296" i="3"/>
  <c r="B8298" i="3"/>
  <c r="B8300" i="3"/>
  <c r="B8302" i="3"/>
  <c r="B8304" i="3"/>
  <c r="B8306" i="3"/>
  <c r="B8308" i="3"/>
  <c r="B8310" i="3"/>
  <c r="B8312" i="3"/>
  <c r="B8314" i="3"/>
  <c r="B8316" i="3"/>
  <c r="B8318" i="3"/>
  <c r="B8320" i="3"/>
  <c r="B8322" i="3"/>
  <c r="B8324" i="3"/>
  <c r="B8326" i="3"/>
  <c r="B8328" i="3"/>
  <c r="B8330" i="3"/>
  <c r="B8332" i="3"/>
  <c r="B8334" i="3"/>
  <c r="B8336" i="3"/>
  <c r="B8338" i="3"/>
  <c r="B8340" i="3"/>
  <c r="B8342" i="3"/>
  <c r="B8344" i="3"/>
  <c r="B8346" i="3"/>
  <c r="B8348" i="3"/>
  <c r="B8350" i="3"/>
  <c r="B8352" i="3"/>
  <c r="B8354" i="3"/>
  <c r="B8356" i="3"/>
  <c r="B8358" i="3"/>
  <c r="B8360" i="3"/>
  <c r="B8362" i="3"/>
  <c r="B8364" i="3"/>
  <c r="B8366" i="3"/>
  <c r="B8368" i="3"/>
  <c r="B8370" i="3"/>
  <c r="B8372" i="3"/>
  <c r="B8374" i="3"/>
  <c r="B8376" i="3"/>
  <c r="B8378" i="3"/>
  <c r="B8380" i="3"/>
  <c r="B8382" i="3"/>
  <c r="B8384" i="3"/>
  <c r="B8386" i="3"/>
  <c r="B8388" i="3"/>
  <c r="B8390" i="3"/>
  <c r="B8392" i="3"/>
  <c r="B8394" i="3"/>
  <c r="B8396" i="3"/>
  <c r="B8398" i="3"/>
  <c r="B8400" i="3"/>
  <c r="B8402" i="3"/>
  <c r="B8404" i="3"/>
  <c r="B8406" i="3"/>
  <c r="B8408" i="3"/>
  <c r="B8410" i="3"/>
  <c r="B8412" i="3"/>
  <c r="B8414" i="3"/>
  <c r="B8416" i="3"/>
  <c r="B8418" i="3"/>
  <c r="B8420" i="3"/>
  <c r="B8422" i="3"/>
  <c r="B8424" i="3"/>
  <c r="B8426" i="3"/>
  <c r="B8428" i="3"/>
  <c r="B8430" i="3"/>
  <c r="B8432" i="3"/>
  <c r="B8434" i="3"/>
  <c r="B8436" i="3"/>
  <c r="B8438" i="3"/>
  <c r="B8440" i="3"/>
  <c r="B8442" i="3"/>
  <c r="B8444" i="3"/>
  <c r="B8446" i="3"/>
  <c r="B8448" i="3"/>
  <c r="B8450" i="3"/>
  <c r="B8452" i="3"/>
  <c r="B8454" i="3"/>
  <c r="B8456" i="3"/>
  <c r="B8458" i="3"/>
  <c r="B8460" i="3"/>
  <c r="B8462" i="3"/>
  <c r="B8464" i="3"/>
  <c r="B8466" i="3"/>
  <c r="B8468" i="3"/>
  <c r="B8470" i="3"/>
  <c r="B8472" i="3"/>
  <c r="B8474" i="3"/>
  <c r="B8476" i="3"/>
  <c r="B8478" i="3"/>
  <c r="B8480" i="3"/>
  <c r="B8482" i="3"/>
  <c r="B8484" i="3"/>
  <c r="B8486" i="3"/>
  <c r="B8488" i="3"/>
  <c r="B8490" i="3"/>
  <c r="B8492" i="3"/>
  <c r="B8494" i="3"/>
  <c r="B8496" i="3"/>
  <c r="B8498" i="3"/>
  <c r="B8500" i="3"/>
  <c r="B8502" i="3"/>
  <c r="B8504" i="3"/>
  <c r="B8506" i="3"/>
  <c r="B8508" i="3"/>
  <c r="B8510" i="3"/>
  <c r="B8512" i="3"/>
  <c r="B8514" i="3"/>
  <c r="B8516" i="3"/>
  <c r="B8518" i="3"/>
  <c r="B8520" i="3"/>
  <c r="B8522" i="3"/>
  <c r="B8524" i="3"/>
  <c r="B8526" i="3"/>
  <c r="B8528" i="3"/>
  <c r="B8530" i="3"/>
  <c r="B8532" i="3"/>
  <c r="B8534" i="3"/>
  <c r="B8536" i="3"/>
  <c r="B8538" i="3"/>
  <c r="B8540" i="3"/>
  <c r="B8542" i="3"/>
  <c r="B8544" i="3"/>
  <c r="B8546" i="3"/>
  <c r="B8548" i="3"/>
  <c r="B8550" i="3"/>
  <c r="B8552" i="3"/>
  <c r="B8554" i="3"/>
  <c r="B8556" i="3"/>
  <c r="B8558" i="3"/>
  <c r="B8560" i="3"/>
  <c r="B8562" i="3"/>
  <c r="B8564" i="3"/>
  <c r="B8566" i="3"/>
  <c r="B8568" i="3"/>
  <c r="B8570" i="3"/>
  <c r="B8572" i="3"/>
  <c r="B8574" i="3"/>
  <c r="B8576" i="3"/>
  <c r="B8578" i="3"/>
  <c r="B8580" i="3"/>
  <c r="B8582" i="3"/>
  <c r="B8584" i="3"/>
  <c r="B8586" i="3"/>
  <c r="B8588" i="3"/>
  <c r="B8590" i="3"/>
  <c r="B8592" i="3"/>
  <c r="B8594" i="3"/>
  <c r="B8596" i="3"/>
  <c r="B8598" i="3"/>
  <c r="B8600" i="3"/>
  <c r="B8602" i="3"/>
  <c r="B8604" i="3"/>
  <c r="B8606" i="3"/>
  <c r="B8608" i="3"/>
  <c r="B8610" i="3"/>
  <c r="B8612" i="3"/>
  <c r="B8614" i="3"/>
  <c r="B8616" i="3"/>
  <c r="B8618" i="3"/>
  <c r="B8620" i="3"/>
  <c r="B8622" i="3"/>
  <c r="B8624" i="3"/>
  <c r="B8626" i="3"/>
  <c r="B8628" i="3"/>
  <c r="B8630" i="3"/>
  <c r="B8632" i="3"/>
  <c r="B8634" i="3"/>
  <c r="B8636" i="3"/>
  <c r="B8638" i="3"/>
  <c r="B8640" i="3"/>
  <c r="B8642" i="3"/>
  <c r="B8644" i="3"/>
  <c r="B8646" i="3"/>
  <c r="B8648" i="3"/>
  <c r="B8650" i="3"/>
  <c r="B8652" i="3"/>
  <c r="B8654" i="3"/>
  <c r="B8656" i="3"/>
  <c r="B8658" i="3"/>
  <c r="B8660" i="3"/>
  <c r="B8662" i="3"/>
  <c r="B8664" i="3"/>
  <c r="B8666" i="3"/>
  <c r="B8668" i="3"/>
  <c r="B8670" i="3"/>
  <c r="B8672" i="3"/>
  <c r="B8674" i="3"/>
  <c r="B8676" i="3"/>
  <c r="B8678" i="3"/>
  <c r="B8680" i="3"/>
  <c r="B8682" i="3"/>
  <c r="B8684" i="3"/>
  <c r="B8686" i="3"/>
  <c r="B8688" i="3"/>
  <c r="B8690" i="3"/>
  <c r="B8692" i="3"/>
  <c r="B8694" i="3"/>
  <c r="B8696" i="3"/>
  <c r="B8698" i="3"/>
  <c r="B8700" i="3"/>
  <c r="B8702" i="3"/>
  <c r="B8704" i="3"/>
  <c r="B8706" i="3"/>
  <c r="B8708" i="3"/>
  <c r="B8710" i="3"/>
  <c r="B8712" i="3"/>
  <c r="B8714" i="3"/>
  <c r="B8716" i="3"/>
  <c r="B8718" i="3"/>
  <c r="B8720" i="3"/>
  <c r="B8722" i="3"/>
  <c r="B8724" i="3"/>
  <c r="B8726" i="3"/>
  <c r="B8728" i="3"/>
  <c r="B8730" i="3"/>
  <c r="B8732" i="3"/>
  <c r="B8734" i="3"/>
  <c r="B8736" i="3"/>
  <c r="B8738" i="3"/>
  <c r="B8740" i="3"/>
  <c r="B8742" i="3"/>
  <c r="B8744" i="3"/>
  <c r="B8746" i="3"/>
  <c r="B8748" i="3"/>
  <c r="B8750" i="3"/>
  <c r="B8752" i="3"/>
  <c r="B8754" i="3"/>
  <c r="B8756" i="3"/>
  <c r="B8758" i="3"/>
  <c r="B8760" i="3"/>
  <c r="B8725" i="3"/>
  <c r="B8729" i="3"/>
  <c r="B8735" i="3"/>
  <c r="B8741" i="3"/>
  <c r="B8745" i="3"/>
  <c r="B8753" i="3"/>
  <c r="B8761" i="3"/>
  <c r="B7084" i="3"/>
  <c r="B7088" i="3"/>
  <c r="B7092" i="3"/>
  <c r="B7096" i="3"/>
  <c r="B7100" i="3"/>
  <c r="B7104" i="3"/>
  <c r="B7108" i="3"/>
  <c r="B7112" i="3"/>
  <c r="B7116" i="3"/>
  <c r="B7120" i="3"/>
  <c r="B7124" i="3"/>
  <c r="B7127" i="3"/>
  <c r="B7129" i="3"/>
  <c r="B7131" i="3"/>
  <c r="B7133" i="3"/>
  <c r="B7135" i="3"/>
  <c r="B7137" i="3"/>
  <c r="B7139" i="3"/>
  <c r="B7141" i="3"/>
  <c r="B7143" i="3"/>
  <c r="B7145" i="3"/>
  <c r="B7147" i="3"/>
  <c r="B7149" i="3"/>
  <c r="B7151" i="3"/>
  <c r="B7153" i="3"/>
  <c r="B7155" i="3"/>
  <c r="B7157" i="3"/>
  <c r="B7159" i="3"/>
  <c r="B7161" i="3"/>
  <c r="B7163" i="3"/>
  <c r="B7165" i="3"/>
  <c r="B7167" i="3"/>
  <c r="B7169" i="3"/>
  <c r="B7171" i="3"/>
  <c r="B7173" i="3"/>
  <c r="B7175" i="3"/>
  <c r="B7177" i="3"/>
  <c r="B7179" i="3"/>
  <c r="B7181" i="3"/>
  <c r="B7183" i="3"/>
  <c r="B7185" i="3"/>
  <c r="B7187" i="3"/>
  <c r="B7189" i="3"/>
  <c r="B7191" i="3"/>
  <c r="B7193" i="3"/>
  <c r="B7195" i="3"/>
  <c r="B7197" i="3"/>
  <c r="B7199" i="3"/>
  <c r="B7201" i="3"/>
  <c r="B7203" i="3"/>
  <c r="B7205" i="3"/>
  <c r="B7207" i="3"/>
  <c r="B7209" i="3"/>
  <c r="B7211" i="3"/>
  <c r="B7213" i="3"/>
  <c r="B7215" i="3"/>
  <c r="B7217" i="3"/>
  <c r="B7219" i="3"/>
  <c r="B7221" i="3"/>
  <c r="B7223" i="3"/>
  <c r="B7225" i="3"/>
  <c r="B7227" i="3"/>
  <c r="B7229" i="3"/>
  <c r="B7231" i="3"/>
  <c r="B7233" i="3"/>
  <c r="B7235" i="3"/>
  <c r="B7237" i="3"/>
  <c r="B7239" i="3"/>
  <c r="B7241" i="3"/>
  <c r="B7243" i="3"/>
  <c r="B7245" i="3"/>
  <c r="B7247" i="3"/>
  <c r="B7249" i="3"/>
  <c r="B7251" i="3"/>
  <c r="B7253" i="3"/>
  <c r="B7255" i="3"/>
  <c r="B7257" i="3"/>
  <c r="B7259" i="3"/>
  <c r="B7261" i="3"/>
  <c r="B7263" i="3"/>
  <c r="B7265" i="3"/>
  <c r="B7267" i="3"/>
  <c r="B7269" i="3"/>
  <c r="B7271" i="3"/>
  <c r="B7273" i="3"/>
  <c r="B7275" i="3"/>
  <c r="B7277" i="3"/>
  <c r="B7279" i="3"/>
  <c r="B7281" i="3"/>
  <c r="B7283" i="3"/>
  <c r="B7285" i="3"/>
  <c r="B7287" i="3"/>
  <c r="B7289" i="3"/>
  <c r="B7291" i="3"/>
  <c r="B7293" i="3"/>
  <c r="B7295" i="3"/>
  <c r="B7297" i="3"/>
  <c r="B7299" i="3"/>
  <c r="B7301" i="3"/>
  <c r="B7303" i="3"/>
  <c r="B7305" i="3"/>
  <c r="B7307" i="3"/>
  <c r="B7309" i="3"/>
  <c r="B7311" i="3"/>
  <c r="B7313" i="3"/>
  <c r="B7315" i="3"/>
  <c r="B7317" i="3"/>
  <c r="B7319" i="3"/>
  <c r="B7321" i="3"/>
  <c r="B7323" i="3"/>
  <c r="B7325" i="3"/>
  <c r="B7327" i="3"/>
  <c r="B7329" i="3"/>
  <c r="B7331" i="3"/>
  <c r="B7333" i="3"/>
  <c r="B7335" i="3"/>
  <c r="B7337" i="3"/>
  <c r="B7339" i="3"/>
  <c r="B7341" i="3"/>
  <c r="B7343" i="3"/>
  <c r="B7345" i="3"/>
  <c r="B7347" i="3"/>
  <c r="B7349" i="3"/>
  <c r="B7351" i="3"/>
  <c r="B7353" i="3"/>
  <c r="B7355" i="3"/>
  <c r="B7357" i="3"/>
  <c r="B7359" i="3"/>
  <c r="B7361" i="3"/>
  <c r="B7363" i="3"/>
  <c r="B7365" i="3"/>
  <c r="B7367" i="3"/>
  <c r="B7369" i="3"/>
  <c r="B7371" i="3"/>
  <c r="B7373" i="3"/>
  <c r="B7375" i="3"/>
  <c r="B7377" i="3"/>
  <c r="B7379" i="3"/>
  <c r="B7381" i="3"/>
  <c r="B7383" i="3"/>
  <c r="B7385" i="3"/>
  <c r="B7387" i="3"/>
  <c r="B7389" i="3"/>
  <c r="B7391" i="3"/>
  <c r="B7393" i="3"/>
  <c r="B7395" i="3"/>
  <c r="B7397" i="3"/>
  <c r="B7399" i="3"/>
  <c r="B7401" i="3"/>
  <c r="B7403" i="3"/>
  <c r="B7405" i="3"/>
  <c r="B7407" i="3"/>
  <c r="B7409" i="3"/>
  <c r="B7411" i="3"/>
  <c r="B7413" i="3"/>
  <c r="B7415" i="3"/>
  <c r="B7417" i="3"/>
  <c r="B7419" i="3"/>
  <c r="B7421" i="3"/>
  <c r="B7423" i="3"/>
  <c r="B7425" i="3"/>
  <c r="B7427" i="3"/>
  <c r="B7429" i="3"/>
  <c r="B7431" i="3"/>
  <c r="B7433" i="3"/>
  <c r="B7435" i="3"/>
  <c r="B7437" i="3"/>
  <c r="B7439" i="3"/>
  <c r="B7441" i="3"/>
  <c r="B7443" i="3"/>
  <c r="B7445" i="3"/>
  <c r="B7447" i="3"/>
  <c r="B7449" i="3"/>
  <c r="B7451" i="3"/>
  <c r="B7453" i="3"/>
  <c r="B7455" i="3"/>
  <c r="B7457" i="3"/>
  <c r="B7459" i="3"/>
  <c r="B7461" i="3"/>
  <c r="B7463" i="3"/>
  <c r="B7465" i="3"/>
  <c r="B7467" i="3"/>
  <c r="B7469" i="3"/>
  <c r="B7471" i="3"/>
  <c r="B7473" i="3"/>
  <c r="B7475" i="3"/>
  <c r="B7477" i="3"/>
  <c r="B7479" i="3"/>
  <c r="B7481" i="3"/>
  <c r="B7483" i="3"/>
  <c r="B7485" i="3"/>
  <c r="B7487" i="3"/>
  <c r="B7489" i="3"/>
  <c r="B7491" i="3"/>
  <c r="B7493" i="3"/>
  <c r="B7495" i="3"/>
  <c r="B7497" i="3"/>
  <c r="B7499" i="3"/>
  <c r="B7501" i="3"/>
  <c r="B7503" i="3"/>
  <c r="B7505" i="3"/>
  <c r="B7507" i="3"/>
  <c r="B7509" i="3"/>
  <c r="B7511" i="3"/>
  <c r="B7513" i="3"/>
  <c r="B7515" i="3"/>
  <c r="B7517" i="3"/>
  <c r="B7519" i="3"/>
  <c r="B7521" i="3"/>
  <c r="B7523" i="3"/>
  <c r="B7525" i="3"/>
  <c r="B7527" i="3"/>
  <c r="B7529" i="3"/>
  <c r="B7531" i="3"/>
  <c r="B7533" i="3"/>
  <c r="B7535" i="3"/>
  <c r="B7537" i="3"/>
  <c r="B7539" i="3"/>
  <c r="B7541" i="3"/>
  <c r="B7543" i="3"/>
  <c r="B7545" i="3"/>
  <c r="B7547" i="3"/>
  <c r="B7549" i="3"/>
  <c r="B7551" i="3"/>
  <c r="B7553" i="3"/>
  <c r="B7555" i="3"/>
  <c r="B7557" i="3"/>
  <c r="B7559" i="3"/>
  <c r="B7561" i="3"/>
  <c r="B7563" i="3"/>
  <c r="B7565" i="3"/>
  <c r="B7567" i="3"/>
  <c r="B7569" i="3"/>
  <c r="B7571" i="3"/>
  <c r="B7573" i="3"/>
  <c r="B7575" i="3"/>
  <c r="B7577" i="3"/>
  <c r="B7579" i="3"/>
  <c r="B7581" i="3"/>
  <c r="B7583" i="3"/>
  <c r="B7585" i="3"/>
  <c r="B7587" i="3"/>
  <c r="B7589" i="3"/>
  <c r="B7591" i="3"/>
  <c r="B7593" i="3"/>
  <c r="B7595" i="3"/>
  <c r="B7597" i="3"/>
  <c r="B7599" i="3"/>
  <c r="B7601" i="3"/>
  <c r="B7603" i="3"/>
  <c r="B7605" i="3"/>
  <c r="B7607" i="3"/>
  <c r="B7609" i="3"/>
  <c r="B7611" i="3"/>
  <c r="B7613" i="3"/>
  <c r="B7615" i="3"/>
  <c r="B7617" i="3"/>
  <c r="B7619" i="3"/>
  <c r="B7621" i="3"/>
  <c r="B7623" i="3"/>
  <c r="B7625" i="3"/>
  <c r="B7627" i="3"/>
  <c r="B7629" i="3"/>
  <c r="B7631" i="3"/>
  <c r="B7633" i="3"/>
  <c r="B7635" i="3"/>
  <c r="B7637" i="3"/>
  <c r="B7639" i="3"/>
  <c r="B7641" i="3"/>
  <c r="B7643" i="3"/>
  <c r="B7645" i="3"/>
  <c r="B7647" i="3"/>
  <c r="B7649" i="3"/>
  <c r="B7651" i="3"/>
  <c r="B7653" i="3"/>
  <c r="B7655" i="3"/>
  <c r="B7657" i="3"/>
  <c r="B7659" i="3"/>
  <c r="B7661" i="3"/>
  <c r="B7663" i="3"/>
  <c r="B7665" i="3"/>
  <c r="B7667" i="3"/>
  <c r="B7669" i="3"/>
  <c r="B7671" i="3"/>
  <c r="B7673" i="3"/>
  <c r="B7675" i="3"/>
  <c r="B7677" i="3"/>
  <c r="B7679" i="3"/>
  <c r="B7681" i="3"/>
  <c r="B7683" i="3"/>
  <c r="B7685" i="3"/>
  <c r="B7687" i="3"/>
  <c r="B7689" i="3"/>
  <c r="B7691" i="3"/>
  <c r="B7693" i="3"/>
  <c r="B7695" i="3"/>
  <c r="B7697" i="3"/>
  <c r="B7699" i="3"/>
  <c r="B7701" i="3"/>
  <c r="B7703" i="3"/>
  <c r="B7705" i="3"/>
  <c r="B7707" i="3"/>
  <c r="B7709" i="3"/>
  <c r="B7711" i="3"/>
  <c r="B7713" i="3"/>
  <c r="B7715" i="3"/>
  <c r="B7717" i="3"/>
  <c r="B7719" i="3"/>
  <c r="B7721" i="3"/>
  <c r="B7723" i="3"/>
  <c r="B7725" i="3"/>
  <c r="B7727" i="3"/>
  <c r="B7729" i="3"/>
  <c r="B7731" i="3"/>
  <c r="B7733" i="3"/>
  <c r="B7735" i="3"/>
  <c r="B7737" i="3"/>
  <c r="B7739" i="3"/>
  <c r="B7741" i="3"/>
  <c r="B7743" i="3"/>
  <c r="B7745" i="3"/>
  <c r="B7747" i="3"/>
  <c r="B7749" i="3"/>
  <c r="B7751" i="3"/>
  <c r="B7753" i="3"/>
  <c r="B7755" i="3"/>
  <c r="B7757" i="3"/>
  <c r="B7759" i="3"/>
  <c r="B7761" i="3"/>
  <c r="B7763" i="3"/>
  <c r="B7765" i="3"/>
  <c r="B7767" i="3"/>
  <c r="B7769" i="3"/>
  <c r="B7771" i="3"/>
  <c r="B7773" i="3"/>
  <c r="B7775" i="3"/>
  <c r="B7777" i="3"/>
  <c r="B7779" i="3"/>
  <c r="B7781" i="3"/>
  <c r="B7783" i="3"/>
  <c r="B7785" i="3"/>
  <c r="B7787" i="3"/>
  <c r="B7789" i="3"/>
  <c r="B7791" i="3"/>
  <c r="B7793" i="3"/>
  <c r="B7795" i="3"/>
  <c r="B7797" i="3"/>
  <c r="B7799" i="3"/>
  <c r="B7801" i="3"/>
  <c r="B7803" i="3"/>
  <c r="B7805" i="3"/>
  <c r="B7807" i="3"/>
  <c r="B7809" i="3"/>
  <c r="B7811" i="3"/>
  <c r="B7813" i="3"/>
  <c r="B7815" i="3"/>
  <c r="B7817" i="3"/>
  <c r="B7819" i="3"/>
  <c r="B7821" i="3"/>
  <c r="B7823" i="3"/>
  <c r="B7825" i="3"/>
  <c r="B7827" i="3"/>
  <c r="B7829" i="3"/>
  <c r="B7831" i="3"/>
  <c r="B7833" i="3"/>
  <c r="B7835" i="3"/>
  <c r="B7837" i="3"/>
  <c r="B7839" i="3"/>
  <c r="B7841" i="3"/>
  <c r="B7843" i="3"/>
  <c r="B7845" i="3"/>
  <c r="B7847" i="3"/>
  <c r="B7849" i="3"/>
  <c r="B7851" i="3"/>
  <c r="B7853" i="3"/>
  <c r="B7855" i="3"/>
  <c r="B7857" i="3"/>
  <c r="B7859" i="3"/>
  <c r="B7861" i="3"/>
  <c r="B7863" i="3"/>
  <c r="B7865" i="3"/>
  <c r="B7867" i="3"/>
  <c r="B7869" i="3"/>
  <c r="B7871" i="3"/>
  <c r="B7873" i="3"/>
  <c r="B7875" i="3"/>
  <c r="B7877" i="3"/>
  <c r="B7879" i="3"/>
  <c r="B7881" i="3"/>
  <c r="B7883" i="3"/>
  <c r="B7885" i="3"/>
  <c r="B7887" i="3"/>
  <c r="B7889" i="3"/>
  <c r="B7891" i="3"/>
  <c r="B7893" i="3"/>
  <c r="B7895" i="3"/>
  <c r="B7897" i="3"/>
  <c r="B7899" i="3"/>
  <c r="B7901" i="3"/>
  <c r="B7903" i="3"/>
  <c r="B7905" i="3"/>
  <c r="B7907" i="3"/>
  <c r="B7909" i="3"/>
  <c r="B7911" i="3"/>
  <c r="B7913" i="3"/>
  <c r="B7915" i="3"/>
  <c r="B7917" i="3"/>
  <c r="B7919" i="3"/>
  <c r="B7921" i="3"/>
  <c r="B7923" i="3"/>
  <c r="B7925" i="3"/>
  <c r="B7927" i="3"/>
  <c r="B7929" i="3"/>
  <c r="B7931" i="3"/>
  <c r="B7933" i="3"/>
  <c r="B7935" i="3"/>
  <c r="B7937" i="3"/>
  <c r="B7939" i="3"/>
  <c r="B7941" i="3"/>
  <c r="B7943" i="3"/>
  <c r="B7945" i="3"/>
  <c r="B7947" i="3"/>
  <c r="B7949" i="3"/>
  <c r="B7951" i="3"/>
  <c r="B7953" i="3"/>
  <c r="B7955" i="3"/>
  <c r="B7957" i="3"/>
  <c r="B7959" i="3"/>
  <c r="B7961" i="3"/>
  <c r="B7963" i="3"/>
  <c r="B7965" i="3"/>
  <c r="B7967" i="3"/>
  <c r="B7969" i="3"/>
  <c r="B7971" i="3"/>
  <c r="B7973" i="3"/>
  <c r="B7975" i="3"/>
  <c r="B7977" i="3"/>
  <c r="B7979" i="3"/>
  <c r="B7981" i="3"/>
  <c r="B7983" i="3"/>
  <c r="B7985" i="3"/>
  <c r="B7987" i="3"/>
  <c r="B7989" i="3"/>
  <c r="B7991" i="3"/>
  <c r="B7993" i="3"/>
  <c r="B7995" i="3"/>
  <c r="B7997" i="3"/>
  <c r="B7999" i="3"/>
  <c r="B8001" i="3"/>
  <c r="B8003" i="3"/>
  <c r="B8005" i="3"/>
  <c r="B8007" i="3"/>
  <c r="B8009" i="3"/>
  <c r="B8011" i="3"/>
  <c r="B8013" i="3"/>
  <c r="B8015" i="3"/>
  <c r="B8017" i="3"/>
  <c r="B8019" i="3"/>
  <c r="B8021" i="3"/>
  <c r="B8023" i="3"/>
  <c r="B8025" i="3"/>
  <c r="B8027" i="3"/>
  <c r="B8029" i="3"/>
  <c r="B8031" i="3"/>
  <c r="B8033" i="3"/>
  <c r="B8035" i="3"/>
  <c r="B8037" i="3"/>
  <c r="B8039" i="3"/>
  <c r="B8041" i="3"/>
  <c r="B8043" i="3"/>
  <c r="B8045" i="3"/>
  <c r="B8047" i="3"/>
  <c r="B8049" i="3"/>
  <c r="B8051" i="3"/>
  <c r="B8053" i="3"/>
  <c r="B8055" i="3"/>
  <c r="B8057" i="3"/>
  <c r="B8059" i="3"/>
  <c r="B8061" i="3"/>
  <c r="B8063" i="3"/>
  <c r="B8065" i="3"/>
  <c r="B8067" i="3"/>
  <c r="B8069" i="3"/>
  <c r="B8071" i="3"/>
  <c r="B8073" i="3"/>
  <c r="B8075" i="3"/>
  <c r="B8077" i="3"/>
  <c r="B8079" i="3"/>
  <c r="B8081" i="3"/>
  <c r="B8083" i="3"/>
  <c r="B8085" i="3"/>
  <c r="B8087" i="3"/>
  <c r="B8089" i="3"/>
  <c r="B8091" i="3"/>
  <c r="B8093" i="3"/>
  <c r="B8095" i="3"/>
  <c r="B8097" i="3"/>
  <c r="B8099" i="3"/>
  <c r="B8101" i="3"/>
  <c r="B8103" i="3"/>
  <c r="B8105" i="3"/>
  <c r="B8107" i="3"/>
  <c r="B8109" i="3"/>
  <c r="B8111" i="3"/>
  <c r="B8113" i="3"/>
  <c r="B8115" i="3"/>
  <c r="B8117" i="3"/>
  <c r="B8119" i="3"/>
  <c r="B8121" i="3"/>
  <c r="B8123" i="3"/>
  <c r="B8125" i="3"/>
  <c r="B8127" i="3"/>
  <c r="B8129" i="3"/>
  <c r="B8131" i="3"/>
  <c r="B8133" i="3"/>
  <c r="B8135" i="3"/>
  <c r="B8137" i="3"/>
  <c r="B8139" i="3"/>
  <c r="B8141" i="3"/>
  <c r="B8143" i="3"/>
  <c r="B8145" i="3"/>
  <c r="B8147" i="3"/>
  <c r="B8149" i="3"/>
  <c r="B8151" i="3"/>
  <c r="B8153" i="3"/>
  <c r="B8155" i="3"/>
  <c r="B8157" i="3"/>
  <c r="B8159" i="3"/>
  <c r="B8161" i="3"/>
  <c r="B8163" i="3"/>
  <c r="B8165" i="3"/>
  <c r="B8167" i="3"/>
  <c r="B8169" i="3"/>
  <c r="B8171" i="3"/>
  <c r="B8173" i="3"/>
  <c r="B8175" i="3"/>
  <c r="B8177" i="3"/>
  <c r="B8179" i="3"/>
  <c r="B8181" i="3"/>
  <c r="B8183" i="3"/>
  <c r="B8185" i="3"/>
  <c r="B8187" i="3"/>
  <c r="B8189" i="3"/>
  <c r="B8191" i="3"/>
  <c r="B8193" i="3"/>
  <c r="B8195" i="3"/>
  <c r="B8197" i="3"/>
  <c r="B8199" i="3"/>
  <c r="B8201" i="3"/>
  <c r="B8203" i="3"/>
  <c r="B8205" i="3"/>
  <c r="B8207" i="3"/>
  <c r="B8209" i="3"/>
  <c r="B8211" i="3"/>
  <c r="B8213" i="3"/>
  <c r="B8215" i="3"/>
  <c r="B8217" i="3"/>
  <c r="B8219" i="3"/>
  <c r="B8221" i="3"/>
  <c r="B8223" i="3"/>
  <c r="B8225" i="3"/>
  <c r="B8227" i="3"/>
  <c r="B8229" i="3"/>
  <c r="B8231" i="3"/>
  <c r="B8233" i="3"/>
  <c r="B8235" i="3"/>
  <c r="B8237" i="3"/>
  <c r="B8239" i="3"/>
  <c r="B8241" i="3"/>
  <c r="B8243" i="3"/>
  <c r="B8245" i="3"/>
  <c r="B8247" i="3"/>
  <c r="B8249" i="3"/>
  <c r="B8251" i="3"/>
  <c r="B8253" i="3"/>
  <c r="B8255" i="3"/>
  <c r="B8257" i="3"/>
  <c r="B8259" i="3"/>
  <c r="B8261" i="3"/>
  <c r="B8263" i="3"/>
  <c r="B8265" i="3"/>
  <c r="B8267" i="3"/>
  <c r="B8269" i="3"/>
  <c r="B8271" i="3"/>
  <c r="B8273" i="3"/>
  <c r="B8275" i="3"/>
  <c r="B8277" i="3"/>
  <c r="B8279" i="3"/>
  <c r="B8281" i="3"/>
  <c r="B8283" i="3"/>
  <c r="B8285" i="3"/>
  <c r="B8287" i="3"/>
  <c r="B8289" i="3"/>
  <c r="B8291" i="3"/>
  <c r="B8293" i="3"/>
  <c r="B8295" i="3"/>
  <c r="B8297" i="3"/>
  <c r="B8299" i="3"/>
  <c r="B8301" i="3"/>
  <c r="B8303" i="3"/>
  <c r="B8305" i="3"/>
  <c r="B8307" i="3"/>
  <c r="B8309" i="3"/>
  <c r="B8311" i="3"/>
  <c r="B8313" i="3"/>
  <c r="B8315" i="3"/>
  <c r="B8317" i="3"/>
  <c r="B8319" i="3"/>
  <c r="B8321" i="3"/>
  <c r="B8323" i="3"/>
  <c r="B8325" i="3"/>
  <c r="B8327" i="3"/>
  <c r="B8329" i="3"/>
  <c r="B8331" i="3"/>
  <c r="B8333" i="3"/>
  <c r="B8335" i="3"/>
  <c r="B8337" i="3"/>
  <c r="B8339" i="3"/>
  <c r="B8341" i="3"/>
  <c r="B8343" i="3"/>
  <c r="B8345" i="3"/>
  <c r="B8347" i="3"/>
  <c r="B8349" i="3"/>
  <c r="B8351" i="3"/>
  <c r="B8353" i="3"/>
  <c r="B8355" i="3"/>
  <c r="B8357" i="3"/>
  <c r="B8359" i="3"/>
  <c r="B8361" i="3"/>
  <c r="B8363" i="3"/>
  <c r="B8365" i="3"/>
  <c r="B8367" i="3"/>
  <c r="B8369" i="3"/>
  <c r="B8371" i="3"/>
  <c r="B8373" i="3"/>
  <c r="B8375" i="3"/>
  <c r="B8377" i="3"/>
  <c r="B8379" i="3"/>
  <c r="B8381" i="3"/>
  <c r="B8383" i="3"/>
  <c r="B8385" i="3"/>
  <c r="B8387" i="3"/>
  <c r="B8389" i="3"/>
  <c r="B8391" i="3"/>
  <c r="B8393" i="3"/>
  <c r="B8395" i="3"/>
  <c r="B8397" i="3"/>
  <c r="B8399" i="3"/>
  <c r="B8401" i="3"/>
  <c r="B8403" i="3"/>
  <c r="B8405" i="3"/>
  <c r="B8407" i="3"/>
  <c r="B8409" i="3"/>
  <c r="B8411" i="3"/>
  <c r="B8413" i="3"/>
  <c r="B8415" i="3"/>
  <c r="B8417" i="3"/>
  <c r="B8419" i="3"/>
  <c r="B8421" i="3"/>
  <c r="B8423" i="3"/>
  <c r="B8425" i="3"/>
  <c r="B8427" i="3"/>
  <c r="B8429" i="3"/>
  <c r="B8431" i="3"/>
  <c r="B8433" i="3"/>
  <c r="B8435" i="3"/>
  <c r="B8437" i="3"/>
  <c r="B8439" i="3"/>
  <c r="B8441" i="3"/>
  <c r="B8443" i="3"/>
  <c r="B8445" i="3"/>
  <c r="B8447" i="3"/>
  <c r="B8449" i="3"/>
  <c r="B8451" i="3"/>
  <c r="B8453" i="3"/>
  <c r="B8455" i="3"/>
  <c r="B8457" i="3"/>
  <c r="B8459" i="3"/>
  <c r="B8461" i="3"/>
  <c r="B8463" i="3"/>
  <c r="B8465" i="3"/>
  <c r="B8467" i="3"/>
  <c r="B8469" i="3"/>
  <c r="B8471" i="3"/>
  <c r="B8473" i="3"/>
  <c r="B8475" i="3"/>
  <c r="B8477" i="3"/>
  <c r="B8479" i="3"/>
  <c r="B8481" i="3"/>
  <c r="B8483" i="3"/>
  <c r="B8485" i="3"/>
  <c r="B8487" i="3"/>
  <c r="B8489" i="3"/>
  <c r="B8491" i="3"/>
  <c r="B8493" i="3"/>
  <c r="B8495" i="3"/>
  <c r="B8497" i="3"/>
  <c r="B8499" i="3"/>
  <c r="B8501" i="3"/>
  <c r="B8503" i="3"/>
  <c r="B8505" i="3"/>
  <c r="B8507" i="3"/>
  <c r="B8509" i="3"/>
  <c r="B8511" i="3"/>
  <c r="B8513" i="3"/>
  <c r="B8515" i="3"/>
  <c r="B8517" i="3"/>
  <c r="B8519" i="3"/>
  <c r="B8521" i="3"/>
  <c r="B8523" i="3"/>
  <c r="B8525" i="3"/>
  <c r="B8527" i="3"/>
  <c r="B8529" i="3"/>
  <c r="B8531" i="3"/>
  <c r="B8533" i="3"/>
  <c r="B8535" i="3"/>
  <c r="B8537" i="3"/>
  <c r="B8539" i="3"/>
  <c r="B8541" i="3"/>
  <c r="B8543" i="3"/>
  <c r="B8545" i="3"/>
  <c r="B8547" i="3"/>
  <c r="B8549" i="3"/>
  <c r="B8551" i="3"/>
  <c r="B8553" i="3"/>
  <c r="B8555" i="3"/>
  <c r="B8557" i="3"/>
  <c r="B8559" i="3"/>
  <c r="B8561" i="3"/>
  <c r="B8563" i="3"/>
  <c r="B8565" i="3"/>
  <c r="B8567" i="3"/>
  <c r="B8569" i="3"/>
  <c r="B8571" i="3"/>
  <c r="B8573" i="3"/>
  <c r="B8575" i="3"/>
  <c r="B8577" i="3"/>
  <c r="B8579" i="3"/>
  <c r="B8581" i="3"/>
  <c r="B8583" i="3"/>
  <c r="B8585" i="3"/>
  <c r="B8587" i="3"/>
  <c r="B8589" i="3"/>
  <c r="B8591" i="3"/>
  <c r="B8593" i="3"/>
  <c r="B8595" i="3"/>
  <c r="B8597" i="3"/>
  <c r="B8599" i="3"/>
  <c r="B8601" i="3"/>
  <c r="B8603" i="3"/>
  <c r="B8605" i="3"/>
  <c r="B8607" i="3"/>
  <c r="B8609" i="3"/>
  <c r="B8611" i="3"/>
  <c r="B8613" i="3"/>
  <c r="B8615" i="3"/>
  <c r="B8617" i="3"/>
  <c r="B8619" i="3"/>
  <c r="B8621" i="3"/>
  <c r="B8623" i="3"/>
  <c r="B8625" i="3"/>
  <c r="B8627" i="3"/>
  <c r="B8629" i="3"/>
  <c r="B8631" i="3"/>
  <c r="B8633" i="3"/>
  <c r="B8635" i="3"/>
  <c r="B8637" i="3"/>
  <c r="B8639" i="3"/>
  <c r="B8641" i="3"/>
  <c r="B8643" i="3"/>
  <c r="B8645" i="3"/>
  <c r="B8647" i="3"/>
  <c r="B8649" i="3"/>
  <c r="B8651" i="3"/>
  <c r="B8653" i="3"/>
  <c r="B8655" i="3"/>
  <c r="B8657" i="3"/>
  <c r="B8659" i="3"/>
  <c r="B8661" i="3"/>
  <c r="B8663" i="3"/>
  <c r="B8665" i="3"/>
  <c r="B8667" i="3"/>
  <c r="B8669" i="3"/>
  <c r="B8671" i="3"/>
  <c r="B8673" i="3"/>
  <c r="B8675" i="3"/>
  <c r="B8677" i="3"/>
  <c r="B8679" i="3"/>
  <c r="B8681" i="3"/>
  <c r="B8683" i="3"/>
  <c r="B8685" i="3"/>
  <c r="B8687" i="3"/>
  <c r="B8689" i="3"/>
  <c r="B8691" i="3"/>
  <c r="B8693" i="3"/>
  <c r="B8695" i="3"/>
  <c r="B8697" i="3"/>
  <c r="B8699" i="3"/>
  <c r="B8701" i="3"/>
  <c r="B8703" i="3"/>
  <c r="B8705" i="3"/>
  <c r="B8707" i="3"/>
  <c r="B8709" i="3"/>
  <c r="B8711" i="3"/>
  <c r="B8713" i="3"/>
  <c r="B8715" i="3"/>
  <c r="B8717" i="3"/>
  <c r="B8719" i="3"/>
  <c r="B8721" i="3"/>
  <c r="B8723" i="3"/>
  <c r="B8727" i="3"/>
  <c r="B8731" i="3"/>
  <c r="B8733" i="3"/>
  <c r="B8737" i="3"/>
  <c r="B8739" i="3"/>
  <c r="B8743" i="3"/>
  <c r="B8747" i="3"/>
  <c r="B8749" i="3"/>
  <c r="B8751" i="3"/>
  <c r="B8755" i="3"/>
  <c r="B8757" i="3"/>
  <c r="B8759" i="3"/>
  <c r="B2" i="3"/>
  <c r="A6" i="1"/>
  <c r="E43" i="3" l="1"/>
  <c r="D43" i="3"/>
  <c r="E35" i="3"/>
  <c r="D35" i="3"/>
  <c r="E45" i="3"/>
  <c r="D45" i="3"/>
  <c r="E37" i="3"/>
  <c r="D37" i="3"/>
  <c r="E29" i="3"/>
  <c r="D29" i="3"/>
  <c r="E25" i="3"/>
  <c r="D25" i="3"/>
  <c r="E21" i="3"/>
  <c r="D21" i="3"/>
  <c r="E17" i="3"/>
  <c r="D17" i="3"/>
  <c r="E13" i="3"/>
  <c r="D13" i="3"/>
  <c r="E9" i="3"/>
  <c r="D9" i="3"/>
  <c r="E5" i="3"/>
  <c r="D5" i="3"/>
  <c r="D46" i="3"/>
  <c r="E46" i="3"/>
  <c r="D42" i="3"/>
  <c r="E42" i="3"/>
  <c r="D38" i="3"/>
  <c r="E38" i="3"/>
  <c r="D34" i="3"/>
  <c r="E34" i="3"/>
  <c r="D30" i="3"/>
  <c r="E30" i="3"/>
  <c r="D26" i="3"/>
  <c r="E26" i="3"/>
  <c r="D22" i="3"/>
  <c r="E22" i="3"/>
  <c r="D18" i="3"/>
  <c r="E18" i="3"/>
  <c r="D14" i="3"/>
  <c r="E14" i="3"/>
  <c r="D10" i="3"/>
  <c r="E10" i="3"/>
  <c r="D6" i="3"/>
  <c r="E6" i="3"/>
  <c r="E47" i="3"/>
  <c r="D47" i="3"/>
  <c r="E39" i="3"/>
  <c r="D39" i="3"/>
  <c r="E31" i="3"/>
  <c r="D31" i="3"/>
  <c r="E49" i="3"/>
  <c r="D49" i="3"/>
  <c r="E41" i="3"/>
  <c r="D41" i="3"/>
  <c r="E33" i="3"/>
  <c r="D33" i="3"/>
  <c r="E27" i="3"/>
  <c r="D27" i="3"/>
  <c r="E23" i="3"/>
  <c r="D23" i="3"/>
  <c r="E19" i="3"/>
  <c r="D19" i="3"/>
  <c r="E15" i="3"/>
  <c r="D15" i="3"/>
  <c r="E11" i="3"/>
  <c r="D11" i="3"/>
  <c r="E7" i="3"/>
  <c r="D7" i="3"/>
  <c r="E3" i="3"/>
  <c r="D3" i="3"/>
  <c r="D48" i="3"/>
  <c r="E48" i="3"/>
  <c r="D44" i="3"/>
  <c r="E44" i="3"/>
  <c r="D40" i="3"/>
  <c r="E40" i="3"/>
  <c r="D36" i="3"/>
  <c r="E36" i="3"/>
  <c r="D32" i="3"/>
  <c r="E32" i="3"/>
  <c r="D28" i="3"/>
  <c r="E28" i="3"/>
  <c r="D24" i="3"/>
  <c r="E24" i="3"/>
  <c r="D20" i="3"/>
  <c r="E20" i="3"/>
  <c r="D16" i="3"/>
  <c r="E16" i="3"/>
  <c r="D12" i="3"/>
  <c r="E12" i="3"/>
  <c r="D8" i="3"/>
  <c r="E8" i="3"/>
  <c r="D4" i="3"/>
  <c r="E4" i="3"/>
  <c r="E2" i="3"/>
  <c r="D2" i="3"/>
  <c r="A7" i="1"/>
  <c r="A4" i="6" l="1"/>
  <c r="A8" i="6"/>
  <c r="A12" i="6"/>
  <c r="A16" i="6"/>
  <c r="A20" i="6"/>
  <c r="A24" i="6"/>
  <c r="A28" i="6"/>
  <c r="A32" i="6"/>
  <c r="A36" i="6"/>
  <c r="A40" i="6"/>
  <c r="A44" i="6"/>
  <c r="A48" i="6"/>
  <c r="A6" i="6"/>
  <c r="A10" i="6"/>
  <c r="A14" i="6"/>
  <c r="A18" i="6"/>
  <c r="A22" i="6"/>
  <c r="A26" i="6"/>
  <c r="A30" i="6"/>
  <c r="A34" i="6"/>
  <c r="A38" i="6"/>
  <c r="A42" i="6"/>
  <c r="A46" i="6"/>
  <c r="A2" i="6"/>
  <c r="A3" i="6"/>
  <c r="A7" i="6"/>
  <c r="A11" i="6"/>
  <c r="A15" i="6"/>
  <c r="A19" i="6"/>
  <c r="A23" i="6"/>
  <c r="A27" i="6"/>
  <c r="A33" i="6"/>
  <c r="A41" i="6"/>
  <c r="A49" i="6"/>
  <c r="A31" i="6"/>
  <c r="A39" i="6"/>
  <c r="A47" i="6"/>
  <c r="A5" i="6"/>
  <c r="A9" i="6"/>
  <c r="A13" i="6"/>
  <c r="A17" i="6"/>
  <c r="A21" i="6"/>
  <c r="A25" i="6"/>
  <c r="A29" i="6"/>
  <c r="A37" i="6"/>
  <c r="A45" i="6"/>
  <c r="A35" i="6"/>
  <c r="A43" i="6"/>
  <c r="E70" i="3"/>
  <c r="E66" i="3"/>
  <c r="E62" i="3"/>
  <c r="E59" i="3"/>
  <c r="E51" i="3"/>
  <c r="D73" i="3"/>
  <c r="D69" i="3"/>
  <c r="D65" i="3"/>
  <c r="D61" i="3"/>
  <c r="E53" i="3"/>
  <c r="D58" i="3"/>
  <c r="D54" i="3"/>
  <c r="D50" i="3"/>
  <c r="D70" i="3"/>
  <c r="D66" i="3"/>
  <c r="D62" i="3"/>
  <c r="D59" i="3"/>
  <c r="D51" i="3"/>
  <c r="E73" i="3"/>
  <c r="E69" i="3"/>
  <c r="E65" i="3"/>
  <c r="E61" i="3"/>
  <c r="D53" i="3"/>
  <c r="E58" i="3"/>
  <c r="E54" i="3"/>
  <c r="E50" i="3"/>
  <c r="D56" i="3"/>
  <c r="E57" i="3"/>
  <c r="D67" i="3"/>
  <c r="E55" i="3"/>
  <c r="E64" i="3"/>
  <c r="E72" i="3"/>
  <c r="E52" i="3"/>
  <c r="E56" i="3"/>
  <c r="D57" i="3"/>
  <c r="E63" i="3"/>
  <c r="E67" i="3"/>
  <c r="E71" i="3"/>
  <c r="D55" i="3"/>
  <c r="D60" i="3"/>
  <c r="D64" i="3"/>
  <c r="A64" i="6" s="1"/>
  <c r="D68" i="3"/>
  <c r="D72" i="3"/>
  <c r="D52" i="3"/>
  <c r="D63" i="3"/>
  <c r="D71" i="3"/>
  <c r="A71" i="6" s="1"/>
  <c r="E60" i="3"/>
  <c r="E68" i="3"/>
  <c r="A8" i="1"/>
  <c r="A52" i="6" l="1"/>
  <c r="A51" i="6"/>
  <c r="A62" i="6"/>
  <c r="A70" i="6"/>
  <c r="A63" i="6"/>
  <c r="A72" i="6"/>
  <c r="A55" i="6"/>
  <c r="A57" i="6"/>
  <c r="A53" i="6"/>
  <c r="A59" i="6"/>
  <c r="A66" i="6"/>
  <c r="A68" i="6"/>
  <c r="A60" i="6"/>
  <c r="A54" i="6"/>
  <c r="A65" i="6"/>
  <c r="A73" i="6"/>
  <c r="A67" i="6"/>
  <c r="A56" i="6"/>
  <c r="A50" i="6"/>
  <c r="A58" i="6"/>
  <c r="A61" i="6"/>
  <c r="A69" i="6"/>
  <c r="E90" i="3"/>
  <c r="E82" i="3"/>
  <c r="E74" i="3"/>
  <c r="D97" i="3"/>
  <c r="D89" i="3"/>
  <c r="D81" i="3"/>
  <c r="D94" i="3"/>
  <c r="D86" i="3"/>
  <c r="D78" i="3"/>
  <c r="E93" i="3"/>
  <c r="E85" i="3"/>
  <c r="E77" i="3"/>
  <c r="E94" i="3"/>
  <c r="E86" i="3"/>
  <c r="E78" i="3"/>
  <c r="D93" i="3"/>
  <c r="A93" i="6" s="1"/>
  <c r="D85" i="3"/>
  <c r="D77" i="3"/>
  <c r="A77" i="6" s="1"/>
  <c r="D90" i="3"/>
  <c r="A90" i="6" s="1"/>
  <c r="D82" i="3"/>
  <c r="A82" i="6" s="1"/>
  <c r="D74" i="3"/>
  <c r="A74" i="6" s="1"/>
  <c r="E97" i="3"/>
  <c r="E89" i="3"/>
  <c r="E81" i="3"/>
  <c r="D75" i="3"/>
  <c r="D91" i="3"/>
  <c r="E88" i="3"/>
  <c r="E75" i="3"/>
  <c r="E83" i="3"/>
  <c r="E91" i="3"/>
  <c r="D80" i="3"/>
  <c r="D88" i="3"/>
  <c r="D96" i="3"/>
  <c r="E84" i="3"/>
  <c r="D87" i="3"/>
  <c r="D92" i="3"/>
  <c r="D76" i="3"/>
  <c r="E95" i="3"/>
  <c r="E79" i="3"/>
  <c r="E96" i="3"/>
  <c r="D83" i="3"/>
  <c r="A83" i="6" s="1"/>
  <c r="E92" i="3"/>
  <c r="E76" i="3"/>
  <c r="D79" i="3"/>
  <c r="D84" i="3"/>
  <c r="E87" i="3"/>
  <c r="E80" i="3"/>
  <c r="D95" i="3"/>
  <c r="A9" i="1"/>
  <c r="D106" i="3" s="1"/>
  <c r="A95" i="6" l="1"/>
  <c r="A85" i="6"/>
  <c r="A84" i="6"/>
  <c r="A79" i="6"/>
  <c r="A88" i="6"/>
  <c r="A76" i="6"/>
  <c r="A87" i="6"/>
  <c r="A96" i="6"/>
  <c r="A80" i="6"/>
  <c r="A75" i="6"/>
  <c r="A78" i="6"/>
  <c r="A94" i="6"/>
  <c r="A89" i="6"/>
  <c r="A92" i="6"/>
  <c r="A91" i="6"/>
  <c r="A86" i="6"/>
  <c r="A81" i="6"/>
  <c r="A97" i="6"/>
  <c r="D100" i="3"/>
  <c r="E113" i="3"/>
  <c r="D114" i="3"/>
  <c r="D113" i="3"/>
  <c r="A113" i="6" s="1"/>
  <c r="E114" i="3"/>
  <c r="E121" i="3"/>
  <c r="D102" i="3"/>
  <c r="D118" i="3"/>
  <c r="D109" i="3"/>
  <c r="E110" i="3"/>
  <c r="E109" i="3"/>
  <c r="D101" i="3"/>
  <c r="E98" i="3"/>
  <c r="E111" i="3"/>
  <c r="D112" i="3"/>
  <c r="E99" i="3"/>
  <c r="D115" i="3"/>
  <c r="E116" i="3"/>
  <c r="D99" i="3"/>
  <c r="E115" i="3"/>
  <c r="D116" i="3"/>
  <c r="D98" i="3"/>
  <c r="D111" i="3"/>
  <c r="E112" i="3"/>
  <c r="D105" i="3"/>
  <c r="D121" i="3"/>
  <c r="A121" i="6" s="1"/>
  <c r="E106" i="3"/>
  <c r="A106" i="6" s="1"/>
  <c r="E105" i="3"/>
  <c r="D110" i="3"/>
  <c r="E100" i="3"/>
  <c r="D117" i="3"/>
  <c r="E102" i="3"/>
  <c r="E118" i="3"/>
  <c r="E117" i="3"/>
  <c r="E101" i="3"/>
  <c r="E103" i="3"/>
  <c r="E119" i="3"/>
  <c r="D104" i="3"/>
  <c r="D120" i="3"/>
  <c r="D107" i="3"/>
  <c r="E108" i="3"/>
  <c r="E107" i="3"/>
  <c r="D108" i="3"/>
  <c r="A108" i="6" s="1"/>
  <c r="D103" i="3"/>
  <c r="A103" i="6" s="1"/>
  <c r="D119" i="3"/>
  <c r="A119" i="6" s="1"/>
  <c r="E104" i="3"/>
  <c r="E120" i="3"/>
  <c r="A10" i="1"/>
  <c r="A98" i="6" l="1"/>
  <c r="A110" i="6"/>
  <c r="A107" i="6"/>
  <c r="A104" i="6"/>
  <c r="A101" i="6"/>
  <c r="A118" i="6"/>
  <c r="A120" i="6"/>
  <c r="A117" i="6"/>
  <c r="A105" i="6"/>
  <c r="A111" i="6"/>
  <c r="A116" i="6"/>
  <c r="A99" i="6"/>
  <c r="A115" i="6"/>
  <c r="A112" i="6"/>
  <c r="A109" i="6"/>
  <c r="A102" i="6"/>
  <c r="A114" i="6"/>
  <c r="A100" i="6"/>
  <c r="D138" i="3"/>
  <c r="D122" i="3"/>
  <c r="E129" i="3"/>
  <c r="E136" i="3"/>
  <c r="D124" i="3"/>
  <c r="E139" i="3"/>
  <c r="E140" i="3"/>
  <c r="D123" i="3"/>
  <c r="E135" i="3"/>
  <c r="E134" i="3"/>
  <c r="D126" i="3"/>
  <c r="E137" i="3"/>
  <c r="E122" i="3"/>
  <c r="D137" i="3"/>
  <c r="A137" i="6" s="1"/>
  <c r="E144" i="3"/>
  <c r="D127" i="3"/>
  <c r="D132" i="3"/>
  <c r="D131" i="3"/>
  <c r="D128" i="3"/>
  <c r="E143" i="3"/>
  <c r="E125" i="3"/>
  <c r="E126" i="3"/>
  <c r="D141" i="3"/>
  <c r="D129" i="3"/>
  <c r="D130" i="3"/>
  <c r="E145" i="3"/>
  <c r="D135" i="3"/>
  <c r="A135" i="6" s="1"/>
  <c r="D140" i="3"/>
  <c r="E123" i="3"/>
  <c r="E124" i="3"/>
  <c r="D139" i="3"/>
  <c r="D136" i="3"/>
  <c r="A136" i="6" s="1"/>
  <c r="E133" i="3"/>
  <c r="D133" i="3"/>
  <c r="D142" i="3"/>
  <c r="E138" i="3"/>
  <c r="E128" i="3"/>
  <c r="D143" i="3"/>
  <c r="A143" i="6" s="1"/>
  <c r="E131" i="3"/>
  <c r="E132" i="3"/>
  <c r="D144" i="3"/>
  <c r="A144" i="6" s="1"/>
  <c r="E127" i="3"/>
  <c r="E141" i="3"/>
  <c r="E142" i="3"/>
  <c r="D125" i="3"/>
  <c r="D134" i="3"/>
  <c r="A134" i="6" s="1"/>
  <c r="E130" i="3"/>
  <c r="D145" i="3"/>
  <c r="A145" i="6" s="1"/>
  <c r="A11" i="1"/>
  <c r="A125" i="6" l="1"/>
  <c r="A133" i="6"/>
  <c r="A140" i="6"/>
  <c r="A129" i="6"/>
  <c r="A139" i="6"/>
  <c r="A131" i="6"/>
  <c r="A127" i="6"/>
  <c r="A123" i="6"/>
  <c r="A122" i="6"/>
  <c r="A142" i="6"/>
  <c r="A130" i="6"/>
  <c r="A141" i="6"/>
  <c r="A128" i="6"/>
  <c r="A132" i="6"/>
  <c r="A126" i="6"/>
  <c r="A124" i="6"/>
  <c r="A138" i="6"/>
  <c r="E153" i="3"/>
  <c r="D154" i="3"/>
  <c r="E169" i="3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8651" i="3" l="1"/>
  <c r="E8677" i="3"/>
  <c r="E8549" i="3"/>
  <c r="E8421" i="3"/>
  <c r="E8293" i="3"/>
  <c r="E8165" i="3"/>
  <c r="E8759" i="3"/>
  <c r="E8619" i="3"/>
  <c r="E8727" i="3"/>
  <c r="E8661" i="3"/>
  <c r="E8597" i="3"/>
  <c r="E8533" i="3"/>
  <c r="E8469" i="3"/>
  <c r="E8405" i="3"/>
  <c r="E8341" i="3"/>
  <c r="E8277" i="3"/>
  <c r="E8213" i="3"/>
  <c r="E8149" i="3"/>
  <c r="E8085" i="3"/>
  <c r="E8021" i="3"/>
  <c r="E7957" i="3"/>
  <c r="E7893" i="3"/>
  <c r="E7829" i="3"/>
  <c r="E7765" i="3"/>
  <c r="E7701" i="3"/>
  <c r="E7637" i="3"/>
  <c r="E7573" i="3"/>
  <c r="E7509" i="3"/>
  <c r="E7445" i="3"/>
  <c r="E7381" i="3"/>
  <c r="E7317" i="3"/>
  <c r="E7253" i="3"/>
  <c r="E7189" i="3"/>
  <c r="E7124" i="3"/>
  <c r="D8732" i="3"/>
  <c r="D8668" i="3"/>
  <c r="D8604" i="3"/>
  <c r="D8540" i="3"/>
  <c r="D8476" i="3"/>
  <c r="D8412" i="3"/>
  <c r="D8348" i="3"/>
  <c r="D8284" i="3"/>
  <c r="D8220" i="3"/>
  <c r="D8156" i="3"/>
  <c r="D8092" i="3"/>
  <c r="D8028" i="3"/>
  <c r="D7964" i="3"/>
  <c r="D7900" i="3"/>
  <c r="D7836" i="3"/>
  <c r="D7772" i="3"/>
  <c r="D7708" i="3"/>
  <c r="D7644" i="3"/>
  <c r="D7580" i="3"/>
  <c r="D7516" i="3"/>
  <c r="D7452" i="3"/>
  <c r="D7388" i="3"/>
  <c r="D7324" i="3"/>
  <c r="D7260" i="3"/>
  <c r="D7196" i="3"/>
  <c r="D7132" i="3"/>
  <c r="E7046" i="3"/>
  <c r="E6982" i="3"/>
  <c r="E6918" i="3"/>
  <c r="E6854" i="3"/>
  <c r="E6790" i="3"/>
  <c r="E6726" i="3"/>
  <c r="E6662" i="3"/>
  <c r="E6598" i="3"/>
  <c r="E6534" i="3"/>
  <c r="E6470" i="3"/>
  <c r="E6406" i="3"/>
  <c r="E6342" i="3"/>
  <c r="E6278" i="3"/>
  <c r="E6214" i="3"/>
  <c r="E6150" i="3"/>
  <c r="E6086" i="3"/>
  <c r="E6022" i="3"/>
  <c r="E5958" i="3"/>
  <c r="E5894" i="3"/>
  <c r="E5830" i="3"/>
  <c r="E5766" i="3"/>
  <c r="E5702" i="3"/>
  <c r="E5638" i="3"/>
  <c r="E5574" i="3"/>
  <c r="E5510" i="3"/>
  <c r="E5446" i="3"/>
  <c r="E5382" i="3"/>
  <c r="E5318" i="3"/>
  <c r="D7117" i="3"/>
  <c r="D7053" i="3"/>
  <c r="D6989" i="3"/>
  <c r="D6925" i="3"/>
  <c r="D6861" i="3"/>
  <c r="D6797" i="3"/>
  <c r="D6733" i="3"/>
  <c r="D6669" i="3"/>
  <c r="D6605" i="3"/>
  <c r="D6541" i="3"/>
  <c r="D6477" i="3"/>
  <c r="D6413" i="3"/>
  <c r="D6349" i="3"/>
  <c r="D6285" i="3"/>
  <c r="D6221" i="3"/>
  <c r="D6157" i="3"/>
  <c r="D6093" i="3"/>
  <c r="D6029" i="3"/>
  <c r="D5965" i="3"/>
  <c r="D5901" i="3"/>
  <c r="D5837" i="3"/>
  <c r="D5773" i="3"/>
  <c r="D5709" i="3"/>
  <c r="D5645" i="3"/>
  <c r="D5581" i="3"/>
  <c r="D5517" i="3"/>
  <c r="D5453" i="3"/>
  <c r="D5389" i="3"/>
  <c r="D5325" i="3"/>
  <c r="E5261" i="3"/>
  <c r="E5197" i="3"/>
  <c r="E5133" i="3"/>
  <c r="E5069" i="3"/>
  <c r="E5005" i="3"/>
  <c r="E4941" i="3"/>
  <c r="E4877" i="3"/>
  <c r="E4813" i="3"/>
  <c r="E4749" i="3"/>
  <c r="E4685" i="3"/>
  <c r="E4621" i="3"/>
  <c r="E4557" i="3"/>
  <c r="E4493" i="3"/>
  <c r="E4429" i="3"/>
  <c r="E4365" i="3"/>
  <c r="E4301" i="3"/>
  <c r="E4237" i="3"/>
  <c r="E4173" i="3"/>
  <c r="E4109" i="3"/>
  <c r="E4045" i="3"/>
  <c r="E3981" i="3"/>
  <c r="E3917" i="3"/>
  <c r="E3853" i="3"/>
  <c r="E3789" i="3"/>
  <c r="E3725" i="3"/>
  <c r="E3661" i="3"/>
  <c r="E3597" i="3"/>
  <c r="E3533" i="3"/>
  <c r="E3469" i="3"/>
  <c r="D5226" i="3"/>
  <c r="D5162" i="3"/>
  <c r="D5098" i="3"/>
  <c r="D5034" i="3"/>
  <c r="D4970" i="3"/>
  <c r="D4906" i="3"/>
  <c r="D4842" i="3"/>
  <c r="D4778" i="3"/>
  <c r="D4714" i="3"/>
  <c r="D4650" i="3"/>
  <c r="D4586" i="3"/>
  <c r="D4522" i="3"/>
  <c r="D4458" i="3"/>
  <c r="D4394" i="3"/>
  <c r="D4330" i="3"/>
  <c r="D4266" i="3"/>
  <c r="D4202" i="3"/>
  <c r="D4138" i="3"/>
  <c r="D4074" i="3"/>
  <c r="D4010" i="3"/>
  <c r="D3946" i="3"/>
  <c r="D3882" i="3"/>
  <c r="D3818" i="3"/>
  <c r="D3754" i="3"/>
  <c r="D3690" i="3"/>
  <c r="D3626" i="3"/>
  <c r="D3562" i="3"/>
  <c r="D3498" i="3"/>
  <c r="E3434" i="3"/>
  <c r="E3370" i="3"/>
  <c r="E3306" i="3"/>
  <c r="E3242" i="3"/>
  <c r="E3178" i="3"/>
  <c r="E3114" i="3"/>
  <c r="E3050" i="3"/>
  <c r="E2986" i="3"/>
  <c r="E2922" i="3"/>
  <c r="E2858" i="3"/>
  <c r="E2794" i="3"/>
  <c r="E2730" i="3"/>
  <c r="E2666" i="3"/>
  <c r="E2602" i="3"/>
  <c r="E2538" i="3"/>
  <c r="D3383" i="3"/>
  <c r="D3319" i="3"/>
  <c r="D3255" i="3"/>
  <c r="D3191" i="3"/>
  <c r="D3127" i="3"/>
  <c r="D3063" i="3"/>
  <c r="D2999" i="3"/>
  <c r="D2935" i="3"/>
  <c r="D2871" i="3"/>
  <c r="D2807" i="3"/>
  <c r="D2743" i="3"/>
  <c r="D2679" i="3"/>
  <c r="D2615" i="3"/>
  <c r="D2551" i="3"/>
  <c r="E2491" i="3"/>
  <c r="E2427" i="3"/>
  <c r="E2363" i="3"/>
  <c r="E2299" i="3"/>
  <c r="E2235" i="3"/>
  <c r="E2171" i="3"/>
  <c r="E2107" i="3"/>
  <c r="E2043" i="3"/>
  <c r="E1979" i="3"/>
  <c r="E1915" i="3"/>
  <c r="E1851" i="3"/>
  <c r="E1787" i="3"/>
  <c r="E1723" i="3"/>
  <c r="E1659" i="3"/>
  <c r="D2498" i="3"/>
  <c r="D2434" i="3"/>
  <c r="D2370" i="3"/>
  <c r="D2306" i="3"/>
  <c r="D2242" i="3"/>
  <c r="D2178" i="3"/>
  <c r="D2114" i="3"/>
  <c r="D2050" i="3"/>
  <c r="D1986" i="3"/>
  <c r="D1922" i="3"/>
  <c r="D1858" i="3"/>
  <c r="D1794" i="3"/>
  <c r="D1730" i="3"/>
  <c r="D1666" i="3"/>
  <c r="E1603" i="3"/>
  <c r="E1539" i="3"/>
  <c r="E1475" i="3"/>
  <c r="E1411" i="3"/>
  <c r="E1347" i="3"/>
  <c r="E1283" i="3"/>
  <c r="E1219" i="3"/>
  <c r="D1608" i="3"/>
  <c r="D1544" i="3"/>
  <c r="D1480" i="3"/>
  <c r="D1416" i="3"/>
  <c r="D1352" i="3"/>
  <c r="D1288" i="3"/>
  <c r="D1224" i="3"/>
  <c r="D1188" i="3"/>
  <c r="E1124" i="3"/>
  <c r="E1060" i="3"/>
  <c r="E996" i="3"/>
  <c r="E932" i="3"/>
  <c r="E868" i="3"/>
  <c r="E804" i="3"/>
  <c r="D1139" i="3"/>
  <c r="D1075" i="3"/>
  <c r="D1011" i="3"/>
  <c r="D947" i="3"/>
  <c r="D883" i="3"/>
  <c r="D819" i="3"/>
  <c r="E741" i="3"/>
  <c r="D718" i="3"/>
  <c r="E654" i="3"/>
  <c r="E590" i="3"/>
  <c r="D701" i="3"/>
  <c r="D637" i="3"/>
  <c r="D573" i="3"/>
  <c r="E508" i="3"/>
  <c r="E444" i="3"/>
  <c r="E380" i="3"/>
  <c r="D541" i="3"/>
  <c r="D477" i="3"/>
  <c r="D413" i="3"/>
  <c r="D349" i="3"/>
  <c r="E294" i="3"/>
  <c r="E230" i="3"/>
  <c r="D265" i="3"/>
  <c r="E200" i="3"/>
  <c r="D151" i="3"/>
  <c r="E8679" i="3"/>
  <c r="E8551" i="3"/>
  <c r="E8479" i="3"/>
  <c r="E8415" i="3"/>
  <c r="E8351" i="3"/>
  <c r="E8287" i="3"/>
  <c r="E8223" i="3"/>
  <c r="E8159" i="3"/>
  <c r="E8095" i="3"/>
  <c r="E8031" i="3"/>
  <c r="E7967" i="3"/>
  <c r="E7903" i="3"/>
  <c r="E7839" i="3"/>
  <c r="E7775" i="3"/>
  <c r="E7711" i="3"/>
  <c r="E7647" i="3"/>
  <c r="E7583" i="3"/>
  <c r="E7519" i="3"/>
  <c r="E7455" i="3"/>
  <c r="E7391" i="3"/>
  <c r="E7327" i="3"/>
  <c r="E7263" i="3"/>
  <c r="E7199" i="3"/>
  <c r="E7135" i="3"/>
  <c r="D8742" i="3"/>
  <c r="D8678" i="3"/>
  <c r="D8614" i="3"/>
  <c r="D8550" i="3"/>
  <c r="D8486" i="3"/>
  <c r="D8422" i="3"/>
  <c r="D8358" i="3"/>
  <c r="D8294" i="3"/>
  <c r="D8230" i="3"/>
  <c r="D8166" i="3"/>
  <c r="D8102" i="3"/>
  <c r="D8038" i="3"/>
  <c r="D7974" i="3"/>
  <c r="D7910" i="3"/>
  <c r="D7846" i="3"/>
  <c r="D7782" i="3"/>
  <c r="D7718" i="3"/>
  <c r="D7654" i="3"/>
  <c r="D7590" i="3"/>
  <c r="D7526" i="3"/>
  <c r="D7462" i="3"/>
  <c r="D7398" i="3"/>
  <c r="D7334" i="3"/>
  <c r="D7270" i="3"/>
  <c r="D7206" i="3"/>
  <c r="D7142" i="3"/>
  <c r="E7056" i="3"/>
  <c r="E6992" i="3"/>
  <c r="E6928" i="3"/>
  <c r="E6864" i="3"/>
  <c r="E6800" i="3"/>
  <c r="E6736" i="3"/>
  <c r="E6672" i="3"/>
  <c r="E6608" i="3"/>
  <c r="E6544" i="3"/>
  <c r="E6480" i="3"/>
  <c r="E6416" i="3"/>
  <c r="E6352" i="3"/>
  <c r="E6288" i="3"/>
  <c r="E6224" i="3"/>
  <c r="E6160" i="3"/>
  <c r="E6096" i="3"/>
  <c r="E6032" i="3"/>
  <c r="D8723" i="3"/>
  <c r="D8595" i="3"/>
  <c r="D8713" i="3"/>
  <c r="D8649" i="3"/>
  <c r="D8585" i="3"/>
  <c r="D8521" i="3"/>
  <c r="D8457" i="3"/>
  <c r="D8393" i="3"/>
  <c r="D8329" i="3"/>
  <c r="D8265" i="3"/>
  <c r="D8201" i="3"/>
  <c r="D8137" i="3"/>
  <c r="D8073" i="3"/>
  <c r="D8009" i="3"/>
  <c r="D7945" i="3"/>
  <c r="D7881" i="3"/>
  <c r="D7817" i="3"/>
  <c r="D7753" i="3"/>
  <c r="D7689" i="3"/>
  <c r="D7625" i="3"/>
  <c r="D7561" i="3"/>
  <c r="D7497" i="3"/>
  <c r="D7433" i="3"/>
  <c r="D7369" i="3"/>
  <c r="D7305" i="3"/>
  <c r="D7241" i="3"/>
  <c r="D7177" i="3"/>
  <c r="D7100" i="3"/>
  <c r="E8720" i="3"/>
  <c r="E8656" i="3"/>
  <c r="E8592" i="3"/>
  <c r="E8528" i="3"/>
  <c r="E8464" i="3"/>
  <c r="E8400" i="3"/>
  <c r="E8336" i="3"/>
  <c r="E8272" i="3"/>
  <c r="E8208" i="3"/>
  <c r="E8144" i="3"/>
  <c r="E8080" i="3"/>
  <c r="E8016" i="3"/>
  <c r="E7952" i="3"/>
  <c r="E7888" i="3"/>
  <c r="E7824" i="3"/>
  <c r="E7760" i="3"/>
  <c r="E7696" i="3"/>
  <c r="E7632" i="3"/>
  <c r="E7568" i="3"/>
  <c r="E7504" i="3"/>
  <c r="E7440" i="3"/>
  <c r="E7376" i="3"/>
  <c r="E7312" i="3"/>
  <c r="E7248" i="3"/>
  <c r="E7184" i="3"/>
  <c r="D7114" i="3"/>
  <c r="D7034" i="3"/>
  <c r="D6970" i="3"/>
  <c r="D6906" i="3"/>
  <c r="D6842" i="3"/>
  <c r="D6778" i="3"/>
  <c r="D6714" i="3"/>
  <c r="D6650" i="3"/>
  <c r="D6586" i="3"/>
  <c r="D6522" i="3"/>
  <c r="D6458" i="3"/>
  <c r="D6394" i="3"/>
  <c r="D6330" i="3"/>
  <c r="D6266" i="3"/>
  <c r="D6202" i="3"/>
  <c r="D6138" i="3"/>
  <c r="D6074" i="3"/>
  <c r="D6010" i="3"/>
  <c r="D5946" i="3"/>
  <c r="D5882" i="3"/>
  <c r="D5818" i="3"/>
  <c r="D5754" i="3"/>
  <c r="D5690" i="3"/>
  <c r="D5626" i="3"/>
  <c r="D5562" i="3"/>
  <c r="D5498" i="3"/>
  <c r="D5434" i="3"/>
  <c r="D5370" i="3"/>
  <c r="D5306" i="3"/>
  <c r="E7105" i="3"/>
  <c r="E7041" i="3"/>
  <c r="E6977" i="3"/>
  <c r="E6913" i="3"/>
  <c r="E6849" i="3"/>
  <c r="E6785" i="3"/>
  <c r="E6721" i="3"/>
  <c r="E6657" i="3"/>
  <c r="E6593" i="3"/>
  <c r="E6529" i="3"/>
  <c r="E6465" i="3"/>
  <c r="E6401" i="3"/>
  <c r="E6337" i="3"/>
  <c r="E6273" i="3"/>
  <c r="E6209" i="3"/>
  <c r="E6145" i="3"/>
  <c r="E6081" i="3"/>
  <c r="E6017" i="3"/>
  <c r="E5953" i="3"/>
  <c r="E5889" i="3"/>
  <c r="E5825" i="3"/>
  <c r="E5761" i="3"/>
  <c r="E5697" i="3"/>
  <c r="E5633" i="3"/>
  <c r="E5569" i="3"/>
  <c r="E5505" i="3"/>
  <c r="E5441" i="3"/>
  <c r="E5377" i="3"/>
  <c r="E5313" i="3"/>
  <c r="D5249" i="3"/>
  <c r="D5185" i="3"/>
  <c r="D5121" i="3"/>
  <c r="D5057" i="3"/>
  <c r="D4993" i="3"/>
  <c r="D4929" i="3"/>
  <c r="D4865" i="3"/>
  <c r="D4801" i="3"/>
  <c r="D4737" i="3"/>
  <c r="D4673" i="3"/>
  <c r="D4609" i="3"/>
  <c r="D4545" i="3"/>
  <c r="D4481" i="3"/>
  <c r="D4417" i="3"/>
  <c r="D4353" i="3"/>
  <c r="D4289" i="3"/>
  <c r="D4225" i="3"/>
  <c r="D4161" i="3"/>
  <c r="D4097" i="3"/>
  <c r="D4033" i="3"/>
  <c r="D3969" i="3"/>
  <c r="D3905" i="3"/>
  <c r="D3841" i="3"/>
  <c r="D3777" i="3"/>
  <c r="D3713" i="3"/>
  <c r="D3649" i="3"/>
  <c r="D3585" i="3"/>
  <c r="D3521" i="3"/>
  <c r="D3457" i="3"/>
  <c r="E5214" i="3"/>
  <c r="E5150" i="3"/>
  <c r="E5086" i="3"/>
  <c r="E5022" i="3"/>
  <c r="E4958" i="3"/>
  <c r="E4894" i="3"/>
  <c r="E4830" i="3"/>
  <c r="E4766" i="3"/>
  <c r="E4702" i="3"/>
  <c r="E4638" i="3"/>
  <c r="E4574" i="3"/>
  <c r="E4510" i="3"/>
  <c r="E4446" i="3"/>
  <c r="E4382" i="3"/>
  <c r="E4318" i="3"/>
  <c r="E4254" i="3"/>
  <c r="E4190" i="3"/>
  <c r="E4126" i="3"/>
  <c r="E4062" i="3"/>
  <c r="E3998" i="3"/>
  <c r="E3934" i="3"/>
  <c r="E3870" i="3"/>
  <c r="E3806" i="3"/>
  <c r="E3742" i="3"/>
  <c r="E3678" i="3"/>
  <c r="E3614" i="3"/>
  <c r="E3550" i="3"/>
  <c r="E3486" i="3"/>
  <c r="D3422" i="3"/>
  <c r="D3358" i="3"/>
  <c r="D3294" i="3"/>
  <c r="D3230" i="3"/>
  <c r="D3166" i="3"/>
  <c r="D3102" i="3"/>
  <c r="D3038" i="3"/>
  <c r="D2974" i="3"/>
  <c r="D2910" i="3"/>
  <c r="D2846" i="3"/>
  <c r="D2782" i="3"/>
  <c r="D2718" i="3"/>
  <c r="D2654" i="3"/>
  <c r="D2590" i="3"/>
  <c r="E3435" i="3"/>
  <c r="E3371" i="3"/>
  <c r="E3307" i="3"/>
  <c r="E3243" i="3"/>
  <c r="E3179" i="3"/>
  <c r="E3115" i="3"/>
  <c r="E3051" i="3"/>
  <c r="E2987" i="3"/>
  <c r="E2923" i="3"/>
  <c r="E2859" i="3"/>
  <c r="E2795" i="3"/>
  <c r="E2731" i="3"/>
  <c r="E2667" i="3"/>
  <c r="E2603" i="3"/>
  <c r="E2539" i="3"/>
  <c r="D2479" i="3"/>
  <c r="D2415" i="3"/>
  <c r="D2351" i="3"/>
  <c r="D2287" i="3"/>
  <c r="D2223" i="3"/>
  <c r="D2159" i="3"/>
  <c r="D2095" i="3"/>
  <c r="D2031" i="3"/>
  <c r="D1967" i="3"/>
  <c r="D1903" i="3"/>
  <c r="D1839" i="3"/>
  <c r="D1775" i="3"/>
  <c r="D1711" i="3"/>
  <c r="D1647" i="3"/>
  <c r="E2486" i="3"/>
  <c r="E2422" i="3"/>
  <c r="E2358" i="3"/>
  <c r="E2294" i="3"/>
  <c r="E2230" i="3"/>
  <c r="E2166" i="3"/>
  <c r="E2102" i="3"/>
  <c r="E2038" i="3"/>
  <c r="E1974" i="3"/>
  <c r="E1910" i="3"/>
  <c r="E1846" i="3"/>
  <c r="E1782" i="3"/>
  <c r="E1718" i="3"/>
  <c r="E1654" i="3"/>
  <c r="D1591" i="3"/>
  <c r="D1527" i="3"/>
  <c r="D1463" i="3"/>
  <c r="D1399" i="3"/>
  <c r="D1335" i="3"/>
  <c r="D1271" i="3"/>
  <c r="D1207" i="3"/>
  <c r="E1596" i="3"/>
  <c r="E1532" i="3"/>
  <c r="E1468" i="3"/>
  <c r="E1404" i="3"/>
  <c r="E1340" i="3"/>
  <c r="E1276" i="3"/>
  <c r="E1212" i="3"/>
  <c r="E1176" i="3"/>
  <c r="D1112" i="3"/>
  <c r="D1048" i="3"/>
  <c r="D984" i="3"/>
  <c r="D920" i="3"/>
  <c r="D856" i="3"/>
  <c r="D792" i="3"/>
  <c r="E1127" i="3"/>
  <c r="E1063" i="3"/>
  <c r="E999" i="3"/>
  <c r="E935" i="3"/>
  <c r="E871" i="3"/>
  <c r="E807" i="3"/>
  <c r="D770" i="3"/>
  <c r="D706" i="3"/>
  <c r="D642" i="3"/>
  <c r="D578" i="3"/>
  <c r="E689" i="3"/>
  <c r="E625" i="3"/>
  <c r="E561" i="3"/>
  <c r="D496" i="3"/>
  <c r="D432" i="3"/>
  <c r="D368" i="3"/>
  <c r="E529" i="3"/>
  <c r="E465" i="3"/>
  <c r="E401" i="3"/>
  <c r="E337" i="3"/>
  <c r="D282" i="3"/>
  <c r="D218" i="3"/>
  <c r="E253" i="3"/>
  <c r="D188" i="3"/>
  <c r="E171" i="3"/>
  <c r="D8703" i="3"/>
  <c r="D8575" i="3"/>
  <c r="D8491" i="3"/>
  <c r="D8427" i="3"/>
  <c r="D8363" i="3"/>
  <c r="D8299" i="3"/>
  <c r="D8235" i="3"/>
  <c r="D8171" i="3"/>
  <c r="D8107" i="3"/>
  <c r="D8043" i="3"/>
  <c r="D7979" i="3"/>
  <c r="D7915" i="3"/>
  <c r="D7851" i="3"/>
  <c r="D7787" i="3"/>
  <c r="D7723" i="3"/>
  <c r="D7659" i="3"/>
  <c r="D7595" i="3"/>
  <c r="D7531" i="3"/>
  <c r="D7467" i="3"/>
  <c r="D7403" i="3"/>
  <c r="D7339" i="3"/>
  <c r="D7275" i="3"/>
  <c r="D7211" i="3"/>
  <c r="D7147" i="3"/>
  <c r="E8754" i="3"/>
  <c r="E8690" i="3"/>
  <c r="E8626" i="3"/>
  <c r="E8562" i="3"/>
  <c r="E8498" i="3"/>
  <c r="E8434" i="3"/>
  <c r="E8370" i="3"/>
  <c r="E8306" i="3"/>
  <c r="E8242" i="3"/>
  <c r="E8178" i="3"/>
  <c r="E8114" i="3"/>
  <c r="E8050" i="3"/>
  <c r="E7986" i="3"/>
  <c r="E7922" i="3"/>
  <c r="E7858" i="3"/>
  <c r="E7794" i="3"/>
  <c r="E7730" i="3"/>
  <c r="E7666" i="3"/>
  <c r="E7602" i="3"/>
  <c r="E7538" i="3"/>
  <c r="E7474" i="3"/>
  <c r="E7410" i="3"/>
  <c r="E7346" i="3"/>
  <c r="E7282" i="3"/>
  <c r="E7218" i="3"/>
  <c r="E7154" i="3"/>
  <c r="D7068" i="3"/>
  <c r="D7004" i="3"/>
  <c r="D6940" i="3"/>
  <c r="D6876" i="3"/>
  <c r="D6812" i="3"/>
  <c r="D6748" i="3"/>
  <c r="D6684" i="3"/>
  <c r="D6620" i="3"/>
  <c r="D6556" i="3"/>
  <c r="D6492" i="3"/>
  <c r="D6428" i="3"/>
  <c r="D6364" i="3"/>
  <c r="D6300" i="3"/>
  <c r="D6236" i="3"/>
  <c r="D6172" i="3"/>
  <c r="D6108" i="3"/>
  <c r="E8627" i="3"/>
  <c r="E8733" i="3"/>
  <c r="E8665" i="3"/>
  <c r="E8601" i="3"/>
  <c r="E8537" i="3"/>
  <c r="E8473" i="3"/>
  <c r="E8409" i="3"/>
  <c r="E8345" i="3"/>
  <c r="E8281" i="3"/>
  <c r="E8217" i="3"/>
  <c r="E8153" i="3"/>
  <c r="E8089" i="3"/>
  <c r="E8025" i="3"/>
  <c r="E7961" i="3"/>
  <c r="E7897" i="3"/>
  <c r="E7833" i="3"/>
  <c r="E7769" i="3"/>
  <c r="E7705" i="3"/>
  <c r="E7641" i="3"/>
  <c r="E7577" i="3"/>
  <c r="E7513" i="3"/>
  <c r="E7449" i="3"/>
  <c r="E7385" i="3"/>
  <c r="E7321" i="3"/>
  <c r="E7257" i="3"/>
  <c r="E7193" i="3"/>
  <c r="E7129" i="3"/>
  <c r="D8736" i="3"/>
  <c r="D8672" i="3"/>
  <c r="D8608" i="3"/>
  <c r="D8544" i="3"/>
  <c r="D8480" i="3"/>
  <c r="D8416" i="3"/>
  <c r="D8352" i="3"/>
  <c r="D8288" i="3"/>
  <c r="D8224" i="3"/>
  <c r="D8160" i="3"/>
  <c r="D8096" i="3"/>
  <c r="D8032" i="3"/>
  <c r="D7968" i="3"/>
  <c r="D7904" i="3"/>
  <c r="D7840" i="3"/>
  <c r="D7776" i="3"/>
  <c r="D7712" i="3"/>
  <c r="D7648" i="3"/>
  <c r="D7584" i="3"/>
  <c r="D7520" i="3"/>
  <c r="D7456" i="3"/>
  <c r="D7392" i="3"/>
  <c r="D7328" i="3"/>
  <c r="D7264" i="3"/>
  <c r="D7200" i="3"/>
  <c r="D7136" i="3"/>
  <c r="E7050" i="3"/>
  <c r="E6986" i="3"/>
  <c r="E6922" i="3"/>
  <c r="E6858" i="3"/>
  <c r="E6794" i="3"/>
  <c r="E6730" i="3"/>
  <c r="E6666" i="3"/>
  <c r="E6602" i="3"/>
  <c r="E6538" i="3"/>
  <c r="E6474" i="3"/>
  <c r="E6410" i="3"/>
  <c r="E6346" i="3"/>
  <c r="E6282" i="3"/>
  <c r="E6218" i="3"/>
  <c r="E6154" i="3"/>
  <c r="E6090" i="3"/>
  <c r="E6026" i="3"/>
  <c r="E5962" i="3"/>
  <c r="E5898" i="3"/>
  <c r="E5834" i="3"/>
  <c r="E5770" i="3"/>
  <c r="E5706" i="3"/>
  <c r="E5642" i="3"/>
  <c r="E5578" i="3"/>
  <c r="E5514" i="3"/>
  <c r="E5450" i="3"/>
  <c r="E5386" i="3"/>
  <c r="E5322" i="3"/>
  <c r="D7121" i="3"/>
  <c r="D7057" i="3"/>
  <c r="D6993" i="3"/>
  <c r="D6929" i="3"/>
  <c r="D6865" i="3"/>
  <c r="D6801" i="3"/>
  <c r="D6737" i="3"/>
  <c r="D6673" i="3"/>
  <c r="D6609" i="3"/>
  <c r="D6545" i="3"/>
  <c r="D6481" i="3"/>
  <c r="D6417" i="3"/>
  <c r="D6353" i="3"/>
  <c r="D6289" i="3"/>
  <c r="D6225" i="3"/>
  <c r="D6161" i="3"/>
  <c r="D6097" i="3"/>
  <c r="D6033" i="3"/>
  <c r="D5969" i="3"/>
  <c r="D5905" i="3"/>
  <c r="D5841" i="3"/>
  <c r="D5777" i="3"/>
  <c r="D5713" i="3"/>
  <c r="D5649" i="3"/>
  <c r="D5585" i="3"/>
  <c r="D5521" i="3"/>
  <c r="D5457" i="3"/>
  <c r="D5393" i="3"/>
  <c r="D5329" i="3"/>
  <c r="D5265" i="3"/>
  <c r="E5201" i="3"/>
  <c r="E5137" i="3"/>
  <c r="E5073" i="3"/>
  <c r="E5009" i="3"/>
  <c r="E4945" i="3"/>
  <c r="E4881" i="3"/>
  <c r="E4817" i="3"/>
  <c r="E4753" i="3"/>
  <c r="E4689" i="3"/>
  <c r="E4625" i="3"/>
  <c r="E4561" i="3"/>
  <c r="E4497" i="3"/>
  <c r="E4433" i="3"/>
  <c r="E4369" i="3"/>
  <c r="E4305" i="3"/>
  <c r="E4241" i="3"/>
  <c r="E4177" i="3"/>
  <c r="E4113" i="3"/>
  <c r="E4049" i="3"/>
  <c r="E3985" i="3"/>
  <c r="E3921" i="3"/>
  <c r="E3857" i="3"/>
  <c r="E3793" i="3"/>
  <c r="E3729" i="3"/>
  <c r="E3665" i="3"/>
  <c r="E3601" i="3"/>
  <c r="E3537" i="3"/>
  <c r="E3473" i="3"/>
  <c r="D5230" i="3"/>
  <c r="D5166" i="3"/>
  <c r="D5102" i="3"/>
  <c r="D5038" i="3"/>
  <c r="D4974" i="3"/>
  <c r="D4910" i="3"/>
  <c r="D4846" i="3"/>
  <c r="D4782" i="3"/>
  <c r="D4718" i="3"/>
  <c r="D4654" i="3"/>
  <c r="D4590" i="3"/>
  <c r="D4526" i="3"/>
  <c r="D4462" i="3"/>
  <c r="D4398" i="3"/>
  <c r="D4334" i="3"/>
  <c r="D4270" i="3"/>
  <c r="D4206" i="3"/>
  <c r="D4142" i="3"/>
  <c r="D4078" i="3"/>
  <c r="D4014" i="3"/>
  <c r="D3950" i="3"/>
  <c r="D3886" i="3"/>
  <c r="D3822" i="3"/>
  <c r="D3758" i="3"/>
  <c r="D3694" i="3"/>
  <c r="D3630" i="3"/>
  <c r="D3566" i="3"/>
  <c r="D3502" i="3"/>
  <c r="E3438" i="3"/>
  <c r="E3374" i="3"/>
  <c r="E3310" i="3"/>
  <c r="E3246" i="3"/>
  <c r="E3182" i="3"/>
  <c r="E3118" i="3"/>
  <c r="E3054" i="3"/>
  <c r="E2990" i="3"/>
  <c r="E2926" i="3"/>
  <c r="E2862" i="3"/>
  <c r="E2798" i="3"/>
  <c r="E2734" i="3"/>
  <c r="E2670" i="3"/>
  <c r="E2606" i="3"/>
  <c r="E2542" i="3"/>
  <c r="D3387" i="3"/>
  <c r="D3323" i="3"/>
  <c r="D3259" i="3"/>
  <c r="D3195" i="3"/>
  <c r="D3131" i="3"/>
  <c r="D3067" i="3"/>
  <c r="D3003" i="3"/>
  <c r="D2939" i="3"/>
  <c r="D2875" i="3"/>
  <c r="D2811" i="3"/>
  <c r="D2747" i="3"/>
  <c r="D2683" i="3"/>
  <c r="D2619" i="3"/>
  <c r="D2555" i="3"/>
  <c r="E2495" i="3"/>
  <c r="E2431" i="3"/>
  <c r="E2367" i="3"/>
  <c r="E2303" i="3"/>
  <c r="E2239" i="3"/>
  <c r="E2175" i="3"/>
  <c r="E2111" i="3"/>
  <c r="E2047" i="3"/>
  <c r="E1983" i="3"/>
  <c r="E1919" i="3"/>
  <c r="E1855" i="3"/>
  <c r="E1791" i="3"/>
  <c r="E1727" i="3"/>
  <c r="E1663" i="3"/>
  <c r="D2502" i="3"/>
  <c r="D2438" i="3"/>
  <c r="D2374" i="3"/>
  <c r="D2310" i="3"/>
  <c r="D2246" i="3"/>
  <c r="D2182" i="3"/>
  <c r="D2118" i="3"/>
  <c r="D2054" i="3"/>
  <c r="D1990" i="3"/>
  <c r="D1926" i="3"/>
  <c r="D1862" i="3"/>
  <c r="D1798" i="3"/>
  <c r="D1734" i="3"/>
  <c r="D1670" i="3"/>
  <c r="E1607" i="3"/>
  <c r="E1543" i="3"/>
  <c r="E1479" i="3"/>
  <c r="E1415" i="3"/>
  <c r="E1351" i="3"/>
  <c r="E1287" i="3"/>
  <c r="E1223" i="3"/>
  <c r="D1612" i="3"/>
  <c r="D1548" i="3"/>
  <c r="D1484" i="3"/>
  <c r="D1420" i="3"/>
  <c r="D1356" i="3"/>
  <c r="D1292" i="3"/>
  <c r="D1228" i="3"/>
  <c r="D1192" i="3"/>
  <c r="E1128" i="3"/>
  <c r="E1064" i="3"/>
  <c r="E1000" i="3"/>
  <c r="E936" i="3"/>
  <c r="E872" i="3"/>
  <c r="E808" i="3"/>
  <c r="D1143" i="3"/>
  <c r="D1079" i="3"/>
  <c r="D1015" i="3"/>
  <c r="D951" i="3"/>
  <c r="D887" i="3"/>
  <c r="D823" i="3"/>
  <c r="E749" i="3"/>
  <c r="D722" i="3"/>
  <c r="E658" i="3"/>
  <c r="E594" i="3"/>
  <c r="D705" i="3"/>
  <c r="D641" i="3"/>
  <c r="D577" i="3"/>
  <c r="E512" i="3"/>
  <c r="E448" i="3"/>
  <c r="E384" i="3"/>
  <c r="E313" i="3"/>
  <c r="D481" i="3"/>
  <c r="D417" i="3"/>
  <c r="D353" i="3"/>
  <c r="E298" i="3"/>
  <c r="E234" i="3"/>
  <c r="D269" i="3"/>
  <c r="E204" i="3"/>
  <c r="D155" i="3"/>
  <c r="E8743" i="3"/>
  <c r="E8607" i="3"/>
  <c r="E8507" i="3"/>
  <c r="E8443" i="3"/>
  <c r="E8379" i="3"/>
  <c r="E8315" i="3"/>
  <c r="E8251" i="3"/>
  <c r="E8187" i="3"/>
  <c r="E8123" i="3"/>
  <c r="E8059" i="3"/>
  <c r="E7995" i="3"/>
  <c r="E7931" i="3"/>
  <c r="E7867" i="3"/>
  <c r="E7803" i="3"/>
  <c r="E7739" i="3"/>
  <c r="E7675" i="3"/>
  <c r="E7611" i="3"/>
  <c r="E7547" i="3"/>
  <c r="E7483" i="3"/>
  <c r="E7419" i="3"/>
  <c r="E7355" i="3"/>
  <c r="E7291" i="3"/>
  <c r="E7227" i="3"/>
  <c r="E7163" i="3"/>
  <c r="E8745" i="3"/>
  <c r="D8706" i="3"/>
  <c r="D8642" i="3"/>
  <c r="D8578" i="3"/>
  <c r="D8514" i="3"/>
  <c r="D8450" i="3"/>
  <c r="D8386" i="3"/>
  <c r="D8322" i="3"/>
  <c r="D8258" i="3"/>
  <c r="D8194" i="3"/>
  <c r="D8130" i="3"/>
  <c r="D8066" i="3"/>
  <c r="D8002" i="3"/>
  <c r="D7938" i="3"/>
  <c r="D7874" i="3"/>
  <c r="D7810" i="3"/>
  <c r="D7746" i="3"/>
  <c r="D7682" i="3"/>
  <c r="D7618" i="3"/>
  <c r="D7554" i="3"/>
  <c r="D7490" i="3"/>
  <c r="D7426" i="3"/>
  <c r="D7362" i="3"/>
  <c r="D7298" i="3"/>
  <c r="D7234" i="3"/>
  <c r="D7170" i="3"/>
  <c r="E7086" i="3"/>
  <c r="E7020" i="3"/>
  <c r="E6956" i="3"/>
  <c r="E6892" i="3"/>
  <c r="E6828" i="3"/>
  <c r="E6764" i="3"/>
  <c r="E6700" i="3"/>
  <c r="E6636" i="3"/>
  <c r="E6572" i="3"/>
  <c r="E6508" i="3"/>
  <c r="E6444" i="3"/>
  <c r="E6380" i="3"/>
  <c r="E6316" i="3"/>
  <c r="E6252" i="3"/>
  <c r="E6188" i="3"/>
  <c r="E6124" i="3"/>
  <c r="E6060" i="3"/>
  <c r="E5996" i="3"/>
  <c r="D8651" i="3"/>
  <c r="A8651" i="6" s="1"/>
  <c r="D8751" i="3"/>
  <c r="D8677" i="3"/>
  <c r="A8677" i="6" s="1"/>
  <c r="D8613" i="3"/>
  <c r="D8549" i="3"/>
  <c r="A8549" i="6" s="1"/>
  <c r="D8485" i="3"/>
  <c r="D8421" i="3"/>
  <c r="A8421" i="6" s="1"/>
  <c r="D8357" i="3"/>
  <c r="D8293" i="3"/>
  <c r="A8293" i="6" s="1"/>
  <c r="D8229" i="3"/>
  <c r="D8165" i="3"/>
  <c r="A8165" i="6" s="1"/>
  <c r="D8101" i="3"/>
  <c r="D8037" i="3"/>
  <c r="D7973" i="3"/>
  <c r="D7909" i="3"/>
  <c r="D7845" i="3"/>
  <c r="D7781" i="3"/>
  <c r="D7717" i="3"/>
  <c r="D7653" i="3"/>
  <c r="D7589" i="3"/>
  <c r="D7525" i="3"/>
  <c r="D7461" i="3"/>
  <c r="D7397" i="3"/>
  <c r="D7333" i="3"/>
  <c r="D7269" i="3"/>
  <c r="D7205" i="3"/>
  <c r="D7141" i="3"/>
  <c r="E8748" i="3"/>
  <c r="E8684" i="3"/>
  <c r="E8620" i="3"/>
  <c r="E8556" i="3"/>
  <c r="E8492" i="3"/>
  <c r="E8428" i="3"/>
  <c r="E8364" i="3"/>
  <c r="E8300" i="3"/>
  <c r="E8236" i="3"/>
  <c r="E8172" i="3"/>
  <c r="E8108" i="3"/>
  <c r="E8044" i="3"/>
  <c r="E7980" i="3"/>
  <c r="E7916" i="3"/>
  <c r="E7852" i="3"/>
  <c r="E7788" i="3"/>
  <c r="E7724" i="3"/>
  <c r="E7660" i="3"/>
  <c r="E7596" i="3"/>
  <c r="E7532" i="3"/>
  <c r="E7468" i="3"/>
  <c r="E7404" i="3"/>
  <c r="E7340" i="3"/>
  <c r="E7276" i="3"/>
  <c r="E7212" i="3"/>
  <c r="E7148" i="3"/>
  <c r="D7062" i="3"/>
  <c r="D6998" i="3"/>
  <c r="D6934" i="3"/>
  <c r="D6870" i="3"/>
  <c r="D6806" i="3"/>
  <c r="D6742" i="3"/>
  <c r="D6678" i="3"/>
  <c r="D6614" i="3"/>
  <c r="D6550" i="3"/>
  <c r="D6486" i="3"/>
  <c r="D6422" i="3"/>
  <c r="D6358" i="3"/>
  <c r="D6294" i="3"/>
  <c r="D6230" i="3"/>
  <c r="D6166" i="3"/>
  <c r="D6102" i="3"/>
  <c r="D6038" i="3"/>
  <c r="D5974" i="3"/>
  <c r="D5910" i="3"/>
  <c r="D5846" i="3"/>
  <c r="D5782" i="3"/>
  <c r="D5718" i="3"/>
  <c r="D5654" i="3"/>
  <c r="D5590" i="3"/>
  <c r="D5526" i="3"/>
  <c r="D5462" i="3"/>
  <c r="D5398" i="3"/>
  <c r="D5334" i="3"/>
  <c r="D5270" i="3"/>
  <c r="E7069" i="3"/>
  <c r="E7005" i="3"/>
  <c r="E6941" i="3"/>
  <c r="E6877" i="3"/>
  <c r="E6813" i="3"/>
  <c r="E6749" i="3"/>
  <c r="E6685" i="3"/>
  <c r="E6621" i="3"/>
  <c r="E6557" i="3"/>
  <c r="E6493" i="3"/>
  <c r="E6429" i="3"/>
  <c r="E6365" i="3"/>
  <c r="E6301" i="3"/>
  <c r="E6237" i="3"/>
  <c r="E6173" i="3"/>
  <c r="E6109" i="3"/>
  <c r="E6045" i="3"/>
  <c r="E5981" i="3"/>
  <c r="E5917" i="3"/>
  <c r="E5853" i="3"/>
  <c r="E5789" i="3"/>
  <c r="E5725" i="3"/>
  <c r="E5661" i="3"/>
  <c r="E5597" i="3"/>
  <c r="E5533" i="3"/>
  <c r="E5469" i="3"/>
  <c r="E5405" i="3"/>
  <c r="E5341" i="3"/>
  <c r="E5277" i="3"/>
  <c r="D5213" i="3"/>
  <c r="D5149" i="3"/>
  <c r="D5085" i="3"/>
  <c r="D5021" i="3"/>
  <c r="D4957" i="3"/>
  <c r="D4893" i="3"/>
  <c r="D4829" i="3"/>
  <c r="D4765" i="3"/>
  <c r="D4701" i="3"/>
  <c r="D4637" i="3"/>
  <c r="D4573" i="3"/>
  <c r="D4509" i="3"/>
  <c r="D4445" i="3"/>
  <c r="D4381" i="3"/>
  <c r="D4317" i="3"/>
  <c r="D4253" i="3"/>
  <c r="D4189" i="3"/>
  <c r="D4125" i="3"/>
  <c r="D4061" i="3"/>
  <c r="D3997" i="3"/>
  <c r="D3933" i="3"/>
  <c r="D3869" i="3"/>
  <c r="D3805" i="3"/>
  <c r="D3741" i="3"/>
  <c r="D3677" i="3"/>
  <c r="D3613" i="3"/>
  <c r="D3549" i="3"/>
  <c r="D3485" i="3"/>
  <c r="E5242" i="3"/>
  <c r="E5178" i="3"/>
  <c r="E5114" i="3"/>
  <c r="E5050" i="3"/>
  <c r="E4986" i="3"/>
  <c r="E4922" i="3"/>
  <c r="E4858" i="3"/>
  <c r="E4794" i="3"/>
  <c r="E4730" i="3"/>
  <c r="E4666" i="3"/>
  <c r="E4602" i="3"/>
  <c r="E4538" i="3"/>
  <c r="E4474" i="3"/>
  <c r="E4410" i="3"/>
  <c r="E4346" i="3"/>
  <c r="E4282" i="3"/>
  <c r="E4218" i="3"/>
  <c r="E4154" i="3"/>
  <c r="E4090" i="3"/>
  <c r="E4026" i="3"/>
  <c r="E3962" i="3"/>
  <c r="E3898" i="3"/>
  <c r="E3834" i="3"/>
  <c r="E3770" i="3"/>
  <c r="E3706" i="3"/>
  <c r="E3642" i="3"/>
  <c r="E3578" i="3"/>
  <c r="E3514" i="3"/>
  <c r="E3450" i="3"/>
  <c r="D3386" i="3"/>
  <c r="D3322" i="3"/>
  <c r="D3258" i="3"/>
  <c r="D3194" i="3"/>
  <c r="D3130" i="3"/>
  <c r="D3066" i="3"/>
  <c r="D3002" i="3"/>
  <c r="D2938" i="3"/>
  <c r="D2874" i="3"/>
  <c r="D2810" i="3"/>
  <c r="D2746" i="3"/>
  <c r="D2682" i="3"/>
  <c r="D2618" i="3"/>
  <c r="D2554" i="3"/>
  <c r="E3399" i="3"/>
  <c r="E3335" i="3"/>
  <c r="E3271" i="3"/>
  <c r="E3207" i="3"/>
  <c r="E3143" i="3"/>
  <c r="E3079" i="3"/>
  <c r="E3015" i="3"/>
  <c r="E2951" i="3"/>
  <c r="E2887" i="3"/>
  <c r="E2823" i="3"/>
  <c r="E2759" i="3"/>
  <c r="E2695" i="3"/>
  <c r="E2631" i="3"/>
  <c r="E2567" i="3"/>
  <c r="D2507" i="3"/>
  <c r="D2443" i="3"/>
  <c r="D2379" i="3"/>
  <c r="D2315" i="3"/>
  <c r="D2251" i="3"/>
  <c r="D2187" i="3"/>
  <c r="D2123" i="3"/>
  <c r="D2059" i="3"/>
  <c r="D1995" i="3"/>
  <c r="D1931" i="3"/>
  <c r="D1867" i="3"/>
  <c r="D1803" i="3"/>
  <c r="D1739" i="3"/>
  <c r="D1675" i="3"/>
  <c r="E2514" i="3"/>
  <c r="E2450" i="3"/>
  <c r="E2386" i="3"/>
  <c r="E2322" i="3"/>
  <c r="E2258" i="3"/>
  <c r="E2194" i="3"/>
  <c r="E2130" i="3"/>
  <c r="E2066" i="3"/>
  <c r="E2002" i="3"/>
  <c r="E1938" i="3"/>
  <c r="E1874" i="3"/>
  <c r="E1810" i="3"/>
  <c r="E1746" i="3"/>
  <c r="E1682" i="3"/>
  <c r="D1619" i="3"/>
  <c r="D1555" i="3"/>
  <c r="D1491" i="3"/>
  <c r="D1427" i="3"/>
  <c r="D1363" i="3"/>
  <c r="D1299" i="3"/>
  <c r="D1235" i="3"/>
  <c r="E1624" i="3"/>
  <c r="E1560" i="3"/>
  <c r="E1496" i="3"/>
  <c r="E1432" i="3"/>
  <c r="E1368" i="3"/>
  <c r="E1304" i="3"/>
  <c r="E1240" i="3"/>
  <c r="D1153" i="3"/>
  <c r="D1140" i="3"/>
  <c r="D1076" i="3"/>
  <c r="D1012" i="3"/>
  <c r="D948" i="3"/>
  <c r="D884" i="3"/>
  <c r="D820" i="3"/>
  <c r="D739" i="3"/>
  <c r="E1091" i="3"/>
  <c r="E1027" i="3"/>
  <c r="E963" i="3"/>
  <c r="E899" i="3"/>
  <c r="E835" i="3"/>
  <c r="E771" i="3"/>
  <c r="E734" i="3"/>
  <c r="D670" i="3"/>
  <c r="D606" i="3"/>
  <c r="D717" i="3"/>
  <c r="E653" i="3"/>
  <c r="E589" i="3"/>
  <c r="D524" i="3"/>
  <c r="D460" i="3"/>
  <c r="D396" i="3"/>
  <c r="D332" i="3"/>
  <c r="E493" i="3"/>
  <c r="E429" i="3"/>
  <c r="E365" i="3"/>
  <c r="E310" i="3"/>
  <c r="D246" i="3"/>
  <c r="E281" i="3"/>
  <c r="E217" i="3"/>
  <c r="D152" i="3"/>
  <c r="E167" i="3"/>
  <c r="D8711" i="3"/>
  <c r="D8583" i="3"/>
  <c r="D8495" i="3"/>
  <c r="D8431" i="3"/>
  <c r="D8367" i="3"/>
  <c r="D8303" i="3"/>
  <c r="D8239" i="3"/>
  <c r="D8175" i="3"/>
  <c r="D8111" i="3"/>
  <c r="D8047" i="3"/>
  <c r="D7983" i="3"/>
  <c r="D7919" i="3"/>
  <c r="D7855" i="3"/>
  <c r="D7791" i="3"/>
  <c r="D7727" i="3"/>
  <c r="D7663" i="3"/>
  <c r="D7599" i="3"/>
  <c r="D7535" i="3"/>
  <c r="D7471" i="3"/>
  <c r="D7407" i="3"/>
  <c r="D7343" i="3"/>
  <c r="D7279" i="3"/>
  <c r="D7215" i="3"/>
  <c r="D7151" i="3"/>
  <c r="E8758" i="3"/>
  <c r="E8694" i="3"/>
  <c r="E8630" i="3"/>
  <c r="E8566" i="3"/>
  <c r="E8502" i="3"/>
  <c r="E8438" i="3"/>
  <c r="E8374" i="3"/>
  <c r="E8310" i="3"/>
  <c r="E8246" i="3"/>
  <c r="E8182" i="3"/>
  <c r="E8118" i="3"/>
  <c r="E8054" i="3"/>
  <c r="E7990" i="3"/>
  <c r="E7926" i="3"/>
  <c r="E7862" i="3"/>
  <c r="E7798" i="3"/>
  <c r="E7734" i="3"/>
  <c r="E7670" i="3"/>
  <c r="E7606" i="3"/>
  <c r="E7542" i="3"/>
  <c r="E7478" i="3"/>
  <c r="E7414" i="3"/>
  <c r="E7350" i="3"/>
  <c r="E7286" i="3"/>
  <c r="E7222" i="3"/>
  <c r="E7158" i="3"/>
  <c r="D7072" i="3"/>
  <c r="D7008" i="3"/>
  <c r="D6944" i="3"/>
  <c r="D6880" i="3"/>
  <c r="D6816" i="3"/>
  <c r="D6752" i="3"/>
  <c r="D6688" i="3"/>
  <c r="D6624" i="3"/>
  <c r="D6560" i="3"/>
  <c r="D6496" i="3"/>
  <c r="D6432" i="3"/>
  <c r="D6368" i="3"/>
  <c r="D6304" i="3"/>
  <c r="D6240" i="3"/>
  <c r="D6176" i="3"/>
  <c r="D6112" i="3"/>
  <c r="D6048" i="3"/>
  <c r="D5996" i="3"/>
  <c r="E5924" i="3"/>
  <c r="E5860" i="3"/>
  <c r="E5796" i="3"/>
  <c r="E5732" i="3"/>
  <c r="E5668" i="3"/>
  <c r="E5604" i="3"/>
  <c r="E5540" i="3"/>
  <c r="E5476" i="3"/>
  <c r="E5412" i="3"/>
  <c r="E5348" i="3"/>
  <c r="E5284" i="3"/>
  <c r="D7083" i="3"/>
  <c r="D7019" i="3"/>
  <c r="D6955" i="3"/>
  <c r="D6891" i="3"/>
  <c r="D6827" i="3"/>
  <c r="D6763" i="3"/>
  <c r="D6699" i="3"/>
  <c r="D6635" i="3"/>
  <c r="D6571" i="3"/>
  <c r="D6507" i="3"/>
  <c r="D6443" i="3"/>
  <c r="D6379" i="3"/>
  <c r="D6315" i="3"/>
  <c r="D6251" i="3"/>
  <c r="D6187" i="3"/>
  <c r="D6123" i="3"/>
  <c r="D6059" i="3"/>
  <c r="D5995" i="3"/>
  <c r="D5931" i="3"/>
  <c r="D5867" i="3"/>
  <c r="D5803" i="3"/>
  <c r="D5739" i="3"/>
  <c r="D5675" i="3"/>
  <c r="D5611" i="3"/>
  <c r="D5547" i="3"/>
  <c r="D5483" i="3"/>
  <c r="D5419" i="3"/>
  <c r="D5355" i="3"/>
  <c r="D5291" i="3"/>
  <c r="E5227" i="3"/>
  <c r="E5163" i="3"/>
  <c r="E5099" i="3"/>
  <c r="E5035" i="3"/>
  <c r="E4971" i="3"/>
  <c r="E4907" i="3"/>
  <c r="E4843" i="3"/>
  <c r="E4779" i="3"/>
  <c r="E4715" i="3"/>
  <c r="E4651" i="3"/>
  <c r="E4587" i="3"/>
  <c r="E4523" i="3"/>
  <c r="E4459" i="3"/>
  <c r="E4395" i="3"/>
  <c r="E4331" i="3"/>
  <c r="E4267" i="3"/>
  <c r="E4203" i="3"/>
  <c r="E4139" i="3"/>
  <c r="E4075" i="3"/>
  <c r="E4011" i="3"/>
  <c r="E3947" i="3"/>
  <c r="E3883" i="3"/>
  <c r="E3819" i="3"/>
  <c r="E3755" i="3"/>
  <c r="E3691" i="3"/>
  <c r="E3627" i="3"/>
  <c r="E3563" i="3"/>
  <c r="E3499" i="3"/>
  <c r="D5256" i="3"/>
  <c r="D5192" i="3"/>
  <c r="D5128" i="3"/>
  <c r="D5064" i="3"/>
  <c r="D5000" i="3"/>
  <c r="D4936" i="3"/>
  <c r="D4872" i="3"/>
  <c r="D4808" i="3"/>
  <c r="D4744" i="3"/>
  <c r="D4680" i="3"/>
  <c r="D4616" i="3"/>
  <c r="D4552" i="3"/>
  <c r="D4488" i="3"/>
  <c r="D4424" i="3"/>
  <c r="D4360" i="3"/>
  <c r="D4296" i="3"/>
  <c r="D4232" i="3"/>
  <c r="D4168" i="3"/>
  <c r="D4104" i="3"/>
  <c r="D4040" i="3"/>
  <c r="D3976" i="3"/>
  <c r="D3912" i="3"/>
  <c r="D3848" i="3"/>
  <c r="D3784" i="3"/>
  <c r="D3720" i="3"/>
  <c r="D3656" i="3"/>
  <c r="D3592" i="3"/>
  <c r="D3528" i="3"/>
  <c r="D3464" i="3"/>
  <c r="E3400" i="3"/>
  <c r="E3336" i="3"/>
  <c r="E3272" i="3"/>
  <c r="E3208" i="3"/>
  <c r="E3144" i="3"/>
  <c r="E3080" i="3"/>
  <c r="E3016" i="3"/>
  <c r="E2952" i="3"/>
  <c r="E2888" i="3"/>
  <c r="E2824" i="3"/>
  <c r="E2760" i="3"/>
  <c r="E2696" i="3"/>
  <c r="E2632" i="3"/>
  <c r="E2568" i="3"/>
  <c r="D3413" i="3"/>
  <c r="D3349" i="3"/>
  <c r="D3285" i="3"/>
  <c r="D3221" i="3"/>
  <c r="D3157" i="3"/>
  <c r="D3093" i="3"/>
  <c r="D3029" i="3"/>
  <c r="D2965" i="3"/>
  <c r="D2901" i="3"/>
  <c r="D2837" i="3"/>
  <c r="D2773" i="3"/>
  <c r="D2709" i="3"/>
  <c r="D2645" i="3"/>
  <c r="D2581" i="3"/>
  <c r="E2521" i="3"/>
  <c r="E2457" i="3"/>
  <c r="E2393" i="3"/>
  <c r="E2329" i="3"/>
  <c r="E2265" i="3"/>
  <c r="E2201" i="3"/>
  <c r="E2137" i="3"/>
  <c r="E2073" i="3"/>
  <c r="E2009" i="3"/>
  <c r="E1945" i="3"/>
  <c r="E1881" i="3"/>
  <c r="E1817" i="3"/>
  <c r="E1753" i="3"/>
  <c r="E1689" i="3"/>
  <c r="D2528" i="3"/>
  <c r="D2464" i="3"/>
  <c r="D2400" i="3"/>
  <c r="D2336" i="3"/>
  <c r="D2272" i="3"/>
  <c r="D2208" i="3"/>
  <c r="D2144" i="3"/>
  <c r="D2080" i="3"/>
  <c r="D2016" i="3"/>
  <c r="D1952" i="3"/>
  <c r="D1888" i="3"/>
  <c r="D1824" i="3"/>
  <c r="D1760" i="3"/>
  <c r="D1696" i="3"/>
  <c r="D1632" i="3"/>
  <c r="E1569" i="3"/>
  <c r="E1505" i="3"/>
  <c r="E1441" i="3"/>
  <c r="E1377" i="3"/>
  <c r="E1313" i="3"/>
  <c r="E1249" i="3"/>
  <c r="E1171" i="3"/>
  <c r="D1574" i="3"/>
  <c r="D1510" i="3"/>
  <c r="D1446" i="3"/>
  <c r="D1382" i="3"/>
  <c r="D1318" i="3"/>
  <c r="D1254" i="3"/>
  <c r="E1181" i="3"/>
  <c r="D1154" i="3"/>
  <c r="E1090" i="3"/>
  <c r="E1026" i="3"/>
  <c r="E962" i="3"/>
  <c r="E898" i="3"/>
  <c r="E834" i="3"/>
  <c r="E767" i="3"/>
  <c r="D1105" i="3"/>
  <c r="D1041" i="3"/>
  <c r="D977" i="3"/>
  <c r="D913" i="3"/>
  <c r="D849" i="3"/>
  <c r="D785" i="3"/>
  <c r="D748" i="3"/>
  <c r="E684" i="3"/>
  <c r="E620" i="3"/>
  <c r="E556" i="3"/>
  <c r="D667" i="3"/>
  <c r="D603" i="3"/>
  <c r="E538" i="3"/>
  <c r="E474" i="3"/>
  <c r="E410" i="3"/>
  <c r="E346" i="3"/>
  <c r="D507" i="3"/>
  <c r="D443" i="3"/>
  <c r="D379" i="3"/>
  <c r="E324" i="3"/>
  <c r="E260" i="3"/>
  <c r="D295" i="3"/>
  <c r="D231" i="3"/>
  <c r="E166" i="3"/>
  <c r="D181" i="3"/>
  <c r="D5980" i="3"/>
  <c r="D5916" i="3"/>
  <c r="D5852" i="3"/>
  <c r="D5788" i="3"/>
  <c r="D5724" i="3"/>
  <c r="D5660" i="3"/>
  <c r="D5596" i="3"/>
  <c r="D5532" i="3"/>
  <c r="D5468" i="3"/>
  <c r="D5404" i="3"/>
  <c r="D5340" i="3"/>
  <c r="D5276" i="3"/>
  <c r="E7075" i="3"/>
  <c r="E7011" i="3"/>
  <c r="E6947" i="3"/>
  <c r="E6883" i="3"/>
  <c r="E6819" i="3"/>
  <c r="E6755" i="3"/>
  <c r="E6691" i="3"/>
  <c r="E6627" i="3"/>
  <c r="E6563" i="3"/>
  <c r="E6499" i="3"/>
  <c r="E6435" i="3"/>
  <c r="E6371" i="3"/>
  <c r="E6307" i="3"/>
  <c r="E6243" i="3"/>
  <c r="E6179" i="3"/>
  <c r="E6115" i="3"/>
  <c r="E6051" i="3"/>
  <c r="E5987" i="3"/>
  <c r="E5923" i="3"/>
  <c r="E5859" i="3"/>
  <c r="E5795" i="3"/>
  <c r="E5731" i="3"/>
  <c r="E5667" i="3"/>
  <c r="E5603" i="3"/>
  <c r="E5539" i="3"/>
  <c r="E5475" i="3"/>
  <c r="E5411" i="3"/>
  <c r="E5347" i="3"/>
  <c r="E5283" i="3"/>
  <c r="D5219" i="3"/>
  <c r="D5155" i="3"/>
  <c r="D5091" i="3"/>
  <c r="D5027" i="3"/>
  <c r="D4963" i="3"/>
  <c r="D4899" i="3"/>
  <c r="D4835" i="3"/>
  <c r="D4771" i="3"/>
  <c r="D4707" i="3"/>
  <c r="D4643" i="3"/>
  <c r="D4579" i="3"/>
  <c r="D4515" i="3"/>
  <c r="D4451" i="3"/>
  <c r="D4387" i="3"/>
  <c r="D4323" i="3"/>
  <c r="D4259" i="3"/>
  <c r="D4195" i="3"/>
  <c r="D4131" i="3"/>
  <c r="D4067" i="3"/>
  <c r="D4003" i="3"/>
  <c r="D3939" i="3"/>
  <c r="D3875" i="3"/>
  <c r="D3811" i="3"/>
  <c r="D3747" i="3"/>
  <c r="D3683" i="3"/>
  <c r="D3619" i="3"/>
  <c r="D3555" i="3"/>
  <c r="D3491" i="3"/>
  <c r="E5248" i="3"/>
  <c r="E5184" i="3"/>
  <c r="E5120" i="3"/>
  <c r="E5056" i="3"/>
  <c r="E4992" i="3"/>
  <c r="E4928" i="3"/>
  <c r="E4864" i="3"/>
  <c r="E4800" i="3"/>
  <c r="E4736" i="3"/>
  <c r="E4672" i="3"/>
  <c r="E4608" i="3"/>
  <c r="E4544" i="3"/>
  <c r="E4480" i="3"/>
  <c r="E4416" i="3"/>
  <c r="E4352" i="3"/>
  <c r="E4288" i="3"/>
  <c r="E4224" i="3"/>
  <c r="E4160" i="3"/>
  <c r="E4096" i="3"/>
  <c r="E4032" i="3"/>
  <c r="E3968" i="3"/>
  <c r="E3904" i="3"/>
  <c r="E3840" i="3"/>
  <c r="E3776" i="3"/>
  <c r="E3712" i="3"/>
  <c r="E3648" i="3"/>
  <c r="E3584" i="3"/>
  <c r="E3520" i="3"/>
  <c r="E3456" i="3"/>
  <c r="D3392" i="3"/>
  <c r="D3328" i="3"/>
  <c r="D3264" i="3"/>
  <c r="D3200" i="3"/>
  <c r="D3136" i="3"/>
  <c r="D3072" i="3"/>
  <c r="D3008" i="3"/>
  <c r="D2944" i="3"/>
  <c r="D2880" i="3"/>
  <c r="D2816" i="3"/>
  <c r="D2752" i="3"/>
  <c r="D2688" i="3"/>
  <c r="D2624" i="3"/>
  <c r="D2560" i="3"/>
  <c r="E3405" i="3"/>
  <c r="E3341" i="3"/>
  <c r="E3277" i="3"/>
  <c r="E3213" i="3"/>
  <c r="E3149" i="3"/>
  <c r="E3085" i="3"/>
  <c r="E3021" i="3"/>
  <c r="E2957" i="3"/>
  <c r="E2893" i="3"/>
  <c r="E2829" i="3"/>
  <c r="E2765" i="3"/>
  <c r="E2701" i="3"/>
  <c r="E2637" i="3"/>
  <c r="E2573" i="3"/>
  <c r="D2513" i="3"/>
  <c r="D2449" i="3"/>
  <c r="D2385" i="3"/>
  <c r="D2321" i="3"/>
  <c r="D2257" i="3"/>
  <c r="D2193" i="3"/>
  <c r="D2129" i="3"/>
  <c r="D2065" i="3"/>
  <c r="D2001" i="3"/>
  <c r="D1937" i="3"/>
  <c r="D1873" i="3"/>
  <c r="D1809" i="3"/>
  <c r="D1745" i="3"/>
  <c r="D1681" i="3"/>
  <c r="E2520" i="3"/>
  <c r="E2456" i="3"/>
  <c r="E2392" i="3"/>
  <c r="E2328" i="3"/>
  <c r="E2264" i="3"/>
  <c r="E2200" i="3"/>
  <c r="E2136" i="3"/>
  <c r="E2072" i="3"/>
  <c r="E2008" i="3"/>
  <c r="E1944" i="3"/>
  <c r="E1880" i="3"/>
  <c r="E1816" i="3"/>
  <c r="E1752" i="3"/>
  <c r="E1688" i="3"/>
  <c r="D1625" i="3"/>
  <c r="D1561" i="3"/>
  <c r="D1497" i="3"/>
  <c r="D1433" i="3"/>
  <c r="D1369" i="3"/>
  <c r="D1305" i="3"/>
  <c r="D1241" i="3"/>
  <c r="D1155" i="3"/>
  <c r="E1566" i="3"/>
  <c r="E1502" i="3"/>
  <c r="E1438" i="3"/>
  <c r="E1374" i="3"/>
  <c r="E1310" i="3"/>
  <c r="E1246" i="3"/>
  <c r="D1165" i="3"/>
  <c r="E1146" i="3"/>
  <c r="D1082" i="3"/>
  <c r="D1018" i="3"/>
  <c r="D954" i="3"/>
  <c r="D890" i="3"/>
  <c r="D826" i="3"/>
  <c r="D751" i="3"/>
  <c r="E1097" i="3"/>
  <c r="E1033" i="3"/>
  <c r="E969" i="3"/>
  <c r="E905" i="3"/>
  <c r="E841" i="3"/>
  <c r="E777" i="3"/>
  <c r="E740" i="3"/>
  <c r="D676" i="3"/>
  <c r="D612" i="3"/>
  <c r="D548" i="3"/>
  <c r="E659" i="3"/>
  <c r="E595" i="3"/>
  <c r="D530" i="3"/>
  <c r="D466" i="3"/>
  <c r="D402" i="3"/>
  <c r="D338" i="3"/>
  <c r="E499" i="3"/>
  <c r="E435" i="3"/>
  <c r="E371" i="3"/>
  <c r="E316" i="3"/>
  <c r="D252" i="3"/>
  <c r="E287" i="3"/>
  <c r="E223" i="3"/>
  <c r="D158" i="3"/>
  <c r="E205" i="3"/>
  <c r="D6092" i="3"/>
  <c r="E5784" i="3"/>
  <c r="E5720" i="3"/>
  <c r="E5656" i="3"/>
  <c r="E5592" i="3"/>
  <c r="E5528" i="3"/>
  <c r="E5464" i="3"/>
  <c r="E5400" i="3"/>
  <c r="E5336" i="3"/>
  <c r="E5272" i="3"/>
  <c r="D7071" i="3"/>
  <c r="D7007" i="3"/>
  <c r="D6943" i="3"/>
  <c r="D6879" i="3"/>
  <c r="D6815" i="3"/>
  <c r="D6751" i="3"/>
  <c r="D6687" i="3"/>
  <c r="D6623" i="3"/>
  <c r="D6559" i="3"/>
  <c r="D6495" i="3"/>
  <c r="D6431" i="3"/>
  <c r="D6367" i="3"/>
  <c r="D6303" i="3"/>
  <c r="D6239" i="3"/>
  <c r="D6175" i="3"/>
  <c r="D6111" i="3"/>
  <c r="D6047" i="3"/>
  <c r="D5983" i="3"/>
  <c r="D5919" i="3"/>
  <c r="D5855" i="3"/>
  <c r="D5791" i="3"/>
  <c r="D5727" i="3"/>
  <c r="D5663" i="3"/>
  <c r="D5599" i="3"/>
  <c r="D5535" i="3"/>
  <c r="D5471" i="3"/>
  <c r="D5407" i="3"/>
  <c r="D5343" i="3"/>
  <c r="D5279" i="3"/>
  <c r="E5215" i="3"/>
  <c r="E5151" i="3"/>
  <c r="E5087" i="3"/>
  <c r="E5023" i="3"/>
  <c r="E4959" i="3"/>
  <c r="E4895" i="3"/>
  <c r="E4831" i="3"/>
  <c r="E4767" i="3"/>
  <c r="E4703" i="3"/>
  <c r="E4639" i="3"/>
  <c r="E4575" i="3"/>
  <c r="E4511" i="3"/>
  <c r="E4447" i="3"/>
  <c r="E4383" i="3"/>
  <c r="E4319" i="3"/>
  <c r="E4255" i="3"/>
  <c r="E4191" i="3"/>
  <c r="E4127" i="3"/>
  <c r="E4063" i="3"/>
  <c r="E3999" i="3"/>
  <c r="E3935" i="3"/>
  <c r="E3871" i="3"/>
  <c r="E3807" i="3"/>
  <c r="E3743" i="3"/>
  <c r="E3679" i="3"/>
  <c r="E3615" i="3"/>
  <c r="E3551" i="3"/>
  <c r="E3487" i="3"/>
  <c r="D5244" i="3"/>
  <c r="D5180" i="3"/>
  <c r="D5116" i="3"/>
  <c r="D5052" i="3"/>
  <c r="D4988" i="3"/>
  <c r="D4924" i="3"/>
  <c r="D4860" i="3"/>
  <c r="D4796" i="3"/>
  <c r="D4732" i="3"/>
  <c r="D4668" i="3"/>
  <c r="D4604" i="3"/>
  <c r="D4540" i="3"/>
  <c r="D4476" i="3"/>
  <c r="D4412" i="3"/>
  <c r="D4348" i="3"/>
  <c r="D4284" i="3"/>
  <c r="D4220" i="3"/>
  <c r="D4156" i="3"/>
  <c r="D4092" i="3"/>
  <c r="D4028" i="3"/>
  <c r="D3964" i="3"/>
  <c r="D3900" i="3"/>
  <c r="D3836" i="3"/>
  <c r="D3772" i="3"/>
  <c r="D3708" i="3"/>
  <c r="D3644" i="3"/>
  <c r="D3580" i="3"/>
  <c r="D3516" i="3"/>
  <c r="D3452" i="3"/>
  <c r="E3388" i="3"/>
  <c r="E3324" i="3"/>
  <c r="E3260" i="3"/>
  <c r="E3196" i="3"/>
  <c r="E3132" i="3"/>
  <c r="E3068" i="3"/>
  <c r="E3004" i="3"/>
  <c r="E2940" i="3"/>
  <c r="E2876" i="3"/>
  <c r="E2812" i="3"/>
  <c r="E2748" i="3"/>
  <c r="E2684" i="3"/>
  <c r="E2620" i="3"/>
  <c r="E2556" i="3"/>
  <c r="D3401" i="3"/>
  <c r="D3337" i="3"/>
  <c r="D3273" i="3"/>
  <c r="D3209" i="3"/>
  <c r="D3145" i="3"/>
  <c r="D3081" i="3"/>
  <c r="D3017" i="3"/>
  <c r="D2953" i="3"/>
  <c r="D2889" i="3"/>
  <c r="D2825" i="3"/>
  <c r="D2761" i="3"/>
  <c r="D2697" i="3"/>
  <c r="D2633" i="3"/>
  <c r="D2569" i="3"/>
  <c r="E2509" i="3"/>
  <c r="E2445" i="3"/>
  <c r="E2381" i="3"/>
  <c r="E2317" i="3"/>
  <c r="E2253" i="3"/>
  <c r="E2189" i="3"/>
  <c r="E2125" i="3"/>
  <c r="E2061" i="3"/>
  <c r="E1997" i="3"/>
  <c r="E1933" i="3"/>
  <c r="E1869" i="3"/>
  <c r="E1805" i="3"/>
  <c r="E1741" i="3"/>
  <c r="E1677" i="3"/>
  <c r="D2516" i="3"/>
  <c r="D2452" i="3"/>
  <c r="D2388" i="3"/>
  <c r="D2324" i="3"/>
  <c r="D2260" i="3"/>
  <c r="D2196" i="3"/>
  <c r="D2132" i="3"/>
  <c r="D2068" i="3"/>
  <c r="D2004" i="3"/>
  <c r="D1940" i="3"/>
  <c r="D1876" i="3"/>
  <c r="D1812" i="3"/>
  <c r="D1748" i="3"/>
  <c r="D1684" i="3"/>
  <c r="E1621" i="3"/>
  <c r="E1557" i="3"/>
  <c r="E1493" i="3"/>
  <c r="E1429" i="3"/>
  <c r="E1365" i="3"/>
  <c r="E1301" i="3"/>
  <c r="E1237" i="3"/>
  <c r="E1147" i="3"/>
  <c r="D1562" i="3"/>
  <c r="D1498" i="3"/>
  <c r="D1434" i="3"/>
  <c r="D1370" i="3"/>
  <c r="D1306" i="3"/>
  <c r="D1242" i="3"/>
  <c r="E1157" i="3"/>
  <c r="E1142" i="3"/>
  <c r="E1078" i="3"/>
  <c r="E1014" i="3"/>
  <c r="E950" i="3"/>
  <c r="E886" i="3"/>
  <c r="E822" i="3"/>
  <c r="E743" i="3"/>
  <c r="D1093" i="3"/>
  <c r="D1029" i="3"/>
  <c r="D965" i="3"/>
  <c r="D901" i="3"/>
  <c r="D837" i="3"/>
  <c r="D773" i="3"/>
  <c r="D736" i="3"/>
  <c r="E672" i="3"/>
  <c r="E608" i="3"/>
  <c r="E544" i="3"/>
  <c r="D655" i="3"/>
  <c r="D591" i="3"/>
  <c r="E526" i="3"/>
  <c r="E462" i="3"/>
  <c r="E398" i="3"/>
  <c r="E334" i="3"/>
  <c r="D495" i="3"/>
  <c r="D431" i="3"/>
  <c r="D367" i="3"/>
  <c r="D312" i="3"/>
  <c r="E248" i="3"/>
  <c r="D283" i="3"/>
  <c r="D219" i="3"/>
  <c r="E154" i="3"/>
  <c r="A154" i="6" s="1"/>
  <c r="D201" i="3"/>
  <c r="D5944" i="3"/>
  <c r="D5880" i="3"/>
  <c r="D5816" i="3"/>
  <c r="D5752" i="3"/>
  <c r="D5688" i="3"/>
  <c r="D5624" i="3"/>
  <c r="D5560" i="3"/>
  <c r="D5496" i="3"/>
  <c r="D5432" i="3"/>
  <c r="D5368" i="3"/>
  <c r="D5304" i="3"/>
  <c r="E7103" i="3"/>
  <c r="E7039" i="3"/>
  <c r="E6975" i="3"/>
  <c r="E6911" i="3"/>
  <c r="E6847" i="3"/>
  <c r="E6783" i="3"/>
  <c r="E6719" i="3"/>
  <c r="E6655" i="3"/>
  <c r="E6591" i="3"/>
  <c r="E6527" i="3"/>
  <c r="E6463" i="3"/>
  <c r="E6399" i="3"/>
  <c r="E6335" i="3"/>
  <c r="E6271" i="3"/>
  <c r="E6207" i="3"/>
  <c r="E6143" i="3"/>
  <c r="E6079" i="3"/>
  <c r="E6015" i="3"/>
  <c r="E5951" i="3"/>
  <c r="E5887" i="3"/>
  <c r="E5823" i="3"/>
  <c r="E5759" i="3"/>
  <c r="E5695" i="3"/>
  <c r="E5631" i="3"/>
  <c r="E5567" i="3"/>
  <c r="E5503" i="3"/>
  <c r="E5439" i="3"/>
  <c r="E5375" i="3"/>
  <c r="E5311" i="3"/>
  <c r="D5247" i="3"/>
  <c r="D5183" i="3"/>
  <c r="D5119" i="3"/>
  <c r="D5055" i="3"/>
  <c r="D4991" i="3"/>
  <c r="D4927" i="3"/>
  <c r="D4863" i="3"/>
  <c r="D4799" i="3"/>
  <c r="D4735" i="3"/>
  <c r="D4671" i="3"/>
  <c r="D4607" i="3"/>
  <c r="D4543" i="3"/>
  <c r="D4479" i="3"/>
  <c r="D4415" i="3"/>
  <c r="D4351" i="3"/>
  <c r="D4287" i="3"/>
  <c r="D4223" i="3"/>
  <c r="D4159" i="3"/>
  <c r="D4095" i="3"/>
  <c r="D4031" i="3"/>
  <c r="D3967" i="3"/>
  <c r="D3903" i="3"/>
  <c r="D3839" i="3"/>
  <c r="D3775" i="3"/>
  <c r="D3711" i="3"/>
  <c r="D3647" i="3"/>
  <c r="D3583" i="3"/>
  <c r="D3519" i="3"/>
  <c r="D3455" i="3"/>
  <c r="E5212" i="3"/>
  <c r="E5148" i="3"/>
  <c r="E5084" i="3"/>
  <c r="E5020" i="3"/>
  <c r="E4956" i="3"/>
  <c r="E4892" i="3"/>
  <c r="E4828" i="3"/>
  <c r="E4764" i="3"/>
  <c r="E4700" i="3"/>
  <c r="E4636" i="3"/>
  <c r="E4572" i="3"/>
  <c r="E4508" i="3"/>
  <c r="E4444" i="3"/>
  <c r="E4380" i="3"/>
  <c r="E4316" i="3"/>
  <c r="E4252" i="3"/>
  <c r="E4188" i="3"/>
  <c r="E4124" i="3"/>
  <c r="E4060" i="3"/>
  <c r="E3996" i="3"/>
  <c r="E3932" i="3"/>
  <c r="E3868" i="3"/>
  <c r="E3804" i="3"/>
  <c r="E3740" i="3"/>
  <c r="E3676" i="3"/>
  <c r="E3612" i="3"/>
  <c r="E3548" i="3"/>
  <c r="E3484" i="3"/>
  <c r="D3420" i="3"/>
  <c r="D3356" i="3"/>
  <c r="D3292" i="3"/>
  <c r="D3228" i="3"/>
  <c r="D3164" i="3"/>
  <c r="D3100" i="3"/>
  <c r="D3036" i="3"/>
  <c r="D2972" i="3"/>
  <c r="D2908" i="3"/>
  <c r="D2844" i="3"/>
  <c r="D2780" i="3"/>
  <c r="D2716" i="3"/>
  <c r="D2652" i="3"/>
  <c r="D2588" i="3"/>
  <c r="E3433" i="3"/>
  <c r="E3369" i="3"/>
  <c r="E3305" i="3"/>
  <c r="E3241" i="3"/>
  <c r="E3177" i="3"/>
  <c r="E3113" i="3"/>
  <c r="E3049" i="3"/>
  <c r="E2985" i="3"/>
  <c r="E2921" i="3"/>
  <c r="E2857" i="3"/>
  <c r="E2793" i="3"/>
  <c r="E2729" i="3"/>
  <c r="E2665" i="3"/>
  <c r="E2601" i="3"/>
  <c r="E2537" i="3"/>
  <c r="D2477" i="3"/>
  <c r="D2413" i="3"/>
  <c r="D2349" i="3"/>
  <c r="D2285" i="3"/>
  <c r="D2221" i="3"/>
  <c r="D2157" i="3"/>
  <c r="D2093" i="3"/>
  <c r="D2029" i="3"/>
  <c r="D1965" i="3"/>
  <c r="D1901" i="3"/>
  <c r="D1837" i="3"/>
  <c r="D1773" i="3"/>
  <c r="D1709" i="3"/>
  <c r="D1645" i="3"/>
  <c r="E2484" i="3"/>
  <c r="E2420" i="3"/>
  <c r="E2356" i="3"/>
  <c r="E2292" i="3"/>
  <c r="E2228" i="3"/>
  <c r="E2164" i="3"/>
  <c r="E2100" i="3"/>
  <c r="E2036" i="3"/>
  <c r="E1972" i="3"/>
  <c r="E1908" i="3"/>
  <c r="E1844" i="3"/>
  <c r="E1780" i="3"/>
  <c r="E1716" i="3"/>
  <c r="E1652" i="3"/>
  <c r="D1589" i="3"/>
  <c r="D1525" i="3"/>
  <c r="D1461" i="3"/>
  <c r="D1397" i="3"/>
  <c r="D1333" i="3"/>
  <c r="D1269" i="3"/>
  <c r="D1205" i="3"/>
  <c r="E8635" i="3"/>
  <c r="E8739" i="3"/>
  <c r="E8669" i="3"/>
  <c r="E8605" i="3"/>
  <c r="E8541" i="3"/>
  <c r="E8477" i="3"/>
  <c r="E8413" i="3"/>
  <c r="E8349" i="3"/>
  <c r="E8285" i="3"/>
  <c r="E8221" i="3"/>
  <c r="E8157" i="3"/>
  <c r="E8093" i="3"/>
  <c r="E8029" i="3"/>
  <c r="E7965" i="3"/>
  <c r="E7901" i="3"/>
  <c r="E7837" i="3"/>
  <c r="E7773" i="3"/>
  <c r="E7709" i="3"/>
  <c r="E7645" i="3"/>
  <c r="E7581" i="3"/>
  <c r="E7517" i="3"/>
  <c r="E7453" i="3"/>
  <c r="E7389" i="3"/>
  <c r="E7325" i="3"/>
  <c r="E7261" i="3"/>
  <c r="E7197" i="3"/>
  <c r="E7133" i="3"/>
  <c r="D8740" i="3"/>
  <c r="D8676" i="3"/>
  <c r="D8612" i="3"/>
  <c r="D8548" i="3"/>
  <c r="D8484" i="3"/>
  <c r="D8420" i="3"/>
  <c r="D8356" i="3"/>
  <c r="D8292" i="3"/>
  <c r="D8228" i="3"/>
  <c r="D8164" i="3"/>
  <c r="D8100" i="3"/>
  <c r="D8036" i="3"/>
  <c r="D7972" i="3"/>
  <c r="D7908" i="3"/>
  <c r="D7844" i="3"/>
  <c r="D7780" i="3"/>
  <c r="D7716" i="3"/>
  <c r="D7652" i="3"/>
  <c r="D7588" i="3"/>
  <c r="D7524" i="3"/>
  <c r="D7460" i="3"/>
  <c r="D7396" i="3"/>
  <c r="D7332" i="3"/>
  <c r="D7268" i="3"/>
  <c r="D7204" i="3"/>
  <c r="D7140" i="3"/>
  <c r="E7054" i="3"/>
  <c r="E6990" i="3"/>
  <c r="E6926" i="3"/>
  <c r="E6862" i="3"/>
  <c r="E6798" i="3"/>
  <c r="E6734" i="3"/>
  <c r="E6670" i="3"/>
  <c r="E6606" i="3"/>
  <c r="E6542" i="3"/>
  <c r="E6478" i="3"/>
  <c r="E6414" i="3"/>
  <c r="E6350" i="3"/>
  <c r="E6286" i="3"/>
  <c r="E6222" i="3"/>
  <c r="E6158" i="3"/>
  <c r="E6094" i="3"/>
  <c r="E6030" i="3"/>
  <c r="E5966" i="3"/>
  <c r="E5902" i="3"/>
  <c r="E5838" i="3"/>
  <c r="E5774" i="3"/>
  <c r="E5710" i="3"/>
  <c r="E5646" i="3"/>
  <c r="E5582" i="3"/>
  <c r="E5518" i="3"/>
  <c r="E5454" i="3"/>
  <c r="E5390" i="3"/>
  <c r="E5326" i="3"/>
  <c r="D7125" i="3"/>
  <c r="D7061" i="3"/>
  <c r="D6997" i="3"/>
  <c r="D6933" i="3"/>
  <c r="D6869" i="3"/>
  <c r="D6805" i="3"/>
  <c r="D6741" i="3"/>
  <c r="D6677" i="3"/>
  <c r="D6613" i="3"/>
  <c r="D6549" i="3"/>
  <c r="D6485" i="3"/>
  <c r="D6421" i="3"/>
  <c r="D6357" i="3"/>
  <c r="D6293" i="3"/>
  <c r="D6229" i="3"/>
  <c r="D6165" i="3"/>
  <c r="D6101" i="3"/>
  <c r="D6037" i="3"/>
  <c r="D5973" i="3"/>
  <c r="D5909" i="3"/>
  <c r="D5845" i="3"/>
  <c r="D5781" i="3"/>
  <c r="D5717" i="3"/>
  <c r="D5653" i="3"/>
  <c r="D5589" i="3"/>
  <c r="D5525" i="3"/>
  <c r="D5461" i="3"/>
  <c r="D5397" i="3"/>
  <c r="D5333" i="3"/>
  <c r="D5269" i="3"/>
  <c r="E5205" i="3"/>
  <c r="E5141" i="3"/>
  <c r="E5077" i="3"/>
  <c r="E5013" i="3"/>
  <c r="E4949" i="3"/>
  <c r="E4885" i="3"/>
  <c r="E4821" i="3"/>
  <c r="E4757" i="3"/>
  <c r="E4693" i="3"/>
  <c r="E4629" i="3"/>
  <c r="E4565" i="3"/>
  <c r="E4501" i="3"/>
  <c r="E4437" i="3"/>
  <c r="E4373" i="3"/>
  <c r="E4309" i="3"/>
  <c r="E4245" i="3"/>
  <c r="E4181" i="3"/>
  <c r="E4117" i="3"/>
  <c r="E4053" i="3"/>
  <c r="E3989" i="3"/>
  <c r="E3925" i="3"/>
  <c r="E3861" i="3"/>
  <c r="E3797" i="3"/>
  <c r="E3733" i="3"/>
  <c r="E3669" i="3"/>
  <c r="E3605" i="3"/>
  <c r="E3541" i="3"/>
  <c r="E3477" i="3"/>
  <c r="D5234" i="3"/>
  <c r="D5170" i="3"/>
  <c r="D5106" i="3"/>
  <c r="D5042" i="3"/>
  <c r="D4978" i="3"/>
  <c r="D4914" i="3"/>
  <c r="D4850" i="3"/>
  <c r="D4786" i="3"/>
  <c r="D4722" i="3"/>
  <c r="D4658" i="3"/>
  <c r="D4594" i="3"/>
  <c r="D4530" i="3"/>
  <c r="D4466" i="3"/>
  <c r="D4402" i="3"/>
  <c r="D4338" i="3"/>
  <c r="D4274" i="3"/>
  <c r="D4210" i="3"/>
  <c r="D4146" i="3"/>
  <c r="D4082" i="3"/>
  <c r="D4018" i="3"/>
  <c r="D3954" i="3"/>
  <c r="D3890" i="3"/>
  <c r="D3826" i="3"/>
  <c r="D3762" i="3"/>
  <c r="D3698" i="3"/>
  <c r="D3634" i="3"/>
  <c r="D3570" i="3"/>
  <c r="D3506" i="3"/>
  <c r="D3442" i="3"/>
  <c r="E3378" i="3"/>
  <c r="E3314" i="3"/>
  <c r="E3250" i="3"/>
  <c r="E3186" i="3"/>
  <c r="E3122" i="3"/>
  <c r="E3058" i="3"/>
  <c r="E2994" i="3"/>
  <c r="E2930" i="3"/>
  <c r="E2866" i="3"/>
  <c r="E2802" i="3"/>
  <c r="E2738" i="3"/>
  <c r="E2674" i="3"/>
  <c r="E2610" i="3"/>
  <c r="E2546" i="3"/>
  <c r="D3391" i="3"/>
  <c r="D3327" i="3"/>
  <c r="D3263" i="3"/>
  <c r="D3199" i="3"/>
  <c r="D3135" i="3"/>
  <c r="D3071" i="3"/>
  <c r="D3007" i="3"/>
  <c r="D2943" i="3"/>
  <c r="D2879" i="3"/>
  <c r="D2815" i="3"/>
  <c r="D2751" i="3"/>
  <c r="D2687" i="3"/>
  <c r="D2623" i="3"/>
  <c r="D2559" i="3"/>
  <c r="E2499" i="3"/>
  <c r="E2435" i="3"/>
  <c r="E2371" i="3"/>
  <c r="E2307" i="3"/>
  <c r="E2243" i="3"/>
  <c r="E2179" i="3"/>
  <c r="E2115" i="3"/>
  <c r="E2051" i="3"/>
  <c r="E1987" i="3"/>
  <c r="E1923" i="3"/>
  <c r="E1859" i="3"/>
  <c r="E1795" i="3"/>
  <c r="E1731" i="3"/>
  <c r="E1667" i="3"/>
  <c r="D2506" i="3"/>
  <c r="D2442" i="3"/>
  <c r="D2378" i="3"/>
  <c r="D2314" i="3"/>
  <c r="D2250" i="3"/>
  <c r="D2186" i="3"/>
  <c r="D2122" i="3"/>
  <c r="D2058" i="3"/>
  <c r="D1994" i="3"/>
  <c r="D1930" i="3"/>
  <c r="D1866" i="3"/>
  <c r="D1802" i="3"/>
  <c r="D1738" i="3"/>
  <c r="D1674" i="3"/>
  <c r="E1611" i="3"/>
  <c r="E1547" i="3"/>
  <c r="E1483" i="3"/>
  <c r="E1419" i="3"/>
  <c r="E1355" i="3"/>
  <c r="E1291" i="3"/>
  <c r="E1227" i="3"/>
  <c r="D1616" i="3"/>
  <c r="D1552" i="3"/>
  <c r="D1488" i="3"/>
  <c r="D1424" i="3"/>
  <c r="D1360" i="3"/>
  <c r="D1296" i="3"/>
  <c r="D1232" i="3"/>
  <c r="D1196" i="3"/>
  <c r="E1132" i="3"/>
  <c r="E1068" i="3"/>
  <c r="E1004" i="3"/>
  <c r="E940" i="3"/>
  <c r="E876" i="3"/>
  <c r="E812" i="3"/>
  <c r="E723" i="3"/>
  <c r="D1083" i="3"/>
  <c r="D1019" i="3"/>
  <c r="D955" i="3"/>
  <c r="D891" i="3"/>
  <c r="D827" i="3"/>
  <c r="E757" i="3"/>
  <c r="D726" i="3"/>
  <c r="E662" i="3"/>
  <c r="E598" i="3"/>
  <c r="D709" i="3"/>
  <c r="D645" i="3"/>
  <c r="D581" i="3"/>
  <c r="E516" i="3"/>
  <c r="E452" i="3"/>
  <c r="E388" i="3"/>
  <c r="E321" i="3"/>
  <c r="D485" i="3"/>
  <c r="D421" i="3"/>
  <c r="D357" i="3"/>
  <c r="E302" i="3"/>
  <c r="E238" i="3"/>
  <c r="D273" i="3"/>
  <c r="E208" i="3"/>
  <c r="D159" i="3"/>
  <c r="E8695" i="3"/>
  <c r="E8567" i="3"/>
  <c r="E8487" i="3"/>
  <c r="E8423" i="3"/>
  <c r="E8359" i="3"/>
  <c r="E8295" i="3"/>
  <c r="E8231" i="3"/>
  <c r="E8167" i="3"/>
  <c r="E8103" i="3"/>
  <c r="E8039" i="3"/>
  <c r="E7975" i="3"/>
  <c r="E7911" i="3"/>
  <c r="E7847" i="3"/>
  <c r="E7783" i="3"/>
  <c r="E7719" i="3"/>
  <c r="E7655" i="3"/>
  <c r="E7591" i="3"/>
  <c r="E7527" i="3"/>
  <c r="E7463" i="3"/>
  <c r="E7399" i="3"/>
  <c r="E7335" i="3"/>
  <c r="E7271" i="3"/>
  <c r="E7207" i="3"/>
  <c r="E7143" i="3"/>
  <c r="D8750" i="3"/>
  <c r="D8686" i="3"/>
  <c r="D8622" i="3"/>
  <c r="D8558" i="3"/>
  <c r="D8494" i="3"/>
  <c r="D8430" i="3"/>
  <c r="D8366" i="3"/>
  <c r="D8302" i="3"/>
  <c r="D8238" i="3"/>
  <c r="D8174" i="3"/>
  <c r="D8110" i="3"/>
  <c r="D8046" i="3"/>
  <c r="D7982" i="3"/>
  <c r="D7918" i="3"/>
  <c r="D7854" i="3"/>
  <c r="D7790" i="3"/>
  <c r="D7726" i="3"/>
  <c r="D7662" i="3"/>
  <c r="D7598" i="3"/>
  <c r="D7534" i="3"/>
  <c r="D7470" i="3"/>
  <c r="D7406" i="3"/>
  <c r="D7342" i="3"/>
  <c r="D7278" i="3"/>
  <c r="D7214" i="3"/>
  <c r="D7150" i="3"/>
  <c r="E7064" i="3"/>
  <c r="E7000" i="3"/>
  <c r="E6936" i="3"/>
  <c r="E6872" i="3"/>
  <c r="E6808" i="3"/>
  <c r="E6744" i="3"/>
  <c r="E6680" i="3"/>
  <c r="E6616" i="3"/>
  <c r="E6552" i="3"/>
  <c r="E6488" i="3"/>
  <c r="E6424" i="3"/>
  <c r="E6360" i="3"/>
  <c r="E6296" i="3"/>
  <c r="E6232" i="3"/>
  <c r="E6168" i="3"/>
  <c r="E6104" i="3"/>
  <c r="E6040" i="3"/>
  <c r="D8749" i="3"/>
  <c r="D8611" i="3"/>
  <c r="D8721" i="3"/>
  <c r="D8657" i="3"/>
  <c r="D8593" i="3"/>
  <c r="D8529" i="3"/>
  <c r="D8465" i="3"/>
  <c r="D8401" i="3"/>
  <c r="D8337" i="3"/>
  <c r="D8273" i="3"/>
  <c r="D8209" i="3"/>
  <c r="D8145" i="3"/>
  <c r="D8081" i="3"/>
  <c r="D8017" i="3"/>
  <c r="D7953" i="3"/>
  <c r="D7889" i="3"/>
  <c r="D7825" i="3"/>
  <c r="D7761" i="3"/>
  <c r="D7697" i="3"/>
  <c r="D7633" i="3"/>
  <c r="D7569" i="3"/>
  <c r="D7505" i="3"/>
  <c r="D7441" i="3"/>
  <c r="D7377" i="3"/>
  <c r="D7313" i="3"/>
  <c r="D7249" i="3"/>
  <c r="D7185" i="3"/>
  <c r="D7116" i="3"/>
  <c r="E8728" i="3"/>
  <c r="E8664" i="3"/>
  <c r="E8600" i="3"/>
  <c r="E8536" i="3"/>
  <c r="E8472" i="3"/>
  <c r="E8408" i="3"/>
  <c r="E8344" i="3"/>
  <c r="E8280" i="3"/>
  <c r="E8216" i="3"/>
  <c r="E8152" i="3"/>
  <c r="E8088" i="3"/>
  <c r="E8024" i="3"/>
  <c r="E7960" i="3"/>
  <c r="E7896" i="3"/>
  <c r="E7832" i="3"/>
  <c r="E7768" i="3"/>
  <c r="E7704" i="3"/>
  <c r="E7640" i="3"/>
  <c r="E7576" i="3"/>
  <c r="E7512" i="3"/>
  <c r="E7448" i="3"/>
  <c r="E7384" i="3"/>
  <c r="E7320" i="3"/>
  <c r="E7256" i="3"/>
  <c r="E7192" i="3"/>
  <c r="E7128" i="3"/>
  <c r="D7042" i="3"/>
  <c r="D6978" i="3"/>
  <c r="D6914" i="3"/>
  <c r="D6850" i="3"/>
  <c r="D6786" i="3"/>
  <c r="D6722" i="3"/>
  <c r="D6658" i="3"/>
  <c r="D6594" i="3"/>
  <c r="D6530" i="3"/>
  <c r="D6466" i="3"/>
  <c r="D6402" i="3"/>
  <c r="D6338" i="3"/>
  <c r="D6274" i="3"/>
  <c r="D6210" i="3"/>
  <c r="D6146" i="3"/>
  <c r="D6082" i="3"/>
  <c r="D6018" i="3"/>
  <c r="D5954" i="3"/>
  <c r="D5890" i="3"/>
  <c r="D5826" i="3"/>
  <c r="D5762" i="3"/>
  <c r="D5698" i="3"/>
  <c r="D5634" i="3"/>
  <c r="D5570" i="3"/>
  <c r="D5506" i="3"/>
  <c r="D5442" i="3"/>
  <c r="D5378" i="3"/>
  <c r="D5314" i="3"/>
  <c r="E7113" i="3"/>
  <c r="E7049" i="3"/>
  <c r="E6985" i="3"/>
  <c r="E6921" i="3"/>
  <c r="E6857" i="3"/>
  <c r="E6793" i="3"/>
  <c r="E6729" i="3"/>
  <c r="E6665" i="3"/>
  <c r="E6601" i="3"/>
  <c r="E6537" i="3"/>
  <c r="E6473" i="3"/>
  <c r="E6409" i="3"/>
  <c r="E6345" i="3"/>
  <c r="E6281" i="3"/>
  <c r="E6217" i="3"/>
  <c r="E6153" i="3"/>
  <c r="E6089" i="3"/>
  <c r="E6025" i="3"/>
  <c r="E5961" i="3"/>
  <c r="E5897" i="3"/>
  <c r="E5833" i="3"/>
  <c r="E5769" i="3"/>
  <c r="E5705" i="3"/>
  <c r="E5641" i="3"/>
  <c r="E5577" i="3"/>
  <c r="E5513" i="3"/>
  <c r="E5449" i="3"/>
  <c r="E5385" i="3"/>
  <c r="E5321" i="3"/>
  <c r="D5257" i="3"/>
  <c r="D5193" i="3"/>
  <c r="D5129" i="3"/>
  <c r="D5065" i="3"/>
  <c r="D5001" i="3"/>
  <c r="D4937" i="3"/>
  <c r="D4873" i="3"/>
  <c r="D4809" i="3"/>
  <c r="D4745" i="3"/>
  <c r="D4681" i="3"/>
  <c r="D4617" i="3"/>
  <c r="D4553" i="3"/>
  <c r="D4489" i="3"/>
  <c r="D4425" i="3"/>
  <c r="D4361" i="3"/>
  <c r="D4297" i="3"/>
  <c r="D4233" i="3"/>
  <c r="D4169" i="3"/>
  <c r="D4105" i="3"/>
  <c r="D4041" i="3"/>
  <c r="D3977" i="3"/>
  <c r="D3913" i="3"/>
  <c r="D3849" i="3"/>
  <c r="D3785" i="3"/>
  <c r="D3721" i="3"/>
  <c r="D3657" i="3"/>
  <c r="D3593" i="3"/>
  <c r="D3529" i="3"/>
  <c r="D3465" i="3"/>
  <c r="E5222" i="3"/>
  <c r="E5158" i="3"/>
  <c r="E5094" i="3"/>
  <c r="E5030" i="3"/>
  <c r="E4966" i="3"/>
  <c r="E4902" i="3"/>
  <c r="E4838" i="3"/>
  <c r="E4774" i="3"/>
  <c r="E4710" i="3"/>
  <c r="E4646" i="3"/>
  <c r="E4582" i="3"/>
  <c r="E4518" i="3"/>
  <c r="E4454" i="3"/>
  <c r="E4390" i="3"/>
  <c r="E4326" i="3"/>
  <c r="E4262" i="3"/>
  <c r="E4198" i="3"/>
  <c r="E4134" i="3"/>
  <c r="E4070" i="3"/>
  <c r="E4006" i="3"/>
  <c r="E3942" i="3"/>
  <c r="E3878" i="3"/>
  <c r="E3814" i="3"/>
  <c r="E3750" i="3"/>
  <c r="E3686" i="3"/>
  <c r="E3622" i="3"/>
  <c r="E3558" i="3"/>
  <c r="E3494" i="3"/>
  <c r="D3430" i="3"/>
  <c r="D3366" i="3"/>
  <c r="D3302" i="3"/>
  <c r="D3238" i="3"/>
  <c r="D3174" i="3"/>
  <c r="D3110" i="3"/>
  <c r="D3046" i="3"/>
  <c r="D2982" i="3"/>
  <c r="D2918" i="3"/>
  <c r="D2854" i="3"/>
  <c r="D2790" i="3"/>
  <c r="D2726" i="3"/>
  <c r="D2662" i="3"/>
  <c r="D2598" i="3"/>
  <c r="D2532" i="3"/>
  <c r="E3379" i="3"/>
  <c r="E3315" i="3"/>
  <c r="E3251" i="3"/>
  <c r="E3187" i="3"/>
  <c r="E3123" i="3"/>
  <c r="E3059" i="3"/>
  <c r="E2995" i="3"/>
  <c r="E2931" i="3"/>
  <c r="E2867" i="3"/>
  <c r="E2803" i="3"/>
  <c r="E2739" i="3"/>
  <c r="E2675" i="3"/>
  <c r="E2611" i="3"/>
  <c r="E2547" i="3"/>
  <c r="D2487" i="3"/>
  <c r="D2423" i="3"/>
  <c r="D2359" i="3"/>
  <c r="D2295" i="3"/>
  <c r="D2231" i="3"/>
  <c r="D2167" i="3"/>
  <c r="D2103" i="3"/>
  <c r="D2039" i="3"/>
  <c r="D1975" i="3"/>
  <c r="D1911" i="3"/>
  <c r="D1847" i="3"/>
  <c r="D1783" i="3"/>
  <c r="D1719" i="3"/>
  <c r="D1655" i="3"/>
  <c r="E2494" i="3"/>
  <c r="E2430" i="3"/>
  <c r="E2366" i="3"/>
  <c r="E2302" i="3"/>
  <c r="E2238" i="3"/>
  <c r="E2174" i="3"/>
  <c r="E2110" i="3"/>
  <c r="E2046" i="3"/>
  <c r="E1982" i="3"/>
  <c r="E1918" i="3"/>
  <c r="E1854" i="3"/>
  <c r="E1790" i="3"/>
  <c r="E1726" i="3"/>
  <c r="E1662" i="3"/>
  <c r="D1599" i="3"/>
  <c r="D1535" i="3"/>
  <c r="D1471" i="3"/>
  <c r="D1407" i="3"/>
  <c r="D1343" i="3"/>
  <c r="D1279" i="3"/>
  <c r="D1215" i="3"/>
  <c r="E1604" i="3"/>
  <c r="E1540" i="3"/>
  <c r="E1476" i="3"/>
  <c r="E1412" i="3"/>
  <c r="E1348" i="3"/>
  <c r="E1284" i="3"/>
  <c r="E1220" i="3"/>
  <c r="E1184" i="3"/>
  <c r="D1120" i="3"/>
  <c r="D1056" i="3"/>
  <c r="D992" i="3"/>
  <c r="D928" i="3"/>
  <c r="D864" i="3"/>
  <c r="D800" i="3"/>
  <c r="E1135" i="3"/>
  <c r="E1071" i="3"/>
  <c r="E1007" i="3"/>
  <c r="E943" i="3"/>
  <c r="E879" i="3"/>
  <c r="E815" i="3"/>
  <c r="D733" i="3"/>
  <c r="D714" i="3"/>
  <c r="D650" i="3"/>
  <c r="D586" i="3"/>
  <c r="E697" i="3"/>
  <c r="E633" i="3"/>
  <c r="E569" i="3"/>
  <c r="D504" i="3"/>
  <c r="D440" i="3"/>
  <c r="D376" i="3"/>
  <c r="E537" i="3"/>
  <c r="E473" i="3"/>
  <c r="E409" i="3"/>
  <c r="E345" i="3"/>
  <c r="D290" i="3"/>
  <c r="D226" i="3"/>
  <c r="E261" i="3"/>
  <c r="D196" i="3"/>
  <c r="E179" i="3"/>
  <c r="D8719" i="3"/>
  <c r="D8591" i="3"/>
  <c r="D8499" i="3"/>
  <c r="D8435" i="3"/>
  <c r="D8371" i="3"/>
  <c r="D8307" i="3"/>
  <c r="D8243" i="3"/>
  <c r="D8179" i="3"/>
  <c r="D8115" i="3"/>
  <c r="D8051" i="3"/>
  <c r="D7987" i="3"/>
  <c r="D7923" i="3"/>
  <c r="D7859" i="3"/>
  <c r="D7795" i="3"/>
  <c r="D7731" i="3"/>
  <c r="D7667" i="3"/>
  <c r="D7603" i="3"/>
  <c r="D7539" i="3"/>
  <c r="D7475" i="3"/>
  <c r="D7411" i="3"/>
  <c r="D7347" i="3"/>
  <c r="D7283" i="3"/>
  <c r="D7219" i="3"/>
  <c r="D7155" i="3"/>
  <c r="D8725" i="3"/>
  <c r="E8698" i="3"/>
  <c r="E8634" i="3"/>
  <c r="E8570" i="3"/>
  <c r="E8506" i="3"/>
  <c r="E8442" i="3"/>
  <c r="E8378" i="3"/>
  <c r="E8314" i="3"/>
  <c r="E8250" i="3"/>
  <c r="E8186" i="3"/>
  <c r="E8122" i="3"/>
  <c r="E8058" i="3"/>
  <c r="E7994" i="3"/>
  <c r="E7930" i="3"/>
  <c r="E7866" i="3"/>
  <c r="E7802" i="3"/>
  <c r="E7738" i="3"/>
  <c r="E7674" i="3"/>
  <c r="E7610" i="3"/>
  <c r="E7546" i="3"/>
  <c r="E7482" i="3"/>
  <c r="E7418" i="3"/>
  <c r="E7354" i="3"/>
  <c r="E7290" i="3"/>
  <c r="E7226" i="3"/>
  <c r="E7162" i="3"/>
  <c r="D7076" i="3"/>
  <c r="D7012" i="3"/>
  <c r="D6948" i="3"/>
  <c r="D6884" i="3"/>
  <c r="D6820" i="3"/>
  <c r="D6756" i="3"/>
  <c r="D6692" i="3"/>
  <c r="D6628" i="3"/>
  <c r="D6564" i="3"/>
  <c r="D6500" i="3"/>
  <c r="D6436" i="3"/>
  <c r="D6372" i="3"/>
  <c r="D6308" i="3"/>
  <c r="D6244" i="3"/>
  <c r="D6180" i="3"/>
  <c r="D6116" i="3"/>
  <c r="E8643" i="3"/>
  <c r="E8747" i="3"/>
  <c r="E8673" i="3"/>
  <c r="E8609" i="3"/>
  <c r="E8545" i="3"/>
  <c r="E8481" i="3"/>
  <c r="E8417" i="3"/>
  <c r="E8353" i="3"/>
  <c r="E8289" i="3"/>
  <c r="E8225" i="3"/>
  <c r="E8161" i="3"/>
  <c r="E8097" i="3"/>
  <c r="E8033" i="3"/>
  <c r="E7969" i="3"/>
  <c r="E7905" i="3"/>
  <c r="E7841" i="3"/>
  <c r="E7777" i="3"/>
  <c r="E7713" i="3"/>
  <c r="E7649" i="3"/>
  <c r="E7585" i="3"/>
  <c r="E7521" i="3"/>
  <c r="E7457" i="3"/>
  <c r="E7393" i="3"/>
  <c r="E7329" i="3"/>
  <c r="E7265" i="3"/>
  <c r="E7201" i="3"/>
  <c r="E7137" i="3"/>
  <c r="D8744" i="3"/>
  <c r="D8680" i="3"/>
  <c r="D8616" i="3"/>
  <c r="D8552" i="3"/>
  <c r="D8488" i="3"/>
  <c r="D8424" i="3"/>
  <c r="D8360" i="3"/>
  <c r="D8296" i="3"/>
  <c r="D8232" i="3"/>
  <c r="D8168" i="3"/>
  <c r="D8104" i="3"/>
  <c r="D8040" i="3"/>
  <c r="D7976" i="3"/>
  <c r="D7912" i="3"/>
  <c r="D7848" i="3"/>
  <c r="D7784" i="3"/>
  <c r="D7720" i="3"/>
  <c r="D7656" i="3"/>
  <c r="D7592" i="3"/>
  <c r="D7528" i="3"/>
  <c r="D7464" i="3"/>
  <c r="D7400" i="3"/>
  <c r="D7336" i="3"/>
  <c r="D7272" i="3"/>
  <c r="D7208" i="3"/>
  <c r="D7144" i="3"/>
  <c r="E7058" i="3"/>
  <c r="E6994" i="3"/>
  <c r="E6930" i="3"/>
  <c r="E6866" i="3"/>
  <c r="E6802" i="3"/>
  <c r="E6738" i="3"/>
  <c r="E6674" i="3"/>
  <c r="E6610" i="3"/>
  <c r="E6546" i="3"/>
  <c r="E6482" i="3"/>
  <c r="E6418" i="3"/>
  <c r="E6354" i="3"/>
  <c r="E6290" i="3"/>
  <c r="E6226" i="3"/>
  <c r="E6162" i="3"/>
  <c r="E6098" i="3"/>
  <c r="E6034" i="3"/>
  <c r="E5970" i="3"/>
  <c r="E5906" i="3"/>
  <c r="E5842" i="3"/>
  <c r="E5778" i="3"/>
  <c r="E5714" i="3"/>
  <c r="E5650" i="3"/>
  <c r="E5586" i="3"/>
  <c r="E5522" i="3"/>
  <c r="E5458" i="3"/>
  <c r="E5394" i="3"/>
  <c r="E5330" i="3"/>
  <c r="E5266" i="3"/>
  <c r="D7065" i="3"/>
  <c r="D7001" i="3"/>
  <c r="D6937" i="3"/>
  <c r="D6873" i="3"/>
  <c r="D6809" i="3"/>
  <c r="D6745" i="3"/>
  <c r="D6681" i="3"/>
  <c r="D6617" i="3"/>
  <c r="D6553" i="3"/>
  <c r="D6489" i="3"/>
  <c r="D6425" i="3"/>
  <c r="D6361" i="3"/>
  <c r="D6297" i="3"/>
  <c r="D6233" i="3"/>
  <c r="D6169" i="3"/>
  <c r="D6105" i="3"/>
  <c r="D6041" i="3"/>
  <c r="D5977" i="3"/>
  <c r="D5913" i="3"/>
  <c r="D5849" i="3"/>
  <c r="D5785" i="3"/>
  <c r="D5721" i="3"/>
  <c r="D5657" i="3"/>
  <c r="D5593" i="3"/>
  <c r="D5529" i="3"/>
  <c r="D5465" i="3"/>
  <c r="D5401" i="3"/>
  <c r="D5337" i="3"/>
  <c r="D5273" i="3"/>
  <c r="E5209" i="3"/>
  <c r="E5145" i="3"/>
  <c r="E5081" i="3"/>
  <c r="E5017" i="3"/>
  <c r="E4953" i="3"/>
  <c r="E4889" i="3"/>
  <c r="E4825" i="3"/>
  <c r="E4761" i="3"/>
  <c r="E4697" i="3"/>
  <c r="E4633" i="3"/>
  <c r="E4569" i="3"/>
  <c r="E4505" i="3"/>
  <c r="E4441" i="3"/>
  <c r="E4377" i="3"/>
  <c r="E4313" i="3"/>
  <c r="E4249" i="3"/>
  <c r="E4185" i="3"/>
  <c r="E4121" i="3"/>
  <c r="E4057" i="3"/>
  <c r="E3993" i="3"/>
  <c r="E3929" i="3"/>
  <c r="E3865" i="3"/>
  <c r="E3801" i="3"/>
  <c r="E3737" i="3"/>
  <c r="E3673" i="3"/>
  <c r="E3609" i="3"/>
  <c r="E3545" i="3"/>
  <c r="E3481" i="3"/>
  <c r="D5238" i="3"/>
  <c r="D5174" i="3"/>
  <c r="D5110" i="3"/>
  <c r="D5046" i="3"/>
  <c r="D4982" i="3"/>
  <c r="D4918" i="3"/>
  <c r="D4854" i="3"/>
  <c r="D4790" i="3"/>
  <c r="D4726" i="3"/>
  <c r="D4662" i="3"/>
  <c r="D4598" i="3"/>
  <c r="D4534" i="3"/>
  <c r="D4470" i="3"/>
  <c r="D4406" i="3"/>
  <c r="D4342" i="3"/>
  <c r="D4278" i="3"/>
  <c r="D4214" i="3"/>
  <c r="D4150" i="3"/>
  <c r="D4086" i="3"/>
  <c r="D4022" i="3"/>
  <c r="D3958" i="3"/>
  <c r="D3894" i="3"/>
  <c r="D3830" i="3"/>
  <c r="D3766" i="3"/>
  <c r="D3702" i="3"/>
  <c r="D3638" i="3"/>
  <c r="D3574" i="3"/>
  <c r="D3510" i="3"/>
  <c r="D3446" i="3"/>
  <c r="E3382" i="3"/>
  <c r="E3318" i="3"/>
  <c r="E3254" i="3"/>
  <c r="E3190" i="3"/>
  <c r="E3126" i="3"/>
  <c r="E3062" i="3"/>
  <c r="E2998" i="3"/>
  <c r="E2934" i="3"/>
  <c r="E2870" i="3"/>
  <c r="E2806" i="3"/>
  <c r="E2742" i="3"/>
  <c r="E2678" i="3"/>
  <c r="E2614" i="3"/>
  <c r="E2550" i="3"/>
  <c r="D3395" i="3"/>
  <c r="D3331" i="3"/>
  <c r="D3267" i="3"/>
  <c r="D3203" i="3"/>
  <c r="D3139" i="3"/>
  <c r="D3075" i="3"/>
  <c r="D3011" i="3"/>
  <c r="D2947" i="3"/>
  <c r="D2883" i="3"/>
  <c r="D2819" i="3"/>
  <c r="D2755" i="3"/>
  <c r="D2691" i="3"/>
  <c r="D2627" i="3"/>
  <c r="D2563" i="3"/>
  <c r="E2503" i="3"/>
  <c r="E2439" i="3"/>
  <c r="E2375" i="3"/>
  <c r="E2311" i="3"/>
  <c r="E2247" i="3"/>
  <c r="E2183" i="3"/>
  <c r="E2119" i="3"/>
  <c r="E2055" i="3"/>
  <c r="E1991" i="3"/>
  <c r="E1927" i="3"/>
  <c r="E1863" i="3"/>
  <c r="E1799" i="3"/>
  <c r="E1735" i="3"/>
  <c r="E1671" i="3"/>
  <c r="D2510" i="3"/>
  <c r="D2446" i="3"/>
  <c r="D2382" i="3"/>
  <c r="D2318" i="3"/>
  <c r="D2254" i="3"/>
  <c r="D2190" i="3"/>
  <c r="D2126" i="3"/>
  <c r="D2062" i="3"/>
  <c r="D1998" i="3"/>
  <c r="D1934" i="3"/>
  <c r="D1870" i="3"/>
  <c r="D1806" i="3"/>
  <c r="D1742" i="3"/>
  <c r="D1678" i="3"/>
  <c r="E1615" i="3"/>
  <c r="E1551" i="3"/>
  <c r="E1487" i="3"/>
  <c r="E1423" i="3"/>
  <c r="E1359" i="3"/>
  <c r="E1295" i="3"/>
  <c r="E1231" i="3"/>
  <c r="D1620" i="3"/>
  <c r="D1556" i="3"/>
  <c r="D1492" i="3"/>
  <c r="D1428" i="3"/>
  <c r="D1364" i="3"/>
  <c r="D1300" i="3"/>
  <c r="D1236" i="3"/>
  <c r="E1145" i="3"/>
  <c r="E1136" i="3"/>
  <c r="E1072" i="3"/>
  <c r="E1008" i="3"/>
  <c r="E944" i="3"/>
  <c r="E880" i="3"/>
  <c r="E816" i="3"/>
  <c r="E731" i="3"/>
  <c r="D1087" i="3"/>
  <c r="D1023" i="3"/>
  <c r="D959" i="3"/>
  <c r="D895" i="3"/>
  <c r="D831" i="3"/>
  <c r="E765" i="3"/>
  <c r="D730" i="3"/>
  <c r="E666" i="3"/>
  <c r="E602" i="3"/>
  <c r="D713" i="3"/>
  <c r="D649" i="3"/>
  <c r="D585" i="3"/>
  <c r="E520" i="3"/>
  <c r="E456" i="3"/>
  <c r="E392" i="3"/>
  <c r="E328" i="3"/>
  <c r="D489" i="3"/>
  <c r="D425" i="3"/>
  <c r="D361" i="3"/>
  <c r="E306" i="3"/>
  <c r="E242" i="3"/>
  <c r="D277" i="3"/>
  <c r="D213" i="3"/>
  <c r="E148" i="3"/>
  <c r="D163" i="3"/>
  <c r="E8687" i="3"/>
  <c r="E8559" i="3"/>
  <c r="E8483" i="3"/>
  <c r="E8419" i="3"/>
  <c r="E8355" i="3"/>
  <c r="E8291" i="3"/>
  <c r="E8227" i="3"/>
  <c r="E8163" i="3"/>
  <c r="E8099" i="3"/>
  <c r="E8035" i="3"/>
  <c r="E7971" i="3"/>
  <c r="E7907" i="3"/>
  <c r="E7843" i="3"/>
  <c r="E7779" i="3"/>
  <c r="E7715" i="3"/>
  <c r="E7651" i="3"/>
  <c r="E7587" i="3"/>
  <c r="E7523" i="3"/>
  <c r="E7459" i="3"/>
  <c r="E7395" i="3"/>
  <c r="E7331" i="3"/>
  <c r="E7267" i="3"/>
  <c r="E7203" i="3"/>
  <c r="E7139" i="3"/>
  <c r="D8746" i="3"/>
  <c r="D8682" i="3"/>
  <c r="D8618" i="3"/>
  <c r="D8554" i="3"/>
  <c r="D8490" i="3"/>
  <c r="D8426" i="3"/>
  <c r="D8362" i="3"/>
  <c r="D8298" i="3"/>
  <c r="D8234" i="3"/>
  <c r="D8170" i="3"/>
  <c r="D8106" i="3"/>
  <c r="D8042" i="3"/>
  <c r="D7978" i="3"/>
  <c r="D7914" i="3"/>
  <c r="D7850" i="3"/>
  <c r="D7786" i="3"/>
  <c r="D7722" i="3"/>
  <c r="D7658" i="3"/>
  <c r="D7594" i="3"/>
  <c r="D7530" i="3"/>
  <c r="D7466" i="3"/>
  <c r="D7402" i="3"/>
  <c r="D7338" i="3"/>
  <c r="D7274" i="3"/>
  <c r="D7210" i="3"/>
  <c r="D7146" i="3"/>
  <c r="E7060" i="3"/>
  <c r="E6996" i="3"/>
  <c r="E6932" i="3"/>
  <c r="E6868" i="3"/>
  <c r="E6804" i="3"/>
  <c r="E6740" i="3"/>
  <c r="E6676" i="3"/>
  <c r="E6612" i="3"/>
  <c r="E6548" i="3"/>
  <c r="E6484" i="3"/>
  <c r="E6420" i="3"/>
  <c r="E6356" i="3"/>
  <c r="E6292" i="3"/>
  <c r="E6228" i="3"/>
  <c r="E6164" i="3"/>
  <c r="E6100" i="3"/>
  <c r="E6036" i="3"/>
  <c r="D8737" i="3"/>
  <c r="D8603" i="3"/>
  <c r="D8717" i="3"/>
  <c r="D8653" i="3"/>
  <c r="D8589" i="3"/>
  <c r="D8525" i="3"/>
  <c r="D8461" i="3"/>
  <c r="D8397" i="3"/>
  <c r="D8333" i="3"/>
  <c r="D8269" i="3"/>
  <c r="D8205" i="3"/>
  <c r="D8141" i="3"/>
  <c r="D8077" i="3"/>
  <c r="D8013" i="3"/>
  <c r="D7949" i="3"/>
  <c r="D7885" i="3"/>
  <c r="D7821" i="3"/>
  <c r="D7757" i="3"/>
  <c r="D7693" i="3"/>
  <c r="D7629" i="3"/>
  <c r="D7565" i="3"/>
  <c r="D7501" i="3"/>
  <c r="D7437" i="3"/>
  <c r="D7373" i="3"/>
  <c r="D7309" i="3"/>
  <c r="D7245" i="3"/>
  <c r="D7181" i="3"/>
  <c r="D7108" i="3"/>
  <c r="E8724" i="3"/>
  <c r="E8660" i="3"/>
  <c r="E8596" i="3"/>
  <c r="E8532" i="3"/>
  <c r="E8468" i="3"/>
  <c r="E8404" i="3"/>
  <c r="E8340" i="3"/>
  <c r="E8276" i="3"/>
  <c r="E8212" i="3"/>
  <c r="E8148" i="3"/>
  <c r="E8084" i="3"/>
  <c r="E8020" i="3"/>
  <c r="E7956" i="3"/>
  <c r="E7892" i="3"/>
  <c r="E7828" i="3"/>
  <c r="E7764" i="3"/>
  <c r="E7700" i="3"/>
  <c r="E7636" i="3"/>
  <c r="E7572" i="3"/>
  <c r="E7508" i="3"/>
  <c r="E7444" i="3"/>
  <c r="E7380" i="3"/>
  <c r="E7316" i="3"/>
  <c r="E7252" i="3"/>
  <c r="E7188" i="3"/>
  <c r="D7122" i="3"/>
  <c r="D7038" i="3"/>
  <c r="D6974" i="3"/>
  <c r="D6910" i="3"/>
  <c r="D6846" i="3"/>
  <c r="D6782" i="3"/>
  <c r="D6718" i="3"/>
  <c r="D6654" i="3"/>
  <c r="D6590" i="3"/>
  <c r="D6526" i="3"/>
  <c r="D6462" i="3"/>
  <c r="D6398" i="3"/>
  <c r="D6334" i="3"/>
  <c r="D6270" i="3"/>
  <c r="D6206" i="3"/>
  <c r="D6142" i="3"/>
  <c r="D6078" i="3"/>
  <c r="D6014" i="3"/>
  <c r="D5950" i="3"/>
  <c r="D5886" i="3"/>
  <c r="D5822" i="3"/>
  <c r="D5758" i="3"/>
  <c r="D5694" i="3"/>
  <c r="D5630" i="3"/>
  <c r="D5566" i="3"/>
  <c r="D5502" i="3"/>
  <c r="D5438" i="3"/>
  <c r="D5374" i="3"/>
  <c r="D5310" i="3"/>
  <c r="E7109" i="3"/>
  <c r="E7045" i="3"/>
  <c r="E6981" i="3"/>
  <c r="E6917" i="3"/>
  <c r="E6853" i="3"/>
  <c r="E6789" i="3"/>
  <c r="E6725" i="3"/>
  <c r="E6661" i="3"/>
  <c r="E6597" i="3"/>
  <c r="E6533" i="3"/>
  <c r="E6469" i="3"/>
  <c r="E6405" i="3"/>
  <c r="E6341" i="3"/>
  <c r="E6277" i="3"/>
  <c r="E6213" i="3"/>
  <c r="E6149" i="3"/>
  <c r="E6085" i="3"/>
  <c r="E6021" i="3"/>
  <c r="E5957" i="3"/>
  <c r="E5893" i="3"/>
  <c r="E5829" i="3"/>
  <c r="E5765" i="3"/>
  <c r="E5701" i="3"/>
  <c r="E5637" i="3"/>
  <c r="E5573" i="3"/>
  <c r="E5509" i="3"/>
  <c r="E5445" i="3"/>
  <c r="E5381" i="3"/>
  <c r="E5317" i="3"/>
  <c r="D5253" i="3"/>
  <c r="D5189" i="3"/>
  <c r="D5125" i="3"/>
  <c r="D5061" i="3"/>
  <c r="D4997" i="3"/>
  <c r="D4933" i="3"/>
  <c r="D4869" i="3"/>
  <c r="D4805" i="3"/>
  <c r="D4741" i="3"/>
  <c r="D4677" i="3"/>
  <c r="D4613" i="3"/>
  <c r="D4549" i="3"/>
  <c r="D4485" i="3"/>
  <c r="D4421" i="3"/>
  <c r="D4357" i="3"/>
  <c r="D4293" i="3"/>
  <c r="D4229" i="3"/>
  <c r="D4165" i="3"/>
  <c r="D4101" i="3"/>
  <c r="D4037" i="3"/>
  <c r="D3973" i="3"/>
  <c r="D3909" i="3"/>
  <c r="D3845" i="3"/>
  <c r="D3781" i="3"/>
  <c r="D3717" i="3"/>
  <c r="D3653" i="3"/>
  <c r="D3589" i="3"/>
  <c r="D3525" i="3"/>
  <c r="D3461" i="3"/>
  <c r="E5218" i="3"/>
  <c r="E5154" i="3"/>
  <c r="E5090" i="3"/>
  <c r="E5026" i="3"/>
  <c r="E4962" i="3"/>
  <c r="E4898" i="3"/>
  <c r="E4834" i="3"/>
  <c r="E4770" i="3"/>
  <c r="E4706" i="3"/>
  <c r="E4642" i="3"/>
  <c r="E4578" i="3"/>
  <c r="E4514" i="3"/>
  <c r="E4450" i="3"/>
  <c r="E4386" i="3"/>
  <c r="E4322" i="3"/>
  <c r="E4258" i="3"/>
  <c r="E4194" i="3"/>
  <c r="E4130" i="3"/>
  <c r="E4066" i="3"/>
  <c r="E4002" i="3"/>
  <c r="E3938" i="3"/>
  <c r="E3874" i="3"/>
  <c r="E3810" i="3"/>
  <c r="E3746" i="3"/>
  <c r="E3682" i="3"/>
  <c r="E3618" i="3"/>
  <c r="E3554" i="3"/>
  <c r="E3490" i="3"/>
  <c r="D3426" i="3"/>
  <c r="D3362" i="3"/>
  <c r="D3298" i="3"/>
  <c r="D3234" i="3"/>
  <c r="D3170" i="3"/>
  <c r="D3106" i="3"/>
  <c r="D3042" i="3"/>
  <c r="D2978" i="3"/>
  <c r="D2914" i="3"/>
  <c r="D2850" i="3"/>
  <c r="D2786" i="3"/>
  <c r="D2722" i="3"/>
  <c r="D2658" i="3"/>
  <c r="D2594" i="3"/>
  <c r="E3439" i="3"/>
  <c r="E3375" i="3"/>
  <c r="E3311" i="3"/>
  <c r="E3247" i="3"/>
  <c r="E3183" i="3"/>
  <c r="E3119" i="3"/>
  <c r="E3055" i="3"/>
  <c r="E2991" i="3"/>
  <c r="E2927" i="3"/>
  <c r="E2863" i="3"/>
  <c r="E2799" i="3"/>
  <c r="E2735" i="3"/>
  <c r="E2671" i="3"/>
  <c r="E2607" i="3"/>
  <c r="E2543" i="3"/>
  <c r="D2483" i="3"/>
  <c r="D2419" i="3"/>
  <c r="D2355" i="3"/>
  <c r="D2291" i="3"/>
  <c r="D2227" i="3"/>
  <c r="D2163" i="3"/>
  <c r="D2099" i="3"/>
  <c r="D2035" i="3"/>
  <c r="D1971" i="3"/>
  <c r="D1907" i="3"/>
  <c r="D1843" i="3"/>
  <c r="D1779" i="3"/>
  <c r="D1715" i="3"/>
  <c r="D1651" i="3"/>
  <c r="E2490" i="3"/>
  <c r="E2426" i="3"/>
  <c r="E2362" i="3"/>
  <c r="E2298" i="3"/>
  <c r="E2234" i="3"/>
  <c r="E2170" i="3"/>
  <c r="E2106" i="3"/>
  <c r="E2042" i="3"/>
  <c r="E1978" i="3"/>
  <c r="E1914" i="3"/>
  <c r="E1850" i="3"/>
  <c r="E1786" i="3"/>
  <c r="E1722" i="3"/>
  <c r="E1658" i="3"/>
  <c r="D1595" i="3"/>
  <c r="D1531" i="3"/>
  <c r="D1467" i="3"/>
  <c r="D1403" i="3"/>
  <c r="D1339" i="3"/>
  <c r="D1275" i="3"/>
  <c r="D1211" i="3"/>
  <c r="E1600" i="3"/>
  <c r="E1536" i="3"/>
  <c r="E1472" i="3"/>
  <c r="E1408" i="3"/>
  <c r="E1344" i="3"/>
  <c r="E1280" i="3"/>
  <c r="E1216" i="3"/>
  <c r="E1180" i="3"/>
  <c r="D1116" i="3"/>
  <c r="D1052" i="3"/>
  <c r="D988" i="3"/>
  <c r="D924" i="3"/>
  <c r="D860" i="3"/>
  <c r="D796" i="3"/>
  <c r="E1131" i="3"/>
  <c r="E1067" i="3"/>
  <c r="E1003" i="3"/>
  <c r="E939" i="3"/>
  <c r="E875" i="3"/>
  <c r="E811" i="3"/>
  <c r="D725" i="3"/>
  <c r="D710" i="3"/>
  <c r="D646" i="3"/>
  <c r="D582" i="3"/>
  <c r="E693" i="3"/>
  <c r="E629" i="3"/>
  <c r="E565" i="3"/>
  <c r="D500" i="3"/>
  <c r="D436" i="3"/>
  <c r="D372" i="3"/>
  <c r="E533" i="3"/>
  <c r="E469" i="3"/>
  <c r="E405" i="3"/>
  <c r="E341" i="3"/>
  <c r="D286" i="3"/>
  <c r="D222" i="3"/>
  <c r="E257" i="3"/>
  <c r="D192" i="3"/>
  <c r="E175" i="3"/>
  <c r="D8731" i="3"/>
  <c r="D8599" i="3"/>
  <c r="D8503" i="3"/>
  <c r="D8439" i="3"/>
  <c r="D8375" i="3"/>
  <c r="D8311" i="3"/>
  <c r="D8247" i="3"/>
  <c r="D8183" i="3"/>
  <c r="D8119" i="3"/>
  <c r="D8055" i="3"/>
  <c r="D7991" i="3"/>
  <c r="D7927" i="3"/>
  <c r="D7863" i="3"/>
  <c r="D7799" i="3"/>
  <c r="D7735" i="3"/>
  <c r="D7671" i="3"/>
  <c r="D7607" i="3"/>
  <c r="D7543" i="3"/>
  <c r="D7479" i="3"/>
  <c r="D7415" i="3"/>
  <c r="D7351" i="3"/>
  <c r="D7287" i="3"/>
  <c r="D7223" i="3"/>
  <c r="D7159" i="3"/>
  <c r="D8735" i="3"/>
  <c r="E8702" i="3"/>
  <c r="E8638" i="3"/>
  <c r="E8574" i="3"/>
  <c r="E8510" i="3"/>
  <c r="E8446" i="3"/>
  <c r="E8382" i="3"/>
  <c r="E8318" i="3"/>
  <c r="E8254" i="3"/>
  <c r="E8190" i="3"/>
  <c r="E8126" i="3"/>
  <c r="E8062" i="3"/>
  <c r="E7998" i="3"/>
  <c r="E7934" i="3"/>
  <c r="E7870" i="3"/>
  <c r="E7806" i="3"/>
  <c r="E7742" i="3"/>
  <c r="E7678" i="3"/>
  <c r="E7614" i="3"/>
  <c r="E7550" i="3"/>
  <c r="E7486" i="3"/>
  <c r="E7422" i="3"/>
  <c r="E7358" i="3"/>
  <c r="E7294" i="3"/>
  <c r="E7230" i="3"/>
  <c r="E7166" i="3"/>
  <c r="D7080" i="3"/>
  <c r="D7016" i="3"/>
  <c r="D6952" i="3"/>
  <c r="D6888" i="3"/>
  <c r="D6824" i="3"/>
  <c r="D6760" i="3"/>
  <c r="D6696" i="3"/>
  <c r="D6632" i="3"/>
  <c r="D6568" i="3"/>
  <c r="D6504" i="3"/>
  <c r="D6440" i="3"/>
  <c r="D6376" i="3"/>
  <c r="D6312" i="3"/>
  <c r="D6248" i="3"/>
  <c r="D6184" i="3"/>
  <c r="D6120" i="3"/>
  <c r="D6056" i="3"/>
  <c r="E5948" i="3"/>
  <c r="E5884" i="3"/>
  <c r="E5820" i="3"/>
  <c r="E5756" i="3"/>
  <c r="E5692" i="3"/>
  <c r="E5628" i="3"/>
  <c r="E5564" i="3"/>
  <c r="E5500" i="3"/>
  <c r="E5436" i="3"/>
  <c r="E5372" i="3"/>
  <c r="E5308" i="3"/>
  <c r="D7107" i="3"/>
  <c r="D7043" i="3"/>
  <c r="D6979" i="3"/>
  <c r="D6915" i="3"/>
  <c r="D6851" i="3"/>
  <c r="D6787" i="3"/>
  <c r="D6723" i="3"/>
  <c r="D6659" i="3"/>
  <c r="D6595" i="3"/>
  <c r="D6531" i="3"/>
  <c r="D6467" i="3"/>
  <c r="D6403" i="3"/>
  <c r="D6339" i="3"/>
  <c r="D6275" i="3"/>
  <c r="D6211" i="3"/>
  <c r="D6147" i="3"/>
  <c r="D6083" i="3"/>
  <c r="D6019" i="3"/>
  <c r="D5955" i="3"/>
  <c r="D5891" i="3"/>
  <c r="D5827" i="3"/>
  <c r="D5763" i="3"/>
  <c r="D5699" i="3"/>
  <c r="D5635" i="3"/>
  <c r="D5571" i="3"/>
  <c r="D5507" i="3"/>
  <c r="D5443" i="3"/>
  <c r="D5379" i="3"/>
  <c r="D5315" i="3"/>
  <c r="E5251" i="3"/>
  <c r="E5187" i="3"/>
  <c r="E5123" i="3"/>
  <c r="E5059" i="3"/>
  <c r="E4995" i="3"/>
  <c r="E4931" i="3"/>
  <c r="E4867" i="3"/>
  <c r="E4803" i="3"/>
  <c r="E4739" i="3"/>
  <c r="E4675" i="3"/>
  <c r="E4611" i="3"/>
  <c r="E4547" i="3"/>
  <c r="E4483" i="3"/>
  <c r="E4419" i="3"/>
  <c r="E4355" i="3"/>
  <c r="E4291" i="3"/>
  <c r="E4227" i="3"/>
  <c r="E4163" i="3"/>
  <c r="E4099" i="3"/>
  <c r="E4035" i="3"/>
  <c r="E3971" i="3"/>
  <c r="E3907" i="3"/>
  <c r="E3843" i="3"/>
  <c r="E3779" i="3"/>
  <c r="E3715" i="3"/>
  <c r="E3651" i="3"/>
  <c r="E3587" i="3"/>
  <c r="E3523" i="3"/>
  <c r="E3459" i="3"/>
  <c r="D5216" i="3"/>
  <c r="D5152" i="3"/>
  <c r="D5088" i="3"/>
  <c r="D5024" i="3"/>
  <c r="D4960" i="3"/>
  <c r="D4896" i="3"/>
  <c r="D4832" i="3"/>
  <c r="D4768" i="3"/>
  <c r="D4704" i="3"/>
  <c r="D4640" i="3"/>
  <c r="D4576" i="3"/>
  <c r="D4512" i="3"/>
  <c r="D4448" i="3"/>
  <c r="D4384" i="3"/>
  <c r="D4320" i="3"/>
  <c r="D4256" i="3"/>
  <c r="D4192" i="3"/>
  <c r="D4128" i="3"/>
  <c r="D4064" i="3"/>
  <c r="D4000" i="3"/>
  <c r="D3936" i="3"/>
  <c r="D3872" i="3"/>
  <c r="D3808" i="3"/>
  <c r="D3744" i="3"/>
  <c r="D3680" i="3"/>
  <c r="D3616" i="3"/>
  <c r="D3552" i="3"/>
  <c r="D3488" i="3"/>
  <c r="E3424" i="3"/>
  <c r="E3360" i="3"/>
  <c r="E3296" i="3"/>
  <c r="E3232" i="3"/>
  <c r="E3168" i="3"/>
  <c r="E3104" i="3"/>
  <c r="E3040" i="3"/>
  <c r="E2976" i="3"/>
  <c r="E2912" i="3"/>
  <c r="E2848" i="3"/>
  <c r="E2784" i="3"/>
  <c r="E2720" i="3"/>
  <c r="E2656" i="3"/>
  <c r="E2592" i="3"/>
  <c r="D3437" i="3"/>
  <c r="D3373" i="3"/>
  <c r="D3309" i="3"/>
  <c r="D3245" i="3"/>
  <c r="D3181" i="3"/>
  <c r="D3117" i="3"/>
  <c r="D3053" i="3"/>
  <c r="D2989" i="3"/>
  <c r="D2925" i="3"/>
  <c r="D2861" i="3"/>
  <c r="D2797" i="3"/>
  <c r="D2733" i="3"/>
  <c r="D2669" i="3"/>
  <c r="D2605" i="3"/>
  <c r="D2541" i="3"/>
  <c r="E2481" i="3"/>
  <c r="E2417" i="3"/>
  <c r="E2353" i="3"/>
  <c r="E2289" i="3"/>
  <c r="E2225" i="3"/>
  <c r="E2161" i="3"/>
  <c r="E2097" i="3"/>
  <c r="E2033" i="3"/>
  <c r="E1969" i="3"/>
  <c r="E1905" i="3"/>
  <c r="E1841" i="3"/>
  <c r="E1777" i="3"/>
  <c r="E1713" i="3"/>
  <c r="E1649" i="3"/>
  <c r="D2488" i="3"/>
  <c r="D2424" i="3"/>
  <c r="D2360" i="3"/>
  <c r="D2296" i="3"/>
  <c r="D2232" i="3"/>
  <c r="D2168" i="3"/>
  <c r="D2104" i="3"/>
  <c r="D2040" i="3"/>
  <c r="D1976" i="3"/>
  <c r="D1912" i="3"/>
  <c r="D1848" i="3"/>
  <c r="D1784" i="3"/>
  <c r="D1720" i="3"/>
  <c r="D1656" i="3"/>
  <c r="E1593" i="3"/>
  <c r="E1529" i="3"/>
  <c r="E1465" i="3"/>
  <c r="E1401" i="3"/>
  <c r="E1337" i="3"/>
  <c r="E1273" i="3"/>
  <c r="E1209" i="3"/>
  <c r="D1598" i="3"/>
  <c r="D1534" i="3"/>
  <c r="D1470" i="3"/>
  <c r="D1406" i="3"/>
  <c r="D1342" i="3"/>
  <c r="D1278" i="3"/>
  <c r="D1214" i="3"/>
  <c r="D1178" i="3"/>
  <c r="E1114" i="3"/>
  <c r="E1050" i="3"/>
  <c r="E986" i="3"/>
  <c r="E922" i="3"/>
  <c r="E858" i="3"/>
  <c r="E794" i="3"/>
  <c r="D1129" i="3"/>
  <c r="D1065" i="3"/>
  <c r="D1001" i="3"/>
  <c r="D937" i="3"/>
  <c r="D873" i="3"/>
  <c r="D809" i="3"/>
  <c r="E721" i="3"/>
  <c r="E708" i="3"/>
  <c r="E644" i="3"/>
  <c r="E580" i="3"/>
  <c r="D691" i="3"/>
  <c r="D627" i="3"/>
  <c r="D563" i="3"/>
  <c r="E498" i="3"/>
  <c r="E434" i="3"/>
  <c r="E370" i="3"/>
  <c r="D531" i="3"/>
  <c r="D467" i="3"/>
  <c r="D403" i="3"/>
  <c r="D339" i="3"/>
  <c r="E284" i="3"/>
  <c r="E220" i="3"/>
  <c r="D255" i="3"/>
  <c r="E190" i="3"/>
  <c r="D173" i="3"/>
  <c r="D5972" i="3"/>
  <c r="D5908" i="3"/>
  <c r="D5844" i="3"/>
  <c r="D5780" i="3"/>
  <c r="D5716" i="3"/>
  <c r="D5652" i="3"/>
  <c r="D5588" i="3"/>
  <c r="D5524" i="3"/>
  <c r="D5460" i="3"/>
  <c r="D5396" i="3"/>
  <c r="D5332" i="3"/>
  <c r="D5268" i="3"/>
  <c r="E7067" i="3"/>
  <c r="E7003" i="3"/>
  <c r="E6939" i="3"/>
  <c r="E6875" i="3"/>
  <c r="E6811" i="3"/>
  <c r="E6747" i="3"/>
  <c r="E6683" i="3"/>
  <c r="E6619" i="3"/>
  <c r="E6555" i="3"/>
  <c r="E6491" i="3"/>
  <c r="E6427" i="3"/>
  <c r="E6363" i="3"/>
  <c r="E6299" i="3"/>
  <c r="E6235" i="3"/>
  <c r="E6171" i="3"/>
  <c r="E6107" i="3"/>
  <c r="E6043" i="3"/>
  <c r="E5979" i="3"/>
  <c r="E5915" i="3"/>
  <c r="E5851" i="3"/>
  <c r="E5787" i="3"/>
  <c r="E5723" i="3"/>
  <c r="E5659" i="3"/>
  <c r="E5595" i="3"/>
  <c r="E5531" i="3"/>
  <c r="E5467" i="3"/>
  <c r="E5403" i="3"/>
  <c r="E5339" i="3"/>
  <c r="E5275" i="3"/>
  <c r="D5211" i="3"/>
  <c r="D5147" i="3"/>
  <c r="D5083" i="3"/>
  <c r="D5019" i="3"/>
  <c r="D4955" i="3"/>
  <c r="D4891" i="3"/>
  <c r="D4827" i="3"/>
  <c r="D4763" i="3"/>
  <c r="D4699" i="3"/>
  <c r="D4635" i="3"/>
  <c r="D4571" i="3"/>
  <c r="D4507" i="3"/>
  <c r="D4443" i="3"/>
  <c r="D4379" i="3"/>
  <c r="D4315" i="3"/>
  <c r="D4251" i="3"/>
  <c r="D4187" i="3"/>
  <c r="D4123" i="3"/>
  <c r="D4059" i="3"/>
  <c r="D3995" i="3"/>
  <c r="D3931" i="3"/>
  <c r="D3867" i="3"/>
  <c r="D3803" i="3"/>
  <c r="D3739" i="3"/>
  <c r="D3675" i="3"/>
  <c r="D3611" i="3"/>
  <c r="D3547" i="3"/>
  <c r="D3483" i="3"/>
  <c r="E5240" i="3"/>
  <c r="E5176" i="3"/>
  <c r="E5112" i="3"/>
  <c r="E5048" i="3"/>
  <c r="E4984" i="3"/>
  <c r="E4920" i="3"/>
  <c r="E4856" i="3"/>
  <c r="E4792" i="3"/>
  <c r="E4728" i="3"/>
  <c r="E4664" i="3"/>
  <c r="E4600" i="3"/>
  <c r="E4536" i="3"/>
  <c r="E4472" i="3"/>
  <c r="E4408" i="3"/>
  <c r="E4344" i="3"/>
  <c r="E4280" i="3"/>
  <c r="E4216" i="3"/>
  <c r="E4152" i="3"/>
  <c r="E4088" i="3"/>
  <c r="E4024" i="3"/>
  <c r="E3960" i="3"/>
  <c r="E3896" i="3"/>
  <c r="E3832" i="3"/>
  <c r="E3768" i="3"/>
  <c r="E3704" i="3"/>
  <c r="E3640" i="3"/>
  <c r="E3576" i="3"/>
  <c r="E3512" i="3"/>
  <c r="E3448" i="3"/>
  <c r="D3384" i="3"/>
  <c r="D3320" i="3"/>
  <c r="D3256" i="3"/>
  <c r="D3192" i="3"/>
  <c r="D3128" i="3"/>
  <c r="D3064" i="3"/>
  <c r="D3000" i="3"/>
  <c r="D2936" i="3"/>
  <c r="D2872" i="3"/>
  <c r="D2808" i="3"/>
  <c r="D2744" i="3"/>
  <c r="D2680" i="3"/>
  <c r="D2616" i="3"/>
  <c r="D2552" i="3"/>
  <c r="E3397" i="3"/>
  <c r="E3333" i="3"/>
  <c r="E3269" i="3"/>
  <c r="E3205" i="3"/>
  <c r="E3141" i="3"/>
  <c r="E3077" i="3"/>
  <c r="E3013" i="3"/>
  <c r="E2949" i="3"/>
  <c r="E2885" i="3"/>
  <c r="E2821" i="3"/>
  <c r="E2757" i="3"/>
  <c r="E2693" i="3"/>
  <c r="E2629" i="3"/>
  <c r="E2565" i="3"/>
  <c r="D2505" i="3"/>
  <c r="D2441" i="3"/>
  <c r="D2377" i="3"/>
  <c r="D2313" i="3"/>
  <c r="D2249" i="3"/>
  <c r="D2185" i="3"/>
  <c r="D2121" i="3"/>
  <c r="D2057" i="3"/>
  <c r="D1993" i="3"/>
  <c r="D1929" i="3"/>
  <c r="D1865" i="3"/>
  <c r="D1801" i="3"/>
  <c r="D1737" i="3"/>
  <c r="D1673" i="3"/>
  <c r="E2512" i="3"/>
  <c r="E2448" i="3"/>
  <c r="E2384" i="3"/>
  <c r="E2320" i="3"/>
  <c r="E2256" i="3"/>
  <c r="E2192" i="3"/>
  <c r="E2128" i="3"/>
  <c r="E2064" i="3"/>
  <c r="E2000" i="3"/>
  <c r="E1936" i="3"/>
  <c r="E1872" i="3"/>
  <c r="E1808" i="3"/>
  <c r="E1744" i="3"/>
  <c r="E1680" i="3"/>
  <c r="D1617" i="3"/>
  <c r="D1553" i="3"/>
  <c r="D1489" i="3"/>
  <c r="D1425" i="3"/>
  <c r="D1361" i="3"/>
  <c r="D1297" i="3"/>
  <c r="D1233" i="3"/>
  <c r="E1622" i="3"/>
  <c r="E1558" i="3"/>
  <c r="E1494" i="3"/>
  <c r="E1430" i="3"/>
  <c r="E1366" i="3"/>
  <c r="E1302" i="3"/>
  <c r="E1238" i="3"/>
  <c r="D1149" i="3"/>
  <c r="D1138" i="3"/>
  <c r="D1074" i="3"/>
  <c r="D1010" i="3"/>
  <c r="D946" i="3"/>
  <c r="D882" i="3"/>
  <c r="D818" i="3"/>
  <c r="D735" i="3"/>
  <c r="E1089" i="3"/>
  <c r="E1025" i="3"/>
  <c r="E961" i="3"/>
  <c r="E897" i="3"/>
  <c r="E833" i="3"/>
  <c r="D769" i="3"/>
  <c r="E732" i="3"/>
  <c r="D668" i="3"/>
  <c r="D604" i="3"/>
  <c r="E715" i="3"/>
  <c r="E651" i="3"/>
  <c r="E587" i="3"/>
  <c r="D522" i="3"/>
  <c r="D458" i="3"/>
  <c r="D394" i="3"/>
  <c r="D330" i="3"/>
  <c r="E491" i="3"/>
  <c r="E427" i="3"/>
  <c r="E363" i="3"/>
  <c r="D308" i="3"/>
  <c r="D244" i="3"/>
  <c r="E279" i="3"/>
  <c r="E215" i="3"/>
  <c r="D150" i="3"/>
  <c r="E165" i="3"/>
  <c r="E5840" i="3"/>
  <c r="E5776" i="3"/>
  <c r="E5712" i="3"/>
  <c r="E5648" i="3"/>
  <c r="E5584" i="3"/>
  <c r="E5520" i="3"/>
  <c r="E5456" i="3"/>
  <c r="E5392" i="3"/>
  <c r="E5328" i="3"/>
  <c r="E5264" i="3"/>
  <c r="D7063" i="3"/>
  <c r="D6999" i="3"/>
  <c r="D6935" i="3"/>
  <c r="D6871" i="3"/>
  <c r="D6807" i="3"/>
  <c r="D6743" i="3"/>
  <c r="D6679" i="3"/>
  <c r="D6615" i="3"/>
  <c r="D6551" i="3"/>
  <c r="D6487" i="3"/>
  <c r="D6423" i="3"/>
  <c r="D6359" i="3"/>
  <c r="D6295" i="3"/>
  <c r="D6231" i="3"/>
  <c r="D6167" i="3"/>
  <c r="D6103" i="3"/>
  <c r="D6039" i="3"/>
  <c r="D5975" i="3"/>
  <c r="D5911" i="3"/>
  <c r="D5847" i="3"/>
  <c r="D5783" i="3"/>
  <c r="D5719" i="3"/>
  <c r="D5655" i="3"/>
  <c r="D5591" i="3"/>
  <c r="D5527" i="3"/>
  <c r="D5463" i="3"/>
  <c r="D5399" i="3"/>
  <c r="D5335" i="3"/>
  <c r="D5271" i="3"/>
  <c r="E5207" i="3"/>
  <c r="E5143" i="3"/>
  <c r="E5079" i="3"/>
  <c r="E5015" i="3"/>
  <c r="E4951" i="3"/>
  <c r="E4887" i="3"/>
  <c r="E4823" i="3"/>
  <c r="E4759" i="3"/>
  <c r="E4695" i="3"/>
  <c r="E4631" i="3"/>
  <c r="E4567" i="3"/>
  <c r="E4503" i="3"/>
  <c r="E4439" i="3"/>
  <c r="E4375" i="3"/>
  <c r="E4311" i="3"/>
  <c r="E4247" i="3"/>
  <c r="E4183" i="3"/>
  <c r="E4119" i="3"/>
  <c r="E4055" i="3"/>
  <c r="E3991" i="3"/>
  <c r="E3927" i="3"/>
  <c r="E3863" i="3"/>
  <c r="E3799" i="3"/>
  <c r="E3735" i="3"/>
  <c r="E3671" i="3"/>
  <c r="E3607" i="3"/>
  <c r="E3543" i="3"/>
  <c r="E3479" i="3"/>
  <c r="D5236" i="3"/>
  <c r="D5172" i="3"/>
  <c r="D5108" i="3"/>
  <c r="D5044" i="3"/>
  <c r="D4980" i="3"/>
  <c r="D4916" i="3"/>
  <c r="D4852" i="3"/>
  <c r="D4788" i="3"/>
  <c r="D4724" i="3"/>
  <c r="D4660" i="3"/>
  <c r="D4596" i="3"/>
  <c r="D4532" i="3"/>
  <c r="D4468" i="3"/>
  <c r="D4404" i="3"/>
  <c r="D4340" i="3"/>
  <c r="D4276" i="3"/>
  <c r="D4212" i="3"/>
  <c r="D4148" i="3"/>
  <c r="D4084" i="3"/>
  <c r="D4020" i="3"/>
  <c r="D3956" i="3"/>
  <c r="D3892" i="3"/>
  <c r="D3828" i="3"/>
  <c r="D3764" i="3"/>
  <c r="D3700" i="3"/>
  <c r="D3636" i="3"/>
  <c r="D3572" i="3"/>
  <c r="D3508" i="3"/>
  <c r="D3444" i="3"/>
  <c r="E3380" i="3"/>
  <c r="E3316" i="3"/>
  <c r="E3252" i="3"/>
  <c r="E3188" i="3"/>
  <c r="E3124" i="3"/>
  <c r="E3060" i="3"/>
  <c r="E2996" i="3"/>
  <c r="E2932" i="3"/>
  <c r="E2868" i="3"/>
  <c r="E2804" i="3"/>
  <c r="E2740" i="3"/>
  <c r="E2676" i="3"/>
  <c r="E2612" i="3"/>
  <c r="E2548" i="3"/>
  <c r="D3393" i="3"/>
  <c r="D3329" i="3"/>
  <c r="D3265" i="3"/>
  <c r="D3201" i="3"/>
  <c r="D3137" i="3"/>
  <c r="D3073" i="3"/>
  <c r="D3009" i="3"/>
  <c r="D2945" i="3"/>
  <c r="D2881" i="3"/>
  <c r="D2817" i="3"/>
  <c r="D2753" i="3"/>
  <c r="D2689" i="3"/>
  <c r="D2625" i="3"/>
  <c r="D2561" i="3"/>
  <c r="E2501" i="3"/>
  <c r="E2437" i="3"/>
  <c r="E2373" i="3"/>
  <c r="E2309" i="3"/>
  <c r="E2245" i="3"/>
  <c r="E2181" i="3"/>
  <c r="E2117" i="3"/>
  <c r="E2053" i="3"/>
  <c r="E1989" i="3"/>
  <c r="E1925" i="3"/>
  <c r="E1861" i="3"/>
  <c r="E1797" i="3"/>
  <c r="E1733" i="3"/>
  <c r="E1669" i="3"/>
  <c r="D2508" i="3"/>
  <c r="D2444" i="3"/>
  <c r="D2380" i="3"/>
  <c r="D2316" i="3"/>
  <c r="D2252" i="3"/>
  <c r="D2188" i="3"/>
  <c r="D2124" i="3"/>
  <c r="D2060" i="3"/>
  <c r="D1996" i="3"/>
  <c r="D1932" i="3"/>
  <c r="D1868" i="3"/>
  <c r="D1804" i="3"/>
  <c r="D1740" i="3"/>
  <c r="D1676" i="3"/>
  <c r="E1613" i="3"/>
  <c r="E1549" i="3"/>
  <c r="E1485" i="3"/>
  <c r="E1421" i="3"/>
  <c r="E1357" i="3"/>
  <c r="E1293" i="3"/>
  <c r="E1229" i="3"/>
  <c r="D1618" i="3"/>
  <c r="D1554" i="3"/>
  <c r="D1490" i="3"/>
  <c r="D1426" i="3"/>
  <c r="D1362" i="3"/>
  <c r="D1298" i="3"/>
  <c r="D1234" i="3"/>
  <c r="D1198" i="3"/>
  <c r="E1134" i="3"/>
  <c r="E1070" i="3"/>
  <c r="E1006" i="3"/>
  <c r="E942" i="3"/>
  <c r="E878" i="3"/>
  <c r="E814" i="3"/>
  <c r="E727" i="3"/>
  <c r="D1085" i="3"/>
  <c r="D1021" i="3"/>
  <c r="D957" i="3"/>
  <c r="D893" i="3"/>
  <c r="D829" i="3"/>
  <c r="E761" i="3"/>
  <c r="D728" i="3"/>
  <c r="E664" i="3"/>
  <c r="E600" i="3"/>
  <c r="D711" i="3"/>
  <c r="D647" i="3"/>
  <c r="D583" i="3"/>
  <c r="E518" i="3"/>
  <c r="E454" i="3"/>
  <c r="E390" i="3"/>
  <c r="E326" i="3"/>
  <c r="D487" i="3"/>
  <c r="D423" i="3"/>
  <c r="D359" i="3"/>
  <c r="E304" i="3"/>
  <c r="E240" i="3"/>
  <c r="D275" i="3"/>
  <c r="E210" i="3"/>
  <c r="E146" i="3"/>
  <c r="D161" i="3"/>
  <c r="D5984" i="3"/>
  <c r="D5920" i="3"/>
  <c r="D5856" i="3"/>
  <c r="D5792" i="3"/>
  <c r="D5728" i="3"/>
  <c r="D5664" i="3"/>
  <c r="D5600" i="3"/>
  <c r="D5536" i="3"/>
  <c r="D5472" i="3"/>
  <c r="D5408" i="3"/>
  <c r="D5344" i="3"/>
  <c r="D5280" i="3"/>
  <c r="E7079" i="3"/>
  <c r="E7015" i="3"/>
  <c r="E6951" i="3"/>
  <c r="E6887" i="3"/>
  <c r="E6823" i="3"/>
  <c r="E6759" i="3"/>
  <c r="E6695" i="3"/>
  <c r="E6631" i="3"/>
  <c r="E6567" i="3"/>
  <c r="E6503" i="3"/>
  <c r="E6439" i="3"/>
  <c r="E6375" i="3"/>
  <c r="E6311" i="3"/>
  <c r="E6247" i="3"/>
  <c r="E6183" i="3"/>
  <c r="E6119" i="3"/>
  <c r="E6055" i="3"/>
  <c r="E5991" i="3"/>
  <c r="E5927" i="3"/>
  <c r="E5863" i="3"/>
  <c r="E5799" i="3"/>
  <c r="E5735" i="3"/>
  <c r="E5671" i="3"/>
  <c r="E5607" i="3"/>
  <c r="E5543" i="3"/>
  <c r="E5479" i="3"/>
  <c r="E5415" i="3"/>
  <c r="E5351" i="3"/>
  <c r="E5287" i="3"/>
  <c r="D5223" i="3"/>
  <c r="D5159" i="3"/>
  <c r="D5095" i="3"/>
  <c r="D5031" i="3"/>
  <c r="D4967" i="3"/>
  <c r="D4903" i="3"/>
  <c r="D4839" i="3"/>
  <c r="D4775" i="3"/>
  <c r="D4711" i="3"/>
  <c r="D4647" i="3"/>
  <c r="D4583" i="3"/>
  <c r="D4519" i="3"/>
  <c r="D4455" i="3"/>
  <c r="D4391" i="3"/>
  <c r="D4327" i="3"/>
  <c r="D4263" i="3"/>
  <c r="D4199" i="3"/>
  <c r="D4135" i="3"/>
  <c r="D4071" i="3"/>
  <c r="D4007" i="3"/>
  <c r="D3943" i="3"/>
  <c r="D3879" i="3"/>
  <c r="D3815" i="3"/>
  <c r="D3751" i="3"/>
  <c r="D3687" i="3"/>
  <c r="D3623" i="3"/>
  <c r="D3559" i="3"/>
  <c r="D3495" i="3"/>
  <c r="E5252" i="3"/>
  <c r="E5188" i="3"/>
  <c r="E5124" i="3"/>
  <c r="E5060" i="3"/>
  <c r="E4996" i="3"/>
  <c r="E4932" i="3"/>
  <c r="E4868" i="3"/>
  <c r="E4804" i="3"/>
  <c r="E4740" i="3"/>
  <c r="E4676" i="3"/>
  <c r="E4612" i="3"/>
  <c r="E4548" i="3"/>
  <c r="E4484" i="3"/>
  <c r="E4420" i="3"/>
  <c r="E4356" i="3"/>
  <c r="E4292" i="3"/>
  <c r="E4228" i="3"/>
  <c r="E4164" i="3"/>
  <c r="E4100" i="3"/>
  <c r="E4036" i="3"/>
  <c r="E3972" i="3"/>
  <c r="E3908" i="3"/>
  <c r="E3844" i="3"/>
  <c r="E3780" i="3"/>
  <c r="E3716" i="3"/>
  <c r="E3652" i="3"/>
  <c r="E3588" i="3"/>
  <c r="E3524" i="3"/>
  <c r="E3460" i="3"/>
  <c r="D3396" i="3"/>
  <c r="D3332" i="3"/>
  <c r="D3268" i="3"/>
  <c r="D3204" i="3"/>
  <c r="D3140" i="3"/>
  <c r="D3076" i="3"/>
  <c r="D3012" i="3"/>
  <c r="D2948" i="3"/>
  <c r="D2884" i="3"/>
  <c r="D2820" i="3"/>
  <c r="D2756" i="3"/>
  <c r="D2692" i="3"/>
  <c r="D2628" i="3"/>
  <c r="D2564" i="3"/>
  <c r="E3409" i="3"/>
  <c r="E3345" i="3"/>
  <c r="E3281" i="3"/>
  <c r="E3217" i="3"/>
  <c r="E3153" i="3"/>
  <c r="E3089" i="3"/>
  <c r="E3025" i="3"/>
  <c r="E2961" i="3"/>
  <c r="E2897" i="3"/>
  <c r="E2833" i="3"/>
  <c r="E2769" i="3"/>
  <c r="E2705" i="3"/>
  <c r="E2641" i="3"/>
  <c r="E2577" i="3"/>
  <c r="D2517" i="3"/>
  <c r="D2453" i="3"/>
  <c r="D2389" i="3"/>
  <c r="D2325" i="3"/>
  <c r="D2261" i="3"/>
  <c r="D2197" i="3"/>
  <c r="D2133" i="3"/>
  <c r="D2069" i="3"/>
  <c r="D2005" i="3"/>
  <c r="D1941" i="3"/>
  <c r="D1877" i="3"/>
  <c r="D1813" i="3"/>
  <c r="D1749" i="3"/>
  <c r="D1685" i="3"/>
  <c r="E2524" i="3"/>
  <c r="E2460" i="3"/>
  <c r="E2396" i="3"/>
  <c r="E2332" i="3"/>
  <c r="E2268" i="3"/>
  <c r="E2204" i="3"/>
  <c r="E2140" i="3"/>
  <c r="E2076" i="3"/>
  <c r="E2012" i="3"/>
  <c r="E1948" i="3"/>
  <c r="E1884" i="3"/>
  <c r="E1820" i="3"/>
  <c r="E1756" i="3"/>
  <c r="E1692" i="3"/>
  <c r="E1628" i="3"/>
  <c r="D1565" i="3"/>
  <c r="D1501" i="3"/>
  <c r="D1437" i="3"/>
  <c r="D1373" i="3"/>
  <c r="D1309" i="3"/>
  <c r="D1245" i="3"/>
  <c r="D1163" i="3"/>
  <c r="E1570" i="3"/>
  <c r="E1506" i="3"/>
  <c r="E1442" i="3"/>
  <c r="E1378" i="3"/>
  <c r="E1314" i="3"/>
  <c r="E1250" i="3"/>
  <c r="D1173" i="3"/>
  <c r="E1150" i="3"/>
  <c r="D1086" i="3"/>
  <c r="D1022" i="3"/>
  <c r="D958" i="3"/>
  <c r="D894" i="3"/>
  <c r="D830" i="3"/>
  <c r="D759" i="3"/>
  <c r="E1101" i="3"/>
  <c r="E1037" i="3"/>
  <c r="E973" i="3"/>
  <c r="E909" i="3"/>
  <c r="E845" i="3"/>
  <c r="E781" i="3"/>
  <c r="E744" i="3"/>
  <c r="D680" i="3"/>
  <c r="D616" i="3"/>
  <c r="D552" i="3"/>
  <c r="E663" i="3"/>
  <c r="E599" i="3"/>
  <c r="D534" i="3"/>
  <c r="D470" i="3"/>
  <c r="D406" i="3"/>
  <c r="D342" i="3"/>
  <c r="E503" i="3"/>
  <c r="E439" i="3"/>
  <c r="E375" i="3"/>
  <c r="E320" i="3"/>
  <c r="D256" i="3"/>
  <c r="E291" i="3"/>
  <c r="E227" i="3"/>
  <c r="D162" i="3"/>
  <c r="E209" i="3"/>
  <c r="D6084" i="3"/>
  <c r="E8715" i="3"/>
  <c r="E8709" i="3"/>
  <c r="E8581" i="3"/>
  <c r="E8453" i="3"/>
  <c r="E8325" i="3"/>
  <c r="E8197" i="3"/>
  <c r="E8069" i="3"/>
  <c r="E8005" i="3"/>
  <c r="E7941" i="3"/>
  <c r="E7877" i="3"/>
  <c r="E7813" i="3"/>
  <c r="E7749" i="3"/>
  <c r="E7685" i="3"/>
  <c r="E7621" i="3"/>
  <c r="E7557" i="3"/>
  <c r="E7493" i="3"/>
  <c r="E7429" i="3"/>
  <c r="E7365" i="3"/>
  <c r="E7301" i="3"/>
  <c r="E7237" i="3"/>
  <c r="E7173" i="3"/>
  <c r="E7092" i="3"/>
  <c r="D8716" i="3"/>
  <c r="D8652" i="3"/>
  <c r="D8588" i="3"/>
  <c r="D8524" i="3"/>
  <c r="D8460" i="3"/>
  <c r="D8396" i="3"/>
  <c r="D8332" i="3"/>
  <c r="D8268" i="3"/>
  <c r="D8204" i="3"/>
  <c r="D8140" i="3"/>
  <c r="D8076" i="3"/>
  <c r="D8012" i="3"/>
  <c r="D7948" i="3"/>
  <c r="D7884" i="3"/>
  <c r="D7820" i="3"/>
  <c r="D7756" i="3"/>
  <c r="D7692" i="3"/>
  <c r="D7628" i="3"/>
  <c r="D7564" i="3"/>
  <c r="D7500" i="3"/>
  <c r="D7436" i="3"/>
  <c r="D7372" i="3"/>
  <c r="D7308" i="3"/>
  <c r="D7244" i="3"/>
  <c r="D7180" i="3"/>
  <c r="E7106" i="3"/>
  <c r="E7030" i="3"/>
  <c r="E6966" i="3"/>
  <c r="E6902" i="3"/>
  <c r="E6838" i="3"/>
  <c r="E6774" i="3"/>
  <c r="E6710" i="3"/>
  <c r="E6646" i="3"/>
  <c r="E6582" i="3"/>
  <c r="E6518" i="3"/>
  <c r="E6454" i="3"/>
  <c r="E6390" i="3"/>
  <c r="E6326" i="3"/>
  <c r="E6262" i="3"/>
  <c r="E6198" i="3"/>
  <c r="E6134" i="3"/>
  <c r="E6070" i="3"/>
  <c r="E6006" i="3"/>
  <c r="E5942" i="3"/>
  <c r="E5878" i="3"/>
  <c r="E5814" i="3"/>
  <c r="E5750" i="3"/>
  <c r="E5686" i="3"/>
  <c r="E5622" i="3"/>
  <c r="E5558" i="3"/>
  <c r="E5494" i="3"/>
  <c r="E5430" i="3"/>
  <c r="E5366" i="3"/>
  <c r="E5302" i="3"/>
  <c r="D7101" i="3"/>
  <c r="D7037" i="3"/>
  <c r="D6973" i="3"/>
  <c r="D6909" i="3"/>
  <c r="D6845" i="3"/>
  <c r="D6781" i="3"/>
  <c r="D6717" i="3"/>
  <c r="D6653" i="3"/>
  <c r="D6589" i="3"/>
  <c r="D6525" i="3"/>
  <c r="D6461" i="3"/>
  <c r="D6397" i="3"/>
  <c r="D6333" i="3"/>
  <c r="D6269" i="3"/>
  <c r="D6205" i="3"/>
  <c r="D6141" i="3"/>
  <c r="D6077" i="3"/>
  <c r="D6013" i="3"/>
  <c r="D5949" i="3"/>
  <c r="D5885" i="3"/>
  <c r="D5821" i="3"/>
  <c r="D5757" i="3"/>
  <c r="D5693" i="3"/>
  <c r="D5629" i="3"/>
  <c r="D5565" i="3"/>
  <c r="D5501" i="3"/>
  <c r="D5437" i="3"/>
  <c r="D5373" i="3"/>
  <c r="D5309" i="3"/>
  <c r="E5245" i="3"/>
  <c r="E5181" i="3"/>
  <c r="E5117" i="3"/>
  <c r="E5053" i="3"/>
  <c r="E4989" i="3"/>
  <c r="E4925" i="3"/>
  <c r="E4861" i="3"/>
  <c r="E4797" i="3"/>
  <c r="E4733" i="3"/>
  <c r="E4669" i="3"/>
  <c r="E4605" i="3"/>
  <c r="E4541" i="3"/>
  <c r="E4477" i="3"/>
  <c r="E4413" i="3"/>
  <c r="E4349" i="3"/>
  <c r="E4285" i="3"/>
  <c r="E4221" i="3"/>
  <c r="E4157" i="3"/>
  <c r="E4093" i="3"/>
  <c r="E4029" i="3"/>
  <c r="E3965" i="3"/>
  <c r="E3901" i="3"/>
  <c r="E3837" i="3"/>
  <c r="E3773" i="3"/>
  <c r="E3709" i="3"/>
  <c r="E3645" i="3"/>
  <c r="E3581" i="3"/>
  <c r="E3517" i="3"/>
  <c r="E3453" i="3"/>
  <c r="D5210" i="3"/>
  <c r="D5146" i="3"/>
  <c r="D5082" i="3"/>
  <c r="D5018" i="3"/>
  <c r="D4954" i="3"/>
  <c r="D4890" i="3"/>
  <c r="D4826" i="3"/>
  <c r="D4762" i="3"/>
  <c r="D4698" i="3"/>
  <c r="D4634" i="3"/>
  <c r="D4570" i="3"/>
  <c r="D4506" i="3"/>
  <c r="D4442" i="3"/>
  <c r="D4378" i="3"/>
  <c r="D4314" i="3"/>
  <c r="D4250" i="3"/>
  <c r="D4186" i="3"/>
  <c r="D4122" i="3"/>
  <c r="D4058" i="3"/>
  <c r="D3994" i="3"/>
  <c r="D3930" i="3"/>
  <c r="D3866" i="3"/>
  <c r="D3802" i="3"/>
  <c r="D3738" i="3"/>
  <c r="D3674" i="3"/>
  <c r="D3610" i="3"/>
  <c r="D3546" i="3"/>
  <c r="D3482" i="3"/>
  <c r="E3418" i="3"/>
  <c r="E3354" i="3"/>
  <c r="E3290" i="3"/>
  <c r="E3226" i="3"/>
  <c r="E3162" i="3"/>
  <c r="E3098" i="3"/>
  <c r="E3034" i="3"/>
  <c r="E2970" i="3"/>
  <c r="E2906" i="3"/>
  <c r="E2842" i="3"/>
  <c r="E2778" i="3"/>
  <c r="E2714" i="3"/>
  <c r="E2650" i="3"/>
  <c r="E2586" i="3"/>
  <c r="D3431" i="3"/>
  <c r="D3367" i="3"/>
  <c r="D3303" i="3"/>
  <c r="D3239" i="3"/>
  <c r="D3175" i="3"/>
  <c r="D3111" i="3"/>
  <c r="D3047" i="3"/>
  <c r="D2983" i="3"/>
  <c r="D2919" i="3"/>
  <c r="D2855" i="3"/>
  <c r="D2791" i="3"/>
  <c r="D2727" i="3"/>
  <c r="D2663" i="3"/>
  <c r="D2599" i="3"/>
  <c r="E2534" i="3"/>
  <c r="E2475" i="3"/>
  <c r="E2411" i="3"/>
  <c r="E2347" i="3"/>
  <c r="E2283" i="3"/>
  <c r="E2219" i="3"/>
  <c r="E2155" i="3"/>
  <c r="E2091" i="3"/>
  <c r="E2027" i="3"/>
  <c r="E1963" i="3"/>
  <c r="E1899" i="3"/>
  <c r="E1835" i="3"/>
  <c r="E1771" i="3"/>
  <c r="E1707" i="3"/>
  <c r="E1643" i="3"/>
  <c r="D2482" i="3"/>
  <c r="D2418" i="3"/>
  <c r="D2354" i="3"/>
  <c r="D2290" i="3"/>
  <c r="D2226" i="3"/>
  <c r="D2162" i="3"/>
  <c r="D2098" i="3"/>
  <c r="D2034" i="3"/>
  <c r="D1970" i="3"/>
  <c r="D1906" i="3"/>
  <c r="D1842" i="3"/>
  <c r="D1778" i="3"/>
  <c r="D1714" i="3"/>
  <c r="D1650" i="3"/>
  <c r="E1587" i="3"/>
  <c r="E1523" i="3"/>
  <c r="E1459" i="3"/>
  <c r="E1395" i="3"/>
  <c r="E1331" i="3"/>
  <c r="E1267" i="3"/>
  <c r="E1203" i="3"/>
  <c r="D1592" i="3"/>
  <c r="D1528" i="3"/>
  <c r="D1464" i="3"/>
  <c r="D1400" i="3"/>
  <c r="D1336" i="3"/>
  <c r="D1272" i="3"/>
  <c r="D1208" i="3"/>
  <c r="D1172" i="3"/>
  <c r="E1108" i="3"/>
  <c r="E1044" i="3"/>
  <c r="E980" i="3"/>
  <c r="E916" i="3"/>
  <c r="E852" i="3"/>
  <c r="E788" i="3"/>
  <c r="D1123" i="3"/>
  <c r="D1059" i="3"/>
  <c r="D995" i="3"/>
  <c r="D931" i="3"/>
  <c r="D867" i="3"/>
  <c r="D803" i="3"/>
  <c r="D766" i="3"/>
  <c r="E702" i="3"/>
  <c r="E638" i="3"/>
  <c r="E574" i="3"/>
  <c r="D685" i="3"/>
  <c r="D621" i="3"/>
  <c r="D557" i="3"/>
  <c r="E492" i="3"/>
  <c r="E428" i="3"/>
  <c r="E364" i="3"/>
  <c r="D525" i="3"/>
  <c r="D461" i="3"/>
  <c r="D397" i="3"/>
  <c r="D333" i="3"/>
  <c r="E278" i="3"/>
  <c r="E214" i="3"/>
  <c r="D249" i="3"/>
  <c r="E184" i="3"/>
  <c r="D199" i="3"/>
  <c r="E8647" i="3"/>
  <c r="E8527" i="3"/>
  <c r="E8463" i="3"/>
  <c r="E8399" i="3"/>
  <c r="E8335" i="3"/>
  <c r="E8271" i="3"/>
  <c r="E8207" i="3"/>
  <c r="E8143" i="3"/>
  <c r="E8079" i="3"/>
  <c r="E8015" i="3"/>
  <c r="E7951" i="3"/>
  <c r="E7887" i="3"/>
  <c r="E7823" i="3"/>
  <c r="E7759" i="3"/>
  <c r="E7695" i="3"/>
  <c r="E7631" i="3"/>
  <c r="E7567" i="3"/>
  <c r="E7503" i="3"/>
  <c r="E7439" i="3"/>
  <c r="E7375" i="3"/>
  <c r="E7311" i="3"/>
  <c r="E7247" i="3"/>
  <c r="E7183" i="3"/>
  <c r="E7112" i="3"/>
  <c r="D8726" i="3"/>
  <c r="D8662" i="3"/>
  <c r="D8598" i="3"/>
  <c r="D8534" i="3"/>
  <c r="D8470" i="3"/>
  <c r="D8406" i="3"/>
  <c r="D8342" i="3"/>
  <c r="D8278" i="3"/>
  <c r="D8214" i="3"/>
  <c r="D8150" i="3"/>
  <c r="D8086" i="3"/>
  <c r="D8022" i="3"/>
  <c r="D7958" i="3"/>
  <c r="D7894" i="3"/>
  <c r="D7830" i="3"/>
  <c r="D7766" i="3"/>
  <c r="D7702" i="3"/>
  <c r="D7638" i="3"/>
  <c r="D7574" i="3"/>
  <c r="D7510" i="3"/>
  <c r="D7446" i="3"/>
  <c r="D7382" i="3"/>
  <c r="D7318" i="3"/>
  <c r="D7254" i="3"/>
  <c r="D7190" i="3"/>
  <c r="D7126" i="3"/>
  <c r="E7040" i="3"/>
  <c r="E6976" i="3"/>
  <c r="E6912" i="3"/>
  <c r="E6848" i="3"/>
  <c r="E6784" i="3"/>
  <c r="E6720" i="3"/>
  <c r="E6656" i="3"/>
  <c r="E6592" i="3"/>
  <c r="E6528" i="3"/>
  <c r="E6464" i="3"/>
  <c r="E6400" i="3"/>
  <c r="E6336" i="3"/>
  <c r="E6272" i="3"/>
  <c r="E6208" i="3"/>
  <c r="E6144" i="3"/>
  <c r="E6080" i="3"/>
  <c r="E6016" i="3"/>
  <c r="D8691" i="3"/>
  <c r="D8563" i="3"/>
  <c r="D8697" i="3"/>
  <c r="D8633" i="3"/>
  <c r="D8569" i="3"/>
  <c r="D8505" i="3"/>
  <c r="D8441" i="3"/>
  <c r="D8377" i="3"/>
  <c r="D8313" i="3"/>
  <c r="D8249" i="3"/>
  <c r="D8185" i="3"/>
  <c r="D8121" i="3"/>
  <c r="D8057" i="3"/>
  <c r="D7993" i="3"/>
  <c r="D7929" i="3"/>
  <c r="D7865" i="3"/>
  <c r="D7801" i="3"/>
  <c r="D7737" i="3"/>
  <c r="D7673" i="3"/>
  <c r="D7609" i="3"/>
  <c r="D7545" i="3"/>
  <c r="D7481" i="3"/>
  <c r="D7417" i="3"/>
  <c r="D7353" i="3"/>
  <c r="D7289" i="3"/>
  <c r="D7225" i="3"/>
  <c r="D7161" i="3"/>
  <c r="D8741" i="3"/>
  <c r="E8704" i="3"/>
  <c r="E8640" i="3"/>
  <c r="E8576" i="3"/>
  <c r="E8512" i="3"/>
  <c r="E8448" i="3"/>
  <c r="E8384" i="3"/>
  <c r="E8320" i="3"/>
  <c r="E8256" i="3"/>
  <c r="E8192" i="3"/>
  <c r="E8128" i="3"/>
  <c r="E8064" i="3"/>
  <c r="E8000" i="3"/>
  <c r="E7936" i="3"/>
  <c r="E7872" i="3"/>
  <c r="E7808" i="3"/>
  <c r="E7744" i="3"/>
  <c r="E7680" i="3"/>
  <c r="E7616" i="3"/>
  <c r="E7552" i="3"/>
  <c r="E7488" i="3"/>
  <c r="E7424" i="3"/>
  <c r="E7360" i="3"/>
  <c r="E7296" i="3"/>
  <c r="E7232" i="3"/>
  <c r="E7168" i="3"/>
  <c r="D7082" i="3"/>
  <c r="D7018" i="3"/>
  <c r="D6954" i="3"/>
  <c r="D6890" i="3"/>
  <c r="D6826" i="3"/>
  <c r="D6762" i="3"/>
  <c r="D6698" i="3"/>
  <c r="D6634" i="3"/>
  <c r="D6570" i="3"/>
  <c r="D6506" i="3"/>
  <c r="D6442" i="3"/>
  <c r="D6378" i="3"/>
  <c r="D6314" i="3"/>
  <c r="D6250" i="3"/>
  <c r="D6186" i="3"/>
  <c r="D6122" i="3"/>
  <c r="D6058" i="3"/>
  <c r="D5994" i="3"/>
  <c r="D5930" i="3"/>
  <c r="D5866" i="3"/>
  <c r="D5802" i="3"/>
  <c r="D5738" i="3"/>
  <c r="D5674" i="3"/>
  <c r="D5610" i="3"/>
  <c r="D5546" i="3"/>
  <c r="D5482" i="3"/>
  <c r="D5418" i="3"/>
  <c r="D5354" i="3"/>
  <c r="D5290" i="3"/>
  <c r="E7089" i="3"/>
  <c r="E7025" i="3"/>
  <c r="E6961" i="3"/>
  <c r="E6897" i="3"/>
  <c r="E6833" i="3"/>
  <c r="E6769" i="3"/>
  <c r="E6705" i="3"/>
  <c r="E6641" i="3"/>
  <c r="E6577" i="3"/>
  <c r="E6513" i="3"/>
  <c r="E6449" i="3"/>
  <c r="E6385" i="3"/>
  <c r="E6321" i="3"/>
  <c r="E6257" i="3"/>
  <c r="E6193" i="3"/>
  <c r="E6129" i="3"/>
  <c r="E6065" i="3"/>
  <c r="E6001" i="3"/>
  <c r="E5937" i="3"/>
  <c r="E5873" i="3"/>
  <c r="E5809" i="3"/>
  <c r="E5745" i="3"/>
  <c r="E5681" i="3"/>
  <c r="E5617" i="3"/>
  <c r="E5553" i="3"/>
  <c r="E5489" i="3"/>
  <c r="E5425" i="3"/>
  <c r="E5361" i="3"/>
  <c r="E5297" i="3"/>
  <c r="D5233" i="3"/>
  <c r="D5169" i="3"/>
  <c r="D5105" i="3"/>
  <c r="D5041" i="3"/>
  <c r="D4977" i="3"/>
  <c r="D4913" i="3"/>
  <c r="D4849" i="3"/>
  <c r="D4785" i="3"/>
  <c r="D4721" i="3"/>
  <c r="D4657" i="3"/>
  <c r="D4593" i="3"/>
  <c r="D4529" i="3"/>
  <c r="D4465" i="3"/>
  <c r="D4401" i="3"/>
  <c r="D4337" i="3"/>
  <c r="D4273" i="3"/>
  <c r="D4209" i="3"/>
  <c r="D4145" i="3"/>
  <c r="D4081" i="3"/>
  <c r="D4017" i="3"/>
  <c r="D3953" i="3"/>
  <c r="D3889" i="3"/>
  <c r="D3825" i="3"/>
  <c r="D3761" i="3"/>
  <c r="D3697" i="3"/>
  <c r="D3633" i="3"/>
  <c r="D3569" i="3"/>
  <c r="D3505" i="3"/>
  <c r="D5262" i="3"/>
  <c r="E5198" i="3"/>
  <c r="E5134" i="3"/>
  <c r="E5070" i="3"/>
  <c r="E5006" i="3"/>
  <c r="E4942" i="3"/>
  <c r="E4878" i="3"/>
  <c r="E4814" i="3"/>
  <c r="E4750" i="3"/>
  <c r="E4686" i="3"/>
  <c r="E4622" i="3"/>
  <c r="E4558" i="3"/>
  <c r="E4494" i="3"/>
  <c r="E4430" i="3"/>
  <c r="E4366" i="3"/>
  <c r="E4302" i="3"/>
  <c r="E4238" i="3"/>
  <c r="E4174" i="3"/>
  <c r="E4110" i="3"/>
  <c r="E4046" i="3"/>
  <c r="E3982" i="3"/>
  <c r="E3918" i="3"/>
  <c r="E3854" i="3"/>
  <c r="E3790" i="3"/>
  <c r="E3726" i="3"/>
  <c r="E3662" i="3"/>
  <c r="E3598" i="3"/>
  <c r="E3534" i="3"/>
  <c r="E3470" i="3"/>
  <c r="D3406" i="3"/>
  <c r="D3342" i="3"/>
  <c r="D3278" i="3"/>
  <c r="D3214" i="3"/>
  <c r="D3150" i="3"/>
  <c r="D3086" i="3"/>
  <c r="D3022" i="3"/>
  <c r="D2958" i="3"/>
  <c r="D2894" i="3"/>
  <c r="D2830" i="3"/>
  <c r="D2766" i="3"/>
  <c r="D2702" i="3"/>
  <c r="D2638" i="3"/>
  <c r="D2574" i="3"/>
  <c r="E3419" i="3"/>
  <c r="E3355" i="3"/>
  <c r="E3291" i="3"/>
  <c r="E3227" i="3"/>
  <c r="E3163" i="3"/>
  <c r="E3099" i="3"/>
  <c r="E3035" i="3"/>
  <c r="E2971" i="3"/>
  <c r="E2907" i="3"/>
  <c r="E2843" i="3"/>
  <c r="E2779" i="3"/>
  <c r="E2715" i="3"/>
  <c r="E2651" i="3"/>
  <c r="E2587" i="3"/>
  <c r="D2527" i="3"/>
  <c r="D2463" i="3"/>
  <c r="D2399" i="3"/>
  <c r="D2335" i="3"/>
  <c r="D2271" i="3"/>
  <c r="D2207" i="3"/>
  <c r="D2143" i="3"/>
  <c r="D2079" i="3"/>
  <c r="D2015" i="3"/>
  <c r="D1951" i="3"/>
  <c r="D1887" i="3"/>
  <c r="D1823" i="3"/>
  <c r="D1759" i="3"/>
  <c r="D1695" i="3"/>
  <c r="D1631" i="3"/>
  <c r="E2470" i="3"/>
  <c r="E2406" i="3"/>
  <c r="E2342" i="3"/>
  <c r="E2278" i="3"/>
  <c r="E2214" i="3"/>
  <c r="E2150" i="3"/>
  <c r="E2086" i="3"/>
  <c r="E2022" i="3"/>
  <c r="E1958" i="3"/>
  <c r="E1894" i="3"/>
  <c r="E1830" i="3"/>
  <c r="E1766" i="3"/>
  <c r="E1702" i="3"/>
  <c r="E1638" i="3"/>
  <c r="D1575" i="3"/>
  <c r="D1511" i="3"/>
  <c r="D1447" i="3"/>
  <c r="D1383" i="3"/>
  <c r="D1319" i="3"/>
  <c r="D1255" i="3"/>
  <c r="D1183" i="3"/>
  <c r="E1580" i="3"/>
  <c r="E1516" i="3"/>
  <c r="E1452" i="3"/>
  <c r="E1388" i="3"/>
  <c r="E1324" i="3"/>
  <c r="E1260" i="3"/>
  <c r="D1193" i="3"/>
  <c r="E1160" i="3"/>
  <c r="D1096" i="3"/>
  <c r="D1032" i="3"/>
  <c r="D968" i="3"/>
  <c r="D904" i="3"/>
  <c r="D840" i="3"/>
  <c r="D776" i="3"/>
  <c r="E1111" i="3"/>
  <c r="E1047" i="3"/>
  <c r="E983" i="3"/>
  <c r="E919" i="3"/>
  <c r="E855" i="3"/>
  <c r="E791" i="3"/>
  <c r="E754" i="3"/>
  <c r="D690" i="3"/>
  <c r="D626" i="3"/>
  <c r="D562" i="3"/>
  <c r="E673" i="3"/>
  <c r="E609" i="3"/>
  <c r="E545" i="3"/>
  <c r="D480" i="3"/>
  <c r="D416" i="3"/>
  <c r="D352" i="3"/>
  <c r="E513" i="3"/>
  <c r="E449" i="3"/>
  <c r="E385" i="3"/>
  <c r="D319" i="3"/>
  <c r="D266" i="3"/>
  <c r="E301" i="3"/>
  <c r="E237" i="3"/>
  <c r="D172" i="3"/>
  <c r="E187" i="3"/>
  <c r="D8671" i="3"/>
  <c r="D8543" i="3"/>
  <c r="D8475" i="3"/>
  <c r="D8411" i="3"/>
  <c r="D8347" i="3"/>
  <c r="D8283" i="3"/>
  <c r="D8219" i="3"/>
  <c r="D8155" i="3"/>
  <c r="D8091" i="3"/>
  <c r="D8027" i="3"/>
  <c r="D7963" i="3"/>
  <c r="D7899" i="3"/>
  <c r="D7835" i="3"/>
  <c r="D7771" i="3"/>
  <c r="D7707" i="3"/>
  <c r="D7643" i="3"/>
  <c r="D7579" i="3"/>
  <c r="D7515" i="3"/>
  <c r="D7451" i="3"/>
  <c r="D7387" i="3"/>
  <c r="D7323" i="3"/>
  <c r="D7259" i="3"/>
  <c r="D7195" i="3"/>
  <c r="D7131" i="3"/>
  <c r="E8738" i="3"/>
  <c r="E8674" i="3"/>
  <c r="E8610" i="3"/>
  <c r="E8546" i="3"/>
  <c r="E8482" i="3"/>
  <c r="E8418" i="3"/>
  <c r="E8354" i="3"/>
  <c r="E8290" i="3"/>
  <c r="E8226" i="3"/>
  <c r="E8162" i="3"/>
  <c r="E8098" i="3"/>
  <c r="E8034" i="3"/>
  <c r="E7970" i="3"/>
  <c r="E7906" i="3"/>
  <c r="E7842" i="3"/>
  <c r="E7778" i="3"/>
  <c r="E7714" i="3"/>
  <c r="E7650" i="3"/>
  <c r="E7586" i="3"/>
  <c r="E7522" i="3"/>
  <c r="E7458" i="3"/>
  <c r="E7394" i="3"/>
  <c r="E7330" i="3"/>
  <c r="E7266" i="3"/>
  <c r="E7202" i="3"/>
  <c r="E7138" i="3"/>
  <c r="D7052" i="3"/>
  <c r="D6988" i="3"/>
  <c r="D6924" i="3"/>
  <c r="D6860" i="3"/>
  <c r="D6796" i="3"/>
  <c r="D6732" i="3"/>
  <c r="D6668" i="3"/>
  <c r="D6604" i="3"/>
  <c r="D6540" i="3"/>
  <c r="D6476" i="3"/>
  <c r="D6412" i="3"/>
  <c r="D6348" i="3"/>
  <c r="D6284" i="3"/>
  <c r="D6220" i="3"/>
  <c r="D6156" i="3"/>
  <c r="E8723" i="3"/>
  <c r="E8595" i="3"/>
  <c r="E8713" i="3"/>
  <c r="E8649" i="3"/>
  <c r="E8585" i="3"/>
  <c r="E8521" i="3"/>
  <c r="E8457" i="3"/>
  <c r="E8393" i="3"/>
  <c r="E8329" i="3"/>
  <c r="E8265" i="3"/>
  <c r="E8201" i="3"/>
  <c r="E8137" i="3"/>
  <c r="E8073" i="3"/>
  <c r="E8009" i="3"/>
  <c r="E7945" i="3"/>
  <c r="E7881" i="3"/>
  <c r="E7817" i="3"/>
  <c r="E7753" i="3"/>
  <c r="E7689" i="3"/>
  <c r="E7625" i="3"/>
  <c r="E7561" i="3"/>
  <c r="E7497" i="3"/>
  <c r="E7433" i="3"/>
  <c r="E7369" i="3"/>
  <c r="E7305" i="3"/>
  <c r="E7241" i="3"/>
  <c r="E7177" i="3"/>
  <c r="E7100" i="3"/>
  <c r="D8720" i="3"/>
  <c r="A8720" i="6" s="1"/>
  <c r="D8656" i="3"/>
  <c r="A8656" i="6" s="1"/>
  <c r="D8592" i="3"/>
  <c r="A8592" i="6" s="1"/>
  <c r="D8528" i="3"/>
  <c r="A8528" i="6" s="1"/>
  <c r="D8464" i="3"/>
  <c r="A8464" i="6" s="1"/>
  <c r="D8400" i="3"/>
  <c r="A8400" i="6" s="1"/>
  <c r="D8336" i="3"/>
  <c r="A8336" i="6" s="1"/>
  <c r="D8272" i="3"/>
  <c r="A8272" i="6" s="1"/>
  <c r="D8208" i="3"/>
  <c r="A8208" i="6" s="1"/>
  <c r="D8144" i="3"/>
  <c r="A8144" i="6" s="1"/>
  <c r="D8080" i="3"/>
  <c r="A8080" i="6" s="1"/>
  <c r="D8016" i="3"/>
  <c r="A8016" i="6" s="1"/>
  <c r="D7952" i="3"/>
  <c r="A7952" i="6" s="1"/>
  <c r="D7888" i="3"/>
  <c r="A7888" i="6" s="1"/>
  <c r="D7824" i="3"/>
  <c r="A7824" i="6" s="1"/>
  <c r="D7760" i="3"/>
  <c r="A7760" i="6" s="1"/>
  <c r="D7696" i="3"/>
  <c r="A7696" i="6" s="1"/>
  <c r="D7632" i="3"/>
  <c r="A7632" i="6" s="1"/>
  <c r="D7568" i="3"/>
  <c r="A7568" i="6" s="1"/>
  <c r="D7504" i="3"/>
  <c r="A7504" i="6" s="1"/>
  <c r="D7440" i="3"/>
  <c r="A7440" i="6" s="1"/>
  <c r="D7376" i="3"/>
  <c r="A7376" i="6" s="1"/>
  <c r="D7312" i="3"/>
  <c r="A7312" i="6" s="1"/>
  <c r="D7248" i="3"/>
  <c r="A7248" i="6" s="1"/>
  <c r="D7184" i="3"/>
  <c r="A7184" i="6" s="1"/>
  <c r="E7114" i="3"/>
  <c r="E7034" i="3"/>
  <c r="E6970" i="3"/>
  <c r="E6906" i="3"/>
  <c r="E6842" i="3"/>
  <c r="E6778" i="3"/>
  <c r="E6714" i="3"/>
  <c r="E6650" i="3"/>
  <c r="E6586" i="3"/>
  <c r="E6522" i="3"/>
  <c r="E6458" i="3"/>
  <c r="E6394" i="3"/>
  <c r="E6330" i="3"/>
  <c r="E6266" i="3"/>
  <c r="E6202" i="3"/>
  <c r="E6138" i="3"/>
  <c r="E6074" i="3"/>
  <c r="E6010" i="3"/>
  <c r="E5946" i="3"/>
  <c r="E5882" i="3"/>
  <c r="E5818" i="3"/>
  <c r="E5754" i="3"/>
  <c r="E5690" i="3"/>
  <c r="E5626" i="3"/>
  <c r="E5562" i="3"/>
  <c r="E5498" i="3"/>
  <c r="E5434" i="3"/>
  <c r="E5370" i="3"/>
  <c r="E5306" i="3"/>
  <c r="D7105" i="3"/>
  <c r="A7105" i="6" s="1"/>
  <c r="D7041" i="3"/>
  <c r="A7041" i="6" s="1"/>
  <c r="D6977" i="3"/>
  <c r="A6977" i="6" s="1"/>
  <c r="D6913" i="3"/>
  <c r="A6913" i="6" s="1"/>
  <c r="D6849" i="3"/>
  <c r="A6849" i="6" s="1"/>
  <c r="D6785" i="3"/>
  <c r="A6785" i="6" s="1"/>
  <c r="D6721" i="3"/>
  <c r="A6721" i="6" s="1"/>
  <c r="D6657" i="3"/>
  <c r="A6657" i="6" s="1"/>
  <c r="D6593" i="3"/>
  <c r="A6593" i="6" s="1"/>
  <c r="D6529" i="3"/>
  <c r="A6529" i="6" s="1"/>
  <c r="D6465" i="3"/>
  <c r="A6465" i="6" s="1"/>
  <c r="D6401" i="3"/>
  <c r="A6401" i="6" s="1"/>
  <c r="D6337" i="3"/>
  <c r="A6337" i="6" s="1"/>
  <c r="D6273" i="3"/>
  <c r="A6273" i="6" s="1"/>
  <c r="D6209" i="3"/>
  <c r="A6209" i="6" s="1"/>
  <c r="D6145" i="3"/>
  <c r="A6145" i="6" s="1"/>
  <c r="D6081" i="3"/>
  <c r="A6081" i="6" s="1"/>
  <c r="D6017" i="3"/>
  <c r="A6017" i="6" s="1"/>
  <c r="D5953" i="3"/>
  <c r="A5953" i="6" s="1"/>
  <c r="D5889" i="3"/>
  <c r="A5889" i="6" s="1"/>
  <c r="D5825" i="3"/>
  <c r="A5825" i="6" s="1"/>
  <c r="D5761" i="3"/>
  <c r="A5761" i="6" s="1"/>
  <c r="D5697" i="3"/>
  <c r="A5697" i="6" s="1"/>
  <c r="D5633" i="3"/>
  <c r="A5633" i="6" s="1"/>
  <c r="D5569" i="3"/>
  <c r="A5569" i="6" s="1"/>
  <c r="D5505" i="3"/>
  <c r="A5505" i="6" s="1"/>
  <c r="D5441" i="3"/>
  <c r="A5441" i="6" s="1"/>
  <c r="D5377" i="3"/>
  <c r="A5377" i="6" s="1"/>
  <c r="D5313" i="3"/>
  <c r="A5313" i="6" s="1"/>
  <c r="E5249" i="3"/>
  <c r="E5185" i="3"/>
  <c r="E5121" i="3"/>
  <c r="E5057" i="3"/>
  <c r="E4993" i="3"/>
  <c r="E4929" i="3"/>
  <c r="E4865" i="3"/>
  <c r="E4801" i="3"/>
  <c r="E4737" i="3"/>
  <c r="E4673" i="3"/>
  <c r="E4609" i="3"/>
  <c r="E4545" i="3"/>
  <c r="E4481" i="3"/>
  <c r="E4417" i="3"/>
  <c r="E4353" i="3"/>
  <c r="E4289" i="3"/>
  <c r="E4225" i="3"/>
  <c r="E4161" i="3"/>
  <c r="E4097" i="3"/>
  <c r="E4033" i="3"/>
  <c r="E3969" i="3"/>
  <c r="E3905" i="3"/>
  <c r="E3841" i="3"/>
  <c r="E3777" i="3"/>
  <c r="E3713" i="3"/>
  <c r="E3649" i="3"/>
  <c r="E3585" i="3"/>
  <c r="E3521" i="3"/>
  <c r="E3457" i="3"/>
  <c r="D5214" i="3"/>
  <c r="A5214" i="6" s="1"/>
  <c r="D5150" i="3"/>
  <c r="A5150" i="6" s="1"/>
  <c r="D5086" i="3"/>
  <c r="A5086" i="6" s="1"/>
  <c r="D5022" i="3"/>
  <c r="A5022" i="6" s="1"/>
  <c r="D4958" i="3"/>
  <c r="A4958" i="6" s="1"/>
  <c r="D4894" i="3"/>
  <c r="A4894" i="6" s="1"/>
  <c r="D4830" i="3"/>
  <c r="A4830" i="6" s="1"/>
  <c r="D4766" i="3"/>
  <c r="A4766" i="6" s="1"/>
  <c r="D4702" i="3"/>
  <c r="A4702" i="6" s="1"/>
  <c r="D4638" i="3"/>
  <c r="A4638" i="6" s="1"/>
  <c r="D4574" i="3"/>
  <c r="A4574" i="6" s="1"/>
  <c r="D4510" i="3"/>
  <c r="A4510" i="6" s="1"/>
  <c r="D4446" i="3"/>
  <c r="A4446" i="6" s="1"/>
  <c r="D4382" i="3"/>
  <c r="A4382" i="6" s="1"/>
  <c r="D4318" i="3"/>
  <c r="A4318" i="6" s="1"/>
  <c r="D4254" i="3"/>
  <c r="A4254" i="6" s="1"/>
  <c r="D4190" i="3"/>
  <c r="A4190" i="6" s="1"/>
  <c r="D4126" i="3"/>
  <c r="A4126" i="6" s="1"/>
  <c r="D4062" i="3"/>
  <c r="A4062" i="6" s="1"/>
  <c r="D3998" i="3"/>
  <c r="A3998" i="6" s="1"/>
  <c r="D3934" i="3"/>
  <c r="A3934" i="6" s="1"/>
  <c r="D3870" i="3"/>
  <c r="A3870" i="6" s="1"/>
  <c r="D3806" i="3"/>
  <c r="A3806" i="6" s="1"/>
  <c r="D3742" i="3"/>
  <c r="A3742" i="6" s="1"/>
  <c r="D3678" i="3"/>
  <c r="A3678" i="6" s="1"/>
  <c r="D3614" i="3"/>
  <c r="A3614" i="6" s="1"/>
  <c r="D3550" i="3"/>
  <c r="A3550" i="6" s="1"/>
  <c r="D3486" i="3"/>
  <c r="A3486" i="6" s="1"/>
  <c r="E3422" i="3"/>
  <c r="E3358" i="3"/>
  <c r="E3294" i="3"/>
  <c r="E3230" i="3"/>
  <c r="E3166" i="3"/>
  <c r="E3102" i="3"/>
  <c r="E3038" i="3"/>
  <c r="E2974" i="3"/>
  <c r="E2910" i="3"/>
  <c r="E2846" i="3"/>
  <c r="E2782" i="3"/>
  <c r="E2718" i="3"/>
  <c r="E2654" i="3"/>
  <c r="E2590" i="3"/>
  <c r="D3435" i="3"/>
  <c r="A3435" i="6" s="1"/>
  <c r="D3371" i="3"/>
  <c r="A3371" i="6" s="1"/>
  <c r="D3307" i="3"/>
  <c r="A3307" i="6" s="1"/>
  <c r="D3243" i="3"/>
  <c r="A3243" i="6" s="1"/>
  <c r="D3179" i="3"/>
  <c r="A3179" i="6" s="1"/>
  <c r="D3115" i="3"/>
  <c r="A3115" i="6" s="1"/>
  <c r="D3051" i="3"/>
  <c r="A3051" i="6" s="1"/>
  <c r="D2987" i="3"/>
  <c r="A2987" i="6" s="1"/>
  <c r="D2923" i="3"/>
  <c r="A2923" i="6" s="1"/>
  <c r="D2859" i="3"/>
  <c r="A2859" i="6" s="1"/>
  <c r="D2795" i="3"/>
  <c r="A2795" i="6" s="1"/>
  <c r="D2731" i="3"/>
  <c r="A2731" i="6" s="1"/>
  <c r="D2667" i="3"/>
  <c r="A2667" i="6" s="1"/>
  <c r="D2603" i="3"/>
  <c r="A2603" i="6" s="1"/>
  <c r="D2539" i="3"/>
  <c r="A2539" i="6" s="1"/>
  <c r="E2479" i="3"/>
  <c r="E2415" i="3"/>
  <c r="E2351" i="3"/>
  <c r="E2287" i="3"/>
  <c r="E2223" i="3"/>
  <c r="E2159" i="3"/>
  <c r="E2095" i="3"/>
  <c r="E2031" i="3"/>
  <c r="E1967" i="3"/>
  <c r="E1903" i="3"/>
  <c r="E1839" i="3"/>
  <c r="E1775" i="3"/>
  <c r="E1711" i="3"/>
  <c r="E1647" i="3"/>
  <c r="D2486" i="3"/>
  <c r="A2486" i="6" s="1"/>
  <c r="D2422" i="3"/>
  <c r="A2422" i="6" s="1"/>
  <c r="D2358" i="3"/>
  <c r="A2358" i="6" s="1"/>
  <c r="D2294" i="3"/>
  <c r="A2294" i="6" s="1"/>
  <c r="D2230" i="3"/>
  <c r="A2230" i="6" s="1"/>
  <c r="D2166" i="3"/>
  <c r="A2166" i="6" s="1"/>
  <c r="D2102" i="3"/>
  <c r="A2102" i="6" s="1"/>
  <c r="D2038" i="3"/>
  <c r="A2038" i="6" s="1"/>
  <c r="D1974" i="3"/>
  <c r="A1974" i="6" s="1"/>
  <c r="D1910" i="3"/>
  <c r="A1910" i="6" s="1"/>
  <c r="D1846" i="3"/>
  <c r="A1846" i="6" s="1"/>
  <c r="D1782" i="3"/>
  <c r="A1782" i="6" s="1"/>
  <c r="D1718" i="3"/>
  <c r="A1718" i="6" s="1"/>
  <c r="D1654" i="3"/>
  <c r="A1654" i="6" s="1"/>
  <c r="E1591" i="3"/>
  <c r="E1527" i="3"/>
  <c r="E1463" i="3"/>
  <c r="E1399" i="3"/>
  <c r="E1335" i="3"/>
  <c r="E1271" i="3"/>
  <c r="E1207" i="3"/>
  <c r="D1596" i="3"/>
  <c r="A1596" i="6" s="1"/>
  <c r="D1532" i="3"/>
  <c r="A1532" i="6" s="1"/>
  <c r="D1468" i="3"/>
  <c r="A1468" i="6" s="1"/>
  <c r="D1404" i="3"/>
  <c r="A1404" i="6" s="1"/>
  <c r="D1340" i="3"/>
  <c r="A1340" i="6" s="1"/>
  <c r="D1276" i="3"/>
  <c r="A1276" i="6" s="1"/>
  <c r="D1212" i="3"/>
  <c r="A1212" i="6" s="1"/>
  <c r="D1176" i="3"/>
  <c r="A1176" i="6" s="1"/>
  <c r="E1112" i="3"/>
  <c r="E1048" i="3"/>
  <c r="E984" i="3"/>
  <c r="E920" i="3"/>
  <c r="E856" i="3"/>
  <c r="E792" i="3"/>
  <c r="D1127" i="3"/>
  <c r="A1127" i="6" s="1"/>
  <c r="D1063" i="3"/>
  <c r="A1063" i="6" s="1"/>
  <c r="D999" i="3"/>
  <c r="A999" i="6" s="1"/>
  <c r="D935" i="3"/>
  <c r="A935" i="6" s="1"/>
  <c r="D871" i="3"/>
  <c r="A871" i="6" s="1"/>
  <c r="D807" i="3"/>
  <c r="A807" i="6" s="1"/>
  <c r="E770" i="3"/>
  <c r="E706" i="3"/>
  <c r="E642" i="3"/>
  <c r="E578" i="3"/>
  <c r="D689" i="3"/>
  <c r="A689" i="6" s="1"/>
  <c r="D625" i="3"/>
  <c r="A625" i="6" s="1"/>
  <c r="D561" i="3"/>
  <c r="A561" i="6" s="1"/>
  <c r="E496" i="3"/>
  <c r="E432" i="3"/>
  <c r="E368" i="3"/>
  <c r="D529" i="3"/>
  <c r="A529" i="6" s="1"/>
  <c r="D465" i="3"/>
  <c r="A465" i="6" s="1"/>
  <c r="D401" i="3"/>
  <c r="A401" i="6" s="1"/>
  <c r="D337" i="3"/>
  <c r="A337" i="6" s="1"/>
  <c r="E282" i="3"/>
  <c r="E218" i="3"/>
  <c r="D253" i="3"/>
  <c r="A253" i="6" s="1"/>
  <c r="E188" i="3"/>
  <c r="D171" i="3"/>
  <c r="A171" i="6" s="1"/>
  <c r="E8703" i="3"/>
  <c r="E8575" i="3"/>
  <c r="E8491" i="3"/>
  <c r="E8427" i="3"/>
  <c r="E8363" i="3"/>
  <c r="E8299" i="3"/>
  <c r="E8235" i="3"/>
  <c r="E8171" i="3"/>
  <c r="E8107" i="3"/>
  <c r="E8043" i="3"/>
  <c r="E7979" i="3"/>
  <c r="E7915" i="3"/>
  <c r="E7851" i="3"/>
  <c r="E7787" i="3"/>
  <c r="E7723" i="3"/>
  <c r="E7659" i="3"/>
  <c r="E7595" i="3"/>
  <c r="E7531" i="3"/>
  <c r="E7467" i="3"/>
  <c r="E7403" i="3"/>
  <c r="E7339" i="3"/>
  <c r="E7275" i="3"/>
  <c r="E7211" i="3"/>
  <c r="E7147" i="3"/>
  <c r="D8754" i="3"/>
  <c r="A8754" i="6" s="1"/>
  <c r="D8690" i="3"/>
  <c r="A8690" i="6" s="1"/>
  <c r="D8626" i="3"/>
  <c r="A8626" i="6" s="1"/>
  <c r="D8562" i="3"/>
  <c r="A8562" i="6" s="1"/>
  <c r="D8498" i="3"/>
  <c r="A8498" i="6" s="1"/>
  <c r="D8434" i="3"/>
  <c r="A8434" i="6" s="1"/>
  <c r="D8370" i="3"/>
  <c r="A8370" i="6" s="1"/>
  <c r="D8306" i="3"/>
  <c r="A8306" i="6" s="1"/>
  <c r="D8242" i="3"/>
  <c r="A8242" i="6" s="1"/>
  <c r="D8178" i="3"/>
  <c r="A8178" i="6" s="1"/>
  <c r="D8114" i="3"/>
  <c r="A8114" i="6" s="1"/>
  <c r="D8050" i="3"/>
  <c r="A8050" i="6" s="1"/>
  <c r="D7986" i="3"/>
  <c r="A7986" i="6" s="1"/>
  <c r="D7922" i="3"/>
  <c r="A7922" i="6" s="1"/>
  <c r="D7858" i="3"/>
  <c r="A7858" i="6" s="1"/>
  <c r="D7794" i="3"/>
  <c r="A7794" i="6" s="1"/>
  <c r="D7730" i="3"/>
  <c r="A7730" i="6" s="1"/>
  <c r="D7666" i="3"/>
  <c r="A7666" i="6" s="1"/>
  <c r="D7602" i="3"/>
  <c r="A7602" i="6" s="1"/>
  <c r="D7538" i="3"/>
  <c r="A7538" i="6" s="1"/>
  <c r="D7474" i="3"/>
  <c r="A7474" i="6" s="1"/>
  <c r="D7410" i="3"/>
  <c r="A7410" i="6" s="1"/>
  <c r="D7346" i="3"/>
  <c r="A7346" i="6" s="1"/>
  <c r="D7282" i="3"/>
  <c r="A7282" i="6" s="1"/>
  <c r="D7218" i="3"/>
  <c r="A7218" i="6" s="1"/>
  <c r="D7154" i="3"/>
  <c r="A7154" i="6" s="1"/>
  <c r="E7068" i="3"/>
  <c r="E7004" i="3"/>
  <c r="E6940" i="3"/>
  <c r="E6876" i="3"/>
  <c r="E6812" i="3"/>
  <c r="E6748" i="3"/>
  <c r="E6684" i="3"/>
  <c r="E6620" i="3"/>
  <c r="E6556" i="3"/>
  <c r="E6492" i="3"/>
  <c r="E6428" i="3"/>
  <c r="E6364" i="3"/>
  <c r="E6300" i="3"/>
  <c r="E6236" i="3"/>
  <c r="E6172" i="3"/>
  <c r="E6108" i="3"/>
  <c r="E6044" i="3"/>
  <c r="D8759" i="3"/>
  <c r="A8759" i="6" s="1"/>
  <c r="D8619" i="3"/>
  <c r="A8619" i="6" s="1"/>
  <c r="D8727" i="3"/>
  <c r="A8727" i="6" s="1"/>
  <c r="D8661" i="3"/>
  <c r="A8661" i="6" s="1"/>
  <c r="D8597" i="3"/>
  <c r="A8597" i="6" s="1"/>
  <c r="D8533" i="3"/>
  <c r="A8533" i="6" s="1"/>
  <c r="D8469" i="3"/>
  <c r="A8469" i="6" s="1"/>
  <c r="D8405" i="3"/>
  <c r="A8405" i="6" s="1"/>
  <c r="D8341" i="3"/>
  <c r="A8341" i="6" s="1"/>
  <c r="D8277" i="3"/>
  <c r="A8277" i="6" s="1"/>
  <c r="D8213" i="3"/>
  <c r="A8213" i="6" s="1"/>
  <c r="D8149" i="3"/>
  <c r="A8149" i="6" s="1"/>
  <c r="D8085" i="3"/>
  <c r="A8085" i="6" s="1"/>
  <c r="D8021" i="3"/>
  <c r="A8021" i="6" s="1"/>
  <c r="D7957" i="3"/>
  <c r="A7957" i="6" s="1"/>
  <c r="D7893" i="3"/>
  <c r="A7893" i="6" s="1"/>
  <c r="D7829" i="3"/>
  <c r="A7829" i="6" s="1"/>
  <c r="D7765" i="3"/>
  <c r="A7765" i="6" s="1"/>
  <c r="D7701" i="3"/>
  <c r="A7701" i="6" s="1"/>
  <c r="D7637" i="3"/>
  <c r="A7637" i="6" s="1"/>
  <c r="D7573" i="3"/>
  <c r="A7573" i="6" s="1"/>
  <c r="D7509" i="3"/>
  <c r="A7509" i="6" s="1"/>
  <c r="D7445" i="3"/>
  <c r="A7445" i="6" s="1"/>
  <c r="D7381" i="3"/>
  <c r="A7381" i="6" s="1"/>
  <c r="D7317" i="3"/>
  <c r="A7317" i="6" s="1"/>
  <c r="D7253" i="3"/>
  <c r="A7253" i="6" s="1"/>
  <c r="D7189" i="3"/>
  <c r="A7189" i="6" s="1"/>
  <c r="D7124" i="3"/>
  <c r="A7124" i="6" s="1"/>
  <c r="E8732" i="3"/>
  <c r="E8668" i="3"/>
  <c r="E8604" i="3"/>
  <c r="E8540" i="3"/>
  <c r="E8476" i="3"/>
  <c r="E8412" i="3"/>
  <c r="E8348" i="3"/>
  <c r="E8284" i="3"/>
  <c r="E8220" i="3"/>
  <c r="E8156" i="3"/>
  <c r="E8092" i="3"/>
  <c r="E8028" i="3"/>
  <c r="E7964" i="3"/>
  <c r="E7900" i="3"/>
  <c r="E7836" i="3"/>
  <c r="E7772" i="3"/>
  <c r="E7708" i="3"/>
  <c r="E7644" i="3"/>
  <c r="E7580" i="3"/>
  <c r="E7516" i="3"/>
  <c r="E7452" i="3"/>
  <c r="E7388" i="3"/>
  <c r="E7324" i="3"/>
  <c r="E7260" i="3"/>
  <c r="E7196" i="3"/>
  <c r="E7132" i="3"/>
  <c r="D7046" i="3"/>
  <c r="A7046" i="6" s="1"/>
  <c r="D6982" i="3"/>
  <c r="A6982" i="6" s="1"/>
  <c r="D6918" i="3"/>
  <c r="A6918" i="6" s="1"/>
  <c r="D6854" i="3"/>
  <c r="A6854" i="6" s="1"/>
  <c r="D6790" i="3"/>
  <c r="A6790" i="6" s="1"/>
  <c r="D6726" i="3"/>
  <c r="A6726" i="6" s="1"/>
  <c r="D6662" i="3"/>
  <c r="A6662" i="6" s="1"/>
  <c r="D6598" i="3"/>
  <c r="A6598" i="6" s="1"/>
  <c r="D6534" i="3"/>
  <c r="A6534" i="6" s="1"/>
  <c r="D6470" i="3"/>
  <c r="A6470" i="6" s="1"/>
  <c r="D6406" i="3"/>
  <c r="A6406" i="6" s="1"/>
  <c r="D6342" i="3"/>
  <c r="A6342" i="6" s="1"/>
  <c r="D6278" i="3"/>
  <c r="A6278" i="6" s="1"/>
  <c r="D6214" i="3"/>
  <c r="A6214" i="6" s="1"/>
  <c r="D6150" i="3"/>
  <c r="A6150" i="6" s="1"/>
  <c r="D6086" i="3"/>
  <c r="A6086" i="6" s="1"/>
  <c r="D6022" i="3"/>
  <c r="A6022" i="6" s="1"/>
  <c r="D5958" i="3"/>
  <c r="A5958" i="6" s="1"/>
  <c r="D5894" i="3"/>
  <c r="A5894" i="6" s="1"/>
  <c r="D5830" i="3"/>
  <c r="A5830" i="6" s="1"/>
  <c r="D5766" i="3"/>
  <c r="A5766" i="6" s="1"/>
  <c r="D5702" i="3"/>
  <c r="A5702" i="6" s="1"/>
  <c r="D5638" i="3"/>
  <c r="A5638" i="6" s="1"/>
  <c r="D5574" i="3"/>
  <c r="A5574" i="6" s="1"/>
  <c r="D5510" i="3"/>
  <c r="A5510" i="6" s="1"/>
  <c r="D5446" i="3"/>
  <c r="A5446" i="6" s="1"/>
  <c r="D5382" i="3"/>
  <c r="A5382" i="6" s="1"/>
  <c r="D5318" i="3"/>
  <c r="A5318" i="6" s="1"/>
  <c r="E7117" i="3"/>
  <c r="E7053" i="3"/>
  <c r="E6989" i="3"/>
  <c r="E6925" i="3"/>
  <c r="E6861" i="3"/>
  <c r="E6797" i="3"/>
  <c r="E6733" i="3"/>
  <c r="E6669" i="3"/>
  <c r="E6605" i="3"/>
  <c r="E6541" i="3"/>
  <c r="E6477" i="3"/>
  <c r="E6413" i="3"/>
  <c r="E6349" i="3"/>
  <c r="E6285" i="3"/>
  <c r="E6221" i="3"/>
  <c r="E6157" i="3"/>
  <c r="E6093" i="3"/>
  <c r="E6029" i="3"/>
  <c r="E5965" i="3"/>
  <c r="E5901" i="3"/>
  <c r="E5837" i="3"/>
  <c r="E5773" i="3"/>
  <c r="E5709" i="3"/>
  <c r="E5645" i="3"/>
  <c r="E5581" i="3"/>
  <c r="E5517" i="3"/>
  <c r="E5453" i="3"/>
  <c r="E5389" i="3"/>
  <c r="E5325" i="3"/>
  <c r="D5261" i="3"/>
  <c r="A5261" i="6" s="1"/>
  <c r="D5197" i="3"/>
  <c r="A5197" i="6" s="1"/>
  <c r="D5133" i="3"/>
  <c r="A5133" i="6" s="1"/>
  <c r="D5069" i="3"/>
  <c r="A5069" i="6" s="1"/>
  <c r="D5005" i="3"/>
  <c r="A5005" i="6" s="1"/>
  <c r="D4941" i="3"/>
  <c r="A4941" i="6" s="1"/>
  <c r="D4877" i="3"/>
  <c r="A4877" i="6" s="1"/>
  <c r="D4813" i="3"/>
  <c r="A4813" i="6" s="1"/>
  <c r="D4749" i="3"/>
  <c r="A4749" i="6" s="1"/>
  <c r="D4685" i="3"/>
  <c r="A4685" i="6" s="1"/>
  <c r="D4621" i="3"/>
  <c r="A4621" i="6" s="1"/>
  <c r="D4557" i="3"/>
  <c r="A4557" i="6" s="1"/>
  <c r="D4493" i="3"/>
  <c r="A4493" i="6" s="1"/>
  <c r="D4429" i="3"/>
  <c r="A4429" i="6" s="1"/>
  <c r="D4365" i="3"/>
  <c r="A4365" i="6" s="1"/>
  <c r="D4301" i="3"/>
  <c r="A4301" i="6" s="1"/>
  <c r="D4237" i="3"/>
  <c r="A4237" i="6" s="1"/>
  <c r="D4173" i="3"/>
  <c r="A4173" i="6" s="1"/>
  <c r="D4109" i="3"/>
  <c r="A4109" i="6" s="1"/>
  <c r="D4045" i="3"/>
  <c r="A4045" i="6" s="1"/>
  <c r="D3981" i="3"/>
  <c r="A3981" i="6" s="1"/>
  <c r="D3917" i="3"/>
  <c r="A3917" i="6" s="1"/>
  <c r="D3853" i="3"/>
  <c r="A3853" i="6" s="1"/>
  <c r="D3789" i="3"/>
  <c r="A3789" i="6" s="1"/>
  <c r="D3725" i="3"/>
  <c r="A3725" i="6" s="1"/>
  <c r="D3661" i="3"/>
  <c r="A3661" i="6" s="1"/>
  <c r="D3597" i="3"/>
  <c r="A3597" i="6" s="1"/>
  <c r="D3533" i="3"/>
  <c r="A3533" i="6" s="1"/>
  <c r="D3469" i="3"/>
  <c r="A3469" i="6" s="1"/>
  <c r="E5226" i="3"/>
  <c r="E5162" i="3"/>
  <c r="E5098" i="3"/>
  <c r="E5034" i="3"/>
  <c r="E4970" i="3"/>
  <c r="E4906" i="3"/>
  <c r="E4842" i="3"/>
  <c r="E4778" i="3"/>
  <c r="E4714" i="3"/>
  <c r="E4650" i="3"/>
  <c r="E4586" i="3"/>
  <c r="E4522" i="3"/>
  <c r="E4458" i="3"/>
  <c r="E4394" i="3"/>
  <c r="E4330" i="3"/>
  <c r="E4266" i="3"/>
  <c r="E4202" i="3"/>
  <c r="E4138" i="3"/>
  <c r="E4074" i="3"/>
  <c r="E4010" i="3"/>
  <c r="E3946" i="3"/>
  <c r="E3882" i="3"/>
  <c r="E3818" i="3"/>
  <c r="E3754" i="3"/>
  <c r="E3690" i="3"/>
  <c r="E3626" i="3"/>
  <c r="E3562" i="3"/>
  <c r="E3498" i="3"/>
  <c r="D3434" i="3"/>
  <c r="A3434" i="6" s="1"/>
  <c r="D3370" i="3"/>
  <c r="A3370" i="6" s="1"/>
  <c r="D3306" i="3"/>
  <c r="A3306" i="6" s="1"/>
  <c r="D3242" i="3"/>
  <c r="A3242" i="6" s="1"/>
  <c r="D3178" i="3"/>
  <c r="A3178" i="6" s="1"/>
  <c r="D3114" i="3"/>
  <c r="A3114" i="6" s="1"/>
  <c r="D3050" i="3"/>
  <c r="A3050" i="6" s="1"/>
  <c r="D2986" i="3"/>
  <c r="A2986" i="6" s="1"/>
  <c r="D2922" i="3"/>
  <c r="A2922" i="6" s="1"/>
  <c r="D2858" i="3"/>
  <c r="A2858" i="6" s="1"/>
  <c r="D2794" i="3"/>
  <c r="A2794" i="6" s="1"/>
  <c r="D2730" i="3"/>
  <c r="A2730" i="6" s="1"/>
  <c r="D2666" i="3"/>
  <c r="A2666" i="6" s="1"/>
  <c r="D2602" i="3"/>
  <c r="A2602" i="6" s="1"/>
  <c r="D2538" i="3"/>
  <c r="A2538" i="6" s="1"/>
  <c r="E3383" i="3"/>
  <c r="E3319" i="3"/>
  <c r="E3255" i="3"/>
  <c r="E3191" i="3"/>
  <c r="E3127" i="3"/>
  <c r="E3063" i="3"/>
  <c r="E2999" i="3"/>
  <c r="E2935" i="3"/>
  <c r="E2871" i="3"/>
  <c r="E2807" i="3"/>
  <c r="E2743" i="3"/>
  <c r="E2679" i="3"/>
  <c r="E2615" i="3"/>
  <c r="E2551" i="3"/>
  <c r="D2491" i="3"/>
  <c r="A2491" i="6" s="1"/>
  <c r="D2427" i="3"/>
  <c r="A2427" i="6" s="1"/>
  <c r="D2363" i="3"/>
  <c r="A2363" i="6" s="1"/>
  <c r="D2299" i="3"/>
  <c r="A2299" i="6" s="1"/>
  <c r="D2235" i="3"/>
  <c r="A2235" i="6" s="1"/>
  <c r="D2171" i="3"/>
  <c r="A2171" i="6" s="1"/>
  <c r="D2107" i="3"/>
  <c r="A2107" i="6" s="1"/>
  <c r="D2043" i="3"/>
  <c r="A2043" i="6" s="1"/>
  <c r="D1979" i="3"/>
  <c r="A1979" i="6" s="1"/>
  <c r="D1915" i="3"/>
  <c r="A1915" i="6" s="1"/>
  <c r="D1851" i="3"/>
  <c r="A1851" i="6" s="1"/>
  <c r="D1787" i="3"/>
  <c r="A1787" i="6" s="1"/>
  <c r="D1723" i="3"/>
  <c r="A1723" i="6" s="1"/>
  <c r="D1659" i="3"/>
  <c r="A1659" i="6" s="1"/>
  <c r="E2498" i="3"/>
  <c r="E2434" i="3"/>
  <c r="E2370" i="3"/>
  <c r="E2306" i="3"/>
  <c r="E2242" i="3"/>
  <c r="E2178" i="3"/>
  <c r="E2114" i="3"/>
  <c r="E2050" i="3"/>
  <c r="E1986" i="3"/>
  <c r="E1922" i="3"/>
  <c r="E1858" i="3"/>
  <c r="E1794" i="3"/>
  <c r="E1730" i="3"/>
  <c r="E1666" i="3"/>
  <c r="D1603" i="3"/>
  <c r="A1603" i="6" s="1"/>
  <c r="D1539" i="3"/>
  <c r="A1539" i="6" s="1"/>
  <c r="D1475" i="3"/>
  <c r="A1475" i="6" s="1"/>
  <c r="D1411" i="3"/>
  <c r="A1411" i="6" s="1"/>
  <c r="D1347" i="3"/>
  <c r="A1347" i="6" s="1"/>
  <c r="D1283" i="3"/>
  <c r="A1283" i="6" s="1"/>
  <c r="D1219" i="3"/>
  <c r="A1219" i="6" s="1"/>
  <c r="E1608" i="3"/>
  <c r="E1544" i="3"/>
  <c r="E1480" i="3"/>
  <c r="E1416" i="3"/>
  <c r="E1352" i="3"/>
  <c r="E1288" i="3"/>
  <c r="E1224" i="3"/>
  <c r="E1188" i="3"/>
  <c r="D1124" i="3"/>
  <c r="A1124" i="6" s="1"/>
  <c r="D1060" i="3"/>
  <c r="A1060" i="6" s="1"/>
  <c r="D996" i="3"/>
  <c r="A996" i="6" s="1"/>
  <c r="D932" i="3"/>
  <c r="A932" i="6" s="1"/>
  <c r="D868" i="3"/>
  <c r="A868" i="6" s="1"/>
  <c r="D804" i="3"/>
  <c r="A804" i="6" s="1"/>
  <c r="E1139" i="3"/>
  <c r="E1075" i="3"/>
  <c r="E1011" i="3"/>
  <c r="E947" i="3"/>
  <c r="E883" i="3"/>
  <c r="E819" i="3"/>
  <c r="D741" i="3"/>
  <c r="A741" i="6" s="1"/>
  <c r="E718" i="3"/>
  <c r="D654" i="3"/>
  <c r="A654" i="6" s="1"/>
  <c r="D590" i="3"/>
  <c r="A590" i="6" s="1"/>
  <c r="E701" i="3"/>
  <c r="E637" i="3"/>
  <c r="E573" i="3"/>
  <c r="D508" i="3"/>
  <c r="A508" i="6" s="1"/>
  <c r="D444" i="3"/>
  <c r="A444" i="6" s="1"/>
  <c r="D380" i="3"/>
  <c r="A380" i="6" s="1"/>
  <c r="E541" i="3"/>
  <c r="E477" i="3"/>
  <c r="E413" i="3"/>
  <c r="E349" i="3"/>
  <c r="D294" i="3"/>
  <c r="A294" i="6" s="1"/>
  <c r="D230" i="3"/>
  <c r="A230" i="6" s="1"/>
  <c r="E265" i="3"/>
  <c r="D200" i="3"/>
  <c r="A200" i="6" s="1"/>
  <c r="E151" i="3"/>
  <c r="D8679" i="3"/>
  <c r="A8679" i="6" s="1"/>
  <c r="D8551" i="3"/>
  <c r="A8551" i="6" s="1"/>
  <c r="D8479" i="3"/>
  <c r="A8479" i="6" s="1"/>
  <c r="D8415" i="3"/>
  <c r="A8415" i="6" s="1"/>
  <c r="D8351" i="3"/>
  <c r="A8351" i="6" s="1"/>
  <c r="D8287" i="3"/>
  <c r="A8287" i="6" s="1"/>
  <c r="D8223" i="3"/>
  <c r="A8223" i="6" s="1"/>
  <c r="D8159" i="3"/>
  <c r="A8159" i="6" s="1"/>
  <c r="D8095" i="3"/>
  <c r="A8095" i="6" s="1"/>
  <c r="D8031" i="3"/>
  <c r="A8031" i="6" s="1"/>
  <c r="D7967" i="3"/>
  <c r="A7967" i="6" s="1"/>
  <c r="D7903" i="3"/>
  <c r="A7903" i="6" s="1"/>
  <c r="D7839" i="3"/>
  <c r="A7839" i="6" s="1"/>
  <c r="D7775" i="3"/>
  <c r="A7775" i="6" s="1"/>
  <c r="D7711" i="3"/>
  <c r="A7711" i="6" s="1"/>
  <c r="D7647" i="3"/>
  <c r="A7647" i="6" s="1"/>
  <c r="D7583" i="3"/>
  <c r="A7583" i="6" s="1"/>
  <c r="D7519" i="3"/>
  <c r="A7519" i="6" s="1"/>
  <c r="D7455" i="3"/>
  <c r="A7455" i="6" s="1"/>
  <c r="D7391" i="3"/>
  <c r="A7391" i="6" s="1"/>
  <c r="D7327" i="3"/>
  <c r="A7327" i="6" s="1"/>
  <c r="D7263" i="3"/>
  <c r="A7263" i="6" s="1"/>
  <c r="D7199" i="3"/>
  <c r="A7199" i="6" s="1"/>
  <c r="D7135" i="3"/>
  <c r="A7135" i="6" s="1"/>
  <c r="E8742" i="3"/>
  <c r="E8678" i="3"/>
  <c r="E8614" i="3"/>
  <c r="E8550" i="3"/>
  <c r="E8486" i="3"/>
  <c r="E8422" i="3"/>
  <c r="E8358" i="3"/>
  <c r="E8294" i="3"/>
  <c r="E8230" i="3"/>
  <c r="E8166" i="3"/>
  <c r="E8102" i="3"/>
  <c r="E8038" i="3"/>
  <c r="E7974" i="3"/>
  <c r="E7910" i="3"/>
  <c r="E7846" i="3"/>
  <c r="E7782" i="3"/>
  <c r="E7718" i="3"/>
  <c r="E7654" i="3"/>
  <c r="E7590" i="3"/>
  <c r="E7526" i="3"/>
  <c r="E7462" i="3"/>
  <c r="E7398" i="3"/>
  <c r="E7334" i="3"/>
  <c r="E7270" i="3"/>
  <c r="E7206" i="3"/>
  <c r="E7142" i="3"/>
  <c r="D7056" i="3"/>
  <c r="A7056" i="6" s="1"/>
  <c r="D6992" i="3"/>
  <c r="A6992" i="6" s="1"/>
  <c r="D6928" i="3"/>
  <c r="A6928" i="6" s="1"/>
  <c r="D6864" i="3"/>
  <c r="A6864" i="6" s="1"/>
  <c r="D6800" i="3"/>
  <c r="A6800" i="6" s="1"/>
  <c r="D6736" i="3"/>
  <c r="A6736" i="6" s="1"/>
  <c r="D6672" i="3"/>
  <c r="A6672" i="6" s="1"/>
  <c r="D6608" i="3"/>
  <c r="A6608" i="6" s="1"/>
  <c r="D6544" i="3"/>
  <c r="A6544" i="6" s="1"/>
  <c r="D6480" i="3"/>
  <c r="A6480" i="6" s="1"/>
  <c r="D6416" i="3"/>
  <c r="A6416" i="6" s="1"/>
  <c r="D6352" i="3"/>
  <c r="A6352" i="6" s="1"/>
  <c r="D6288" i="3"/>
  <c r="A6288" i="6" s="1"/>
  <c r="D6224" i="3"/>
  <c r="A6224" i="6" s="1"/>
  <c r="D6160" i="3"/>
  <c r="A6160" i="6" s="1"/>
  <c r="D6096" i="3"/>
  <c r="A6096" i="6" s="1"/>
  <c r="D6032" i="3"/>
  <c r="A6032" i="6" s="1"/>
  <c r="E5972" i="3"/>
  <c r="E5908" i="3"/>
  <c r="E5844" i="3"/>
  <c r="E5780" i="3"/>
  <c r="E5716" i="3"/>
  <c r="E5652" i="3"/>
  <c r="E5588" i="3"/>
  <c r="E5524" i="3"/>
  <c r="E5460" i="3"/>
  <c r="E5396" i="3"/>
  <c r="E5332" i="3"/>
  <c r="E5268" i="3"/>
  <c r="D7067" i="3"/>
  <c r="A7067" i="6" s="1"/>
  <c r="D7003" i="3"/>
  <c r="A7003" i="6" s="1"/>
  <c r="D6939" i="3"/>
  <c r="A6939" i="6" s="1"/>
  <c r="D6875" i="3"/>
  <c r="A6875" i="6" s="1"/>
  <c r="D6811" i="3"/>
  <c r="A6811" i="6" s="1"/>
  <c r="D6747" i="3"/>
  <c r="A6747" i="6" s="1"/>
  <c r="D6683" i="3"/>
  <c r="A6683" i="6" s="1"/>
  <c r="D6619" i="3"/>
  <c r="A6619" i="6" s="1"/>
  <c r="D6555" i="3"/>
  <c r="A6555" i="6" s="1"/>
  <c r="D6491" i="3"/>
  <c r="A6491" i="6" s="1"/>
  <c r="D6427" i="3"/>
  <c r="A6427" i="6" s="1"/>
  <c r="D6363" i="3"/>
  <c r="A6363" i="6" s="1"/>
  <c r="D6299" i="3"/>
  <c r="A6299" i="6" s="1"/>
  <c r="D6235" i="3"/>
  <c r="A6235" i="6" s="1"/>
  <c r="D6171" i="3"/>
  <c r="A6171" i="6" s="1"/>
  <c r="D6107" i="3"/>
  <c r="A6107" i="6" s="1"/>
  <c r="D6043" i="3"/>
  <c r="A6043" i="6" s="1"/>
  <c r="D5979" i="3"/>
  <c r="A5979" i="6" s="1"/>
  <c r="D5915" i="3"/>
  <c r="A5915" i="6" s="1"/>
  <c r="D5851" i="3"/>
  <c r="A5851" i="6" s="1"/>
  <c r="D5787" i="3"/>
  <c r="A5787" i="6" s="1"/>
  <c r="D5723" i="3"/>
  <c r="A5723" i="6" s="1"/>
  <c r="D5659" i="3"/>
  <c r="A5659" i="6" s="1"/>
  <c r="D5595" i="3"/>
  <c r="A5595" i="6" s="1"/>
  <c r="D5531" i="3"/>
  <c r="A5531" i="6" s="1"/>
  <c r="D5467" i="3"/>
  <c r="A5467" i="6" s="1"/>
  <c r="D5403" i="3"/>
  <c r="A5403" i="6" s="1"/>
  <c r="D5339" i="3"/>
  <c r="A5339" i="6" s="1"/>
  <c r="D5275" i="3"/>
  <c r="A5275" i="6" s="1"/>
  <c r="E5211" i="3"/>
  <c r="E5147" i="3"/>
  <c r="E5083" i="3"/>
  <c r="E5019" i="3"/>
  <c r="E4955" i="3"/>
  <c r="E4891" i="3"/>
  <c r="E4827" i="3"/>
  <c r="E4763" i="3"/>
  <c r="E4699" i="3"/>
  <c r="E4635" i="3"/>
  <c r="E4571" i="3"/>
  <c r="E4507" i="3"/>
  <c r="E4443" i="3"/>
  <c r="E4379" i="3"/>
  <c r="E4315" i="3"/>
  <c r="E4251" i="3"/>
  <c r="E4187" i="3"/>
  <c r="E4123" i="3"/>
  <c r="E4059" i="3"/>
  <c r="E3995" i="3"/>
  <c r="E3931" i="3"/>
  <c r="E3867" i="3"/>
  <c r="E3803" i="3"/>
  <c r="E3739" i="3"/>
  <c r="E3675" i="3"/>
  <c r="E3611" i="3"/>
  <c r="E3547" i="3"/>
  <c r="E3483" i="3"/>
  <c r="D5240" i="3"/>
  <c r="A5240" i="6" s="1"/>
  <c r="D5176" i="3"/>
  <c r="A5176" i="6" s="1"/>
  <c r="D5112" i="3"/>
  <c r="A5112" i="6" s="1"/>
  <c r="D5048" i="3"/>
  <c r="A5048" i="6" s="1"/>
  <c r="D4984" i="3"/>
  <c r="A4984" i="6" s="1"/>
  <c r="D4920" i="3"/>
  <c r="A4920" i="6" s="1"/>
  <c r="D4856" i="3"/>
  <c r="A4856" i="6" s="1"/>
  <c r="D4792" i="3"/>
  <c r="A4792" i="6" s="1"/>
  <c r="D4728" i="3"/>
  <c r="A4728" i="6" s="1"/>
  <c r="D4664" i="3"/>
  <c r="A4664" i="6" s="1"/>
  <c r="D4600" i="3"/>
  <c r="A4600" i="6" s="1"/>
  <c r="D4536" i="3"/>
  <c r="A4536" i="6" s="1"/>
  <c r="D4472" i="3"/>
  <c r="A4472" i="6" s="1"/>
  <c r="D4408" i="3"/>
  <c r="A4408" i="6" s="1"/>
  <c r="D4344" i="3"/>
  <c r="A4344" i="6" s="1"/>
  <c r="D4280" i="3"/>
  <c r="A4280" i="6" s="1"/>
  <c r="D4216" i="3"/>
  <c r="A4216" i="6" s="1"/>
  <c r="D4152" i="3"/>
  <c r="A4152" i="6" s="1"/>
  <c r="D4088" i="3"/>
  <c r="A4088" i="6" s="1"/>
  <c r="D4024" i="3"/>
  <c r="A4024" i="6" s="1"/>
  <c r="D3960" i="3"/>
  <c r="A3960" i="6" s="1"/>
  <c r="D3896" i="3"/>
  <c r="A3896" i="6" s="1"/>
  <c r="D3832" i="3"/>
  <c r="A3832" i="6" s="1"/>
  <c r="D3768" i="3"/>
  <c r="A3768" i="6" s="1"/>
  <c r="D3704" i="3"/>
  <c r="A3704" i="6" s="1"/>
  <c r="D3640" i="3"/>
  <c r="A3640" i="6" s="1"/>
  <c r="D3576" i="3"/>
  <c r="A3576" i="6" s="1"/>
  <c r="D3512" i="3"/>
  <c r="A3512" i="6" s="1"/>
  <c r="D3448" i="3"/>
  <c r="A3448" i="6" s="1"/>
  <c r="E3384" i="3"/>
  <c r="E3320" i="3"/>
  <c r="E3256" i="3"/>
  <c r="E3192" i="3"/>
  <c r="E3128" i="3"/>
  <c r="E3064" i="3"/>
  <c r="E3000" i="3"/>
  <c r="E2936" i="3"/>
  <c r="E2872" i="3"/>
  <c r="E2808" i="3"/>
  <c r="E2744" i="3"/>
  <c r="E2680" i="3"/>
  <c r="E2616" i="3"/>
  <c r="E2552" i="3"/>
  <c r="D3397" i="3"/>
  <c r="A3397" i="6" s="1"/>
  <c r="D3333" i="3"/>
  <c r="A3333" i="6" s="1"/>
  <c r="D3269" i="3"/>
  <c r="A3269" i="6" s="1"/>
  <c r="D3205" i="3"/>
  <c r="A3205" i="6" s="1"/>
  <c r="D3141" i="3"/>
  <c r="A3141" i="6" s="1"/>
  <c r="D3077" i="3"/>
  <c r="A3077" i="6" s="1"/>
  <c r="D3013" i="3"/>
  <c r="A3013" i="6" s="1"/>
  <c r="D2949" i="3"/>
  <c r="A2949" i="6" s="1"/>
  <c r="D2885" i="3"/>
  <c r="A2885" i="6" s="1"/>
  <c r="D2821" i="3"/>
  <c r="A2821" i="6" s="1"/>
  <c r="D2757" i="3"/>
  <c r="A2757" i="6" s="1"/>
  <c r="D2693" i="3"/>
  <c r="A2693" i="6" s="1"/>
  <c r="D2629" i="3"/>
  <c r="A2629" i="6" s="1"/>
  <c r="D2565" i="3"/>
  <c r="A2565" i="6" s="1"/>
  <c r="E2505" i="3"/>
  <c r="E2441" i="3"/>
  <c r="E2377" i="3"/>
  <c r="E2313" i="3"/>
  <c r="E2249" i="3"/>
  <c r="E2185" i="3"/>
  <c r="E2121" i="3"/>
  <c r="E2057" i="3"/>
  <c r="E1993" i="3"/>
  <c r="E1929" i="3"/>
  <c r="E1865" i="3"/>
  <c r="E1801" i="3"/>
  <c r="E1737" i="3"/>
  <c r="E1673" i="3"/>
  <c r="D2512" i="3"/>
  <c r="A2512" i="6" s="1"/>
  <c r="D2448" i="3"/>
  <c r="A2448" i="6" s="1"/>
  <c r="D2384" i="3"/>
  <c r="A2384" i="6" s="1"/>
  <c r="D2320" i="3"/>
  <c r="A2320" i="6" s="1"/>
  <c r="D2256" i="3"/>
  <c r="A2256" i="6" s="1"/>
  <c r="D2192" i="3"/>
  <c r="A2192" i="6" s="1"/>
  <c r="D2128" i="3"/>
  <c r="A2128" i="6" s="1"/>
  <c r="D2064" i="3"/>
  <c r="A2064" i="6" s="1"/>
  <c r="D2000" i="3"/>
  <c r="A2000" i="6" s="1"/>
  <c r="D1936" i="3"/>
  <c r="A1936" i="6" s="1"/>
  <c r="D1872" i="3"/>
  <c r="A1872" i="6" s="1"/>
  <c r="D1808" i="3"/>
  <c r="A1808" i="6" s="1"/>
  <c r="D1744" i="3"/>
  <c r="A1744" i="6" s="1"/>
  <c r="D1680" i="3"/>
  <c r="A1680" i="6" s="1"/>
  <c r="E1617" i="3"/>
  <c r="E1553" i="3"/>
  <c r="E1489" i="3"/>
  <c r="E1425" i="3"/>
  <c r="E1361" i="3"/>
  <c r="E1297" i="3"/>
  <c r="E1233" i="3"/>
  <c r="D1622" i="3"/>
  <c r="A1622" i="6" s="1"/>
  <c r="D1558" i="3"/>
  <c r="A1558" i="6" s="1"/>
  <c r="D1494" i="3"/>
  <c r="A1494" i="6" s="1"/>
  <c r="D1430" i="3"/>
  <c r="A1430" i="6" s="1"/>
  <c r="D1366" i="3"/>
  <c r="A1366" i="6" s="1"/>
  <c r="D1302" i="3"/>
  <c r="A1302" i="6" s="1"/>
  <c r="D1238" i="3"/>
  <c r="A1238" i="6" s="1"/>
  <c r="E1149" i="3"/>
  <c r="E1138" i="3"/>
  <c r="E1074" i="3"/>
  <c r="E1010" i="3"/>
  <c r="E946" i="3"/>
  <c r="E882" i="3"/>
  <c r="E818" i="3"/>
  <c r="E735" i="3"/>
  <c r="D1089" i="3"/>
  <c r="A1089" i="6" s="1"/>
  <c r="D1025" i="3"/>
  <c r="A1025" i="6" s="1"/>
  <c r="D961" i="3"/>
  <c r="A961" i="6" s="1"/>
  <c r="D897" i="3"/>
  <c r="A897" i="6" s="1"/>
  <c r="D833" i="3"/>
  <c r="A833" i="6" s="1"/>
  <c r="E769" i="3"/>
  <c r="D732" i="3"/>
  <c r="A732" i="6" s="1"/>
  <c r="E668" i="3"/>
  <c r="E604" i="3"/>
  <c r="D715" i="3"/>
  <c r="A715" i="6" s="1"/>
  <c r="D651" i="3"/>
  <c r="A651" i="6" s="1"/>
  <c r="D587" i="3"/>
  <c r="A587" i="6" s="1"/>
  <c r="E522" i="3"/>
  <c r="E458" i="3"/>
  <c r="E394" i="3"/>
  <c r="E330" i="3"/>
  <c r="D491" i="3"/>
  <c r="A491" i="6" s="1"/>
  <c r="D427" i="3"/>
  <c r="A427" i="6" s="1"/>
  <c r="D363" i="3"/>
  <c r="A363" i="6" s="1"/>
  <c r="E308" i="3"/>
  <c r="E244" i="3"/>
  <c r="D279" i="3"/>
  <c r="A279" i="6" s="1"/>
  <c r="D215" i="3"/>
  <c r="A215" i="6" s="1"/>
  <c r="E150" i="3"/>
  <c r="D165" i="3"/>
  <c r="A165" i="6" s="1"/>
  <c r="D5964" i="3"/>
  <c r="D5900" i="3"/>
  <c r="D5836" i="3"/>
  <c r="D5772" i="3"/>
  <c r="D5708" i="3"/>
  <c r="D5644" i="3"/>
  <c r="D5580" i="3"/>
  <c r="D5516" i="3"/>
  <c r="D5452" i="3"/>
  <c r="D5388" i="3"/>
  <c r="D5324" i="3"/>
  <c r="E7123" i="3"/>
  <c r="E7059" i="3"/>
  <c r="E6995" i="3"/>
  <c r="E6931" i="3"/>
  <c r="E6867" i="3"/>
  <c r="E6803" i="3"/>
  <c r="E6739" i="3"/>
  <c r="E6675" i="3"/>
  <c r="E6611" i="3"/>
  <c r="E6547" i="3"/>
  <c r="E6483" i="3"/>
  <c r="E6419" i="3"/>
  <c r="E6355" i="3"/>
  <c r="E6291" i="3"/>
  <c r="E6227" i="3"/>
  <c r="E6163" i="3"/>
  <c r="E6099" i="3"/>
  <c r="E6035" i="3"/>
  <c r="E5971" i="3"/>
  <c r="E5907" i="3"/>
  <c r="E5843" i="3"/>
  <c r="E5779" i="3"/>
  <c r="E5715" i="3"/>
  <c r="E5651" i="3"/>
  <c r="E5587" i="3"/>
  <c r="E5523" i="3"/>
  <c r="E5459" i="3"/>
  <c r="E5395" i="3"/>
  <c r="E5331" i="3"/>
  <c r="E5267" i="3"/>
  <c r="D5203" i="3"/>
  <c r="D5139" i="3"/>
  <c r="D5075" i="3"/>
  <c r="D5011" i="3"/>
  <c r="D4947" i="3"/>
  <c r="D4883" i="3"/>
  <c r="D4819" i="3"/>
  <c r="D4755" i="3"/>
  <c r="D4691" i="3"/>
  <c r="D4627" i="3"/>
  <c r="D4563" i="3"/>
  <c r="D4499" i="3"/>
  <c r="D4435" i="3"/>
  <c r="D4371" i="3"/>
  <c r="D4307" i="3"/>
  <c r="D4243" i="3"/>
  <c r="D4179" i="3"/>
  <c r="D4115" i="3"/>
  <c r="D4051" i="3"/>
  <c r="D3987" i="3"/>
  <c r="D3923" i="3"/>
  <c r="D3859" i="3"/>
  <c r="D3795" i="3"/>
  <c r="D3731" i="3"/>
  <c r="D3667" i="3"/>
  <c r="D3603" i="3"/>
  <c r="D3539" i="3"/>
  <c r="D3475" i="3"/>
  <c r="E5232" i="3"/>
  <c r="E5168" i="3"/>
  <c r="E5104" i="3"/>
  <c r="E5040" i="3"/>
  <c r="E4976" i="3"/>
  <c r="E4912" i="3"/>
  <c r="E4848" i="3"/>
  <c r="E4784" i="3"/>
  <c r="E4720" i="3"/>
  <c r="E4656" i="3"/>
  <c r="E4592" i="3"/>
  <c r="E4528" i="3"/>
  <c r="E4464" i="3"/>
  <c r="E4400" i="3"/>
  <c r="E4336" i="3"/>
  <c r="E4272" i="3"/>
  <c r="E4208" i="3"/>
  <c r="E4144" i="3"/>
  <c r="E4080" i="3"/>
  <c r="E4016" i="3"/>
  <c r="E3952" i="3"/>
  <c r="E3888" i="3"/>
  <c r="E3824" i="3"/>
  <c r="E3760" i="3"/>
  <c r="E3696" i="3"/>
  <c r="E3632" i="3"/>
  <c r="E3568" i="3"/>
  <c r="E3504" i="3"/>
  <c r="D3440" i="3"/>
  <c r="D3376" i="3"/>
  <c r="D3312" i="3"/>
  <c r="D3248" i="3"/>
  <c r="D3184" i="3"/>
  <c r="D3120" i="3"/>
  <c r="D3056" i="3"/>
  <c r="D2992" i="3"/>
  <c r="D2928" i="3"/>
  <c r="D2864" i="3"/>
  <c r="D2800" i="3"/>
  <c r="D2736" i="3"/>
  <c r="D2672" i="3"/>
  <c r="D2608" i="3"/>
  <c r="D2544" i="3"/>
  <c r="E3389" i="3"/>
  <c r="E3325" i="3"/>
  <c r="E3261" i="3"/>
  <c r="E3197" i="3"/>
  <c r="E3133" i="3"/>
  <c r="E3069" i="3"/>
  <c r="E3005" i="3"/>
  <c r="E2941" i="3"/>
  <c r="E2877" i="3"/>
  <c r="E2813" i="3"/>
  <c r="E2749" i="3"/>
  <c r="E2685" i="3"/>
  <c r="E2621" i="3"/>
  <c r="E2557" i="3"/>
  <c r="D2497" i="3"/>
  <c r="D2433" i="3"/>
  <c r="D2369" i="3"/>
  <c r="D2305" i="3"/>
  <c r="D2241" i="3"/>
  <c r="D2177" i="3"/>
  <c r="D2113" i="3"/>
  <c r="D2049" i="3"/>
  <c r="D1985" i="3"/>
  <c r="D1921" i="3"/>
  <c r="D1857" i="3"/>
  <c r="D1793" i="3"/>
  <c r="D1729" i="3"/>
  <c r="D1665" i="3"/>
  <c r="E2504" i="3"/>
  <c r="E2440" i="3"/>
  <c r="E2376" i="3"/>
  <c r="E2312" i="3"/>
  <c r="E2248" i="3"/>
  <c r="E2184" i="3"/>
  <c r="E2120" i="3"/>
  <c r="E2056" i="3"/>
  <c r="E1992" i="3"/>
  <c r="E1928" i="3"/>
  <c r="E1864" i="3"/>
  <c r="E1800" i="3"/>
  <c r="E1736" i="3"/>
  <c r="E1672" i="3"/>
  <c r="D1609" i="3"/>
  <c r="D1545" i="3"/>
  <c r="D1481" i="3"/>
  <c r="D1417" i="3"/>
  <c r="D1353" i="3"/>
  <c r="D1289" i="3"/>
  <c r="D1225" i="3"/>
  <c r="E1614" i="3"/>
  <c r="E1550" i="3"/>
  <c r="E1486" i="3"/>
  <c r="E1422" i="3"/>
  <c r="E1358" i="3"/>
  <c r="E1294" i="3"/>
  <c r="E1230" i="3"/>
  <c r="E1194" i="3"/>
  <c r="D1130" i="3"/>
  <c r="D1066" i="3"/>
  <c r="D1002" i="3"/>
  <c r="D938" i="3"/>
  <c r="D874" i="3"/>
  <c r="D810" i="3"/>
  <c r="D719" i="3"/>
  <c r="E1081" i="3"/>
  <c r="E1017" i="3"/>
  <c r="E953" i="3"/>
  <c r="E889" i="3"/>
  <c r="E825" i="3"/>
  <c r="D753" i="3"/>
  <c r="E724" i="3"/>
  <c r="D660" i="3"/>
  <c r="D596" i="3"/>
  <c r="E707" i="3"/>
  <c r="E643" i="3"/>
  <c r="E579" i="3"/>
  <c r="D514" i="3"/>
  <c r="D450" i="3"/>
  <c r="D386" i="3"/>
  <c r="D317" i="3"/>
  <c r="E483" i="3"/>
  <c r="E419" i="3"/>
  <c r="E355" i="3"/>
  <c r="D300" i="3"/>
  <c r="D236" i="3"/>
  <c r="E271" i="3"/>
  <c r="D206" i="3"/>
  <c r="E157" i="3"/>
  <c r="E5832" i="3"/>
  <c r="E5768" i="3"/>
  <c r="E5704" i="3"/>
  <c r="E5640" i="3"/>
  <c r="E5576" i="3"/>
  <c r="E5512" i="3"/>
  <c r="E5448" i="3"/>
  <c r="E5384" i="3"/>
  <c r="E5320" i="3"/>
  <c r="D7119" i="3"/>
  <c r="D7055" i="3"/>
  <c r="D6991" i="3"/>
  <c r="D6927" i="3"/>
  <c r="D6863" i="3"/>
  <c r="D6799" i="3"/>
  <c r="D6735" i="3"/>
  <c r="D6671" i="3"/>
  <c r="D6607" i="3"/>
  <c r="D6543" i="3"/>
  <c r="D6479" i="3"/>
  <c r="D6415" i="3"/>
  <c r="D6351" i="3"/>
  <c r="D6287" i="3"/>
  <c r="D6223" i="3"/>
  <c r="D6159" i="3"/>
  <c r="D6095" i="3"/>
  <c r="D6031" i="3"/>
  <c r="D5967" i="3"/>
  <c r="D5903" i="3"/>
  <c r="D5839" i="3"/>
  <c r="D5775" i="3"/>
  <c r="D5711" i="3"/>
  <c r="D5647" i="3"/>
  <c r="D5583" i="3"/>
  <c r="D5519" i="3"/>
  <c r="D5455" i="3"/>
  <c r="D5391" i="3"/>
  <c r="D5327" i="3"/>
  <c r="D5263" i="3"/>
  <c r="E5199" i="3"/>
  <c r="E5135" i="3"/>
  <c r="E5071" i="3"/>
  <c r="E5007" i="3"/>
  <c r="E4943" i="3"/>
  <c r="E4879" i="3"/>
  <c r="E4815" i="3"/>
  <c r="E4751" i="3"/>
  <c r="E4687" i="3"/>
  <c r="E4623" i="3"/>
  <c r="E4559" i="3"/>
  <c r="E4495" i="3"/>
  <c r="E4431" i="3"/>
  <c r="E4367" i="3"/>
  <c r="E4303" i="3"/>
  <c r="E4239" i="3"/>
  <c r="E4175" i="3"/>
  <c r="E4111" i="3"/>
  <c r="E4047" i="3"/>
  <c r="E3983" i="3"/>
  <c r="E3919" i="3"/>
  <c r="E3855" i="3"/>
  <c r="E3791" i="3"/>
  <c r="E3727" i="3"/>
  <c r="E3663" i="3"/>
  <c r="E3599" i="3"/>
  <c r="E3535" i="3"/>
  <c r="E3471" i="3"/>
  <c r="D5228" i="3"/>
  <c r="D5164" i="3"/>
  <c r="D5100" i="3"/>
  <c r="D5036" i="3"/>
  <c r="D4972" i="3"/>
  <c r="D4908" i="3"/>
  <c r="D4844" i="3"/>
  <c r="D4780" i="3"/>
  <c r="D4716" i="3"/>
  <c r="D4652" i="3"/>
  <c r="D4588" i="3"/>
  <c r="D4524" i="3"/>
  <c r="D4460" i="3"/>
  <c r="D4396" i="3"/>
  <c r="D4332" i="3"/>
  <c r="D4268" i="3"/>
  <c r="D4204" i="3"/>
  <c r="D4140" i="3"/>
  <c r="D4076" i="3"/>
  <c r="D4012" i="3"/>
  <c r="D3948" i="3"/>
  <c r="D3884" i="3"/>
  <c r="D3820" i="3"/>
  <c r="D3756" i="3"/>
  <c r="D3692" i="3"/>
  <c r="D3628" i="3"/>
  <c r="D3564" i="3"/>
  <c r="D3500" i="3"/>
  <c r="E3436" i="3"/>
  <c r="E3372" i="3"/>
  <c r="E3308" i="3"/>
  <c r="E3244" i="3"/>
  <c r="E3180" i="3"/>
  <c r="E3116" i="3"/>
  <c r="E3052" i="3"/>
  <c r="E2988" i="3"/>
  <c r="E2924" i="3"/>
  <c r="E2860" i="3"/>
  <c r="E2796" i="3"/>
  <c r="E2732" i="3"/>
  <c r="E2668" i="3"/>
  <c r="E2604" i="3"/>
  <c r="E2540" i="3"/>
  <c r="D3385" i="3"/>
  <c r="D3321" i="3"/>
  <c r="D3257" i="3"/>
  <c r="D3193" i="3"/>
  <c r="D3129" i="3"/>
  <c r="D3065" i="3"/>
  <c r="D3001" i="3"/>
  <c r="D2937" i="3"/>
  <c r="D2873" i="3"/>
  <c r="D2809" i="3"/>
  <c r="D2745" i="3"/>
  <c r="D2681" i="3"/>
  <c r="D2617" i="3"/>
  <c r="D2553" i="3"/>
  <c r="E2493" i="3"/>
  <c r="E2429" i="3"/>
  <c r="E2365" i="3"/>
  <c r="E2301" i="3"/>
  <c r="E2237" i="3"/>
  <c r="E2173" i="3"/>
  <c r="E2109" i="3"/>
  <c r="E2045" i="3"/>
  <c r="E1981" i="3"/>
  <c r="E1917" i="3"/>
  <c r="E1853" i="3"/>
  <c r="E1789" i="3"/>
  <c r="E1725" i="3"/>
  <c r="E1661" i="3"/>
  <c r="D2500" i="3"/>
  <c r="D2436" i="3"/>
  <c r="D2372" i="3"/>
  <c r="D2308" i="3"/>
  <c r="D2244" i="3"/>
  <c r="D2180" i="3"/>
  <c r="D2116" i="3"/>
  <c r="D2052" i="3"/>
  <c r="D1988" i="3"/>
  <c r="D1924" i="3"/>
  <c r="D1860" i="3"/>
  <c r="D1796" i="3"/>
  <c r="D1732" i="3"/>
  <c r="D1668" i="3"/>
  <c r="E1605" i="3"/>
  <c r="E1541" i="3"/>
  <c r="E1477" i="3"/>
  <c r="E1413" i="3"/>
  <c r="E1349" i="3"/>
  <c r="E1285" i="3"/>
  <c r="E1221" i="3"/>
  <c r="D1610" i="3"/>
  <c r="D1546" i="3"/>
  <c r="D1482" i="3"/>
  <c r="D1418" i="3"/>
  <c r="D1354" i="3"/>
  <c r="D1290" i="3"/>
  <c r="D1226" i="3"/>
  <c r="D1190" i="3"/>
  <c r="E1126" i="3"/>
  <c r="E1062" i="3"/>
  <c r="E998" i="3"/>
  <c r="E934" i="3"/>
  <c r="E870" i="3"/>
  <c r="E806" i="3"/>
  <c r="D1141" i="3"/>
  <c r="D1077" i="3"/>
  <c r="D1013" i="3"/>
  <c r="D949" i="3"/>
  <c r="D885" i="3"/>
  <c r="D821" i="3"/>
  <c r="E745" i="3"/>
  <c r="D720" i="3"/>
  <c r="E656" i="3"/>
  <c r="E592" i="3"/>
  <c r="D703" i="3"/>
  <c r="D639" i="3"/>
  <c r="D575" i="3"/>
  <c r="E510" i="3"/>
  <c r="E446" i="3"/>
  <c r="E382" i="3"/>
  <c r="D543" i="3"/>
  <c r="D479" i="3"/>
  <c r="D415" i="3"/>
  <c r="D351" i="3"/>
  <c r="E296" i="3"/>
  <c r="E232" i="3"/>
  <c r="D267" i="3"/>
  <c r="E202" i="3"/>
  <c r="D153" i="3"/>
  <c r="A153" i="6" s="1"/>
  <c r="D5960" i="3"/>
  <c r="D5896" i="3"/>
  <c r="D5832" i="3"/>
  <c r="A5832" i="6" s="1"/>
  <c r="D5768" i="3"/>
  <c r="A5768" i="6" s="1"/>
  <c r="D5704" i="3"/>
  <c r="A5704" i="6" s="1"/>
  <c r="D5640" i="3"/>
  <c r="A5640" i="6" s="1"/>
  <c r="D5576" i="3"/>
  <c r="A5576" i="6" s="1"/>
  <c r="D5512" i="3"/>
  <c r="A5512" i="6" s="1"/>
  <c r="D5448" i="3"/>
  <c r="A5448" i="6" s="1"/>
  <c r="D5384" i="3"/>
  <c r="A5384" i="6" s="1"/>
  <c r="D5320" i="3"/>
  <c r="A5320" i="6" s="1"/>
  <c r="E7119" i="3"/>
  <c r="E7055" i="3"/>
  <c r="E6991" i="3"/>
  <c r="E6927" i="3"/>
  <c r="E6863" i="3"/>
  <c r="E6799" i="3"/>
  <c r="E6735" i="3"/>
  <c r="E6671" i="3"/>
  <c r="E6607" i="3"/>
  <c r="E6543" i="3"/>
  <c r="E6479" i="3"/>
  <c r="E6415" i="3"/>
  <c r="E6351" i="3"/>
  <c r="E6287" i="3"/>
  <c r="E6223" i="3"/>
  <c r="E6159" i="3"/>
  <c r="E6095" i="3"/>
  <c r="E6031" i="3"/>
  <c r="E5967" i="3"/>
  <c r="E5903" i="3"/>
  <c r="E5839" i="3"/>
  <c r="E5775" i="3"/>
  <c r="E5711" i="3"/>
  <c r="E5647" i="3"/>
  <c r="E5583" i="3"/>
  <c r="E5519" i="3"/>
  <c r="E5455" i="3"/>
  <c r="E5391" i="3"/>
  <c r="E5327" i="3"/>
  <c r="E5263" i="3"/>
  <c r="D5199" i="3"/>
  <c r="A5199" i="6" s="1"/>
  <c r="D5135" i="3"/>
  <c r="A5135" i="6" s="1"/>
  <c r="D5071" i="3"/>
  <c r="A5071" i="6" s="1"/>
  <c r="D5007" i="3"/>
  <c r="A5007" i="6" s="1"/>
  <c r="D4943" i="3"/>
  <c r="A4943" i="6" s="1"/>
  <c r="D4879" i="3"/>
  <c r="A4879" i="6" s="1"/>
  <c r="D4815" i="3"/>
  <c r="A4815" i="6" s="1"/>
  <c r="D4751" i="3"/>
  <c r="A4751" i="6" s="1"/>
  <c r="D4687" i="3"/>
  <c r="A4687" i="6" s="1"/>
  <c r="D4623" i="3"/>
  <c r="A4623" i="6" s="1"/>
  <c r="D4559" i="3"/>
  <c r="A4559" i="6" s="1"/>
  <c r="D4495" i="3"/>
  <c r="A4495" i="6" s="1"/>
  <c r="D4431" i="3"/>
  <c r="A4431" i="6" s="1"/>
  <c r="D4367" i="3"/>
  <c r="A4367" i="6" s="1"/>
  <c r="D4303" i="3"/>
  <c r="A4303" i="6" s="1"/>
  <c r="D4239" i="3"/>
  <c r="A4239" i="6" s="1"/>
  <c r="D4175" i="3"/>
  <c r="A4175" i="6" s="1"/>
  <c r="D4111" i="3"/>
  <c r="A4111" i="6" s="1"/>
  <c r="D4047" i="3"/>
  <c r="A4047" i="6" s="1"/>
  <c r="D3983" i="3"/>
  <c r="A3983" i="6" s="1"/>
  <c r="D3919" i="3"/>
  <c r="A3919" i="6" s="1"/>
  <c r="D3855" i="3"/>
  <c r="A3855" i="6" s="1"/>
  <c r="D3791" i="3"/>
  <c r="A3791" i="6" s="1"/>
  <c r="D3727" i="3"/>
  <c r="A3727" i="6" s="1"/>
  <c r="D3663" i="3"/>
  <c r="A3663" i="6" s="1"/>
  <c r="D3599" i="3"/>
  <c r="A3599" i="6" s="1"/>
  <c r="D3535" i="3"/>
  <c r="A3535" i="6" s="1"/>
  <c r="D3471" i="3"/>
  <c r="A3471" i="6" s="1"/>
  <c r="E5228" i="3"/>
  <c r="E5164" i="3"/>
  <c r="E5100" i="3"/>
  <c r="E5036" i="3"/>
  <c r="E4972" i="3"/>
  <c r="E4908" i="3"/>
  <c r="E4844" i="3"/>
  <c r="E4780" i="3"/>
  <c r="E4716" i="3"/>
  <c r="E4652" i="3"/>
  <c r="E4588" i="3"/>
  <c r="E4524" i="3"/>
  <c r="E4460" i="3"/>
  <c r="E4396" i="3"/>
  <c r="E4332" i="3"/>
  <c r="E4268" i="3"/>
  <c r="E4204" i="3"/>
  <c r="E4140" i="3"/>
  <c r="E4076" i="3"/>
  <c r="E4012" i="3"/>
  <c r="E3948" i="3"/>
  <c r="E3884" i="3"/>
  <c r="E3820" i="3"/>
  <c r="E3756" i="3"/>
  <c r="E3692" i="3"/>
  <c r="E3628" i="3"/>
  <c r="E3564" i="3"/>
  <c r="E3500" i="3"/>
  <c r="D3436" i="3"/>
  <c r="A3436" i="6" s="1"/>
  <c r="D3372" i="3"/>
  <c r="A3372" i="6" s="1"/>
  <c r="D3308" i="3"/>
  <c r="A3308" i="6" s="1"/>
  <c r="D3244" i="3"/>
  <c r="A3244" i="6" s="1"/>
  <c r="D3180" i="3"/>
  <c r="A3180" i="6" s="1"/>
  <c r="D3116" i="3"/>
  <c r="A3116" i="6" s="1"/>
  <c r="D3052" i="3"/>
  <c r="A3052" i="6" s="1"/>
  <c r="D2988" i="3"/>
  <c r="A2988" i="6" s="1"/>
  <c r="D2924" i="3"/>
  <c r="A2924" i="6" s="1"/>
  <c r="D2860" i="3"/>
  <c r="A2860" i="6" s="1"/>
  <c r="D2796" i="3"/>
  <c r="A2796" i="6" s="1"/>
  <c r="D2732" i="3"/>
  <c r="A2732" i="6" s="1"/>
  <c r="D2668" i="3"/>
  <c r="A2668" i="6" s="1"/>
  <c r="D2604" i="3"/>
  <c r="A2604" i="6" s="1"/>
  <c r="D2540" i="3"/>
  <c r="A2540" i="6" s="1"/>
  <c r="E3385" i="3"/>
  <c r="E3321" i="3"/>
  <c r="E3257" i="3"/>
  <c r="E3193" i="3"/>
  <c r="E3129" i="3"/>
  <c r="E3065" i="3"/>
  <c r="E3001" i="3"/>
  <c r="E2937" i="3"/>
  <c r="E2873" i="3"/>
  <c r="E2809" i="3"/>
  <c r="E2745" i="3"/>
  <c r="E2681" i="3"/>
  <c r="E2617" i="3"/>
  <c r="E2553" i="3"/>
  <c r="D2493" i="3"/>
  <c r="A2493" i="6" s="1"/>
  <c r="D2429" i="3"/>
  <c r="A2429" i="6" s="1"/>
  <c r="D2365" i="3"/>
  <c r="A2365" i="6" s="1"/>
  <c r="D2301" i="3"/>
  <c r="A2301" i="6" s="1"/>
  <c r="D2237" i="3"/>
  <c r="A2237" i="6" s="1"/>
  <c r="D2173" i="3"/>
  <c r="A2173" i="6" s="1"/>
  <c r="D2109" i="3"/>
  <c r="A2109" i="6" s="1"/>
  <c r="D2045" i="3"/>
  <c r="A2045" i="6" s="1"/>
  <c r="D1981" i="3"/>
  <c r="A1981" i="6" s="1"/>
  <c r="D1917" i="3"/>
  <c r="A1917" i="6" s="1"/>
  <c r="D1853" i="3"/>
  <c r="A1853" i="6" s="1"/>
  <c r="D1789" i="3"/>
  <c r="A1789" i="6" s="1"/>
  <c r="D1725" i="3"/>
  <c r="A1725" i="6" s="1"/>
  <c r="D1661" i="3"/>
  <c r="A1661" i="6" s="1"/>
  <c r="E2500" i="3"/>
  <c r="E2436" i="3"/>
  <c r="E2372" i="3"/>
  <c r="E2308" i="3"/>
  <c r="E2244" i="3"/>
  <c r="E2180" i="3"/>
  <c r="E2116" i="3"/>
  <c r="E2052" i="3"/>
  <c r="E1988" i="3"/>
  <c r="E1924" i="3"/>
  <c r="E1860" i="3"/>
  <c r="E1796" i="3"/>
  <c r="E1732" i="3"/>
  <c r="E1668" i="3"/>
  <c r="D1605" i="3"/>
  <c r="A1605" i="6" s="1"/>
  <c r="D1541" i="3"/>
  <c r="A1541" i="6" s="1"/>
  <c r="D1477" i="3"/>
  <c r="A1477" i="6" s="1"/>
  <c r="D1413" i="3"/>
  <c r="A1413" i="6" s="1"/>
  <c r="D1349" i="3"/>
  <c r="A1349" i="6" s="1"/>
  <c r="D1285" i="3"/>
  <c r="A1285" i="6" s="1"/>
  <c r="D1221" i="3"/>
  <c r="A1221" i="6" s="1"/>
  <c r="E8667" i="3"/>
  <c r="E8539" i="3"/>
  <c r="E8685" i="3"/>
  <c r="E8621" i="3"/>
  <c r="E8557" i="3"/>
  <c r="E8493" i="3"/>
  <c r="E8429" i="3"/>
  <c r="E8365" i="3"/>
  <c r="E8301" i="3"/>
  <c r="E8237" i="3"/>
  <c r="E8173" i="3"/>
  <c r="E8109" i="3"/>
  <c r="E8045" i="3"/>
  <c r="E7981" i="3"/>
  <c r="E7917" i="3"/>
  <c r="E7853" i="3"/>
  <c r="E7789" i="3"/>
  <c r="E7725" i="3"/>
  <c r="E7661" i="3"/>
  <c r="E7597" i="3"/>
  <c r="E7533" i="3"/>
  <c r="E7469" i="3"/>
  <c r="E7405" i="3"/>
  <c r="E7341" i="3"/>
  <c r="E7277" i="3"/>
  <c r="E7213" i="3"/>
  <c r="E7149" i="3"/>
  <c r="D8756" i="3"/>
  <c r="D8692" i="3"/>
  <c r="D8628" i="3"/>
  <c r="D8564" i="3"/>
  <c r="D8500" i="3"/>
  <c r="D8436" i="3"/>
  <c r="D8372" i="3"/>
  <c r="D8308" i="3"/>
  <c r="D8244" i="3"/>
  <c r="D8180" i="3"/>
  <c r="D8116" i="3"/>
  <c r="D8052" i="3"/>
  <c r="D7988" i="3"/>
  <c r="D7924" i="3"/>
  <c r="D7860" i="3"/>
  <c r="D7796" i="3"/>
  <c r="D7732" i="3"/>
  <c r="D7668" i="3"/>
  <c r="D7604" i="3"/>
  <c r="D7540" i="3"/>
  <c r="D7476" i="3"/>
  <c r="D7412" i="3"/>
  <c r="D7348" i="3"/>
  <c r="D7284" i="3"/>
  <c r="D7220" i="3"/>
  <c r="D7156" i="3"/>
  <c r="E7070" i="3"/>
  <c r="E7006" i="3"/>
  <c r="E6942" i="3"/>
  <c r="E6878" i="3"/>
  <c r="E6814" i="3"/>
  <c r="E6750" i="3"/>
  <c r="E6686" i="3"/>
  <c r="E6622" i="3"/>
  <c r="E6558" i="3"/>
  <c r="E6494" i="3"/>
  <c r="E6430" i="3"/>
  <c r="E6366" i="3"/>
  <c r="E6302" i="3"/>
  <c r="E6238" i="3"/>
  <c r="E6174" i="3"/>
  <c r="E6110" i="3"/>
  <c r="E6046" i="3"/>
  <c r="E5982" i="3"/>
  <c r="E5918" i="3"/>
  <c r="E5854" i="3"/>
  <c r="E5790" i="3"/>
  <c r="E5726" i="3"/>
  <c r="E5662" i="3"/>
  <c r="E5598" i="3"/>
  <c r="E5534" i="3"/>
  <c r="E5470" i="3"/>
  <c r="E5406" i="3"/>
  <c r="E5342" i="3"/>
  <c r="E5278" i="3"/>
  <c r="D7077" i="3"/>
  <c r="D7013" i="3"/>
  <c r="D6949" i="3"/>
  <c r="D6885" i="3"/>
  <c r="D6821" i="3"/>
  <c r="D6757" i="3"/>
  <c r="D6693" i="3"/>
  <c r="D6629" i="3"/>
  <c r="D6565" i="3"/>
  <c r="D6501" i="3"/>
  <c r="D6437" i="3"/>
  <c r="D6373" i="3"/>
  <c r="D6309" i="3"/>
  <c r="D6245" i="3"/>
  <c r="D6181" i="3"/>
  <c r="D6117" i="3"/>
  <c r="D6053" i="3"/>
  <c r="D5989" i="3"/>
  <c r="D5925" i="3"/>
  <c r="D5861" i="3"/>
  <c r="D5797" i="3"/>
  <c r="D5733" i="3"/>
  <c r="D5669" i="3"/>
  <c r="D5605" i="3"/>
  <c r="D5541" i="3"/>
  <c r="D5477" i="3"/>
  <c r="D5413" i="3"/>
  <c r="D5349" i="3"/>
  <c r="D5285" i="3"/>
  <c r="E5221" i="3"/>
  <c r="E5157" i="3"/>
  <c r="E5093" i="3"/>
  <c r="E5029" i="3"/>
  <c r="E4965" i="3"/>
  <c r="E4901" i="3"/>
  <c r="E4837" i="3"/>
  <c r="E4773" i="3"/>
  <c r="E4709" i="3"/>
  <c r="E4645" i="3"/>
  <c r="E4581" i="3"/>
  <c r="E4517" i="3"/>
  <c r="E4453" i="3"/>
  <c r="E4389" i="3"/>
  <c r="E4325" i="3"/>
  <c r="E4261" i="3"/>
  <c r="E4197" i="3"/>
  <c r="E4133" i="3"/>
  <c r="E4069" i="3"/>
  <c r="E4005" i="3"/>
  <c r="E3941" i="3"/>
  <c r="E3877" i="3"/>
  <c r="E3813" i="3"/>
  <c r="E3749" i="3"/>
  <c r="E3685" i="3"/>
  <c r="E3621" i="3"/>
  <c r="E3557" i="3"/>
  <c r="E3493" i="3"/>
  <c r="D5250" i="3"/>
  <c r="D5186" i="3"/>
  <c r="D5122" i="3"/>
  <c r="D5058" i="3"/>
  <c r="D4994" i="3"/>
  <c r="D4930" i="3"/>
  <c r="D4866" i="3"/>
  <c r="D4802" i="3"/>
  <c r="D4738" i="3"/>
  <c r="D4674" i="3"/>
  <c r="D4610" i="3"/>
  <c r="D4546" i="3"/>
  <c r="D4482" i="3"/>
  <c r="D4418" i="3"/>
  <c r="D4354" i="3"/>
  <c r="D4290" i="3"/>
  <c r="D4226" i="3"/>
  <c r="D4162" i="3"/>
  <c r="D4098" i="3"/>
  <c r="D4034" i="3"/>
  <c r="D3970" i="3"/>
  <c r="D3906" i="3"/>
  <c r="D3842" i="3"/>
  <c r="D3778" i="3"/>
  <c r="D3714" i="3"/>
  <c r="D3650" i="3"/>
  <c r="D3586" i="3"/>
  <c r="D3522" i="3"/>
  <c r="D3458" i="3"/>
  <c r="E3394" i="3"/>
  <c r="E3330" i="3"/>
  <c r="E3266" i="3"/>
  <c r="E3202" i="3"/>
  <c r="E3138" i="3"/>
  <c r="E3074" i="3"/>
  <c r="E3010" i="3"/>
  <c r="E2946" i="3"/>
  <c r="E2882" i="3"/>
  <c r="E2818" i="3"/>
  <c r="E2754" i="3"/>
  <c r="E2690" i="3"/>
  <c r="E2626" i="3"/>
  <c r="E2562" i="3"/>
  <c r="D3407" i="3"/>
  <c r="D3343" i="3"/>
  <c r="D3279" i="3"/>
  <c r="D3215" i="3"/>
  <c r="D3151" i="3"/>
  <c r="D3087" i="3"/>
  <c r="D3023" i="3"/>
  <c r="D2959" i="3"/>
  <c r="D2895" i="3"/>
  <c r="D2831" i="3"/>
  <c r="D2767" i="3"/>
  <c r="D2703" i="3"/>
  <c r="D2639" i="3"/>
  <c r="D2575" i="3"/>
  <c r="E2515" i="3"/>
  <c r="E2451" i="3"/>
  <c r="E2387" i="3"/>
  <c r="E2323" i="3"/>
  <c r="E2259" i="3"/>
  <c r="E2195" i="3"/>
  <c r="E2131" i="3"/>
  <c r="E2067" i="3"/>
  <c r="E2003" i="3"/>
  <c r="E1939" i="3"/>
  <c r="E1875" i="3"/>
  <c r="E1811" i="3"/>
  <c r="E1747" i="3"/>
  <c r="E1683" i="3"/>
  <c r="D2522" i="3"/>
  <c r="D2458" i="3"/>
  <c r="D2394" i="3"/>
  <c r="D2330" i="3"/>
  <c r="D2266" i="3"/>
  <c r="D2202" i="3"/>
  <c r="D2138" i="3"/>
  <c r="D2074" i="3"/>
  <c r="D2010" i="3"/>
  <c r="D1946" i="3"/>
  <c r="D1882" i="3"/>
  <c r="D1818" i="3"/>
  <c r="D1754" i="3"/>
  <c r="D1690" i="3"/>
  <c r="D1626" i="3"/>
  <c r="E1563" i="3"/>
  <c r="E1499" i="3"/>
  <c r="E1435" i="3"/>
  <c r="E1371" i="3"/>
  <c r="E1307" i="3"/>
  <c r="E1243" i="3"/>
  <c r="E1159" i="3"/>
  <c r="D1568" i="3"/>
  <c r="D1504" i="3"/>
  <c r="D1440" i="3"/>
  <c r="D1376" i="3"/>
  <c r="D1312" i="3"/>
  <c r="D1248" i="3"/>
  <c r="E1169" i="3"/>
  <c r="D1148" i="3"/>
  <c r="E1084" i="3"/>
  <c r="E1020" i="3"/>
  <c r="E956" i="3"/>
  <c r="E892" i="3"/>
  <c r="E828" i="3"/>
  <c r="E755" i="3"/>
  <c r="D1099" i="3"/>
  <c r="D1035" i="3"/>
  <c r="D971" i="3"/>
  <c r="D907" i="3"/>
  <c r="D843" i="3"/>
  <c r="D779" i="3"/>
  <c r="D742" i="3"/>
  <c r="E678" i="3"/>
  <c r="E614" i="3"/>
  <c r="E550" i="3"/>
  <c r="D661" i="3"/>
  <c r="D597" i="3"/>
  <c r="E532" i="3"/>
  <c r="E468" i="3"/>
  <c r="E404" i="3"/>
  <c r="E340" i="3"/>
  <c r="D501" i="3"/>
  <c r="D437" i="3"/>
  <c r="D373" i="3"/>
  <c r="D318" i="3"/>
  <c r="E254" i="3"/>
  <c r="D289" i="3"/>
  <c r="D225" i="3"/>
  <c r="E160" i="3"/>
  <c r="D207" i="3"/>
  <c r="E8663" i="3"/>
  <c r="E8535" i="3"/>
  <c r="E8471" i="3"/>
  <c r="E8407" i="3"/>
  <c r="E8343" i="3"/>
  <c r="E8279" i="3"/>
  <c r="E8215" i="3"/>
  <c r="E8151" i="3"/>
  <c r="E8087" i="3"/>
  <c r="E8023" i="3"/>
  <c r="E7959" i="3"/>
  <c r="E7895" i="3"/>
  <c r="E7831" i="3"/>
  <c r="E7767" i="3"/>
  <c r="E7703" i="3"/>
  <c r="E7639" i="3"/>
  <c r="E7575" i="3"/>
  <c r="E7511" i="3"/>
  <c r="E7447" i="3"/>
  <c r="E7383" i="3"/>
  <c r="E7319" i="3"/>
  <c r="E7255" i="3"/>
  <c r="E7191" i="3"/>
  <c r="E7127" i="3"/>
  <c r="D8734" i="3"/>
  <c r="D8670" i="3"/>
  <c r="D8606" i="3"/>
  <c r="D8542" i="3"/>
  <c r="D8478" i="3"/>
  <c r="D8414" i="3"/>
  <c r="D8350" i="3"/>
  <c r="D8286" i="3"/>
  <c r="D8222" i="3"/>
  <c r="D8158" i="3"/>
  <c r="D8094" i="3"/>
  <c r="D8030" i="3"/>
  <c r="D7966" i="3"/>
  <c r="D7902" i="3"/>
  <c r="D7838" i="3"/>
  <c r="D7774" i="3"/>
  <c r="D7710" i="3"/>
  <c r="D7646" i="3"/>
  <c r="D7582" i="3"/>
  <c r="D7518" i="3"/>
  <c r="D7454" i="3"/>
  <c r="D7390" i="3"/>
  <c r="D7326" i="3"/>
  <c r="D7262" i="3"/>
  <c r="D7198" i="3"/>
  <c r="D7134" i="3"/>
  <c r="E7048" i="3"/>
  <c r="E6984" i="3"/>
  <c r="E6920" i="3"/>
  <c r="E6856" i="3"/>
  <c r="E6792" i="3"/>
  <c r="E6728" i="3"/>
  <c r="E6664" i="3"/>
  <c r="E6600" i="3"/>
  <c r="E6536" i="3"/>
  <c r="E6472" i="3"/>
  <c r="E6408" i="3"/>
  <c r="E6344" i="3"/>
  <c r="E6280" i="3"/>
  <c r="E6216" i="3"/>
  <c r="E6152" i="3"/>
  <c r="E6088" i="3"/>
  <c r="E6024" i="3"/>
  <c r="D8707" i="3"/>
  <c r="D8579" i="3"/>
  <c r="D8705" i="3"/>
  <c r="D8641" i="3"/>
  <c r="D8577" i="3"/>
  <c r="D8513" i="3"/>
  <c r="D8449" i="3"/>
  <c r="D8385" i="3"/>
  <c r="D8321" i="3"/>
  <c r="D8257" i="3"/>
  <c r="D8193" i="3"/>
  <c r="D8129" i="3"/>
  <c r="D8065" i="3"/>
  <c r="D8001" i="3"/>
  <c r="D7937" i="3"/>
  <c r="D7873" i="3"/>
  <c r="D7809" i="3"/>
  <c r="D7745" i="3"/>
  <c r="D7681" i="3"/>
  <c r="D7617" i="3"/>
  <c r="D7553" i="3"/>
  <c r="D7489" i="3"/>
  <c r="D7425" i="3"/>
  <c r="D7361" i="3"/>
  <c r="D7297" i="3"/>
  <c r="D7233" i="3"/>
  <c r="D7169" i="3"/>
  <c r="D7084" i="3"/>
  <c r="E8712" i="3"/>
  <c r="E8648" i="3"/>
  <c r="E8584" i="3"/>
  <c r="E8520" i="3"/>
  <c r="E8456" i="3"/>
  <c r="E8392" i="3"/>
  <c r="E8328" i="3"/>
  <c r="E8264" i="3"/>
  <c r="E8200" i="3"/>
  <c r="E8136" i="3"/>
  <c r="E8072" i="3"/>
  <c r="E8008" i="3"/>
  <c r="E7944" i="3"/>
  <c r="E7880" i="3"/>
  <c r="E7816" i="3"/>
  <c r="E7752" i="3"/>
  <c r="E7688" i="3"/>
  <c r="E7624" i="3"/>
  <c r="E7560" i="3"/>
  <c r="E7496" i="3"/>
  <c r="E7432" i="3"/>
  <c r="E7368" i="3"/>
  <c r="E7304" i="3"/>
  <c r="E7240" i="3"/>
  <c r="E7176" i="3"/>
  <c r="D7098" i="3"/>
  <c r="D7026" i="3"/>
  <c r="D6962" i="3"/>
  <c r="D6898" i="3"/>
  <c r="D6834" i="3"/>
  <c r="D6770" i="3"/>
  <c r="D6706" i="3"/>
  <c r="D6642" i="3"/>
  <c r="D6578" i="3"/>
  <c r="D6514" i="3"/>
  <c r="D6450" i="3"/>
  <c r="D6386" i="3"/>
  <c r="D6322" i="3"/>
  <c r="D6258" i="3"/>
  <c r="D6194" i="3"/>
  <c r="D6130" i="3"/>
  <c r="D6066" i="3"/>
  <c r="D6002" i="3"/>
  <c r="D5938" i="3"/>
  <c r="D5874" i="3"/>
  <c r="D5810" i="3"/>
  <c r="D5746" i="3"/>
  <c r="D5682" i="3"/>
  <c r="D5618" i="3"/>
  <c r="D5554" i="3"/>
  <c r="D5490" i="3"/>
  <c r="D5426" i="3"/>
  <c r="D5362" i="3"/>
  <c r="D5298" i="3"/>
  <c r="E7097" i="3"/>
  <c r="E7033" i="3"/>
  <c r="E6969" i="3"/>
  <c r="E6905" i="3"/>
  <c r="E6841" i="3"/>
  <c r="E6777" i="3"/>
  <c r="E6713" i="3"/>
  <c r="E6649" i="3"/>
  <c r="E6585" i="3"/>
  <c r="E6521" i="3"/>
  <c r="E6457" i="3"/>
  <c r="E6393" i="3"/>
  <c r="E6329" i="3"/>
  <c r="E6265" i="3"/>
  <c r="E6201" i="3"/>
  <c r="E6137" i="3"/>
  <c r="E6073" i="3"/>
  <c r="E6009" i="3"/>
  <c r="E5945" i="3"/>
  <c r="E5881" i="3"/>
  <c r="E5817" i="3"/>
  <c r="E5753" i="3"/>
  <c r="E5689" i="3"/>
  <c r="E5625" i="3"/>
  <c r="E5561" i="3"/>
  <c r="E5497" i="3"/>
  <c r="E5433" i="3"/>
  <c r="E5369" i="3"/>
  <c r="E5305" i="3"/>
  <c r="D5241" i="3"/>
  <c r="D5177" i="3"/>
  <c r="D5113" i="3"/>
  <c r="D5049" i="3"/>
  <c r="D4985" i="3"/>
  <c r="D4921" i="3"/>
  <c r="D4857" i="3"/>
  <c r="D4793" i="3"/>
  <c r="D4729" i="3"/>
  <c r="D4665" i="3"/>
  <c r="D4601" i="3"/>
  <c r="D4537" i="3"/>
  <c r="D4473" i="3"/>
  <c r="D4409" i="3"/>
  <c r="D4345" i="3"/>
  <c r="D4281" i="3"/>
  <c r="D4217" i="3"/>
  <c r="D4153" i="3"/>
  <c r="D4089" i="3"/>
  <c r="D4025" i="3"/>
  <c r="D3961" i="3"/>
  <c r="D3897" i="3"/>
  <c r="D3833" i="3"/>
  <c r="D3769" i="3"/>
  <c r="D3705" i="3"/>
  <c r="D3641" i="3"/>
  <c r="D3577" i="3"/>
  <c r="D3513" i="3"/>
  <c r="D3449" i="3"/>
  <c r="E5206" i="3"/>
  <c r="E5142" i="3"/>
  <c r="E5078" i="3"/>
  <c r="E5014" i="3"/>
  <c r="E4950" i="3"/>
  <c r="E4886" i="3"/>
  <c r="E4822" i="3"/>
  <c r="E4758" i="3"/>
  <c r="E4694" i="3"/>
  <c r="E4630" i="3"/>
  <c r="E4566" i="3"/>
  <c r="E4502" i="3"/>
  <c r="E4438" i="3"/>
  <c r="E4374" i="3"/>
  <c r="E4310" i="3"/>
  <c r="E4246" i="3"/>
  <c r="E4182" i="3"/>
  <c r="E4118" i="3"/>
  <c r="E4054" i="3"/>
  <c r="E3990" i="3"/>
  <c r="E3926" i="3"/>
  <c r="E3862" i="3"/>
  <c r="E3798" i="3"/>
  <c r="E3734" i="3"/>
  <c r="E3670" i="3"/>
  <c r="E3606" i="3"/>
  <c r="E3542" i="3"/>
  <c r="E3478" i="3"/>
  <c r="D3414" i="3"/>
  <c r="D3350" i="3"/>
  <c r="D3286" i="3"/>
  <c r="D3222" i="3"/>
  <c r="D3158" i="3"/>
  <c r="D3094" i="3"/>
  <c r="D3030" i="3"/>
  <c r="D2966" i="3"/>
  <c r="D2902" i="3"/>
  <c r="D2838" i="3"/>
  <c r="D2774" i="3"/>
  <c r="D2710" i="3"/>
  <c r="D2646" i="3"/>
  <c r="D2582" i="3"/>
  <c r="E3427" i="3"/>
  <c r="E3363" i="3"/>
  <c r="E3299" i="3"/>
  <c r="E3235" i="3"/>
  <c r="E3171" i="3"/>
  <c r="E3107" i="3"/>
  <c r="E3043" i="3"/>
  <c r="E2979" i="3"/>
  <c r="E2915" i="3"/>
  <c r="E2851" i="3"/>
  <c r="E2787" i="3"/>
  <c r="E2723" i="3"/>
  <c r="E2659" i="3"/>
  <c r="E2595" i="3"/>
  <c r="E2535" i="3"/>
  <c r="D2471" i="3"/>
  <c r="D2407" i="3"/>
  <c r="D2343" i="3"/>
  <c r="D2279" i="3"/>
  <c r="D2215" i="3"/>
  <c r="D2151" i="3"/>
  <c r="D2087" i="3"/>
  <c r="D2023" i="3"/>
  <c r="D1959" i="3"/>
  <c r="D1895" i="3"/>
  <c r="D1831" i="3"/>
  <c r="D1767" i="3"/>
  <c r="D1703" i="3"/>
  <c r="D1639" i="3"/>
  <c r="E2478" i="3"/>
  <c r="E2414" i="3"/>
  <c r="E2350" i="3"/>
  <c r="E2286" i="3"/>
  <c r="E2222" i="3"/>
  <c r="E2158" i="3"/>
  <c r="E2094" i="3"/>
  <c r="E2030" i="3"/>
  <c r="E1966" i="3"/>
  <c r="E1902" i="3"/>
  <c r="E1838" i="3"/>
  <c r="E1774" i="3"/>
  <c r="E1710" i="3"/>
  <c r="E1646" i="3"/>
  <c r="D1583" i="3"/>
  <c r="D1519" i="3"/>
  <c r="D1455" i="3"/>
  <c r="D1391" i="3"/>
  <c r="D1327" i="3"/>
  <c r="D1263" i="3"/>
  <c r="D1199" i="3"/>
  <c r="E1588" i="3"/>
  <c r="E1524" i="3"/>
  <c r="E1460" i="3"/>
  <c r="E1396" i="3"/>
  <c r="E1332" i="3"/>
  <c r="E1268" i="3"/>
  <c r="E1204" i="3"/>
  <c r="E1168" i="3"/>
  <c r="D1104" i="3"/>
  <c r="D1040" i="3"/>
  <c r="D976" i="3"/>
  <c r="D912" i="3"/>
  <c r="D848" i="3"/>
  <c r="D784" i="3"/>
  <c r="E1119" i="3"/>
  <c r="E1055" i="3"/>
  <c r="E991" i="3"/>
  <c r="E927" i="3"/>
  <c r="E863" i="3"/>
  <c r="E799" i="3"/>
  <c r="E762" i="3"/>
  <c r="D698" i="3"/>
  <c r="D634" i="3"/>
  <c r="D570" i="3"/>
  <c r="E681" i="3"/>
  <c r="E617" i="3"/>
  <c r="E553" i="3"/>
  <c r="D488" i="3"/>
  <c r="D424" i="3"/>
  <c r="D360" i="3"/>
  <c r="E521" i="3"/>
  <c r="E457" i="3"/>
  <c r="E393" i="3"/>
  <c r="E329" i="3"/>
  <c r="D274" i="3"/>
  <c r="E309" i="3"/>
  <c r="E245" i="3"/>
  <c r="D180" i="3"/>
  <c r="E195" i="3"/>
  <c r="D8623" i="3"/>
  <c r="D8515" i="3"/>
  <c r="D8451" i="3"/>
  <c r="D8387" i="3"/>
  <c r="D8323" i="3"/>
  <c r="D8259" i="3"/>
  <c r="D8195" i="3"/>
  <c r="D8131" i="3"/>
  <c r="D8067" i="3"/>
  <c r="D8003" i="3"/>
  <c r="D7939" i="3"/>
  <c r="D7875" i="3"/>
  <c r="D7811" i="3"/>
  <c r="D7747" i="3"/>
  <c r="D7683" i="3"/>
  <c r="D7619" i="3"/>
  <c r="D7555" i="3"/>
  <c r="D7491" i="3"/>
  <c r="D7427" i="3"/>
  <c r="D7363" i="3"/>
  <c r="D7299" i="3"/>
  <c r="D7235" i="3"/>
  <c r="D7171" i="3"/>
  <c r="D7088" i="3"/>
  <c r="E8714" i="3"/>
  <c r="E8650" i="3"/>
  <c r="E8586" i="3"/>
  <c r="E8522" i="3"/>
  <c r="E8458" i="3"/>
  <c r="E8394" i="3"/>
  <c r="E8330" i="3"/>
  <c r="E8266" i="3"/>
  <c r="E8202" i="3"/>
  <c r="E8138" i="3"/>
  <c r="E8074" i="3"/>
  <c r="E8010" i="3"/>
  <c r="E7946" i="3"/>
  <c r="E7882" i="3"/>
  <c r="E7818" i="3"/>
  <c r="E7754" i="3"/>
  <c r="E7690" i="3"/>
  <c r="E7626" i="3"/>
  <c r="E7562" i="3"/>
  <c r="E7498" i="3"/>
  <c r="E7434" i="3"/>
  <c r="E7370" i="3"/>
  <c r="E7306" i="3"/>
  <c r="E7242" i="3"/>
  <c r="E7178" i="3"/>
  <c r="D7102" i="3"/>
  <c r="D7028" i="3"/>
  <c r="D6964" i="3"/>
  <c r="D6900" i="3"/>
  <c r="D6836" i="3"/>
  <c r="D6772" i="3"/>
  <c r="D6708" i="3"/>
  <c r="D6644" i="3"/>
  <c r="D6580" i="3"/>
  <c r="D6516" i="3"/>
  <c r="D6452" i="3"/>
  <c r="D6388" i="3"/>
  <c r="D6324" i="3"/>
  <c r="D6260" i="3"/>
  <c r="D6196" i="3"/>
  <c r="D6132" i="3"/>
  <c r="E8675" i="3"/>
  <c r="E8547" i="3"/>
  <c r="E8689" i="3"/>
  <c r="E8625" i="3"/>
  <c r="E8561" i="3"/>
  <c r="E8497" i="3"/>
  <c r="E8433" i="3"/>
  <c r="E8369" i="3"/>
  <c r="E8305" i="3"/>
  <c r="E8241" i="3"/>
  <c r="E8177" i="3"/>
  <c r="E8113" i="3"/>
  <c r="E8049" i="3"/>
  <c r="E7985" i="3"/>
  <c r="E7921" i="3"/>
  <c r="E7857" i="3"/>
  <c r="E7793" i="3"/>
  <c r="E7729" i="3"/>
  <c r="E7665" i="3"/>
  <c r="E7601" i="3"/>
  <c r="E7537" i="3"/>
  <c r="E7473" i="3"/>
  <c r="E7409" i="3"/>
  <c r="E7345" i="3"/>
  <c r="E7281" i="3"/>
  <c r="E7217" i="3"/>
  <c r="E7153" i="3"/>
  <c r="D8760" i="3"/>
  <c r="D8696" i="3"/>
  <c r="D8632" i="3"/>
  <c r="D8568" i="3"/>
  <c r="D8504" i="3"/>
  <c r="D8440" i="3"/>
  <c r="D8376" i="3"/>
  <c r="D8312" i="3"/>
  <c r="D8248" i="3"/>
  <c r="D8184" i="3"/>
  <c r="D8120" i="3"/>
  <c r="D8056" i="3"/>
  <c r="D7992" i="3"/>
  <c r="D7928" i="3"/>
  <c r="D7864" i="3"/>
  <c r="D7800" i="3"/>
  <c r="D7736" i="3"/>
  <c r="D7672" i="3"/>
  <c r="D7608" i="3"/>
  <c r="D7544" i="3"/>
  <c r="D7480" i="3"/>
  <c r="D7416" i="3"/>
  <c r="D7352" i="3"/>
  <c r="D7288" i="3"/>
  <c r="D7224" i="3"/>
  <c r="D7160" i="3"/>
  <c r="E7074" i="3"/>
  <c r="E7010" i="3"/>
  <c r="E6946" i="3"/>
  <c r="E6882" i="3"/>
  <c r="E6818" i="3"/>
  <c r="E6754" i="3"/>
  <c r="E6690" i="3"/>
  <c r="E6626" i="3"/>
  <c r="E6562" i="3"/>
  <c r="E6498" i="3"/>
  <c r="E6434" i="3"/>
  <c r="E6370" i="3"/>
  <c r="E6306" i="3"/>
  <c r="E6242" i="3"/>
  <c r="E6178" i="3"/>
  <c r="E6114" i="3"/>
  <c r="E6050" i="3"/>
  <c r="E5986" i="3"/>
  <c r="E5922" i="3"/>
  <c r="E5858" i="3"/>
  <c r="E5794" i="3"/>
  <c r="E5730" i="3"/>
  <c r="E5666" i="3"/>
  <c r="E5602" i="3"/>
  <c r="E5538" i="3"/>
  <c r="E5474" i="3"/>
  <c r="E5410" i="3"/>
  <c r="E5346" i="3"/>
  <c r="E5282" i="3"/>
  <c r="D7081" i="3"/>
  <c r="D7017" i="3"/>
  <c r="D6953" i="3"/>
  <c r="D6889" i="3"/>
  <c r="D6825" i="3"/>
  <c r="D6761" i="3"/>
  <c r="D6697" i="3"/>
  <c r="D6633" i="3"/>
  <c r="D6569" i="3"/>
  <c r="D6505" i="3"/>
  <c r="D6441" i="3"/>
  <c r="D6377" i="3"/>
  <c r="D6313" i="3"/>
  <c r="D6249" i="3"/>
  <c r="D6185" i="3"/>
  <c r="D6121" i="3"/>
  <c r="D6057" i="3"/>
  <c r="D5993" i="3"/>
  <c r="D5929" i="3"/>
  <c r="D5865" i="3"/>
  <c r="D5801" i="3"/>
  <c r="D5737" i="3"/>
  <c r="D5673" i="3"/>
  <c r="D5609" i="3"/>
  <c r="D5545" i="3"/>
  <c r="D5481" i="3"/>
  <c r="D5417" i="3"/>
  <c r="D5353" i="3"/>
  <c r="D5289" i="3"/>
  <c r="E5225" i="3"/>
  <c r="E5161" i="3"/>
  <c r="E5097" i="3"/>
  <c r="E5033" i="3"/>
  <c r="E4969" i="3"/>
  <c r="E4905" i="3"/>
  <c r="E4841" i="3"/>
  <c r="E4777" i="3"/>
  <c r="E4713" i="3"/>
  <c r="E4649" i="3"/>
  <c r="E4585" i="3"/>
  <c r="E4521" i="3"/>
  <c r="E4457" i="3"/>
  <c r="E4393" i="3"/>
  <c r="E4329" i="3"/>
  <c r="E4265" i="3"/>
  <c r="E4201" i="3"/>
  <c r="E4137" i="3"/>
  <c r="E4073" i="3"/>
  <c r="E4009" i="3"/>
  <c r="E3945" i="3"/>
  <c r="E3881" i="3"/>
  <c r="E3817" i="3"/>
  <c r="E3753" i="3"/>
  <c r="E3689" i="3"/>
  <c r="E3625" i="3"/>
  <c r="E3561" i="3"/>
  <c r="E3497" i="3"/>
  <c r="D5254" i="3"/>
  <c r="D5190" i="3"/>
  <c r="D5126" i="3"/>
  <c r="D5062" i="3"/>
  <c r="D4998" i="3"/>
  <c r="D4934" i="3"/>
  <c r="D4870" i="3"/>
  <c r="D4806" i="3"/>
  <c r="D4742" i="3"/>
  <c r="D4678" i="3"/>
  <c r="D4614" i="3"/>
  <c r="D4550" i="3"/>
  <c r="D4486" i="3"/>
  <c r="D4422" i="3"/>
  <c r="D4358" i="3"/>
  <c r="D4294" i="3"/>
  <c r="D4230" i="3"/>
  <c r="D4166" i="3"/>
  <c r="D4102" i="3"/>
  <c r="D4038" i="3"/>
  <c r="D3974" i="3"/>
  <c r="D3910" i="3"/>
  <c r="D3846" i="3"/>
  <c r="D3782" i="3"/>
  <c r="D3718" i="3"/>
  <c r="D3654" i="3"/>
  <c r="D3590" i="3"/>
  <c r="D3526" i="3"/>
  <c r="D3462" i="3"/>
  <c r="E3398" i="3"/>
  <c r="E3334" i="3"/>
  <c r="E3270" i="3"/>
  <c r="E3206" i="3"/>
  <c r="E3142" i="3"/>
  <c r="E3078" i="3"/>
  <c r="E3014" i="3"/>
  <c r="E2950" i="3"/>
  <c r="E2886" i="3"/>
  <c r="E2822" i="3"/>
  <c r="E2758" i="3"/>
  <c r="E2694" i="3"/>
  <c r="E2630" i="3"/>
  <c r="E2566" i="3"/>
  <c r="D3411" i="3"/>
  <c r="D3347" i="3"/>
  <c r="D3283" i="3"/>
  <c r="D3219" i="3"/>
  <c r="D3155" i="3"/>
  <c r="D3091" i="3"/>
  <c r="D3027" i="3"/>
  <c r="D2963" i="3"/>
  <c r="D2899" i="3"/>
  <c r="D2835" i="3"/>
  <c r="D2771" i="3"/>
  <c r="D2707" i="3"/>
  <c r="D2643" i="3"/>
  <c r="D2579" i="3"/>
  <c r="E2519" i="3"/>
  <c r="E2455" i="3"/>
  <c r="E2391" i="3"/>
  <c r="E2327" i="3"/>
  <c r="E2263" i="3"/>
  <c r="E2199" i="3"/>
  <c r="E2135" i="3"/>
  <c r="E2071" i="3"/>
  <c r="E2007" i="3"/>
  <c r="E1943" i="3"/>
  <c r="E1879" i="3"/>
  <c r="E1815" i="3"/>
  <c r="E1751" i="3"/>
  <c r="E1687" i="3"/>
  <c r="D2526" i="3"/>
  <c r="D2462" i="3"/>
  <c r="D2398" i="3"/>
  <c r="D2334" i="3"/>
  <c r="D2270" i="3"/>
  <c r="D2206" i="3"/>
  <c r="D2142" i="3"/>
  <c r="D2078" i="3"/>
  <c r="D2014" i="3"/>
  <c r="D1950" i="3"/>
  <c r="D1886" i="3"/>
  <c r="D1822" i="3"/>
  <c r="D1758" i="3"/>
  <c r="D1694" i="3"/>
  <c r="D1630" i="3"/>
  <c r="E1567" i="3"/>
  <c r="E1503" i="3"/>
  <c r="E1439" i="3"/>
  <c r="E1375" i="3"/>
  <c r="E1311" i="3"/>
  <c r="E1247" i="3"/>
  <c r="E1167" i="3"/>
  <c r="D1572" i="3"/>
  <c r="D1508" i="3"/>
  <c r="D1444" i="3"/>
  <c r="D1380" i="3"/>
  <c r="D1316" i="3"/>
  <c r="D1252" i="3"/>
  <c r="E1177" i="3"/>
  <c r="D1152" i="3"/>
  <c r="E1088" i="3"/>
  <c r="E1024" i="3"/>
  <c r="E960" i="3"/>
  <c r="E896" i="3"/>
  <c r="E832" i="3"/>
  <c r="E763" i="3"/>
  <c r="D1103" i="3"/>
  <c r="D1039" i="3"/>
  <c r="D975" i="3"/>
  <c r="D911" i="3"/>
  <c r="D847" i="3"/>
  <c r="D783" i="3"/>
  <c r="D746" i="3"/>
  <c r="E682" i="3"/>
  <c r="E618" i="3"/>
  <c r="E554" i="3"/>
  <c r="D665" i="3"/>
  <c r="D601" i="3"/>
  <c r="E536" i="3"/>
  <c r="E472" i="3"/>
  <c r="E408" i="3"/>
  <c r="E344" i="3"/>
  <c r="D505" i="3"/>
  <c r="D441" i="3"/>
  <c r="D377" i="3"/>
  <c r="D322" i="3"/>
  <c r="E258" i="3"/>
  <c r="D293" i="3"/>
  <c r="D229" i="3"/>
  <c r="E164" i="3"/>
  <c r="D211" i="3"/>
  <c r="D147" i="3"/>
  <c r="E8655" i="3"/>
  <c r="E8531" i="3"/>
  <c r="E8467" i="3"/>
  <c r="E8403" i="3"/>
  <c r="E8339" i="3"/>
  <c r="E8275" i="3"/>
  <c r="E8211" i="3"/>
  <c r="E8147" i="3"/>
  <c r="E8083" i="3"/>
  <c r="E8019" i="3"/>
  <c r="E7955" i="3"/>
  <c r="E7891" i="3"/>
  <c r="E7827" i="3"/>
  <c r="E7763" i="3"/>
  <c r="E7699" i="3"/>
  <c r="E7635" i="3"/>
  <c r="E7571" i="3"/>
  <c r="E7507" i="3"/>
  <c r="E7443" i="3"/>
  <c r="E7379" i="3"/>
  <c r="E7315" i="3"/>
  <c r="E7251" i="3"/>
  <c r="E7187" i="3"/>
  <c r="E7120" i="3"/>
  <c r="D8730" i="3"/>
  <c r="D8666" i="3"/>
  <c r="D8602" i="3"/>
  <c r="D8538" i="3"/>
  <c r="D8474" i="3"/>
  <c r="D8410" i="3"/>
  <c r="D8346" i="3"/>
  <c r="D8282" i="3"/>
  <c r="D8218" i="3"/>
  <c r="D8154" i="3"/>
  <c r="D8090" i="3"/>
  <c r="D8026" i="3"/>
  <c r="D7962" i="3"/>
  <c r="D7898" i="3"/>
  <c r="D7834" i="3"/>
  <c r="D7770" i="3"/>
  <c r="D7706" i="3"/>
  <c r="D7642" i="3"/>
  <c r="D7578" i="3"/>
  <c r="D7514" i="3"/>
  <c r="D7450" i="3"/>
  <c r="D7386" i="3"/>
  <c r="D7322" i="3"/>
  <c r="D7258" i="3"/>
  <c r="D7194" i="3"/>
  <c r="D7130" i="3"/>
  <c r="E7044" i="3"/>
  <c r="E6980" i="3"/>
  <c r="E6916" i="3"/>
  <c r="E6852" i="3"/>
  <c r="E6788" i="3"/>
  <c r="E6724" i="3"/>
  <c r="E6660" i="3"/>
  <c r="E6596" i="3"/>
  <c r="E6532" i="3"/>
  <c r="E6468" i="3"/>
  <c r="E6404" i="3"/>
  <c r="E6340" i="3"/>
  <c r="E6276" i="3"/>
  <c r="E6212" i="3"/>
  <c r="E6148" i="3"/>
  <c r="E6084" i="3"/>
  <c r="E6020" i="3"/>
  <c r="D8699" i="3"/>
  <c r="D8571" i="3"/>
  <c r="D8701" i="3"/>
  <c r="D8637" i="3"/>
  <c r="D8573" i="3"/>
  <c r="D8509" i="3"/>
  <c r="D8445" i="3"/>
  <c r="D8381" i="3"/>
  <c r="D8317" i="3"/>
  <c r="D8253" i="3"/>
  <c r="D8189" i="3"/>
  <c r="D8125" i="3"/>
  <c r="D8061" i="3"/>
  <c r="D7997" i="3"/>
  <c r="D7933" i="3"/>
  <c r="D7869" i="3"/>
  <c r="D7805" i="3"/>
  <c r="D7741" i="3"/>
  <c r="D7677" i="3"/>
  <c r="D7613" i="3"/>
  <c r="D7549" i="3"/>
  <c r="D7485" i="3"/>
  <c r="D7421" i="3"/>
  <c r="D7357" i="3"/>
  <c r="D7293" i="3"/>
  <c r="D7229" i="3"/>
  <c r="D7165" i="3"/>
  <c r="D8753" i="3"/>
  <c r="E8708" i="3"/>
  <c r="E8644" i="3"/>
  <c r="E8580" i="3"/>
  <c r="E8516" i="3"/>
  <c r="E8452" i="3"/>
  <c r="E8388" i="3"/>
  <c r="E8324" i="3"/>
  <c r="E8260" i="3"/>
  <c r="E8196" i="3"/>
  <c r="E8132" i="3"/>
  <c r="E8068" i="3"/>
  <c r="E8004" i="3"/>
  <c r="E7940" i="3"/>
  <c r="E7876" i="3"/>
  <c r="E7812" i="3"/>
  <c r="E7748" i="3"/>
  <c r="E7684" i="3"/>
  <c r="E7620" i="3"/>
  <c r="E7556" i="3"/>
  <c r="E7492" i="3"/>
  <c r="E7428" i="3"/>
  <c r="E7364" i="3"/>
  <c r="E7300" i="3"/>
  <c r="E7236" i="3"/>
  <c r="E7172" i="3"/>
  <c r="D7090" i="3"/>
  <c r="D7022" i="3"/>
  <c r="D6958" i="3"/>
  <c r="D6894" i="3"/>
  <c r="D6830" i="3"/>
  <c r="D6766" i="3"/>
  <c r="D6702" i="3"/>
  <c r="D6638" i="3"/>
  <c r="D6574" i="3"/>
  <c r="D6510" i="3"/>
  <c r="D6446" i="3"/>
  <c r="D6382" i="3"/>
  <c r="D6318" i="3"/>
  <c r="D6254" i="3"/>
  <c r="D6190" i="3"/>
  <c r="D6126" i="3"/>
  <c r="D6062" i="3"/>
  <c r="D5998" i="3"/>
  <c r="D5934" i="3"/>
  <c r="D5870" i="3"/>
  <c r="D5806" i="3"/>
  <c r="D5742" i="3"/>
  <c r="D5678" i="3"/>
  <c r="D5614" i="3"/>
  <c r="D5550" i="3"/>
  <c r="D5486" i="3"/>
  <c r="D5422" i="3"/>
  <c r="D5358" i="3"/>
  <c r="D5294" i="3"/>
  <c r="E7093" i="3"/>
  <c r="E7029" i="3"/>
  <c r="E6965" i="3"/>
  <c r="E6901" i="3"/>
  <c r="E6837" i="3"/>
  <c r="E6773" i="3"/>
  <c r="E6709" i="3"/>
  <c r="E6645" i="3"/>
  <c r="E6581" i="3"/>
  <c r="E6517" i="3"/>
  <c r="E6453" i="3"/>
  <c r="E6389" i="3"/>
  <c r="E6325" i="3"/>
  <c r="E6261" i="3"/>
  <c r="E6197" i="3"/>
  <c r="E6133" i="3"/>
  <c r="E6069" i="3"/>
  <c r="E6005" i="3"/>
  <c r="E5941" i="3"/>
  <c r="E5877" i="3"/>
  <c r="E5813" i="3"/>
  <c r="E5749" i="3"/>
  <c r="E5685" i="3"/>
  <c r="E5621" i="3"/>
  <c r="E5557" i="3"/>
  <c r="E5493" i="3"/>
  <c r="E5429" i="3"/>
  <c r="E5365" i="3"/>
  <c r="E5301" i="3"/>
  <c r="D5237" i="3"/>
  <c r="D5173" i="3"/>
  <c r="D5109" i="3"/>
  <c r="D5045" i="3"/>
  <c r="D4981" i="3"/>
  <c r="D4917" i="3"/>
  <c r="D4853" i="3"/>
  <c r="D4789" i="3"/>
  <c r="D4725" i="3"/>
  <c r="D4661" i="3"/>
  <c r="D4597" i="3"/>
  <c r="D4533" i="3"/>
  <c r="D4469" i="3"/>
  <c r="D4405" i="3"/>
  <c r="D4341" i="3"/>
  <c r="D4277" i="3"/>
  <c r="D4213" i="3"/>
  <c r="D4149" i="3"/>
  <c r="D4085" i="3"/>
  <c r="D4021" i="3"/>
  <c r="D3957" i="3"/>
  <c r="D3893" i="3"/>
  <c r="D3829" i="3"/>
  <c r="D3765" i="3"/>
  <c r="D3701" i="3"/>
  <c r="D3637" i="3"/>
  <c r="D3573" i="3"/>
  <c r="D3509" i="3"/>
  <c r="D3445" i="3"/>
  <c r="E5202" i="3"/>
  <c r="E5138" i="3"/>
  <c r="E5074" i="3"/>
  <c r="E5010" i="3"/>
  <c r="E4946" i="3"/>
  <c r="E4882" i="3"/>
  <c r="E4818" i="3"/>
  <c r="E4754" i="3"/>
  <c r="E4690" i="3"/>
  <c r="E4626" i="3"/>
  <c r="E4562" i="3"/>
  <c r="E4498" i="3"/>
  <c r="E4434" i="3"/>
  <c r="E4370" i="3"/>
  <c r="E4306" i="3"/>
  <c r="E4242" i="3"/>
  <c r="E4178" i="3"/>
  <c r="E4114" i="3"/>
  <c r="E4050" i="3"/>
  <c r="E3986" i="3"/>
  <c r="E3922" i="3"/>
  <c r="E3858" i="3"/>
  <c r="E3794" i="3"/>
  <c r="E3730" i="3"/>
  <c r="E3666" i="3"/>
  <c r="E3602" i="3"/>
  <c r="E3538" i="3"/>
  <c r="E3474" i="3"/>
  <c r="D3410" i="3"/>
  <c r="D3346" i="3"/>
  <c r="D3282" i="3"/>
  <c r="D3218" i="3"/>
  <c r="D3154" i="3"/>
  <c r="D3090" i="3"/>
  <c r="D3026" i="3"/>
  <c r="D2962" i="3"/>
  <c r="D2898" i="3"/>
  <c r="D2834" i="3"/>
  <c r="D2770" i="3"/>
  <c r="D2706" i="3"/>
  <c r="D2642" i="3"/>
  <c r="D2578" i="3"/>
  <c r="E3423" i="3"/>
  <c r="E3359" i="3"/>
  <c r="E3295" i="3"/>
  <c r="E3231" i="3"/>
  <c r="E3167" i="3"/>
  <c r="E3103" i="3"/>
  <c r="E3039" i="3"/>
  <c r="E2975" i="3"/>
  <c r="E2911" i="3"/>
  <c r="E2847" i="3"/>
  <c r="E2783" i="3"/>
  <c r="E2719" i="3"/>
  <c r="E2655" i="3"/>
  <c r="E2591" i="3"/>
  <c r="E2531" i="3"/>
  <c r="D2467" i="3"/>
  <c r="D2403" i="3"/>
  <c r="D2339" i="3"/>
  <c r="D2275" i="3"/>
  <c r="D2211" i="3"/>
  <c r="D2147" i="3"/>
  <c r="D2083" i="3"/>
  <c r="D2019" i="3"/>
  <c r="D1955" i="3"/>
  <c r="D1891" i="3"/>
  <c r="D1827" i="3"/>
  <c r="D1763" i="3"/>
  <c r="D1699" i="3"/>
  <c r="D1635" i="3"/>
  <c r="E2474" i="3"/>
  <c r="E2410" i="3"/>
  <c r="E2346" i="3"/>
  <c r="E2282" i="3"/>
  <c r="E2218" i="3"/>
  <c r="E2154" i="3"/>
  <c r="E2090" i="3"/>
  <c r="E2026" i="3"/>
  <c r="E1962" i="3"/>
  <c r="E1898" i="3"/>
  <c r="E1834" i="3"/>
  <c r="E1770" i="3"/>
  <c r="E1706" i="3"/>
  <c r="E1642" i="3"/>
  <c r="D1579" i="3"/>
  <c r="D1515" i="3"/>
  <c r="D1451" i="3"/>
  <c r="D1387" i="3"/>
  <c r="D1323" i="3"/>
  <c r="D1259" i="3"/>
  <c r="D1191" i="3"/>
  <c r="E1584" i="3"/>
  <c r="E1520" i="3"/>
  <c r="E1456" i="3"/>
  <c r="E1392" i="3"/>
  <c r="E1328" i="3"/>
  <c r="E1264" i="3"/>
  <c r="E1200" i="3"/>
  <c r="E1164" i="3"/>
  <c r="D1100" i="3"/>
  <c r="D1036" i="3"/>
  <c r="D972" i="3"/>
  <c r="D908" i="3"/>
  <c r="D844" i="3"/>
  <c r="D780" i="3"/>
  <c r="E1115" i="3"/>
  <c r="E1051" i="3"/>
  <c r="E987" i="3"/>
  <c r="E923" i="3"/>
  <c r="E859" i="3"/>
  <c r="E795" i="3"/>
  <c r="E758" i="3"/>
  <c r="D694" i="3"/>
  <c r="D630" i="3"/>
  <c r="D566" i="3"/>
  <c r="E677" i="3"/>
  <c r="E613" i="3"/>
  <c r="E549" i="3"/>
  <c r="D484" i="3"/>
  <c r="D420" i="3"/>
  <c r="D356" i="3"/>
  <c r="E517" i="3"/>
  <c r="E453" i="3"/>
  <c r="E389" i="3"/>
  <c r="E325" i="3"/>
  <c r="D270" i="3"/>
  <c r="E305" i="3"/>
  <c r="E241" i="3"/>
  <c r="D176" i="3"/>
  <c r="E191" i="3"/>
  <c r="D8631" i="3"/>
  <c r="D8519" i="3"/>
  <c r="D8455" i="3"/>
  <c r="D8391" i="3"/>
  <c r="D8327" i="3"/>
  <c r="D8263" i="3"/>
  <c r="D8199" i="3"/>
  <c r="D8135" i="3"/>
  <c r="D8071" i="3"/>
  <c r="D8007" i="3"/>
  <c r="D7943" i="3"/>
  <c r="D7879" i="3"/>
  <c r="D7815" i="3"/>
  <c r="D7751" i="3"/>
  <c r="D7687" i="3"/>
  <c r="D7623" i="3"/>
  <c r="D7559" i="3"/>
  <c r="D7495" i="3"/>
  <c r="D7431" i="3"/>
  <c r="D7367" i="3"/>
  <c r="D7303" i="3"/>
  <c r="D7239" i="3"/>
  <c r="D7175" i="3"/>
  <c r="D7096" i="3"/>
  <c r="E8718" i="3"/>
  <c r="E8654" i="3"/>
  <c r="E8590" i="3"/>
  <c r="E8526" i="3"/>
  <c r="E8462" i="3"/>
  <c r="E8398" i="3"/>
  <c r="E8334" i="3"/>
  <c r="E8270" i="3"/>
  <c r="E8206" i="3"/>
  <c r="E8142" i="3"/>
  <c r="E8078" i="3"/>
  <c r="E8014" i="3"/>
  <c r="E7950" i="3"/>
  <c r="E7886" i="3"/>
  <c r="E7822" i="3"/>
  <c r="E7758" i="3"/>
  <c r="E7694" i="3"/>
  <c r="E7630" i="3"/>
  <c r="E7566" i="3"/>
  <c r="E7502" i="3"/>
  <c r="E7438" i="3"/>
  <c r="E7374" i="3"/>
  <c r="E7310" i="3"/>
  <c r="E7246" i="3"/>
  <c r="E7182" i="3"/>
  <c r="D7110" i="3"/>
  <c r="D7032" i="3"/>
  <c r="D6968" i="3"/>
  <c r="D6904" i="3"/>
  <c r="D6840" i="3"/>
  <c r="D6776" i="3"/>
  <c r="D6712" i="3"/>
  <c r="D6648" i="3"/>
  <c r="D6584" i="3"/>
  <c r="D6520" i="3"/>
  <c r="D6456" i="3"/>
  <c r="D6392" i="3"/>
  <c r="D6328" i="3"/>
  <c r="D6264" i="3"/>
  <c r="D6200" i="3"/>
  <c r="D6136" i="3"/>
  <c r="D6072" i="3"/>
  <c r="D6008" i="3"/>
  <c r="E5964" i="3"/>
  <c r="E5900" i="3"/>
  <c r="E5836" i="3"/>
  <c r="E5772" i="3"/>
  <c r="E5708" i="3"/>
  <c r="E5644" i="3"/>
  <c r="E5580" i="3"/>
  <c r="E5516" i="3"/>
  <c r="E5452" i="3"/>
  <c r="E5388" i="3"/>
  <c r="E5324" i="3"/>
  <c r="D7123" i="3"/>
  <c r="A7123" i="6" s="1"/>
  <c r="D7059" i="3"/>
  <c r="A7059" i="6" s="1"/>
  <c r="D6995" i="3"/>
  <c r="A6995" i="6" s="1"/>
  <c r="D6931" i="3"/>
  <c r="A6931" i="6" s="1"/>
  <c r="D6867" i="3"/>
  <c r="A6867" i="6" s="1"/>
  <c r="D6803" i="3"/>
  <c r="A6803" i="6" s="1"/>
  <c r="D6739" i="3"/>
  <c r="A6739" i="6" s="1"/>
  <c r="D6675" i="3"/>
  <c r="A6675" i="6" s="1"/>
  <c r="D6611" i="3"/>
  <c r="A6611" i="6" s="1"/>
  <c r="D6547" i="3"/>
  <c r="A6547" i="6" s="1"/>
  <c r="D6483" i="3"/>
  <c r="A6483" i="6" s="1"/>
  <c r="D6419" i="3"/>
  <c r="A6419" i="6" s="1"/>
  <c r="D6355" i="3"/>
  <c r="A6355" i="6" s="1"/>
  <c r="D6291" i="3"/>
  <c r="A6291" i="6" s="1"/>
  <c r="D6227" i="3"/>
  <c r="A6227" i="6" s="1"/>
  <c r="D6163" i="3"/>
  <c r="A6163" i="6" s="1"/>
  <c r="D6099" i="3"/>
  <c r="A6099" i="6" s="1"/>
  <c r="D6035" i="3"/>
  <c r="A6035" i="6" s="1"/>
  <c r="D5971" i="3"/>
  <c r="A5971" i="6" s="1"/>
  <c r="D5907" i="3"/>
  <c r="A5907" i="6" s="1"/>
  <c r="D5843" i="3"/>
  <c r="A5843" i="6" s="1"/>
  <c r="D5779" i="3"/>
  <c r="A5779" i="6" s="1"/>
  <c r="D5715" i="3"/>
  <c r="A5715" i="6" s="1"/>
  <c r="D5651" i="3"/>
  <c r="A5651" i="6" s="1"/>
  <c r="D5587" i="3"/>
  <c r="A5587" i="6" s="1"/>
  <c r="D5523" i="3"/>
  <c r="A5523" i="6" s="1"/>
  <c r="D5459" i="3"/>
  <c r="A5459" i="6" s="1"/>
  <c r="D5395" i="3"/>
  <c r="A5395" i="6" s="1"/>
  <c r="D5331" i="3"/>
  <c r="A5331" i="6" s="1"/>
  <c r="D5267" i="3"/>
  <c r="A5267" i="6" s="1"/>
  <c r="E5203" i="3"/>
  <c r="E5139" i="3"/>
  <c r="E5075" i="3"/>
  <c r="E5011" i="3"/>
  <c r="E4947" i="3"/>
  <c r="E4883" i="3"/>
  <c r="E4819" i="3"/>
  <c r="E4755" i="3"/>
  <c r="E4691" i="3"/>
  <c r="E4627" i="3"/>
  <c r="E4563" i="3"/>
  <c r="E4499" i="3"/>
  <c r="E4435" i="3"/>
  <c r="E4371" i="3"/>
  <c r="E4307" i="3"/>
  <c r="E4243" i="3"/>
  <c r="E4179" i="3"/>
  <c r="E4115" i="3"/>
  <c r="E4051" i="3"/>
  <c r="E3987" i="3"/>
  <c r="E3923" i="3"/>
  <c r="E3859" i="3"/>
  <c r="E3795" i="3"/>
  <c r="E3731" i="3"/>
  <c r="E3667" i="3"/>
  <c r="E3603" i="3"/>
  <c r="E3539" i="3"/>
  <c r="E3475" i="3"/>
  <c r="D5232" i="3"/>
  <c r="A5232" i="6" s="1"/>
  <c r="D5168" i="3"/>
  <c r="A5168" i="6" s="1"/>
  <c r="D5104" i="3"/>
  <c r="A5104" i="6" s="1"/>
  <c r="D5040" i="3"/>
  <c r="A5040" i="6" s="1"/>
  <c r="D4976" i="3"/>
  <c r="A4976" i="6" s="1"/>
  <c r="D4912" i="3"/>
  <c r="A4912" i="6" s="1"/>
  <c r="D4848" i="3"/>
  <c r="A4848" i="6" s="1"/>
  <c r="D4784" i="3"/>
  <c r="A4784" i="6" s="1"/>
  <c r="D4720" i="3"/>
  <c r="A4720" i="6" s="1"/>
  <c r="D4656" i="3"/>
  <c r="A4656" i="6" s="1"/>
  <c r="D4592" i="3"/>
  <c r="A4592" i="6" s="1"/>
  <c r="D4528" i="3"/>
  <c r="A4528" i="6" s="1"/>
  <c r="D4464" i="3"/>
  <c r="A4464" i="6" s="1"/>
  <c r="D4400" i="3"/>
  <c r="A4400" i="6" s="1"/>
  <c r="D4336" i="3"/>
  <c r="A4336" i="6" s="1"/>
  <c r="D4272" i="3"/>
  <c r="A4272" i="6" s="1"/>
  <c r="D4208" i="3"/>
  <c r="A4208" i="6" s="1"/>
  <c r="D4144" i="3"/>
  <c r="A4144" i="6" s="1"/>
  <c r="D4080" i="3"/>
  <c r="A4080" i="6" s="1"/>
  <c r="D4016" i="3"/>
  <c r="A4016" i="6" s="1"/>
  <c r="D3952" i="3"/>
  <c r="A3952" i="6" s="1"/>
  <c r="D3888" i="3"/>
  <c r="A3888" i="6" s="1"/>
  <c r="D3824" i="3"/>
  <c r="A3824" i="6" s="1"/>
  <c r="D3760" i="3"/>
  <c r="A3760" i="6" s="1"/>
  <c r="D3696" i="3"/>
  <c r="A3696" i="6" s="1"/>
  <c r="D3632" i="3"/>
  <c r="A3632" i="6" s="1"/>
  <c r="D3568" i="3"/>
  <c r="A3568" i="6" s="1"/>
  <c r="D3504" i="3"/>
  <c r="A3504" i="6" s="1"/>
  <c r="E3440" i="3"/>
  <c r="E3376" i="3"/>
  <c r="E3312" i="3"/>
  <c r="E3248" i="3"/>
  <c r="E3184" i="3"/>
  <c r="E3120" i="3"/>
  <c r="E3056" i="3"/>
  <c r="E2992" i="3"/>
  <c r="E2928" i="3"/>
  <c r="E2864" i="3"/>
  <c r="E2800" i="3"/>
  <c r="E2736" i="3"/>
  <c r="E2672" i="3"/>
  <c r="E2608" i="3"/>
  <c r="E2544" i="3"/>
  <c r="D3389" i="3"/>
  <c r="A3389" i="6" s="1"/>
  <c r="D3325" i="3"/>
  <c r="A3325" i="6" s="1"/>
  <c r="D3261" i="3"/>
  <c r="A3261" i="6" s="1"/>
  <c r="D3197" i="3"/>
  <c r="A3197" i="6" s="1"/>
  <c r="D3133" i="3"/>
  <c r="A3133" i="6" s="1"/>
  <c r="D3069" i="3"/>
  <c r="A3069" i="6" s="1"/>
  <c r="D3005" i="3"/>
  <c r="A3005" i="6" s="1"/>
  <c r="D2941" i="3"/>
  <c r="A2941" i="6" s="1"/>
  <c r="D2877" i="3"/>
  <c r="A2877" i="6" s="1"/>
  <c r="D2813" i="3"/>
  <c r="A2813" i="6" s="1"/>
  <c r="D2749" i="3"/>
  <c r="A2749" i="6" s="1"/>
  <c r="D2685" i="3"/>
  <c r="A2685" i="6" s="1"/>
  <c r="D2621" i="3"/>
  <c r="A2621" i="6" s="1"/>
  <c r="D2557" i="3"/>
  <c r="A2557" i="6" s="1"/>
  <c r="E2497" i="3"/>
  <c r="E2433" i="3"/>
  <c r="E2369" i="3"/>
  <c r="E2305" i="3"/>
  <c r="E2241" i="3"/>
  <c r="E2177" i="3"/>
  <c r="E2113" i="3"/>
  <c r="E2049" i="3"/>
  <c r="E1985" i="3"/>
  <c r="E1921" i="3"/>
  <c r="E1857" i="3"/>
  <c r="E1793" i="3"/>
  <c r="E1729" i="3"/>
  <c r="E1665" i="3"/>
  <c r="D2504" i="3"/>
  <c r="A2504" i="6" s="1"/>
  <c r="D2440" i="3"/>
  <c r="A2440" i="6" s="1"/>
  <c r="D2376" i="3"/>
  <c r="A2376" i="6" s="1"/>
  <c r="D2312" i="3"/>
  <c r="A2312" i="6" s="1"/>
  <c r="D2248" i="3"/>
  <c r="A2248" i="6" s="1"/>
  <c r="D2184" i="3"/>
  <c r="A2184" i="6" s="1"/>
  <c r="D2120" i="3"/>
  <c r="A2120" i="6" s="1"/>
  <c r="D2056" i="3"/>
  <c r="A2056" i="6" s="1"/>
  <c r="D1992" i="3"/>
  <c r="A1992" i="6" s="1"/>
  <c r="D1928" i="3"/>
  <c r="A1928" i="6" s="1"/>
  <c r="D1864" i="3"/>
  <c r="A1864" i="6" s="1"/>
  <c r="D1800" i="3"/>
  <c r="A1800" i="6" s="1"/>
  <c r="D1736" i="3"/>
  <c r="A1736" i="6" s="1"/>
  <c r="D1672" i="3"/>
  <c r="A1672" i="6" s="1"/>
  <c r="E1609" i="3"/>
  <c r="E1545" i="3"/>
  <c r="E1481" i="3"/>
  <c r="E1417" i="3"/>
  <c r="E1353" i="3"/>
  <c r="E1289" i="3"/>
  <c r="E1225" i="3"/>
  <c r="D1614" i="3"/>
  <c r="A1614" i="6" s="1"/>
  <c r="D1550" i="3"/>
  <c r="A1550" i="6" s="1"/>
  <c r="D1486" i="3"/>
  <c r="A1486" i="6" s="1"/>
  <c r="D1422" i="3"/>
  <c r="A1422" i="6" s="1"/>
  <c r="D1358" i="3"/>
  <c r="A1358" i="6" s="1"/>
  <c r="D1294" i="3"/>
  <c r="A1294" i="6" s="1"/>
  <c r="D1230" i="3"/>
  <c r="A1230" i="6" s="1"/>
  <c r="D1194" i="3"/>
  <c r="A1194" i="6" s="1"/>
  <c r="E1130" i="3"/>
  <c r="E1066" i="3"/>
  <c r="E1002" i="3"/>
  <c r="E938" i="3"/>
  <c r="E874" i="3"/>
  <c r="E810" i="3"/>
  <c r="E719" i="3"/>
  <c r="D1081" i="3"/>
  <c r="A1081" i="6" s="1"/>
  <c r="D1017" i="3"/>
  <c r="A1017" i="6" s="1"/>
  <c r="D953" i="3"/>
  <c r="A953" i="6" s="1"/>
  <c r="D889" i="3"/>
  <c r="A889" i="6" s="1"/>
  <c r="D825" i="3"/>
  <c r="A825" i="6" s="1"/>
  <c r="E753" i="3"/>
  <c r="D724" i="3"/>
  <c r="A724" i="6" s="1"/>
  <c r="E660" i="3"/>
  <c r="E596" i="3"/>
  <c r="D707" i="3"/>
  <c r="A707" i="6" s="1"/>
  <c r="D643" i="3"/>
  <c r="A643" i="6" s="1"/>
  <c r="D579" i="3"/>
  <c r="A579" i="6" s="1"/>
  <c r="E514" i="3"/>
  <c r="E450" i="3"/>
  <c r="E386" i="3"/>
  <c r="E317" i="3"/>
  <c r="D483" i="3"/>
  <c r="A483" i="6" s="1"/>
  <c r="D419" i="3"/>
  <c r="A419" i="6" s="1"/>
  <c r="D355" i="3"/>
  <c r="A355" i="6" s="1"/>
  <c r="E300" i="3"/>
  <c r="E236" i="3"/>
  <c r="D271" i="3"/>
  <c r="A271" i="6" s="1"/>
  <c r="E206" i="3"/>
  <c r="D157" i="3"/>
  <c r="A157" i="6" s="1"/>
  <c r="D5992" i="3"/>
  <c r="D5924" i="3"/>
  <c r="A5924" i="6" s="1"/>
  <c r="D5860" i="3"/>
  <c r="A5860" i="6" s="1"/>
  <c r="D5796" i="3"/>
  <c r="A5796" i="6" s="1"/>
  <c r="D5732" i="3"/>
  <c r="A5732" i="6" s="1"/>
  <c r="D5668" i="3"/>
  <c r="A5668" i="6" s="1"/>
  <c r="D5604" i="3"/>
  <c r="A5604" i="6" s="1"/>
  <c r="D5540" i="3"/>
  <c r="A5540" i="6" s="1"/>
  <c r="D5476" i="3"/>
  <c r="A5476" i="6" s="1"/>
  <c r="D5412" i="3"/>
  <c r="A5412" i="6" s="1"/>
  <c r="D5348" i="3"/>
  <c r="A5348" i="6" s="1"/>
  <c r="D5284" i="3"/>
  <c r="A5284" i="6" s="1"/>
  <c r="E7083" i="3"/>
  <c r="E7019" i="3"/>
  <c r="E6955" i="3"/>
  <c r="E6891" i="3"/>
  <c r="E6827" i="3"/>
  <c r="E6763" i="3"/>
  <c r="E6699" i="3"/>
  <c r="E6635" i="3"/>
  <c r="E6571" i="3"/>
  <c r="E6507" i="3"/>
  <c r="E6443" i="3"/>
  <c r="E6379" i="3"/>
  <c r="E6315" i="3"/>
  <c r="E6251" i="3"/>
  <c r="E6187" i="3"/>
  <c r="E6123" i="3"/>
  <c r="E6059" i="3"/>
  <c r="E5995" i="3"/>
  <c r="E5931" i="3"/>
  <c r="E5867" i="3"/>
  <c r="E5803" i="3"/>
  <c r="E5739" i="3"/>
  <c r="E5675" i="3"/>
  <c r="E5611" i="3"/>
  <c r="E5547" i="3"/>
  <c r="E5483" i="3"/>
  <c r="E5419" i="3"/>
  <c r="E5355" i="3"/>
  <c r="E5291" i="3"/>
  <c r="D5227" i="3"/>
  <c r="A5227" i="6" s="1"/>
  <c r="D5163" i="3"/>
  <c r="A5163" i="6" s="1"/>
  <c r="D5099" i="3"/>
  <c r="A5099" i="6" s="1"/>
  <c r="D5035" i="3"/>
  <c r="A5035" i="6" s="1"/>
  <c r="D4971" i="3"/>
  <c r="A4971" i="6" s="1"/>
  <c r="D4907" i="3"/>
  <c r="A4907" i="6" s="1"/>
  <c r="D4843" i="3"/>
  <c r="A4843" i="6" s="1"/>
  <c r="D4779" i="3"/>
  <c r="A4779" i="6" s="1"/>
  <c r="D4715" i="3"/>
  <c r="A4715" i="6" s="1"/>
  <c r="D4651" i="3"/>
  <c r="A4651" i="6" s="1"/>
  <c r="D4587" i="3"/>
  <c r="A4587" i="6" s="1"/>
  <c r="D4523" i="3"/>
  <c r="A4523" i="6" s="1"/>
  <c r="D4459" i="3"/>
  <c r="A4459" i="6" s="1"/>
  <c r="D4395" i="3"/>
  <c r="A4395" i="6" s="1"/>
  <c r="D4331" i="3"/>
  <c r="A4331" i="6" s="1"/>
  <c r="D4267" i="3"/>
  <c r="A4267" i="6" s="1"/>
  <c r="D4203" i="3"/>
  <c r="A4203" i="6" s="1"/>
  <c r="D4139" i="3"/>
  <c r="A4139" i="6" s="1"/>
  <c r="D4075" i="3"/>
  <c r="A4075" i="6" s="1"/>
  <c r="D4011" i="3"/>
  <c r="A4011" i="6" s="1"/>
  <c r="D3947" i="3"/>
  <c r="A3947" i="6" s="1"/>
  <c r="D3883" i="3"/>
  <c r="A3883" i="6" s="1"/>
  <c r="D3819" i="3"/>
  <c r="A3819" i="6" s="1"/>
  <c r="D3755" i="3"/>
  <c r="A3755" i="6" s="1"/>
  <c r="D3691" i="3"/>
  <c r="A3691" i="6" s="1"/>
  <c r="D3627" i="3"/>
  <c r="A3627" i="6" s="1"/>
  <c r="D3563" i="3"/>
  <c r="A3563" i="6" s="1"/>
  <c r="D3499" i="3"/>
  <c r="A3499" i="6" s="1"/>
  <c r="E5256" i="3"/>
  <c r="E5192" i="3"/>
  <c r="E5128" i="3"/>
  <c r="E5064" i="3"/>
  <c r="E5000" i="3"/>
  <c r="E4936" i="3"/>
  <c r="E4872" i="3"/>
  <c r="E4808" i="3"/>
  <c r="E4744" i="3"/>
  <c r="E4680" i="3"/>
  <c r="E4616" i="3"/>
  <c r="E4552" i="3"/>
  <c r="E4488" i="3"/>
  <c r="E4424" i="3"/>
  <c r="E4360" i="3"/>
  <c r="E4296" i="3"/>
  <c r="E4232" i="3"/>
  <c r="E4168" i="3"/>
  <c r="E4104" i="3"/>
  <c r="E4040" i="3"/>
  <c r="E3976" i="3"/>
  <c r="E3912" i="3"/>
  <c r="E3848" i="3"/>
  <c r="E3784" i="3"/>
  <c r="E3720" i="3"/>
  <c r="E3656" i="3"/>
  <c r="E3592" i="3"/>
  <c r="E3528" i="3"/>
  <c r="E3464" i="3"/>
  <c r="D3400" i="3"/>
  <c r="A3400" i="6" s="1"/>
  <c r="D3336" i="3"/>
  <c r="A3336" i="6" s="1"/>
  <c r="D3272" i="3"/>
  <c r="A3272" i="6" s="1"/>
  <c r="D3208" i="3"/>
  <c r="A3208" i="6" s="1"/>
  <c r="D3144" i="3"/>
  <c r="A3144" i="6" s="1"/>
  <c r="D3080" i="3"/>
  <c r="A3080" i="6" s="1"/>
  <c r="D3016" i="3"/>
  <c r="A3016" i="6" s="1"/>
  <c r="D2952" i="3"/>
  <c r="A2952" i="6" s="1"/>
  <c r="D2888" i="3"/>
  <c r="A2888" i="6" s="1"/>
  <c r="D2824" i="3"/>
  <c r="A2824" i="6" s="1"/>
  <c r="D2760" i="3"/>
  <c r="A2760" i="6" s="1"/>
  <c r="D2696" i="3"/>
  <c r="A2696" i="6" s="1"/>
  <c r="D2632" i="3"/>
  <c r="A2632" i="6" s="1"/>
  <c r="D2568" i="3"/>
  <c r="A2568" i="6" s="1"/>
  <c r="E3413" i="3"/>
  <c r="E3349" i="3"/>
  <c r="E3285" i="3"/>
  <c r="E3221" i="3"/>
  <c r="E3157" i="3"/>
  <c r="E3093" i="3"/>
  <c r="E3029" i="3"/>
  <c r="E2965" i="3"/>
  <c r="E2901" i="3"/>
  <c r="E2837" i="3"/>
  <c r="E2773" i="3"/>
  <c r="E2709" i="3"/>
  <c r="E2645" i="3"/>
  <c r="E2581" i="3"/>
  <c r="D2521" i="3"/>
  <c r="A2521" i="6" s="1"/>
  <c r="D2457" i="3"/>
  <c r="A2457" i="6" s="1"/>
  <c r="D2393" i="3"/>
  <c r="A2393" i="6" s="1"/>
  <c r="D2329" i="3"/>
  <c r="A2329" i="6" s="1"/>
  <c r="D2265" i="3"/>
  <c r="A2265" i="6" s="1"/>
  <c r="D2201" i="3"/>
  <c r="A2201" i="6" s="1"/>
  <c r="D2137" i="3"/>
  <c r="A2137" i="6" s="1"/>
  <c r="D2073" i="3"/>
  <c r="A2073" i="6" s="1"/>
  <c r="D2009" i="3"/>
  <c r="A2009" i="6" s="1"/>
  <c r="D1945" i="3"/>
  <c r="A1945" i="6" s="1"/>
  <c r="D1881" i="3"/>
  <c r="A1881" i="6" s="1"/>
  <c r="D1817" i="3"/>
  <c r="A1817" i="6" s="1"/>
  <c r="D1753" i="3"/>
  <c r="A1753" i="6" s="1"/>
  <c r="D1689" i="3"/>
  <c r="A1689" i="6" s="1"/>
  <c r="E2528" i="3"/>
  <c r="E2464" i="3"/>
  <c r="E2400" i="3"/>
  <c r="E2336" i="3"/>
  <c r="E2272" i="3"/>
  <c r="E2208" i="3"/>
  <c r="E2144" i="3"/>
  <c r="E2080" i="3"/>
  <c r="E2016" i="3"/>
  <c r="E1952" i="3"/>
  <c r="E1888" i="3"/>
  <c r="E1824" i="3"/>
  <c r="E1760" i="3"/>
  <c r="E1696" i="3"/>
  <c r="E1632" i="3"/>
  <c r="D1569" i="3"/>
  <c r="A1569" i="6" s="1"/>
  <c r="D1505" i="3"/>
  <c r="A1505" i="6" s="1"/>
  <c r="D1441" i="3"/>
  <c r="A1441" i="6" s="1"/>
  <c r="D1377" i="3"/>
  <c r="A1377" i="6" s="1"/>
  <c r="D1313" i="3"/>
  <c r="A1313" i="6" s="1"/>
  <c r="D1249" i="3"/>
  <c r="A1249" i="6" s="1"/>
  <c r="D1171" i="3"/>
  <c r="A1171" i="6" s="1"/>
  <c r="E1574" i="3"/>
  <c r="E1510" i="3"/>
  <c r="E1446" i="3"/>
  <c r="E1382" i="3"/>
  <c r="E1318" i="3"/>
  <c r="E1254" i="3"/>
  <c r="D1181" i="3"/>
  <c r="A1181" i="6" s="1"/>
  <c r="E1154" i="3"/>
  <c r="D1090" i="3"/>
  <c r="A1090" i="6" s="1"/>
  <c r="D1026" i="3"/>
  <c r="A1026" i="6" s="1"/>
  <c r="D962" i="3"/>
  <c r="A962" i="6" s="1"/>
  <c r="D898" i="3"/>
  <c r="A898" i="6" s="1"/>
  <c r="D834" i="3"/>
  <c r="A834" i="6" s="1"/>
  <c r="D767" i="3"/>
  <c r="A767" i="6" s="1"/>
  <c r="E1105" i="3"/>
  <c r="E1041" i="3"/>
  <c r="E977" i="3"/>
  <c r="E913" i="3"/>
  <c r="E849" i="3"/>
  <c r="E785" i="3"/>
  <c r="E748" i="3"/>
  <c r="D684" i="3"/>
  <c r="A684" i="6" s="1"/>
  <c r="D620" i="3"/>
  <c r="A620" i="6" s="1"/>
  <c r="D556" i="3"/>
  <c r="A556" i="6" s="1"/>
  <c r="E667" i="3"/>
  <c r="E603" i="3"/>
  <c r="D538" i="3"/>
  <c r="A538" i="6" s="1"/>
  <c r="D474" i="3"/>
  <c r="A474" i="6" s="1"/>
  <c r="D410" i="3"/>
  <c r="A410" i="6" s="1"/>
  <c r="D346" i="3"/>
  <c r="A346" i="6" s="1"/>
  <c r="E507" i="3"/>
  <c r="E443" i="3"/>
  <c r="E379" i="3"/>
  <c r="D324" i="3"/>
  <c r="A324" i="6" s="1"/>
  <c r="D260" i="3"/>
  <c r="A260" i="6" s="1"/>
  <c r="E295" i="3"/>
  <c r="E231" i="3"/>
  <c r="D166" i="3"/>
  <c r="A166" i="6" s="1"/>
  <c r="E181" i="3"/>
  <c r="D6012" i="3"/>
  <c r="E5824" i="3"/>
  <c r="E5760" i="3"/>
  <c r="E5696" i="3"/>
  <c r="E5632" i="3"/>
  <c r="E5568" i="3"/>
  <c r="E5504" i="3"/>
  <c r="E5440" i="3"/>
  <c r="E5376" i="3"/>
  <c r="E5312" i="3"/>
  <c r="D7111" i="3"/>
  <c r="D7047" i="3"/>
  <c r="D6983" i="3"/>
  <c r="D6919" i="3"/>
  <c r="D6855" i="3"/>
  <c r="D6791" i="3"/>
  <c r="D6727" i="3"/>
  <c r="D6663" i="3"/>
  <c r="D6599" i="3"/>
  <c r="D6535" i="3"/>
  <c r="D6471" i="3"/>
  <c r="D6407" i="3"/>
  <c r="D6343" i="3"/>
  <c r="D6279" i="3"/>
  <c r="D6215" i="3"/>
  <c r="D6151" i="3"/>
  <c r="D6087" i="3"/>
  <c r="D6023" i="3"/>
  <c r="D5959" i="3"/>
  <c r="D5895" i="3"/>
  <c r="D5831" i="3"/>
  <c r="D5767" i="3"/>
  <c r="D5703" i="3"/>
  <c r="D5639" i="3"/>
  <c r="D5575" i="3"/>
  <c r="D5511" i="3"/>
  <c r="D5447" i="3"/>
  <c r="D5383" i="3"/>
  <c r="D5319" i="3"/>
  <c r="E5255" i="3"/>
  <c r="E5191" i="3"/>
  <c r="E5127" i="3"/>
  <c r="E5063" i="3"/>
  <c r="E4999" i="3"/>
  <c r="E4935" i="3"/>
  <c r="E4871" i="3"/>
  <c r="E4807" i="3"/>
  <c r="E4743" i="3"/>
  <c r="E4679" i="3"/>
  <c r="E4615" i="3"/>
  <c r="E4551" i="3"/>
  <c r="E4487" i="3"/>
  <c r="E4423" i="3"/>
  <c r="E4359" i="3"/>
  <c r="E4295" i="3"/>
  <c r="E4231" i="3"/>
  <c r="E4167" i="3"/>
  <c r="E4103" i="3"/>
  <c r="E4039" i="3"/>
  <c r="E3975" i="3"/>
  <c r="E3911" i="3"/>
  <c r="E3847" i="3"/>
  <c r="E3783" i="3"/>
  <c r="E3719" i="3"/>
  <c r="E3655" i="3"/>
  <c r="E3591" i="3"/>
  <c r="E3527" i="3"/>
  <c r="E3463" i="3"/>
  <c r="D5220" i="3"/>
  <c r="D5156" i="3"/>
  <c r="D5092" i="3"/>
  <c r="D5028" i="3"/>
  <c r="D4964" i="3"/>
  <c r="D4900" i="3"/>
  <c r="D4836" i="3"/>
  <c r="D4772" i="3"/>
  <c r="D4708" i="3"/>
  <c r="D4644" i="3"/>
  <c r="D4580" i="3"/>
  <c r="D4516" i="3"/>
  <c r="D4452" i="3"/>
  <c r="D4388" i="3"/>
  <c r="D4324" i="3"/>
  <c r="D4260" i="3"/>
  <c r="D4196" i="3"/>
  <c r="D4132" i="3"/>
  <c r="D4068" i="3"/>
  <c r="D4004" i="3"/>
  <c r="D3940" i="3"/>
  <c r="D3876" i="3"/>
  <c r="D3812" i="3"/>
  <c r="D3748" i="3"/>
  <c r="D3684" i="3"/>
  <c r="D3620" i="3"/>
  <c r="D3556" i="3"/>
  <c r="D3492" i="3"/>
  <c r="E3428" i="3"/>
  <c r="E3364" i="3"/>
  <c r="E3300" i="3"/>
  <c r="E3236" i="3"/>
  <c r="E3172" i="3"/>
  <c r="E3108" i="3"/>
  <c r="E3044" i="3"/>
  <c r="E2980" i="3"/>
  <c r="E2916" i="3"/>
  <c r="E2852" i="3"/>
  <c r="E2788" i="3"/>
  <c r="E2724" i="3"/>
  <c r="E2660" i="3"/>
  <c r="E2596" i="3"/>
  <c r="D3441" i="3"/>
  <c r="D3377" i="3"/>
  <c r="D3313" i="3"/>
  <c r="D3249" i="3"/>
  <c r="D3185" i="3"/>
  <c r="D3121" i="3"/>
  <c r="D3057" i="3"/>
  <c r="D2993" i="3"/>
  <c r="D2929" i="3"/>
  <c r="D2865" i="3"/>
  <c r="D2801" i="3"/>
  <c r="D2737" i="3"/>
  <c r="D2673" i="3"/>
  <c r="D2609" i="3"/>
  <c r="D2545" i="3"/>
  <c r="E2485" i="3"/>
  <c r="E2421" i="3"/>
  <c r="E2357" i="3"/>
  <c r="E2293" i="3"/>
  <c r="E2229" i="3"/>
  <c r="E2165" i="3"/>
  <c r="E2101" i="3"/>
  <c r="E2037" i="3"/>
  <c r="E1973" i="3"/>
  <c r="E1909" i="3"/>
  <c r="E1845" i="3"/>
  <c r="E1781" i="3"/>
  <c r="E1717" i="3"/>
  <c r="E1653" i="3"/>
  <c r="D2492" i="3"/>
  <c r="D2428" i="3"/>
  <c r="D2364" i="3"/>
  <c r="D2300" i="3"/>
  <c r="D2236" i="3"/>
  <c r="D2172" i="3"/>
  <c r="D2108" i="3"/>
  <c r="D2044" i="3"/>
  <c r="D1980" i="3"/>
  <c r="D1916" i="3"/>
  <c r="D1852" i="3"/>
  <c r="D1788" i="3"/>
  <c r="D1724" i="3"/>
  <c r="D1660" i="3"/>
  <c r="E1597" i="3"/>
  <c r="E1533" i="3"/>
  <c r="E1469" i="3"/>
  <c r="E1405" i="3"/>
  <c r="E1341" i="3"/>
  <c r="E1277" i="3"/>
  <c r="E1213" i="3"/>
  <c r="D1602" i="3"/>
  <c r="D1538" i="3"/>
  <c r="D1474" i="3"/>
  <c r="D1410" i="3"/>
  <c r="D1346" i="3"/>
  <c r="D1282" i="3"/>
  <c r="D1218" i="3"/>
  <c r="D1182" i="3"/>
  <c r="E1118" i="3"/>
  <c r="E1054" i="3"/>
  <c r="E990" i="3"/>
  <c r="E926" i="3"/>
  <c r="E862" i="3"/>
  <c r="E798" i="3"/>
  <c r="D1133" i="3"/>
  <c r="D1069" i="3"/>
  <c r="D1005" i="3"/>
  <c r="D941" i="3"/>
  <c r="D877" i="3"/>
  <c r="D813" i="3"/>
  <c r="E729" i="3"/>
  <c r="E712" i="3"/>
  <c r="E648" i="3"/>
  <c r="E584" i="3"/>
  <c r="D695" i="3"/>
  <c r="D631" i="3"/>
  <c r="D567" i="3"/>
  <c r="E502" i="3"/>
  <c r="E438" i="3"/>
  <c r="E374" i="3"/>
  <c r="D535" i="3"/>
  <c r="D471" i="3"/>
  <c r="D407" i="3"/>
  <c r="D343" i="3"/>
  <c r="E288" i="3"/>
  <c r="E224" i="3"/>
  <c r="D259" i="3"/>
  <c r="E194" i="3"/>
  <c r="D177" i="3"/>
  <c r="D5968" i="3"/>
  <c r="D5904" i="3"/>
  <c r="D5840" i="3"/>
  <c r="A5840" i="6" s="1"/>
  <c r="D5776" i="3"/>
  <c r="A5776" i="6" s="1"/>
  <c r="D5712" i="3"/>
  <c r="A5712" i="6" s="1"/>
  <c r="D5648" i="3"/>
  <c r="A5648" i="6" s="1"/>
  <c r="D5584" i="3"/>
  <c r="A5584" i="6" s="1"/>
  <c r="D5520" i="3"/>
  <c r="A5520" i="6" s="1"/>
  <c r="D5456" i="3"/>
  <c r="A5456" i="6" s="1"/>
  <c r="D5392" i="3"/>
  <c r="A5392" i="6" s="1"/>
  <c r="D5328" i="3"/>
  <c r="A5328" i="6" s="1"/>
  <c r="D5264" i="3"/>
  <c r="A5264" i="6" s="1"/>
  <c r="E7063" i="3"/>
  <c r="E6999" i="3"/>
  <c r="E6935" i="3"/>
  <c r="E6871" i="3"/>
  <c r="E6807" i="3"/>
  <c r="E6743" i="3"/>
  <c r="E6679" i="3"/>
  <c r="E6615" i="3"/>
  <c r="E6551" i="3"/>
  <c r="E6487" i="3"/>
  <c r="E6423" i="3"/>
  <c r="E6359" i="3"/>
  <c r="E6295" i="3"/>
  <c r="E6231" i="3"/>
  <c r="E6167" i="3"/>
  <c r="E6103" i="3"/>
  <c r="E6039" i="3"/>
  <c r="E5975" i="3"/>
  <c r="E5911" i="3"/>
  <c r="E5847" i="3"/>
  <c r="E5783" i="3"/>
  <c r="E5655" i="3"/>
  <c r="E5527" i="3"/>
  <c r="E5399" i="3"/>
  <c r="E5271" i="3"/>
  <c r="D5143" i="3"/>
  <c r="A5143" i="6" s="1"/>
  <c r="D5015" i="3"/>
  <c r="A5015" i="6" s="1"/>
  <c r="D4887" i="3"/>
  <c r="A4887" i="6" s="1"/>
  <c r="D4759" i="3"/>
  <c r="A4759" i="6" s="1"/>
  <c r="D4631" i="3"/>
  <c r="A4631" i="6" s="1"/>
  <c r="D4503" i="3"/>
  <c r="A4503" i="6" s="1"/>
  <c r="D4375" i="3"/>
  <c r="A4375" i="6" s="1"/>
  <c r="D4247" i="3"/>
  <c r="A4247" i="6" s="1"/>
  <c r="D4119" i="3"/>
  <c r="A4119" i="6" s="1"/>
  <c r="D3991" i="3"/>
  <c r="A3991" i="6" s="1"/>
  <c r="D3863" i="3"/>
  <c r="A3863" i="6" s="1"/>
  <c r="D3735" i="3"/>
  <c r="A3735" i="6" s="1"/>
  <c r="D3607" i="3"/>
  <c r="A3607" i="6" s="1"/>
  <c r="D3479" i="3"/>
  <c r="A3479" i="6" s="1"/>
  <c r="E5172" i="3"/>
  <c r="E5044" i="3"/>
  <c r="E4916" i="3"/>
  <c r="E4788" i="3"/>
  <c r="E4660" i="3"/>
  <c r="E4532" i="3"/>
  <c r="E4404" i="3"/>
  <c r="E4276" i="3"/>
  <c r="E4148" i="3"/>
  <c r="E4020" i="3"/>
  <c r="E3892" i="3"/>
  <c r="E3764" i="3"/>
  <c r="E3636" i="3"/>
  <c r="E3508" i="3"/>
  <c r="D3380" i="3"/>
  <c r="A3380" i="6" s="1"/>
  <c r="D3252" i="3"/>
  <c r="A3252" i="6" s="1"/>
  <c r="D3124" i="3"/>
  <c r="A3124" i="6" s="1"/>
  <c r="D2996" i="3"/>
  <c r="A2996" i="6" s="1"/>
  <c r="D2868" i="3"/>
  <c r="A2868" i="6" s="1"/>
  <c r="D2740" i="3"/>
  <c r="A2740" i="6" s="1"/>
  <c r="D2612" i="3"/>
  <c r="A2612" i="6" s="1"/>
  <c r="E3393" i="3"/>
  <c r="E3265" i="3"/>
  <c r="E3137" i="3"/>
  <c r="E3009" i="3"/>
  <c r="E2881" i="3"/>
  <c r="E2753" i="3"/>
  <c r="E2625" i="3"/>
  <c r="D2501" i="3"/>
  <c r="A2501" i="6" s="1"/>
  <c r="D2373" i="3"/>
  <c r="A2373" i="6" s="1"/>
  <c r="D2245" i="3"/>
  <c r="A2245" i="6" s="1"/>
  <c r="D2117" i="3"/>
  <c r="A2117" i="6" s="1"/>
  <c r="D1989" i="3"/>
  <c r="A1989" i="6" s="1"/>
  <c r="D1861" i="3"/>
  <c r="A1861" i="6" s="1"/>
  <c r="D1733" i="3"/>
  <c r="A1733" i="6" s="1"/>
  <c r="E2508" i="3"/>
  <c r="E2380" i="3"/>
  <c r="E2252" i="3"/>
  <c r="E2124" i="3"/>
  <c r="E1996" i="3"/>
  <c r="E1868" i="3"/>
  <c r="E1740" i="3"/>
  <c r="D1613" i="3"/>
  <c r="A1613" i="6" s="1"/>
  <c r="D1485" i="3"/>
  <c r="A1485" i="6" s="1"/>
  <c r="D1357" i="3"/>
  <c r="A1357" i="6" s="1"/>
  <c r="D1229" i="3"/>
  <c r="A1229" i="6" s="1"/>
  <c r="E1554" i="3"/>
  <c r="E1426" i="3"/>
  <c r="E1298" i="3"/>
  <c r="E1198" i="3"/>
  <c r="D1070" i="3"/>
  <c r="A1070" i="6" s="1"/>
  <c r="D942" i="3"/>
  <c r="A942" i="6" s="1"/>
  <c r="D814" i="3"/>
  <c r="A814" i="6" s="1"/>
  <c r="E1085" i="3"/>
  <c r="E957" i="3"/>
  <c r="E829" i="3"/>
  <c r="E728" i="3"/>
  <c r="D600" i="3"/>
  <c r="A600" i="6" s="1"/>
  <c r="E647" i="3"/>
  <c r="D518" i="3"/>
  <c r="A518" i="6" s="1"/>
  <c r="D390" i="3"/>
  <c r="A390" i="6" s="1"/>
  <c r="E487" i="3"/>
  <c r="E359" i="3"/>
  <c r="D240" i="3"/>
  <c r="A240" i="6" s="1"/>
  <c r="D210" i="3"/>
  <c r="A210" i="6" s="1"/>
  <c r="E8751" i="3"/>
  <c r="E8613" i="3"/>
  <c r="E8485" i="3"/>
  <c r="E8357" i="3"/>
  <c r="E8229" i="3"/>
  <c r="E8101" i="3"/>
  <c r="E8683" i="3"/>
  <c r="E8555" i="3"/>
  <c r="E8693" i="3"/>
  <c r="E8629" i="3"/>
  <c r="E8565" i="3"/>
  <c r="E8501" i="3"/>
  <c r="E8437" i="3"/>
  <c r="E8373" i="3"/>
  <c r="E8309" i="3"/>
  <c r="E8245" i="3"/>
  <c r="E8181" i="3"/>
  <c r="E8117" i="3"/>
  <c r="E8053" i="3"/>
  <c r="E7989" i="3"/>
  <c r="E7925" i="3"/>
  <c r="E7861" i="3"/>
  <c r="E7797" i="3"/>
  <c r="E7733" i="3"/>
  <c r="E7669" i="3"/>
  <c r="E7605" i="3"/>
  <c r="E7541" i="3"/>
  <c r="E7477" i="3"/>
  <c r="E7413" i="3"/>
  <c r="E7349" i="3"/>
  <c r="E7285" i="3"/>
  <c r="E7221" i="3"/>
  <c r="E7157" i="3"/>
  <c r="E8729" i="3"/>
  <c r="D8700" i="3"/>
  <c r="D8636" i="3"/>
  <c r="D8572" i="3"/>
  <c r="D8508" i="3"/>
  <c r="D8444" i="3"/>
  <c r="D8380" i="3"/>
  <c r="D8316" i="3"/>
  <c r="D8252" i="3"/>
  <c r="D8188" i="3"/>
  <c r="D8124" i="3"/>
  <c r="D8060" i="3"/>
  <c r="D7996" i="3"/>
  <c r="D7932" i="3"/>
  <c r="D7868" i="3"/>
  <c r="D7804" i="3"/>
  <c r="D7740" i="3"/>
  <c r="D7676" i="3"/>
  <c r="D7612" i="3"/>
  <c r="D7548" i="3"/>
  <c r="D7484" i="3"/>
  <c r="D7420" i="3"/>
  <c r="D7356" i="3"/>
  <c r="D7292" i="3"/>
  <c r="D7228" i="3"/>
  <c r="D7164" i="3"/>
  <c r="E7078" i="3"/>
  <c r="E7014" i="3"/>
  <c r="E6950" i="3"/>
  <c r="E6886" i="3"/>
  <c r="E6822" i="3"/>
  <c r="E6758" i="3"/>
  <c r="E6694" i="3"/>
  <c r="E6630" i="3"/>
  <c r="E6566" i="3"/>
  <c r="E6502" i="3"/>
  <c r="E6438" i="3"/>
  <c r="E6374" i="3"/>
  <c r="E6310" i="3"/>
  <c r="E6246" i="3"/>
  <c r="E6182" i="3"/>
  <c r="E6118" i="3"/>
  <c r="E6054" i="3"/>
  <c r="E5990" i="3"/>
  <c r="E5926" i="3"/>
  <c r="E5862" i="3"/>
  <c r="E5798" i="3"/>
  <c r="E5734" i="3"/>
  <c r="E5670" i="3"/>
  <c r="E5606" i="3"/>
  <c r="E5542" i="3"/>
  <c r="E5478" i="3"/>
  <c r="E5414" i="3"/>
  <c r="E5350" i="3"/>
  <c r="E5286" i="3"/>
  <c r="D7085" i="3"/>
  <c r="D7021" i="3"/>
  <c r="D6957" i="3"/>
  <c r="D6893" i="3"/>
  <c r="D6829" i="3"/>
  <c r="D6765" i="3"/>
  <c r="D6701" i="3"/>
  <c r="D6637" i="3"/>
  <c r="D6573" i="3"/>
  <c r="D6509" i="3"/>
  <c r="D6445" i="3"/>
  <c r="D6381" i="3"/>
  <c r="D6317" i="3"/>
  <c r="D6253" i="3"/>
  <c r="D6189" i="3"/>
  <c r="D6125" i="3"/>
  <c r="D6061" i="3"/>
  <c r="D5997" i="3"/>
  <c r="D5933" i="3"/>
  <c r="D5869" i="3"/>
  <c r="D5805" i="3"/>
  <c r="D5741" i="3"/>
  <c r="D5677" i="3"/>
  <c r="D5613" i="3"/>
  <c r="D5549" i="3"/>
  <c r="D5485" i="3"/>
  <c r="D5421" i="3"/>
  <c r="D5357" i="3"/>
  <c r="D5293" i="3"/>
  <c r="E5229" i="3"/>
  <c r="E5165" i="3"/>
  <c r="E5101" i="3"/>
  <c r="E5037" i="3"/>
  <c r="E4973" i="3"/>
  <c r="E4909" i="3"/>
  <c r="E4845" i="3"/>
  <c r="E4781" i="3"/>
  <c r="E4717" i="3"/>
  <c r="E4653" i="3"/>
  <c r="E4589" i="3"/>
  <c r="E4525" i="3"/>
  <c r="E4461" i="3"/>
  <c r="E4397" i="3"/>
  <c r="E4333" i="3"/>
  <c r="E4269" i="3"/>
  <c r="E4205" i="3"/>
  <c r="E4141" i="3"/>
  <c r="E4077" i="3"/>
  <c r="E4013" i="3"/>
  <c r="E3949" i="3"/>
  <c r="E3885" i="3"/>
  <c r="E3821" i="3"/>
  <c r="E3757" i="3"/>
  <c r="E3693" i="3"/>
  <c r="E3629" i="3"/>
  <c r="E3565" i="3"/>
  <c r="E3501" i="3"/>
  <c r="D5258" i="3"/>
  <c r="D5194" i="3"/>
  <c r="D5130" i="3"/>
  <c r="D5066" i="3"/>
  <c r="D5002" i="3"/>
  <c r="D4938" i="3"/>
  <c r="D4874" i="3"/>
  <c r="D4810" i="3"/>
  <c r="D4746" i="3"/>
  <c r="D4682" i="3"/>
  <c r="D4618" i="3"/>
  <c r="D4554" i="3"/>
  <c r="D4490" i="3"/>
  <c r="D4426" i="3"/>
  <c r="D4362" i="3"/>
  <c r="D4298" i="3"/>
  <c r="D4234" i="3"/>
  <c r="D4170" i="3"/>
  <c r="D4106" i="3"/>
  <c r="D4042" i="3"/>
  <c r="D3978" i="3"/>
  <c r="D3914" i="3"/>
  <c r="D3850" i="3"/>
  <c r="D3786" i="3"/>
  <c r="D3722" i="3"/>
  <c r="D3658" i="3"/>
  <c r="D3594" i="3"/>
  <c r="D3530" i="3"/>
  <c r="D3466" i="3"/>
  <c r="E3402" i="3"/>
  <c r="E3338" i="3"/>
  <c r="E3274" i="3"/>
  <c r="E3210" i="3"/>
  <c r="E3146" i="3"/>
  <c r="E3082" i="3"/>
  <c r="E3018" i="3"/>
  <c r="E2954" i="3"/>
  <c r="E2890" i="3"/>
  <c r="E2826" i="3"/>
  <c r="E2762" i="3"/>
  <c r="E2698" i="3"/>
  <c r="E2634" i="3"/>
  <c r="E2570" i="3"/>
  <c r="D3415" i="3"/>
  <c r="D3351" i="3"/>
  <c r="D3287" i="3"/>
  <c r="D3223" i="3"/>
  <c r="D3159" i="3"/>
  <c r="D3095" i="3"/>
  <c r="D3031" i="3"/>
  <c r="D2967" i="3"/>
  <c r="D2903" i="3"/>
  <c r="D2839" i="3"/>
  <c r="D2775" i="3"/>
  <c r="D2711" i="3"/>
  <c r="D2647" i="3"/>
  <c r="D2583" i="3"/>
  <c r="E2523" i="3"/>
  <c r="E2459" i="3"/>
  <c r="E2395" i="3"/>
  <c r="E2331" i="3"/>
  <c r="E2267" i="3"/>
  <c r="E2203" i="3"/>
  <c r="E2139" i="3"/>
  <c r="E2075" i="3"/>
  <c r="E2011" i="3"/>
  <c r="E1947" i="3"/>
  <c r="E1883" i="3"/>
  <c r="E1819" i="3"/>
  <c r="E1755" i="3"/>
  <c r="E1691" i="3"/>
  <c r="E1627" i="3"/>
  <c r="D2466" i="3"/>
  <c r="D2402" i="3"/>
  <c r="D2338" i="3"/>
  <c r="D2274" i="3"/>
  <c r="D2210" i="3"/>
  <c r="D2146" i="3"/>
  <c r="D2082" i="3"/>
  <c r="D2018" i="3"/>
  <c r="D1954" i="3"/>
  <c r="D1890" i="3"/>
  <c r="D1826" i="3"/>
  <c r="D1762" i="3"/>
  <c r="D1698" i="3"/>
  <c r="D1634" i="3"/>
  <c r="E1571" i="3"/>
  <c r="E1507" i="3"/>
  <c r="E1443" i="3"/>
  <c r="E1379" i="3"/>
  <c r="E1315" i="3"/>
  <c r="E1251" i="3"/>
  <c r="E1175" i="3"/>
  <c r="D1576" i="3"/>
  <c r="D1512" i="3"/>
  <c r="D1448" i="3"/>
  <c r="D1384" i="3"/>
  <c r="D1320" i="3"/>
  <c r="D1256" i="3"/>
  <c r="E1185" i="3"/>
  <c r="D1156" i="3"/>
  <c r="E1092" i="3"/>
  <c r="E1028" i="3"/>
  <c r="E964" i="3"/>
  <c r="E900" i="3"/>
  <c r="E836" i="3"/>
  <c r="E772" i="3"/>
  <c r="D1107" i="3"/>
  <c r="D1043" i="3"/>
  <c r="D979" i="3"/>
  <c r="D915" i="3"/>
  <c r="D851" i="3"/>
  <c r="D787" i="3"/>
  <c r="D750" i="3"/>
  <c r="E686" i="3"/>
  <c r="E622" i="3"/>
  <c r="E558" i="3"/>
  <c r="D669" i="3"/>
  <c r="D605" i="3"/>
  <c r="E540" i="3"/>
  <c r="E476" i="3"/>
  <c r="E412" i="3"/>
  <c r="E348" i="3"/>
  <c r="D509" i="3"/>
  <c r="D445" i="3"/>
  <c r="D381" i="3"/>
  <c r="E311" i="3"/>
  <c r="E262" i="3"/>
  <c r="D297" i="3"/>
  <c r="D233" i="3"/>
  <c r="E168" i="3"/>
  <c r="D183" i="3"/>
  <c r="E8755" i="3"/>
  <c r="E8615" i="3"/>
  <c r="E8511" i="3"/>
  <c r="E8447" i="3"/>
  <c r="E8383" i="3"/>
  <c r="E8319" i="3"/>
  <c r="E8255" i="3"/>
  <c r="E8191" i="3"/>
  <c r="E8127" i="3"/>
  <c r="E8063" i="3"/>
  <c r="E7999" i="3"/>
  <c r="E7935" i="3"/>
  <c r="E7871" i="3"/>
  <c r="E7807" i="3"/>
  <c r="E7743" i="3"/>
  <c r="E7679" i="3"/>
  <c r="E7615" i="3"/>
  <c r="E7551" i="3"/>
  <c r="E7487" i="3"/>
  <c r="E7423" i="3"/>
  <c r="E7359" i="3"/>
  <c r="E7295" i="3"/>
  <c r="E7231" i="3"/>
  <c r="E7167" i="3"/>
  <c r="E8761" i="3"/>
  <c r="D8710" i="3"/>
  <c r="D8646" i="3"/>
  <c r="D8582" i="3"/>
  <c r="D8518" i="3"/>
  <c r="D8454" i="3"/>
  <c r="D8390" i="3"/>
  <c r="D8326" i="3"/>
  <c r="D8262" i="3"/>
  <c r="D8198" i="3"/>
  <c r="D8134" i="3"/>
  <c r="D8070" i="3"/>
  <c r="D8006" i="3"/>
  <c r="D7942" i="3"/>
  <c r="D7878" i="3"/>
  <c r="D7814" i="3"/>
  <c r="D7750" i="3"/>
  <c r="D7686" i="3"/>
  <c r="D7622" i="3"/>
  <c r="D7558" i="3"/>
  <c r="D7494" i="3"/>
  <c r="D7430" i="3"/>
  <c r="D7366" i="3"/>
  <c r="D7302" i="3"/>
  <c r="D7238" i="3"/>
  <c r="D7174" i="3"/>
  <c r="E7094" i="3"/>
  <c r="E7024" i="3"/>
  <c r="E6960" i="3"/>
  <c r="E6896" i="3"/>
  <c r="E6832" i="3"/>
  <c r="E6768" i="3"/>
  <c r="E6704" i="3"/>
  <c r="E6640" i="3"/>
  <c r="E6576" i="3"/>
  <c r="E6512" i="3"/>
  <c r="E6448" i="3"/>
  <c r="E6384" i="3"/>
  <c r="E6320" i="3"/>
  <c r="E6256" i="3"/>
  <c r="E6192" i="3"/>
  <c r="E6128" i="3"/>
  <c r="E6064" i="3"/>
  <c r="E6000" i="3"/>
  <c r="D8659" i="3"/>
  <c r="D8757" i="3"/>
  <c r="D8681" i="3"/>
  <c r="D8617" i="3"/>
  <c r="D8553" i="3"/>
  <c r="D8489" i="3"/>
  <c r="D8425" i="3"/>
  <c r="D8361" i="3"/>
  <c r="D8297" i="3"/>
  <c r="D8233" i="3"/>
  <c r="D8169" i="3"/>
  <c r="D8105" i="3"/>
  <c r="D8041" i="3"/>
  <c r="D7977" i="3"/>
  <c r="D7913" i="3"/>
  <c r="D7849" i="3"/>
  <c r="D7785" i="3"/>
  <c r="D7721" i="3"/>
  <c r="D7657" i="3"/>
  <c r="D7593" i="3"/>
  <c r="D7529" i="3"/>
  <c r="D7465" i="3"/>
  <c r="D7401" i="3"/>
  <c r="D7337" i="3"/>
  <c r="D7273" i="3"/>
  <c r="D7209" i="3"/>
  <c r="D7145" i="3"/>
  <c r="E8752" i="3"/>
  <c r="E8688" i="3"/>
  <c r="E8624" i="3"/>
  <c r="E8560" i="3"/>
  <c r="E8496" i="3"/>
  <c r="E8432" i="3"/>
  <c r="E8368" i="3"/>
  <c r="E8304" i="3"/>
  <c r="E8240" i="3"/>
  <c r="E8176" i="3"/>
  <c r="E8112" i="3"/>
  <c r="E8048" i="3"/>
  <c r="E7984" i="3"/>
  <c r="E7920" i="3"/>
  <c r="E7856" i="3"/>
  <c r="E7792" i="3"/>
  <c r="E7728" i="3"/>
  <c r="E7664" i="3"/>
  <c r="E7600" i="3"/>
  <c r="E7536" i="3"/>
  <c r="E7472" i="3"/>
  <c r="E7408" i="3"/>
  <c r="E7344" i="3"/>
  <c r="E7280" i="3"/>
  <c r="E7216" i="3"/>
  <c r="E7152" i="3"/>
  <c r="D7066" i="3"/>
  <c r="D7002" i="3"/>
  <c r="D6938" i="3"/>
  <c r="D6874" i="3"/>
  <c r="D6810" i="3"/>
  <c r="D6746" i="3"/>
  <c r="D6682" i="3"/>
  <c r="D6618" i="3"/>
  <c r="D6554" i="3"/>
  <c r="D6490" i="3"/>
  <c r="D6426" i="3"/>
  <c r="D6362" i="3"/>
  <c r="D6298" i="3"/>
  <c r="D6234" i="3"/>
  <c r="D6170" i="3"/>
  <c r="D6106" i="3"/>
  <c r="D6042" i="3"/>
  <c r="D5978" i="3"/>
  <c r="D5914" i="3"/>
  <c r="D5850" i="3"/>
  <c r="D5786" i="3"/>
  <c r="D5722" i="3"/>
  <c r="D5658" i="3"/>
  <c r="D5594" i="3"/>
  <c r="D5530" i="3"/>
  <c r="D5466" i="3"/>
  <c r="D5402" i="3"/>
  <c r="D5338" i="3"/>
  <c r="D5274" i="3"/>
  <c r="E7073" i="3"/>
  <c r="E7009" i="3"/>
  <c r="E6945" i="3"/>
  <c r="E6881" i="3"/>
  <c r="E6817" i="3"/>
  <c r="E6753" i="3"/>
  <c r="E6689" i="3"/>
  <c r="E6625" i="3"/>
  <c r="E6561" i="3"/>
  <c r="E6497" i="3"/>
  <c r="E6433" i="3"/>
  <c r="E6369" i="3"/>
  <c r="E6305" i="3"/>
  <c r="E6241" i="3"/>
  <c r="E6177" i="3"/>
  <c r="E6113" i="3"/>
  <c r="E6049" i="3"/>
  <c r="E5985" i="3"/>
  <c r="E5921" i="3"/>
  <c r="E5857" i="3"/>
  <c r="E5793" i="3"/>
  <c r="E5729" i="3"/>
  <c r="E5665" i="3"/>
  <c r="E5601" i="3"/>
  <c r="E5537" i="3"/>
  <c r="E5473" i="3"/>
  <c r="E5409" i="3"/>
  <c r="E5345" i="3"/>
  <c r="E5281" i="3"/>
  <c r="D5217" i="3"/>
  <c r="D5153" i="3"/>
  <c r="D5089" i="3"/>
  <c r="D5025" i="3"/>
  <c r="D4961" i="3"/>
  <c r="D4897" i="3"/>
  <c r="D4833" i="3"/>
  <c r="D4769" i="3"/>
  <c r="D4705" i="3"/>
  <c r="D4641" i="3"/>
  <c r="D4577" i="3"/>
  <c r="D4513" i="3"/>
  <c r="D4449" i="3"/>
  <c r="D4385" i="3"/>
  <c r="D4321" i="3"/>
  <c r="D4257" i="3"/>
  <c r="D4193" i="3"/>
  <c r="D4129" i="3"/>
  <c r="D4065" i="3"/>
  <c r="D4001" i="3"/>
  <c r="D3937" i="3"/>
  <c r="D3873" i="3"/>
  <c r="D3809" i="3"/>
  <c r="D3745" i="3"/>
  <c r="D3681" i="3"/>
  <c r="D3617" i="3"/>
  <c r="D3553" i="3"/>
  <c r="D3489" i="3"/>
  <c r="E5246" i="3"/>
  <c r="E5182" i="3"/>
  <c r="E5118" i="3"/>
  <c r="E5054" i="3"/>
  <c r="E4990" i="3"/>
  <c r="E4926" i="3"/>
  <c r="E4862" i="3"/>
  <c r="E4798" i="3"/>
  <c r="E4734" i="3"/>
  <c r="E4670" i="3"/>
  <c r="E4606" i="3"/>
  <c r="E4542" i="3"/>
  <c r="E4478" i="3"/>
  <c r="E4414" i="3"/>
  <c r="E4350" i="3"/>
  <c r="E4286" i="3"/>
  <c r="E4222" i="3"/>
  <c r="E4158" i="3"/>
  <c r="E4094" i="3"/>
  <c r="E4030" i="3"/>
  <c r="E3966" i="3"/>
  <c r="E3902" i="3"/>
  <c r="E3838" i="3"/>
  <c r="E3774" i="3"/>
  <c r="E3710" i="3"/>
  <c r="E3646" i="3"/>
  <c r="E3582" i="3"/>
  <c r="E3518" i="3"/>
  <c r="E3454" i="3"/>
  <c r="D3390" i="3"/>
  <c r="D3326" i="3"/>
  <c r="D3262" i="3"/>
  <c r="D3198" i="3"/>
  <c r="D3134" i="3"/>
  <c r="D3070" i="3"/>
  <c r="D3006" i="3"/>
  <c r="D2942" i="3"/>
  <c r="D2878" i="3"/>
  <c r="D2814" i="3"/>
  <c r="D2750" i="3"/>
  <c r="D2686" i="3"/>
  <c r="D2622" i="3"/>
  <c r="D2558" i="3"/>
  <c r="E3403" i="3"/>
  <c r="E3339" i="3"/>
  <c r="E3275" i="3"/>
  <c r="E3211" i="3"/>
  <c r="E3147" i="3"/>
  <c r="E3083" i="3"/>
  <c r="E3019" i="3"/>
  <c r="E2955" i="3"/>
  <c r="E2891" i="3"/>
  <c r="E2827" i="3"/>
  <c r="E2763" i="3"/>
  <c r="E2699" i="3"/>
  <c r="E2635" i="3"/>
  <c r="E2571" i="3"/>
  <c r="D2511" i="3"/>
  <c r="D2447" i="3"/>
  <c r="D2383" i="3"/>
  <c r="D2319" i="3"/>
  <c r="D2255" i="3"/>
  <c r="D2191" i="3"/>
  <c r="D2127" i="3"/>
  <c r="D2063" i="3"/>
  <c r="D1999" i="3"/>
  <c r="D1935" i="3"/>
  <c r="D1871" i="3"/>
  <c r="D1807" i="3"/>
  <c r="D1743" i="3"/>
  <c r="D1679" i="3"/>
  <c r="E2518" i="3"/>
  <c r="E2454" i="3"/>
  <c r="E2390" i="3"/>
  <c r="E2326" i="3"/>
  <c r="E2262" i="3"/>
  <c r="E2198" i="3"/>
  <c r="E2134" i="3"/>
  <c r="E2070" i="3"/>
  <c r="E2006" i="3"/>
  <c r="E1942" i="3"/>
  <c r="E1878" i="3"/>
  <c r="E1814" i="3"/>
  <c r="E1750" i="3"/>
  <c r="E1686" i="3"/>
  <c r="D1623" i="3"/>
  <c r="D1559" i="3"/>
  <c r="D1495" i="3"/>
  <c r="D1431" i="3"/>
  <c r="D1367" i="3"/>
  <c r="D1303" i="3"/>
  <c r="D1239" i="3"/>
  <c r="D1151" i="3"/>
  <c r="E1564" i="3"/>
  <c r="E1500" i="3"/>
  <c r="E1436" i="3"/>
  <c r="E1372" i="3"/>
  <c r="E1308" i="3"/>
  <c r="E1244" i="3"/>
  <c r="D1161" i="3"/>
  <c r="E1144" i="3"/>
  <c r="D1080" i="3"/>
  <c r="D1016" i="3"/>
  <c r="D952" i="3"/>
  <c r="D888" i="3"/>
  <c r="D824" i="3"/>
  <c r="D747" i="3"/>
  <c r="E1095" i="3"/>
  <c r="E1031" i="3"/>
  <c r="E967" i="3"/>
  <c r="E903" i="3"/>
  <c r="E839" i="3"/>
  <c r="E775" i="3"/>
  <c r="E738" i="3"/>
  <c r="D674" i="3"/>
  <c r="D610" i="3"/>
  <c r="D546" i="3"/>
  <c r="E657" i="3"/>
  <c r="E593" i="3"/>
  <c r="D528" i="3"/>
  <c r="D464" i="3"/>
  <c r="D400" i="3"/>
  <c r="D336" i="3"/>
  <c r="E497" i="3"/>
  <c r="E433" i="3"/>
  <c r="E369" i="3"/>
  <c r="E314" i="3"/>
  <c r="D250" i="3"/>
  <c r="E285" i="3"/>
  <c r="E221" i="3"/>
  <c r="D156" i="3"/>
  <c r="E203" i="3"/>
  <c r="D8639" i="3"/>
  <c r="D8523" i="3"/>
  <c r="D8459" i="3"/>
  <c r="D8395" i="3"/>
  <c r="D8331" i="3"/>
  <c r="D8267" i="3"/>
  <c r="D8203" i="3"/>
  <c r="D8139" i="3"/>
  <c r="D8075" i="3"/>
  <c r="D8011" i="3"/>
  <c r="D7947" i="3"/>
  <c r="D7883" i="3"/>
  <c r="D7819" i="3"/>
  <c r="D7755" i="3"/>
  <c r="D7691" i="3"/>
  <c r="D7627" i="3"/>
  <c r="D7563" i="3"/>
  <c r="D7499" i="3"/>
  <c r="D7435" i="3"/>
  <c r="D7371" i="3"/>
  <c r="D7307" i="3"/>
  <c r="D7243" i="3"/>
  <c r="D7179" i="3"/>
  <c r="D7104" i="3"/>
  <c r="E8722" i="3"/>
  <c r="E8658" i="3"/>
  <c r="E8594" i="3"/>
  <c r="E8530" i="3"/>
  <c r="E8466" i="3"/>
  <c r="E8402" i="3"/>
  <c r="E8338" i="3"/>
  <c r="E8274" i="3"/>
  <c r="E8210" i="3"/>
  <c r="E8146" i="3"/>
  <c r="E8082" i="3"/>
  <c r="E8018" i="3"/>
  <c r="E7954" i="3"/>
  <c r="E7890" i="3"/>
  <c r="E7826" i="3"/>
  <c r="E7762" i="3"/>
  <c r="E7698" i="3"/>
  <c r="E7634" i="3"/>
  <c r="E7570" i="3"/>
  <c r="E7506" i="3"/>
  <c r="E7442" i="3"/>
  <c r="E7378" i="3"/>
  <c r="E7314" i="3"/>
  <c r="E7250" i="3"/>
  <c r="E7186" i="3"/>
  <c r="D7118" i="3"/>
  <c r="D7036" i="3"/>
  <c r="D6972" i="3"/>
  <c r="D6908" i="3"/>
  <c r="D6844" i="3"/>
  <c r="D6780" i="3"/>
  <c r="D6716" i="3"/>
  <c r="D6652" i="3"/>
  <c r="D6588" i="3"/>
  <c r="D6524" i="3"/>
  <c r="D6460" i="3"/>
  <c r="D6396" i="3"/>
  <c r="D6332" i="3"/>
  <c r="D6268" i="3"/>
  <c r="D6204" i="3"/>
  <c r="D6140" i="3"/>
  <c r="E8691" i="3"/>
  <c r="E8563" i="3"/>
  <c r="E8697" i="3"/>
  <c r="E8633" i="3"/>
  <c r="E8569" i="3"/>
  <c r="E8505" i="3"/>
  <c r="E8441" i="3"/>
  <c r="E8377" i="3"/>
  <c r="E8313" i="3"/>
  <c r="E8249" i="3"/>
  <c r="E8185" i="3"/>
  <c r="E8121" i="3"/>
  <c r="E8057" i="3"/>
  <c r="E7993" i="3"/>
  <c r="E7929" i="3"/>
  <c r="E7865" i="3"/>
  <c r="E7801" i="3"/>
  <c r="E7737" i="3"/>
  <c r="E7673" i="3"/>
  <c r="E7609" i="3"/>
  <c r="E7545" i="3"/>
  <c r="E7481" i="3"/>
  <c r="E7417" i="3"/>
  <c r="E7353" i="3"/>
  <c r="E7289" i="3"/>
  <c r="E7225" i="3"/>
  <c r="E7161" i="3"/>
  <c r="E8741" i="3"/>
  <c r="D8704" i="3"/>
  <c r="A8704" i="6" s="1"/>
  <c r="D8640" i="3"/>
  <c r="A8640" i="6" s="1"/>
  <c r="D8576" i="3"/>
  <c r="A8576" i="6" s="1"/>
  <c r="D8512" i="3"/>
  <c r="A8512" i="6" s="1"/>
  <c r="D8448" i="3"/>
  <c r="A8448" i="6" s="1"/>
  <c r="D8384" i="3"/>
  <c r="A8384" i="6" s="1"/>
  <c r="D8320" i="3"/>
  <c r="A8320" i="6" s="1"/>
  <c r="D8256" i="3"/>
  <c r="A8256" i="6" s="1"/>
  <c r="D8192" i="3"/>
  <c r="A8192" i="6" s="1"/>
  <c r="D8128" i="3"/>
  <c r="A8128" i="6" s="1"/>
  <c r="D8064" i="3"/>
  <c r="A8064" i="6" s="1"/>
  <c r="D8000" i="3"/>
  <c r="A8000" i="6" s="1"/>
  <c r="D7936" i="3"/>
  <c r="A7936" i="6" s="1"/>
  <c r="D7872" i="3"/>
  <c r="A7872" i="6" s="1"/>
  <c r="D7808" i="3"/>
  <c r="A7808" i="6" s="1"/>
  <c r="D7744" i="3"/>
  <c r="A7744" i="6" s="1"/>
  <c r="D7680" i="3"/>
  <c r="A7680" i="6" s="1"/>
  <c r="D7616" i="3"/>
  <c r="A7616" i="6" s="1"/>
  <c r="D7552" i="3"/>
  <c r="A7552" i="6" s="1"/>
  <c r="D7488" i="3"/>
  <c r="A7488" i="6" s="1"/>
  <c r="D7424" i="3"/>
  <c r="A7424" i="6" s="1"/>
  <c r="D7360" i="3"/>
  <c r="A7360" i="6" s="1"/>
  <c r="D7296" i="3"/>
  <c r="A7296" i="6" s="1"/>
  <c r="D7232" i="3"/>
  <c r="A7232" i="6" s="1"/>
  <c r="D7168" i="3"/>
  <c r="A7168" i="6" s="1"/>
  <c r="E7082" i="3"/>
  <c r="E7018" i="3"/>
  <c r="E6954" i="3"/>
  <c r="E6890" i="3"/>
  <c r="E6826" i="3"/>
  <c r="E6762" i="3"/>
  <c r="E6698" i="3"/>
  <c r="E6634" i="3"/>
  <c r="E6570" i="3"/>
  <c r="E6506" i="3"/>
  <c r="E6442" i="3"/>
  <c r="E6378" i="3"/>
  <c r="E6314" i="3"/>
  <c r="E6250" i="3"/>
  <c r="E6186" i="3"/>
  <c r="E6122" i="3"/>
  <c r="E6058" i="3"/>
  <c r="E5994" i="3"/>
  <c r="E5930" i="3"/>
  <c r="E5866" i="3"/>
  <c r="E5802" i="3"/>
  <c r="E5738" i="3"/>
  <c r="E5674" i="3"/>
  <c r="E5610" i="3"/>
  <c r="E5546" i="3"/>
  <c r="E5482" i="3"/>
  <c r="E5418" i="3"/>
  <c r="E5354" i="3"/>
  <c r="E5290" i="3"/>
  <c r="D7089" i="3"/>
  <c r="A7089" i="6" s="1"/>
  <c r="D7025" i="3"/>
  <c r="A7025" i="6" s="1"/>
  <c r="D6961" i="3"/>
  <c r="A6961" i="6" s="1"/>
  <c r="D6897" i="3"/>
  <c r="A6897" i="6" s="1"/>
  <c r="D6833" i="3"/>
  <c r="A6833" i="6" s="1"/>
  <c r="D6769" i="3"/>
  <c r="A6769" i="6" s="1"/>
  <c r="D6705" i="3"/>
  <c r="A6705" i="6" s="1"/>
  <c r="D6641" i="3"/>
  <c r="A6641" i="6" s="1"/>
  <c r="D6577" i="3"/>
  <c r="A6577" i="6" s="1"/>
  <c r="D6513" i="3"/>
  <c r="A6513" i="6" s="1"/>
  <c r="D6449" i="3"/>
  <c r="A6449" i="6" s="1"/>
  <c r="D6385" i="3"/>
  <c r="A6385" i="6" s="1"/>
  <c r="D6321" i="3"/>
  <c r="A6321" i="6" s="1"/>
  <c r="D6257" i="3"/>
  <c r="A6257" i="6" s="1"/>
  <c r="D6193" i="3"/>
  <c r="A6193" i="6" s="1"/>
  <c r="D6129" i="3"/>
  <c r="A6129" i="6" s="1"/>
  <c r="D6065" i="3"/>
  <c r="A6065" i="6" s="1"/>
  <c r="D6001" i="3"/>
  <c r="A6001" i="6" s="1"/>
  <c r="D5937" i="3"/>
  <c r="A5937" i="6" s="1"/>
  <c r="D5873" i="3"/>
  <c r="A5873" i="6" s="1"/>
  <c r="D5809" i="3"/>
  <c r="A5809" i="6" s="1"/>
  <c r="D5745" i="3"/>
  <c r="A5745" i="6" s="1"/>
  <c r="D5681" i="3"/>
  <c r="A5681" i="6" s="1"/>
  <c r="D5617" i="3"/>
  <c r="A5617" i="6" s="1"/>
  <c r="D5553" i="3"/>
  <c r="A5553" i="6" s="1"/>
  <c r="D5489" i="3"/>
  <c r="A5489" i="6" s="1"/>
  <c r="D5425" i="3"/>
  <c r="A5425" i="6" s="1"/>
  <c r="D5361" i="3"/>
  <c r="A5361" i="6" s="1"/>
  <c r="D5297" i="3"/>
  <c r="A5297" i="6" s="1"/>
  <c r="E5233" i="3"/>
  <c r="E5169" i="3"/>
  <c r="E5105" i="3"/>
  <c r="E5041" i="3"/>
  <c r="E4977" i="3"/>
  <c r="E4913" i="3"/>
  <c r="E4849" i="3"/>
  <c r="E4785" i="3"/>
  <c r="E4721" i="3"/>
  <c r="E4657" i="3"/>
  <c r="E4593" i="3"/>
  <c r="E4529" i="3"/>
  <c r="E4465" i="3"/>
  <c r="E4401" i="3"/>
  <c r="E4337" i="3"/>
  <c r="E4273" i="3"/>
  <c r="E4209" i="3"/>
  <c r="E4145" i="3"/>
  <c r="E4081" i="3"/>
  <c r="E4017" i="3"/>
  <c r="E3953" i="3"/>
  <c r="E3889" i="3"/>
  <c r="E3825" i="3"/>
  <c r="E3761" i="3"/>
  <c r="E3697" i="3"/>
  <c r="E3633" i="3"/>
  <c r="E3569" i="3"/>
  <c r="E3505" i="3"/>
  <c r="E5262" i="3"/>
  <c r="D5198" i="3"/>
  <c r="A5198" i="6" s="1"/>
  <c r="D5134" i="3"/>
  <c r="A5134" i="6" s="1"/>
  <c r="D5070" i="3"/>
  <c r="A5070" i="6" s="1"/>
  <c r="D5006" i="3"/>
  <c r="A5006" i="6" s="1"/>
  <c r="D4942" i="3"/>
  <c r="A4942" i="6" s="1"/>
  <c r="D4878" i="3"/>
  <c r="A4878" i="6" s="1"/>
  <c r="D4814" i="3"/>
  <c r="A4814" i="6" s="1"/>
  <c r="D4750" i="3"/>
  <c r="A4750" i="6" s="1"/>
  <c r="D4686" i="3"/>
  <c r="A4686" i="6" s="1"/>
  <c r="D4622" i="3"/>
  <c r="A4622" i="6" s="1"/>
  <c r="D4558" i="3"/>
  <c r="A4558" i="6" s="1"/>
  <c r="D4494" i="3"/>
  <c r="A4494" i="6" s="1"/>
  <c r="D4430" i="3"/>
  <c r="A4430" i="6" s="1"/>
  <c r="D4366" i="3"/>
  <c r="A4366" i="6" s="1"/>
  <c r="D4302" i="3"/>
  <c r="A4302" i="6" s="1"/>
  <c r="D4238" i="3"/>
  <c r="A4238" i="6" s="1"/>
  <c r="D4174" i="3"/>
  <c r="A4174" i="6" s="1"/>
  <c r="D4110" i="3"/>
  <c r="A4110" i="6" s="1"/>
  <c r="D4046" i="3"/>
  <c r="A4046" i="6" s="1"/>
  <c r="D3982" i="3"/>
  <c r="A3982" i="6" s="1"/>
  <c r="D3918" i="3"/>
  <c r="A3918" i="6" s="1"/>
  <c r="D3854" i="3"/>
  <c r="A3854" i="6" s="1"/>
  <c r="D3790" i="3"/>
  <c r="A3790" i="6" s="1"/>
  <c r="D3726" i="3"/>
  <c r="A3726" i="6" s="1"/>
  <c r="D3662" i="3"/>
  <c r="A3662" i="6" s="1"/>
  <c r="D3598" i="3"/>
  <c r="A3598" i="6" s="1"/>
  <c r="D3534" i="3"/>
  <c r="A3534" i="6" s="1"/>
  <c r="D3470" i="3"/>
  <c r="A3470" i="6" s="1"/>
  <c r="E3406" i="3"/>
  <c r="E3342" i="3"/>
  <c r="E3278" i="3"/>
  <c r="E3214" i="3"/>
  <c r="E3150" i="3"/>
  <c r="E3086" i="3"/>
  <c r="E3022" i="3"/>
  <c r="E2958" i="3"/>
  <c r="E2894" i="3"/>
  <c r="E2830" i="3"/>
  <c r="E2766" i="3"/>
  <c r="E2702" i="3"/>
  <c r="E2638" i="3"/>
  <c r="E2574" i="3"/>
  <c r="D3419" i="3"/>
  <c r="A3419" i="6" s="1"/>
  <c r="D3355" i="3"/>
  <c r="A3355" i="6" s="1"/>
  <c r="D3291" i="3"/>
  <c r="A3291" i="6" s="1"/>
  <c r="D3227" i="3"/>
  <c r="A3227" i="6" s="1"/>
  <c r="D3163" i="3"/>
  <c r="A3163" i="6" s="1"/>
  <c r="D3099" i="3"/>
  <c r="A3099" i="6" s="1"/>
  <c r="D3035" i="3"/>
  <c r="A3035" i="6" s="1"/>
  <c r="D2971" i="3"/>
  <c r="A2971" i="6" s="1"/>
  <c r="D2907" i="3"/>
  <c r="A2907" i="6" s="1"/>
  <c r="D2843" i="3"/>
  <c r="A2843" i="6" s="1"/>
  <c r="D2779" i="3"/>
  <c r="A2779" i="6" s="1"/>
  <c r="D2715" i="3"/>
  <c r="A2715" i="6" s="1"/>
  <c r="D2651" i="3"/>
  <c r="A2651" i="6" s="1"/>
  <c r="D2587" i="3"/>
  <c r="A2587" i="6" s="1"/>
  <c r="E2527" i="3"/>
  <c r="E2463" i="3"/>
  <c r="E2399" i="3"/>
  <c r="E2335" i="3"/>
  <c r="E2271" i="3"/>
  <c r="E2207" i="3"/>
  <c r="E2143" i="3"/>
  <c r="E2079" i="3"/>
  <c r="E2015" i="3"/>
  <c r="E1951" i="3"/>
  <c r="E1887" i="3"/>
  <c r="E1823" i="3"/>
  <c r="E1759" i="3"/>
  <c r="E1695" i="3"/>
  <c r="E1631" i="3"/>
  <c r="D2470" i="3"/>
  <c r="A2470" i="6" s="1"/>
  <c r="D2406" i="3"/>
  <c r="A2406" i="6" s="1"/>
  <c r="D2342" i="3"/>
  <c r="A2342" i="6" s="1"/>
  <c r="D2278" i="3"/>
  <c r="A2278" i="6" s="1"/>
  <c r="D2214" i="3"/>
  <c r="A2214" i="6" s="1"/>
  <c r="D2150" i="3"/>
  <c r="A2150" i="6" s="1"/>
  <c r="D2086" i="3"/>
  <c r="A2086" i="6" s="1"/>
  <c r="D2022" i="3"/>
  <c r="A2022" i="6" s="1"/>
  <c r="D1958" i="3"/>
  <c r="A1958" i="6" s="1"/>
  <c r="D1894" i="3"/>
  <c r="A1894" i="6" s="1"/>
  <c r="D1830" i="3"/>
  <c r="A1830" i="6" s="1"/>
  <c r="D1766" i="3"/>
  <c r="A1766" i="6" s="1"/>
  <c r="D1702" i="3"/>
  <c r="A1702" i="6" s="1"/>
  <c r="D1638" i="3"/>
  <c r="A1638" i="6" s="1"/>
  <c r="E1575" i="3"/>
  <c r="E1511" i="3"/>
  <c r="E1447" i="3"/>
  <c r="E1383" i="3"/>
  <c r="E1319" i="3"/>
  <c r="E1255" i="3"/>
  <c r="E1183" i="3"/>
  <c r="D1580" i="3"/>
  <c r="A1580" i="6" s="1"/>
  <c r="D1516" i="3"/>
  <c r="A1516" i="6" s="1"/>
  <c r="D1452" i="3"/>
  <c r="A1452" i="6" s="1"/>
  <c r="D1388" i="3"/>
  <c r="A1388" i="6" s="1"/>
  <c r="D1324" i="3"/>
  <c r="A1324" i="6" s="1"/>
  <c r="D1260" i="3"/>
  <c r="A1260" i="6" s="1"/>
  <c r="E1193" i="3"/>
  <c r="D1160" i="3"/>
  <c r="A1160" i="6" s="1"/>
  <c r="E1096" i="3"/>
  <c r="E1032" i="3"/>
  <c r="E968" i="3"/>
  <c r="E904" i="3"/>
  <c r="E840" i="3"/>
  <c r="E776" i="3"/>
  <c r="D1111" i="3"/>
  <c r="A1111" i="6" s="1"/>
  <c r="D1047" i="3"/>
  <c r="A1047" i="6" s="1"/>
  <c r="D983" i="3"/>
  <c r="A983" i="6" s="1"/>
  <c r="D919" i="3"/>
  <c r="A919" i="6" s="1"/>
  <c r="D855" i="3"/>
  <c r="A855" i="6" s="1"/>
  <c r="D791" i="3"/>
  <c r="A791" i="6" s="1"/>
  <c r="D754" i="3"/>
  <c r="A754" i="6" s="1"/>
  <c r="E690" i="3"/>
  <c r="E626" i="3"/>
  <c r="E562" i="3"/>
  <c r="D673" i="3"/>
  <c r="A673" i="6" s="1"/>
  <c r="D609" i="3"/>
  <c r="A609" i="6" s="1"/>
  <c r="D545" i="3"/>
  <c r="A545" i="6" s="1"/>
  <c r="E480" i="3"/>
  <c r="E416" i="3"/>
  <c r="E352" i="3"/>
  <c r="D513" i="3"/>
  <c r="A513" i="6" s="1"/>
  <c r="D449" i="3"/>
  <c r="A449" i="6" s="1"/>
  <c r="D385" i="3"/>
  <c r="A385" i="6" s="1"/>
  <c r="E319" i="3"/>
  <c r="E266" i="3"/>
  <c r="D301" i="3"/>
  <c r="A301" i="6" s="1"/>
  <c r="D237" i="3"/>
  <c r="A237" i="6" s="1"/>
  <c r="E172" i="3"/>
  <c r="D187" i="3"/>
  <c r="A187" i="6" s="1"/>
  <c r="E8671" i="3"/>
  <c r="E8543" i="3"/>
  <c r="E8475" i="3"/>
  <c r="E8411" i="3"/>
  <c r="E8347" i="3"/>
  <c r="E8283" i="3"/>
  <c r="E8219" i="3"/>
  <c r="E8155" i="3"/>
  <c r="E8091" i="3"/>
  <c r="E8027" i="3"/>
  <c r="E7963" i="3"/>
  <c r="E7899" i="3"/>
  <c r="E7835" i="3"/>
  <c r="E7771" i="3"/>
  <c r="E7707" i="3"/>
  <c r="E7643" i="3"/>
  <c r="E7579" i="3"/>
  <c r="E7515" i="3"/>
  <c r="E7451" i="3"/>
  <c r="E7387" i="3"/>
  <c r="E7323" i="3"/>
  <c r="E7259" i="3"/>
  <c r="E7195" i="3"/>
  <c r="E7131" i="3"/>
  <c r="D8738" i="3"/>
  <c r="A8738" i="6" s="1"/>
  <c r="D8674" i="3"/>
  <c r="A8674" i="6" s="1"/>
  <c r="D8610" i="3"/>
  <c r="A8610" i="6" s="1"/>
  <c r="D8546" i="3"/>
  <c r="A8546" i="6" s="1"/>
  <c r="D8482" i="3"/>
  <c r="A8482" i="6" s="1"/>
  <c r="D8418" i="3"/>
  <c r="A8418" i="6" s="1"/>
  <c r="D8354" i="3"/>
  <c r="A8354" i="6" s="1"/>
  <c r="D8290" i="3"/>
  <c r="A8290" i="6" s="1"/>
  <c r="D8226" i="3"/>
  <c r="A8226" i="6" s="1"/>
  <c r="D8162" i="3"/>
  <c r="A8162" i="6" s="1"/>
  <c r="D8098" i="3"/>
  <c r="A8098" i="6" s="1"/>
  <c r="D8034" i="3"/>
  <c r="A8034" i="6" s="1"/>
  <c r="D7970" i="3"/>
  <c r="A7970" i="6" s="1"/>
  <c r="D7906" i="3"/>
  <c r="A7906" i="6" s="1"/>
  <c r="D7842" i="3"/>
  <c r="A7842" i="6" s="1"/>
  <c r="D7778" i="3"/>
  <c r="A7778" i="6" s="1"/>
  <c r="D7714" i="3"/>
  <c r="A7714" i="6" s="1"/>
  <c r="D7650" i="3"/>
  <c r="A7650" i="6" s="1"/>
  <c r="D7586" i="3"/>
  <c r="A7586" i="6" s="1"/>
  <c r="D7522" i="3"/>
  <c r="A7522" i="6" s="1"/>
  <c r="D7458" i="3"/>
  <c r="A7458" i="6" s="1"/>
  <c r="D7394" i="3"/>
  <c r="A7394" i="6" s="1"/>
  <c r="D7330" i="3"/>
  <c r="A7330" i="6" s="1"/>
  <c r="D7266" i="3"/>
  <c r="A7266" i="6" s="1"/>
  <c r="D7202" i="3"/>
  <c r="A7202" i="6" s="1"/>
  <c r="D7138" i="3"/>
  <c r="A7138" i="6" s="1"/>
  <c r="E7052" i="3"/>
  <c r="E6988" i="3"/>
  <c r="E6924" i="3"/>
  <c r="E6860" i="3"/>
  <c r="E6796" i="3"/>
  <c r="E6732" i="3"/>
  <c r="E6668" i="3"/>
  <c r="E6604" i="3"/>
  <c r="E6540" i="3"/>
  <c r="E6476" i="3"/>
  <c r="E6412" i="3"/>
  <c r="E6348" i="3"/>
  <c r="E6284" i="3"/>
  <c r="E6220" i="3"/>
  <c r="E6156" i="3"/>
  <c r="E6092" i="3"/>
  <c r="E6028" i="3"/>
  <c r="D8715" i="3"/>
  <c r="A8715" i="6" s="1"/>
  <c r="D8587" i="3"/>
  <c r="D8709" i="3"/>
  <c r="A8709" i="6" s="1"/>
  <c r="D8645" i="3"/>
  <c r="D8581" i="3"/>
  <c r="A8581" i="6" s="1"/>
  <c r="D8517" i="3"/>
  <c r="D8453" i="3"/>
  <c r="A8453" i="6" s="1"/>
  <c r="D8389" i="3"/>
  <c r="D8325" i="3"/>
  <c r="A8325" i="6" s="1"/>
  <c r="D8261" i="3"/>
  <c r="D8197" i="3"/>
  <c r="A8197" i="6" s="1"/>
  <c r="D8133" i="3"/>
  <c r="D8069" i="3"/>
  <c r="A8069" i="6" s="1"/>
  <c r="D8005" i="3"/>
  <c r="A8005" i="6" s="1"/>
  <c r="D7941" i="3"/>
  <c r="A7941" i="6" s="1"/>
  <c r="D7877" i="3"/>
  <c r="A7877" i="6" s="1"/>
  <c r="D7813" i="3"/>
  <c r="A7813" i="6" s="1"/>
  <c r="D7749" i="3"/>
  <c r="A7749" i="6" s="1"/>
  <c r="D7685" i="3"/>
  <c r="A7685" i="6" s="1"/>
  <c r="D7621" i="3"/>
  <c r="A7621" i="6" s="1"/>
  <c r="D7557" i="3"/>
  <c r="A7557" i="6" s="1"/>
  <c r="D7493" i="3"/>
  <c r="A7493" i="6" s="1"/>
  <c r="D7429" i="3"/>
  <c r="A7429" i="6" s="1"/>
  <c r="D7365" i="3"/>
  <c r="A7365" i="6" s="1"/>
  <c r="D7301" i="3"/>
  <c r="A7301" i="6" s="1"/>
  <c r="D7237" i="3"/>
  <c r="A7237" i="6" s="1"/>
  <c r="D7173" i="3"/>
  <c r="A7173" i="6" s="1"/>
  <c r="D7092" i="3"/>
  <c r="A7092" i="6" s="1"/>
  <c r="E8716" i="3"/>
  <c r="E8652" i="3"/>
  <c r="E8588" i="3"/>
  <c r="E8524" i="3"/>
  <c r="E8460" i="3"/>
  <c r="E8396" i="3"/>
  <c r="E8332" i="3"/>
  <c r="E8268" i="3"/>
  <c r="E8204" i="3"/>
  <c r="E8140" i="3"/>
  <c r="E8076" i="3"/>
  <c r="E8012" i="3"/>
  <c r="E7948" i="3"/>
  <c r="E7884" i="3"/>
  <c r="E7820" i="3"/>
  <c r="E7756" i="3"/>
  <c r="E7692" i="3"/>
  <c r="E7628" i="3"/>
  <c r="E7564" i="3"/>
  <c r="E7500" i="3"/>
  <c r="E7436" i="3"/>
  <c r="E7372" i="3"/>
  <c r="E7308" i="3"/>
  <c r="E7244" i="3"/>
  <c r="E7180" i="3"/>
  <c r="D7106" i="3"/>
  <c r="A7106" i="6" s="1"/>
  <c r="D7030" i="3"/>
  <c r="A7030" i="6" s="1"/>
  <c r="D6966" i="3"/>
  <c r="A6966" i="6" s="1"/>
  <c r="D6902" i="3"/>
  <c r="A6902" i="6" s="1"/>
  <c r="D6838" i="3"/>
  <c r="A6838" i="6" s="1"/>
  <c r="D6774" i="3"/>
  <c r="A6774" i="6" s="1"/>
  <c r="D6710" i="3"/>
  <c r="A6710" i="6" s="1"/>
  <c r="D6646" i="3"/>
  <c r="A6646" i="6" s="1"/>
  <c r="D6582" i="3"/>
  <c r="A6582" i="6" s="1"/>
  <c r="D6518" i="3"/>
  <c r="A6518" i="6" s="1"/>
  <c r="D6454" i="3"/>
  <c r="A6454" i="6" s="1"/>
  <c r="D6390" i="3"/>
  <c r="A6390" i="6" s="1"/>
  <c r="D6326" i="3"/>
  <c r="A6326" i="6" s="1"/>
  <c r="D6262" i="3"/>
  <c r="A6262" i="6" s="1"/>
  <c r="D6198" i="3"/>
  <c r="A6198" i="6" s="1"/>
  <c r="D6134" i="3"/>
  <c r="A6134" i="6" s="1"/>
  <c r="D6070" i="3"/>
  <c r="A6070" i="6" s="1"/>
  <c r="D6006" i="3"/>
  <c r="A6006" i="6" s="1"/>
  <c r="D5942" i="3"/>
  <c r="A5942" i="6" s="1"/>
  <c r="D5878" i="3"/>
  <c r="A5878" i="6" s="1"/>
  <c r="D5814" i="3"/>
  <c r="A5814" i="6" s="1"/>
  <c r="D5750" i="3"/>
  <c r="A5750" i="6" s="1"/>
  <c r="D5686" i="3"/>
  <c r="A5686" i="6" s="1"/>
  <c r="D5622" i="3"/>
  <c r="A5622" i="6" s="1"/>
  <c r="D5558" i="3"/>
  <c r="A5558" i="6" s="1"/>
  <c r="D5494" i="3"/>
  <c r="A5494" i="6" s="1"/>
  <c r="D5430" i="3"/>
  <c r="A5430" i="6" s="1"/>
  <c r="D5366" i="3"/>
  <c r="A5366" i="6" s="1"/>
  <c r="D5302" i="3"/>
  <c r="A5302" i="6" s="1"/>
  <c r="E7101" i="3"/>
  <c r="E7037" i="3"/>
  <c r="E6973" i="3"/>
  <c r="E6909" i="3"/>
  <c r="E6845" i="3"/>
  <c r="E6781" i="3"/>
  <c r="E6717" i="3"/>
  <c r="E6653" i="3"/>
  <c r="E6589" i="3"/>
  <c r="E6525" i="3"/>
  <c r="E6461" i="3"/>
  <c r="E6397" i="3"/>
  <c r="E6333" i="3"/>
  <c r="E6269" i="3"/>
  <c r="E6205" i="3"/>
  <c r="E6141" i="3"/>
  <c r="E6077" i="3"/>
  <c r="E6013" i="3"/>
  <c r="E5949" i="3"/>
  <c r="E5885" i="3"/>
  <c r="E5821" i="3"/>
  <c r="E5757" i="3"/>
  <c r="E5693" i="3"/>
  <c r="E5629" i="3"/>
  <c r="E5565" i="3"/>
  <c r="E5501" i="3"/>
  <c r="E5437" i="3"/>
  <c r="E5373" i="3"/>
  <c r="E5309" i="3"/>
  <c r="D5245" i="3"/>
  <c r="A5245" i="6" s="1"/>
  <c r="D5181" i="3"/>
  <c r="A5181" i="6" s="1"/>
  <c r="D5117" i="3"/>
  <c r="A5117" i="6" s="1"/>
  <c r="D5053" i="3"/>
  <c r="A5053" i="6" s="1"/>
  <c r="D4989" i="3"/>
  <c r="A4989" i="6" s="1"/>
  <c r="D4925" i="3"/>
  <c r="A4925" i="6" s="1"/>
  <c r="D4861" i="3"/>
  <c r="A4861" i="6" s="1"/>
  <c r="D4797" i="3"/>
  <c r="A4797" i="6" s="1"/>
  <c r="D4733" i="3"/>
  <c r="A4733" i="6" s="1"/>
  <c r="D4669" i="3"/>
  <c r="A4669" i="6" s="1"/>
  <c r="D4605" i="3"/>
  <c r="A4605" i="6" s="1"/>
  <c r="D4541" i="3"/>
  <c r="A4541" i="6" s="1"/>
  <c r="D4477" i="3"/>
  <c r="A4477" i="6" s="1"/>
  <c r="D4413" i="3"/>
  <c r="A4413" i="6" s="1"/>
  <c r="D4349" i="3"/>
  <c r="A4349" i="6" s="1"/>
  <c r="D4285" i="3"/>
  <c r="A4285" i="6" s="1"/>
  <c r="D4221" i="3"/>
  <c r="A4221" i="6" s="1"/>
  <c r="D4157" i="3"/>
  <c r="A4157" i="6" s="1"/>
  <c r="D4093" i="3"/>
  <c r="A4093" i="6" s="1"/>
  <c r="D4029" i="3"/>
  <c r="A4029" i="6" s="1"/>
  <c r="D3965" i="3"/>
  <c r="A3965" i="6" s="1"/>
  <c r="D3901" i="3"/>
  <c r="A3901" i="6" s="1"/>
  <c r="D3837" i="3"/>
  <c r="A3837" i="6" s="1"/>
  <c r="D3773" i="3"/>
  <c r="A3773" i="6" s="1"/>
  <c r="D3709" i="3"/>
  <c r="A3709" i="6" s="1"/>
  <c r="D3645" i="3"/>
  <c r="A3645" i="6" s="1"/>
  <c r="D3581" i="3"/>
  <c r="A3581" i="6" s="1"/>
  <c r="D3517" i="3"/>
  <c r="A3517" i="6" s="1"/>
  <c r="D3453" i="3"/>
  <c r="A3453" i="6" s="1"/>
  <c r="E5210" i="3"/>
  <c r="E5146" i="3"/>
  <c r="E5082" i="3"/>
  <c r="E5018" i="3"/>
  <c r="E4954" i="3"/>
  <c r="E4890" i="3"/>
  <c r="E4826" i="3"/>
  <c r="E4762" i="3"/>
  <c r="E4698" i="3"/>
  <c r="E4634" i="3"/>
  <c r="E4570" i="3"/>
  <c r="E4506" i="3"/>
  <c r="E4442" i="3"/>
  <c r="E4378" i="3"/>
  <c r="E4314" i="3"/>
  <c r="E4250" i="3"/>
  <c r="E4186" i="3"/>
  <c r="E4122" i="3"/>
  <c r="E4058" i="3"/>
  <c r="E3994" i="3"/>
  <c r="E3930" i="3"/>
  <c r="E3866" i="3"/>
  <c r="E3802" i="3"/>
  <c r="E3738" i="3"/>
  <c r="E3674" i="3"/>
  <c r="E3610" i="3"/>
  <c r="E3546" i="3"/>
  <c r="E3482" i="3"/>
  <c r="D3418" i="3"/>
  <c r="A3418" i="6" s="1"/>
  <c r="D3354" i="3"/>
  <c r="A3354" i="6" s="1"/>
  <c r="D3290" i="3"/>
  <c r="A3290" i="6" s="1"/>
  <c r="D3226" i="3"/>
  <c r="A3226" i="6" s="1"/>
  <c r="D3162" i="3"/>
  <c r="A3162" i="6" s="1"/>
  <c r="D3098" i="3"/>
  <c r="A3098" i="6" s="1"/>
  <c r="D3034" i="3"/>
  <c r="A3034" i="6" s="1"/>
  <c r="D2970" i="3"/>
  <c r="A2970" i="6" s="1"/>
  <c r="D2906" i="3"/>
  <c r="A2906" i="6" s="1"/>
  <c r="D2842" i="3"/>
  <c r="A2842" i="6" s="1"/>
  <c r="D2778" i="3"/>
  <c r="A2778" i="6" s="1"/>
  <c r="D2714" i="3"/>
  <c r="A2714" i="6" s="1"/>
  <c r="D2650" i="3"/>
  <c r="A2650" i="6" s="1"/>
  <c r="D2586" i="3"/>
  <c r="A2586" i="6" s="1"/>
  <c r="E3431" i="3"/>
  <c r="E3367" i="3"/>
  <c r="E3303" i="3"/>
  <c r="E3239" i="3"/>
  <c r="E3175" i="3"/>
  <c r="E3111" i="3"/>
  <c r="E3047" i="3"/>
  <c r="E2983" i="3"/>
  <c r="E2919" i="3"/>
  <c r="E2855" i="3"/>
  <c r="E2791" i="3"/>
  <c r="E2727" i="3"/>
  <c r="E2663" i="3"/>
  <c r="E2599" i="3"/>
  <c r="D2534" i="3"/>
  <c r="A2534" i="6" s="1"/>
  <c r="D2475" i="3"/>
  <c r="A2475" i="6" s="1"/>
  <c r="D2411" i="3"/>
  <c r="A2411" i="6" s="1"/>
  <c r="D2347" i="3"/>
  <c r="A2347" i="6" s="1"/>
  <c r="D2283" i="3"/>
  <c r="A2283" i="6" s="1"/>
  <c r="D2219" i="3"/>
  <c r="A2219" i="6" s="1"/>
  <c r="D2155" i="3"/>
  <c r="A2155" i="6" s="1"/>
  <c r="D2091" i="3"/>
  <c r="A2091" i="6" s="1"/>
  <c r="D2027" i="3"/>
  <c r="A2027" i="6" s="1"/>
  <c r="D1963" i="3"/>
  <c r="A1963" i="6" s="1"/>
  <c r="D1899" i="3"/>
  <c r="A1899" i="6" s="1"/>
  <c r="D1835" i="3"/>
  <c r="A1835" i="6" s="1"/>
  <c r="D1771" i="3"/>
  <c r="A1771" i="6" s="1"/>
  <c r="D1707" i="3"/>
  <c r="A1707" i="6" s="1"/>
  <c r="D1643" i="3"/>
  <c r="A1643" i="6" s="1"/>
  <c r="E2482" i="3"/>
  <c r="E2418" i="3"/>
  <c r="E2354" i="3"/>
  <c r="E2290" i="3"/>
  <c r="E2226" i="3"/>
  <c r="E2162" i="3"/>
  <c r="E2098" i="3"/>
  <c r="E2034" i="3"/>
  <c r="E1970" i="3"/>
  <c r="E1906" i="3"/>
  <c r="E1842" i="3"/>
  <c r="E1778" i="3"/>
  <c r="E1714" i="3"/>
  <c r="E1650" i="3"/>
  <c r="D1587" i="3"/>
  <c r="A1587" i="6" s="1"/>
  <c r="D1523" i="3"/>
  <c r="A1523" i="6" s="1"/>
  <c r="D1459" i="3"/>
  <c r="A1459" i="6" s="1"/>
  <c r="D1395" i="3"/>
  <c r="A1395" i="6" s="1"/>
  <c r="D1331" i="3"/>
  <c r="A1331" i="6" s="1"/>
  <c r="D1267" i="3"/>
  <c r="A1267" i="6" s="1"/>
  <c r="D1203" i="3"/>
  <c r="A1203" i="6" s="1"/>
  <c r="E1592" i="3"/>
  <c r="E1528" i="3"/>
  <c r="E1464" i="3"/>
  <c r="E1400" i="3"/>
  <c r="E1336" i="3"/>
  <c r="E1272" i="3"/>
  <c r="E1208" i="3"/>
  <c r="E1172" i="3"/>
  <c r="D1108" i="3"/>
  <c r="A1108" i="6" s="1"/>
  <c r="D1044" i="3"/>
  <c r="A1044" i="6" s="1"/>
  <c r="D980" i="3"/>
  <c r="A980" i="6" s="1"/>
  <c r="D916" i="3"/>
  <c r="A916" i="6" s="1"/>
  <c r="D852" i="3"/>
  <c r="A852" i="6" s="1"/>
  <c r="D788" i="3"/>
  <c r="A788" i="6" s="1"/>
  <c r="E1123" i="3"/>
  <c r="E1059" i="3"/>
  <c r="E995" i="3"/>
  <c r="E931" i="3"/>
  <c r="E867" i="3"/>
  <c r="E803" i="3"/>
  <c r="E766" i="3"/>
  <c r="D702" i="3"/>
  <c r="A702" i="6" s="1"/>
  <c r="D638" i="3"/>
  <c r="A638" i="6" s="1"/>
  <c r="D574" i="3"/>
  <c r="A574" i="6" s="1"/>
  <c r="E685" i="3"/>
  <c r="E621" i="3"/>
  <c r="E557" i="3"/>
  <c r="D492" i="3"/>
  <c r="A492" i="6" s="1"/>
  <c r="D428" i="3"/>
  <c r="A428" i="6" s="1"/>
  <c r="D364" i="3"/>
  <c r="A364" i="6" s="1"/>
  <c r="E525" i="3"/>
  <c r="E461" i="3"/>
  <c r="E397" i="3"/>
  <c r="E333" i="3"/>
  <c r="D278" i="3"/>
  <c r="A278" i="6" s="1"/>
  <c r="D214" i="3"/>
  <c r="A214" i="6" s="1"/>
  <c r="E249" i="3"/>
  <c r="D184" i="3"/>
  <c r="A184" i="6" s="1"/>
  <c r="E199" i="3"/>
  <c r="D8647" i="3"/>
  <c r="A8647" i="6" s="1"/>
  <c r="D8527" i="3"/>
  <c r="A8527" i="6" s="1"/>
  <c r="D8463" i="3"/>
  <c r="A8463" i="6" s="1"/>
  <c r="D8399" i="3"/>
  <c r="A8399" i="6" s="1"/>
  <c r="D8335" i="3"/>
  <c r="A8335" i="6" s="1"/>
  <c r="D8271" i="3"/>
  <c r="A8271" i="6" s="1"/>
  <c r="D8207" i="3"/>
  <c r="A8207" i="6" s="1"/>
  <c r="D8143" i="3"/>
  <c r="A8143" i="6" s="1"/>
  <c r="D8079" i="3"/>
  <c r="A8079" i="6" s="1"/>
  <c r="D8015" i="3"/>
  <c r="A8015" i="6" s="1"/>
  <c r="D7951" i="3"/>
  <c r="A7951" i="6" s="1"/>
  <c r="D7887" i="3"/>
  <c r="A7887" i="6" s="1"/>
  <c r="D7823" i="3"/>
  <c r="A7823" i="6" s="1"/>
  <c r="D7759" i="3"/>
  <c r="A7759" i="6" s="1"/>
  <c r="D7695" i="3"/>
  <c r="A7695" i="6" s="1"/>
  <c r="D7631" i="3"/>
  <c r="A7631" i="6" s="1"/>
  <c r="D7567" i="3"/>
  <c r="A7567" i="6" s="1"/>
  <c r="D7503" i="3"/>
  <c r="A7503" i="6" s="1"/>
  <c r="D7439" i="3"/>
  <c r="A7439" i="6" s="1"/>
  <c r="D7375" i="3"/>
  <c r="A7375" i="6" s="1"/>
  <c r="D7311" i="3"/>
  <c r="A7311" i="6" s="1"/>
  <c r="D7247" i="3"/>
  <c r="A7247" i="6" s="1"/>
  <c r="D7183" i="3"/>
  <c r="A7183" i="6" s="1"/>
  <c r="D7112" i="3"/>
  <c r="A7112" i="6" s="1"/>
  <c r="E8726" i="3"/>
  <c r="E8662" i="3"/>
  <c r="E8598" i="3"/>
  <c r="E8534" i="3"/>
  <c r="E8470" i="3"/>
  <c r="E8406" i="3"/>
  <c r="E8342" i="3"/>
  <c r="E8278" i="3"/>
  <c r="E8214" i="3"/>
  <c r="E8150" i="3"/>
  <c r="E8086" i="3"/>
  <c r="E8022" i="3"/>
  <c r="E7958" i="3"/>
  <c r="E7894" i="3"/>
  <c r="E7830" i="3"/>
  <c r="E7766" i="3"/>
  <c r="E7702" i="3"/>
  <c r="E7638" i="3"/>
  <c r="E7574" i="3"/>
  <c r="E7510" i="3"/>
  <c r="E7446" i="3"/>
  <c r="E7382" i="3"/>
  <c r="E7318" i="3"/>
  <c r="E7254" i="3"/>
  <c r="E7190" i="3"/>
  <c r="E7126" i="3"/>
  <c r="D7040" i="3"/>
  <c r="A7040" i="6" s="1"/>
  <c r="D6976" i="3"/>
  <c r="A6976" i="6" s="1"/>
  <c r="D6912" i="3"/>
  <c r="A6912" i="6" s="1"/>
  <c r="D6848" i="3"/>
  <c r="A6848" i="6" s="1"/>
  <c r="D6784" i="3"/>
  <c r="A6784" i="6" s="1"/>
  <c r="D6720" i="3"/>
  <c r="A6720" i="6" s="1"/>
  <c r="D6656" i="3"/>
  <c r="A6656" i="6" s="1"/>
  <c r="D6592" i="3"/>
  <c r="A6592" i="6" s="1"/>
  <c r="D6528" i="3"/>
  <c r="A6528" i="6" s="1"/>
  <c r="D6464" i="3"/>
  <c r="A6464" i="6" s="1"/>
  <c r="D6400" i="3"/>
  <c r="A6400" i="6" s="1"/>
  <c r="D6336" i="3"/>
  <c r="A6336" i="6" s="1"/>
  <c r="D6272" i="3"/>
  <c r="A6272" i="6" s="1"/>
  <c r="D6208" i="3"/>
  <c r="A6208" i="6" s="1"/>
  <c r="D6144" i="3"/>
  <c r="A6144" i="6" s="1"/>
  <c r="D6080" i="3"/>
  <c r="A6080" i="6" s="1"/>
  <c r="D6016" i="3"/>
  <c r="A6016" i="6" s="1"/>
  <c r="E5956" i="3"/>
  <c r="E5892" i="3"/>
  <c r="E5828" i="3"/>
  <c r="E5764" i="3"/>
  <c r="E5700" i="3"/>
  <c r="E5636" i="3"/>
  <c r="E5572" i="3"/>
  <c r="E5508" i="3"/>
  <c r="E5444" i="3"/>
  <c r="E5380" i="3"/>
  <c r="E5316" i="3"/>
  <c r="D7115" i="3"/>
  <c r="D7051" i="3"/>
  <c r="D6987" i="3"/>
  <c r="D6923" i="3"/>
  <c r="D6859" i="3"/>
  <c r="D6795" i="3"/>
  <c r="D6731" i="3"/>
  <c r="D6667" i="3"/>
  <c r="D6603" i="3"/>
  <c r="D6539" i="3"/>
  <c r="D6475" i="3"/>
  <c r="D6411" i="3"/>
  <c r="D6347" i="3"/>
  <c r="D6283" i="3"/>
  <c r="D6219" i="3"/>
  <c r="D6155" i="3"/>
  <c r="D6091" i="3"/>
  <c r="D6027" i="3"/>
  <c r="D5963" i="3"/>
  <c r="D5899" i="3"/>
  <c r="D5835" i="3"/>
  <c r="D5771" i="3"/>
  <c r="D5707" i="3"/>
  <c r="D5643" i="3"/>
  <c r="D5579" i="3"/>
  <c r="D5515" i="3"/>
  <c r="D5451" i="3"/>
  <c r="D5387" i="3"/>
  <c r="D5323" i="3"/>
  <c r="E5259" i="3"/>
  <c r="E5195" i="3"/>
  <c r="E5131" i="3"/>
  <c r="E5067" i="3"/>
  <c r="E5003" i="3"/>
  <c r="E4939" i="3"/>
  <c r="E4875" i="3"/>
  <c r="E4811" i="3"/>
  <c r="E4747" i="3"/>
  <c r="E4683" i="3"/>
  <c r="E4619" i="3"/>
  <c r="E4555" i="3"/>
  <c r="E4491" i="3"/>
  <c r="E4427" i="3"/>
  <c r="E4363" i="3"/>
  <c r="E4299" i="3"/>
  <c r="E4235" i="3"/>
  <c r="E4171" i="3"/>
  <c r="E4107" i="3"/>
  <c r="E4043" i="3"/>
  <c r="E3979" i="3"/>
  <c r="E3915" i="3"/>
  <c r="E3851" i="3"/>
  <c r="E3787" i="3"/>
  <c r="E3723" i="3"/>
  <c r="E3659" i="3"/>
  <c r="E3595" i="3"/>
  <c r="E3531" i="3"/>
  <c r="E3467" i="3"/>
  <c r="D5224" i="3"/>
  <c r="D5160" i="3"/>
  <c r="D5096" i="3"/>
  <c r="D5032" i="3"/>
  <c r="D4968" i="3"/>
  <c r="D4904" i="3"/>
  <c r="D4840" i="3"/>
  <c r="D4776" i="3"/>
  <c r="D4712" i="3"/>
  <c r="D4648" i="3"/>
  <c r="D4584" i="3"/>
  <c r="D4520" i="3"/>
  <c r="D4456" i="3"/>
  <c r="D4392" i="3"/>
  <c r="D4328" i="3"/>
  <c r="D4264" i="3"/>
  <c r="D4200" i="3"/>
  <c r="D4136" i="3"/>
  <c r="D4072" i="3"/>
  <c r="D4008" i="3"/>
  <c r="D3944" i="3"/>
  <c r="D3880" i="3"/>
  <c r="D3816" i="3"/>
  <c r="D3752" i="3"/>
  <c r="D3688" i="3"/>
  <c r="D3624" i="3"/>
  <c r="D3560" i="3"/>
  <c r="D3496" i="3"/>
  <c r="E3432" i="3"/>
  <c r="E3368" i="3"/>
  <c r="E3304" i="3"/>
  <c r="E3240" i="3"/>
  <c r="E3176" i="3"/>
  <c r="E3112" i="3"/>
  <c r="E3048" i="3"/>
  <c r="E2984" i="3"/>
  <c r="E2920" i="3"/>
  <c r="E2856" i="3"/>
  <c r="E2792" i="3"/>
  <c r="E2728" i="3"/>
  <c r="E2664" i="3"/>
  <c r="E2600" i="3"/>
  <c r="E2536" i="3"/>
  <c r="D3381" i="3"/>
  <c r="D3317" i="3"/>
  <c r="D3253" i="3"/>
  <c r="D3189" i="3"/>
  <c r="D3125" i="3"/>
  <c r="D3061" i="3"/>
  <c r="D2997" i="3"/>
  <c r="D2933" i="3"/>
  <c r="D2869" i="3"/>
  <c r="D2805" i="3"/>
  <c r="D2741" i="3"/>
  <c r="D2677" i="3"/>
  <c r="D2613" i="3"/>
  <c r="D2549" i="3"/>
  <c r="E2489" i="3"/>
  <c r="E2425" i="3"/>
  <c r="E2361" i="3"/>
  <c r="E2297" i="3"/>
  <c r="E2233" i="3"/>
  <c r="E2169" i="3"/>
  <c r="E2105" i="3"/>
  <c r="E2041" i="3"/>
  <c r="E1977" i="3"/>
  <c r="E1913" i="3"/>
  <c r="E1849" i="3"/>
  <c r="E1785" i="3"/>
  <c r="E1721" i="3"/>
  <c r="E1657" i="3"/>
  <c r="D2496" i="3"/>
  <c r="D2432" i="3"/>
  <c r="D2368" i="3"/>
  <c r="D2304" i="3"/>
  <c r="D2240" i="3"/>
  <c r="D2176" i="3"/>
  <c r="D2112" i="3"/>
  <c r="D2048" i="3"/>
  <c r="D1984" i="3"/>
  <c r="D1920" i="3"/>
  <c r="D1856" i="3"/>
  <c r="D1792" i="3"/>
  <c r="D1728" i="3"/>
  <c r="D1664" i="3"/>
  <c r="E1601" i="3"/>
  <c r="E1537" i="3"/>
  <c r="E1473" i="3"/>
  <c r="E1409" i="3"/>
  <c r="E1345" i="3"/>
  <c r="E1281" i="3"/>
  <c r="E1217" i="3"/>
  <c r="D1606" i="3"/>
  <c r="D1542" i="3"/>
  <c r="D1478" i="3"/>
  <c r="D1414" i="3"/>
  <c r="D1350" i="3"/>
  <c r="D1286" i="3"/>
  <c r="D1222" i="3"/>
  <c r="D1186" i="3"/>
  <c r="E1122" i="3"/>
  <c r="E1058" i="3"/>
  <c r="E994" i="3"/>
  <c r="E930" i="3"/>
  <c r="E866" i="3"/>
  <c r="E802" i="3"/>
  <c r="D1137" i="3"/>
  <c r="D1073" i="3"/>
  <c r="D1009" i="3"/>
  <c r="D945" i="3"/>
  <c r="D881" i="3"/>
  <c r="D817" i="3"/>
  <c r="E737" i="3"/>
  <c r="E716" i="3"/>
  <c r="E652" i="3"/>
  <c r="E588" i="3"/>
  <c r="D699" i="3"/>
  <c r="D635" i="3"/>
  <c r="D571" i="3"/>
  <c r="E506" i="3"/>
  <c r="E442" i="3"/>
  <c r="E378" i="3"/>
  <c r="D539" i="3"/>
  <c r="D475" i="3"/>
  <c r="D411" i="3"/>
  <c r="D347" i="3"/>
  <c r="E292" i="3"/>
  <c r="E228" i="3"/>
  <c r="D263" i="3"/>
  <c r="E198" i="3"/>
  <c r="D149" i="3"/>
  <c r="D5948" i="3"/>
  <c r="A5948" i="6" s="1"/>
  <c r="D5884" i="3"/>
  <c r="A5884" i="6" s="1"/>
  <c r="D5820" i="3"/>
  <c r="A5820" i="6" s="1"/>
  <c r="D5756" i="3"/>
  <c r="A5756" i="6" s="1"/>
  <c r="D5692" i="3"/>
  <c r="A5692" i="6" s="1"/>
  <c r="D5628" i="3"/>
  <c r="A5628" i="6" s="1"/>
  <c r="D5564" i="3"/>
  <c r="A5564" i="6" s="1"/>
  <c r="D5500" i="3"/>
  <c r="A5500" i="6" s="1"/>
  <c r="D5436" i="3"/>
  <c r="A5436" i="6" s="1"/>
  <c r="D5372" i="3"/>
  <c r="A5372" i="6" s="1"/>
  <c r="D5308" i="3"/>
  <c r="A5308" i="6" s="1"/>
  <c r="E7107" i="3"/>
  <c r="E7043" i="3"/>
  <c r="E6979" i="3"/>
  <c r="E6915" i="3"/>
  <c r="E6851" i="3"/>
  <c r="E6787" i="3"/>
  <c r="E6723" i="3"/>
  <c r="E6659" i="3"/>
  <c r="E6595" i="3"/>
  <c r="E6531" i="3"/>
  <c r="E6467" i="3"/>
  <c r="E6403" i="3"/>
  <c r="E6339" i="3"/>
  <c r="E6275" i="3"/>
  <c r="E6211" i="3"/>
  <c r="E6147" i="3"/>
  <c r="E6083" i="3"/>
  <c r="E6019" i="3"/>
  <c r="E5955" i="3"/>
  <c r="E5891" i="3"/>
  <c r="E5827" i="3"/>
  <c r="E5763" i="3"/>
  <c r="E5699" i="3"/>
  <c r="E5635" i="3"/>
  <c r="E5571" i="3"/>
  <c r="E5507" i="3"/>
  <c r="E5443" i="3"/>
  <c r="E5379" i="3"/>
  <c r="E5315" i="3"/>
  <c r="D5251" i="3"/>
  <c r="A5251" i="6" s="1"/>
  <c r="D5187" i="3"/>
  <c r="A5187" i="6" s="1"/>
  <c r="D5123" i="3"/>
  <c r="A5123" i="6" s="1"/>
  <c r="D5059" i="3"/>
  <c r="A5059" i="6" s="1"/>
  <c r="D4995" i="3"/>
  <c r="A4995" i="6" s="1"/>
  <c r="D4931" i="3"/>
  <c r="A4931" i="6" s="1"/>
  <c r="D4867" i="3"/>
  <c r="A4867" i="6" s="1"/>
  <c r="D4803" i="3"/>
  <c r="A4803" i="6" s="1"/>
  <c r="D4739" i="3"/>
  <c r="A4739" i="6" s="1"/>
  <c r="D4675" i="3"/>
  <c r="A4675" i="6" s="1"/>
  <c r="D4611" i="3"/>
  <c r="A4611" i="6" s="1"/>
  <c r="D4547" i="3"/>
  <c r="A4547" i="6" s="1"/>
  <c r="D4483" i="3"/>
  <c r="A4483" i="6" s="1"/>
  <c r="D4419" i="3"/>
  <c r="A4419" i="6" s="1"/>
  <c r="D4355" i="3"/>
  <c r="A4355" i="6" s="1"/>
  <c r="D4291" i="3"/>
  <c r="A4291" i="6" s="1"/>
  <c r="D4227" i="3"/>
  <c r="A4227" i="6" s="1"/>
  <c r="D4163" i="3"/>
  <c r="A4163" i="6" s="1"/>
  <c r="D4099" i="3"/>
  <c r="A4099" i="6" s="1"/>
  <c r="D4035" i="3"/>
  <c r="A4035" i="6" s="1"/>
  <c r="D3971" i="3"/>
  <c r="A3971" i="6" s="1"/>
  <c r="D3907" i="3"/>
  <c r="A3907" i="6" s="1"/>
  <c r="D3843" i="3"/>
  <c r="A3843" i="6" s="1"/>
  <c r="D3779" i="3"/>
  <c r="A3779" i="6" s="1"/>
  <c r="D3715" i="3"/>
  <c r="A3715" i="6" s="1"/>
  <c r="D3651" i="3"/>
  <c r="A3651" i="6" s="1"/>
  <c r="D3587" i="3"/>
  <c r="A3587" i="6" s="1"/>
  <c r="D3523" i="3"/>
  <c r="A3523" i="6" s="1"/>
  <c r="D3459" i="3"/>
  <c r="A3459" i="6" s="1"/>
  <c r="E5216" i="3"/>
  <c r="E5152" i="3"/>
  <c r="E5088" i="3"/>
  <c r="E5024" i="3"/>
  <c r="E4960" i="3"/>
  <c r="E4896" i="3"/>
  <c r="E4832" i="3"/>
  <c r="E4768" i="3"/>
  <c r="E4704" i="3"/>
  <c r="E4640" i="3"/>
  <c r="E4576" i="3"/>
  <c r="E4512" i="3"/>
  <c r="E4448" i="3"/>
  <c r="E4384" i="3"/>
  <c r="E4320" i="3"/>
  <c r="E4256" i="3"/>
  <c r="E4192" i="3"/>
  <c r="E4128" i="3"/>
  <c r="E4064" i="3"/>
  <c r="E4000" i="3"/>
  <c r="E3936" i="3"/>
  <c r="E3872" i="3"/>
  <c r="E3808" i="3"/>
  <c r="E3744" i="3"/>
  <c r="E3680" i="3"/>
  <c r="E3616" i="3"/>
  <c r="E3552" i="3"/>
  <c r="E3488" i="3"/>
  <c r="D3424" i="3"/>
  <c r="A3424" i="6" s="1"/>
  <c r="D3360" i="3"/>
  <c r="A3360" i="6" s="1"/>
  <c r="D3296" i="3"/>
  <c r="A3296" i="6" s="1"/>
  <c r="D3232" i="3"/>
  <c r="A3232" i="6" s="1"/>
  <c r="D3168" i="3"/>
  <c r="A3168" i="6" s="1"/>
  <c r="D3104" i="3"/>
  <c r="A3104" i="6" s="1"/>
  <c r="D3040" i="3"/>
  <c r="A3040" i="6" s="1"/>
  <c r="D2976" i="3"/>
  <c r="A2976" i="6" s="1"/>
  <c r="D2912" i="3"/>
  <c r="A2912" i="6" s="1"/>
  <c r="D2848" i="3"/>
  <c r="A2848" i="6" s="1"/>
  <c r="D2784" i="3"/>
  <c r="A2784" i="6" s="1"/>
  <c r="D2720" i="3"/>
  <c r="A2720" i="6" s="1"/>
  <c r="D2656" i="3"/>
  <c r="A2656" i="6" s="1"/>
  <c r="D2592" i="3"/>
  <c r="A2592" i="6" s="1"/>
  <c r="E3437" i="3"/>
  <c r="E3373" i="3"/>
  <c r="E3309" i="3"/>
  <c r="E3245" i="3"/>
  <c r="E3181" i="3"/>
  <c r="E3117" i="3"/>
  <c r="E3053" i="3"/>
  <c r="E2989" i="3"/>
  <c r="E2925" i="3"/>
  <c r="E2861" i="3"/>
  <c r="E2797" i="3"/>
  <c r="E2733" i="3"/>
  <c r="E2669" i="3"/>
  <c r="E2605" i="3"/>
  <c r="E2541" i="3"/>
  <c r="D2481" i="3"/>
  <c r="A2481" i="6" s="1"/>
  <c r="D2417" i="3"/>
  <c r="A2417" i="6" s="1"/>
  <c r="D2353" i="3"/>
  <c r="A2353" i="6" s="1"/>
  <c r="D2289" i="3"/>
  <c r="A2289" i="6" s="1"/>
  <c r="D2225" i="3"/>
  <c r="A2225" i="6" s="1"/>
  <c r="D2161" i="3"/>
  <c r="A2161" i="6" s="1"/>
  <c r="D2097" i="3"/>
  <c r="A2097" i="6" s="1"/>
  <c r="D2033" i="3"/>
  <c r="A2033" i="6" s="1"/>
  <c r="D1969" i="3"/>
  <c r="A1969" i="6" s="1"/>
  <c r="D1905" i="3"/>
  <c r="A1905" i="6" s="1"/>
  <c r="D1841" i="3"/>
  <c r="A1841" i="6" s="1"/>
  <c r="D1777" i="3"/>
  <c r="A1777" i="6" s="1"/>
  <c r="D1713" i="3"/>
  <c r="A1713" i="6" s="1"/>
  <c r="D1649" i="3"/>
  <c r="A1649" i="6" s="1"/>
  <c r="E2488" i="3"/>
  <c r="E2424" i="3"/>
  <c r="E2360" i="3"/>
  <c r="E2296" i="3"/>
  <c r="E2232" i="3"/>
  <c r="E2168" i="3"/>
  <c r="E2104" i="3"/>
  <c r="E2040" i="3"/>
  <c r="E1976" i="3"/>
  <c r="E1912" i="3"/>
  <c r="E1848" i="3"/>
  <c r="E1784" i="3"/>
  <c r="E1720" i="3"/>
  <c r="E1656" i="3"/>
  <c r="D1593" i="3"/>
  <c r="A1593" i="6" s="1"/>
  <c r="D1529" i="3"/>
  <c r="A1529" i="6" s="1"/>
  <c r="D1465" i="3"/>
  <c r="A1465" i="6" s="1"/>
  <c r="D1401" i="3"/>
  <c r="A1401" i="6" s="1"/>
  <c r="D1337" i="3"/>
  <c r="A1337" i="6" s="1"/>
  <c r="D1273" i="3"/>
  <c r="A1273" i="6" s="1"/>
  <c r="D1209" i="3"/>
  <c r="A1209" i="6" s="1"/>
  <c r="E1598" i="3"/>
  <c r="E1534" i="3"/>
  <c r="E1470" i="3"/>
  <c r="E1406" i="3"/>
  <c r="E1342" i="3"/>
  <c r="E1278" i="3"/>
  <c r="E1214" i="3"/>
  <c r="E1178" i="3"/>
  <c r="D1114" i="3"/>
  <c r="A1114" i="6" s="1"/>
  <c r="D1050" i="3"/>
  <c r="A1050" i="6" s="1"/>
  <c r="D986" i="3"/>
  <c r="A986" i="6" s="1"/>
  <c r="D922" i="3"/>
  <c r="A922" i="6" s="1"/>
  <c r="D858" i="3"/>
  <c r="A858" i="6" s="1"/>
  <c r="D794" i="3"/>
  <c r="A794" i="6" s="1"/>
  <c r="E1129" i="3"/>
  <c r="E1065" i="3"/>
  <c r="E1001" i="3"/>
  <c r="E937" i="3"/>
  <c r="E873" i="3"/>
  <c r="E809" i="3"/>
  <c r="D721" i="3"/>
  <c r="A721" i="6" s="1"/>
  <c r="D708" i="3"/>
  <c r="A708" i="6" s="1"/>
  <c r="D644" i="3"/>
  <c r="A644" i="6" s="1"/>
  <c r="D580" i="3"/>
  <c r="A580" i="6" s="1"/>
  <c r="E691" i="3"/>
  <c r="E627" i="3"/>
  <c r="E563" i="3"/>
  <c r="D498" i="3"/>
  <c r="A498" i="6" s="1"/>
  <c r="D434" i="3"/>
  <c r="A434" i="6" s="1"/>
  <c r="D370" i="3"/>
  <c r="A370" i="6" s="1"/>
  <c r="E531" i="3"/>
  <c r="E467" i="3"/>
  <c r="E403" i="3"/>
  <c r="E339" i="3"/>
  <c r="D284" i="3"/>
  <c r="A284" i="6" s="1"/>
  <c r="D220" i="3"/>
  <c r="A220" i="6" s="1"/>
  <c r="E255" i="3"/>
  <c r="D190" i="3"/>
  <c r="A190" i="6" s="1"/>
  <c r="E173" i="3"/>
  <c r="D6028" i="3"/>
  <c r="E5816" i="3"/>
  <c r="E5752" i="3"/>
  <c r="E5688" i="3"/>
  <c r="E5624" i="3"/>
  <c r="E5560" i="3"/>
  <c r="E5496" i="3"/>
  <c r="E5432" i="3"/>
  <c r="E5368" i="3"/>
  <c r="E5304" i="3"/>
  <c r="D7103" i="3"/>
  <c r="A7103" i="6" s="1"/>
  <c r="D7039" i="3"/>
  <c r="A7039" i="6" s="1"/>
  <c r="D6975" i="3"/>
  <c r="A6975" i="6" s="1"/>
  <c r="D6911" i="3"/>
  <c r="A6911" i="6" s="1"/>
  <c r="D6847" i="3"/>
  <c r="A6847" i="6" s="1"/>
  <c r="D6783" i="3"/>
  <c r="A6783" i="6" s="1"/>
  <c r="D6719" i="3"/>
  <c r="A6719" i="6" s="1"/>
  <c r="D6655" i="3"/>
  <c r="A6655" i="6" s="1"/>
  <c r="D6591" i="3"/>
  <c r="A6591" i="6" s="1"/>
  <c r="D6527" i="3"/>
  <c r="A6527" i="6" s="1"/>
  <c r="D6463" i="3"/>
  <c r="A6463" i="6" s="1"/>
  <c r="D6399" i="3"/>
  <c r="A6399" i="6" s="1"/>
  <c r="D6335" i="3"/>
  <c r="A6335" i="6" s="1"/>
  <c r="D6271" i="3"/>
  <c r="A6271" i="6" s="1"/>
  <c r="D6207" i="3"/>
  <c r="A6207" i="6" s="1"/>
  <c r="D6143" i="3"/>
  <c r="A6143" i="6" s="1"/>
  <c r="D6079" i="3"/>
  <c r="A6079" i="6" s="1"/>
  <c r="D6015" i="3"/>
  <c r="A6015" i="6" s="1"/>
  <c r="D5951" i="3"/>
  <c r="A5951" i="6" s="1"/>
  <c r="D5887" i="3"/>
  <c r="A5887" i="6" s="1"/>
  <c r="D5823" i="3"/>
  <c r="A5823" i="6" s="1"/>
  <c r="D5759" i="3"/>
  <c r="A5759" i="6" s="1"/>
  <c r="D5695" i="3"/>
  <c r="A5695" i="6" s="1"/>
  <c r="D5631" i="3"/>
  <c r="A5631" i="6" s="1"/>
  <c r="D5567" i="3"/>
  <c r="A5567" i="6" s="1"/>
  <c r="D5503" i="3"/>
  <c r="A5503" i="6" s="1"/>
  <c r="D5439" i="3"/>
  <c r="A5439" i="6" s="1"/>
  <c r="D5375" i="3"/>
  <c r="A5375" i="6" s="1"/>
  <c r="D5311" i="3"/>
  <c r="A5311" i="6" s="1"/>
  <c r="E5247" i="3"/>
  <c r="E5183" i="3"/>
  <c r="E5119" i="3"/>
  <c r="E5055" i="3"/>
  <c r="E4991" i="3"/>
  <c r="E4927" i="3"/>
  <c r="E4863" i="3"/>
  <c r="E4799" i="3"/>
  <c r="E4735" i="3"/>
  <c r="E4671" i="3"/>
  <c r="E4607" i="3"/>
  <c r="E4543" i="3"/>
  <c r="E4479" i="3"/>
  <c r="E4415" i="3"/>
  <c r="E4351" i="3"/>
  <c r="E4287" i="3"/>
  <c r="E4223" i="3"/>
  <c r="E4159" i="3"/>
  <c r="E4095" i="3"/>
  <c r="E4031" i="3"/>
  <c r="E3967" i="3"/>
  <c r="E3903" i="3"/>
  <c r="E3839" i="3"/>
  <c r="E3775" i="3"/>
  <c r="E3711" i="3"/>
  <c r="E3647" i="3"/>
  <c r="E3583" i="3"/>
  <c r="E3519" i="3"/>
  <c r="E3455" i="3"/>
  <c r="D5212" i="3"/>
  <c r="A5212" i="6" s="1"/>
  <c r="D5148" i="3"/>
  <c r="A5148" i="6" s="1"/>
  <c r="D5084" i="3"/>
  <c r="A5084" i="6" s="1"/>
  <c r="D5020" i="3"/>
  <c r="A5020" i="6" s="1"/>
  <c r="D4956" i="3"/>
  <c r="A4956" i="6" s="1"/>
  <c r="D4892" i="3"/>
  <c r="A4892" i="6" s="1"/>
  <c r="D4828" i="3"/>
  <c r="A4828" i="6" s="1"/>
  <c r="D4764" i="3"/>
  <c r="A4764" i="6" s="1"/>
  <c r="D4700" i="3"/>
  <c r="A4700" i="6" s="1"/>
  <c r="D4636" i="3"/>
  <c r="A4636" i="6" s="1"/>
  <c r="D4572" i="3"/>
  <c r="A4572" i="6" s="1"/>
  <c r="D4508" i="3"/>
  <c r="A4508" i="6" s="1"/>
  <c r="D4444" i="3"/>
  <c r="A4444" i="6" s="1"/>
  <c r="D4380" i="3"/>
  <c r="A4380" i="6" s="1"/>
  <c r="D4316" i="3"/>
  <c r="A4316" i="6" s="1"/>
  <c r="D4252" i="3"/>
  <c r="A4252" i="6" s="1"/>
  <c r="D4188" i="3"/>
  <c r="A4188" i="6" s="1"/>
  <c r="D4124" i="3"/>
  <c r="A4124" i="6" s="1"/>
  <c r="D4060" i="3"/>
  <c r="A4060" i="6" s="1"/>
  <c r="D3996" i="3"/>
  <c r="A3996" i="6" s="1"/>
  <c r="D3932" i="3"/>
  <c r="A3932" i="6" s="1"/>
  <c r="D3868" i="3"/>
  <c r="A3868" i="6" s="1"/>
  <c r="D3804" i="3"/>
  <c r="A3804" i="6" s="1"/>
  <c r="D3740" i="3"/>
  <c r="A3740" i="6" s="1"/>
  <c r="D3676" i="3"/>
  <c r="A3676" i="6" s="1"/>
  <c r="D3612" i="3"/>
  <c r="A3612" i="6" s="1"/>
  <c r="D3548" i="3"/>
  <c r="A3548" i="6" s="1"/>
  <c r="D3484" i="3"/>
  <c r="A3484" i="6" s="1"/>
  <c r="E3420" i="3"/>
  <c r="E3356" i="3"/>
  <c r="E3292" i="3"/>
  <c r="E3228" i="3"/>
  <c r="E3164" i="3"/>
  <c r="E3100" i="3"/>
  <c r="E3036" i="3"/>
  <c r="E2972" i="3"/>
  <c r="E2908" i="3"/>
  <c r="E2844" i="3"/>
  <c r="E2780" i="3"/>
  <c r="E2716" i="3"/>
  <c r="E2652" i="3"/>
  <c r="E2588" i="3"/>
  <c r="D3433" i="3"/>
  <c r="A3433" i="6" s="1"/>
  <c r="D3369" i="3"/>
  <c r="A3369" i="6" s="1"/>
  <c r="D3305" i="3"/>
  <c r="A3305" i="6" s="1"/>
  <c r="D3241" i="3"/>
  <c r="A3241" i="6" s="1"/>
  <c r="D3177" i="3"/>
  <c r="A3177" i="6" s="1"/>
  <c r="D3113" i="3"/>
  <c r="A3113" i="6" s="1"/>
  <c r="D3049" i="3"/>
  <c r="A3049" i="6" s="1"/>
  <c r="D2985" i="3"/>
  <c r="A2985" i="6" s="1"/>
  <c r="D2921" i="3"/>
  <c r="A2921" i="6" s="1"/>
  <c r="D2857" i="3"/>
  <c r="A2857" i="6" s="1"/>
  <c r="D2793" i="3"/>
  <c r="A2793" i="6" s="1"/>
  <c r="D2729" i="3"/>
  <c r="A2729" i="6" s="1"/>
  <c r="D2665" i="3"/>
  <c r="A2665" i="6" s="1"/>
  <c r="D2601" i="3"/>
  <c r="A2601" i="6" s="1"/>
  <c r="D2537" i="3"/>
  <c r="A2537" i="6" s="1"/>
  <c r="E2477" i="3"/>
  <c r="E2413" i="3"/>
  <c r="E2349" i="3"/>
  <c r="E2285" i="3"/>
  <c r="E2221" i="3"/>
  <c r="E2157" i="3"/>
  <c r="E2093" i="3"/>
  <c r="E2029" i="3"/>
  <c r="E1965" i="3"/>
  <c r="E1901" i="3"/>
  <c r="E1837" i="3"/>
  <c r="E1773" i="3"/>
  <c r="E1709" i="3"/>
  <c r="E1645" i="3"/>
  <c r="D2484" i="3"/>
  <c r="A2484" i="6" s="1"/>
  <c r="D2420" i="3"/>
  <c r="A2420" i="6" s="1"/>
  <c r="D2356" i="3"/>
  <c r="A2356" i="6" s="1"/>
  <c r="D2292" i="3"/>
  <c r="A2292" i="6" s="1"/>
  <c r="D2228" i="3"/>
  <c r="A2228" i="6" s="1"/>
  <c r="D2164" i="3"/>
  <c r="A2164" i="6" s="1"/>
  <c r="D2100" i="3"/>
  <c r="A2100" i="6" s="1"/>
  <c r="D2036" i="3"/>
  <c r="A2036" i="6" s="1"/>
  <c r="D1972" i="3"/>
  <c r="A1972" i="6" s="1"/>
  <c r="D1908" i="3"/>
  <c r="A1908" i="6" s="1"/>
  <c r="D1844" i="3"/>
  <c r="A1844" i="6" s="1"/>
  <c r="D1780" i="3"/>
  <c r="A1780" i="6" s="1"/>
  <c r="D1716" i="3"/>
  <c r="A1716" i="6" s="1"/>
  <c r="D1652" i="3"/>
  <c r="A1652" i="6" s="1"/>
  <c r="E1589" i="3"/>
  <c r="E1525" i="3"/>
  <c r="E1461" i="3"/>
  <c r="E1397" i="3"/>
  <c r="E1333" i="3"/>
  <c r="E1269" i="3"/>
  <c r="E1205" i="3"/>
  <c r="D1594" i="3"/>
  <c r="D1530" i="3"/>
  <c r="D1466" i="3"/>
  <c r="D1402" i="3"/>
  <c r="D1338" i="3"/>
  <c r="D1274" i="3"/>
  <c r="D1210" i="3"/>
  <c r="D1174" i="3"/>
  <c r="E1110" i="3"/>
  <c r="E1046" i="3"/>
  <c r="E982" i="3"/>
  <c r="E918" i="3"/>
  <c r="E854" i="3"/>
  <c r="E790" i="3"/>
  <c r="D1125" i="3"/>
  <c r="D1061" i="3"/>
  <c r="D997" i="3"/>
  <c r="D933" i="3"/>
  <c r="D869" i="3"/>
  <c r="D805" i="3"/>
  <c r="D768" i="3"/>
  <c r="E704" i="3"/>
  <c r="E640" i="3"/>
  <c r="E576" i="3"/>
  <c r="D687" i="3"/>
  <c r="D623" i="3"/>
  <c r="D559" i="3"/>
  <c r="E494" i="3"/>
  <c r="E430" i="3"/>
  <c r="E366" i="3"/>
  <c r="D527" i="3"/>
  <c r="D463" i="3"/>
  <c r="D399" i="3"/>
  <c r="D335" i="3"/>
  <c r="E280" i="3"/>
  <c r="E216" i="3"/>
  <c r="D251" i="3"/>
  <c r="E186" i="3"/>
  <c r="D169" i="3"/>
  <c r="A169" i="6" s="1"/>
  <c r="D5976" i="3"/>
  <c r="D5912" i="3"/>
  <c r="D5848" i="3"/>
  <c r="D5784" i="3"/>
  <c r="A5784" i="6" s="1"/>
  <c r="D5720" i="3"/>
  <c r="A5720" i="6" s="1"/>
  <c r="D5656" i="3"/>
  <c r="A5656" i="6" s="1"/>
  <c r="D5592" i="3"/>
  <c r="A5592" i="6" s="1"/>
  <c r="D5528" i="3"/>
  <c r="A5528" i="6" s="1"/>
  <c r="D5464" i="3"/>
  <c r="A5464" i="6" s="1"/>
  <c r="D5400" i="3"/>
  <c r="A5400" i="6" s="1"/>
  <c r="D5336" i="3"/>
  <c r="A5336" i="6" s="1"/>
  <c r="D5272" i="3"/>
  <c r="A5272" i="6" s="1"/>
  <c r="E7071" i="3"/>
  <c r="E7007" i="3"/>
  <c r="E6943" i="3"/>
  <c r="E6879" i="3"/>
  <c r="E6815" i="3"/>
  <c r="E6751" i="3"/>
  <c r="E6687" i="3"/>
  <c r="E6623" i="3"/>
  <c r="E6559" i="3"/>
  <c r="E6495" i="3"/>
  <c r="E6431" i="3"/>
  <c r="E6367" i="3"/>
  <c r="E6303" i="3"/>
  <c r="E6239" i="3"/>
  <c r="E6175" i="3"/>
  <c r="E6111" i="3"/>
  <c r="E6047" i="3"/>
  <c r="E5983" i="3"/>
  <c r="E5919" i="3"/>
  <c r="E5855" i="3"/>
  <c r="E5791" i="3"/>
  <c r="E5727" i="3"/>
  <c r="E5663" i="3"/>
  <c r="E5599" i="3"/>
  <c r="E5535" i="3"/>
  <c r="E5471" i="3"/>
  <c r="E5407" i="3"/>
  <c r="E5343" i="3"/>
  <c r="E5279" i="3"/>
  <c r="D5215" i="3"/>
  <c r="A5215" i="6" s="1"/>
  <c r="D5151" i="3"/>
  <c r="A5151" i="6" s="1"/>
  <c r="D5087" i="3"/>
  <c r="A5087" i="6" s="1"/>
  <c r="D5023" i="3"/>
  <c r="A5023" i="6" s="1"/>
  <c r="D4959" i="3"/>
  <c r="A4959" i="6" s="1"/>
  <c r="D4895" i="3"/>
  <c r="A4895" i="6" s="1"/>
  <c r="D4831" i="3"/>
  <c r="A4831" i="6" s="1"/>
  <c r="D4767" i="3"/>
  <c r="A4767" i="6" s="1"/>
  <c r="D4703" i="3"/>
  <c r="A4703" i="6" s="1"/>
  <c r="D4639" i="3"/>
  <c r="A4639" i="6" s="1"/>
  <c r="D4575" i="3"/>
  <c r="A4575" i="6" s="1"/>
  <c r="D4511" i="3"/>
  <c r="A4511" i="6" s="1"/>
  <c r="D4447" i="3"/>
  <c r="A4447" i="6" s="1"/>
  <c r="D4383" i="3"/>
  <c r="A4383" i="6" s="1"/>
  <c r="D4319" i="3"/>
  <c r="A4319" i="6" s="1"/>
  <c r="D4255" i="3"/>
  <c r="A4255" i="6" s="1"/>
  <c r="D4191" i="3"/>
  <c r="A4191" i="6" s="1"/>
  <c r="D4127" i="3"/>
  <c r="A4127" i="6" s="1"/>
  <c r="D4063" i="3"/>
  <c r="A4063" i="6" s="1"/>
  <c r="D3999" i="3"/>
  <c r="A3999" i="6" s="1"/>
  <c r="D3935" i="3"/>
  <c r="A3935" i="6" s="1"/>
  <c r="D3871" i="3"/>
  <c r="A3871" i="6" s="1"/>
  <c r="D3807" i="3"/>
  <c r="A3807" i="6" s="1"/>
  <c r="D3743" i="3"/>
  <c r="A3743" i="6" s="1"/>
  <c r="D3679" i="3"/>
  <c r="A3679" i="6" s="1"/>
  <c r="D3615" i="3"/>
  <c r="A3615" i="6" s="1"/>
  <c r="D3551" i="3"/>
  <c r="A3551" i="6" s="1"/>
  <c r="D3487" i="3"/>
  <c r="A3487" i="6" s="1"/>
  <c r="E5244" i="3"/>
  <c r="E5180" i="3"/>
  <c r="E5116" i="3"/>
  <c r="E5052" i="3"/>
  <c r="E4988" i="3"/>
  <c r="E4924" i="3"/>
  <c r="E4860" i="3"/>
  <c r="E4796" i="3"/>
  <c r="E4732" i="3"/>
  <c r="E4668" i="3"/>
  <c r="E4604" i="3"/>
  <c r="E4540" i="3"/>
  <c r="E4476" i="3"/>
  <c r="E4412" i="3"/>
  <c r="E4348" i="3"/>
  <c r="E4284" i="3"/>
  <c r="E4220" i="3"/>
  <c r="E4156" i="3"/>
  <c r="E4092" i="3"/>
  <c r="E4028" i="3"/>
  <c r="E3964" i="3"/>
  <c r="E3900" i="3"/>
  <c r="E3836" i="3"/>
  <c r="E3772" i="3"/>
  <c r="E3708" i="3"/>
  <c r="E3644" i="3"/>
  <c r="E3580" i="3"/>
  <c r="E3516" i="3"/>
  <c r="E3452" i="3"/>
  <c r="D3388" i="3"/>
  <c r="A3388" i="6" s="1"/>
  <c r="D3324" i="3"/>
  <c r="A3324" i="6" s="1"/>
  <c r="D3260" i="3"/>
  <c r="A3260" i="6" s="1"/>
  <c r="D3196" i="3"/>
  <c r="A3196" i="6" s="1"/>
  <c r="D3132" i="3"/>
  <c r="A3132" i="6" s="1"/>
  <c r="D3068" i="3"/>
  <c r="A3068" i="6" s="1"/>
  <c r="D3004" i="3"/>
  <c r="A3004" i="6" s="1"/>
  <c r="D2940" i="3"/>
  <c r="A2940" i="6" s="1"/>
  <c r="D2876" i="3"/>
  <c r="A2876" i="6" s="1"/>
  <c r="D2812" i="3"/>
  <c r="A2812" i="6" s="1"/>
  <c r="D2748" i="3"/>
  <c r="A2748" i="6" s="1"/>
  <c r="D2684" i="3"/>
  <c r="A2684" i="6" s="1"/>
  <c r="D2620" i="3"/>
  <c r="A2620" i="6" s="1"/>
  <c r="D2556" i="3"/>
  <c r="A2556" i="6" s="1"/>
  <c r="E3401" i="3"/>
  <c r="E3337" i="3"/>
  <c r="E3273" i="3"/>
  <c r="E3209" i="3"/>
  <c r="E3145" i="3"/>
  <c r="E3081" i="3"/>
  <c r="E3017" i="3"/>
  <c r="E2953" i="3"/>
  <c r="E2889" i="3"/>
  <c r="E2825" i="3"/>
  <c r="E2761" i="3"/>
  <c r="E2697" i="3"/>
  <c r="E2633" i="3"/>
  <c r="E2569" i="3"/>
  <c r="D2509" i="3"/>
  <c r="A2509" i="6" s="1"/>
  <c r="D2445" i="3"/>
  <c r="A2445" i="6" s="1"/>
  <c r="D2381" i="3"/>
  <c r="A2381" i="6" s="1"/>
  <c r="D2317" i="3"/>
  <c r="A2317" i="6" s="1"/>
  <c r="D2253" i="3"/>
  <c r="A2253" i="6" s="1"/>
  <c r="D2189" i="3"/>
  <c r="A2189" i="6" s="1"/>
  <c r="D2125" i="3"/>
  <c r="A2125" i="6" s="1"/>
  <c r="D2061" i="3"/>
  <c r="A2061" i="6" s="1"/>
  <c r="D1997" i="3"/>
  <c r="A1997" i="6" s="1"/>
  <c r="D1933" i="3"/>
  <c r="A1933" i="6" s="1"/>
  <c r="D1869" i="3"/>
  <c r="A1869" i="6" s="1"/>
  <c r="D1805" i="3"/>
  <c r="A1805" i="6" s="1"/>
  <c r="D1741" i="3"/>
  <c r="A1741" i="6" s="1"/>
  <c r="D1677" i="3"/>
  <c r="A1677" i="6" s="1"/>
  <c r="E2516" i="3"/>
  <c r="E2452" i="3"/>
  <c r="E2388" i="3"/>
  <c r="E2324" i="3"/>
  <c r="E2260" i="3"/>
  <c r="E2196" i="3"/>
  <c r="E2132" i="3"/>
  <c r="E2068" i="3"/>
  <c r="E2004" i="3"/>
  <c r="E1940" i="3"/>
  <c r="E1876" i="3"/>
  <c r="E1812" i="3"/>
  <c r="E1748" i="3"/>
  <c r="E1684" i="3"/>
  <c r="D1621" i="3"/>
  <c r="A1621" i="6" s="1"/>
  <c r="D1557" i="3"/>
  <c r="A1557" i="6" s="1"/>
  <c r="D1493" i="3"/>
  <c r="A1493" i="6" s="1"/>
  <c r="D1429" i="3"/>
  <c r="A1429" i="6" s="1"/>
  <c r="D1365" i="3"/>
  <c r="A1365" i="6" s="1"/>
  <c r="D1301" i="3"/>
  <c r="A1301" i="6" s="1"/>
  <c r="D1237" i="3"/>
  <c r="A1237" i="6" s="1"/>
  <c r="E8699" i="3"/>
  <c r="E8571" i="3"/>
  <c r="E8701" i="3"/>
  <c r="E8637" i="3"/>
  <c r="E8573" i="3"/>
  <c r="E8509" i="3"/>
  <c r="E8445" i="3"/>
  <c r="E8381" i="3"/>
  <c r="E8317" i="3"/>
  <c r="E8253" i="3"/>
  <c r="E8189" i="3"/>
  <c r="E8125" i="3"/>
  <c r="E8061" i="3"/>
  <c r="E7997" i="3"/>
  <c r="E7933" i="3"/>
  <c r="E7869" i="3"/>
  <c r="E7805" i="3"/>
  <c r="E7741" i="3"/>
  <c r="E7677" i="3"/>
  <c r="E7613" i="3"/>
  <c r="E7549" i="3"/>
  <c r="E7485" i="3"/>
  <c r="E7421" i="3"/>
  <c r="E7357" i="3"/>
  <c r="E7293" i="3"/>
  <c r="E7229" i="3"/>
  <c r="E7165" i="3"/>
  <c r="E8753" i="3"/>
  <c r="D8708" i="3"/>
  <c r="D8644" i="3"/>
  <c r="D8580" i="3"/>
  <c r="D8516" i="3"/>
  <c r="D8452" i="3"/>
  <c r="D8388" i="3"/>
  <c r="D8324" i="3"/>
  <c r="D8260" i="3"/>
  <c r="D8196" i="3"/>
  <c r="D8132" i="3"/>
  <c r="D8068" i="3"/>
  <c r="D8004" i="3"/>
  <c r="D7940" i="3"/>
  <c r="D7876" i="3"/>
  <c r="D7812" i="3"/>
  <c r="D7748" i="3"/>
  <c r="D7684" i="3"/>
  <c r="D7620" i="3"/>
  <c r="D7556" i="3"/>
  <c r="D7492" i="3"/>
  <c r="D7428" i="3"/>
  <c r="D7364" i="3"/>
  <c r="D7300" i="3"/>
  <c r="D7236" i="3"/>
  <c r="D7172" i="3"/>
  <c r="E7090" i="3"/>
  <c r="E7022" i="3"/>
  <c r="E6958" i="3"/>
  <c r="E6894" i="3"/>
  <c r="E6830" i="3"/>
  <c r="E6766" i="3"/>
  <c r="E6702" i="3"/>
  <c r="E6638" i="3"/>
  <c r="E6574" i="3"/>
  <c r="E6510" i="3"/>
  <c r="E6446" i="3"/>
  <c r="E6382" i="3"/>
  <c r="E6318" i="3"/>
  <c r="E6254" i="3"/>
  <c r="E6190" i="3"/>
  <c r="E6126" i="3"/>
  <c r="E6062" i="3"/>
  <c r="E5998" i="3"/>
  <c r="E5934" i="3"/>
  <c r="E5870" i="3"/>
  <c r="E5806" i="3"/>
  <c r="E5742" i="3"/>
  <c r="E5678" i="3"/>
  <c r="E5614" i="3"/>
  <c r="E5550" i="3"/>
  <c r="E5486" i="3"/>
  <c r="E5422" i="3"/>
  <c r="E5358" i="3"/>
  <c r="E5294" i="3"/>
  <c r="D7093" i="3"/>
  <c r="D7029" i="3"/>
  <c r="D6965" i="3"/>
  <c r="D6901" i="3"/>
  <c r="D6837" i="3"/>
  <c r="D6773" i="3"/>
  <c r="D6709" i="3"/>
  <c r="D6645" i="3"/>
  <c r="D6581" i="3"/>
  <c r="D6517" i="3"/>
  <c r="D6453" i="3"/>
  <c r="D6389" i="3"/>
  <c r="D6325" i="3"/>
  <c r="D6261" i="3"/>
  <c r="D6197" i="3"/>
  <c r="D6133" i="3"/>
  <c r="D6069" i="3"/>
  <c r="D6005" i="3"/>
  <c r="D5941" i="3"/>
  <c r="D5877" i="3"/>
  <c r="D5813" i="3"/>
  <c r="D5749" i="3"/>
  <c r="D5685" i="3"/>
  <c r="D5621" i="3"/>
  <c r="D5557" i="3"/>
  <c r="D5493" i="3"/>
  <c r="D5429" i="3"/>
  <c r="D5365" i="3"/>
  <c r="D5301" i="3"/>
  <c r="E5237" i="3"/>
  <c r="E5173" i="3"/>
  <c r="E5109" i="3"/>
  <c r="E5045" i="3"/>
  <c r="E4981" i="3"/>
  <c r="E4917" i="3"/>
  <c r="E4853" i="3"/>
  <c r="E4789" i="3"/>
  <c r="E4725" i="3"/>
  <c r="E4661" i="3"/>
  <c r="E4597" i="3"/>
  <c r="E4533" i="3"/>
  <c r="E4469" i="3"/>
  <c r="E4405" i="3"/>
  <c r="E4341" i="3"/>
  <c r="E4277" i="3"/>
  <c r="E4213" i="3"/>
  <c r="E4149" i="3"/>
  <c r="E4085" i="3"/>
  <c r="E4021" i="3"/>
  <c r="E3957" i="3"/>
  <c r="E3893" i="3"/>
  <c r="E3829" i="3"/>
  <c r="E3765" i="3"/>
  <c r="E3701" i="3"/>
  <c r="E3637" i="3"/>
  <c r="E3573" i="3"/>
  <c r="E3509" i="3"/>
  <c r="E3445" i="3"/>
  <c r="D5202" i="3"/>
  <c r="D5138" i="3"/>
  <c r="D5074" i="3"/>
  <c r="D5010" i="3"/>
  <c r="D4946" i="3"/>
  <c r="D4882" i="3"/>
  <c r="D4818" i="3"/>
  <c r="D4754" i="3"/>
  <c r="D4690" i="3"/>
  <c r="D4626" i="3"/>
  <c r="D4562" i="3"/>
  <c r="D4498" i="3"/>
  <c r="D4434" i="3"/>
  <c r="D4370" i="3"/>
  <c r="D4306" i="3"/>
  <c r="D4242" i="3"/>
  <c r="D4178" i="3"/>
  <c r="D4114" i="3"/>
  <c r="D4050" i="3"/>
  <c r="D3986" i="3"/>
  <c r="D3922" i="3"/>
  <c r="D3858" i="3"/>
  <c r="D3794" i="3"/>
  <c r="D3730" i="3"/>
  <c r="D3666" i="3"/>
  <c r="D3602" i="3"/>
  <c r="D3538" i="3"/>
  <c r="D3474" i="3"/>
  <c r="E3410" i="3"/>
  <c r="E3346" i="3"/>
  <c r="E3282" i="3"/>
  <c r="E3218" i="3"/>
  <c r="E3154" i="3"/>
  <c r="E3090" i="3"/>
  <c r="E3026" i="3"/>
  <c r="E2962" i="3"/>
  <c r="E2898" i="3"/>
  <c r="E2834" i="3"/>
  <c r="E2770" i="3"/>
  <c r="E2706" i="3"/>
  <c r="E2642" i="3"/>
  <c r="E2578" i="3"/>
  <c r="D3423" i="3"/>
  <c r="D3359" i="3"/>
  <c r="D3295" i="3"/>
  <c r="D3231" i="3"/>
  <c r="D3167" i="3"/>
  <c r="D3103" i="3"/>
  <c r="D3039" i="3"/>
  <c r="D2975" i="3"/>
  <c r="D2911" i="3"/>
  <c r="D2847" i="3"/>
  <c r="D2783" i="3"/>
  <c r="D2719" i="3"/>
  <c r="D2655" i="3"/>
  <c r="D2591" i="3"/>
  <c r="D2531" i="3"/>
  <c r="E2467" i="3"/>
  <c r="E2403" i="3"/>
  <c r="E2339" i="3"/>
  <c r="E2275" i="3"/>
  <c r="E2211" i="3"/>
  <c r="E2147" i="3"/>
  <c r="E2083" i="3"/>
  <c r="E2019" i="3"/>
  <c r="E1955" i="3"/>
  <c r="E1891" i="3"/>
  <c r="E1827" i="3"/>
  <c r="E1763" i="3"/>
  <c r="E1699" i="3"/>
  <c r="E1635" i="3"/>
  <c r="D2474" i="3"/>
  <c r="D2410" i="3"/>
  <c r="D2346" i="3"/>
  <c r="D2282" i="3"/>
  <c r="D2218" i="3"/>
  <c r="D2154" i="3"/>
  <c r="D2090" i="3"/>
  <c r="D2026" i="3"/>
  <c r="D1962" i="3"/>
  <c r="D1898" i="3"/>
  <c r="D1834" i="3"/>
  <c r="D1770" i="3"/>
  <c r="D1706" i="3"/>
  <c r="D1642" i="3"/>
  <c r="E1579" i="3"/>
  <c r="E1515" i="3"/>
  <c r="E1451" i="3"/>
  <c r="E1387" i="3"/>
  <c r="E1323" i="3"/>
  <c r="E1259" i="3"/>
  <c r="E1191" i="3"/>
  <c r="D1584" i="3"/>
  <c r="D1520" i="3"/>
  <c r="D1456" i="3"/>
  <c r="D1392" i="3"/>
  <c r="D1328" i="3"/>
  <c r="D1264" i="3"/>
  <c r="D1200" i="3"/>
  <c r="D1164" i="3"/>
  <c r="E1100" i="3"/>
  <c r="E1036" i="3"/>
  <c r="E972" i="3"/>
  <c r="E908" i="3"/>
  <c r="E844" i="3"/>
  <c r="E780" i="3"/>
  <c r="D1115" i="3"/>
  <c r="D1051" i="3"/>
  <c r="D987" i="3"/>
  <c r="D923" i="3"/>
  <c r="D859" i="3"/>
  <c r="D795" i="3"/>
  <c r="D758" i="3"/>
  <c r="E694" i="3"/>
  <c r="E630" i="3"/>
  <c r="E566" i="3"/>
  <c r="D677" i="3"/>
  <c r="D613" i="3"/>
  <c r="D549" i="3"/>
  <c r="E484" i="3"/>
  <c r="E420" i="3"/>
  <c r="E356" i="3"/>
  <c r="D517" i="3"/>
  <c r="D453" i="3"/>
  <c r="D389" i="3"/>
  <c r="D325" i="3"/>
  <c r="E270" i="3"/>
  <c r="D305" i="3"/>
  <c r="D241" i="3"/>
  <c r="E176" i="3"/>
  <c r="D191" i="3"/>
  <c r="A191" i="6" s="1"/>
  <c r="E8631" i="3"/>
  <c r="E8519" i="3"/>
  <c r="E8455" i="3"/>
  <c r="E8391" i="3"/>
  <c r="E8327" i="3"/>
  <c r="E8263" i="3"/>
  <c r="E8199" i="3"/>
  <c r="E8135" i="3"/>
  <c r="E8071" i="3"/>
  <c r="E8007" i="3"/>
  <c r="E7943" i="3"/>
  <c r="E7879" i="3"/>
  <c r="E7815" i="3"/>
  <c r="E7751" i="3"/>
  <c r="E7687" i="3"/>
  <c r="E7623" i="3"/>
  <c r="E7559" i="3"/>
  <c r="E7495" i="3"/>
  <c r="E7431" i="3"/>
  <c r="E7367" i="3"/>
  <c r="E7303" i="3"/>
  <c r="E7239" i="3"/>
  <c r="E7175" i="3"/>
  <c r="E7096" i="3"/>
  <c r="D8718" i="3"/>
  <c r="D8654" i="3"/>
  <c r="D8590" i="3"/>
  <c r="D8526" i="3"/>
  <c r="A8526" i="6" s="1"/>
  <c r="D8462" i="3"/>
  <c r="D8398" i="3"/>
  <c r="A8398" i="6" s="1"/>
  <c r="D8334" i="3"/>
  <c r="D8270" i="3"/>
  <c r="A8270" i="6" s="1"/>
  <c r="D8206" i="3"/>
  <c r="D8142" i="3"/>
  <c r="A8142" i="6" s="1"/>
  <c r="D8078" i="3"/>
  <c r="D8014" i="3"/>
  <c r="A8014" i="6" s="1"/>
  <c r="D7950" i="3"/>
  <c r="D7886" i="3"/>
  <c r="A7886" i="6" s="1"/>
  <c r="D7822" i="3"/>
  <c r="D7758" i="3"/>
  <c r="A7758" i="6" s="1"/>
  <c r="D7694" i="3"/>
  <c r="D7630" i="3"/>
  <c r="A7630" i="6" s="1"/>
  <c r="D7566" i="3"/>
  <c r="D7502" i="3"/>
  <c r="A7502" i="6" s="1"/>
  <c r="D7438" i="3"/>
  <c r="D7374" i="3"/>
  <c r="A7374" i="6" s="1"/>
  <c r="D7310" i="3"/>
  <c r="D7246" i="3"/>
  <c r="A7246" i="6" s="1"/>
  <c r="D7182" i="3"/>
  <c r="E7110" i="3"/>
  <c r="E7032" i="3"/>
  <c r="E6968" i="3"/>
  <c r="E6904" i="3"/>
  <c r="E6840" i="3"/>
  <c r="E6776" i="3"/>
  <c r="E6712" i="3"/>
  <c r="E6648" i="3"/>
  <c r="E6584" i="3"/>
  <c r="E6520" i="3"/>
  <c r="E6456" i="3"/>
  <c r="E6392" i="3"/>
  <c r="E6328" i="3"/>
  <c r="E6264" i="3"/>
  <c r="E6200" i="3"/>
  <c r="E6136" i="3"/>
  <c r="E6072" i="3"/>
  <c r="E6008" i="3"/>
  <c r="D8675" i="3"/>
  <c r="A8675" i="6" s="1"/>
  <c r="D8547" i="3"/>
  <c r="A8547" i="6" s="1"/>
  <c r="D8689" i="3"/>
  <c r="A8689" i="6" s="1"/>
  <c r="D8625" i="3"/>
  <c r="A8625" i="6" s="1"/>
  <c r="D8561" i="3"/>
  <c r="A8561" i="6" s="1"/>
  <c r="D8497" i="3"/>
  <c r="A8497" i="6" s="1"/>
  <c r="D8433" i="3"/>
  <c r="A8433" i="6" s="1"/>
  <c r="D8369" i="3"/>
  <c r="A8369" i="6" s="1"/>
  <c r="D8305" i="3"/>
  <c r="A8305" i="6" s="1"/>
  <c r="D8241" i="3"/>
  <c r="A8241" i="6" s="1"/>
  <c r="D8177" i="3"/>
  <c r="A8177" i="6" s="1"/>
  <c r="D8113" i="3"/>
  <c r="A8113" i="6" s="1"/>
  <c r="D8049" i="3"/>
  <c r="A8049" i="6" s="1"/>
  <c r="D7985" i="3"/>
  <c r="A7985" i="6" s="1"/>
  <c r="D7921" i="3"/>
  <c r="A7921" i="6" s="1"/>
  <c r="D7857" i="3"/>
  <c r="A7857" i="6" s="1"/>
  <c r="D7793" i="3"/>
  <c r="A7793" i="6" s="1"/>
  <c r="D7729" i="3"/>
  <c r="A7729" i="6" s="1"/>
  <c r="D7665" i="3"/>
  <c r="A7665" i="6" s="1"/>
  <c r="D7601" i="3"/>
  <c r="A7601" i="6" s="1"/>
  <c r="D7537" i="3"/>
  <c r="A7537" i="6" s="1"/>
  <c r="D7473" i="3"/>
  <c r="A7473" i="6" s="1"/>
  <c r="D7409" i="3"/>
  <c r="A7409" i="6" s="1"/>
  <c r="D7345" i="3"/>
  <c r="A7345" i="6" s="1"/>
  <c r="D7281" i="3"/>
  <c r="A7281" i="6" s="1"/>
  <c r="D7217" i="3"/>
  <c r="A7217" i="6" s="1"/>
  <c r="D7153" i="3"/>
  <c r="A7153" i="6" s="1"/>
  <c r="E8760" i="3"/>
  <c r="E8696" i="3"/>
  <c r="E8632" i="3"/>
  <c r="E8568" i="3"/>
  <c r="E8504" i="3"/>
  <c r="E8440" i="3"/>
  <c r="E8376" i="3"/>
  <c r="E8312" i="3"/>
  <c r="E8248" i="3"/>
  <c r="E8184" i="3"/>
  <c r="E8120" i="3"/>
  <c r="E8056" i="3"/>
  <c r="E7992" i="3"/>
  <c r="E7928" i="3"/>
  <c r="E7864" i="3"/>
  <c r="E7800" i="3"/>
  <c r="E7736" i="3"/>
  <c r="E7672" i="3"/>
  <c r="E7608" i="3"/>
  <c r="E7544" i="3"/>
  <c r="E7480" i="3"/>
  <c r="E7416" i="3"/>
  <c r="E7352" i="3"/>
  <c r="E7288" i="3"/>
  <c r="E7224" i="3"/>
  <c r="E7160" i="3"/>
  <c r="D7074" i="3"/>
  <c r="A7074" i="6" s="1"/>
  <c r="D7010" i="3"/>
  <c r="A7010" i="6" s="1"/>
  <c r="D6946" i="3"/>
  <c r="A6946" i="6" s="1"/>
  <c r="D6882" i="3"/>
  <c r="A6882" i="6" s="1"/>
  <c r="D6818" i="3"/>
  <c r="A6818" i="6" s="1"/>
  <c r="D6754" i="3"/>
  <c r="A6754" i="6" s="1"/>
  <c r="D6690" i="3"/>
  <c r="A6690" i="6" s="1"/>
  <c r="D6626" i="3"/>
  <c r="A6626" i="6" s="1"/>
  <c r="D6562" i="3"/>
  <c r="A6562" i="6" s="1"/>
  <c r="D6498" i="3"/>
  <c r="A6498" i="6" s="1"/>
  <c r="D6434" i="3"/>
  <c r="A6434" i="6" s="1"/>
  <c r="D6370" i="3"/>
  <c r="A6370" i="6" s="1"/>
  <c r="D6306" i="3"/>
  <c r="A6306" i="6" s="1"/>
  <c r="D6242" i="3"/>
  <c r="A6242" i="6" s="1"/>
  <c r="D6178" i="3"/>
  <c r="A6178" i="6" s="1"/>
  <c r="D6114" i="3"/>
  <c r="A6114" i="6" s="1"/>
  <c r="D6050" i="3"/>
  <c r="A6050" i="6" s="1"/>
  <c r="D5986" i="3"/>
  <c r="A5986" i="6" s="1"/>
  <c r="D5922" i="3"/>
  <c r="A5922" i="6" s="1"/>
  <c r="D5858" i="3"/>
  <c r="A5858" i="6" s="1"/>
  <c r="D5794" i="3"/>
  <c r="A5794" i="6" s="1"/>
  <c r="D5730" i="3"/>
  <c r="A5730" i="6" s="1"/>
  <c r="D5666" i="3"/>
  <c r="A5666" i="6" s="1"/>
  <c r="D5602" i="3"/>
  <c r="A5602" i="6" s="1"/>
  <c r="D5538" i="3"/>
  <c r="A5538" i="6" s="1"/>
  <c r="D5474" i="3"/>
  <c r="A5474" i="6" s="1"/>
  <c r="D5410" i="3"/>
  <c r="A5410" i="6" s="1"/>
  <c r="D5346" i="3"/>
  <c r="A5346" i="6" s="1"/>
  <c r="D5282" i="3"/>
  <c r="A5282" i="6" s="1"/>
  <c r="E7081" i="3"/>
  <c r="E7017" i="3"/>
  <c r="E6953" i="3"/>
  <c r="E6889" i="3"/>
  <c r="E6825" i="3"/>
  <c r="E6761" i="3"/>
  <c r="E6697" i="3"/>
  <c r="E6633" i="3"/>
  <c r="E6569" i="3"/>
  <c r="E6505" i="3"/>
  <c r="E6441" i="3"/>
  <c r="E6377" i="3"/>
  <c r="E6313" i="3"/>
  <c r="E6249" i="3"/>
  <c r="E6185" i="3"/>
  <c r="E6121" i="3"/>
  <c r="E6057" i="3"/>
  <c r="E5993" i="3"/>
  <c r="E5929" i="3"/>
  <c r="E5865" i="3"/>
  <c r="E5801" i="3"/>
  <c r="E5737" i="3"/>
  <c r="E5673" i="3"/>
  <c r="E5609" i="3"/>
  <c r="E5545" i="3"/>
  <c r="E5481" i="3"/>
  <c r="E5417" i="3"/>
  <c r="E5353" i="3"/>
  <c r="E5289" i="3"/>
  <c r="D5225" i="3"/>
  <c r="A5225" i="6" s="1"/>
  <c r="D5161" i="3"/>
  <c r="A5161" i="6" s="1"/>
  <c r="D5097" i="3"/>
  <c r="A5097" i="6" s="1"/>
  <c r="D5033" i="3"/>
  <c r="A5033" i="6" s="1"/>
  <c r="D4969" i="3"/>
  <c r="A4969" i="6" s="1"/>
  <c r="D4905" i="3"/>
  <c r="A4905" i="6" s="1"/>
  <c r="D4841" i="3"/>
  <c r="A4841" i="6" s="1"/>
  <c r="D4777" i="3"/>
  <c r="A4777" i="6" s="1"/>
  <c r="D4713" i="3"/>
  <c r="A4713" i="6" s="1"/>
  <c r="D4649" i="3"/>
  <c r="A4649" i="6" s="1"/>
  <c r="D4585" i="3"/>
  <c r="A4585" i="6" s="1"/>
  <c r="D4521" i="3"/>
  <c r="A4521" i="6" s="1"/>
  <c r="D4457" i="3"/>
  <c r="A4457" i="6" s="1"/>
  <c r="D4393" i="3"/>
  <c r="A4393" i="6" s="1"/>
  <c r="D4329" i="3"/>
  <c r="A4329" i="6" s="1"/>
  <c r="D4265" i="3"/>
  <c r="A4265" i="6" s="1"/>
  <c r="D4201" i="3"/>
  <c r="A4201" i="6" s="1"/>
  <c r="D4137" i="3"/>
  <c r="A4137" i="6" s="1"/>
  <c r="D4073" i="3"/>
  <c r="A4073" i="6" s="1"/>
  <c r="D4009" i="3"/>
  <c r="A4009" i="6" s="1"/>
  <c r="D3945" i="3"/>
  <c r="A3945" i="6" s="1"/>
  <c r="D3881" i="3"/>
  <c r="A3881" i="6" s="1"/>
  <c r="D3817" i="3"/>
  <c r="A3817" i="6" s="1"/>
  <c r="D3753" i="3"/>
  <c r="A3753" i="6" s="1"/>
  <c r="D3689" i="3"/>
  <c r="A3689" i="6" s="1"/>
  <c r="D3625" i="3"/>
  <c r="A3625" i="6" s="1"/>
  <c r="D3561" i="3"/>
  <c r="A3561" i="6" s="1"/>
  <c r="D3497" i="3"/>
  <c r="A3497" i="6" s="1"/>
  <c r="E5254" i="3"/>
  <c r="E5190" i="3"/>
  <c r="E5126" i="3"/>
  <c r="E5062" i="3"/>
  <c r="E4998" i="3"/>
  <c r="E4934" i="3"/>
  <c r="E4870" i="3"/>
  <c r="E4806" i="3"/>
  <c r="E4742" i="3"/>
  <c r="E4678" i="3"/>
  <c r="E4614" i="3"/>
  <c r="E4550" i="3"/>
  <c r="E4486" i="3"/>
  <c r="E4422" i="3"/>
  <c r="E4358" i="3"/>
  <c r="E4294" i="3"/>
  <c r="E4230" i="3"/>
  <c r="E4166" i="3"/>
  <c r="E4102" i="3"/>
  <c r="E4038" i="3"/>
  <c r="E3974" i="3"/>
  <c r="E3910" i="3"/>
  <c r="E3846" i="3"/>
  <c r="E3782" i="3"/>
  <c r="E3718" i="3"/>
  <c r="E3654" i="3"/>
  <c r="E3590" i="3"/>
  <c r="E3526" i="3"/>
  <c r="E3462" i="3"/>
  <c r="D3398" i="3"/>
  <c r="A3398" i="6" s="1"/>
  <c r="D3334" i="3"/>
  <c r="A3334" i="6" s="1"/>
  <c r="D3270" i="3"/>
  <c r="A3270" i="6" s="1"/>
  <c r="D3206" i="3"/>
  <c r="A3206" i="6" s="1"/>
  <c r="D3142" i="3"/>
  <c r="A3142" i="6" s="1"/>
  <c r="D3078" i="3"/>
  <c r="A3078" i="6" s="1"/>
  <c r="D3014" i="3"/>
  <c r="A3014" i="6" s="1"/>
  <c r="D2950" i="3"/>
  <c r="A2950" i="6" s="1"/>
  <c r="D2886" i="3"/>
  <c r="A2886" i="6" s="1"/>
  <c r="D2822" i="3"/>
  <c r="A2822" i="6" s="1"/>
  <c r="D2758" i="3"/>
  <c r="A2758" i="6" s="1"/>
  <c r="D2694" i="3"/>
  <c r="A2694" i="6" s="1"/>
  <c r="D2630" i="3"/>
  <c r="A2630" i="6" s="1"/>
  <c r="D2566" i="3"/>
  <c r="A2566" i="6" s="1"/>
  <c r="E3411" i="3"/>
  <c r="E3347" i="3"/>
  <c r="E3283" i="3"/>
  <c r="E3219" i="3"/>
  <c r="E3155" i="3"/>
  <c r="E3091" i="3"/>
  <c r="E3027" i="3"/>
  <c r="E2963" i="3"/>
  <c r="E2899" i="3"/>
  <c r="E2835" i="3"/>
  <c r="E2771" i="3"/>
  <c r="E2707" i="3"/>
  <c r="E2643" i="3"/>
  <c r="E2579" i="3"/>
  <c r="D2519" i="3"/>
  <c r="A2519" i="6" s="1"/>
  <c r="D2455" i="3"/>
  <c r="A2455" i="6" s="1"/>
  <c r="D2391" i="3"/>
  <c r="A2391" i="6" s="1"/>
  <c r="D2327" i="3"/>
  <c r="A2327" i="6" s="1"/>
  <c r="D2263" i="3"/>
  <c r="A2263" i="6" s="1"/>
  <c r="D2199" i="3"/>
  <c r="A2199" i="6" s="1"/>
  <c r="D2135" i="3"/>
  <c r="A2135" i="6" s="1"/>
  <c r="D2071" i="3"/>
  <c r="A2071" i="6" s="1"/>
  <c r="D2007" i="3"/>
  <c r="A2007" i="6" s="1"/>
  <c r="D1943" i="3"/>
  <c r="A1943" i="6" s="1"/>
  <c r="D1879" i="3"/>
  <c r="A1879" i="6" s="1"/>
  <c r="D1815" i="3"/>
  <c r="A1815" i="6" s="1"/>
  <c r="D1751" i="3"/>
  <c r="A1751" i="6" s="1"/>
  <c r="D1687" i="3"/>
  <c r="A1687" i="6" s="1"/>
  <c r="E2526" i="3"/>
  <c r="E2462" i="3"/>
  <c r="E2398" i="3"/>
  <c r="E2334" i="3"/>
  <c r="E2270" i="3"/>
  <c r="E2206" i="3"/>
  <c r="E2142" i="3"/>
  <c r="E2078" i="3"/>
  <c r="E2014" i="3"/>
  <c r="E1950" i="3"/>
  <c r="E1886" i="3"/>
  <c r="E1822" i="3"/>
  <c r="E1758" i="3"/>
  <c r="E1694" i="3"/>
  <c r="E1630" i="3"/>
  <c r="D1567" i="3"/>
  <c r="A1567" i="6" s="1"/>
  <c r="D1503" i="3"/>
  <c r="A1503" i="6" s="1"/>
  <c r="D1439" i="3"/>
  <c r="A1439" i="6" s="1"/>
  <c r="D1375" i="3"/>
  <c r="A1375" i="6" s="1"/>
  <c r="D1311" i="3"/>
  <c r="A1311" i="6" s="1"/>
  <c r="D1247" i="3"/>
  <c r="A1247" i="6" s="1"/>
  <c r="D1167" i="3"/>
  <c r="A1167" i="6" s="1"/>
  <c r="E1572" i="3"/>
  <c r="E1508" i="3"/>
  <c r="E1444" i="3"/>
  <c r="E1380" i="3"/>
  <c r="E1316" i="3"/>
  <c r="E1252" i="3"/>
  <c r="D1177" i="3"/>
  <c r="A1177" i="6" s="1"/>
  <c r="E1152" i="3"/>
  <c r="D1088" i="3"/>
  <c r="A1088" i="6" s="1"/>
  <c r="D1024" i="3"/>
  <c r="A1024" i="6" s="1"/>
  <c r="D960" i="3"/>
  <c r="A960" i="6" s="1"/>
  <c r="D896" i="3"/>
  <c r="A896" i="6" s="1"/>
  <c r="D832" i="3"/>
  <c r="A832" i="6" s="1"/>
  <c r="D763" i="3"/>
  <c r="A763" i="6" s="1"/>
  <c r="E1103" i="3"/>
  <c r="E1039" i="3"/>
  <c r="E975" i="3"/>
  <c r="E911" i="3"/>
  <c r="E847" i="3"/>
  <c r="E783" i="3"/>
  <c r="E746" i="3"/>
  <c r="D682" i="3"/>
  <c r="A682" i="6" s="1"/>
  <c r="D618" i="3"/>
  <c r="A618" i="6" s="1"/>
  <c r="D554" i="3"/>
  <c r="A554" i="6" s="1"/>
  <c r="E665" i="3"/>
  <c r="E601" i="3"/>
  <c r="D536" i="3"/>
  <c r="A536" i="6" s="1"/>
  <c r="D472" i="3"/>
  <c r="A472" i="6" s="1"/>
  <c r="D408" i="3"/>
  <c r="A408" i="6" s="1"/>
  <c r="D344" i="3"/>
  <c r="A344" i="6" s="1"/>
  <c r="E505" i="3"/>
  <c r="E441" i="3"/>
  <c r="E377" i="3"/>
  <c r="E322" i="3"/>
  <c r="D258" i="3"/>
  <c r="A258" i="6" s="1"/>
  <c r="E293" i="3"/>
  <c r="E229" i="3"/>
  <c r="D164" i="3"/>
  <c r="A164" i="6" s="1"/>
  <c r="E211" i="3"/>
  <c r="E147" i="3"/>
  <c r="D8655" i="3"/>
  <c r="A8655" i="6" s="1"/>
  <c r="D8531" i="3"/>
  <c r="A8531" i="6" s="1"/>
  <c r="D8467" i="3"/>
  <c r="A8467" i="6" s="1"/>
  <c r="D8403" i="3"/>
  <c r="A8403" i="6" s="1"/>
  <c r="D8339" i="3"/>
  <c r="A8339" i="6" s="1"/>
  <c r="D8275" i="3"/>
  <c r="A8275" i="6" s="1"/>
  <c r="D8211" i="3"/>
  <c r="A8211" i="6" s="1"/>
  <c r="D8147" i="3"/>
  <c r="A8147" i="6" s="1"/>
  <c r="D8083" i="3"/>
  <c r="A8083" i="6" s="1"/>
  <c r="D8019" i="3"/>
  <c r="A8019" i="6" s="1"/>
  <c r="D7955" i="3"/>
  <c r="A7955" i="6" s="1"/>
  <c r="D7891" i="3"/>
  <c r="A7891" i="6" s="1"/>
  <c r="D7827" i="3"/>
  <c r="A7827" i="6" s="1"/>
  <c r="D7763" i="3"/>
  <c r="A7763" i="6" s="1"/>
  <c r="D7699" i="3"/>
  <c r="A7699" i="6" s="1"/>
  <c r="D7635" i="3"/>
  <c r="A7635" i="6" s="1"/>
  <c r="D7571" i="3"/>
  <c r="A7571" i="6" s="1"/>
  <c r="D7507" i="3"/>
  <c r="A7507" i="6" s="1"/>
  <c r="D7443" i="3"/>
  <c r="A7443" i="6" s="1"/>
  <c r="D7379" i="3"/>
  <c r="A7379" i="6" s="1"/>
  <c r="D7315" i="3"/>
  <c r="A7315" i="6" s="1"/>
  <c r="D7251" i="3"/>
  <c r="A7251" i="6" s="1"/>
  <c r="D7187" i="3"/>
  <c r="A7187" i="6" s="1"/>
  <c r="D7120" i="3"/>
  <c r="A7120" i="6" s="1"/>
  <c r="E8730" i="3"/>
  <c r="E8666" i="3"/>
  <c r="E8602" i="3"/>
  <c r="E8538" i="3"/>
  <c r="E8474" i="3"/>
  <c r="E8410" i="3"/>
  <c r="E8346" i="3"/>
  <c r="E8282" i="3"/>
  <c r="E8218" i="3"/>
  <c r="E8154" i="3"/>
  <c r="E8090" i="3"/>
  <c r="E8026" i="3"/>
  <c r="E7962" i="3"/>
  <c r="E7898" i="3"/>
  <c r="E7834" i="3"/>
  <c r="E7770" i="3"/>
  <c r="E7706" i="3"/>
  <c r="E7642" i="3"/>
  <c r="E7578" i="3"/>
  <c r="E7514" i="3"/>
  <c r="E7450" i="3"/>
  <c r="E7386" i="3"/>
  <c r="E7322" i="3"/>
  <c r="E7258" i="3"/>
  <c r="E7194" i="3"/>
  <c r="E7130" i="3"/>
  <c r="D7044" i="3"/>
  <c r="A7044" i="6" s="1"/>
  <c r="D6980" i="3"/>
  <c r="A6980" i="6" s="1"/>
  <c r="D6916" i="3"/>
  <c r="A6916" i="6" s="1"/>
  <c r="D6852" i="3"/>
  <c r="A6852" i="6" s="1"/>
  <c r="D6788" i="3"/>
  <c r="A6788" i="6" s="1"/>
  <c r="D6724" i="3"/>
  <c r="A6724" i="6" s="1"/>
  <c r="D6660" i="3"/>
  <c r="A6660" i="6" s="1"/>
  <c r="D6596" i="3"/>
  <c r="A6596" i="6" s="1"/>
  <c r="D6532" i="3"/>
  <c r="A6532" i="6" s="1"/>
  <c r="D6468" i="3"/>
  <c r="A6468" i="6" s="1"/>
  <c r="D6404" i="3"/>
  <c r="A6404" i="6" s="1"/>
  <c r="D6340" i="3"/>
  <c r="A6340" i="6" s="1"/>
  <c r="D6276" i="3"/>
  <c r="A6276" i="6" s="1"/>
  <c r="D6212" i="3"/>
  <c r="A6212" i="6" s="1"/>
  <c r="D6148" i="3"/>
  <c r="A6148" i="6" s="1"/>
  <c r="E8707" i="3"/>
  <c r="E8579" i="3"/>
  <c r="E8705" i="3"/>
  <c r="E8641" i="3"/>
  <c r="E8577" i="3"/>
  <c r="E8513" i="3"/>
  <c r="E8449" i="3"/>
  <c r="E8385" i="3"/>
  <c r="E8321" i="3"/>
  <c r="E8257" i="3"/>
  <c r="E8193" i="3"/>
  <c r="E8129" i="3"/>
  <c r="E8065" i="3"/>
  <c r="E8001" i="3"/>
  <c r="E7937" i="3"/>
  <c r="E7873" i="3"/>
  <c r="E7809" i="3"/>
  <c r="E7745" i="3"/>
  <c r="E7681" i="3"/>
  <c r="E7617" i="3"/>
  <c r="E7553" i="3"/>
  <c r="E7489" i="3"/>
  <c r="E7425" i="3"/>
  <c r="E7361" i="3"/>
  <c r="E7297" i="3"/>
  <c r="E7233" i="3"/>
  <c r="E7169" i="3"/>
  <c r="E7084" i="3"/>
  <c r="D8712" i="3"/>
  <c r="A8712" i="6" s="1"/>
  <c r="D8648" i="3"/>
  <c r="A8648" i="6" s="1"/>
  <c r="D8584" i="3"/>
  <c r="A8584" i="6" s="1"/>
  <c r="D8520" i="3"/>
  <c r="A8520" i="6" s="1"/>
  <c r="D8456" i="3"/>
  <c r="A8456" i="6" s="1"/>
  <c r="D8392" i="3"/>
  <c r="A8392" i="6" s="1"/>
  <c r="D8328" i="3"/>
  <c r="A8328" i="6" s="1"/>
  <c r="D8264" i="3"/>
  <c r="A8264" i="6" s="1"/>
  <c r="D8200" i="3"/>
  <c r="A8200" i="6" s="1"/>
  <c r="D8136" i="3"/>
  <c r="A8136" i="6" s="1"/>
  <c r="D8072" i="3"/>
  <c r="A8072" i="6" s="1"/>
  <c r="D8008" i="3"/>
  <c r="A8008" i="6" s="1"/>
  <c r="D7944" i="3"/>
  <c r="A7944" i="6" s="1"/>
  <c r="D7880" i="3"/>
  <c r="A7880" i="6" s="1"/>
  <c r="D7816" i="3"/>
  <c r="A7816" i="6" s="1"/>
  <c r="D7752" i="3"/>
  <c r="A7752" i="6" s="1"/>
  <c r="D7688" i="3"/>
  <c r="A7688" i="6" s="1"/>
  <c r="D7624" i="3"/>
  <c r="A7624" i="6" s="1"/>
  <c r="D7560" i="3"/>
  <c r="A7560" i="6" s="1"/>
  <c r="D7496" i="3"/>
  <c r="A7496" i="6" s="1"/>
  <c r="D7432" i="3"/>
  <c r="A7432" i="6" s="1"/>
  <c r="D7368" i="3"/>
  <c r="A7368" i="6" s="1"/>
  <c r="D7304" i="3"/>
  <c r="A7304" i="6" s="1"/>
  <c r="D7240" i="3"/>
  <c r="A7240" i="6" s="1"/>
  <c r="D7176" i="3"/>
  <c r="A7176" i="6" s="1"/>
  <c r="E7098" i="3"/>
  <c r="E7026" i="3"/>
  <c r="E6962" i="3"/>
  <c r="E6898" i="3"/>
  <c r="E6834" i="3"/>
  <c r="E6770" i="3"/>
  <c r="E6706" i="3"/>
  <c r="E6642" i="3"/>
  <c r="E6578" i="3"/>
  <c r="E6514" i="3"/>
  <c r="E6450" i="3"/>
  <c r="E6386" i="3"/>
  <c r="E6322" i="3"/>
  <c r="E6258" i="3"/>
  <c r="E6194" i="3"/>
  <c r="E6130" i="3"/>
  <c r="E6066" i="3"/>
  <c r="E6002" i="3"/>
  <c r="E5938" i="3"/>
  <c r="E5874" i="3"/>
  <c r="E5810" i="3"/>
  <c r="E5746" i="3"/>
  <c r="E5682" i="3"/>
  <c r="E5618" i="3"/>
  <c r="E5554" i="3"/>
  <c r="E5490" i="3"/>
  <c r="E5426" i="3"/>
  <c r="E5362" i="3"/>
  <c r="E5298" i="3"/>
  <c r="D7097" i="3"/>
  <c r="A7097" i="6" s="1"/>
  <c r="D7033" i="3"/>
  <c r="A7033" i="6" s="1"/>
  <c r="D6969" i="3"/>
  <c r="A6969" i="6" s="1"/>
  <c r="D6905" i="3"/>
  <c r="A6905" i="6" s="1"/>
  <c r="D6841" i="3"/>
  <c r="A6841" i="6" s="1"/>
  <c r="D6777" i="3"/>
  <c r="A6777" i="6" s="1"/>
  <c r="D6713" i="3"/>
  <c r="A6713" i="6" s="1"/>
  <c r="D6649" i="3"/>
  <c r="A6649" i="6" s="1"/>
  <c r="D6585" i="3"/>
  <c r="A6585" i="6" s="1"/>
  <c r="D6521" i="3"/>
  <c r="A6521" i="6" s="1"/>
  <c r="D6457" i="3"/>
  <c r="A6457" i="6" s="1"/>
  <c r="D6393" i="3"/>
  <c r="A6393" i="6" s="1"/>
  <c r="D6329" i="3"/>
  <c r="A6329" i="6" s="1"/>
  <c r="D6265" i="3"/>
  <c r="A6265" i="6" s="1"/>
  <c r="D6201" i="3"/>
  <c r="A6201" i="6" s="1"/>
  <c r="D6137" i="3"/>
  <c r="A6137" i="6" s="1"/>
  <c r="D6073" i="3"/>
  <c r="A6073" i="6" s="1"/>
  <c r="D6009" i="3"/>
  <c r="A6009" i="6" s="1"/>
  <c r="D5945" i="3"/>
  <c r="A5945" i="6" s="1"/>
  <c r="D5881" i="3"/>
  <c r="A5881" i="6" s="1"/>
  <c r="D5817" i="3"/>
  <c r="A5817" i="6" s="1"/>
  <c r="D5753" i="3"/>
  <c r="A5753" i="6" s="1"/>
  <c r="D5689" i="3"/>
  <c r="A5689" i="6" s="1"/>
  <c r="D5625" i="3"/>
  <c r="A5625" i="6" s="1"/>
  <c r="D5561" i="3"/>
  <c r="A5561" i="6" s="1"/>
  <c r="D5497" i="3"/>
  <c r="A5497" i="6" s="1"/>
  <c r="D5433" i="3"/>
  <c r="A5433" i="6" s="1"/>
  <c r="D5369" i="3"/>
  <c r="A5369" i="6" s="1"/>
  <c r="D5305" i="3"/>
  <c r="A5305" i="6" s="1"/>
  <c r="E5241" i="3"/>
  <c r="E5177" i="3"/>
  <c r="E5113" i="3"/>
  <c r="E5049" i="3"/>
  <c r="E4985" i="3"/>
  <c r="E4921" i="3"/>
  <c r="E4857" i="3"/>
  <c r="E4793" i="3"/>
  <c r="E4729" i="3"/>
  <c r="E4665" i="3"/>
  <c r="E4601" i="3"/>
  <c r="E4537" i="3"/>
  <c r="E4473" i="3"/>
  <c r="E4409" i="3"/>
  <c r="E4345" i="3"/>
  <c r="E4281" i="3"/>
  <c r="E4217" i="3"/>
  <c r="E4153" i="3"/>
  <c r="E4089" i="3"/>
  <c r="E4025" i="3"/>
  <c r="E3961" i="3"/>
  <c r="E3897" i="3"/>
  <c r="E3833" i="3"/>
  <c r="E3769" i="3"/>
  <c r="E3705" i="3"/>
  <c r="E3641" i="3"/>
  <c r="E3577" i="3"/>
  <c r="E3513" i="3"/>
  <c r="E3449" i="3"/>
  <c r="D5206" i="3"/>
  <c r="A5206" i="6" s="1"/>
  <c r="D5142" i="3"/>
  <c r="A5142" i="6" s="1"/>
  <c r="D5078" i="3"/>
  <c r="A5078" i="6" s="1"/>
  <c r="D5014" i="3"/>
  <c r="A5014" i="6" s="1"/>
  <c r="D4950" i="3"/>
  <c r="A4950" i="6" s="1"/>
  <c r="D4886" i="3"/>
  <c r="A4886" i="6" s="1"/>
  <c r="D4822" i="3"/>
  <c r="A4822" i="6" s="1"/>
  <c r="D4758" i="3"/>
  <c r="A4758" i="6" s="1"/>
  <c r="D4694" i="3"/>
  <c r="A4694" i="6" s="1"/>
  <c r="D4630" i="3"/>
  <c r="A4630" i="6" s="1"/>
  <c r="D4566" i="3"/>
  <c r="A4566" i="6" s="1"/>
  <c r="D4502" i="3"/>
  <c r="A4502" i="6" s="1"/>
  <c r="D4438" i="3"/>
  <c r="A4438" i="6" s="1"/>
  <c r="D4374" i="3"/>
  <c r="A4374" i="6" s="1"/>
  <c r="D4310" i="3"/>
  <c r="A4310" i="6" s="1"/>
  <c r="D4246" i="3"/>
  <c r="A4246" i="6" s="1"/>
  <c r="D4182" i="3"/>
  <c r="A4182" i="6" s="1"/>
  <c r="D4118" i="3"/>
  <c r="A4118" i="6" s="1"/>
  <c r="D4054" i="3"/>
  <c r="A4054" i="6" s="1"/>
  <c r="D3990" i="3"/>
  <c r="A3990" i="6" s="1"/>
  <c r="D3926" i="3"/>
  <c r="A3926" i="6" s="1"/>
  <c r="D3862" i="3"/>
  <c r="A3862" i="6" s="1"/>
  <c r="D3798" i="3"/>
  <c r="A3798" i="6" s="1"/>
  <c r="D3734" i="3"/>
  <c r="A3734" i="6" s="1"/>
  <c r="D3670" i="3"/>
  <c r="A3670" i="6" s="1"/>
  <c r="D3606" i="3"/>
  <c r="A3606" i="6" s="1"/>
  <c r="D3542" i="3"/>
  <c r="A3542" i="6" s="1"/>
  <c r="D3478" i="3"/>
  <c r="A3478" i="6" s="1"/>
  <c r="E3414" i="3"/>
  <c r="E3350" i="3"/>
  <c r="E3286" i="3"/>
  <c r="E3222" i="3"/>
  <c r="E3158" i="3"/>
  <c r="E3094" i="3"/>
  <c r="E3030" i="3"/>
  <c r="E2966" i="3"/>
  <c r="E2902" i="3"/>
  <c r="E2838" i="3"/>
  <c r="E2774" i="3"/>
  <c r="E2710" i="3"/>
  <c r="E2646" i="3"/>
  <c r="E2582" i="3"/>
  <c r="D3427" i="3"/>
  <c r="A3427" i="6" s="1"/>
  <c r="D3363" i="3"/>
  <c r="A3363" i="6" s="1"/>
  <c r="D3299" i="3"/>
  <c r="A3299" i="6" s="1"/>
  <c r="D3235" i="3"/>
  <c r="A3235" i="6" s="1"/>
  <c r="D3171" i="3"/>
  <c r="A3171" i="6" s="1"/>
  <c r="D3107" i="3"/>
  <c r="A3107" i="6" s="1"/>
  <c r="D3043" i="3"/>
  <c r="A3043" i="6" s="1"/>
  <c r="D2979" i="3"/>
  <c r="A2979" i="6" s="1"/>
  <c r="D2915" i="3"/>
  <c r="A2915" i="6" s="1"/>
  <c r="D2851" i="3"/>
  <c r="A2851" i="6" s="1"/>
  <c r="D2787" i="3"/>
  <c r="A2787" i="6" s="1"/>
  <c r="D2723" i="3"/>
  <c r="A2723" i="6" s="1"/>
  <c r="D2659" i="3"/>
  <c r="A2659" i="6" s="1"/>
  <c r="D2595" i="3"/>
  <c r="A2595" i="6" s="1"/>
  <c r="D2535" i="3"/>
  <c r="A2535" i="6" s="1"/>
  <c r="E2471" i="3"/>
  <c r="E2407" i="3"/>
  <c r="E2343" i="3"/>
  <c r="E2279" i="3"/>
  <c r="E2215" i="3"/>
  <c r="E2151" i="3"/>
  <c r="E2087" i="3"/>
  <c r="E2023" i="3"/>
  <c r="E1959" i="3"/>
  <c r="E1895" i="3"/>
  <c r="E1831" i="3"/>
  <c r="E1767" i="3"/>
  <c r="E1703" i="3"/>
  <c r="E1639" i="3"/>
  <c r="D2478" i="3"/>
  <c r="A2478" i="6" s="1"/>
  <c r="D2414" i="3"/>
  <c r="A2414" i="6" s="1"/>
  <c r="D2350" i="3"/>
  <c r="A2350" i="6" s="1"/>
  <c r="D2286" i="3"/>
  <c r="A2286" i="6" s="1"/>
  <c r="D2222" i="3"/>
  <c r="A2222" i="6" s="1"/>
  <c r="D2158" i="3"/>
  <c r="A2158" i="6" s="1"/>
  <c r="D2094" i="3"/>
  <c r="A2094" i="6" s="1"/>
  <c r="D2030" i="3"/>
  <c r="A2030" i="6" s="1"/>
  <c r="D1966" i="3"/>
  <c r="A1966" i="6" s="1"/>
  <c r="D1902" i="3"/>
  <c r="A1902" i="6" s="1"/>
  <c r="D1838" i="3"/>
  <c r="A1838" i="6" s="1"/>
  <c r="D1774" i="3"/>
  <c r="A1774" i="6" s="1"/>
  <c r="D1710" i="3"/>
  <c r="A1710" i="6" s="1"/>
  <c r="D1646" i="3"/>
  <c r="A1646" i="6" s="1"/>
  <c r="E1583" i="3"/>
  <c r="E1519" i="3"/>
  <c r="E1455" i="3"/>
  <c r="E1391" i="3"/>
  <c r="E1327" i="3"/>
  <c r="E1263" i="3"/>
  <c r="E1199" i="3"/>
  <c r="D1588" i="3"/>
  <c r="A1588" i="6" s="1"/>
  <c r="D1524" i="3"/>
  <c r="A1524" i="6" s="1"/>
  <c r="D1460" i="3"/>
  <c r="A1460" i="6" s="1"/>
  <c r="D1396" i="3"/>
  <c r="A1396" i="6" s="1"/>
  <c r="D1332" i="3"/>
  <c r="A1332" i="6" s="1"/>
  <c r="D1268" i="3"/>
  <c r="A1268" i="6" s="1"/>
  <c r="D1204" i="3"/>
  <c r="A1204" i="6" s="1"/>
  <c r="D1168" i="3"/>
  <c r="A1168" i="6" s="1"/>
  <c r="E1104" i="3"/>
  <c r="E1040" i="3"/>
  <c r="E976" i="3"/>
  <c r="E912" i="3"/>
  <c r="E848" i="3"/>
  <c r="E784" i="3"/>
  <c r="D1119" i="3"/>
  <c r="A1119" i="6" s="1"/>
  <c r="D1055" i="3"/>
  <c r="A1055" i="6" s="1"/>
  <c r="D991" i="3"/>
  <c r="A991" i="6" s="1"/>
  <c r="D927" i="3"/>
  <c r="A927" i="6" s="1"/>
  <c r="D863" i="3"/>
  <c r="A863" i="6" s="1"/>
  <c r="D799" i="3"/>
  <c r="A799" i="6" s="1"/>
  <c r="D762" i="3"/>
  <c r="A762" i="6" s="1"/>
  <c r="E698" i="3"/>
  <c r="E634" i="3"/>
  <c r="E570" i="3"/>
  <c r="D681" i="3"/>
  <c r="A681" i="6" s="1"/>
  <c r="D617" i="3"/>
  <c r="A617" i="6" s="1"/>
  <c r="D553" i="3"/>
  <c r="A553" i="6" s="1"/>
  <c r="E488" i="3"/>
  <c r="E424" i="3"/>
  <c r="E360" i="3"/>
  <c r="D521" i="3"/>
  <c r="A521" i="6" s="1"/>
  <c r="D457" i="3"/>
  <c r="A457" i="6" s="1"/>
  <c r="D393" i="3"/>
  <c r="A393" i="6" s="1"/>
  <c r="D329" i="3"/>
  <c r="A329" i="6" s="1"/>
  <c r="E274" i="3"/>
  <c r="D309" i="3"/>
  <c r="A309" i="6" s="1"/>
  <c r="D245" i="3"/>
  <c r="A245" i="6" s="1"/>
  <c r="E180" i="3"/>
  <c r="D195" i="3"/>
  <c r="A195" i="6" s="1"/>
  <c r="E8623" i="3"/>
  <c r="E8515" i="3"/>
  <c r="E8451" i="3"/>
  <c r="E8387" i="3"/>
  <c r="E8323" i="3"/>
  <c r="E8259" i="3"/>
  <c r="E8195" i="3"/>
  <c r="E8131" i="3"/>
  <c r="E8067" i="3"/>
  <c r="E8003" i="3"/>
  <c r="E7939" i="3"/>
  <c r="E7875" i="3"/>
  <c r="E7811" i="3"/>
  <c r="E7747" i="3"/>
  <c r="E7683" i="3"/>
  <c r="E7619" i="3"/>
  <c r="E7555" i="3"/>
  <c r="E7491" i="3"/>
  <c r="E7427" i="3"/>
  <c r="E7363" i="3"/>
  <c r="E7299" i="3"/>
  <c r="E7235" i="3"/>
  <c r="E7171" i="3"/>
  <c r="E7088" i="3"/>
  <c r="D8714" i="3"/>
  <c r="A8714" i="6" s="1"/>
  <c r="D8650" i="3"/>
  <c r="A8650" i="6" s="1"/>
  <c r="D8586" i="3"/>
  <c r="A8586" i="6" s="1"/>
  <c r="D8522" i="3"/>
  <c r="A8522" i="6" s="1"/>
  <c r="D8458" i="3"/>
  <c r="A8458" i="6" s="1"/>
  <c r="D8394" i="3"/>
  <c r="A8394" i="6" s="1"/>
  <c r="D8330" i="3"/>
  <c r="A8330" i="6" s="1"/>
  <c r="D8266" i="3"/>
  <c r="A8266" i="6" s="1"/>
  <c r="D8202" i="3"/>
  <c r="A8202" i="6" s="1"/>
  <c r="D8138" i="3"/>
  <c r="A8138" i="6" s="1"/>
  <c r="D8074" i="3"/>
  <c r="A8074" i="6" s="1"/>
  <c r="D8010" i="3"/>
  <c r="A8010" i="6" s="1"/>
  <c r="D7946" i="3"/>
  <c r="A7946" i="6" s="1"/>
  <c r="D7882" i="3"/>
  <c r="A7882" i="6" s="1"/>
  <c r="D7818" i="3"/>
  <c r="A7818" i="6" s="1"/>
  <c r="D7754" i="3"/>
  <c r="A7754" i="6" s="1"/>
  <c r="D7690" i="3"/>
  <c r="A7690" i="6" s="1"/>
  <c r="D7626" i="3"/>
  <c r="A7626" i="6" s="1"/>
  <c r="D7562" i="3"/>
  <c r="A7562" i="6" s="1"/>
  <c r="D7498" i="3"/>
  <c r="A7498" i="6" s="1"/>
  <c r="D7434" i="3"/>
  <c r="A7434" i="6" s="1"/>
  <c r="D7370" i="3"/>
  <c r="A7370" i="6" s="1"/>
  <c r="D7306" i="3"/>
  <c r="A7306" i="6" s="1"/>
  <c r="D7242" i="3"/>
  <c r="A7242" i="6" s="1"/>
  <c r="D7178" i="3"/>
  <c r="A7178" i="6" s="1"/>
  <c r="E7102" i="3"/>
  <c r="E7028" i="3"/>
  <c r="E6964" i="3"/>
  <c r="E6900" i="3"/>
  <c r="E6836" i="3"/>
  <c r="E6772" i="3"/>
  <c r="E6708" i="3"/>
  <c r="E6644" i="3"/>
  <c r="E6580" i="3"/>
  <c r="E6516" i="3"/>
  <c r="E6452" i="3"/>
  <c r="E6388" i="3"/>
  <c r="E6324" i="3"/>
  <c r="E6260" i="3"/>
  <c r="E6196" i="3"/>
  <c r="E6132" i="3"/>
  <c r="E6068" i="3"/>
  <c r="E6004" i="3"/>
  <c r="D8667" i="3"/>
  <c r="A8667" i="6" s="1"/>
  <c r="D8539" i="3"/>
  <c r="A8539" i="6" s="1"/>
  <c r="D8685" i="3"/>
  <c r="A8685" i="6" s="1"/>
  <c r="D8621" i="3"/>
  <c r="A8621" i="6" s="1"/>
  <c r="D8557" i="3"/>
  <c r="A8557" i="6" s="1"/>
  <c r="D8493" i="3"/>
  <c r="A8493" i="6" s="1"/>
  <c r="D8429" i="3"/>
  <c r="A8429" i="6" s="1"/>
  <c r="D8365" i="3"/>
  <c r="A8365" i="6" s="1"/>
  <c r="D8301" i="3"/>
  <c r="A8301" i="6" s="1"/>
  <c r="D8237" i="3"/>
  <c r="A8237" i="6" s="1"/>
  <c r="D8173" i="3"/>
  <c r="A8173" i="6" s="1"/>
  <c r="D8109" i="3"/>
  <c r="A8109" i="6" s="1"/>
  <c r="D8045" i="3"/>
  <c r="A8045" i="6" s="1"/>
  <c r="D7981" i="3"/>
  <c r="A7981" i="6" s="1"/>
  <c r="D7917" i="3"/>
  <c r="A7917" i="6" s="1"/>
  <c r="D7853" i="3"/>
  <c r="A7853" i="6" s="1"/>
  <c r="D7789" i="3"/>
  <c r="A7789" i="6" s="1"/>
  <c r="D7725" i="3"/>
  <c r="A7725" i="6" s="1"/>
  <c r="D7661" i="3"/>
  <c r="A7661" i="6" s="1"/>
  <c r="D7597" i="3"/>
  <c r="A7597" i="6" s="1"/>
  <c r="D7533" i="3"/>
  <c r="A7533" i="6" s="1"/>
  <c r="D7469" i="3"/>
  <c r="A7469" i="6" s="1"/>
  <c r="D7405" i="3"/>
  <c r="A7405" i="6" s="1"/>
  <c r="D7341" i="3"/>
  <c r="A7341" i="6" s="1"/>
  <c r="D7277" i="3"/>
  <c r="A7277" i="6" s="1"/>
  <c r="D7213" i="3"/>
  <c r="A7213" i="6" s="1"/>
  <c r="D7149" i="3"/>
  <c r="A7149" i="6" s="1"/>
  <c r="E8756" i="3"/>
  <c r="E8692" i="3"/>
  <c r="E8628" i="3"/>
  <c r="E8564" i="3"/>
  <c r="E8500" i="3"/>
  <c r="E8436" i="3"/>
  <c r="E8372" i="3"/>
  <c r="E8308" i="3"/>
  <c r="E8244" i="3"/>
  <c r="E8180" i="3"/>
  <c r="E8116" i="3"/>
  <c r="E8052" i="3"/>
  <c r="E7988" i="3"/>
  <c r="E7924" i="3"/>
  <c r="E7860" i="3"/>
  <c r="E7796" i="3"/>
  <c r="E7732" i="3"/>
  <c r="E7668" i="3"/>
  <c r="E7604" i="3"/>
  <c r="E7540" i="3"/>
  <c r="E7476" i="3"/>
  <c r="E7412" i="3"/>
  <c r="E7348" i="3"/>
  <c r="E7284" i="3"/>
  <c r="E7220" i="3"/>
  <c r="E7156" i="3"/>
  <c r="D7070" i="3"/>
  <c r="A7070" i="6" s="1"/>
  <c r="D7006" i="3"/>
  <c r="A7006" i="6" s="1"/>
  <c r="D6942" i="3"/>
  <c r="A6942" i="6" s="1"/>
  <c r="D6878" i="3"/>
  <c r="A6878" i="6" s="1"/>
  <c r="D6814" i="3"/>
  <c r="A6814" i="6" s="1"/>
  <c r="D6750" i="3"/>
  <c r="A6750" i="6" s="1"/>
  <c r="D6686" i="3"/>
  <c r="A6686" i="6" s="1"/>
  <c r="D6622" i="3"/>
  <c r="A6622" i="6" s="1"/>
  <c r="D6558" i="3"/>
  <c r="A6558" i="6" s="1"/>
  <c r="D6494" i="3"/>
  <c r="A6494" i="6" s="1"/>
  <c r="D6430" i="3"/>
  <c r="A6430" i="6" s="1"/>
  <c r="D6366" i="3"/>
  <c r="A6366" i="6" s="1"/>
  <c r="D6302" i="3"/>
  <c r="A6302" i="6" s="1"/>
  <c r="D6238" i="3"/>
  <c r="A6238" i="6" s="1"/>
  <c r="D6174" i="3"/>
  <c r="A6174" i="6" s="1"/>
  <c r="D6110" i="3"/>
  <c r="A6110" i="6" s="1"/>
  <c r="D6046" i="3"/>
  <c r="A6046" i="6" s="1"/>
  <c r="D5982" i="3"/>
  <c r="A5982" i="6" s="1"/>
  <c r="D5918" i="3"/>
  <c r="A5918" i="6" s="1"/>
  <c r="D5854" i="3"/>
  <c r="A5854" i="6" s="1"/>
  <c r="D5790" i="3"/>
  <c r="A5790" i="6" s="1"/>
  <c r="D5726" i="3"/>
  <c r="A5726" i="6" s="1"/>
  <c r="D5662" i="3"/>
  <c r="A5662" i="6" s="1"/>
  <c r="D5598" i="3"/>
  <c r="A5598" i="6" s="1"/>
  <c r="D5534" i="3"/>
  <c r="A5534" i="6" s="1"/>
  <c r="D5470" i="3"/>
  <c r="A5470" i="6" s="1"/>
  <c r="D5406" i="3"/>
  <c r="A5406" i="6" s="1"/>
  <c r="D5342" i="3"/>
  <c r="A5342" i="6" s="1"/>
  <c r="D5278" i="3"/>
  <c r="A5278" i="6" s="1"/>
  <c r="E7077" i="3"/>
  <c r="E7013" i="3"/>
  <c r="E6949" i="3"/>
  <c r="E6885" i="3"/>
  <c r="E6821" i="3"/>
  <c r="E6757" i="3"/>
  <c r="E6693" i="3"/>
  <c r="E6629" i="3"/>
  <c r="E6565" i="3"/>
  <c r="E6501" i="3"/>
  <c r="E6437" i="3"/>
  <c r="E6373" i="3"/>
  <c r="E6309" i="3"/>
  <c r="E6245" i="3"/>
  <c r="E6181" i="3"/>
  <c r="E6117" i="3"/>
  <c r="E6053" i="3"/>
  <c r="E5989" i="3"/>
  <c r="E5925" i="3"/>
  <c r="E5861" i="3"/>
  <c r="E5797" i="3"/>
  <c r="E5733" i="3"/>
  <c r="E5669" i="3"/>
  <c r="E5605" i="3"/>
  <c r="E5541" i="3"/>
  <c r="E5477" i="3"/>
  <c r="E5413" i="3"/>
  <c r="E5349" i="3"/>
  <c r="E5285" i="3"/>
  <c r="D5221" i="3"/>
  <c r="A5221" i="6" s="1"/>
  <c r="D5157" i="3"/>
  <c r="A5157" i="6" s="1"/>
  <c r="D5093" i="3"/>
  <c r="A5093" i="6" s="1"/>
  <c r="D5029" i="3"/>
  <c r="A5029" i="6" s="1"/>
  <c r="D4965" i="3"/>
  <c r="A4965" i="6" s="1"/>
  <c r="D4901" i="3"/>
  <c r="A4901" i="6" s="1"/>
  <c r="D4837" i="3"/>
  <c r="A4837" i="6" s="1"/>
  <c r="D4773" i="3"/>
  <c r="A4773" i="6" s="1"/>
  <c r="D4709" i="3"/>
  <c r="A4709" i="6" s="1"/>
  <c r="D4645" i="3"/>
  <c r="A4645" i="6" s="1"/>
  <c r="D4581" i="3"/>
  <c r="A4581" i="6" s="1"/>
  <c r="D4517" i="3"/>
  <c r="A4517" i="6" s="1"/>
  <c r="D4453" i="3"/>
  <c r="A4453" i="6" s="1"/>
  <c r="D4389" i="3"/>
  <c r="A4389" i="6" s="1"/>
  <c r="D4325" i="3"/>
  <c r="A4325" i="6" s="1"/>
  <c r="D4261" i="3"/>
  <c r="A4261" i="6" s="1"/>
  <c r="D4197" i="3"/>
  <c r="A4197" i="6" s="1"/>
  <c r="D4133" i="3"/>
  <c r="A4133" i="6" s="1"/>
  <c r="D4069" i="3"/>
  <c r="A4069" i="6" s="1"/>
  <c r="D4005" i="3"/>
  <c r="A4005" i="6" s="1"/>
  <c r="D3941" i="3"/>
  <c r="A3941" i="6" s="1"/>
  <c r="D3877" i="3"/>
  <c r="A3877" i="6" s="1"/>
  <c r="D3813" i="3"/>
  <c r="A3813" i="6" s="1"/>
  <c r="D3749" i="3"/>
  <c r="A3749" i="6" s="1"/>
  <c r="D3685" i="3"/>
  <c r="A3685" i="6" s="1"/>
  <c r="D3621" i="3"/>
  <c r="A3621" i="6" s="1"/>
  <c r="D3557" i="3"/>
  <c r="A3557" i="6" s="1"/>
  <c r="D3493" i="3"/>
  <c r="A3493" i="6" s="1"/>
  <c r="E5250" i="3"/>
  <c r="E5186" i="3"/>
  <c r="E5122" i="3"/>
  <c r="E5058" i="3"/>
  <c r="E4994" i="3"/>
  <c r="E4930" i="3"/>
  <c r="E4866" i="3"/>
  <c r="E4802" i="3"/>
  <c r="E4738" i="3"/>
  <c r="E4674" i="3"/>
  <c r="E4610" i="3"/>
  <c r="E4546" i="3"/>
  <c r="E4482" i="3"/>
  <c r="E4418" i="3"/>
  <c r="E4354" i="3"/>
  <c r="E4290" i="3"/>
  <c r="E4226" i="3"/>
  <c r="E4162" i="3"/>
  <c r="E4098" i="3"/>
  <c r="E4034" i="3"/>
  <c r="E3970" i="3"/>
  <c r="E3906" i="3"/>
  <c r="E3842" i="3"/>
  <c r="E3778" i="3"/>
  <c r="E3714" i="3"/>
  <c r="E3650" i="3"/>
  <c r="E3586" i="3"/>
  <c r="E3522" i="3"/>
  <c r="E3458" i="3"/>
  <c r="D3394" i="3"/>
  <c r="A3394" i="6" s="1"/>
  <c r="D3330" i="3"/>
  <c r="A3330" i="6" s="1"/>
  <c r="D3266" i="3"/>
  <c r="A3266" i="6" s="1"/>
  <c r="D3202" i="3"/>
  <c r="A3202" i="6" s="1"/>
  <c r="D3138" i="3"/>
  <c r="A3138" i="6" s="1"/>
  <c r="D3074" i="3"/>
  <c r="A3074" i="6" s="1"/>
  <c r="D3010" i="3"/>
  <c r="A3010" i="6" s="1"/>
  <c r="D2946" i="3"/>
  <c r="A2946" i="6" s="1"/>
  <c r="D2882" i="3"/>
  <c r="A2882" i="6" s="1"/>
  <c r="D2818" i="3"/>
  <c r="A2818" i="6" s="1"/>
  <c r="D2754" i="3"/>
  <c r="A2754" i="6" s="1"/>
  <c r="D2690" i="3"/>
  <c r="A2690" i="6" s="1"/>
  <c r="D2626" i="3"/>
  <c r="A2626" i="6" s="1"/>
  <c r="D2562" i="3"/>
  <c r="A2562" i="6" s="1"/>
  <c r="E3407" i="3"/>
  <c r="E3343" i="3"/>
  <c r="E3279" i="3"/>
  <c r="E3215" i="3"/>
  <c r="E3151" i="3"/>
  <c r="E3087" i="3"/>
  <c r="E3023" i="3"/>
  <c r="E2959" i="3"/>
  <c r="E2895" i="3"/>
  <c r="E2831" i="3"/>
  <c r="E2767" i="3"/>
  <c r="E2703" i="3"/>
  <c r="E2639" i="3"/>
  <c r="E2575" i="3"/>
  <c r="D2515" i="3"/>
  <c r="A2515" i="6" s="1"/>
  <c r="D2451" i="3"/>
  <c r="A2451" i="6" s="1"/>
  <c r="D2387" i="3"/>
  <c r="A2387" i="6" s="1"/>
  <c r="D2323" i="3"/>
  <c r="A2323" i="6" s="1"/>
  <c r="D2259" i="3"/>
  <c r="A2259" i="6" s="1"/>
  <c r="D2195" i="3"/>
  <c r="A2195" i="6" s="1"/>
  <c r="D2131" i="3"/>
  <c r="A2131" i="6" s="1"/>
  <c r="D2067" i="3"/>
  <c r="A2067" i="6" s="1"/>
  <c r="D2003" i="3"/>
  <c r="A2003" i="6" s="1"/>
  <c r="D1939" i="3"/>
  <c r="A1939" i="6" s="1"/>
  <c r="D1875" i="3"/>
  <c r="A1875" i="6" s="1"/>
  <c r="D1811" i="3"/>
  <c r="A1811" i="6" s="1"/>
  <c r="D1747" i="3"/>
  <c r="A1747" i="6" s="1"/>
  <c r="D1683" i="3"/>
  <c r="A1683" i="6" s="1"/>
  <c r="E2522" i="3"/>
  <c r="E2458" i="3"/>
  <c r="E2394" i="3"/>
  <c r="E2330" i="3"/>
  <c r="E2266" i="3"/>
  <c r="E2202" i="3"/>
  <c r="E2138" i="3"/>
  <c r="E2074" i="3"/>
  <c r="E2010" i="3"/>
  <c r="E1946" i="3"/>
  <c r="E1882" i="3"/>
  <c r="E1818" i="3"/>
  <c r="E1754" i="3"/>
  <c r="E1690" i="3"/>
  <c r="E1626" i="3"/>
  <c r="D1563" i="3"/>
  <c r="A1563" i="6" s="1"/>
  <c r="D1499" i="3"/>
  <c r="A1499" i="6" s="1"/>
  <c r="D1435" i="3"/>
  <c r="A1435" i="6" s="1"/>
  <c r="D1371" i="3"/>
  <c r="A1371" i="6" s="1"/>
  <c r="D1307" i="3"/>
  <c r="A1307" i="6" s="1"/>
  <c r="D1243" i="3"/>
  <c r="A1243" i="6" s="1"/>
  <c r="D1159" i="3"/>
  <c r="A1159" i="6" s="1"/>
  <c r="E1568" i="3"/>
  <c r="E1504" i="3"/>
  <c r="E1440" i="3"/>
  <c r="E1376" i="3"/>
  <c r="E1312" i="3"/>
  <c r="E1248" i="3"/>
  <c r="D1169" i="3"/>
  <c r="A1169" i="6" s="1"/>
  <c r="E1148" i="3"/>
  <c r="D1084" i="3"/>
  <c r="A1084" i="6" s="1"/>
  <c r="D1020" i="3"/>
  <c r="A1020" i="6" s="1"/>
  <c r="D956" i="3"/>
  <c r="A956" i="6" s="1"/>
  <c r="D892" i="3"/>
  <c r="A892" i="6" s="1"/>
  <c r="D828" i="3"/>
  <c r="A828" i="6" s="1"/>
  <c r="D755" i="3"/>
  <c r="A755" i="6" s="1"/>
  <c r="E1099" i="3"/>
  <c r="E1035" i="3"/>
  <c r="E971" i="3"/>
  <c r="E907" i="3"/>
  <c r="E843" i="3"/>
  <c r="E779" i="3"/>
  <c r="E742" i="3"/>
  <c r="D678" i="3"/>
  <c r="A678" i="6" s="1"/>
  <c r="D614" i="3"/>
  <c r="A614" i="6" s="1"/>
  <c r="D550" i="3"/>
  <c r="A550" i="6" s="1"/>
  <c r="E661" i="3"/>
  <c r="E597" i="3"/>
  <c r="D532" i="3"/>
  <c r="A532" i="6" s="1"/>
  <c r="D468" i="3"/>
  <c r="A468" i="6" s="1"/>
  <c r="D404" i="3"/>
  <c r="A404" i="6" s="1"/>
  <c r="D340" i="3"/>
  <c r="A340" i="6" s="1"/>
  <c r="E501" i="3"/>
  <c r="E437" i="3"/>
  <c r="E373" i="3"/>
  <c r="E318" i="3"/>
  <c r="D254" i="3"/>
  <c r="A254" i="6" s="1"/>
  <c r="E289" i="3"/>
  <c r="E225" i="3"/>
  <c r="D160" i="3"/>
  <c r="A160" i="6" s="1"/>
  <c r="E207" i="3"/>
  <c r="D8663" i="3"/>
  <c r="A8663" i="6" s="1"/>
  <c r="D8535" i="3"/>
  <c r="A8535" i="6" s="1"/>
  <c r="D8471" i="3"/>
  <c r="A8471" i="6" s="1"/>
  <c r="D8407" i="3"/>
  <c r="A8407" i="6" s="1"/>
  <c r="D8343" i="3"/>
  <c r="A8343" i="6" s="1"/>
  <c r="D8279" i="3"/>
  <c r="A8279" i="6" s="1"/>
  <c r="D8215" i="3"/>
  <c r="A8215" i="6" s="1"/>
  <c r="D8151" i="3"/>
  <c r="A8151" i="6" s="1"/>
  <c r="D8087" i="3"/>
  <c r="A8087" i="6" s="1"/>
  <c r="D8023" i="3"/>
  <c r="A8023" i="6" s="1"/>
  <c r="D7959" i="3"/>
  <c r="A7959" i="6" s="1"/>
  <c r="D7895" i="3"/>
  <c r="A7895" i="6" s="1"/>
  <c r="D7831" i="3"/>
  <c r="A7831" i="6" s="1"/>
  <c r="D7767" i="3"/>
  <c r="A7767" i="6" s="1"/>
  <c r="D7703" i="3"/>
  <c r="A7703" i="6" s="1"/>
  <c r="D7639" i="3"/>
  <c r="A7639" i="6" s="1"/>
  <c r="D7575" i="3"/>
  <c r="A7575" i="6" s="1"/>
  <c r="D7511" i="3"/>
  <c r="A7511" i="6" s="1"/>
  <c r="D7447" i="3"/>
  <c r="A7447" i="6" s="1"/>
  <c r="D7383" i="3"/>
  <c r="A7383" i="6" s="1"/>
  <c r="D7319" i="3"/>
  <c r="A7319" i="6" s="1"/>
  <c r="D7255" i="3"/>
  <c r="A7255" i="6" s="1"/>
  <c r="D7191" i="3"/>
  <c r="A7191" i="6" s="1"/>
  <c r="D7127" i="3"/>
  <c r="A7127" i="6" s="1"/>
  <c r="E8734" i="3"/>
  <c r="E8670" i="3"/>
  <c r="E8606" i="3"/>
  <c r="E8542" i="3"/>
  <c r="E8478" i="3"/>
  <c r="E8414" i="3"/>
  <c r="E8350" i="3"/>
  <c r="E8286" i="3"/>
  <c r="E8222" i="3"/>
  <c r="E8158" i="3"/>
  <c r="E8094" i="3"/>
  <c r="E8030" i="3"/>
  <c r="E7966" i="3"/>
  <c r="E7902" i="3"/>
  <c r="E7838" i="3"/>
  <c r="E7774" i="3"/>
  <c r="E7710" i="3"/>
  <c r="E7646" i="3"/>
  <c r="E7582" i="3"/>
  <c r="E7518" i="3"/>
  <c r="E7454" i="3"/>
  <c r="E7390" i="3"/>
  <c r="E7326" i="3"/>
  <c r="E7262" i="3"/>
  <c r="E7198" i="3"/>
  <c r="E7134" i="3"/>
  <c r="D7048" i="3"/>
  <c r="A7048" i="6" s="1"/>
  <c r="D6984" i="3"/>
  <c r="A6984" i="6" s="1"/>
  <c r="D6920" i="3"/>
  <c r="A6920" i="6" s="1"/>
  <c r="D6856" i="3"/>
  <c r="A6856" i="6" s="1"/>
  <c r="D6792" i="3"/>
  <c r="A6792" i="6" s="1"/>
  <c r="D6728" i="3"/>
  <c r="A6728" i="6" s="1"/>
  <c r="D6664" i="3"/>
  <c r="A6664" i="6" s="1"/>
  <c r="D6600" i="3"/>
  <c r="A6600" i="6" s="1"/>
  <c r="D6536" i="3"/>
  <c r="A6536" i="6" s="1"/>
  <c r="D6472" i="3"/>
  <c r="A6472" i="6" s="1"/>
  <c r="D6408" i="3"/>
  <c r="A6408" i="6" s="1"/>
  <c r="D6344" i="3"/>
  <c r="A6344" i="6" s="1"/>
  <c r="D6280" i="3"/>
  <c r="A6280" i="6" s="1"/>
  <c r="D6216" i="3"/>
  <c r="A6216" i="6" s="1"/>
  <c r="D6152" i="3"/>
  <c r="A6152" i="6" s="1"/>
  <c r="D6088" i="3"/>
  <c r="A6088" i="6" s="1"/>
  <c r="D6024" i="3"/>
  <c r="A6024" i="6" s="1"/>
  <c r="E5980" i="3"/>
  <c r="E5916" i="3"/>
  <c r="E5852" i="3"/>
  <c r="E5788" i="3"/>
  <c r="E5724" i="3"/>
  <c r="E5660" i="3"/>
  <c r="E5596" i="3"/>
  <c r="E5532" i="3"/>
  <c r="E5468" i="3"/>
  <c r="E5404" i="3"/>
  <c r="E5340" i="3"/>
  <c r="E5276" i="3"/>
  <c r="D7075" i="3"/>
  <c r="A7075" i="6" s="1"/>
  <c r="D7011" i="3"/>
  <c r="A7011" i="6" s="1"/>
  <c r="D6947" i="3"/>
  <c r="A6947" i="6" s="1"/>
  <c r="D6883" i="3"/>
  <c r="A6883" i="6" s="1"/>
  <c r="D6819" i="3"/>
  <c r="A6819" i="6" s="1"/>
  <c r="D6755" i="3"/>
  <c r="A6755" i="6" s="1"/>
  <c r="D6691" i="3"/>
  <c r="A6691" i="6" s="1"/>
  <c r="D6627" i="3"/>
  <c r="A6627" i="6" s="1"/>
  <c r="D6563" i="3"/>
  <c r="A6563" i="6" s="1"/>
  <c r="D6499" i="3"/>
  <c r="A6499" i="6" s="1"/>
  <c r="D6435" i="3"/>
  <c r="A6435" i="6" s="1"/>
  <c r="D6371" i="3"/>
  <c r="A6371" i="6" s="1"/>
  <c r="D6307" i="3"/>
  <c r="A6307" i="6" s="1"/>
  <c r="D6243" i="3"/>
  <c r="A6243" i="6" s="1"/>
  <c r="D6179" i="3"/>
  <c r="A6179" i="6" s="1"/>
  <c r="D6115" i="3"/>
  <c r="A6115" i="6" s="1"/>
  <c r="D6051" i="3"/>
  <c r="A6051" i="6" s="1"/>
  <c r="D5987" i="3"/>
  <c r="A5987" i="6" s="1"/>
  <c r="D5923" i="3"/>
  <c r="A5923" i="6" s="1"/>
  <c r="D5859" i="3"/>
  <c r="A5859" i="6" s="1"/>
  <c r="D5795" i="3"/>
  <c r="A5795" i="6" s="1"/>
  <c r="D5731" i="3"/>
  <c r="A5731" i="6" s="1"/>
  <c r="D5667" i="3"/>
  <c r="A5667" i="6" s="1"/>
  <c r="D5603" i="3"/>
  <c r="A5603" i="6" s="1"/>
  <c r="D5539" i="3"/>
  <c r="A5539" i="6" s="1"/>
  <c r="D5475" i="3"/>
  <c r="A5475" i="6" s="1"/>
  <c r="D5411" i="3"/>
  <c r="A5411" i="6" s="1"/>
  <c r="D5347" i="3"/>
  <c r="A5347" i="6" s="1"/>
  <c r="D5283" i="3"/>
  <c r="A5283" i="6" s="1"/>
  <c r="E5219" i="3"/>
  <c r="E5155" i="3"/>
  <c r="E5091" i="3"/>
  <c r="E5027" i="3"/>
  <c r="E4963" i="3"/>
  <c r="E4899" i="3"/>
  <c r="E4835" i="3"/>
  <c r="E4771" i="3"/>
  <c r="E4707" i="3"/>
  <c r="E4643" i="3"/>
  <c r="E4579" i="3"/>
  <c r="E4515" i="3"/>
  <c r="E4451" i="3"/>
  <c r="E4387" i="3"/>
  <c r="E4323" i="3"/>
  <c r="E4259" i="3"/>
  <c r="E4195" i="3"/>
  <c r="E4131" i="3"/>
  <c r="E4067" i="3"/>
  <c r="E4003" i="3"/>
  <c r="E3939" i="3"/>
  <c r="E3875" i="3"/>
  <c r="E3811" i="3"/>
  <c r="E3747" i="3"/>
  <c r="E3683" i="3"/>
  <c r="E3619" i="3"/>
  <c r="E3555" i="3"/>
  <c r="E3491" i="3"/>
  <c r="D5248" i="3"/>
  <c r="A5248" i="6" s="1"/>
  <c r="D5184" i="3"/>
  <c r="A5184" i="6" s="1"/>
  <c r="D5120" i="3"/>
  <c r="A5120" i="6" s="1"/>
  <c r="D5056" i="3"/>
  <c r="A5056" i="6" s="1"/>
  <c r="D4992" i="3"/>
  <c r="A4992" i="6" s="1"/>
  <c r="D4928" i="3"/>
  <c r="A4928" i="6" s="1"/>
  <c r="D4864" i="3"/>
  <c r="A4864" i="6" s="1"/>
  <c r="D4800" i="3"/>
  <c r="A4800" i="6" s="1"/>
  <c r="D4736" i="3"/>
  <c r="A4736" i="6" s="1"/>
  <c r="D4672" i="3"/>
  <c r="A4672" i="6" s="1"/>
  <c r="D4608" i="3"/>
  <c r="A4608" i="6" s="1"/>
  <c r="D4544" i="3"/>
  <c r="A4544" i="6" s="1"/>
  <c r="D4480" i="3"/>
  <c r="A4480" i="6" s="1"/>
  <c r="D4416" i="3"/>
  <c r="A4416" i="6" s="1"/>
  <c r="D4352" i="3"/>
  <c r="A4352" i="6" s="1"/>
  <c r="D4288" i="3"/>
  <c r="A4288" i="6" s="1"/>
  <c r="D4224" i="3"/>
  <c r="A4224" i="6" s="1"/>
  <c r="D4160" i="3"/>
  <c r="A4160" i="6" s="1"/>
  <c r="D4096" i="3"/>
  <c r="A4096" i="6" s="1"/>
  <c r="D4032" i="3"/>
  <c r="A4032" i="6" s="1"/>
  <c r="D3968" i="3"/>
  <c r="A3968" i="6" s="1"/>
  <c r="D3904" i="3"/>
  <c r="A3904" i="6" s="1"/>
  <c r="D3840" i="3"/>
  <c r="A3840" i="6" s="1"/>
  <c r="D3776" i="3"/>
  <c r="A3776" i="6" s="1"/>
  <c r="D3712" i="3"/>
  <c r="A3712" i="6" s="1"/>
  <c r="D3648" i="3"/>
  <c r="A3648" i="6" s="1"/>
  <c r="D3584" i="3"/>
  <c r="A3584" i="6" s="1"/>
  <c r="D3520" i="3"/>
  <c r="A3520" i="6" s="1"/>
  <c r="D3456" i="3"/>
  <c r="A3456" i="6" s="1"/>
  <c r="E3392" i="3"/>
  <c r="E3328" i="3"/>
  <c r="E3264" i="3"/>
  <c r="E3200" i="3"/>
  <c r="E3136" i="3"/>
  <c r="E3072" i="3"/>
  <c r="E3008" i="3"/>
  <c r="E2944" i="3"/>
  <c r="E2880" i="3"/>
  <c r="E2816" i="3"/>
  <c r="E2752" i="3"/>
  <c r="E2688" i="3"/>
  <c r="E2624" i="3"/>
  <c r="E2560" i="3"/>
  <c r="D3405" i="3"/>
  <c r="A3405" i="6" s="1"/>
  <c r="D3341" i="3"/>
  <c r="A3341" i="6" s="1"/>
  <c r="D3277" i="3"/>
  <c r="A3277" i="6" s="1"/>
  <c r="D3213" i="3"/>
  <c r="A3213" i="6" s="1"/>
  <c r="D3149" i="3"/>
  <c r="A3149" i="6" s="1"/>
  <c r="D3085" i="3"/>
  <c r="A3085" i="6" s="1"/>
  <c r="D3021" i="3"/>
  <c r="A3021" i="6" s="1"/>
  <c r="D2957" i="3"/>
  <c r="A2957" i="6" s="1"/>
  <c r="D2893" i="3"/>
  <c r="A2893" i="6" s="1"/>
  <c r="D2829" i="3"/>
  <c r="A2829" i="6" s="1"/>
  <c r="D2765" i="3"/>
  <c r="A2765" i="6" s="1"/>
  <c r="D2701" i="3"/>
  <c r="A2701" i="6" s="1"/>
  <c r="D2637" i="3"/>
  <c r="A2637" i="6" s="1"/>
  <c r="D2573" i="3"/>
  <c r="A2573" i="6" s="1"/>
  <c r="E2513" i="3"/>
  <c r="E2449" i="3"/>
  <c r="E2385" i="3"/>
  <c r="E2321" i="3"/>
  <c r="E2257" i="3"/>
  <c r="E2193" i="3"/>
  <c r="E2129" i="3"/>
  <c r="E2065" i="3"/>
  <c r="E2001" i="3"/>
  <c r="E1937" i="3"/>
  <c r="E1873" i="3"/>
  <c r="E1809" i="3"/>
  <c r="E1745" i="3"/>
  <c r="E1681" i="3"/>
  <c r="D2520" i="3"/>
  <c r="A2520" i="6" s="1"/>
  <c r="D2456" i="3"/>
  <c r="A2456" i="6" s="1"/>
  <c r="D2392" i="3"/>
  <c r="A2392" i="6" s="1"/>
  <c r="D2328" i="3"/>
  <c r="A2328" i="6" s="1"/>
  <c r="D2264" i="3"/>
  <c r="A2264" i="6" s="1"/>
  <c r="D2200" i="3"/>
  <c r="A2200" i="6" s="1"/>
  <c r="D2136" i="3"/>
  <c r="A2136" i="6" s="1"/>
  <c r="D2072" i="3"/>
  <c r="A2072" i="6" s="1"/>
  <c r="D2008" i="3"/>
  <c r="A2008" i="6" s="1"/>
  <c r="D1944" i="3"/>
  <c r="A1944" i="6" s="1"/>
  <c r="D1880" i="3"/>
  <c r="A1880" i="6" s="1"/>
  <c r="D1816" i="3"/>
  <c r="A1816" i="6" s="1"/>
  <c r="D1752" i="3"/>
  <c r="A1752" i="6" s="1"/>
  <c r="D1688" i="3"/>
  <c r="A1688" i="6" s="1"/>
  <c r="E1625" i="3"/>
  <c r="E1561" i="3"/>
  <c r="E1497" i="3"/>
  <c r="E1433" i="3"/>
  <c r="E1369" i="3"/>
  <c r="E1305" i="3"/>
  <c r="E1241" i="3"/>
  <c r="E1155" i="3"/>
  <c r="D1566" i="3"/>
  <c r="A1566" i="6" s="1"/>
  <c r="D1502" i="3"/>
  <c r="A1502" i="6" s="1"/>
  <c r="D1438" i="3"/>
  <c r="A1438" i="6" s="1"/>
  <c r="D1374" i="3"/>
  <c r="A1374" i="6" s="1"/>
  <c r="D1310" i="3"/>
  <c r="A1310" i="6" s="1"/>
  <c r="D1246" i="3"/>
  <c r="A1246" i="6" s="1"/>
  <c r="E1165" i="3"/>
  <c r="D1146" i="3"/>
  <c r="A1146" i="6" s="1"/>
  <c r="E1082" i="3"/>
  <c r="E1018" i="3"/>
  <c r="E954" i="3"/>
  <c r="E890" i="3"/>
  <c r="E826" i="3"/>
  <c r="E751" i="3"/>
  <c r="D1097" i="3"/>
  <c r="A1097" i="6" s="1"/>
  <c r="D1033" i="3"/>
  <c r="A1033" i="6" s="1"/>
  <c r="D969" i="3"/>
  <c r="A969" i="6" s="1"/>
  <c r="D905" i="3"/>
  <c r="A905" i="6" s="1"/>
  <c r="D841" i="3"/>
  <c r="A841" i="6" s="1"/>
  <c r="D777" i="3"/>
  <c r="A777" i="6" s="1"/>
  <c r="D740" i="3"/>
  <c r="A740" i="6" s="1"/>
  <c r="E676" i="3"/>
  <c r="E612" i="3"/>
  <c r="E548" i="3"/>
  <c r="D659" i="3"/>
  <c r="A659" i="6" s="1"/>
  <c r="D595" i="3"/>
  <c r="A595" i="6" s="1"/>
  <c r="E530" i="3"/>
  <c r="E466" i="3"/>
  <c r="E402" i="3"/>
  <c r="E338" i="3"/>
  <c r="D499" i="3"/>
  <c r="A499" i="6" s="1"/>
  <c r="D435" i="3"/>
  <c r="A435" i="6" s="1"/>
  <c r="D371" i="3"/>
  <c r="A371" i="6" s="1"/>
  <c r="D316" i="3"/>
  <c r="A316" i="6" s="1"/>
  <c r="E252" i="3"/>
  <c r="D287" i="3"/>
  <c r="A287" i="6" s="1"/>
  <c r="D223" i="3"/>
  <c r="A223" i="6" s="1"/>
  <c r="E158" i="3"/>
  <c r="D205" i="3"/>
  <c r="A205" i="6" s="1"/>
  <c r="D5940" i="3"/>
  <c r="D5876" i="3"/>
  <c r="D5812" i="3"/>
  <c r="D5748" i="3"/>
  <c r="D5684" i="3"/>
  <c r="D5620" i="3"/>
  <c r="D5556" i="3"/>
  <c r="D5492" i="3"/>
  <c r="D5428" i="3"/>
  <c r="D5364" i="3"/>
  <c r="D5300" i="3"/>
  <c r="E7099" i="3"/>
  <c r="E7035" i="3"/>
  <c r="E6971" i="3"/>
  <c r="E6907" i="3"/>
  <c r="E6843" i="3"/>
  <c r="E6779" i="3"/>
  <c r="E6715" i="3"/>
  <c r="E6651" i="3"/>
  <c r="E6587" i="3"/>
  <c r="E6523" i="3"/>
  <c r="E6459" i="3"/>
  <c r="E6395" i="3"/>
  <c r="E6331" i="3"/>
  <c r="E6267" i="3"/>
  <c r="E6203" i="3"/>
  <c r="E6139" i="3"/>
  <c r="E6075" i="3"/>
  <c r="E6011" i="3"/>
  <c r="E5947" i="3"/>
  <c r="E5883" i="3"/>
  <c r="E5819" i="3"/>
  <c r="E5755" i="3"/>
  <c r="E5691" i="3"/>
  <c r="E5627" i="3"/>
  <c r="E5563" i="3"/>
  <c r="E5499" i="3"/>
  <c r="E5435" i="3"/>
  <c r="E5371" i="3"/>
  <c r="E5307" i="3"/>
  <c r="D5243" i="3"/>
  <c r="D5179" i="3"/>
  <c r="D5115" i="3"/>
  <c r="D5051" i="3"/>
  <c r="D4987" i="3"/>
  <c r="D4923" i="3"/>
  <c r="D4859" i="3"/>
  <c r="D4795" i="3"/>
  <c r="D4731" i="3"/>
  <c r="D4667" i="3"/>
  <c r="D4603" i="3"/>
  <c r="D4539" i="3"/>
  <c r="D4475" i="3"/>
  <c r="D4411" i="3"/>
  <c r="D4347" i="3"/>
  <c r="D4283" i="3"/>
  <c r="D4219" i="3"/>
  <c r="D4155" i="3"/>
  <c r="D4091" i="3"/>
  <c r="D4027" i="3"/>
  <c r="D3963" i="3"/>
  <c r="D3899" i="3"/>
  <c r="D3835" i="3"/>
  <c r="D3771" i="3"/>
  <c r="D3707" i="3"/>
  <c r="D3643" i="3"/>
  <c r="D3579" i="3"/>
  <c r="D3515" i="3"/>
  <c r="D3451" i="3"/>
  <c r="E5208" i="3"/>
  <c r="E5144" i="3"/>
  <c r="E5080" i="3"/>
  <c r="E5016" i="3"/>
  <c r="E4952" i="3"/>
  <c r="E4888" i="3"/>
  <c r="E4824" i="3"/>
  <c r="E4760" i="3"/>
  <c r="E4696" i="3"/>
  <c r="E4632" i="3"/>
  <c r="E4568" i="3"/>
  <c r="E4504" i="3"/>
  <c r="E4440" i="3"/>
  <c r="E4376" i="3"/>
  <c r="E4312" i="3"/>
  <c r="E4248" i="3"/>
  <c r="E4184" i="3"/>
  <c r="E4120" i="3"/>
  <c r="E4056" i="3"/>
  <c r="E3992" i="3"/>
  <c r="E3928" i="3"/>
  <c r="E3864" i="3"/>
  <c r="E3800" i="3"/>
  <c r="E3736" i="3"/>
  <c r="E3672" i="3"/>
  <c r="E3608" i="3"/>
  <c r="E3544" i="3"/>
  <c r="E3480" i="3"/>
  <c r="D3416" i="3"/>
  <c r="D3352" i="3"/>
  <c r="D3288" i="3"/>
  <c r="D3224" i="3"/>
  <c r="D3160" i="3"/>
  <c r="D3096" i="3"/>
  <c r="D3032" i="3"/>
  <c r="D2968" i="3"/>
  <c r="D2904" i="3"/>
  <c r="D2840" i="3"/>
  <c r="D2776" i="3"/>
  <c r="D2712" i="3"/>
  <c r="D2648" i="3"/>
  <c r="D2584" i="3"/>
  <c r="E3429" i="3"/>
  <c r="E3365" i="3"/>
  <c r="E3301" i="3"/>
  <c r="E3237" i="3"/>
  <c r="E3173" i="3"/>
  <c r="E3109" i="3"/>
  <c r="E3045" i="3"/>
  <c r="E2981" i="3"/>
  <c r="E2917" i="3"/>
  <c r="E2853" i="3"/>
  <c r="E2789" i="3"/>
  <c r="E2725" i="3"/>
  <c r="E2661" i="3"/>
  <c r="E2597" i="3"/>
  <c r="D2530" i="3"/>
  <c r="D2473" i="3"/>
  <c r="D2409" i="3"/>
  <c r="D2345" i="3"/>
  <c r="D2281" i="3"/>
  <c r="D2217" i="3"/>
  <c r="D2153" i="3"/>
  <c r="D2089" i="3"/>
  <c r="D2025" i="3"/>
  <c r="D1961" i="3"/>
  <c r="D1897" i="3"/>
  <c r="D1833" i="3"/>
  <c r="D1769" i="3"/>
  <c r="D1705" i="3"/>
  <c r="D1641" i="3"/>
  <c r="E2480" i="3"/>
  <c r="E2416" i="3"/>
  <c r="E2352" i="3"/>
  <c r="E2288" i="3"/>
  <c r="E2224" i="3"/>
  <c r="E2160" i="3"/>
  <c r="E2096" i="3"/>
  <c r="E2032" i="3"/>
  <c r="E1968" i="3"/>
  <c r="E1904" i="3"/>
  <c r="E1840" i="3"/>
  <c r="E1776" i="3"/>
  <c r="E1712" i="3"/>
  <c r="E1648" i="3"/>
  <c r="D1585" i="3"/>
  <c r="D1521" i="3"/>
  <c r="D1457" i="3"/>
  <c r="D1393" i="3"/>
  <c r="D1329" i="3"/>
  <c r="D1265" i="3"/>
  <c r="D1201" i="3"/>
  <c r="E1590" i="3"/>
  <c r="E1526" i="3"/>
  <c r="E1462" i="3"/>
  <c r="E1398" i="3"/>
  <c r="E1334" i="3"/>
  <c r="E1270" i="3"/>
  <c r="E1206" i="3"/>
  <c r="E1170" i="3"/>
  <c r="D1106" i="3"/>
  <c r="D1042" i="3"/>
  <c r="D978" i="3"/>
  <c r="D914" i="3"/>
  <c r="D850" i="3"/>
  <c r="D786" i="3"/>
  <c r="E1121" i="3"/>
  <c r="E1057" i="3"/>
  <c r="E993" i="3"/>
  <c r="E929" i="3"/>
  <c r="E865" i="3"/>
  <c r="E801" i="3"/>
  <c r="E764" i="3"/>
  <c r="D700" i="3"/>
  <c r="D636" i="3"/>
  <c r="D572" i="3"/>
  <c r="E683" i="3"/>
  <c r="E619" i="3"/>
  <c r="E555" i="3"/>
  <c r="D490" i="3"/>
  <c r="D426" i="3"/>
  <c r="D362" i="3"/>
  <c r="E523" i="3"/>
  <c r="E459" i="3"/>
  <c r="E395" i="3"/>
  <c r="E331" i="3"/>
  <c r="D276" i="3"/>
  <c r="D212" i="3"/>
  <c r="E247" i="3"/>
  <c r="D182" i="3"/>
  <c r="E197" i="3"/>
  <c r="D6044" i="3"/>
  <c r="A6044" i="6" s="1"/>
  <c r="E5808" i="3"/>
  <c r="E5744" i="3"/>
  <c r="E5680" i="3"/>
  <c r="E5616" i="3"/>
  <c r="E5552" i="3"/>
  <c r="E5488" i="3"/>
  <c r="E5424" i="3"/>
  <c r="E5360" i="3"/>
  <c r="E5296" i="3"/>
  <c r="D7095" i="3"/>
  <c r="D7031" i="3"/>
  <c r="D6967" i="3"/>
  <c r="D6903" i="3"/>
  <c r="D6839" i="3"/>
  <c r="D6775" i="3"/>
  <c r="D6711" i="3"/>
  <c r="D6647" i="3"/>
  <c r="D6583" i="3"/>
  <c r="D6519" i="3"/>
  <c r="D6455" i="3"/>
  <c r="D6391" i="3"/>
  <c r="D6327" i="3"/>
  <c r="D6263" i="3"/>
  <c r="D6199" i="3"/>
  <c r="D6135" i="3"/>
  <c r="D6071" i="3"/>
  <c r="D6007" i="3"/>
  <c r="D5943" i="3"/>
  <c r="D5879" i="3"/>
  <c r="D5815" i="3"/>
  <c r="D5751" i="3"/>
  <c r="D5687" i="3"/>
  <c r="D5623" i="3"/>
  <c r="D5559" i="3"/>
  <c r="D5495" i="3"/>
  <c r="D5431" i="3"/>
  <c r="D5367" i="3"/>
  <c r="D5303" i="3"/>
  <c r="E5239" i="3"/>
  <c r="E5175" i="3"/>
  <c r="E5111" i="3"/>
  <c r="E5047" i="3"/>
  <c r="E4983" i="3"/>
  <c r="E4919" i="3"/>
  <c r="E4855" i="3"/>
  <c r="E4791" i="3"/>
  <c r="E4727" i="3"/>
  <c r="E4663" i="3"/>
  <c r="E4599" i="3"/>
  <c r="E4535" i="3"/>
  <c r="E4471" i="3"/>
  <c r="E4407" i="3"/>
  <c r="E4343" i="3"/>
  <c r="E4279" i="3"/>
  <c r="E4215" i="3"/>
  <c r="E4151" i="3"/>
  <c r="E4087" i="3"/>
  <c r="E4023" i="3"/>
  <c r="E3959" i="3"/>
  <c r="E3895" i="3"/>
  <c r="E3831" i="3"/>
  <c r="E3767" i="3"/>
  <c r="E3703" i="3"/>
  <c r="E3639" i="3"/>
  <c r="E3575" i="3"/>
  <c r="E3511" i="3"/>
  <c r="E3447" i="3"/>
  <c r="D5204" i="3"/>
  <c r="D5140" i="3"/>
  <c r="D5076" i="3"/>
  <c r="D5012" i="3"/>
  <c r="D4948" i="3"/>
  <c r="D4884" i="3"/>
  <c r="D4820" i="3"/>
  <c r="D4756" i="3"/>
  <c r="D4692" i="3"/>
  <c r="D4628" i="3"/>
  <c r="D4564" i="3"/>
  <c r="D4500" i="3"/>
  <c r="D4436" i="3"/>
  <c r="D4372" i="3"/>
  <c r="D4308" i="3"/>
  <c r="D4244" i="3"/>
  <c r="D4180" i="3"/>
  <c r="D4116" i="3"/>
  <c r="D4052" i="3"/>
  <c r="D3988" i="3"/>
  <c r="D3924" i="3"/>
  <c r="D3860" i="3"/>
  <c r="D3796" i="3"/>
  <c r="D3732" i="3"/>
  <c r="D3668" i="3"/>
  <c r="D3604" i="3"/>
  <c r="D3540" i="3"/>
  <c r="D3476" i="3"/>
  <c r="E3412" i="3"/>
  <c r="E3348" i="3"/>
  <c r="E3284" i="3"/>
  <c r="E3220" i="3"/>
  <c r="E3156" i="3"/>
  <c r="E3092" i="3"/>
  <c r="E3028" i="3"/>
  <c r="E2964" i="3"/>
  <c r="E2900" i="3"/>
  <c r="E2836" i="3"/>
  <c r="E2772" i="3"/>
  <c r="E2708" i="3"/>
  <c r="E2644" i="3"/>
  <c r="E2580" i="3"/>
  <c r="D3425" i="3"/>
  <c r="D3361" i="3"/>
  <c r="D3297" i="3"/>
  <c r="D3233" i="3"/>
  <c r="D3169" i="3"/>
  <c r="D3105" i="3"/>
  <c r="D3041" i="3"/>
  <c r="D2977" i="3"/>
  <c r="D2913" i="3"/>
  <c r="D2849" i="3"/>
  <c r="D2785" i="3"/>
  <c r="D2721" i="3"/>
  <c r="D2657" i="3"/>
  <c r="D2593" i="3"/>
  <c r="D2533" i="3"/>
  <c r="E2469" i="3"/>
  <c r="E2405" i="3"/>
  <c r="E2341" i="3"/>
  <c r="E2277" i="3"/>
  <c r="E2213" i="3"/>
  <c r="E2149" i="3"/>
  <c r="E2085" i="3"/>
  <c r="E2021" i="3"/>
  <c r="E1957" i="3"/>
  <c r="E1893" i="3"/>
  <c r="E1829" i="3"/>
  <c r="E1765" i="3"/>
  <c r="E1701" i="3"/>
  <c r="E1637" i="3"/>
  <c r="D2476" i="3"/>
  <c r="D2412" i="3"/>
  <c r="D2348" i="3"/>
  <c r="D2284" i="3"/>
  <c r="D2220" i="3"/>
  <c r="D2156" i="3"/>
  <c r="D2092" i="3"/>
  <c r="D2028" i="3"/>
  <c r="D1964" i="3"/>
  <c r="D1900" i="3"/>
  <c r="D1836" i="3"/>
  <c r="D1772" i="3"/>
  <c r="D1708" i="3"/>
  <c r="D1644" i="3"/>
  <c r="E1581" i="3"/>
  <c r="E1517" i="3"/>
  <c r="E1453" i="3"/>
  <c r="E1389" i="3"/>
  <c r="E1325" i="3"/>
  <c r="E1261" i="3"/>
  <c r="E1195" i="3"/>
  <c r="D1586" i="3"/>
  <c r="D1522" i="3"/>
  <c r="D1458" i="3"/>
  <c r="D1394" i="3"/>
  <c r="D1330" i="3"/>
  <c r="D1266" i="3"/>
  <c r="D1202" i="3"/>
  <c r="D1166" i="3"/>
  <c r="E1102" i="3"/>
  <c r="E1038" i="3"/>
  <c r="E974" i="3"/>
  <c r="E910" i="3"/>
  <c r="E846" i="3"/>
  <c r="E782" i="3"/>
  <c r="D1117" i="3"/>
  <c r="D1053" i="3"/>
  <c r="D989" i="3"/>
  <c r="D925" i="3"/>
  <c r="D861" i="3"/>
  <c r="D797" i="3"/>
  <c r="D760" i="3"/>
  <c r="E696" i="3"/>
  <c r="E632" i="3"/>
  <c r="E568" i="3"/>
  <c r="D679" i="3"/>
  <c r="D615" i="3"/>
  <c r="D551" i="3"/>
  <c r="E486" i="3"/>
  <c r="E422" i="3"/>
  <c r="E358" i="3"/>
  <c r="D519" i="3"/>
  <c r="D455" i="3"/>
  <c r="D391" i="3"/>
  <c r="D327" i="3"/>
  <c r="E272" i="3"/>
  <c r="D307" i="3"/>
  <c r="D243" i="3"/>
  <c r="E178" i="3"/>
  <c r="D193" i="3"/>
  <c r="D5952" i="3"/>
  <c r="D5888" i="3"/>
  <c r="D5824" i="3"/>
  <c r="A5824" i="6" s="1"/>
  <c r="D5760" i="3"/>
  <c r="A5760" i="6" s="1"/>
  <c r="D5696" i="3"/>
  <c r="A5696" i="6" s="1"/>
  <c r="D5632" i="3"/>
  <c r="A5632" i="6" s="1"/>
  <c r="D5568" i="3"/>
  <c r="A5568" i="6" s="1"/>
  <c r="D5504" i="3"/>
  <c r="A5504" i="6" s="1"/>
  <c r="D5440" i="3"/>
  <c r="A5440" i="6" s="1"/>
  <c r="D5376" i="3"/>
  <c r="A5376" i="6" s="1"/>
  <c r="D5312" i="3"/>
  <c r="A5312" i="6" s="1"/>
  <c r="E7111" i="3"/>
  <c r="E7047" i="3"/>
  <c r="E6983" i="3"/>
  <c r="E6919" i="3"/>
  <c r="E6855" i="3"/>
  <c r="E6791" i="3"/>
  <c r="E6727" i="3"/>
  <c r="E6663" i="3"/>
  <c r="E6599" i="3"/>
  <c r="E6535" i="3"/>
  <c r="E6471" i="3"/>
  <c r="E6407" i="3"/>
  <c r="E6343" i="3"/>
  <c r="E6279" i="3"/>
  <c r="E6215" i="3"/>
  <c r="E6151" i="3"/>
  <c r="E6087" i="3"/>
  <c r="E6023" i="3"/>
  <c r="E5959" i="3"/>
  <c r="E5895" i="3"/>
  <c r="E5831" i="3"/>
  <c r="E5767" i="3"/>
  <c r="E5703" i="3"/>
  <c r="E5639" i="3"/>
  <c r="E5575" i="3"/>
  <c r="E5511" i="3"/>
  <c r="E5447" i="3"/>
  <c r="E5383" i="3"/>
  <c r="E5319" i="3"/>
  <c r="D5255" i="3"/>
  <c r="A5255" i="6" s="1"/>
  <c r="D5191" i="3"/>
  <c r="A5191" i="6" s="1"/>
  <c r="D5127" i="3"/>
  <c r="A5127" i="6" s="1"/>
  <c r="D5063" i="3"/>
  <c r="A5063" i="6" s="1"/>
  <c r="D4999" i="3"/>
  <c r="A4999" i="6" s="1"/>
  <c r="D4935" i="3"/>
  <c r="A4935" i="6" s="1"/>
  <c r="D4871" i="3"/>
  <c r="A4871" i="6" s="1"/>
  <c r="D4807" i="3"/>
  <c r="A4807" i="6" s="1"/>
  <c r="D4743" i="3"/>
  <c r="A4743" i="6" s="1"/>
  <c r="D4679" i="3"/>
  <c r="A4679" i="6" s="1"/>
  <c r="D4615" i="3"/>
  <c r="A4615" i="6" s="1"/>
  <c r="D4551" i="3"/>
  <c r="A4551" i="6" s="1"/>
  <c r="D4487" i="3"/>
  <c r="A4487" i="6" s="1"/>
  <c r="D4423" i="3"/>
  <c r="A4423" i="6" s="1"/>
  <c r="D4359" i="3"/>
  <c r="A4359" i="6" s="1"/>
  <c r="D4295" i="3"/>
  <c r="A4295" i="6" s="1"/>
  <c r="D4231" i="3"/>
  <c r="A4231" i="6" s="1"/>
  <c r="D4167" i="3"/>
  <c r="A4167" i="6" s="1"/>
  <c r="D4103" i="3"/>
  <c r="A4103" i="6" s="1"/>
  <c r="D4039" i="3"/>
  <c r="A4039" i="6" s="1"/>
  <c r="D3975" i="3"/>
  <c r="A3975" i="6" s="1"/>
  <c r="D3911" i="3"/>
  <c r="A3911" i="6" s="1"/>
  <c r="D3847" i="3"/>
  <c r="A3847" i="6" s="1"/>
  <c r="D3783" i="3"/>
  <c r="A3783" i="6" s="1"/>
  <c r="D3719" i="3"/>
  <c r="A3719" i="6" s="1"/>
  <c r="D3655" i="3"/>
  <c r="A3655" i="6" s="1"/>
  <c r="D3591" i="3"/>
  <c r="A3591" i="6" s="1"/>
  <c r="D3527" i="3"/>
  <c r="A3527" i="6" s="1"/>
  <c r="D3463" i="3"/>
  <c r="A3463" i="6" s="1"/>
  <c r="E5220" i="3"/>
  <c r="E5156" i="3"/>
  <c r="E5092" i="3"/>
  <c r="E5028" i="3"/>
  <c r="E4964" i="3"/>
  <c r="E4900" i="3"/>
  <c r="E4836" i="3"/>
  <c r="E4772" i="3"/>
  <c r="E4708" i="3"/>
  <c r="E4644" i="3"/>
  <c r="E4580" i="3"/>
  <c r="E4516" i="3"/>
  <c r="E4452" i="3"/>
  <c r="E4388" i="3"/>
  <c r="E4324" i="3"/>
  <c r="E4260" i="3"/>
  <c r="E4196" i="3"/>
  <c r="E4132" i="3"/>
  <c r="E4068" i="3"/>
  <c r="E4004" i="3"/>
  <c r="E3940" i="3"/>
  <c r="E3876" i="3"/>
  <c r="E3812" i="3"/>
  <c r="E3748" i="3"/>
  <c r="E3684" i="3"/>
  <c r="E3620" i="3"/>
  <c r="E3556" i="3"/>
  <c r="E3492" i="3"/>
  <c r="D3428" i="3"/>
  <c r="A3428" i="6" s="1"/>
  <c r="D3364" i="3"/>
  <c r="A3364" i="6" s="1"/>
  <c r="D3300" i="3"/>
  <c r="A3300" i="6" s="1"/>
  <c r="D3236" i="3"/>
  <c r="A3236" i="6" s="1"/>
  <c r="D3172" i="3"/>
  <c r="A3172" i="6" s="1"/>
  <c r="D3108" i="3"/>
  <c r="A3108" i="6" s="1"/>
  <c r="D3044" i="3"/>
  <c r="A3044" i="6" s="1"/>
  <c r="D2980" i="3"/>
  <c r="A2980" i="6" s="1"/>
  <c r="D2916" i="3"/>
  <c r="A2916" i="6" s="1"/>
  <c r="D2852" i="3"/>
  <c r="A2852" i="6" s="1"/>
  <c r="D2788" i="3"/>
  <c r="A2788" i="6" s="1"/>
  <c r="D2724" i="3"/>
  <c r="A2724" i="6" s="1"/>
  <c r="D2660" i="3"/>
  <c r="A2660" i="6" s="1"/>
  <c r="D2596" i="3"/>
  <c r="A2596" i="6" s="1"/>
  <c r="E3441" i="3"/>
  <c r="E3377" i="3"/>
  <c r="E3313" i="3"/>
  <c r="E3249" i="3"/>
  <c r="E3185" i="3"/>
  <c r="E3121" i="3"/>
  <c r="E3057" i="3"/>
  <c r="E2993" i="3"/>
  <c r="E2929" i="3"/>
  <c r="E2865" i="3"/>
  <c r="E2801" i="3"/>
  <c r="E2737" i="3"/>
  <c r="E2673" i="3"/>
  <c r="E2609" i="3"/>
  <c r="E2545" i="3"/>
  <c r="D2485" i="3"/>
  <c r="A2485" i="6" s="1"/>
  <c r="D2421" i="3"/>
  <c r="A2421" i="6" s="1"/>
  <c r="D2357" i="3"/>
  <c r="A2357" i="6" s="1"/>
  <c r="D2293" i="3"/>
  <c r="A2293" i="6" s="1"/>
  <c r="D2229" i="3"/>
  <c r="A2229" i="6" s="1"/>
  <c r="D2165" i="3"/>
  <c r="A2165" i="6" s="1"/>
  <c r="D2101" i="3"/>
  <c r="A2101" i="6" s="1"/>
  <c r="D2037" i="3"/>
  <c r="A2037" i="6" s="1"/>
  <c r="D1973" i="3"/>
  <c r="A1973" i="6" s="1"/>
  <c r="D1909" i="3"/>
  <c r="A1909" i="6" s="1"/>
  <c r="D1845" i="3"/>
  <c r="A1845" i="6" s="1"/>
  <c r="D1781" i="3"/>
  <c r="A1781" i="6" s="1"/>
  <c r="D1717" i="3"/>
  <c r="A1717" i="6" s="1"/>
  <c r="D1653" i="3"/>
  <c r="A1653" i="6" s="1"/>
  <c r="E2492" i="3"/>
  <c r="E2428" i="3"/>
  <c r="E2364" i="3"/>
  <c r="E2300" i="3"/>
  <c r="E2236" i="3"/>
  <c r="E2172" i="3"/>
  <c r="E2108" i="3"/>
  <c r="E2044" i="3"/>
  <c r="E1980" i="3"/>
  <c r="E1916" i="3"/>
  <c r="E1852" i="3"/>
  <c r="E1788" i="3"/>
  <c r="E1724" i="3"/>
  <c r="E1660" i="3"/>
  <c r="D1597" i="3"/>
  <c r="A1597" i="6" s="1"/>
  <c r="D1533" i="3"/>
  <c r="A1533" i="6" s="1"/>
  <c r="D1469" i="3"/>
  <c r="A1469" i="6" s="1"/>
  <c r="D1405" i="3"/>
  <c r="A1405" i="6" s="1"/>
  <c r="D1341" i="3"/>
  <c r="A1341" i="6" s="1"/>
  <c r="D1277" i="3"/>
  <c r="A1277" i="6" s="1"/>
  <c r="D1213" i="3"/>
  <c r="A1213" i="6" s="1"/>
  <c r="E1602" i="3"/>
  <c r="E1538" i="3"/>
  <c r="E1474" i="3"/>
  <c r="E1410" i="3"/>
  <c r="E1346" i="3"/>
  <c r="E1282" i="3"/>
  <c r="E1218" i="3"/>
  <c r="E1182" i="3"/>
  <c r="D1118" i="3"/>
  <c r="A1118" i="6" s="1"/>
  <c r="D1054" i="3"/>
  <c r="A1054" i="6" s="1"/>
  <c r="D990" i="3"/>
  <c r="A990" i="6" s="1"/>
  <c r="D926" i="3"/>
  <c r="A926" i="6" s="1"/>
  <c r="D862" i="3"/>
  <c r="A862" i="6" s="1"/>
  <c r="D798" i="3"/>
  <c r="A798" i="6" s="1"/>
  <c r="E1133" i="3"/>
  <c r="E1069" i="3"/>
  <c r="E1005" i="3"/>
  <c r="E941" i="3"/>
  <c r="E877" i="3"/>
  <c r="E813" i="3"/>
  <c r="D729" i="3"/>
  <c r="A729" i="6" s="1"/>
  <c r="D712" i="3"/>
  <c r="A712" i="6" s="1"/>
  <c r="D648" i="3"/>
  <c r="A648" i="6" s="1"/>
  <c r="D584" i="3"/>
  <c r="A584" i="6" s="1"/>
  <c r="E695" i="3"/>
  <c r="E631" i="3"/>
  <c r="E567" i="3"/>
  <c r="D502" i="3"/>
  <c r="A502" i="6" s="1"/>
  <c r="D438" i="3"/>
  <c r="A438" i="6" s="1"/>
  <c r="D374" i="3"/>
  <c r="A374" i="6" s="1"/>
  <c r="E535" i="3"/>
  <c r="E471" i="3"/>
  <c r="E407" i="3"/>
  <c r="E343" i="3"/>
  <c r="D288" i="3"/>
  <c r="A288" i="6" s="1"/>
  <c r="D224" i="3"/>
  <c r="A224" i="6" s="1"/>
  <c r="E259" i="3"/>
  <c r="D194" i="3"/>
  <c r="A194" i="6" s="1"/>
  <c r="E177" i="3"/>
  <c r="D6020" i="3"/>
  <c r="A6020" i="6" s="1"/>
  <c r="E8587" i="3"/>
  <c r="E8645" i="3"/>
  <c r="E8517" i="3"/>
  <c r="E8389" i="3"/>
  <c r="E8261" i="3"/>
  <c r="E8133" i="3"/>
  <c r="E8037" i="3"/>
  <c r="E7973" i="3"/>
  <c r="E7909" i="3"/>
  <c r="E7845" i="3"/>
  <c r="E7781" i="3"/>
  <c r="E7717" i="3"/>
  <c r="E7653" i="3"/>
  <c r="E7589" i="3"/>
  <c r="E7525" i="3"/>
  <c r="E7461" i="3"/>
  <c r="E7397" i="3"/>
  <c r="E7333" i="3"/>
  <c r="E7269" i="3"/>
  <c r="E7205" i="3"/>
  <c r="E7141" i="3"/>
  <c r="D8748" i="3"/>
  <c r="A8748" i="6" s="1"/>
  <c r="D8684" i="3"/>
  <c r="A8684" i="6" s="1"/>
  <c r="D8620" i="3"/>
  <c r="A8620" i="6" s="1"/>
  <c r="D8556" i="3"/>
  <c r="A8556" i="6" s="1"/>
  <c r="D8492" i="3"/>
  <c r="A8492" i="6" s="1"/>
  <c r="D8428" i="3"/>
  <c r="A8428" i="6" s="1"/>
  <c r="D8364" i="3"/>
  <c r="A8364" i="6" s="1"/>
  <c r="D8300" i="3"/>
  <c r="A8300" i="6" s="1"/>
  <c r="D8236" i="3"/>
  <c r="A8236" i="6" s="1"/>
  <c r="D8172" i="3"/>
  <c r="A8172" i="6" s="1"/>
  <c r="D8108" i="3"/>
  <c r="A8108" i="6" s="1"/>
  <c r="D8044" i="3"/>
  <c r="A8044" i="6" s="1"/>
  <c r="D7980" i="3"/>
  <c r="A7980" i="6" s="1"/>
  <c r="D7916" i="3"/>
  <c r="A7916" i="6" s="1"/>
  <c r="D7852" i="3"/>
  <c r="A7852" i="6" s="1"/>
  <c r="D7788" i="3"/>
  <c r="A7788" i="6" s="1"/>
  <c r="D7724" i="3"/>
  <c r="A7724" i="6" s="1"/>
  <c r="D7660" i="3"/>
  <c r="A7660" i="6" s="1"/>
  <c r="D7596" i="3"/>
  <c r="A7596" i="6" s="1"/>
  <c r="D7532" i="3"/>
  <c r="A7532" i="6" s="1"/>
  <c r="D7468" i="3"/>
  <c r="A7468" i="6" s="1"/>
  <c r="D7404" i="3"/>
  <c r="A7404" i="6" s="1"/>
  <c r="D7340" i="3"/>
  <c r="A7340" i="6" s="1"/>
  <c r="D7276" i="3"/>
  <c r="A7276" i="6" s="1"/>
  <c r="D7212" i="3"/>
  <c r="A7212" i="6" s="1"/>
  <c r="D7148" i="3"/>
  <c r="A7148" i="6" s="1"/>
  <c r="E7062" i="3"/>
  <c r="E6998" i="3"/>
  <c r="E6934" i="3"/>
  <c r="E6870" i="3"/>
  <c r="E6806" i="3"/>
  <c r="E6742" i="3"/>
  <c r="E6678" i="3"/>
  <c r="E6614" i="3"/>
  <c r="E6550" i="3"/>
  <c r="E6486" i="3"/>
  <c r="E6422" i="3"/>
  <c r="E6358" i="3"/>
  <c r="E6294" i="3"/>
  <c r="E6230" i="3"/>
  <c r="E6166" i="3"/>
  <c r="E6102" i="3"/>
  <c r="E6038" i="3"/>
  <c r="E5974" i="3"/>
  <c r="E5910" i="3"/>
  <c r="E5846" i="3"/>
  <c r="E5782" i="3"/>
  <c r="E5718" i="3"/>
  <c r="E5654" i="3"/>
  <c r="E5590" i="3"/>
  <c r="E5526" i="3"/>
  <c r="E5462" i="3"/>
  <c r="E5398" i="3"/>
  <c r="E5334" i="3"/>
  <c r="E5270" i="3"/>
  <c r="D7069" i="3"/>
  <c r="A7069" i="6" s="1"/>
  <c r="D7005" i="3"/>
  <c r="A7005" i="6" s="1"/>
  <c r="D6941" i="3"/>
  <c r="A6941" i="6" s="1"/>
  <c r="D6877" i="3"/>
  <c r="A6877" i="6" s="1"/>
  <c r="D6813" i="3"/>
  <c r="A6813" i="6" s="1"/>
  <c r="D6749" i="3"/>
  <c r="A6749" i="6" s="1"/>
  <c r="D6685" i="3"/>
  <c r="A6685" i="6" s="1"/>
  <c r="D6621" i="3"/>
  <c r="A6621" i="6" s="1"/>
  <c r="D6557" i="3"/>
  <c r="A6557" i="6" s="1"/>
  <c r="D6493" i="3"/>
  <c r="A6493" i="6" s="1"/>
  <c r="D6429" i="3"/>
  <c r="A6429" i="6" s="1"/>
  <c r="D6365" i="3"/>
  <c r="A6365" i="6" s="1"/>
  <c r="D6301" i="3"/>
  <c r="A6301" i="6" s="1"/>
  <c r="D6237" i="3"/>
  <c r="A6237" i="6" s="1"/>
  <c r="D6173" i="3"/>
  <c r="A6173" i="6" s="1"/>
  <c r="D6109" i="3"/>
  <c r="A6109" i="6" s="1"/>
  <c r="D6045" i="3"/>
  <c r="A6045" i="6" s="1"/>
  <c r="D5981" i="3"/>
  <c r="A5981" i="6" s="1"/>
  <c r="D5917" i="3"/>
  <c r="A5917" i="6" s="1"/>
  <c r="D5853" i="3"/>
  <c r="A5853" i="6" s="1"/>
  <c r="D5789" i="3"/>
  <c r="A5789" i="6" s="1"/>
  <c r="D5725" i="3"/>
  <c r="A5725" i="6" s="1"/>
  <c r="D5661" i="3"/>
  <c r="A5661" i="6" s="1"/>
  <c r="D5597" i="3"/>
  <c r="A5597" i="6" s="1"/>
  <c r="D5533" i="3"/>
  <c r="A5533" i="6" s="1"/>
  <c r="D5469" i="3"/>
  <c r="A5469" i="6" s="1"/>
  <c r="D5405" i="3"/>
  <c r="A5405" i="6" s="1"/>
  <c r="D5341" i="3"/>
  <c r="A5341" i="6" s="1"/>
  <c r="D5277" i="3"/>
  <c r="A5277" i="6" s="1"/>
  <c r="E5213" i="3"/>
  <c r="E5149" i="3"/>
  <c r="E5085" i="3"/>
  <c r="E5021" i="3"/>
  <c r="E4957" i="3"/>
  <c r="E4893" i="3"/>
  <c r="E4829" i="3"/>
  <c r="E4765" i="3"/>
  <c r="E4701" i="3"/>
  <c r="E4637" i="3"/>
  <c r="E4573" i="3"/>
  <c r="E4509" i="3"/>
  <c r="E4445" i="3"/>
  <c r="E4381" i="3"/>
  <c r="E4317" i="3"/>
  <c r="E4253" i="3"/>
  <c r="E4189" i="3"/>
  <c r="E4125" i="3"/>
  <c r="E4061" i="3"/>
  <c r="E3997" i="3"/>
  <c r="E3933" i="3"/>
  <c r="E3869" i="3"/>
  <c r="E3805" i="3"/>
  <c r="E3741" i="3"/>
  <c r="E3677" i="3"/>
  <c r="E3613" i="3"/>
  <c r="E3549" i="3"/>
  <c r="E3485" i="3"/>
  <c r="D5242" i="3"/>
  <c r="A5242" i="6" s="1"/>
  <c r="D5178" i="3"/>
  <c r="A5178" i="6" s="1"/>
  <c r="D5114" i="3"/>
  <c r="A5114" i="6" s="1"/>
  <c r="D5050" i="3"/>
  <c r="A5050" i="6" s="1"/>
  <c r="D4986" i="3"/>
  <c r="A4986" i="6" s="1"/>
  <c r="D4922" i="3"/>
  <c r="A4922" i="6" s="1"/>
  <c r="D4858" i="3"/>
  <c r="A4858" i="6" s="1"/>
  <c r="D4794" i="3"/>
  <c r="A4794" i="6" s="1"/>
  <c r="D4730" i="3"/>
  <c r="A4730" i="6" s="1"/>
  <c r="D4666" i="3"/>
  <c r="A4666" i="6" s="1"/>
  <c r="D4602" i="3"/>
  <c r="A4602" i="6" s="1"/>
  <c r="D4538" i="3"/>
  <c r="A4538" i="6" s="1"/>
  <c r="D4474" i="3"/>
  <c r="A4474" i="6" s="1"/>
  <c r="D4410" i="3"/>
  <c r="A4410" i="6" s="1"/>
  <c r="D4346" i="3"/>
  <c r="A4346" i="6" s="1"/>
  <c r="D4282" i="3"/>
  <c r="A4282" i="6" s="1"/>
  <c r="D4218" i="3"/>
  <c r="A4218" i="6" s="1"/>
  <c r="D4154" i="3"/>
  <c r="A4154" i="6" s="1"/>
  <c r="D4090" i="3"/>
  <c r="A4090" i="6" s="1"/>
  <c r="D4026" i="3"/>
  <c r="A4026" i="6" s="1"/>
  <c r="D3962" i="3"/>
  <c r="A3962" i="6" s="1"/>
  <c r="D3898" i="3"/>
  <c r="A3898" i="6" s="1"/>
  <c r="D3834" i="3"/>
  <c r="A3834" i="6" s="1"/>
  <c r="D3770" i="3"/>
  <c r="A3770" i="6" s="1"/>
  <c r="D3706" i="3"/>
  <c r="A3706" i="6" s="1"/>
  <c r="D3642" i="3"/>
  <c r="A3642" i="6" s="1"/>
  <c r="D3578" i="3"/>
  <c r="A3578" i="6" s="1"/>
  <c r="D3514" i="3"/>
  <c r="A3514" i="6" s="1"/>
  <c r="D3450" i="3"/>
  <c r="A3450" i="6" s="1"/>
  <c r="E3386" i="3"/>
  <c r="E3322" i="3"/>
  <c r="E3258" i="3"/>
  <c r="E3194" i="3"/>
  <c r="E3130" i="3"/>
  <c r="E3066" i="3"/>
  <c r="E3002" i="3"/>
  <c r="E2938" i="3"/>
  <c r="E2874" i="3"/>
  <c r="E2810" i="3"/>
  <c r="E2746" i="3"/>
  <c r="E2682" i="3"/>
  <c r="E2618" i="3"/>
  <c r="E2554" i="3"/>
  <c r="D3399" i="3"/>
  <c r="A3399" i="6" s="1"/>
  <c r="D3335" i="3"/>
  <c r="A3335" i="6" s="1"/>
  <c r="D3271" i="3"/>
  <c r="A3271" i="6" s="1"/>
  <c r="D3207" i="3"/>
  <c r="A3207" i="6" s="1"/>
  <c r="D3143" i="3"/>
  <c r="A3143" i="6" s="1"/>
  <c r="D3079" i="3"/>
  <c r="A3079" i="6" s="1"/>
  <c r="D3015" i="3"/>
  <c r="A3015" i="6" s="1"/>
  <c r="D2951" i="3"/>
  <c r="A2951" i="6" s="1"/>
  <c r="D2887" i="3"/>
  <c r="A2887" i="6" s="1"/>
  <c r="D2823" i="3"/>
  <c r="A2823" i="6" s="1"/>
  <c r="D2759" i="3"/>
  <c r="A2759" i="6" s="1"/>
  <c r="D2695" i="3"/>
  <c r="A2695" i="6" s="1"/>
  <c r="D2631" i="3"/>
  <c r="A2631" i="6" s="1"/>
  <c r="D2567" i="3"/>
  <c r="A2567" i="6" s="1"/>
  <c r="E2507" i="3"/>
  <c r="E2443" i="3"/>
  <c r="E2379" i="3"/>
  <c r="E2315" i="3"/>
  <c r="E2251" i="3"/>
  <c r="E2187" i="3"/>
  <c r="E2123" i="3"/>
  <c r="E2059" i="3"/>
  <c r="E1995" i="3"/>
  <c r="E1931" i="3"/>
  <c r="E1867" i="3"/>
  <c r="E1803" i="3"/>
  <c r="E1739" i="3"/>
  <c r="E1675" i="3"/>
  <c r="D2514" i="3"/>
  <c r="A2514" i="6" s="1"/>
  <c r="D2450" i="3"/>
  <c r="A2450" i="6" s="1"/>
  <c r="D2386" i="3"/>
  <c r="A2386" i="6" s="1"/>
  <c r="D2322" i="3"/>
  <c r="A2322" i="6" s="1"/>
  <c r="D2258" i="3"/>
  <c r="A2258" i="6" s="1"/>
  <c r="D2194" i="3"/>
  <c r="A2194" i="6" s="1"/>
  <c r="D2130" i="3"/>
  <c r="A2130" i="6" s="1"/>
  <c r="D2066" i="3"/>
  <c r="A2066" i="6" s="1"/>
  <c r="D2002" i="3"/>
  <c r="A2002" i="6" s="1"/>
  <c r="D1938" i="3"/>
  <c r="A1938" i="6" s="1"/>
  <c r="D1874" i="3"/>
  <c r="A1874" i="6" s="1"/>
  <c r="D1810" i="3"/>
  <c r="A1810" i="6" s="1"/>
  <c r="D1746" i="3"/>
  <c r="A1746" i="6" s="1"/>
  <c r="D1682" i="3"/>
  <c r="A1682" i="6" s="1"/>
  <c r="E1619" i="3"/>
  <c r="E1555" i="3"/>
  <c r="E1491" i="3"/>
  <c r="E1427" i="3"/>
  <c r="E1363" i="3"/>
  <c r="E1299" i="3"/>
  <c r="E1235" i="3"/>
  <c r="D1624" i="3"/>
  <c r="A1624" i="6" s="1"/>
  <c r="D1560" i="3"/>
  <c r="A1560" i="6" s="1"/>
  <c r="D1496" i="3"/>
  <c r="A1496" i="6" s="1"/>
  <c r="D1432" i="3"/>
  <c r="A1432" i="6" s="1"/>
  <c r="D1368" i="3"/>
  <c r="A1368" i="6" s="1"/>
  <c r="D1304" i="3"/>
  <c r="A1304" i="6" s="1"/>
  <c r="D1240" i="3"/>
  <c r="A1240" i="6" s="1"/>
  <c r="E1153" i="3"/>
  <c r="E1140" i="3"/>
  <c r="E1076" i="3"/>
  <c r="E1012" i="3"/>
  <c r="E948" i="3"/>
  <c r="E884" i="3"/>
  <c r="E820" i="3"/>
  <c r="E739" i="3"/>
  <c r="D1091" i="3"/>
  <c r="A1091" i="6" s="1"/>
  <c r="D1027" i="3"/>
  <c r="A1027" i="6" s="1"/>
  <c r="D963" i="3"/>
  <c r="A963" i="6" s="1"/>
  <c r="D899" i="3"/>
  <c r="A899" i="6" s="1"/>
  <c r="D835" i="3"/>
  <c r="A835" i="6" s="1"/>
  <c r="D771" i="3"/>
  <c r="A771" i="6" s="1"/>
  <c r="D734" i="3"/>
  <c r="A734" i="6" s="1"/>
  <c r="E670" i="3"/>
  <c r="E606" i="3"/>
  <c r="E717" i="3"/>
  <c r="D653" i="3"/>
  <c r="A653" i="6" s="1"/>
  <c r="D589" i="3"/>
  <c r="A589" i="6" s="1"/>
  <c r="E524" i="3"/>
  <c r="E460" i="3"/>
  <c r="E396" i="3"/>
  <c r="E332" i="3"/>
  <c r="D493" i="3"/>
  <c r="A493" i="6" s="1"/>
  <c r="D429" i="3"/>
  <c r="A429" i="6" s="1"/>
  <c r="D365" i="3"/>
  <c r="A365" i="6" s="1"/>
  <c r="D310" i="3"/>
  <c r="A310" i="6" s="1"/>
  <c r="E246" i="3"/>
  <c r="D281" i="3"/>
  <c r="A281" i="6" s="1"/>
  <c r="D217" i="3"/>
  <c r="A217" i="6" s="1"/>
  <c r="E152" i="3"/>
  <c r="D167" i="3"/>
  <c r="A167" i="6" s="1"/>
  <c r="E8711" i="3"/>
  <c r="E8583" i="3"/>
  <c r="E8495" i="3"/>
  <c r="E8431" i="3"/>
  <c r="E8367" i="3"/>
  <c r="E8303" i="3"/>
  <c r="E8239" i="3"/>
  <c r="E8175" i="3"/>
  <c r="E8111" i="3"/>
  <c r="E8047" i="3"/>
  <c r="E7983" i="3"/>
  <c r="E7919" i="3"/>
  <c r="E7855" i="3"/>
  <c r="E7791" i="3"/>
  <c r="E7727" i="3"/>
  <c r="E7663" i="3"/>
  <c r="E7599" i="3"/>
  <c r="E7535" i="3"/>
  <c r="E7471" i="3"/>
  <c r="E7407" i="3"/>
  <c r="E7343" i="3"/>
  <c r="E7279" i="3"/>
  <c r="E7215" i="3"/>
  <c r="E7151" i="3"/>
  <c r="D8758" i="3"/>
  <c r="A8758" i="6" s="1"/>
  <c r="D8694" i="3"/>
  <c r="A8694" i="6" s="1"/>
  <c r="D8630" i="3"/>
  <c r="A8630" i="6" s="1"/>
  <c r="D8566" i="3"/>
  <c r="A8566" i="6" s="1"/>
  <c r="D8502" i="3"/>
  <c r="A8502" i="6" s="1"/>
  <c r="D8438" i="3"/>
  <c r="A8438" i="6" s="1"/>
  <c r="D8374" i="3"/>
  <c r="A8374" i="6" s="1"/>
  <c r="D8310" i="3"/>
  <c r="A8310" i="6" s="1"/>
  <c r="D8246" i="3"/>
  <c r="A8246" i="6" s="1"/>
  <c r="D8182" i="3"/>
  <c r="A8182" i="6" s="1"/>
  <c r="D8118" i="3"/>
  <c r="A8118" i="6" s="1"/>
  <c r="D8054" i="3"/>
  <c r="A8054" i="6" s="1"/>
  <c r="D7990" i="3"/>
  <c r="A7990" i="6" s="1"/>
  <c r="D7926" i="3"/>
  <c r="A7926" i="6" s="1"/>
  <c r="D7862" i="3"/>
  <c r="A7862" i="6" s="1"/>
  <c r="D7798" i="3"/>
  <c r="A7798" i="6" s="1"/>
  <c r="D7734" i="3"/>
  <c r="A7734" i="6" s="1"/>
  <c r="D7670" i="3"/>
  <c r="A7670" i="6" s="1"/>
  <c r="D7606" i="3"/>
  <c r="A7606" i="6" s="1"/>
  <c r="D7542" i="3"/>
  <c r="A7542" i="6" s="1"/>
  <c r="D7478" i="3"/>
  <c r="A7478" i="6" s="1"/>
  <c r="D7414" i="3"/>
  <c r="A7414" i="6" s="1"/>
  <c r="D7350" i="3"/>
  <c r="A7350" i="6" s="1"/>
  <c r="D7286" i="3"/>
  <c r="A7286" i="6" s="1"/>
  <c r="D7222" i="3"/>
  <c r="A7222" i="6" s="1"/>
  <c r="D7158" i="3"/>
  <c r="A7158" i="6" s="1"/>
  <c r="E7072" i="3"/>
  <c r="E7008" i="3"/>
  <c r="E6944" i="3"/>
  <c r="E6880" i="3"/>
  <c r="E6816" i="3"/>
  <c r="E6752" i="3"/>
  <c r="E6688" i="3"/>
  <c r="E6624" i="3"/>
  <c r="E6560" i="3"/>
  <c r="E6496" i="3"/>
  <c r="E6432" i="3"/>
  <c r="E6368" i="3"/>
  <c r="E6304" i="3"/>
  <c r="E6240" i="3"/>
  <c r="E6176" i="3"/>
  <c r="E6112" i="3"/>
  <c r="E6048" i="3"/>
  <c r="E5984" i="3"/>
  <c r="D8627" i="3"/>
  <c r="A8627" i="6" s="1"/>
  <c r="D8733" i="3"/>
  <c r="A8733" i="6" s="1"/>
  <c r="D8665" i="3"/>
  <c r="A8665" i="6" s="1"/>
  <c r="D8601" i="3"/>
  <c r="A8601" i="6" s="1"/>
  <c r="D8537" i="3"/>
  <c r="A8537" i="6" s="1"/>
  <c r="D8473" i="3"/>
  <c r="A8473" i="6" s="1"/>
  <c r="D8409" i="3"/>
  <c r="A8409" i="6" s="1"/>
  <c r="D8345" i="3"/>
  <c r="A8345" i="6" s="1"/>
  <c r="D8281" i="3"/>
  <c r="A8281" i="6" s="1"/>
  <c r="D8217" i="3"/>
  <c r="A8217" i="6" s="1"/>
  <c r="D8153" i="3"/>
  <c r="A8153" i="6" s="1"/>
  <c r="D8089" i="3"/>
  <c r="A8089" i="6" s="1"/>
  <c r="D8025" i="3"/>
  <c r="A8025" i="6" s="1"/>
  <c r="D7961" i="3"/>
  <c r="A7961" i="6" s="1"/>
  <c r="D7897" i="3"/>
  <c r="A7897" i="6" s="1"/>
  <c r="D7833" i="3"/>
  <c r="A7833" i="6" s="1"/>
  <c r="D7769" i="3"/>
  <c r="A7769" i="6" s="1"/>
  <c r="D7705" i="3"/>
  <c r="A7705" i="6" s="1"/>
  <c r="D7641" i="3"/>
  <c r="A7641" i="6" s="1"/>
  <c r="D7577" i="3"/>
  <c r="A7577" i="6" s="1"/>
  <c r="D7513" i="3"/>
  <c r="A7513" i="6" s="1"/>
  <c r="D7449" i="3"/>
  <c r="A7449" i="6" s="1"/>
  <c r="D7385" i="3"/>
  <c r="A7385" i="6" s="1"/>
  <c r="D7321" i="3"/>
  <c r="A7321" i="6" s="1"/>
  <c r="D7257" i="3"/>
  <c r="A7257" i="6" s="1"/>
  <c r="D7193" i="3"/>
  <c r="A7193" i="6" s="1"/>
  <c r="D7129" i="3"/>
  <c r="A7129" i="6" s="1"/>
  <c r="E8736" i="3"/>
  <c r="E8672" i="3"/>
  <c r="E8608" i="3"/>
  <c r="E8544" i="3"/>
  <c r="E8480" i="3"/>
  <c r="E8416" i="3"/>
  <c r="E8352" i="3"/>
  <c r="E8288" i="3"/>
  <c r="E8224" i="3"/>
  <c r="E8160" i="3"/>
  <c r="E8096" i="3"/>
  <c r="E8032" i="3"/>
  <c r="E7968" i="3"/>
  <c r="E7904" i="3"/>
  <c r="E7840" i="3"/>
  <c r="E7776" i="3"/>
  <c r="E7712" i="3"/>
  <c r="E7648" i="3"/>
  <c r="E7584" i="3"/>
  <c r="E7520" i="3"/>
  <c r="E7456" i="3"/>
  <c r="E7392" i="3"/>
  <c r="E7328" i="3"/>
  <c r="E7264" i="3"/>
  <c r="E7200" i="3"/>
  <c r="E7136" i="3"/>
  <c r="D7050" i="3"/>
  <c r="A7050" i="6" s="1"/>
  <c r="D6986" i="3"/>
  <c r="A6986" i="6" s="1"/>
  <c r="D6922" i="3"/>
  <c r="A6922" i="6" s="1"/>
  <c r="D6858" i="3"/>
  <c r="A6858" i="6" s="1"/>
  <c r="D6794" i="3"/>
  <c r="A6794" i="6" s="1"/>
  <c r="D6730" i="3"/>
  <c r="A6730" i="6" s="1"/>
  <c r="D6666" i="3"/>
  <c r="A6666" i="6" s="1"/>
  <c r="D6602" i="3"/>
  <c r="A6602" i="6" s="1"/>
  <c r="D6538" i="3"/>
  <c r="A6538" i="6" s="1"/>
  <c r="D6474" i="3"/>
  <c r="A6474" i="6" s="1"/>
  <c r="D6410" i="3"/>
  <c r="A6410" i="6" s="1"/>
  <c r="D6346" i="3"/>
  <c r="A6346" i="6" s="1"/>
  <c r="D6282" i="3"/>
  <c r="A6282" i="6" s="1"/>
  <c r="D6218" i="3"/>
  <c r="A6218" i="6" s="1"/>
  <c r="D6154" i="3"/>
  <c r="A6154" i="6" s="1"/>
  <c r="D6090" i="3"/>
  <c r="A6090" i="6" s="1"/>
  <c r="D6026" i="3"/>
  <c r="A6026" i="6" s="1"/>
  <c r="D5962" i="3"/>
  <c r="A5962" i="6" s="1"/>
  <c r="D5898" i="3"/>
  <c r="A5898" i="6" s="1"/>
  <c r="D5834" i="3"/>
  <c r="A5834" i="6" s="1"/>
  <c r="D5770" i="3"/>
  <c r="A5770" i="6" s="1"/>
  <c r="D5706" i="3"/>
  <c r="A5706" i="6" s="1"/>
  <c r="D5642" i="3"/>
  <c r="A5642" i="6" s="1"/>
  <c r="D5578" i="3"/>
  <c r="A5578" i="6" s="1"/>
  <c r="D5514" i="3"/>
  <c r="A5514" i="6" s="1"/>
  <c r="D5450" i="3"/>
  <c r="A5450" i="6" s="1"/>
  <c r="D5386" i="3"/>
  <c r="A5386" i="6" s="1"/>
  <c r="D5322" i="3"/>
  <c r="A5322" i="6" s="1"/>
  <c r="E7121" i="3"/>
  <c r="E7057" i="3"/>
  <c r="E6993" i="3"/>
  <c r="E6929" i="3"/>
  <c r="E6865" i="3"/>
  <c r="E6801" i="3"/>
  <c r="E6737" i="3"/>
  <c r="E6673" i="3"/>
  <c r="E6609" i="3"/>
  <c r="E6545" i="3"/>
  <c r="E6481" i="3"/>
  <c r="E6417" i="3"/>
  <c r="E6353" i="3"/>
  <c r="E6289" i="3"/>
  <c r="E6225" i="3"/>
  <c r="E6161" i="3"/>
  <c r="E6097" i="3"/>
  <c r="E6033" i="3"/>
  <c r="E5969" i="3"/>
  <c r="E5905" i="3"/>
  <c r="E5841" i="3"/>
  <c r="E5777" i="3"/>
  <c r="E5713" i="3"/>
  <c r="E5649" i="3"/>
  <c r="E5585" i="3"/>
  <c r="E5521" i="3"/>
  <c r="E5457" i="3"/>
  <c r="E5393" i="3"/>
  <c r="E5329" i="3"/>
  <c r="E5265" i="3"/>
  <c r="D5201" i="3"/>
  <c r="A5201" i="6" s="1"/>
  <c r="D5137" i="3"/>
  <c r="A5137" i="6" s="1"/>
  <c r="D5073" i="3"/>
  <c r="A5073" i="6" s="1"/>
  <c r="D5009" i="3"/>
  <c r="A5009" i="6" s="1"/>
  <c r="D4945" i="3"/>
  <c r="A4945" i="6" s="1"/>
  <c r="D4881" i="3"/>
  <c r="A4881" i="6" s="1"/>
  <c r="D4817" i="3"/>
  <c r="A4817" i="6" s="1"/>
  <c r="D4753" i="3"/>
  <c r="A4753" i="6" s="1"/>
  <c r="D4689" i="3"/>
  <c r="A4689" i="6" s="1"/>
  <c r="D4625" i="3"/>
  <c r="A4625" i="6" s="1"/>
  <c r="D4561" i="3"/>
  <c r="A4561" i="6" s="1"/>
  <c r="D4497" i="3"/>
  <c r="A4497" i="6" s="1"/>
  <c r="D4433" i="3"/>
  <c r="A4433" i="6" s="1"/>
  <c r="D4369" i="3"/>
  <c r="A4369" i="6" s="1"/>
  <c r="D4305" i="3"/>
  <c r="A4305" i="6" s="1"/>
  <c r="D4241" i="3"/>
  <c r="A4241" i="6" s="1"/>
  <c r="D4177" i="3"/>
  <c r="A4177" i="6" s="1"/>
  <c r="D4113" i="3"/>
  <c r="A4113" i="6" s="1"/>
  <c r="D4049" i="3"/>
  <c r="A4049" i="6" s="1"/>
  <c r="D3985" i="3"/>
  <c r="A3985" i="6" s="1"/>
  <c r="D3921" i="3"/>
  <c r="A3921" i="6" s="1"/>
  <c r="D3857" i="3"/>
  <c r="A3857" i="6" s="1"/>
  <c r="D3793" i="3"/>
  <c r="A3793" i="6" s="1"/>
  <c r="D3729" i="3"/>
  <c r="A3729" i="6" s="1"/>
  <c r="D3665" i="3"/>
  <c r="A3665" i="6" s="1"/>
  <c r="D3601" i="3"/>
  <c r="A3601" i="6" s="1"/>
  <c r="D3537" i="3"/>
  <c r="A3537" i="6" s="1"/>
  <c r="D3473" i="3"/>
  <c r="A3473" i="6" s="1"/>
  <c r="E5230" i="3"/>
  <c r="E5166" i="3"/>
  <c r="E5102" i="3"/>
  <c r="E5038" i="3"/>
  <c r="E4974" i="3"/>
  <c r="E4910" i="3"/>
  <c r="E4846" i="3"/>
  <c r="E4782" i="3"/>
  <c r="E4718" i="3"/>
  <c r="E4654" i="3"/>
  <c r="E4590" i="3"/>
  <c r="E4526" i="3"/>
  <c r="E4462" i="3"/>
  <c r="E4398" i="3"/>
  <c r="E4334" i="3"/>
  <c r="E4270" i="3"/>
  <c r="E4206" i="3"/>
  <c r="E4142" i="3"/>
  <c r="E4078" i="3"/>
  <c r="E4014" i="3"/>
  <c r="E3950" i="3"/>
  <c r="E3886" i="3"/>
  <c r="E3822" i="3"/>
  <c r="E3758" i="3"/>
  <c r="E3694" i="3"/>
  <c r="E3630" i="3"/>
  <c r="E3566" i="3"/>
  <c r="E3502" i="3"/>
  <c r="D3438" i="3"/>
  <c r="A3438" i="6" s="1"/>
  <c r="D3374" i="3"/>
  <c r="A3374" i="6" s="1"/>
  <c r="D3310" i="3"/>
  <c r="A3310" i="6" s="1"/>
  <c r="D3246" i="3"/>
  <c r="A3246" i="6" s="1"/>
  <c r="D3182" i="3"/>
  <c r="A3182" i="6" s="1"/>
  <c r="D3118" i="3"/>
  <c r="A3118" i="6" s="1"/>
  <c r="D3054" i="3"/>
  <c r="A3054" i="6" s="1"/>
  <c r="D2990" i="3"/>
  <c r="A2990" i="6" s="1"/>
  <c r="D2926" i="3"/>
  <c r="A2926" i="6" s="1"/>
  <c r="D2862" i="3"/>
  <c r="A2862" i="6" s="1"/>
  <c r="D2798" i="3"/>
  <c r="A2798" i="6" s="1"/>
  <c r="D2734" i="3"/>
  <c r="A2734" i="6" s="1"/>
  <c r="D2670" i="3"/>
  <c r="A2670" i="6" s="1"/>
  <c r="D2606" i="3"/>
  <c r="A2606" i="6" s="1"/>
  <c r="D2542" i="3"/>
  <c r="A2542" i="6" s="1"/>
  <c r="E3387" i="3"/>
  <c r="E3323" i="3"/>
  <c r="E3259" i="3"/>
  <c r="E3195" i="3"/>
  <c r="E3131" i="3"/>
  <c r="E3067" i="3"/>
  <c r="E3003" i="3"/>
  <c r="E2939" i="3"/>
  <c r="E2875" i="3"/>
  <c r="E2811" i="3"/>
  <c r="E2747" i="3"/>
  <c r="E2683" i="3"/>
  <c r="E2619" i="3"/>
  <c r="E2555" i="3"/>
  <c r="D2495" i="3"/>
  <c r="A2495" i="6" s="1"/>
  <c r="D2431" i="3"/>
  <c r="A2431" i="6" s="1"/>
  <c r="D2367" i="3"/>
  <c r="A2367" i="6" s="1"/>
  <c r="D2303" i="3"/>
  <c r="A2303" i="6" s="1"/>
  <c r="D2239" i="3"/>
  <c r="A2239" i="6" s="1"/>
  <c r="D2175" i="3"/>
  <c r="A2175" i="6" s="1"/>
  <c r="D2111" i="3"/>
  <c r="A2111" i="6" s="1"/>
  <c r="D2047" i="3"/>
  <c r="A2047" i="6" s="1"/>
  <c r="D1983" i="3"/>
  <c r="A1983" i="6" s="1"/>
  <c r="D1919" i="3"/>
  <c r="A1919" i="6" s="1"/>
  <c r="D1855" i="3"/>
  <c r="A1855" i="6" s="1"/>
  <c r="D1791" i="3"/>
  <c r="A1791" i="6" s="1"/>
  <c r="D1727" i="3"/>
  <c r="A1727" i="6" s="1"/>
  <c r="D1663" i="3"/>
  <c r="A1663" i="6" s="1"/>
  <c r="E2502" i="3"/>
  <c r="E2438" i="3"/>
  <c r="E2374" i="3"/>
  <c r="E2310" i="3"/>
  <c r="E2246" i="3"/>
  <c r="E2182" i="3"/>
  <c r="E2118" i="3"/>
  <c r="E2054" i="3"/>
  <c r="E1990" i="3"/>
  <c r="E1926" i="3"/>
  <c r="E1862" i="3"/>
  <c r="E1798" i="3"/>
  <c r="E1734" i="3"/>
  <c r="E1670" i="3"/>
  <c r="D1607" i="3"/>
  <c r="A1607" i="6" s="1"/>
  <c r="D1543" i="3"/>
  <c r="A1543" i="6" s="1"/>
  <c r="D1479" i="3"/>
  <c r="A1479" i="6" s="1"/>
  <c r="D1415" i="3"/>
  <c r="A1415" i="6" s="1"/>
  <c r="D1351" i="3"/>
  <c r="A1351" i="6" s="1"/>
  <c r="D1287" i="3"/>
  <c r="A1287" i="6" s="1"/>
  <c r="D1223" i="3"/>
  <c r="A1223" i="6" s="1"/>
  <c r="E1612" i="3"/>
  <c r="E1548" i="3"/>
  <c r="E1484" i="3"/>
  <c r="E1420" i="3"/>
  <c r="E1356" i="3"/>
  <c r="E1292" i="3"/>
  <c r="E1228" i="3"/>
  <c r="E1192" i="3"/>
  <c r="D1128" i="3"/>
  <c r="A1128" i="6" s="1"/>
  <c r="D1064" i="3"/>
  <c r="A1064" i="6" s="1"/>
  <c r="D1000" i="3"/>
  <c r="A1000" i="6" s="1"/>
  <c r="D936" i="3"/>
  <c r="A936" i="6" s="1"/>
  <c r="D872" i="3"/>
  <c r="A872" i="6" s="1"/>
  <c r="D808" i="3"/>
  <c r="A808" i="6" s="1"/>
  <c r="E1143" i="3"/>
  <c r="E1079" i="3"/>
  <c r="E1015" i="3"/>
  <c r="E951" i="3"/>
  <c r="E887" i="3"/>
  <c r="E823" i="3"/>
  <c r="D749" i="3"/>
  <c r="A749" i="6" s="1"/>
  <c r="E722" i="3"/>
  <c r="D658" i="3"/>
  <c r="A658" i="6" s="1"/>
  <c r="D594" i="3"/>
  <c r="A594" i="6" s="1"/>
  <c r="E705" i="3"/>
  <c r="E641" i="3"/>
  <c r="E577" i="3"/>
  <c r="D512" i="3"/>
  <c r="A512" i="6" s="1"/>
  <c r="D448" i="3"/>
  <c r="A448" i="6" s="1"/>
  <c r="D384" i="3"/>
  <c r="A384" i="6" s="1"/>
  <c r="D313" i="3"/>
  <c r="A313" i="6" s="1"/>
  <c r="E481" i="3"/>
  <c r="E417" i="3"/>
  <c r="E353" i="3"/>
  <c r="D298" i="3"/>
  <c r="A298" i="6" s="1"/>
  <c r="D234" i="3"/>
  <c r="A234" i="6" s="1"/>
  <c r="E269" i="3"/>
  <c r="D204" i="3"/>
  <c r="A204" i="6" s="1"/>
  <c r="E155" i="3"/>
  <c r="D8743" i="3"/>
  <c r="A8743" i="6" s="1"/>
  <c r="D8607" i="3"/>
  <c r="A8607" i="6" s="1"/>
  <c r="D8507" i="3"/>
  <c r="A8507" i="6" s="1"/>
  <c r="D8443" i="3"/>
  <c r="A8443" i="6" s="1"/>
  <c r="D8379" i="3"/>
  <c r="A8379" i="6" s="1"/>
  <c r="D8315" i="3"/>
  <c r="A8315" i="6" s="1"/>
  <c r="D8251" i="3"/>
  <c r="A8251" i="6" s="1"/>
  <c r="D8187" i="3"/>
  <c r="A8187" i="6" s="1"/>
  <c r="D8123" i="3"/>
  <c r="A8123" i="6" s="1"/>
  <c r="D8059" i="3"/>
  <c r="A8059" i="6" s="1"/>
  <c r="D7995" i="3"/>
  <c r="A7995" i="6" s="1"/>
  <c r="D7931" i="3"/>
  <c r="A7931" i="6" s="1"/>
  <c r="D7867" i="3"/>
  <c r="A7867" i="6" s="1"/>
  <c r="D7803" i="3"/>
  <c r="A7803" i="6" s="1"/>
  <c r="D7739" i="3"/>
  <c r="A7739" i="6" s="1"/>
  <c r="D7675" i="3"/>
  <c r="A7675" i="6" s="1"/>
  <c r="D7611" i="3"/>
  <c r="A7611" i="6" s="1"/>
  <c r="D7547" i="3"/>
  <c r="A7547" i="6" s="1"/>
  <c r="D7483" i="3"/>
  <c r="A7483" i="6" s="1"/>
  <c r="D7419" i="3"/>
  <c r="A7419" i="6" s="1"/>
  <c r="D7355" i="3"/>
  <c r="A7355" i="6" s="1"/>
  <c r="D7291" i="3"/>
  <c r="A7291" i="6" s="1"/>
  <c r="D7227" i="3"/>
  <c r="A7227" i="6" s="1"/>
  <c r="D7163" i="3"/>
  <c r="A7163" i="6" s="1"/>
  <c r="D8745" i="3"/>
  <c r="A8745" i="6" s="1"/>
  <c r="E8706" i="3"/>
  <c r="E8642" i="3"/>
  <c r="E8578" i="3"/>
  <c r="E8514" i="3"/>
  <c r="E8450" i="3"/>
  <c r="E8386" i="3"/>
  <c r="E8322" i="3"/>
  <c r="E8258" i="3"/>
  <c r="E8194" i="3"/>
  <c r="E8130" i="3"/>
  <c r="E8066" i="3"/>
  <c r="E8002" i="3"/>
  <c r="E7938" i="3"/>
  <c r="E7874" i="3"/>
  <c r="E7810" i="3"/>
  <c r="E7746" i="3"/>
  <c r="E7682" i="3"/>
  <c r="E7618" i="3"/>
  <c r="E7554" i="3"/>
  <c r="E7490" i="3"/>
  <c r="E7426" i="3"/>
  <c r="E7362" i="3"/>
  <c r="E7298" i="3"/>
  <c r="E7234" i="3"/>
  <c r="E7170" i="3"/>
  <c r="D7086" i="3"/>
  <c r="A7086" i="6" s="1"/>
  <c r="D7020" i="3"/>
  <c r="A7020" i="6" s="1"/>
  <c r="D6956" i="3"/>
  <c r="A6956" i="6" s="1"/>
  <c r="D6892" i="3"/>
  <c r="A6892" i="6" s="1"/>
  <c r="D6828" i="3"/>
  <c r="A6828" i="6" s="1"/>
  <c r="D6764" i="3"/>
  <c r="A6764" i="6" s="1"/>
  <c r="D6700" i="3"/>
  <c r="A6700" i="6" s="1"/>
  <c r="D6636" i="3"/>
  <c r="A6636" i="6" s="1"/>
  <c r="D6572" i="3"/>
  <c r="A6572" i="6" s="1"/>
  <c r="D6508" i="3"/>
  <c r="A6508" i="6" s="1"/>
  <c r="D6444" i="3"/>
  <c r="A6444" i="6" s="1"/>
  <c r="D6380" i="3"/>
  <c r="A6380" i="6" s="1"/>
  <c r="D6316" i="3"/>
  <c r="A6316" i="6" s="1"/>
  <c r="D6252" i="3"/>
  <c r="A6252" i="6" s="1"/>
  <c r="D6188" i="3"/>
  <c r="A6188" i="6" s="1"/>
  <c r="D6124" i="3"/>
  <c r="A6124" i="6" s="1"/>
  <c r="E8659" i="3"/>
  <c r="E8757" i="3"/>
  <c r="E8681" i="3"/>
  <c r="E8617" i="3"/>
  <c r="E8553" i="3"/>
  <c r="E8489" i="3"/>
  <c r="E8425" i="3"/>
  <c r="E8361" i="3"/>
  <c r="E8297" i="3"/>
  <c r="E8233" i="3"/>
  <c r="E8169" i="3"/>
  <c r="E8105" i="3"/>
  <c r="E8041" i="3"/>
  <c r="E7977" i="3"/>
  <c r="E7913" i="3"/>
  <c r="E7849" i="3"/>
  <c r="E7785" i="3"/>
  <c r="E7721" i="3"/>
  <c r="E7657" i="3"/>
  <c r="E7593" i="3"/>
  <c r="E7529" i="3"/>
  <c r="E7465" i="3"/>
  <c r="E7401" i="3"/>
  <c r="E7337" i="3"/>
  <c r="E7273" i="3"/>
  <c r="E7209" i="3"/>
  <c r="E7145" i="3"/>
  <c r="D8752" i="3"/>
  <c r="A8752" i="6" s="1"/>
  <c r="D8688" i="3"/>
  <c r="A8688" i="6" s="1"/>
  <c r="D8624" i="3"/>
  <c r="A8624" i="6" s="1"/>
  <c r="D8560" i="3"/>
  <c r="A8560" i="6" s="1"/>
  <c r="D8496" i="3"/>
  <c r="A8496" i="6" s="1"/>
  <c r="D8432" i="3"/>
  <c r="A8432" i="6" s="1"/>
  <c r="D8368" i="3"/>
  <c r="A8368" i="6" s="1"/>
  <c r="D8304" i="3"/>
  <c r="A8304" i="6" s="1"/>
  <c r="D8240" i="3"/>
  <c r="A8240" i="6" s="1"/>
  <c r="D8176" i="3"/>
  <c r="A8176" i="6" s="1"/>
  <c r="D8112" i="3"/>
  <c r="A8112" i="6" s="1"/>
  <c r="D8048" i="3"/>
  <c r="A8048" i="6" s="1"/>
  <c r="D7984" i="3"/>
  <c r="A7984" i="6" s="1"/>
  <c r="D7920" i="3"/>
  <c r="A7920" i="6" s="1"/>
  <c r="D7856" i="3"/>
  <c r="A7856" i="6" s="1"/>
  <c r="D7792" i="3"/>
  <c r="A7792" i="6" s="1"/>
  <c r="D7728" i="3"/>
  <c r="A7728" i="6" s="1"/>
  <c r="D7664" i="3"/>
  <c r="A7664" i="6" s="1"/>
  <c r="D7600" i="3"/>
  <c r="A7600" i="6" s="1"/>
  <c r="D7536" i="3"/>
  <c r="A7536" i="6" s="1"/>
  <c r="D7472" i="3"/>
  <c r="A7472" i="6" s="1"/>
  <c r="D7408" i="3"/>
  <c r="A7408" i="6" s="1"/>
  <c r="D7344" i="3"/>
  <c r="A7344" i="6" s="1"/>
  <c r="D7280" i="3"/>
  <c r="A7280" i="6" s="1"/>
  <c r="D7216" i="3"/>
  <c r="A7216" i="6" s="1"/>
  <c r="D7152" i="3"/>
  <c r="A7152" i="6" s="1"/>
  <c r="E7066" i="3"/>
  <c r="E7002" i="3"/>
  <c r="E6938" i="3"/>
  <c r="E6874" i="3"/>
  <c r="E6810" i="3"/>
  <c r="E6746" i="3"/>
  <c r="E6682" i="3"/>
  <c r="E6618" i="3"/>
  <c r="E6554" i="3"/>
  <c r="E6490" i="3"/>
  <c r="E6426" i="3"/>
  <c r="E6362" i="3"/>
  <c r="E6298" i="3"/>
  <c r="E6234" i="3"/>
  <c r="E6170" i="3"/>
  <c r="E6106" i="3"/>
  <c r="E6042" i="3"/>
  <c r="E5978" i="3"/>
  <c r="E5914" i="3"/>
  <c r="E5850" i="3"/>
  <c r="E5786" i="3"/>
  <c r="E5722" i="3"/>
  <c r="E5658" i="3"/>
  <c r="E5594" i="3"/>
  <c r="E5530" i="3"/>
  <c r="E5466" i="3"/>
  <c r="E5402" i="3"/>
  <c r="E5338" i="3"/>
  <c r="E5274" i="3"/>
  <c r="D7073" i="3"/>
  <c r="A7073" i="6" s="1"/>
  <c r="D7009" i="3"/>
  <c r="A7009" i="6" s="1"/>
  <c r="D6945" i="3"/>
  <c r="A6945" i="6" s="1"/>
  <c r="D6881" i="3"/>
  <c r="A6881" i="6" s="1"/>
  <c r="D6817" i="3"/>
  <c r="A6817" i="6" s="1"/>
  <c r="D6753" i="3"/>
  <c r="A6753" i="6" s="1"/>
  <c r="D6689" i="3"/>
  <c r="A6689" i="6" s="1"/>
  <c r="D6625" i="3"/>
  <c r="A6625" i="6" s="1"/>
  <c r="D6561" i="3"/>
  <c r="A6561" i="6" s="1"/>
  <c r="D6497" i="3"/>
  <c r="A6497" i="6" s="1"/>
  <c r="D6433" i="3"/>
  <c r="A6433" i="6" s="1"/>
  <c r="D6369" i="3"/>
  <c r="A6369" i="6" s="1"/>
  <c r="D6305" i="3"/>
  <c r="A6305" i="6" s="1"/>
  <c r="D6241" i="3"/>
  <c r="A6241" i="6" s="1"/>
  <c r="D6177" i="3"/>
  <c r="A6177" i="6" s="1"/>
  <c r="D6113" i="3"/>
  <c r="A6113" i="6" s="1"/>
  <c r="D6049" i="3"/>
  <c r="A6049" i="6" s="1"/>
  <c r="D5985" i="3"/>
  <c r="A5985" i="6" s="1"/>
  <c r="D5921" i="3"/>
  <c r="A5921" i="6" s="1"/>
  <c r="D5857" i="3"/>
  <c r="A5857" i="6" s="1"/>
  <c r="D5793" i="3"/>
  <c r="A5793" i="6" s="1"/>
  <c r="D5729" i="3"/>
  <c r="A5729" i="6" s="1"/>
  <c r="D5665" i="3"/>
  <c r="A5665" i="6" s="1"/>
  <c r="D5601" i="3"/>
  <c r="A5601" i="6" s="1"/>
  <c r="D5537" i="3"/>
  <c r="A5537" i="6" s="1"/>
  <c r="D5473" i="3"/>
  <c r="A5473" i="6" s="1"/>
  <c r="D5409" i="3"/>
  <c r="A5409" i="6" s="1"/>
  <c r="D5345" i="3"/>
  <c r="A5345" i="6" s="1"/>
  <c r="D5281" i="3"/>
  <c r="A5281" i="6" s="1"/>
  <c r="E5217" i="3"/>
  <c r="E5153" i="3"/>
  <c r="E5089" i="3"/>
  <c r="E5025" i="3"/>
  <c r="E4961" i="3"/>
  <c r="E4897" i="3"/>
  <c r="E4833" i="3"/>
  <c r="E4769" i="3"/>
  <c r="E4705" i="3"/>
  <c r="E4641" i="3"/>
  <c r="E4577" i="3"/>
  <c r="E4513" i="3"/>
  <c r="E4449" i="3"/>
  <c r="E4385" i="3"/>
  <c r="E4321" i="3"/>
  <c r="E4257" i="3"/>
  <c r="E4193" i="3"/>
  <c r="E4129" i="3"/>
  <c r="E4065" i="3"/>
  <c r="E4001" i="3"/>
  <c r="E3937" i="3"/>
  <c r="E3873" i="3"/>
  <c r="E3809" i="3"/>
  <c r="E3745" i="3"/>
  <c r="E3681" i="3"/>
  <c r="E3617" i="3"/>
  <c r="E3553" i="3"/>
  <c r="E3489" i="3"/>
  <c r="D5246" i="3"/>
  <c r="A5246" i="6" s="1"/>
  <c r="D5182" i="3"/>
  <c r="A5182" i="6" s="1"/>
  <c r="D5118" i="3"/>
  <c r="A5118" i="6" s="1"/>
  <c r="D5054" i="3"/>
  <c r="A5054" i="6" s="1"/>
  <c r="D4990" i="3"/>
  <c r="A4990" i="6" s="1"/>
  <c r="D4926" i="3"/>
  <c r="A4926" i="6" s="1"/>
  <c r="D4862" i="3"/>
  <c r="A4862" i="6" s="1"/>
  <c r="D4798" i="3"/>
  <c r="A4798" i="6" s="1"/>
  <c r="D4734" i="3"/>
  <c r="A4734" i="6" s="1"/>
  <c r="D4670" i="3"/>
  <c r="A4670" i="6" s="1"/>
  <c r="D4606" i="3"/>
  <c r="A4606" i="6" s="1"/>
  <c r="D4542" i="3"/>
  <c r="A4542" i="6" s="1"/>
  <c r="D4478" i="3"/>
  <c r="A4478" i="6" s="1"/>
  <c r="D4414" i="3"/>
  <c r="A4414" i="6" s="1"/>
  <c r="D4350" i="3"/>
  <c r="A4350" i="6" s="1"/>
  <c r="D4286" i="3"/>
  <c r="A4286" i="6" s="1"/>
  <c r="D4222" i="3"/>
  <c r="A4222" i="6" s="1"/>
  <c r="D4158" i="3"/>
  <c r="A4158" i="6" s="1"/>
  <c r="D4094" i="3"/>
  <c r="A4094" i="6" s="1"/>
  <c r="D4030" i="3"/>
  <c r="A4030" i="6" s="1"/>
  <c r="D3966" i="3"/>
  <c r="A3966" i="6" s="1"/>
  <c r="D3902" i="3"/>
  <c r="A3902" i="6" s="1"/>
  <c r="D3838" i="3"/>
  <c r="A3838" i="6" s="1"/>
  <c r="D3774" i="3"/>
  <c r="A3774" i="6" s="1"/>
  <c r="D3710" i="3"/>
  <c r="A3710" i="6" s="1"/>
  <c r="D3646" i="3"/>
  <c r="A3646" i="6" s="1"/>
  <c r="D3582" i="3"/>
  <c r="A3582" i="6" s="1"/>
  <c r="D3518" i="3"/>
  <c r="A3518" i="6" s="1"/>
  <c r="D3454" i="3"/>
  <c r="A3454" i="6" s="1"/>
  <c r="E3390" i="3"/>
  <c r="E3326" i="3"/>
  <c r="E3262" i="3"/>
  <c r="E3198" i="3"/>
  <c r="E3134" i="3"/>
  <c r="E3070" i="3"/>
  <c r="E3006" i="3"/>
  <c r="E2942" i="3"/>
  <c r="E2878" i="3"/>
  <c r="E2814" i="3"/>
  <c r="E2750" i="3"/>
  <c r="E2686" i="3"/>
  <c r="E2622" i="3"/>
  <c r="E2558" i="3"/>
  <c r="D3403" i="3"/>
  <c r="A3403" i="6" s="1"/>
  <c r="D3339" i="3"/>
  <c r="A3339" i="6" s="1"/>
  <c r="D3275" i="3"/>
  <c r="A3275" i="6" s="1"/>
  <c r="D3211" i="3"/>
  <c r="A3211" i="6" s="1"/>
  <c r="D3147" i="3"/>
  <c r="A3147" i="6" s="1"/>
  <c r="D3083" i="3"/>
  <c r="A3083" i="6" s="1"/>
  <c r="D3019" i="3"/>
  <c r="A3019" i="6" s="1"/>
  <c r="D2955" i="3"/>
  <c r="A2955" i="6" s="1"/>
  <c r="D2891" i="3"/>
  <c r="A2891" i="6" s="1"/>
  <c r="D2827" i="3"/>
  <c r="A2827" i="6" s="1"/>
  <c r="D2763" i="3"/>
  <c r="A2763" i="6" s="1"/>
  <c r="D2699" i="3"/>
  <c r="A2699" i="6" s="1"/>
  <c r="D2635" i="3"/>
  <c r="A2635" i="6" s="1"/>
  <c r="D2571" i="3"/>
  <c r="A2571" i="6" s="1"/>
  <c r="E2511" i="3"/>
  <c r="E2447" i="3"/>
  <c r="E2383" i="3"/>
  <c r="E2319" i="3"/>
  <c r="E2255" i="3"/>
  <c r="E2191" i="3"/>
  <c r="E2127" i="3"/>
  <c r="E2063" i="3"/>
  <c r="E1999" i="3"/>
  <c r="E1935" i="3"/>
  <c r="E1871" i="3"/>
  <c r="E1807" i="3"/>
  <c r="E1743" i="3"/>
  <c r="E1679" i="3"/>
  <c r="D2518" i="3"/>
  <c r="A2518" i="6" s="1"/>
  <c r="D2454" i="3"/>
  <c r="A2454" i="6" s="1"/>
  <c r="D2390" i="3"/>
  <c r="A2390" i="6" s="1"/>
  <c r="D2326" i="3"/>
  <c r="A2326" i="6" s="1"/>
  <c r="D2262" i="3"/>
  <c r="A2262" i="6" s="1"/>
  <c r="D2198" i="3"/>
  <c r="A2198" i="6" s="1"/>
  <c r="D2134" i="3"/>
  <c r="A2134" i="6" s="1"/>
  <c r="D2070" i="3"/>
  <c r="A2070" i="6" s="1"/>
  <c r="D2006" i="3"/>
  <c r="A2006" i="6" s="1"/>
  <c r="D1942" i="3"/>
  <c r="A1942" i="6" s="1"/>
  <c r="D1878" i="3"/>
  <c r="A1878" i="6" s="1"/>
  <c r="D1814" i="3"/>
  <c r="A1814" i="6" s="1"/>
  <c r="D1750" i="3"/>
  <c r="A1750" i="6" s="1"/>
  <c r="D1686" i="3"/>
  <c r="A1686" i="6" s="1"/>
  <c r="E1623" i="3"/>
  <c r="E1559" i="3"/>
  <c r="E1495" i="3"/>
  <c r="E1431" i="3"/>
  <c r="E1367" i="3"/>
  <c r="E1303" i="3"/>
  <c r="E1239" i="3"/>
  <c r="E1151" i="3"/>
  <c r="D1564" i="3"/>
  <c r="A1564" i="6" s="1"/>
  <c r="D1500" i="3"/>
  <c r="A1500" i="6" s="1"/>
  <c r="D1436" i="3"/>
  <c r="A1436" i="6" s="1"/>
  <c r="D1372" i="3"/>
  <c r="A1372" i="6" s="1"/>
  <c r="D1308" i="3"/>
  <c r="A1308" i="6" s="1"/>
  <c r="D1244" i="3"/>
  <c r="A1244" i="6" s="1"/>
  <c r="E1161" i="3"/>
  <c r="D1144" i="3"/>
  <c r="A1144" i="6" s="1"/>
  <c r="E1080" i="3"/>
  <c r="E1016" i="3"/>
  <c r="E952" i="3"/>
  <c r="E888" i="3"/>
  <c r="E824" i="3"/>
  <c r="E747" i="3"/>
  <c r="D1095" i="3"/>
  <c r="A1095" i="6" s="1"/>
  <c r="D1031" i="3"/>
  <c r="A1031" i="6" s="1"/>
  <c r="D967" i="3"/>
  <c r="A967" i="6" s="1"/>
  <c r="D903" i="3"/>
  <c r="A903" i="6" s="1"/>
  <c r="D839" i="3"/>
  <c r="A839" i="6" s="1"/>
  <c r="D775" i="3"/>
  <c r="A775" i="6" s="1"/>
  <c r="D738" i="3"/>
  <c r="A738" i="6" s="1"/>
  <c r="E674" i="3"/>
  <c r="E610" i="3"/>
  <c r="E546" i="3"/>
  <c r="D657" i="3"/>
  <c r="A657" i="6" s="1"/>
  <c r="D593" i="3"/>
  <c r="A593" i="6" s="1"/>
  <c r="E528" i="3"/>
  <c r="E464" i="3"/>
  <c r="E400" i="3"/>
  <c r="E336" i="3"/>
  <c r="D497" i="3"/>
  <c r="A497" i="6" s="1"/>
  <c r="D433" i="3"/>
  <c r="A433" i="6" s="1"/>
  <c r="D369" i="3"/>
  <c r="A369" i="6" s="1"/>
  <c r="D314" i="3"/>
  <c r="A314" i="6" s="1"/>
  <c r="E250" i="3"/>
  <c r="D285" i="3"/>
  <c r="A285" i="6" s="1"/>
  <c r="D221" i="3"/>
  <c r="A221" i="6" s="1"/>
  <c r="E156" i="3"/>
  <c r="D203" i="3"/>
  <c r="A203" i="6" s="1"/>
  <c r="E8639" i="3"/>
  <c r="E8523" i="3"/>
  <c r="E8459" i="3"/>
  <c r="E8395" i="3"/>
  <c r="E8331" i="3"/>
  <c r="E8267" i="3"/>
  <c r="E8203" i="3"/>
  <c r="E8139" i="3"/>
  <c r="E8075" i="3"/>
  <c r="E8011" i="3"/>
  <c r="E7947" i="3"/>
  <c r="E7883" i="3"/>
  <c r="E7819" i="3"/>
  <c r="E7755" i="3"/>
  <c r="E7691" i="3"/>
  <c r="E7627" i="3"/>
  <c r="E7563" i="3"/>
  <c r="E7499" i="3"/>
  <c r="E7435" i="3"/>
  <c r="E7371" i="3"/>
  <c r="E7307" i="3"/>
  <c r="E7243" i="3"/>
  <c r="E7179" i="3"/>
  <c r="E7104" i="3"/>
  <c r="D8722" i="3"/>
  <c r="A8722" i="6" s="1"/>
  <c r="D8658" i="3"/>
  <c r="A8658" i="6" s="1"/>
  <c r="D8594" i="3"/>
  <c r="A8594" i="6" s="1"/>
  <c r="D8530" i="3"/>
  <c r="A8530" i="6" s="1"/>
  <c r="D8466" i="3"/>
  <c r="A8466" i="6" s="1"/>
  <c r="D8402" i="3"/>
  <c r="A8402" i="6" s="1"/>
  <c r="D8338" i="3"/>
  <c r="A8338" i="6" s="1"/>
  <c r="D8274" i="3"/>
  <c r="A8274" i="6" s="1"/>
  <c r="D8210" i="3"/>
  <c r="A8210" i="6" s="1"/>
  <c r="D8146" i="3"/>
  <c r="A8146" i="6" s="1"/>
  <c r="D8082" i="3"/>
  <c r="A8082" i="6" s="1"/>
  <c r="D8018" i="3"/>
  <c r="A8018" i="6" s="1"/>
  <c r="D7954" i="3"/>
  <c r="A7954" i="6" s="1"/>
  <c r="D7890" i="3"/>
  <c r="A7890" i="6" s="1"/>
  <c r="D7826" i="3"/>
  <c r="A7826" i="6" s="1"/>
  <c r="D7762" i="3"/>
  <c r="A7762" i="6" s="1"/>
  <c r="D7698" i="3"/>
  <c r="A7698" i="6" s="1"/>
  <c r="D7634" i="3"/>
  <c r="A7634" i="6" s="1"/>
  <c r="D7570" i="3"/>
  <c r="A7570" i="6" s="1"/>
  <c r="D7506" i="3"/>
  <c r="A7506" i="6" s="1"/>
  <c r="D7442" i="3"/>
  <c r="A7442" i="6" s="1"/>
  <c r="D7378" i="3"/>
  <c r="A7378" i="6" s="1"/>
  <c r="D7314" i="3"/>
  <c r="A7314" i="6" s="1"/>
  <c r="D7250" i="3"/>
  <c r="A7250" i="6" s="1"/>
  <c r="D7186" i="3"/>
  <c r="A7186" i="6" s="1"/>
  <c r="E7118" i="3"/>
  <c r="E7036" i="3"/>
  <c r="E6972" i="3"/>
  <c r="E6908" i="3"/>
  <c r="E6844" i="3"/>
  <c r="E6780" i="3"/>
  <c r="E6716" i="3"/>
  <c r="E6652" i="3"/>
  <c r="E6588" i="3"/>
  <c r="E6524" i="3"/>
  <c r="E6460" i="3"/>
  <c r="E6396" i="3"/>
  <c r="E6332" i="3"/>
  <c r="E6268" i="3"/>
  <c r="E6204" i="3"/>
  <c r="E6140" i="3"/>
  <c r="E6076" i="3"/>
  <c r="E6012" i="3"/>
  <c r="D8683" i="3"/>
  <c r="A8683" i="6" s="1"/>
  <c r="D8555" i="3"/>
  <c r="A8555" i="6" s="1"/>
  <c r="D8693" i="3"/>
  <c r="A8693" i="6" s="1"/>
  <c r="D8629" i="3"/>
  <c r="A8629" i="6" s="1"/>
  <c r="D8565" i="3"/>
  <c r="A8565" i="6" s="1"/>
  <c r="D8501" i="3"/>
  <c r="A8501" i="6" s="1"/>
  <c r="D8437" i="3"/>
  <c r="A8437" i="6" s="1"/>
  <c r="D8373" i="3"/>
  <c r="A8373" i="6" s="1"/>
  <c r="D8309" i="3"/>
  <c r="A8309" i="6" s="1"/>
  <c r="D8245" i="3"/>
  <c r="A8245" i="6" s="1"/>
  <c r="D8181" i="3"/>
  <c r="A8181" i="6" s="1"/>
  <c r="D8117" i="3"/>
  <c r="A8117" i="6" s="1"/>
  <c r="D8053" i="3"/>
  <c r="A8053" i="6" s="1"/>
  <c r="D7989" i="3"/>
  <c r="A7989" i="6" s="1"/>
  <c r="D7925" i="3"/>
  <c r="A7925" i="6" s="1"/>
  <c r="D7861" i="3"/>
  <c r="A7861" i="6" s="1"/>
  <c r="D7797" i="3"/>
  <c r="A7797" i="6" s="1"/>
  <c r="D7733" i="3"/>
  <c r="A7733" i="6" s="1"/>
  <c r="D7669" i="3"/>
  <c r="A7669" i="6" s="1"/>
  <c r="D7605" i="3"/>
  <c r="A7605" i="6" s="1"/>
  <c r="D7541" i="3"/>
  <c r="A7541" i="6" s="1"/>
  <c r="D7477" i="3"/>
  <c r="A7477" i="6" s="1"/>
  <c r="D7413" i="3"/>
  <c r="A7413" i="6" s="1"/>
  <c r="D7349" i="3"/>
  <c r="A7349" i="6" s="1"/>
  <c r="D7285" i="3"/>
  <c r="A7285" i="6" s="1"/>
  <c r="D7221" i="3"/>
  <c r="A7221" i="6" s="1"/>
  <c r="D7157" i="3"/>
  <c r="A7157" i="6" s="1"/>
  <c r="D8729" i="3"/>
  <c r="A8729" i="6" s="1"/>
  <c r="E8700" i="3"/>
  <c r="E8636" i="3"/>
  <c r="E8572" i="3"/>
  <c r="E8508" i="3"/>
  <c r="E8444" i="3"/>
  <c r="E8380" i="3"/>
  <c r="E8316" i="3"/>
  <c r="E8252" i="3"/>
  <c r="E8188" i="3"/>
  <c r="E8124" i="3"/>
  <c r="E8060" i="3"/>
  <c r="E7996" i="3"/>
  <c r="E7932" i="3"/>
  <c r="E7868" i="3"/>
  <c r="E7804" i="3"/>
  <c r="E7740" i="3"/>
  <c r="E7676" i="3"/>
  <c r="E7612" i="3"/>
  <c r="E7548" i="3"/>
  <c r="E7484" i="3"/>
  <c r="E7420" i="3"/>
  <c r="E7356" i="3"/>
  <c r="E7292" i="3"/>
  <c r="E7228" i="3"/>
  <c r="E7164" i="3"/>
  <c r="D7078" i="3"/>
  <c r="A7078" i="6" s="1"/>
  <c r="D7014" i="3"/>
  <c r="A7014" i="6" s="1"/>
  <c r="D6950" i="3"/>
  <c r="A6950" i="6" s="1"/>
  <c r="D6886" i="3"/>
  <c r="A6886" i="6" s="1"/>
  <c r="D6822" i="3"/>
  <c r="A6822" i="6" s="1"/>
  <c r="D6758" i="3"/>
  <c r="A6758" i="6" s="1"/>
  <c r="D6694" i="3"/>
  <c r="A6694" i="6" s="1"/>
  <c r="D6630" i="3"/>
  <c r="A6630" i="6" s="1"/>
  <c r="D6566" i="3"/>
  <c r="A6566" i="6" s="1"/>
  <c r="D6502" i="3"/>
  <c r="A6502" i="6" s="1"/>
  <c r="D6438" i="3"/>
  <c r="A6438" i="6" s="1"/>
  <c r="D6374" i="3"/>
  <c r="A6374" i="6" s="1"/>
  <c r="D6310" i="3"/>
  <c r="A6310" i="6" s="1"/>
  <c r="D6246" i="3"/>
  <c r="A6246" i="6" s="1"/>
  <c r="D6182" i="3"/>
  <c r="A6182" i="6" s="1"/>
  <c r="D6118" i="3"/>
  <c r="A6118" i="6" s="1"/>
  <c r="D6054" i="3"/>
  <c r="A6054" i="6" s="1"/>
  <c r="D5990" i="3"/>
  <c r="A5990" i="6" s="1"/>
  <c r="D5926" i="3"/>
  <c r="A5926" i="6" s="1"/>
  <c r="D5862" i="3"/>
  <c r="A5862" i="6" s="1"/>
  <c r="D5798" i="3"/>
  <c r="A5798" i="6" s="1"/>
  <c r="D5734" i="3"/>
  <c r="A5734" i="6" s="1"/>
  <c r="D5670" i="3"/>
  <c r="A5670" i="6" s="1"/>
  <c r="D5606" i="3"/>
  <c r="A5606" i="6" s="1"/>
  <c r="D5542" i="3"/>
  <c r="A5542" i="6" s="1"/>
  <c r="D5478" i="3"/>
  <c r="A5478" i="6" s="1"/>
  <c r="D5414" i="3"/>
  <c r="A5414" i="6" s="1"/>
  <c r="D5350" i="3"/>
  <c r="A5350" i="6" s="1"/>
  <c r="D5286" i="3"/>
  <c r="A5286" i="6" s="1"/>
  <c r="E7085" i="3"/>
  <c r="E7021" i="3"/>
  <c r="E6957" i="3"/>
  <c r="E6893" i="3"/>
  <c r="E6829" i="3"/>
  <c r="E6765" i="3"/>
  <c r="E6701" i="3"/>
  <c r="E6637" i="3"/>
  <c r="E6573" i="3"/>
  <c r="E6509" i="3"/>
  <c r="E6445" i="3"/>
  <c r="E6381" i="3"/>
  <c r="E6317" i="3"/>
  <c r="E6253" i="3"/>
  <c r="E6189" i="3"/>
  <c r="E6125" i="3"/>
  <c r="E6061" i="3"/>
  <c r="E5997" i="3"/>
  <c r="E5933" i="3"/>
  <c r="E5869" i="3"/>
  <c r="E5805" i="3"/>
  <c r="E5741" i="3"/>
  <c r="E5677" i="3"/>
  <c r="E5613" i="3"/>
  <c r="E5549" i="3"/>
  <c r="E5485" i="3"/>
  <c r="E5421" i="3"/>
  <c r="E5357" i="3"/>
  <c r="E5293" i="3"/>
  <c r="D5229" i="3"/>
  <c r="A5229" i="6" s="1"/>
  <c r="D5165" i="3"/>
  <c r="A5165" i="6" s="1"/>
  <c r="D5101" i="3"/>
  <c r="A5101" i="6" s="1"/>
  <c r="D5037" i="3"/>
  <c r="A5037" i="6" s="1"/>
  <c r="D4973" i="3"/>
  <c r="A4973" i="6" s="1"/>
  <c r="D4909" i="3"/>
  <c r="A4909" i="6" s="1"/>
  <c r="D4845" i="3"/>
  <c r="A4845" i="6" s="1"/>
  <c r="D4781" i="3"/>
  <c r="A4781" i="6" s="1"/>
  <c r="D4717" i="3"/>
  <c r="A4717" i="6" s="1"/>
  <c r="D4653" i="3"/>
  <c r="A4653" i="6" s="1"/>
  <c r="D4589" i="3"/>
  <c r="A4589" i="6" s="1"/>
  <c r="D4525" i="3"/>
  <c r="A4525" i="6" s="1"/>
  <c r="D4461" i="3"/>
  <c r="A4461" i="6" s="1"/>
  <c r="D4397" i="3"/>
  <c r="A4397" i="6" s="1"/>
  <c r="D4333" i="3"/>
  <c r="A4333" i="6" s="1"/>
  <c r="D4269" i="3"/>
  <c r="A4269" i="6" s="1"/>
  <c r="D4205" i="3"/>
  <c r="A4205" i="6" s="1"/>
  <c r="D4141" i="3"/>
  <c r="A4141" i="6" s="1"/>
  <c r="D4077" i="3"/>
  <c r="A4077" i="6" s="1"/>
  <c r="D4013" i="3"/>
  <c r="A4013" i="6" s="1"/>
  <c r="D3949" i="3"/>
  <c r="A3949" i="6" s="1"/>
  <c r="D3885" i="3"/>
  <c r="A3885" i="6" s="1"/>
  <c r="D3821" i="3"/>
  <c r="A3821" i="6" s="1"/>
  <c r="D3757" i="3"/>
  <c r="A3757" i="6" s="1"/>
  <c r="D3693" i="3"/>
  <c r="A3693" i="6" s="1"/>
  <c r="D3629" i="3"/>
  <c r="A3629" i="6" s="1"/>
  <c r="D3565" i="3"/>
  <c r="A3565" i="6" s="1"/>
  <c r="D3501" i="3"/>
  <c r="A3501" i="6" s="1"/>
  <c r="E5258" i="3"/>
  <c r="E5194" i="3"/>
  <c r="E5130" i="3"/>
  <c r="E5066" i="3"/>
  <c r="E5002" i="3"/>
  <c r="E4938" i="3"/>
  <c r="E4874" i="3"/>
  <c r="E4810" i="3"/>
  <c r="E4746" i="3"/>
  <c r="E4682" i="3"/>
  <c r="E4618" i="3"/>
  <c r="E4554" i="3"/>
  <c r="E4490" i="3"/>
  <c r="E4426" i="3"/>
  <c r="E4362" i="3"/>
  <c r="E4298" i="3"/>
  <c r="E4234" i="3"/>
  <c r="E4170" i="3"/>
  <c r="E4106" i="3"/>
  <c r="E4042" i="3"/>
  <c r="E3978" i="3"/>
  <c r="E3914" i="3"/>
  <c r="E3850" i="3"/>
  <c r="E3786" i="3"/>
  <c r="E3722" i="3"/>
  <c r="E3658" i="3"/>
  <c r="E3594" i="3"/>
  <c r="E3530" i="3"/>
  <c r="E3466" i="3"/>
  <c r="D3402" i="3"/>
  <c r="A3402" i="6" s="1"/>
  <c r="D3338" i="3"/>
  <c r="A3338" i="6" s="1"/>
  <c r="D3274" i="3"/>
  <c r="A3274" i="6" s="1"/>
  <c r="D3210" i="3"/>
  <c r="A3210" i="6" s="1"/>
  <c r="D3146" i="3"/>
  <c r="A3146" i="6" s="1"/>
  <c r="D3082" i="3"/>
  <c r="A3082" i="6" s="1"/>
  <c r="D3018" i="3"/>
  <c r="A3018" i="6" s="1"/>
  <c r="D2954" i="3"/>
  <c r="A2954" i="6" s="1"/>
  <c r="D2890" i="3"/>
  <c r="A2890" i="6" s="1"/>
  <c r="D2826" i="3"/>
  <c r="A2826" i="6" s="1"/>
  <c r="D2762" i="3"/>
  <c r="A2762" i="6" s="1"/>
  <c r="D2698" i="3"/>
  <c r="A2698" i="6" s="1"/>
  <c r="D2634" i="3"/>
  <c r="A2634" i="6" s="1"/>
  <c r="D2570" i="3"/>
  <c r="A2570" i="6" s="1"/>
  <c r="E3415" i="3"/>
  <c r="E3351" i="3"/>
  <c r="E3287" i="3"/>
  <c r="E3223" i="3"/>
  <c r="E3159" i="3"/>
  <c r="E3095" i="3"/>
  <c r="E3031" i="3"/>
  <c r="E2967" i="3"/>
  <c r="E2903" i="3"/>
  <c r="E2839" i="3"/>
  <c r="E2775" i="3"/>
  <c r="E2711" i="3"/>
  <c r="E2647" i="3"/>
  <c r="E2583" i="3"/>
  <c r="D2523" i="3"/>
  <c r="A2523" i="6" s="1"/>
  <c r="D2459" i="3"/>
  <c r="A2459" i="6" s="1"/>
  <c r="D2395" i="3"/>
  <c r="A2395" i="6" s="1"/>
  <c r="D2331" i="3"/>
  <c r="A2331" i="6" s="1"/>
  <c r="D2267" i="3"/>
  <c r="A2267" i="6" s="1"/>
  <c r="D2203" i="3"/>
  <c r="A2203" i="6" s="1"/>
  <c r="D2139" i="3"/>
  <c r="A2139" i="6" s="1"/>
  <c r="D2075" i="3"/>
  <c r="A2075" i="6" s="1"/>
  <c r="D2011" i="3"/>
  <c r="A2011" i="6" s="1"/>
  <c r="D1947" i="3"/>
  <c r="A1947" i="6" s="1"/>
  <c r="D1883" i="3"/>
  <c r="A1883" i="6" s="1"/>
  <c r="D1819" i="3"/>
  <c r="A1819" i="6" s="1"/>
  <c r="D1755" i="3"/>
  <c r="A1755" i="6" s="1"/>
  <c r="D1691" i="3"/>
  <c r="A1691" i="6" s="1"/>
  <c r="D1627" i="3"/>
  <c r="A1627" i="6" s="1"/>
  <c r="E2466" i="3"/>
  <c r="E2402" i="3"/>
  <c r="E2338" i="3"/>
  <c r="E2274" i="3"/>
  <c r="E2210" i="3"/>
  <c r="E2146" i="3"/>
  <c r="E2082" i="3"/>
  <c r="E2018" i="3"/>
  <c r="E1954" i="3"/>
  <c r="E1890" i="3"/>
  <c r="E1826" i="3"/>
  <c r="E1762" i="3"/>
  <c r="E1698" i="3"/>
  <c r="E1634" i="3"/>
  <c r="D1571" i="3"/>
  <c r="A1571" i="6" s="1"/>
  <c r="D1507" i="3"/>
  <c r="A1507" i="6" s="1"/>
  <c r="D1443" i="3"/>
  <c r="A1443" i="6" s="1"/>
  <c r="D1379" i="3"/>
  <c r="A1379" i="6" s="1"/>
  <c r="D1315" i="3"/>
  <c r="A1315" i="6" s="1"/>
  <c r="D1251" i="3"/>
  <c r="A1251" i="6" s="1"/>
  <c r="D1175" i="3"/>
  <c r="A1175" i="6" s="1"/>
  <c r="E1576" i="3"/>
  <c r="E1512" i="3"/>
  <c r="E1448" i="3"/>
  <c r="E1384" i="3"/>
  <c r="E1320" i="3"/>
  <c r="E1256" i="3"/>
  <c r="D1185" i="3"/>
  <c r="A1185" i="6" s="1"/>
  <c r="E1156" i="3"/>
  <c r="D1092" i="3"/>
  <c r="A1092" i="6" s="1"/>
  <c r="D1028" i="3"/>
  <c r="A1028" i="6" s="1"/>
  <c r="D964" i="3"/>
  <c r="A964" i="6" s="1"/>
  <c r="D900" i="3"/>
  <c r="A900" i="6" s="1"/>
  <c r="D836" i="3"/>
  <c r="A836" i="6" s="1"/>
  <c r="D772" i="3"/>
  <c r="A772" i="6" s="1"/>
  <c r="E1107" i="3"/>
  <c r="E1043" i="3"/>
  <c r="E979" i="3"/>
  <c r="E915" i="3"/>
  <c r="E851" i="3"/>
  <c r="E787" i="3"/>
  <c r="E750" i="3"/>
  <c r="D686" i="3"/>
  <c r="A686" i="6" s="1"/>
  <c r="D622" i="3"/>
  <c r="A622" i="6" s="1"/>
  <c r="D558" i="3"/>
  <c r="A558" i="6" s="1"/>
  <c r="E669" i="3"/>
  <c r="E605" i="3"/>
  <c r="D540" i="3"/>
  <c r="A540" i="6" s="1"/>
  <c r="D476" i="3"/>
  <c r="A476" i="6" s="1"/>
  <c r="D412" i="3"/>
  <c r="A412" i="6" s="1"/>
  <c r="D348" i="3"/>
  <c r="A348" i="6" s="1"/>
  <c r="E509" i="3"/>
  <c r="E445" i="3"/>
  <c r="E381" i="3"/>
  <c r="D311" i="3"/>
  <c r="A311" i="6" s="1"/>
  <c r="D262" i="3"/>
  <c r="A262" i="6" s="1"/>
  <c r="E297" i="3"/>
  <c r="E233" i="3"/>
  <c r="D168" i="3"/>
  <c r="A168" i="6" s="1"/>
  <c r="E183" i="3"/>
  <c r="D8755" i="3"/>
  <c r="A8755" i="6" s="1"/>
  <c r="D8615" i="3"/>
  <c r="A8615" i="6" s="1"/>
  <c r="D8511" i="3"/>
  <c r="A8511" i="6" s="1"/>
  <c r="D8447" i="3"/>
  <c r="A8447" i="6" s="1"/>
  <c r="D8383" i="3"/>
  <c r="A8383" i="6" s="1"/>
  <c r="D8319" i="3"/>
  <c r="A8319" i="6" s="1"/>
  <c r="D8255" i="3"/>
  <c r="A8255" i="6" s="1"/>
  <c r="D8191" i="3"/>
  <c r="A8191" i="6" s="1"/>
  <c r="D8127" i="3"/>
  <c r="A8127" i="6" s="1"/>
  <c r="D8063" i="3"/>
  <c r="A8063" i="6" s="1"/>
  <c r="D7999" i="3"/>
  <c r="A7999" i="6" s="1"/>
  <c r="D7935" i="3"/>
  <c r="A7935" i="6" s="1"/>
  <c r="D7871" i="3"/>
  <c r="A7871" i="6" s="1"/>
  <c r="D7807" i="3"/>
  <c r="A7807" i="6" s="1"/>
  <c r="D7743" i="3"/>
  <c r="A7743" i="6" s="1"/>
  <c r="D7679" i="3"/>
  <c r="A7679" i="6" s="1"/>
  <c r="D7615" i="3"/>
  <c r="A7615" i="6" s="1"/>
  <c r="D7551" i="3"/>
  <c r="A7551" i="6" s="1"/>
  <c r="D7487" i="3"/>
  <c r="A7487" i="6" s="1"/>
  <c r="D7423" i="3"/>
  <c r="A7423" i="6" s="1"/>
  <c r="D7359" i="3"/>
  <c r="A7359" i="6" s="1"/>
  <c r="D7295" i="3"/>
  <c r="A7295" i="6" s="1"/>
  <c r="D7231" i="3"/>
  <c r="A7231" i="6" s="1"/>
  <c r="D7167" i="3"/>
  <c r="A7167" i="6" s="1"/>
  <c r="D8761" i="3"/>
  <c r="A8761" i="6" s="1"/>
  <c r="E8710" i="3"/>
  <c r="E8646" i="3"/>
  <c r="E8582" i="3"/>
  <c r="E8518" i="3"/>
  <c r="E8454" i="3"/>
  <c r="E8390" i="3"/>
  <c r="E8326" i="3"/>
  <c r="E8262" i="3"/>
  <c r="E8198" i="3"/>
  <c r="E8134" i="3"/>
  <c r="E8070" i="3"/>
  <c r="E8006" i="3"/>
  <c r="E7942" i="3"/>
  <c r="E7878" i="3"/>
  <c r="E7814" i="3"/>
  <c r="E7750" i="3"/>
  <c r="E7686" i="3"/>
  <c r="E7622" i="3"/>
  <c r="E7558" i="3"/>
  <c r="E7494" i="3"/>
  <c r="E7430" i="3"/>
  <c r="E7366" i="3"/>
  <c r="E7302" i="3"/>
  <c r="E7238" i="3"/>
  <c r="E7174" i="3"/>
  <c r="D7094" i="3"/>
  <c r="A7094" i="6" s="1"/>
  <c r="D7024" i="3"/>
  <c r="A7024" i="6" s="1"/>
  <c r="D6960" i="3"/>
  <c r="A6960" i="6" s="1"/>
  <c r="D6896" i="3"/>
  <c r="A6896" i="6" s="1"/>
  <c r="D6832" i="3"/>
  <c r="A6832" i="6" s="1"/>
  <c r="D6768" i="3"/>
  <c r="A6768" i="6" s="1"/>
  <c r="D6704" i="3"/>
  <c r="A6704" i="6" s="1"/>
  <c r="D6640" i="3"/>
  <c r="A6640" i="6" s="1"/>
  <c r="D6576" i="3"/>
  <c r="A6576" i="6" s="1"/>
  <c r="D6512" i="3"/>
  <c r="A6512" i="6" s="1"/>
  <c r="D6448" i="3"/>
  <c r="A6448" i="6" s="1"/>
  <c r="D6384" i="3"/>
  <c r="A6384" i="6" s="1"/>
  <c r="D6320" i="3"/>
  <c r="A6320" i="6" s="1"/>
  <c r="D6256" i="3"/>
  <c r="A6256" i="6" s="1"/>
  <c r="D6192" i="3"/>
  <c r="A6192" i="6" s="1"/>
  <c r="D6128" i="3"/>
  <c r="A6128" i="6" s="1"/>
  <c r="D6064" i="3"/>
  <c r="A6064" i="6" s="1"/>
  <c r="E5940" i="3"/>
  <c r="E5876" i="3"/>
  <c r="E5812" i="3"/>
  <c r="E5748" i="3"/>
  <c r="E5684" i="3"/>
  <c r="E5620" i="3"/>
  <c r="E5556" i="3"/>
  <c r="E5492" i="3"/>
  <c r="E5428" i="3"/>
  <c r="E5364" i="3"/>
  <c r="E5300" i="3"/>
  <c r="D7099" i="3"/>
  <c r="D7035" i="3"/>
  <c r="D6971" i="3"/>
  <c r="D6907" i="3"/>
  <c r="D6843" i="3"/>
  <c r="D6779" i="3"/>
  <c r="D6715" i="3"/>
  <c r="D6651" i="3"/>
  <c r="D6587" i="3"/>
  <c r="D6523" i="3"/>
  <c r="D6459" i="3"/>
  <c r="D6395" i="3"/>
  <c r="D6331" i="3"/>
  <c r="D6267" i="3"/>
  <c r="D6203" i="3"/>
  <c r="D6139" i="3"/>
  <c r="D6075" i="3"/>
  <c r="D6011" i="3"/>
  <c r="D5947" i="3"/>
  <c r="D5883" i="3"/>
  <c r="D5819" i="3"/>
  <c r="D5755" i="3"/>
  <c r="D5691" i="3"/>
  <c r="D5627" i="3"/>
  <c r="D5563" i="3"/>
  <c r="D5499" i="3"/>
  <c r="D5435" i="3"/>
  <c r="D5371" i="3"/>
  <c r="D5307" i="3"/>
  <c r="E5243" i="3"/>
  <c r="E5179" i="3"/>
  <c r="E5115" i="3"/>
  <c r="E5051" i="3"/>
  <c r="E4987" i="3"/>
  <c r="E4923" i="3"/>
  <c r="E4859" i="3"/>
  <c r="E4795" i="3"/>
  <c r="E4731" i="3"/>
  <c r="E4667" i="3"/>
  <c r="E4603" i="3"/>
  <c r="E4539" i="3"/>
  <c r="E4475" i="3"/>
  <c r="E4411" i="3"/>
  <c r="E4347" i="3"/>
  <c r="E4283" i="3"/>
  <c r="E4219" i="3"/>
  <c r="E4155" i="3"/>
  <c r="E4091" i="3"/>
  <c r="E4027" i="3"/>
  <c r="E3963" i="3"/>
  <c r="E3899" i="3"/>
  <c r="E3835" i="3"/>
  <c r="E3771" i="3"/>
  <c r="E3707" i="3"/>
  <c r="E3643" i="3"/>
  <c r="E3579" i="3"/>
  <c r="E3515" i="3"/>
  <c r="E3451" i="3"/>
  <c r="D5208" i="3"/>
  <c r="D5144" i="3"/>
  <c r="D5080" i="3"/>
  <c r="D5016" i="3"/>
  <c r="D4952" i="3"/>
  <c r="D4888" i="3"/>
  <c r="D4824" i="3"/>
  <c r="D4760" i="3"/>
  <c r="D4696" i="3"/>
  <c r="D4632" i="3"/>
  <c r="D4568" i="3"/>
  <c r="D4504" i="3"/>
  <c r="D4440" i="3"/>
  <c r="D4376" i="3"/>
  <c r="D4312" i="3"/>
  <c r="D4248" i="3"/>
  <c r="D4184" i="3"/>
  <c r="D4120" i="3"/>
  <c r="D4056" i="3"/>
  <c r="D3992" i="3"/>
  <c r="D3928" i="3"/>
  <c r="D3864" i="3"/>
  <c r="D3800" i="3"/>
  <c r="D3736" i="3"/>
  <c r="D3672" i="3"/>
  <c r="D3608" i="3"/>
  <c r="D3544" i="3"/>
  <c r="D3480" i="3"/>
  <c r="E3416" i="3"/>
  <c r="E3352" i="3"/>
  <c r="E3288" i="3"/>
  <c r="E3224" i="3"/>
  <c r="E3160" i="3"/>
  <c r="E3096" i="3"/>
  <c r="E3032" i="3"/>
  <c r="E2968" i="3"/>
  <c r="E2904" i="3"/>
  <c r="E2840" i="3"/>
  <c r="E2776" i="3"/>
  <c r="E2712" i="3"/>
  <c r="E2648" i="3"/>
  <c r="E2584" i="3"/>
  <c r="D3429" i="3"/>
  <c r="D3365" i="3"/>
  <c r="D3301" i="3"/>
  <c r="D3237" i="3"/>
  <c r="D3173" i="3"/>
  <c r="D3109" i="3"/>
  <c r="D3045" i="3"/>
  <c r="D2981" i="3"/>
  <c r="D2917" i="3"/>
  <c r="D2853" i="3"/>
  <c r="D2789" i="3"/>
  <c r="D2725" i="3"/>
  <c r="D2661" i="3"/>
  <c r="D2597" i="3"/>
  <c r="E2530" i="3"/>
  <c r="E2473" i="3"/>
  <c r="E2409" i="3"/>
  <c r="E2345" i="3"/>
  <c r="E2281" i="3"/>
  <c r="E2217" i="3"/>
  <c r="E2153" i="3"/>
  <c r="E2089" i="3"/>
  <c r="E2025" i="3"/>
  <c r="E1961" i="3"/>
  <c r="E1897" i="3"/>
  <c r="E1833" i="3"/>
  <c r="E1769" i="3"/>
  <c r="E1705" i="3"/>
  <c r="E1641" i="3"/>
  <c r="D2480" i="3"/>
  <c r="D2416" i="3"/>
  <c r="D2352" i="3"/>
  <c r="D2288" i="3"/>
  <c r="D2224" i="3"/>
  <c r="D2160" i="3"/>
  <c r="D2096" i="3"/>
  <c r="D2032" i="3"/>
  <c r="D1968" i="3"/>
  <c r="D1904" i="3"/>
  <c r="D1840" i="3"/>
  <c r="D1776" i="3"/>
  <c r="D1712" i="3"/>
  <c r="D1648" i="3"/>
  <c r="E1585" i="3"/>
  <c r="E1521" i="3"/>
  <c r="E1457" i="3"/>
  <c r="E1393" i="3"/>
  <c r="E1329" i="3"/>
  <c r="E1265" i="3"/>
  <c r="E1201" i="3"/>
  <c r="D1590" i="3"/>
  <c r="D1526" i="3"/>
  <c r="D1462" i="3"/>
  <c r="D1398" i="3"/>
  <c r="D1334" i="3"/>
  <c r="D1270" i="3"/>
  <c r="D1206" i="3"/>
  <c r="D1170" i="3"/>
  <c r="E1106" i="3"/>
  <c r="E1042" i="3"/>
  <c r="E978" i="3"/>
  <c r="E914" i="3"/>
  <c r="E850" i="3"/>
  <c r="E786" i="3"/>
  <c r="D1121" i="3"/>
  <c r="D1057" i="3"/>
  <c r="D993" i="3"/>
  <c r="D929" i="3"/>
  <c r="D865" i="3"/>
  <c r="D801" i="3"/>
  <c r="D764" i="3"/>
  <c r="E700" i="3"/>
  <c r="E636" i="3"/>
  <c r="E572" i="3"/>
  <c r="D683" i="3"/>
  <c r="D619" i="3"/>
  <c r="D555" i="3"/>
  <c r="E490" i="3"/>
  <c r="E426" i="3"/>
  <c r="E362" i="3"/>
  <c r="D523" i="3"/>
  <c r="D459" i="3"/>
  <c r="D395" i="3"/>
  <c r="D331" i="3"/>
  <c r="E276" i="3"/>
  <c r="E212" i="3"/>
  <c r="D247" i="3"/>
  <c r="E182" i="3"/>
  <c r="D197" i="3"/>
  <c r="D5932" i="3"/>
  <c r="D5868" i="3"/>
  <c r="D5804" i="3"/>
  <c r="D5740" i="3"/>
  <c r="D5676" i="3"/>
  <c r="D5612" i="3"/>
  <c r="D5548" i="3"/>
  <c r="D5484" i="3"/>
  <c r="D5420" i="3"/>
  <c r="D5356" i="3"/>
  <c r="D5292" i="3"/>
  <c r="E7091" i="3"/>
  <c r="E7027" i="3"/>
  <c r="E6963" i="3"/>
  <c r="E6899" i="3"/>
  <c r="E6835" i="3"/>
  <c r="E6771" i="3"/>
  <c r="E6707" i="3"/>
  <c r="E6643" i="3"/>
  <c r="E6579" i="3"/>
  <c r="E6515" i="3"/>
  <c r="E6451" i="3"/>
  <c r="E6387" i="3"/>
  <c r="E6323" i="3"/>
  <c r="E6259" i="3"/>
  <c r="E6195" i="3"/>
  <c r="E6131" i="3"/>
  <c r="E6067" i="3"/>
  <c r="E6003" i="3"/>
  <c r="E5939" i="3"/>
  <c r="E5875" i="3"/>
  <c r="E5811" i="3"/>
  <c r="E5747" i="3"/>
  <c r="E5683" i="3"/>
  <c r="E5619" i="3"/>
  <c r="E5555" i="3"/>
  <c r="E5491" i="3"/>
  <c r="E5427" i="3"/>
  <c r="E5363" i="3"/>
  <c r="E5299" i="3"/>
  <c r="D5235" i="3"/>
  <c r="D5171" i="3"/>
  <c r="D5107" i="3"/>
  <c r="D5043" i="3"/>
  <c r="D4979" i="3"/>
  <c r="D4915" i="3"/>
  <c r="D4851" i="3"/>
  <c r="D4787" i="3"/>
  <c r="D4723" i="3"/>
  <c r="D4659" i="3"/>
  <c r="D4595" i="3"/>
  <c r="D4531" i="3"/>
  <c r="D4467" i="3"/>
  <c r="D4403" i="3"/>
  <c r="D4339" i="3"/>
  <c r="D4275" i="3"/>
  <c r="D4211" i="3"/>
  <c r="D4147" i="3"/>
  <c r="D4083" i="3"/>
  <c r="D4019" i="3"/>
  <c r="D3955" i="3"/>
  <c r="D3891" i="3"/>
  <c r="D3827" i="3"/>
  <c r="D3763" i="3"/>
  <c r="D3699" i="3"/>
  <c r="D3635" i="3"/>
  <c r="D3571" i="3"/>
  <c r="D3507" i="3"/>
  <c r="D3443" i="3"/>
  <c r="E5200" i="3"/>
  <c r="E5136" i="3"/>
  <c r="E5072" i="3"/>
  <c r="E5008" i="3"/>
  <c r="E4944" i="3"/>
  <c r="E4880" i="3"/>
  <c r="E4816" i="3"/>
  <c r="E4752" i="3"/>
  <c r="E4688" i="3"/>
  <c r="E4624" i="3"/>
  <c r="E4560" i="3"/>
  <c r="E4496" i="3"/>
  <c r="E4432" i="3"/>
  <c r="E4368" i="3"/>
  <c r="E4304" i="3"/>
  <c r="E4240" i="3"/>
  <c r="E4176" i="3"/>
  <c r="E4112" i="3"/>
  <c r="E4048" i="3"/>
  <c r="E3984" i="3"/>
  <c r="E3920" i="3"/>
  <c r="E3856" i="3"/>
  <c r="E3792" i="3"/>
  <c r="E3728" i="3"/>
  <c r="E3664" i="3"/>
  <c r="E3600" i="3"/>
  <c r="E3536" i="3"/>
  <c r="E3472" i="3"/>
  <c r="D3408" i="3"/>
  <c r="D3344" i="3"/>
  <c r="D3280" i="3"/>
  <c r="D3216" i="3"/>
  <c r="D3152" i="3"/>
  <c r="D3088" i="3"/>
  <c r="D3024" i="3"/>
  <c r="D2960" i="3"/>
  <c r="D2896" i="3"/>
  <c r="D2832" i="3"/>
  <c r="D2768" i="3"/>
  <c r="D2704" i="3"/>
  <c r="D2640" i="3"/>
  <c r="D2576" i="3"/>
  <c r="E3421" i="3"/>
  <c r="E3357" i="3"/>
  <c r="E3293" i="3"/>
  <c r="E3229" i="3"/>
  <c r="E3165" i="3"/>
  <c r="E3101" i="3"/>
  <c r="E3037" i="3"/>
  <c r="E2973" i="3"/>
  <c r="E2909" i="3"/>
  <c r="E2845" i="3"/>
  <c r="E2781" i="3"/>
  <c r="E2717" i="3"/>
  <c r="E2653" i="3"/>
  <c r="E2589" i="3"/>
  <c r="E2529" i="3"/>
  <c r="D2465" i="3"/>
  <c r="D2401" i="3"/>
  <c r="D2337" i="3"/>
  <c r="D2273" i="3"/>
  <c r="D2209" i="3"/>
  <c r="D2145" i="3"/>
  <c r="D2081" i="3"/>
  <c r="D2017" i="3"/>
  <c r="D1953" i="3"/>
  <c r="D1889" i="3"/>
  <c r="D1825" i="3"/>
  <c r="D1761" i="3"/>
  <c r="D1697" i="3"/>
  <c r="D1633" i="3"/>
  <c r="E2472" i="3"/>
  <c r="E2408" i="3"/>
  <c r="E2344" i="3"/>
  <c r="E2280" i="3"/>
  <c r="E2216" i="3"/>
  <c r="E2152" i="3"/>
  <c r="E2088" i="3"/>
  <c r="E2024" i="3"/>
  <c r="E1960" i="3"/>
  <c r="E1896" i="3"/>
  <c r="E1832" i="3"/>
  <c r="E1768" i="3"/>
  <c r="E1704" i="3"/>
  <c r="E1640" i="3"/>
  <c r="D1577" i="3"/>
  <c r="D1513" i="3"/>
  <c r="D1449" i="3"/>
  <c r="D1385" i="3"/>
  <c r="D1321" i="3"/>
  <c r="D1257" i="3"/>
  <c r="D1187" i="3"/>
  <c r="E1582" i="3"/>
  <c r="E1518" i="3"/>
  <c r="E1454" i="3"/>
  <c r="E1390" i="3"/>
  <c r="E1326" i="3"/>
  <c r="E1262" i="3"/>
  <c r="D1197" i="3"/>
  <c r="E1162" i="3"/>
  <c r="D1098" i="3"/>
  <c r="D1034" i="3"/>
  <c r="D970" i="3"/>
  <c r="D906" i="3"/>
  <c r="D842" i="3"/>
  <c r="D778" i="3"/>
  <c r="E1113" i="3"/>
  <c r="E1049" i="3"/>
  <c r="E985" i="3"/>
  <c r="E921" i="3"/>
  <c r="E857" i="3"/>
  <c r="E793" i="3"/>
  <c r="E756" i="3"/>
  <c r="D692" i="3"/>
  <c r="D628" i="3"/>
  <c r="D564" i="3"/>
  <c r="E675" i="3"/>
  <c r="E611" i="3"/>
  <c r="E547" i="3"/>
  <c r="D482" i="3"/>
  <c r="D418" i="3"/>
  <c r="D354" i="3"/>
  <c r="E515" i="3"/>
  <c r="E451" i="3"/>
  <c r="E387" i="3"/>
  <c r="D323" i="3"/>
  <c r="D268" i="3"/>
  <c r="E303" i="3"/>
  <c r="E239" i="3"/>
  <c r="D174" i="3"/>
  <c r="E189" i="3"/>
  <c r="D6060" i="3"/>
  <c r="A6060" i="6" s="1"/>
  <c r="E5800" i="3"/>
  <c r="E5736" i="3"/>
  <c r="E5672" i="3"/>
  <c r="E5608" i="3"/>
  <c r="E5544" i="3"/>
  <c r="E5480" i="3"/>
  <c r="E5416" i="3"/>
  <c r="E5352" i="3"/>
  <c r="E5288" i="3"/>
  <c r="D7087" i="3"/>
  <c r="D7023" i="3"/>
  <c r="D6959" i="3"/>
  <c r="D6895" i="3"/>
  <c r="D6831" i="3"/>
  <c r="D6767" i="3"/>
  <c r="D6703" i="3"/>
  <c r="D6639" i="3"/>
  <c r="D6575" i="3"/>
  <c r="D6511" i="3"/>
  <c r="D6447" i="3"/>
  <c r="D6383" i="3"/>
  <c r="D6319" i="3"/>
  <c r="D6255" i="3"/>
  <c r="D6191" i="3"/>
  <c r="D6127" i="3"/>
  <c r="D6063" i="3"/>
  <c r="D5999" i="3"/>
  <c r="D5935" i="3"/>
  <c r="D5871" i="3"/>
  <c r="D5807" i="3"/>
  <c r="D5743" i="3"/>
  <c r="D5679" i="3"/>
  <c r="D5615" i="3"/>
  <c r="D5551" i="3"/>
  <c r="D5487" i="3"/>
  <c r="D5423" i="3"/>
  <c r="D5359" i="3"/>
  <c r="D5295" i="3"/>
  <c r="E5231" i="3"/>
  <c r="E5167" i="3"/>
  <c r="E5103" i="3"/>
  <c r="E5039" i="3"/>
  <c r="E4975" i="3"/>
  <c r="E4911" i="3"/>
  <c r="E4847" i="3"/>
  <c r="E4783" i="3"/>
  <c r="E4719" i="3"/>
  <c r="E4655" i="3"/>
  <c r="E4591" i="3"/>
  <c r="E4527" i="3"/>
  <c r="E4463" i="3"/>
  <c r="E4399" i="3"/>
  <c r="E4335" i="3"/>
  <c r="E4271" i="3"/>
  <c r="E4207" i="3"/>
  <c r="E4143" i="3"/>
  <c r="E4079" i="3"/>
  <c r="E4015" i="3"/>
  <c r="E3951" i="3"/>
  <c r="E3887" i="3"/>
  <c r="E3823" i="3"/>
  <c r="E3759" i="3"/>
  <c r="E3695" i="3"/>
  <c r="E3631" i="3"/>
  <c r="E3567" i="3"/>
  <c r="E3503" i="3"/>
  <c r="D5260" i="3"/>
  <c r="D5196" i="3"/>
  <c r="D5132" i="3"/>
  <c r="D5068" i="3"/>
  <c r="D5004" i="3"/>
  <c r="D4940" i="3"/>
  <c r="D4876" i="3"/>
  <c r="D4812" i="3"/>
  <c r="D4748" i="3"/>
  <c r="D4684" i="3"/>
  <c r="D4620" i="3"/>
  <c r="D4556" i="3"/>
  <c r="D4492" i="3"/>
  <c r="D4428" i="3"/>
  <c r="D4364" i="3"/>
  <c r="D4300" i="3"/>
  <c r="D4236" i="3"/>
  <c r="D4172" i="3"/>
  <c r="D4108" i="3"/>
  <c r="D4044" i="3"/>
  <c r="D3980" i="3"/>
  <c r="D3916" i="3"/>
  <c r="D3852" i="3"/>
  <c r="D3788" i="3"/>
  <c r="D3724" i="3"/>
  <c r="D3660" i="3"/>
  <c r="D3596" i="3"/>
  <c r="D3532" i="3"/>
  <c r="D3468" i="3"/>
  <c r="E3404" i="3"/>
  <c r="E3340" i="3"/>
  <c r="E3276" i="3"/>
  <c r="E3212" i="3"/>
  <c r="E3148" i="3"/>
  <c r="E3084" i="3"/>
  <c r="E3020" i="3"/>
  <c r="E2956" i="3"/>
  <c r="E2892" i="3"/>
  <c r="E2828" i="3"/>
  <c r="E2764" i="3"/>
  <c r="E2700" i="3"/>
  <c r="E2636" i="3"/>
  <c r="E2572" i="3"/>
  <c r="D3417" i="3"/>
  <c r="D3353" i="3"/>
  <c r="D3289" i="3"/>
  <c r="D3225" i="3"/>
  <c r="D3161" i="3"/>
  <c r="D3097" i="3"/>
  <c r="D3033" i="3"/>
  <c r="D2969" i="3"/>
  <c r="D2905" i="3"/>
  <c r="D2841" i="3"/>
  <c r="D2777" i="3"/>
  <c r="D2713" i="3"/>
  <c r="D2649" i="3"/>
  <c r="D2585" i="3"/>
  <c r="E2525" i="3"/>
  <c r="E2461" i="3"/>
  <c r="E2397" i="3"/>
  <c r="E2333" i="3"/>
  <c r="E2269" i="3"/>
  <c r="E2205" i="3"/>
  <c r="E2141" i="3"/>
  <c r="E2077" i="3"/>
  <c r="E2013" i="3"/>
  <c r="E1949" i="3"/>
  <c r="E1885" i="3"/>
  <c r="E1821" i="3"/>
  <c r="E1757" i="3"/>
  <c r="E1693" i="3"/>
  <c r="E1629" i="3"/>
  <c r="D2468" i="3"/>
  <c r="D2404" i="3"/>
  <c r="D2340" i="3"/>
  <c r="D2276" i="3"/>
  <c r="D2212" i="3"/>
  <c r="D2148" i="3"/>
  <c r="D2084" i="3"/>
  <c r="D2020" i="3"/>
  <c r="D1956" i="3"/>
  <c r="D1892" i="3"/>
  <c r="D1828" i="3"/>
  <c r="D1764" i="3"/>
  <c r="D1700" i="3"/>
  <c r="D1636" i="3"/>
  <c r="E1573" i="3"/>
  <c r="E1509" i="3"/>
  <c r="E1445" i="3"/>
  <c r="E1381" i="3"/>
  <c r="E1317" i="3"/>
  <c r="E1253" i="3"/>
  <c r="E1179" i="3"/>
  <c r="D1578" i="3"/>
  <c r="D1514" i="3"/>
  <c r="D1450" i="3"/>
  <c r="D1386" i="3"/>
  <c r="D1322" i="3"/>
  <c r="D1258" i="3"/>
  <c r="E1189" i="3"/>
  <c r="D1158" i="3"/>
  <c r="E1094" i="3"/>
  <c r="E1030" i="3"/>
  <c r="E966" i="3"/>
  <c r="E902" i="3"/>
  <c r="E838" i="3"/>
  <c r="E774" i="3"/>
  <c r="D1109" i="3"/>
  <c r="D1045" i="3"/>
  <c r="D981" i="3"/>
  <c r="D917" i="3"/>
  <c r="D853" i="3"/>
  <c r="D789" i="3"/>
  <c r="D752" i="3"/>
  <c r="E688" i="3"/>
  <c r="E624" i="3"/>
  <c r="E560" i="3"/>
  <c r="D671" i="3"/>
  <c r="D607" i="3"/>
  <c r="E542" i="3"/>
  <c r="E478" i="3"/>
  <c r="E414" i="3"/>
  <c r="E350" i="3"/>
  <c r="D511" i="3"/>
  <c r="D447" i="3"/>
  <c r="D383" i="3"/>
  <c r="E315" i="3"/>
  <c r="E264" i="3"/>
  <c r="D299" i="3"/>
  <c r="D235" i="3"/>
  <c r="E170" i="3"/>
  <c r="D185" i="3"/>
  <c r="D6000" i="3"/>
  <c r="A6000" i="6" s="1"/>
  <c r="D5928" i="3"/>
  <c r="D5864" i="3"/>
  <c r="D5800" i="3"/>
  <c r="D5736" i="3"/>
  <c r="D5672" i="3"/>
  <c r="D5608" i="3"/>
  <c r="D5544" i="3"/>
  <c r="D5480" i="3"/>
  <c r="D5416" i="3"/>
  <c r="D5352" i="3"/>
  <c r="D5288" i="3"/>
  <c r="E7087" i="3"/>
  <c r="E7023" i="3"/>
  <c r="E6959" i="3"/>
  <c r="E6895" i="3"/>
  <c r="E6831" i="3"/>
  <c r="E6767" i="3"/>
  <c r="E6703" i="3"/>
  <c r="E6639" i="3"/>
  <c r="E6575" i="3"/>
  <c r="E6511" i="3"/>
  <c r="E6447" i="3"/>
  <c r="E6383" i="3"/>
  <c r="E6319" i="3"/>
  <c r="E6255" i="3"/>
  <c r="E6191" i="3"/>
  <c r="E6127" i="3"/>
  <c r="E6063" i="3"/>
  <c r="E5999" i="3"/>
  <c r="E5935" i="3"/>
  <c r="E5871" i="3"/>
  <c r="E5807" i="3"/>
  <c r="E5743" i="3"/>
  <c r="E5679" i="3"/>
  <c r="E5615" i="3"/>
  <c r="E5551" i="3"/>
  <c r="E5487" i="3"/>
  <c r="E5423" i="3"/>
  <c r="E5359" i="3"/>
  <c r="E5295" i="3"/>
  <c r="D5231" i="3"/>
  <c r="D5167" i="3"/>
  <c r="D5103" i="3"/>
  <c r="D5039" i="3"/>
  <c r="D4975" i="3"/>
  <c r="D4911" i="3"/>
  <c r="D4847" i="3"/>
  <c r="D4783" i="3"/>
  <c r="D4719" i="3"/>
  <c r="D4655" i="3"/>
  <c r="D4591" i="3"/>
  <c r="D4527" i="3"/>
  <c r="D4463" i="3"/>
  <c r="D4399" i="3"/>
  <c r="D4335" i="3"/>
  <c r="D4271" i="3"/>
  <c r="D4207" i="3"/>
  <c r="D4143" i="3"/>
  <c r="D4079" i="3"/>
  <c r="D4015" i="3"/>
  <c r="D3951" i="3"/>
  <c r="D3887" i="3"/>
  <c r="D3823" i="3"/>
  <c r="D3759" i="3"/>
  <c r="D3695" i="3"/>
  <c r="D3631" i="3"/>
  <c r="D3567" i="3"/>
  <c r="D3503" i="3"/>
  <c r="E5260" i="3"/>
  <c r="E5196" i="3"/>
  <c r="E5132" i="3"/>
  <c r="E5068" i="3"/>
  <c r="E5004" i="3"/>
  <c r="E4940" i="3"/>
  <c r="E4876" i="3"/>
  <c r="E4812" i="3"/>
  <c r="E4748" i="3"/>
  <c r="E4684" i="3"/>
  <c r="E4620" i="3"/>
  <c r="E4556" i="3"/>
  <c r="E4492" i="3"/>
  <c r="E4428" i="3"/>
  <c r="E4364" i="3"/>
  <c r="E4300" i="3"/>
  <c r="E4236" i="3"/>
  <c r="E4172" i="3"/>
  <c r="E4108" i="3"/>
  <c r="E4044" i="3"/>
  <c r="E3980" i="3"/>
  <c r="E3916" i="3"/>
  <c r="E3852" i="3"/>
  <c r="E3788" i="3"/>
  <c r="E3724" i="3"/>
  <c r="E3660" i="3"/>
  <c r="E3596" i="3"/>
  <c r="E3532" i="3"/>
  <c r="E3468" i="3"/>
  <c r="D3404" i="3"/>
  <c r="D3340" i="3"/>
  <c r="D3276" i="3"/>
  <c r="D3212" i="3"/>
  <c r="D3148" i="3"/>
  <c r="D3084" i="3"/>
  <c r="D3020" i="3"/>
  <c r="D2956" i="3"/>
  <c r="D2892" i="3"/>
  <c r="D2828" i="3"/>
  <c r="D2764" i="3"/>
  <c r="D2700" i="3"/>
  <c r="D2636" i="3"/>
  <c r="D2572" i="3"/>
  <c r="E3417" i="3"/>
  <c r="E3353" i="3"/>
  <c r="E3289" i="3"/>
  <c r="E3225" i="3"/>
  <c r="E3161" i="3"/>
  <c r="E3097" i="3"/>
  <c r="E3033" i="3"/>
  <c r="E2969" i="3"/>
  <c r="E2905" i="3"/>
  <c r="E2841" i="3"/>
  <c r="E2777" i="3"/>
  <c r="E2713" i="3"/>
  <c r="E2649" i="3"/>
  <c r="E2585" i="3"/>
  <c r="D2525" i="3"/>
  <c r="D2461" i="3"/>
  <c r="D2397" i="3"/>
  <c r="D2333" i="3"/>
  <c r="D2269" i="3"/>
  <c r="D2205" i="3"/>
  <c r="D2141" i="3"/>
  <c r="D2077" i="3"/>
  <c r="D2013" i="3"/>
  <c r="D1949" i="3"/>
  <c r="D1885" i="3"/>
  <c r="D1821" i="3"/>
  <c r="D1757" i="3"/>
  <c r="D1693" i="3"/>
  <c r="D1629" i="3"/>
  <c r="E2468" i="3"/>
  <c r="E2404" i="3"/>
  <c r="E2340" i="3"/>
  <c r="E2276" i="3"/>
  <c r="E2212" i="3"/>
  <c r="E2148" i="3"/>
  <c r="E2084" i="3"/>
  <c r="E2020" i="3"/>
  <c r="E1956" i="3"/>
  <c r="E1892" i="3"/>
  <c r="E1828" i="3"/>
  <c r="E1764" i="3"/>
  <c r="E1700" i="3"/>
  <c r="E1636" i="3"/>
  <c r="D1573" i="3"/>
  <c r="D1509" i="3"/>
  <c r="D1445" i="3"/>
  <c r="D1381" i="3"/>
  <c r="D1317" i="3"/>
  <c r="D1253" i="3"/>
  <c r="E8737" i="3"/>
  <c r="E8603" i="3"/>
  <c r="E8717" i="3"/>
  <c r="E8653" i="3"/>
  <c r="E8589" i="3"/>
  <c r="E8525" i="3"/>
  <c r="E8461" i="3"/>
  <c r="E8397" i="3"/>
  <c r="E8333" i="3"/>
  <c r="E8269" i="3"/>
  <c r="E8205" i="3"/>
  <c r="E8141" i="3"/>
  <c r="E8077" i="3"/>
  <c r="E8013" i="3"/>
  <c r="E7949" i="3"/>
  <c r="E7885" i="3"/>
  <c r="E7821" i="3"/>
  <c r="E7757" i="3"/>
  <c r="E7693" i="3"/>
  <c r="E7629" i="3"/>
  <c r="E7565" i="3"/>
  <c r="E7501" i="3"/>
  <c r="E7437" i="3"/>
  <c r="E7373" i="3"/>
  <c r="E7309" i="3"/>
  <c r="E7245" i="3"/>
  <c r="E7181" i="3"/>
  <c r="E7108" i="3"/>
  <c r="D8724" i="3"/>
  <c r="A8724" i="6" s="1"/>
  <c r="D8660" i="3"/>
  <c r="A8660" i="6" s="1"/>
  <c r="D8596" i="3"/>
  <c r="A8596" i="6" s="1"/>
  <c r="D8532" i="3"/>
  <c r="A8532" i="6" s="1"/>
  <c r="D8468" i="3"/>
  <c r="A8468" i="6" s="1"/>
  <c r="D8404" i="3"/>
  <c r="A8404" i="6" s="1"/>
  <c r="D8340" i="3"/>
  <c r="A8340" i="6" s="1"/>
  <c r="D8276" i="3"/>
  <c r="A8276" i="6" s="1"/>
  <c r="D8212" i="3"/>
  <c r="A8212" i="6" s="1"/>
  <c r="D8148" i="3"/>
  <c r="A8148" i="6" s="1"/>
  <c r="D8084" i="3"/>
  <c r="A8084" i="6" s="1"/>
  <c r="D8020" i="3"/>
  <c r="A8020" i="6" s="1"/>
  <c r="D7956" i="3"/>
  <c r="A7956" i="6" s="1"/>
  <c r="D7892" i="3"/>
  <c r="A7892" i="6" s="1"/>
  <c r="D7828" i="3"/>
  <c r="A7828" i="6" s="1"/>
  <c r="D7764" i="3"/>
  <c r="A7764" i="6" s="1"/>
  <c r="D7700" i="3"/>
  <c r="A7700" i="6" s="1"/>
  <c r="D7636" i="3"/>
  <c r="A7636" i="6" s="1"/>
  <c r="D7572" i="3"/>
  <c r="A7572" i="6" s="1"/>
  <c r="D7508" i="3"/>
  <c r="A7508" i="6" s="1"/>
  <c r="D7444" i="3"/>
  <c r="A7444" i="6" s="1"/>
  <c r="D7380" i="3"/>
  <c r="A7380" i="6" s="1"/>
  <c r="D7316" i="3"/>
  <c r="A7316" i="6" s="1"/>
  <c r="D7252" i="3"/>
  <c r="A7252" i="6" s="1"/>
  <c r="D7188" i="3"/>
  <c r="A7188" i="6" s="1"/>
  <c r="E7122" i="3"/>
  <c r="E7038" i="3"/>
  <c r="E6974" i="3"/>
  <c r="E6910" i="3"/>
  <c r="E6846" i="3"/>
  <c r="E6782" i="3"/>
  <c r="E6718" i="3"/>
  <c r="E6654" i="3"/>
  <c r="E6590" i="3"/>
  <c r="E6526" i="3"/>
  <c r="E6462" i="3"/>
  <c r="E6398" i="3"/>
  <c r="E6334" i="3"/>
  <c r="E6270" i="3"/>
  <c r="E6206" i="3"/>
  <c r="E6142" i="3"/>
  <c r="E6078" i="3"/>
  <c r="E6014" i="3"/>
  <c r="E5950" i="3"/>
  <c r="E5886" i="3"/>
  <c r="E5822" i="3"/>
  <c r="E5758" i="3"/>
  <c r="E5694" i="3"/>
  <c r="E5630" i="3"/>
  <c r="E5566" i="3"/>
  <c r="E5502" i="3"/>
  <c r="E5438" i="3"/>
  <c r="E5374" i="3"/>
  <c r="E5310" i="3"/>
  <c r="D7109" i="3"/>
  <c r="A7109" i="6" s="1"/>
  <c r="D7045" i="3"/>
  <c r="A7045" i="6" s="1"/>
  <c r="D6981" i="3"/>
  <c r="A6981" i="6" s="1"/>
  <c r="D6917" i="3"/>
  <c r="A6917" i="6" s="1"/>
  <c r="D6853" i="3"/>
  <c r="A6853" i="6" s="1"/>
  <c r="D6789" i="3"/>
  <c r="A6789" i="6" s="1"/>
  <c r="D6725" i="3"/>
  <c r="A6725" i="6" s="1"/>
  <c r="D6661" i="3"/>
  <c r="A6661" i="6" s="1"/>
  <c r="D6597" i="3"/>
  <c r="A6597" i="6" s="1"/>
  <c r="D6533" i="3"/>
  <c r="A6533" i="6" s="1"/>
  <c r="D6469" i="3"/>
  <c r="A6469" i="6" s="1"/>
  <c r="D6405" i="3"/>
  <c r="A6405" i="6" s="1"/>
  <c r="D6341" i="3"/>
  <c r="A6341" i="6" s="1"/>
  <c r="D6277" i="3"/>
  <c r="A6277" i="6" s="1"/>
  <c r="D6213" i="3"/>
  <c r="A6213" i="6" s="1"/>
  <c r="D6149" i="3"/>
  <c r="A6149" i="6" s="1"/>
  <c r="D6085" i="3"/>
  <c r="A6085" i="6" s="1"/>
  <c r="D6021" i="3"/>
  <c r="A6021" i="6" s="1"/>
  <c r="D5957" i="3"/>
  <c r="A5957" i="6" s="1"/>
  <c r="D5893" i="3"/>
  <c r="A5893" i="6" s="1"/>
  <c r="D5829" i="3"/>
  <c r="A5829" i="6" s="1"/>
  <c r="D5765" i="3"/>
  <c r="A5765" i="6" s="1"/>
  <c r="D5701" i="3"/>
  <c r="A5701" i="6" s="1"/>
  <c r="D5637" i="3"/>
  <c r="A5637" i="6" s="1"/>
  <c r="D5573" i="3"/>
  <c r="A5573" i="6" s="1"/>
  <c r="D5509" i="3"/>
  <c r="A5509" i="6" s="1"/>
  <c r="D5445" i="3"/>
  <c r="A5445" i="6" s="1"/>
  <c r="D5381" i="3"/>
  <c r="A5381" i="6" s="1"/>
  <c r="D5317" i="3"/>
  <c r="A5317" i="6" s="1"/>
  <c r="E5253" i="3"/>
  <c r="E5189" i="3"/>
  <c r="E5125" i="3"/>
  <c r="E5061" i="3"/>
  <c r="E4997" i="3"/>
  <c r="E4933" i="3"/>
  <c r="E4869" i="3"/>
  <c r="E4805" i="3"/>
  <c r="E4741" i="3"/>
  <c r="E4677" i="3"/>
  <c r="E4613" i="3"/>
  <c r="E4549" i="3"/>
  <c r="E4485" i="3"/>
  <c r="E4421" i="3"/>
  <c r="E4357" i="3"/>
  <c r="E4293" i="3"/>
  <c r="E4229" i="3"/>
  <c r="E4165" i="3"/>
  <c r="E4101" i="3"/>
  <c r="E4037" i="3"/>
  <c r="E3973" i="3"/>
  <c r="E3909" i="3"/>
  <c r="E3845" i="3"/>
  <c r="E3781" i="3"/>
  <c r="E3717" i="3"/>
  <c r="E3653" i="3"/>
  <c r="E3589" i="3"/>
  <c r="E3525" i="3"/>
  <c r="E3461" i="3"/>
  <c r="D5218" i="3"/>
  <c r="A5218" i="6" s="1"/>
  <c r="D5154" i="3"/>
  <c r="A5154" i="6" s="1"/>
  <c r="D5090" i="3"/>
  <c r="A5090" i="6" s="1"/>
  <c r="D5026" i="3"/>
  <c r="A5026" i="6" s="1"/>
  <c r="D4962" i="3"/>
  <c r="A4962" i="6" s="1"/>
  <c r="D4898" i="3"/>
  <c r="A4898" i="6" s="1"/>
  <c r="D4834" i="3"/>
  <c r="A4834" i="6" s="1"/>
  <c r="D4770" i="3"/>
  <c r="A4770" i="6" s="1"/>
  <c r="D4706" i="3"/>
  <c r="A4706" i="6" s="1"/>
  <c r="D4642" i="3"/>
  <c r="A4642" i="6" s="1"/>
  <c r="D4578" i="3"/>
  <c r="A4578" i="6" s="1"/>
  <c r="D4514" i="3"/>
  <c r="A4514" i="6" s="1"/>
  <c r="D4450" i="3"/>
  <c r="A4450" i="6" s="1"/>
  <c r="D4386" i="3"/>
  <c r="A4386" i="6" s="1"/>
  <c r="D4322" i="3"/>
  <c r="A4322" i="6" s="1"/>
  <c r="D4258" i="3"/>
  <c r="A4258" i="6" s="1"/>
  <c r="D4194" i="3"/>
  <c r="A4194" i="6" s="1"/>
  <c r="D4130" i="3"/>
  <c r="A4130" i="6" s="1"/>
  <c r="D4066" i="3"/>
  <c r="A4066" i="6" s="1"/>
  <c r="D4002" i="3"/>
  <c r="A4002" i="6" s="1"/>
  <c r="D3938" i="3"/>
  <c r="A3938" i="6" s="1"/>
  <c r="D3874" i="3"/>
  <c r="A3874" i="6" s="1"/>
  <c r="D3810" i="3"/>
  <c r="A3810" i="6" s="1"/>
  <c r="D3746" i="3"/>
  <c r="A3746" i="6" s="1"/>
  <c r="D3682" i="3"/>
  <c r="A3682" i="6" s="1"/>
  <c r="D3618" i="3"/>
  <c r="A3618" i="6" s="1"/>
  <c r="D3554" i="3"/>
  <c r="A3554" i="6" s="1"/>
  <c r="D3490" i="3"/>
  <c r="A3490" i="6" s="1"/>
  <c r="E3426" i="3"/>
  <c r="E3362" i="3"/>
  <c r="E3298" i="3"/>
  <c r="E3234" i="3"/>
  <c r="E3170" i="3"/>
  <c r="E3106" i="3"/>
  <c r="E3042" i="3"/>
  <c r="E2978" i="3"/>
  <c r="E2914" i="3"/>
  <c r="E2850" i="3"/>
  <c r="E2786" i="3"/>
  <c r="E2722" i="3"/>
  <c r="E2658" i="3"/>
  <c r="E2594" i="3"/>
  <c r="D3439" i="3"/>
  <c r="A3439" i="6" s="1"/>
  <c r="D3375" i="3"/>
  <c r="A3375" i="6" s="1"/>
  <c r="D3311" i="3"/>
  <c r="A3311" i="6" s="1"/>
  <c r="D3247" i="3"/>
  <c r="A3247" i="6" s="1"/>
  <c r="D3183" i="3"/>
  <c r="A3183" i="6" s="1"/>
  <c r="D3119" i="3"/>
  <c r="A3119" i="6" s="1"/>
  <c r="D3055" i="3"/>
  <c r="A3055" i="6" s="1"/>
  <c r="D2991" i="3"/>
  <c r="A2991" i="6" s="1"/>
  <c r="D2927" i="3"/>
  <c r="A2927" i="6" s="1"/>
  <c r="D2863" i="3"/>
  <c r="A2863" i="6" s="1"/>
  <c r="D2799" i="3"/>
  <c r="A2799" i="6" s="1"/>
  <c r="D2735" i="3"/>
  <c r="A2735" i="6" s="1"/>
  <c r="D2671" i="3"/>
  <c r="A2671" i="6" s="1"/>
  <c r="D2607" i="3"/>
  <c r="A2607" i="6" s="1"/>
  <c r="D2543" i="3"/>
  <c r="A2543" i="6" s="1"/>
  <c r="E2483" i="3"/>
  <c r="E2419" i="3"/>
  <c r="E2355" i="3"/>
  <c r="E2291" i="3"/>
  <c r="E2227" i="3"/>
  <c r="E2163" i="3"/>
  <c r="E2099" i="3"/>
  <c r="E2035" i="3"/>
  <c r="E1971" i="3"/>
  <c r="E1907" i="3"/>
  <c r="E1843" i="3"/>
  <c r="E1779" i="3"/>
  <c r="E1715" i="3"/>
  <c r="E1651" i="3"/>
  <c r="D2490" i="3"/>
  <c r="A2490" i="6" s="1"/>
  <c r="D2426" i="3"/>
  <c r="A2426" i="6" s="1"/>
  <c r="D2362" i="3"/>
  <c r="A2362" i="6" s="1"/>
  <c r="D2298" i="3"/>
  <c r="A2298" i="6" s="1"/>
  <c r="D2234" i="3"/>
  <c r="A2234" i="6" s="1"/>
  <c r="D2170" i="3"/>
  <c r="A2170" i="6" s="1"/>
  <c r="D2106" i="3"/>
  <c r="A2106" i="6" s="1"/>
  <c r="D2042" i="3"/>
  <c r="A2042" i="6" s="1"/>
  <c r="D1978" i="3"/>
  <c r="A1978" i="6" s="1"/>
  <c r="D1914" i="3"/>
  <c r="A1914" i="6" s="1"/>
  <c r="D1850" i="3"/>
  <c r="A1850" i="6" s="1"/>
  <c r="D1786" i="3"/>
  <c r="A1786" i="6" s="1"/>
  <c r="D1722" i="3"/>
  <c r="A1722" i="6" s="1"/>
  <c r="D1658" i="3"/>
  <c r="A1658" i="6" s="1"/>
  <c r="E1595" i="3"/>
  <c r="E1531" i="3"/>
  <c r="E1467" i="3"/>
  <c r="E1403" i="3"/>
  <c r="E1339" i="3"/>
  <c r="E1275" i="3"/>
  <c r="E1211" i="3"/>
  <c r="D1600" i="3"/>
  <c r="A1600" i="6" s="1"/>
  <c r="D1536" i="3"/>
  <c r="A1536" i="6" s="1"/>
  <c r="D1472" i="3"/>
  <c r="A1472" i="6" s="1"/>
  <c r="D1408" i="3"/>
  <c r="A1408" i="6" s="1"/>
  <c r="D1344" i="3"/>
  <c r="A1344" i="6" s="1"/>
  <c r="D1280" i="3"/>
  <c r="A1280" i="6" s="1"/>
  <c r="D1216" i="3"/>
  <c r="A1216" i="6" s="1"/>
  <c r="D1180" i="3"/>
  <c r="A1180" i="6" s="1"/>
  <c r="E1116" i="3"/>
  <c r="E1052" i="3"/>
  <c r="E988" i="3"/>
  <c r="E924" i="3"/>
  <c r="E860" i="3"/>
  <c r="E796" i="3"/>
  <c r="D1131" i="3"/>
  <c r="A1131" i="6" s="1"/>
  <c r="D1067" i="3"/>
  <c r="A1067" i="6" s="1"/>
  <c r="D1003" i="3"/>
  <c r="A1003" i="6" s="1"/>
  <c r="D939" i="3"/>
  <c r="A939" i="6" s="1"/>
  <c r="D875" i="3"/>
  <c r="A875" i="6" s="1"/>
  <c r="D811" i="3"/>
  <c r="A811" i="6" s="1"/>
  <c r="E725" i="3"/>
  <c r="E710" i="3"/>
  <c r="E646" i="3"/>
  <c r="E582" i="3"/>
  <c r="D693" i="3"/>
  <c r="A693" i="6" s="1"/>
  <c r="D629" i="3"/>
  <c r="A629" i="6" s="1"/>
  <c r="D565" i="3"/>
  <c r="A565" i="6" s="1"/>
  <c r="E500" i="3"/>
  <c r="E436" i="3"/>
  <c r="E372" i="3"/>
  <c r="D533" i="3"/>
  <c r="A533" i="6" s="1"/>
  <c r="D469" i="3"/>
  <c r="A469" i="6" s="1"/>
  <c r="D405" i="3"/>
  <c r="A405" i="6" s="1"/>
  <c r="D341" i="3"/>
  <c r="A341" i="6" s="1"/>
  <c r="E286" i="3"/>
  <c r="E222" i="3"/>
  <c r="D257" i="3"/>
  <c r="A257" i="6" s="1"/>
  <c r="E192" i="3"/>
  <c r="D175" i="3"/>
  <c r="A175" i="6" s="1"/>
  <c r="E8731" i="3"/>
  <c r="E8599" i="3"/>
  <c r="E8503" i="3"/>
  <c r="E8439" i="3"/>
  <c r="E8375" i="3"/>
  <c r="E8311" i="3"/>
  <c r="E8247" i="3"/>
  <c r="E8183" i="3"/>
  <c r="E8119" i="3"/>
  <c r="E8055" i="3"/>
  <c r="E7991" i="3"/>
  <c r="E7927" i="3"/>
  <c r="E7863" i="3"/>
  <c r="E7799" i="3"/>
  <c r="E7735" i="3"/>
  <c r="E7671" i="3"/>
  <c r="E7607" i="3"/>
  <c r="E7543" i="3"/>
  <c r="E7479" i="3"/>
  <c r="E7415" i="3"/>
  <c r="E7351" i="3"/>
  <c r="E7287" i="3"/>
  <c r="E7223" i="3"/>
  <c r="E7159" i="3"/>
  <c r="E8735" i="3"/>
  <c r="D8702" i="3"/>
  <c r="A8702" i="6" s="1"/>
  <c r="D8638" i="3"/>
  <c r="A8638" i="6" s="1"/>
  <c r="D8574" i="3"/>
  <c r="A8574" i="6" s="1"/>
  <c r="D8510" i="3"/>
  <c r="A8510" i="6" s="1"/>
  <c r="D8446" i="3"/>
  <c r="A8446" i="6" s="1"/>
  <c r="D8382" i="3"/>
  <c r="A8382" i="6" s="1"/>
  <c r="D8318" i="3"/>
  <c r="A8318" i="6" s="1"/>
  <c r="D8254" i="3"/>
  <c r="A8254" i="6" s="1"/>
  <c r="D8190" i="3"/>
  <c r="A8190" i="6" s="1"/>
  <c r="D8126" i="3"/>
  <c r="A8126" i="6" s="1"/>
  <c r="D8062" i="3"/>
  <c r="A8062" i="6" s="1"/>
  <c r="D7998" i="3"/>
  <c r="A7998" i="6" s="1"/>
  <c r="D7934" i="3"/>
  <c r="A7934" i="6" s="1"/>
  <c r="D7870" i="3"/>
  <c r="A7870" i="6" s="1"/>
  <c r="D7806" i="3"/>
  <c r="A7806" i="6" s="1"/>
  <c r="D7742" i="3"/>
  <c r="A7742" i="6" s="1"/>
  <c r="D7678" i="3"/>
  <c r="A7678" i="6" s="1"/>
  <c r="D7614" i="3"/>
  <c r="A7614" i="6" s="1"/>
  <c r="D7550" i="3"/>
  <c r="A7550" i="6" s="1"/>
  <c r="D7486" i="3"/>
  <c r="A7486" i="6" s="1"/>
  <c r="D7422" i="3"/>
  <c r="A7422" i="6" s="1"/>
  <c r="D7358" i="3"/>
  <c r="A7358" i="6" s="1"/>
  <c r="D7294" i="3"/>
  <c r="A7294" i="6" s="1"/>
  <c r="D7230" i="3"/>
  <c r="A7230" i="6" s="1"/>
  <c r="D7166" i="3"/>
  <c r="A7166" i="6" s="1"/>
  <c r="E7080" i="3"/>
  <c r="E7016" i="3"/>
  <c r="E6952" i="3"/>
  <c r="E6888" i="3"/>
  <c r="E6824" i="3"/>
  <c r="E6760" i="3"/>
  <c r="E6696" i="3"/>
  <c r="E6632" i="3"/>
  <c r="E6568" i="3"/>
  <c r="E6504" i="3"/>
  <c r="E6440" i="3"/>
  <c r="E6376" i="3"/>
  <c r="E6312" i="3"/>
  <c r="E6248" i="3"/>
  <c r="E6184" i="3"/>
  <c r="E6120" i="3"/>
  <c r="E6056" i="3"/>
  <c r="E5992" i="3"/>
  <c r="D8643" i="3"/>
  <c r="A8643" i="6" s="1"/>
  <c r="D8747" i="3"/>
  <c r="A8747" i="6" s="1"/>
  <c r="D8673" i="3"/>
  <c r="A8673" i="6" s="1"/>
  <c r="D8609" i="3"/>
  <c r="A8609" i="6" s="1"/>
  <c r="D8545" i="3"/>
  <c r="A8545" i="6" s="1"/>
  <c r="D8481" i="3"/>
  <c r="A8481" i="6" s="1"/>
  <c r="D8417" i="3"/>
  <c r="A8417" i="6" s="1"/>
  <c r="D8353" i="3"/>
  <c r="A8353" i="6" s="1"/>
  <c r="D8289" i="3"/>
  <c r="A8289" i="6" s="1"/>
  <c r="D8225" i="3"/>
  <c r="A8225" i="6" s="1"/>
  <c r="D8161" i="3"/>
  <c r="A8161" i="6" s="1"/>
  <c r="D8097" i="3"/>
  <c r="A8097" i="6" s="1"/>
  <c r="D8033" i="3"/>
  <c r="A8033" i="6" s="1"/>
  <c r="D7969" i="3"/>
  <c r="A7969" i="6" s="1"/>
  <c r="D7905" i="3"/>
  <c r="A7905" i="6" s="1"/>
  <c r="D7841" i="3"/>
  <c r="A7841" i="6" s="1"/>
  <c r="D7777" i="3"/>
  <c r="A7777" i="6" s="1"/>
  <c r="D7713" i="3"/>
  <c r="A7713" i="6" s="1"/>
  <c r="D7649" i="3"/>
  <c r="A7649" i="6" s="1"/>
  <c r="D7585" i="3"/>
  <c r="A7585" i="6" s="1"/>
  <c r="D7521" i="3"/>
  <c r="A7521" i="6" s="1"/>
  <c r="D7457" i="3"/>
  <c r="A7457" i="6" s="1"/>
  <c r="D7393" i="3"/>
  <c r="A7393" i="6" s="1"/>
  <c r="D7329" i="3"/>
  <c r="A7329" i="6" s="1"/>
  <c r="D7265" i="3"/>
  <c r="A7265" i="6" s="1"/>
  <c r="D7201" i="3"/>
  <c r="A7201" i="6" s="1"/>
  <c r="D7137" i="3"/>
  <c r="A7137" i="6" s="1"/>
  <c r="E8744" i="3"/>
  <c r="E8680" i="3"/>
  <c r="E8616" i="3"/>
  <c r="E8552" i="3"/>
  <c r="E8488" i="3"/>
  <c r="E8424" i="3"/>
  <c r="E8360" i="3"/>
  <c r="E8296" i="3"/>
  <c r="E8232" i="3"/>
  <c r="E8168" i="3"/>
  <c r="E8104" i="3"/>
  <c r="E8040" i="3"/>
  <c r="E7976" i="3"/>
  <c r="E7912" i="3"/>
  <c r="E7848" i="3"/>
  <c r="E7784" i="3"/>
  <c r="E7720" i="3"/>
  <c r="E7656" i="3"/>
  <c r="E7592" i="3"/>
  <c r="E7528" i="3"/>
  <c r="E7464" i="3"/>
  <c r="E7400" i="3"/>
  <c r="E7336" i="3"/>
  <c r="E7272" i="3"/>
  <c r="E7208" i="3"/>
  <c r="E7144" i="3"/>
  <c r="D7058" i="3"/>
  <c r="A7058" i="6" s="1"/>
  <c r="D6994" i="3"/>
  <c r="A6994" i="6" s="1"/>
  <c r="D6930" i="3"/>
  <c r="A6930" i="6" s="1"/>
  <c r="D6866" i="3"/>
  <c r="A6866" i="6" s="1"/>
  <c r="D6802" i="3"/>
  <c r="A6802" i="6" s="1"/>
  <c r="D6738" i="3"/>
  <c r="A6738" i="6" s="1"/>
  <c r="D6674" i="3"/>
  <c r="A6674" i="6" s="1"/>
  <c r="D6610" i="3"/>
  <c r="A6610" i="6" s="1"/>
  <c r="D6546" i="3"/>
  <c r="A6546" i="6" s="1"/>
  <c r="D6482" i="3"/>
  <c r="A6482" i="6" s="1"/>
  <c r="D6418" i="3"/>
  <c r="A6418" i="6" s="1"/>
  <c r="D6354" i="3"/>
  <c r="A6354" i="6" s="1"/>
  <c r="D6290" i="3"/>
  <c r="A6290" i="6" s="1"/>
  <c r="D6226" i="3"/>
  <c r="A6226" i="6" s="1"/>
  <c r="D6162" i="3"/>
  <c r="A6162" i="6" s="1"/>
  <c r="D6098" i="3"/>
  <c r="A6098" i="6" s="1"/>
  <c r="D6034" i="3"/>
  <c r="A6034" i="6" s="1"/>
  <c r="D5970" i="3"/>
  <c r="A5970" i="6" s="1"/>
  <c r="D5906" i="3"/>
  <c r="A5906" i="6" s="1"/>
  <c r="D5842" i="3"/>
  <c r="A5842" i="6" s="1"/>
  <c r="D5778" i="3"/>
  <c r="A5778" i="6" s="1"/>
  <c r="D5714" i="3"/>
  <c r="A5714" i="6" s="1"/>
  <c r="D5650" i="3"/>
  <c r="A5650" i="6" s="1"/>
  <c r="D5586" i="3"/>
  <c r="A5586" i="6" s="1"/>
  <c r="D5522" i="3"/>
  <c r="A5522" i="6" s="1"/>
  <c r="D5458" i="3"/>
  <c r="A5458" i="6" s="1"/>
  <c r="D5394" i="3"/>
  <c r="A5394" i="6" s="1"/>
  <c r="D5330" i="3"/>
  <c r="A5330" i="6" s="1"/>
  <c r="D5266" i="3"/>
  <c r="A5266" i="6" s="1"/>
  <c r="E7065" i="3"/>
  <c r="E7001" i="3"/>
  <c r="E6937" i="3"/>
  <c r="E6873" i="3"/>
  <c r="E6809" i="3"/>
  <c r="E6745" i="3"/>
  <c r="E6681" i="3"/>
  <c r="E6617" i="3"/>
  <c r="E6553" i="3"/>
  <c r="E6489" i="3"/>
  <c r="E6425" i="3"/>
  <c r="E6361" i="3"/>
  <c r="E6297" i="3"/>
  <c r="E6233" i="3"/>
  <c r="E6169" i="3"/>
  <c r="E6105" i="3"/>
  <c r="E6041" i="3"/>
  <c r="E5977" i="3"/>
  <c r="E5913" i="3"/>
  <c r="E5849" i="3"/>
  <c r="E5785" i="3"/>
  <c r="E5721" i="3"/>
  <c r="E5657" i="3"/>
  <c r="E5593" i="3"/>
  <c r="E5529" i="3"/>
  <c r="E5465" i="3"/>
  <c r="E5401" i="3"/>
  <c r="E5337" i="3"/>
  <c r="E5273" i="3"/>
  <c r="D5209" i="3"/>
  <c r="A5209" i="6" s="1"/>
  <c r="D5145" i="3"/>
  <c r="A5145" i="6" s="1"/>
  <c r="D5081" i="3"/>
  <c r="A5081" i="6" s="1"/>
  <c r="D5017" i="3"/>
  <c r="A5017" i="6" s="1"/>
  <c r="D4953" i="3"/>
  <c r="A4953" i="6" s="1"/>
  <c r="D4889" i="3"/>
  <c r="A4889" i="6" s="1"/>
  <c r="D4825" i="3"/>
  <c r="A4825" i="6" s="1"/>
  <c r="D4761" i="3"/>
  <c r="A4761" i="6" s="1"/>
  <c r="D4697" i="3"/>
  <c r="A4697" i="6" s="1"/>
  <c r="D4633" i="3"/>
  <c r="A4633" i="6" s="1"/>
  <c r="D4569" i="3"/>
  <c r="A4569" i="6" s="1"/>
  <c r="D4505" i="3"/>
  <c r="A4505" i="6" s="1"/>
  <c r="D4441" i="3"/>
  <c r="A4441" i="6" s="1"/>
  <c r="D4377" i="3"/>
  <c r="A4377" i="6" s="1"/>
  <c r="D4313" i="3"/>
  <c r="A4313" i="6" s="1"/>
  <c r="D4249" i="3"/>
  <c r="A4249" i="6" s="1"/>
  <c r="D4185" i="3"/>
  <c r="A4185" i="6" s="1"/>
  <c r="D4121" i="3"/>
  <c r="A4121" i="6" s="1"/>
  <c r="D4057" i="3"/>
  <c r="A4057" i="6" s="1"/>
  <c r="D3993" i="3"/>
  <c r="A3993" i="6" s="1"/>
  <c r="D3929" i="3"/>
  <c r="A3929" i="6" s="1"/>
  <c r="D3865" i="3"/>
  <c r="A3865" i="6" s="1"/>
  <c r="D3801" i="3"/>
  <c r="A3801" i="6" s="1"/>
  <c r="D3737" i="3"/>
  <c r="A3737" i="6" s="1"/>
  <c r="D3673" i="3"/>
  <c r="A3673" i="6" s="1"/>
  <c r="D3609" i="3"/>
  <c r="A3609" i="6" s="1"/>
  <c r="D3545" i="3"/>
  <c r="A3545" i="6" s="1"/>
  <c r="D3481" i="3"/>
  <c r="A3481" i="6" s="1"/>
  <c r="E5238" i="3"/>
  <c r="E5174" i="3"/>
  <c r="E5110" i="3"/>
  <c r="E5046" i="3"/>
  <c r="E4982" i="3"/>
  <c r="E4918" i="3"/>
  <c r="E4854" i="3"/>
  <c r="E4790" i="3"/>
  <c r="E4726" i="3"/>
  <c r="E4662" i="3"/>
  <c r="E4598" i="3"/>
  <c r="E4534" i="3"/>
  <c r="E4470" i="3"/>
  <c r="E4406" i="3"/>
  <c r="E4342" i="3"/>
  <c r="E4278" i="3"/>
  <c r="E4214" i="3"/>
  <c r="E4150" i="3"/>
  <c r="E4086" i="3"/>
  <c r="E4022" i="3"/>
  <c r="E3958" i="3"/>
  <c r="E3894" i="3"/>
  <c r="E3830" i="3"/>
  <c r="E3766" i="3"/>
  <c r="E3702" i="3"/>
  <c r="E3638" i="3"/>
  <c r="E3574" i="3"/>
  <c r="E3510" i="3"/>
  <c r="E3446" i="3"/>
  <c r="D3382" i="3"/>
  <c r="A3382" i="6" s="1"/>
  <c r="D3318" i="3"/>
  <c r="A3318" i="6" s="1"/>
  <c r="D3254" i="3"/>
  <c r="A3254" i="6" s="1"/>
  <c r="D3190" i="3"/>
  <c r="A3190" i="6" s="1"/>
  <c r="D3126" i="3"/>
  <c r="A3126" i="6" s="1"/>
  <c r="D3062" i="3"/>
  <c r="A3062" i="6" s="1"/>
  <c r="D2998" i="3"/>
  <c r="A2998" i="6" s="1"/>
  <c r="D2934" i="3"/>
  <c r="A2934" i="6" s="1"/>
  <c r="D2870" i="3"/>
  <c r="A2870" i="6" s="1"/>
  <c r="D2806" i="3"/>
  <c r="A2806" i="6" s="1"/>
  <c r="D2742" i="3"/>
  <c r="A2742" i="6" s="1"/>
  <c r="D2678" i="3"/>
  <c r="A2678" i="6" s="1"/>
  <c r="D2614" i="3"/>
  <c r="A2614" i="6" s="1"/>
  <c r="D2550" i="3"/>
  <c r="A2550" i="6" s="1"/>
  <c r="E3395" i="3"/>
  <c r="E3331" i="3"/>
  <c r="E3267" i="3"/>
  <c r="E3203" i="3"/>
  <c r="E3139" i="3"/>
  <c r="E3075" i="3"/>
  <c r="E3011" i="3"/>
  <c r="E2947" i="3"/>
  <c r="E2883" i="3"/>
  <c r="E2819" i="3"/>
  <c r="E2755" i="3"/>
  <c r="E2691" i="3"/>
  <c r="E2627" i="3"/>
  <c r="E2563" i="3"/>
  <c r="D2503" i="3"/>
  <c r="A2503" i="6" s="1"/>
  <c r="D2439" i="3"/>
  <c r="A2439" i="6" s="1"/>
  <c r="D2375" i="3"/>
  <c r="A2375" i="6" s="1"/>
  <c r="D2311" i="3"/>
  <c r="A2311" i="6" s="1"/>
  <c r="D2247" i="3"/>
  <c r="A2247" i="6" s="1"/>
  <c r="D2183" i="3"/>
  <c r="A2183" i="6" s="1"/>
  <c r="D2119" i="3"/>
  <c r="A2119" i="6" s="1"/>
  <c r="D2055" i="3"/>
  <c r="A2055" i="6" s="1"/>
  <c r="D1991" i="3"/>
  <c r="A1991" i="6" s="1"/>
  <c r="D1927" i="3"/>
  <c r="A1927" i="6" s="1"/>
  <c r="D1863" i="3"/>
  <c r="A1863" i="6" s="1"/>
  <c r="D1799" i="3"/>
  <c r="A1799" i="6" s="1"/>
  <c r="D1735" i="3"/>
  <c r="A1735" i="6" s="1"/>
  <c r="D1671" i="3"/>
  <c r="A1671" i="6" s="1"/>
  <c r="E2510" i="3"/>
  <c r="E2446" i="3"/>
  <c r="E2382" i="3"/>
  <c r="E2318" i="3"/>
  <c r="E2254" i="3"/>
  <c r="E2190" i="3"/>
  <c r="E2126" i="3"/>
  <c r="E2062" i="3"/>
  <c r="E1998" i="3"/>
  <c r="E1934" i="3"/>
  <c r="E1870" i="3"/>
  <c r="E1806" i="3"/>
  <c r="E1742" i="3"/>
  <c r="E1678" i="3"/>
  <c r="D1615" i="3"/>
  <c r="A1615" i="6" s="1"/>
  <c r="D1551" i="3"/>
  <c r="A1551" i="6" s="1"/>
  <c r="D1487" i="3"/>
  <c r="A1487" i="6" s="1"/>
  <c r="D1423" i="3"/>
  <c r="A1423" i="6" s="1"/>
  <c r="D1359" i="3"/>
  <c r="A1359" i="6" s="1"/>
  <c r="D1295" i="3"/>
  <c r="A1295" i="6" s="1"/>
  <c r="D1231" i="3"/>
  <c r="A1231" i="6" s="1"/>
  <c r="E1620" i="3"/>
  <c r="E1556" i="3"/>
  <c r="E1492" i="3"/>
  <c r="E1428" i="3"/>
  <c r="E1364" i="3"/>
  <c r="E1300" i="3"/>
  <c r="E1236" i="3"/>
  <c r="D1145" i="3"/>
  <c r="A1145" i="6" s="1"/>
  <c r="D1136" i="3"/>
  <c r="A1136" i="6" s="1"/>
  <c r="D1072" i="3"/>
  <c r="A1072" i="6" s="1"/>
  <c r="D1008" i="3"/>
  <c r="A1008" i="6" s="1"/>
  <c r="D944" i="3"/>
  <c r="A944" i="6" s="1"/>
  <c r="D880" i="3"/>
  <c r="A880" i="6" s="1"/>
  <c r="D816" i="3"/>
  <c r="A816" i="6" s="1"/>
  <c r="D731" i="3"/>
  <c r="A731" i="6" s="1"/>
  <c r="E1087" i="3"/>
  <c r="E1023" i="3"/>
  <c r="E959" i="3"/>
  <c r="E895" i="3"/>
  <c r="E831" i="3"/>
  <c r="D765" i="3"/>
  <c r="A765" i="6" s="1"/>
  <c r="E730" i="3"/>
  <c r="D666" i="3"/>
  <c r="A666" i="6" s="1"/>
  <c r="D602" i="3"/>
  <c r="A602" i="6" s="1"/>
  <c r="E713" i="3"/>
  <c r="E649" i="3"/>
  <c r="E585" i="3"/>
  <c r="D520" i="3"/>
  <c r="A520" i="6" s="1"/>
  <c r="D456" i="3"/>
  <c r="A456" i="6" s="1"/>
  <c r="D392" i="3"/>
  <c r="A392" i="6" s="1"/>
  <c r="D328" i="3"/>
  <c r="A328" i="6" s="1"/>
  <c r="E489" i="3"/>
  <c r="E425" i="3"/>
  <c r="E361" i="3"/>
  <c r="D306" i="3"/>
  <c r="A306" i="6" s="1"/>
  <c r="D242" i="3"/>
  <c r="A242" i="6" s="1"/>
  <c r="E277" i="3"/>
  <c r="E213" i="3"/>
  <c r="D148" i="3"/>
  <c r="A148" i="6" s="1"/>
  <c r="E163" i="3"/>
  <c r="D8687" i="3"/>
  <c r="A8687" i="6" s="1"/>
  <c r="D8559" i="3"/>
  <c r="A8559" i="6" s="1"/>
  <c r="D8483" i="3"/>
  <c r="A8483" i="6" s="1"/>
  <c r="D8419" i="3"/>
  <c r="A8419" i="6" s="1"/>
  <c r="D8355" i="3"/>
  <c r="A8355" i="6" s="1"/>
  <c r="D8291" i="3"/>
  <c r="A8291" i="6" s="1"/>
  <c r="D8227" i="3"/>
  <c r="A8227" i="6" s="1"/>
  <c r="D8163" i="3"/>
  <c r="A8163" i="6" s="1"/>
  <c r="D8099" i="3"/>
  <c r="A8099" i="6" s="1"/>
  <c r="D8035" i="3"/>
  <c r="A8035" i="6" s="1"/>
  <c r="D7971" i="3"/>
  <c r="A7971" i="6" s="1"/>
  <c r="D7907" i="3"/>
  <c r="A7907" i="6" s="1"/>
  <c r="D7843" i="3"/>
  <c r="A7843" i="6" s="1"/>
  <c r="D7779" i="3"/>
  <c r="A7779" i="6" s="1"/>
  <c r="D7715" i="3"/>
  <c r="A7715" i="6" s="1"/>
  <c r="D7651" i="3"/>
  <c r="A7651" i="6" s="1"/>
  <c r="D7587" i="3"/>
  <c r="A7587" i="6" s="1"/>
  <c r="D7523" i="3"/>
  <c r="A7523" i="6" s="1"/>
  <c r="D7459" i="3"/>
  <c r="A7459" i="6" s="1"/>
  <c r="D7395" i="3"/>
  <c r="A7395" i="6" s="1"/>
  <c r="D7331" i="3"/>
  <c r="A7331" i="6" s="1"/>
  <c r="D7267" i="3"/>
  <c r="A7267" i="6" s="1"/>
  <c r="D7203" i="3"/>
  <c r="A7203" i="6" s="1"/>
  <c r="D7139" i="3"/>
  <c r="A7139" i="6" s="1"/>
  <c r="E8746" i="3"/>
  <c r="E8682" i="3"/>
  <c r="E8618" i="3"/>
  <c r="E8554" i="3"/>
  <c r="E8490" i="3"/>
  <c r="E8426" i="3"/>
  <c r="E8362" i="3"/>
  <c r="E8298" i="3"/>
  <c r="E8234" i="3"/>
  <c r="E8170" i="3"/>
  <c r="E8106" i="3"/>
  <c r="E8042" i="3"/>
  <c r="E7978" i="3"/>
  <c r="E7914" i="3"/>
  <c r="E7850" i="3"/>
  <c r="E7786" i="3"/>
  <c r="E7722" i="3"/>
  <c r="E7658" i="3"/>
  <c r="E7594" i="3"/>
  <c r="E7530" i="3"/>
  <c r="E7466" i="3"/>
  <c r="E7402" i="3"/>
  <c r="E7338" i="3"/>
  <c r="E7274" i="3"/>
  <c r="E7210" i="3"/>
  <c r="E7146" i="3"/>
  <c r="D7060" i="3"/>
  <c r="A7060" i="6" s="1"/>
  <c r="D6996" i="3"/>
  <c r="A6996" i="6" s="1"/>
  <c r="D6932" i="3"/>
  <c r="A6932" i="6" s="1"/>
  <c r="D6868" i="3"/>
  <c r="A6868" i="6" s="1"/>
  <c r="D6804" i="3"/>
  <c r="A6804" i="6" s="1"/>
  <c r="D6740" i="3"/>
  <c r="A6740" i="6" s="1"/>
  <c r="D6676" i="3"/>
  <c r="A6676" i="6" s="1"/>
  <c r="D6612" i="3"/>
  <c r="A6612" i="6" s="1"/>
  <c r="D6548" i="3"/>
  <c r="A6548" i="6" s="1"/>
  <c r="D6484" i="3"/>
  <c r="A6484" i="6" s="1"/>
  <c r="D6420" i="3"/>
  <c r="A6420" i="6" s="1"/>
  <c r="D6356" i="3"/>
  <c r="A6356" i="6" s="1"/>
  <c r="D6292" i="3"/>
  <c r="A6292" i="6" s="1"/>
  <c r="D6228" i="3"/>
  <c r="A6228" i="6" s="1"/>
  <c r="D6164" i="3"/>
  <c r="A6164" i="6" s="1"/>
  <c r="E8749" i="3"/>
  <c r="E8611" i="3"/>
  <c r="E8721" i="3"/>
  <c r="E8657" i="3"/>
  <c r="E8593" i="3"/>
  <c r="E8529" i="3"/>
  <c r="E8465" i="3"/>
  <c r="E8401" i="3"/>
  <c r="E8337" i="3"/>
  <c r="E8273" i="3"/>
  <c r="E8209" i="3"/>
  <c r="E8145" i="3"/>
  <c r="E8081" i="3"/>
  <c r="E8017" i="3"/>
  <c r="E7953" i="3"/>
  <c r="E7889" i="3"/>
  <c r="E7825" i="3"/>
  <c r="E7761" i="3"/>
  <c r="E7697" i="3"/>
  <c r="E7633" i="3"/>
  <c r="E7569" i="3"/>
  <c r="E7505" i="3"/>
  <c r="E7441" i="3"/>
  <c r="E7377" i="3"/>
  <c r="E7313" i="3"/>
  <c r="E7249" i="3"/>
  <c r="E7185" i="3"/>
  <c r="E7116" i="3"/>
  <c r="D8728" i="3"/>
  <c r="A8728" i="6" s="1"/>
  <c r="D8664" i="3"/>
  <c r="A8664" i="6" s="1"/>
  <c r="D8600" i="3"/>
  <c r="A8600" i="6" s="1"/>
  <c r="D8536" i="3"/>
  <c r="A8536" i="6" s="1"/>
  <c r="D8472" i="3"/>
  <c r="A8472" i="6" s="1"/>
  <c r="D8408" i="3"/>
  <c r="A8408" i="6" s="1"/>
  <c r="D8344" i="3"/>
  <c r="A8344" i="6" s="1"/>
  <c r="D8280" i="3"/>
  <c r="A8280" i="6" s="1"/>
  <c r="D8216" i="3"/>
  <c r="A8216" i="6" s="1"/>
  <c r="D8152" i="3"/>
  <c r="A8152" i="6" s="1"/>
  <c r="D8088" i="3"/>
  <c r="A8088" i="6" s="1"/>
  <c r="D8024" i="3"/>
  <c r="A8024" i="6" s="1"/>
  <c r="D7960" i="3"/>
  <c r="A7960" i="6" s="1"/>
  <c r="D7896" i="3"/>
  <c r="A7896" i="6" s="1"/>
  <c r="D7832" i="3"/>
  <c r="A7832" i="6" s="1"/>
  <c r="D7768" i="3"/>
  <c r="A7768" i="6" s="1"/>
  <c r="D7704" i="3"/>
  <c r="A7704" i="6" s="1"/>
  <c r="D7640" i="3"/>
  <c r="A7640" i="6" s="1"/>
  <c r="D7576" i="3"/>
  <c r="A7576" i="6" s="1"/>
  <c r="D7512" i="3"/>
  <c r="A7512" i="6" s="1"/>
  <c r="D7448" i="3"/>
  <c r="A7448" i="6" s="1"/>
  <c r="D7384" i="3"/>
  <c r="A7384" i="6" s="1"/>
  <c r="D7320" i="3"/>
  <c r="A7320" i="6" s="1"/>
  <c r="D7256" i="3"/>
  <c r="A7256" i="6" s="1"/>
  <c r="D7192" i="3"/>
  <c r="A7192" i="6" s="1"/>
  <c r="D7128" i="3"/>
  <c r="A7128" i="6" s="1"/>
  <c r="E7042" i="3"/>
  <c r="E6978" i="3"/>
  <c r="E6914" i="3"/>
  <c r="E6850" i="3"/>
  <c r="E6786" i="3"/>
  <c r="E6722" i="3"/>
  <c r="E6658" i="3"/>
  <c r="E6594" i="3"/>
  <c r="E6530" i="3"/>
  <c r="E6466" i="3"/>
  <c r="E6402" i="3"/>
  <c r="E6338" i="3"/>
  <c r="E6274" i="3"/>
  <c r="E6210" i="3"/>
  <c r="E6146" i="3"/>
  <c r="E6082" i="3"/>
  <c r="E6018" i="3"/>
  <c r="E5954" i="3"/>
  <c r="E5890" i="3"/>
  <c r="E5826" i="3"/>
  <c r="E5762" i="3"/>
  <c r="E5698" i="3"/>
  <c r="E5634" i="3"/>
  <c r="E5570" i="3"/>
  <c r="E5506" i="3"/>
  <c r="E5442" i="3"/>
  <c r="E5378" i="3"/>
  <c r="E5314" i="3"/>
  <c r="D7113" i="3"/>
  <c r="A7113" i="6" s="1"/>
  <c r="D7049" i="3"/>
  <c r="A7049" i="6" s="1"/>
  <c r="D6985" i="3"/>
  <c r="A6985" i="6" s="1"/>
  <c r="D6921" i="3"/>
  <c r="A6921" i="6" s="1"/>
  <c r="D6857" i="3"/>
  <c r="A6857" i="6" s="1"/>
  <c r="D6793" i="3"/>
  <c r="A6793" i="6" s="1"/>
  <c r="D6729" i="3"/>
  <c r="A6729" i="6" s="1"/>
  <c r="D6665" i="3"/>
  <c r="A6665" i="6" s="1"/>
  <c r="D6601" i="3"/>
  <c r="A6601" i="6" s="1"/>
  <c r="D6537" i="3"/>
  <c r="A6537" i="6" s="1"/>
  <c r="D6473" i="3"/>
  <c r="A6473" i="6" s="1"/>
  <c r="D6409" i="3"/>
  <c r="A6409" i="6" s="1"/>
  <c r="D6345" i="3"/>
  <c r="A6345" i="6" s="1"/>
  <c r="D6281" i="3"/>
  <c r="A6281" i="6" s="1"/>
  <c r="D6217" i="3"/>
  <c r="A6217" i="6" s="1"/>
  <c r="D6153" i="3"/>
  <c r="A6153" i="6" s="1"/>
  <c r="D6089" i="3"/>
  <c r="A6089" i="6" s="1"/>
  <c r="D6025" i="3"/>
  <c r="A6025" i="6" s="1"/>
  <c r="D5961" i="3"/>
  <c r="A5961" i="6" s="1"/>
  <c r="D5897" i="3"/>
  <c r="A5897" i="6" s="1"/>
  <c r="D5833" i="3"/>
  <c r="A5833" i="6" s="1"/>
  <c r="D5769" i="3"/>
  <c r="A5769" i="6" s="1"/>
  <c r="D5705" i="3"/>
  <c r="A5705" i="6" s="1"/>
  <c r="D5641" i="3"/>
  <c r="A5641" i="6" s="1"/>
  <c r="D5577" i="3"/>
  <c r="A5577" i="6" s="1"/>
  <c r="D5513" i="3"/>
  <c r="A5513" i="6" s="1"/>
  <c r="D5449" i="3"/>
  <c r="A5449" i="6" s="1"/>
  <c r="D5385" i="3"/>
  <c r="A5385" i="6" s="1"/>
  <c r="D5321" i="3"/>
  <c r="A5321" i="6" s="1"/>
  <c r="E5257" i="3"/>
  <c r="E5193" i="3"/>
  <c r="E5129" i="3"/>
  <c r="E5065" i="3"/>
  <c r="E5001" i="3"/>
  <c r="E4937" i="3"/>
  <c r="E4873" i="3"/>
  <c r="E4809" i="3"/>
  <c r="E4745" i="3"/>
  <c r="E4681" i="3"/>
  <c r="E4617" i="3"/>
  <c r="E4553" i="3"/>
  <c r="E4489" i="3"/>
  <c r="E4425" i="3"/>
  <c r="E4361" i="3"/>
  <c r="E4297" i="3"/>
  <c r="E4233" i="3"/>
  <c r="E4169" i="3"/>
  <c r="E4105" i="3"/>
  <c r="E4041" i="3"/>
  <c r="E3977" i="3"/>
  <c r="E3913" i="3"/>
  <c r="E3849" i="3"/>
  <c r="E3785" i="3"/>
  <c r="E3721" i="3"/>
  <c r="E3657" i="3"/>
  <c r="E3593" i="3"/>
  <c r="E3529" i="3"/>
  <c r="E3465" i="3"/>
  <c r="D5222" i="3"/>
  <c r="A5222" i="6" s="1"/>
  <c r="D5158" i="3"/>
  <c r="A5158" i="6" s="1"/>
  <c r="D5094" i="3"/>
  <c r="A5094" i="6" s="1"/>
  <c r="D5030" i="3"/>
  <c r="A5030" i="6" s="1"/>
  <c r="D4966" i="3"/>
  <c r="A4966" i="6" s="1"/>
  <c r="D4902" i="3"/>
  <c r="A4902" i="6" s="1"/>
  <c r="D4838" i="3"/>
  <c r="A4838" i="6" s="1"/>
  <c r="D4774" i="3"/>
  <c r="A4774" i="6" s="1"/>
  <c r="D4710" i="3"/>
  <c r="A4710" i="6" s="1"/>
  <c r="D4646" i="3"/>
  <c r="A4646" i="6" s="1"/>
  <c r="D4582" i="3"/>
  <c r="A4582" i="6" s="1"/>
  <c r="D4518" i="3"/>
  <c r="A4518" i="6" s="1"/>
  <c r="D4454" i="3"/>
  <c r="A4454" i="6" s="1"/>
  <c r="D4390" i="3"/>
  <c r="A4390" i="6" s="1"/>
  <c r="D4326" i="3"/>
  <c r="A4326" i="6" s="1"/>
  <c r="D4262" i="3"/>
  <c r="A4262" i="6" s="1"/>
  <c r="D4198" i="3"/>
  <c r="A4198" i="6" s="1"/>
  <c r="D4134" i="3"/>
  <c r="A4134" i="6" s="1"/>
  <c r="D4070" i="3"/>
  <c r="A4070" i="6" s="1"/>
  <c r="D4006" i="3"/>
  <c r="A4006" i="6" s="1"/>
  <c r="D3942" i="3"/>
  <c r="A3942" i="6" s="1"/>
  <c r="D3878" i="3"/>
  <c r="A3878" i="6" s="1"/>
  <c r="D3814" i="3"/>
  <c r="A3814" i="6" s="1"/>
  <c r="D3750" i="3"/>
  <c r="A3750" i="6" s="1"/>
  <c r="D3686" i="3"/>
  <c r="A3686" i="6" s="1"/>
  <c r="D3622" i="3"/>
  <c r="A3622" i="6" s="1"/>
  <c r="D3558" i="3"/>
  <c r="A3558" i="6" s="1"/>
  <c r="D3494" i="3"/>
  <c r="A3494" i="6" s="1"/>
  <c r="E3430" i="3"/>
  <c r="E3366" i="3"/>
  <c r="E3302" i="3"/>
  <c r="E3238" i="3"/>
  <c r="E3174" i="3"/>
  <c r="E3110" i="3"/>
  <c r="E3046" i="3"/>
  <c r="E2982" i="3"/>
  <c r="E2918" i="3"/>
  <c r="E2854" i="3"/>
  <c r="E2790" i="3"/>
  <c r="E2726" i="3"/>
  <c r="E2662" i="3"/>
  <c r="E2598" i="3"/>
  <c r="E2532" i="3"/>
  <c r="D3379" i="3"/>
  <c r="A3379" i="6" s="1"/>
  <c r="D3315" i="3"/>
  <c r="A3315" i="6" s="1"/>
  <c r="D3251" i="3"/>
  <c r="A3251" i="6" s="1"/>
  <c r="D3187" i="3"/>
  <c r="A3187" i="6" s="1"/>
  <c r="D3123" i="3"/>
  <c r="A3123" i="6" s="1"/>
  <c r="D3059" i="3"/>
  <c r="A3059" i="6" s="1"/>
  <c r="D2995" i="3"/>
  <c r="A2995" i="6" s="1"/>
  <c r="D2931" i="3"/>
  <c r="A2931" i="6" s="1"/>
  <c r="D2867" i="3"/>
  <c r="A2867" i="6" s="1"/>
  <c r="D2803" i="3"/>
  <c r="A2803" i="6" s="1"/>
  <c r="D2739" i="3"/>
  <c r="A2739" i="6" s="1"/>
  <c r="D2675" i="3"/>
  <c r="A2675" i="6" s="1"/>
  <c r="D2611" i="3"/>
  <c r="A2611" i="6" s="1"/>
  <c r="D2547" i="3"/>
  <c r="A2547" i="6" s="1"/>
  <c r="E2487" i="3"/>
  <c r="E2423" i="3"/>
  <c r="E2359" i="3"/>
  <c r="E2295" i="3"/>
  <c r="E2231" i="3"/>
  <c r="E2167" i="3"/>
  <c r="E2103" i="3"/>
  <c r="E2039" i="3"/>
  <c r="E1975" i="3"/>
  <c r="E1911" i="3"/>
  <c r="E1847" i="3"/>
  <c r="E1783" i="3"/>
  <c r="E1719" i="3"/>
  <c r="E1655" i="3"/>
  <c r="D2494" i="3"/>
  <c r="A2494" i="6" s="1"/>
  <c r="D2430" i="3"/>
  <c r="A2430" i="6" s="1"/>
  <c r="D2366" i="3"/>
  <c r="A2366" i="6" s="1"/>
  <c r="D2302" i="3"/>
  <c r="A2302" i="6" s="1"/>
  <c r="D2238" i="3"/>
  <c r="A2238" i="6" s="1"/>
  <c r="D2174" i="3"/>
  <c r="A2174" i="6" s="1"/>
  <c r="D2110" i="3"/>
  <c r="A2110" i="6" s="1"/>
  <c r="D2046" i="3"/>
  <c r="A2046" i="6" s="1"/>
  <c r="D1982" i="3"/>
  <c r="A1982" i="6" s="1"/>
  <c r="D1918" i="3"/>
  <c r="A1918" i="6" s="1"/>
  <c r="D1854" i="3"/>
  <c r="A1854" i="6" s="1"/>
  <c r="D1790" i="3"/>
  <c r="A1790" i="6" s="1"/>
  <c r="D1726" i="3"/>
  <c r="A1726" i="6" s="1"/>
  <c r="D1662" i="3"/>
  <c r="A1662" i="6" s="1"/>
  <c r="E1599" i="3"/>
  <c r="E1535" i="3"/>
  <c r="E1471" i="3"/>
  <c r="E1407" i="3"/>
  <c r="E1343" i="3"/>
  <c r="E1279" i="3"/>
  <c r="E1215" i="3"/>
  <c r="D1604" i="3"/>
  <c r="A1604" i="6" s="1"/>
  <c r="D1540" i="3"/>
  <c r="A1540" i="6" s="1"/>
  <c r="D1476" i="3"/>
  <c r="A1476" i="6" s="1"/>
  <c r="D1412" i="3"/>
  <c r="A1412" i="6" s="1"/>
  <c r="D1348" i="3"/>
  <c r="A1348" i="6" s="1"/>
  <c r="D1284" i="3"/>
  <c r="A1284" i="6" s="1"/>
  <c r="D1220" i="3"/>
  <c r="A1220" i="6" s="1"/>
  <c r="D1184" i="3"/>
  <c r="A1184" i="6" s="1"/>
  <c r="E1120" i="3"/>
  <c r="E1056" i="3"/>
  <c r="E992" i="3"/>
  <c r="E928" i="3"/>
  <c r="E864" i="3"/>
  <c r="E800" i="3"/>
  <c r="D1135" i="3"/>
  <c r="A1135" i="6" s="1"/>
  <c r="D1071" i="3"/>
  <c r="A1071" i="6" s="1"/>
  <c r="D1007" i="3"/>
  <c r="A1007" i="6" s="1"/>
  <c r="D943" i="3"/>
  <c r="A943" i="6" s="1"/>
  <c r="D879" i="3"/>
  <c r="A879" i="6" s="1"/>
  <c r="D815" i="3"/>
  <c r="A815" i="6" s="1"/>
  <c r="E733" i="3"/>
  <c r="E714" i="3"/>
  <c r="E650" i="3"/>
  <c r="E586" i="3"/>
  <c r="D697" i="3"/>
  <c r="A697" i="6" s="1"/>
  <c r="D633" i="3"/>
  <c r="A633" i="6" s="1"/>
  <c r="D569" i="3"/>
  <c r="A569" i="6" s="1"/>
  <c r="E504" i="3"/>
  <c r="E440" i="3"/>
  <c r="E376" i="3"/>
  <c r="D537" i="3"/>
  <c r="A537" i="6" s="1"/>
  <c r="D473" i="3"/>
  <c r="A473" i="6" s="1"/>
  <c r="D409" i="3"/>
  <c r="A409" i="6" s="1"/>
  <c r="D345" i="3"/>
  <c r="A345" i="6" s="1"/>
  <c r="E290" i="3"/>
  <c r="E226" i="3"/>
  <c r="D261" i="3"/>
  <c r="A261" i="6" s="1"/>
  <c r="E196" i="3"/>
  <c r="D179" i="3"/>
  <c r="A179" i="6" s="1"/>
  <c r="E8719" i="3"/>
  <c r="E8591" i="3"/>
  <c r="E8499" i="3"/>
  <c r="E8435" i="3"/>
  <c r="E8371" i="3"/>
  <c r="E8307" i="3"/>
  <c r="E8243" i="3"/>
  <c r="E8179" i="3"/>
  <c r="E8115" i="3"/>
  <c r="E8051" i="3"/>
  <c r="E7987" i="3"/>
  <c r="E7923" i="3"/>
  <c r="E7859" i="3"/>
  <c r="E7795" i="3"/>
  <c r="E7731" i="3"/>
  <c r="E7667" i="3"/>
  <c r="E7603" i="3"/>
  <c r="E7539" i="3"/>
  <c r="E7475" i="3"/>
  <c r="E7411" i="3"/>
  <c r="E7347" i="3"/>
  <c r="E7283" i="3"/>
  <c r="E7219" i="3"/>
  <c r="E7155" i="3"/>
  <c r="E8725" i="3"/>
  <c r="D8698" i="3"/>
  <c r="A8698" i="6" s="1"/>
  <c r="D8634" i="3"/>
  <c r="A8634" i="6" s="1"/>
  <c r="D8570" i="3"/>
  <c r="A8570" i="6" s="1"/>
  <c r="D8506" i="3"/>
  <c r="A8506" i="6" s="1"/>
  <c r="D8442" i="3"/>
  <c r="A8442" i="6" s="1"/>
  <c r="D8378" i="3"/>
  <c r="A8378" i="6" s="1"/>
  <c r="D8314" i="3"/>
  <c r="A8314" i="6" s="1"/>
  <c r="D8250" i="3"/>
  <c r="A8250" i="6" s="1"/>
  <c r="D8186" i="3"/>
  <c r="A8186" i="6" s="1"/>
  <c r="D8122" i="3"/>
  <c r="A8122" i="6" s="1"/>
  <c r="D8058" i="3"/>
  <c r="A8058" i="6" s="1"/>
  <c r="D7994" i="3"/>
  <c r="A7994" i="6" s="1"/>
  <c r="D7930" i="3"/>
  <c r="A7930" i="6" s="1"/>
  <c r="D7866" i="3"/>
  <c r="A7866" i="6" s="1"/>
  <c r="D7802" i="3"/>
  <c r="A7802" i="6" s="1"/>
  <c r="D7738" i="3"/>
  <c r="A7738" i="6" s="1"/>
  <c r="D7674" i="3"/>
  <c r="A7674" i="6" s="1"/>
  <c r="D7610" i="3"/>
  <c r="A7610" i="6" s="1"/>
  <c r="D7546" i="3"/>
  <c r="A7546" i="6" s="1"/>
  <c r="D7482" i="3"/>
  <c r="A7482" i="6" s="1"/>
  <c r="D7418" i="3"/>
  <c r="A7418" i="6" s="1"/>
  <c r="D7354" i="3"/>
  <c r="A7354" i="6" s="1"/>
  <c r="D7290" i="3"/>
  <c r="A7290" i="6" s="1"/>
  <c r="D7226" i="3"/>
  <c r="A7226" i="6" s="1"/>
  <c r="D7162" i="3"/>
  <c r="A7162" i="6" s="1"/>
  <c r="E7076" i="3"/>
  <c r="E7012" i="3"/>
  <c r="E6948" i="3"/>
  <c r="E6884" i="3"/>
  <c r="E6820" i="3"/>
  <c r="E6756" i="3"/>
  <c r="E6692" i="3"/>
  <c r="E6628" i="3"/>
  <c r="E6564" i="3"/>
  <c r="E6500" i="3"/>
  <c r="E6436" i="3"/>
  <c r="E6372" i="3"/>
  <c r="E6308" i="3"/>
  <c r="E6244" i="3"/>
  <c r="E6180" i="3"/>
  <c r="E6116" i="3"/>
  <c r="E6052" i="3"/>
  <c r="E5988" i="3"/>
  <c r="D8635" i="3"/>
  <c r="A8635" i="6" s="1"/>
  <c r="D8739" i="3"/>
  <c r="A8739" i="6" s="1"/>
  <c r="D8669" i="3"/>
  <c r="A8669" i="6" s="1"/>
  <c r="D8605" i="3"/>
  <c r="A8605" i="6" s="1"/>
  <c r="D8541" i="3"/>
  <c r="A8541" i="6" s="1"/>
  <c r="D8477" i="3"/>
  <c r="A8477" i="6" s="1"/>
  <c r="D8413" i="3"/>
  <c r="A8413" i="6" s="1"/>
  <c r="D8349" i="3"/>
  <c r="A8349" i="6" s="1"/>
  <c r="D8285" i="3"/>
  <c r="A8285" i="6" s="1"/>
  <c r="D8221" i="3"/>
  <c r="A8221" i="6" s="1"/>
  <c r="D8157" i="3"/>
  <c r="A8157" i="6" s="1"/>
  <c r="D8093" i="3"/>
  <c r="A8093" i="6" s="1"/>
  <c r="D8029" i="3"/>
  <c r="A8029" i="6" s="1"/>
  <c r="D7965" i="3"/>
  <c r="A7965" i="6" s="1"/>
  <c r="D7901" i="3"/>
  <c r="A7901" i="6" s="1"/>
  <c r="D7837" i="3"/>
  <c r="A7837" i="6" s="1"/>
  <c r="D7773" i="3"/>
  <c r="A7773" i="6" s="1"/>
  <c r="D7709" i="3"/>
  <c r="A7709" i="6" s="1"/>
  <c r="D7645" i="3"/>
  <c r="A7645" i="6" s="1"/>
  <c r="D7581" i="3"/>
  <c r="A7581" i="6" s="1"/>
  <c r="D7517" i="3"/>
  <c r="A7517" i="6" s="1"/>
  <c r="D7453" i="3"/>
  <c r="A7453" i="6" s="1"/>
  <c r="D7389" i="3"/>
  <c r="A7389" i="6" s="1"/>
  <c r="D7325" i="3"/>
  <c r="A7325" i="6" s="1"/>
  <c r="D7261" i="3"/>
  <c r="A7261" i="6" s="1"/>
  <c r="D7197" i="3"/>
  <c r="A7197" i="6" s="1"/>
  <c r="D7133" i="3"/>
  <c r="A7133" i="6" s="1"/>
  <c r="E8740" i="3"/>
  <c r="E8676" i="3"/>
  <c r="E8612" i="3"/>
  <c r="E8548" i="3"/>
  <c r="E8484" i="3"/>
  <c r="E8420" i="3"/>
  <c r="E8356" i="3"/>
  <c r="E8292" i="3"/>
  <c r="E8228" i="3"/>
  <c r="E8164" i="3"/>
  <c r="E8100" i="3"/>
  <c r="E8036" i="3"/>
  <c r="E7972" i="3"/>
  <c r="E7908" i="3"/>
  <c r="E7844" i="3"/>
  <c r="E7780" i="3"/>
  <c r="E7716" i="3"/>
  <c r="E7652" i="3"/>
  <c r="E7588" i="3"/>
  <c r="E7524" i="3"/>
  <c r="E7460" i="3"/>
  <c r="E7396" i="3"/>
  <c r="E7332" i="3"/>
  <c r="E7268" i="3"/>
  <c r="E7204" i="3"/>
  <c r="E7140" i="3"/>
  <c r="D7054" i="3"/>
  <c r="A7054" i="6" s="1"/>
  <c r="D6990" i="3"/>
  <c r="A6990" i="6" s="1"/>
  <c r="D6926" i="3"/>
  <c r="A6926" i="6" s="1"/>
  <c r="D6862" i="3"/>
  <c r="A6862" i="6" s="1"/>
  <c r="D6798" i="3"/>
  <c r="A6798" i="6" s="1"/>
  <c r="D6734" i="3"/>
  <c r="A6734" i="6" s="1"/>
  <c r="D6670" i="3"/>
  <c r="A6670" i="6" s="1"/>
  <c r="D6606" i="3"/>
  <c r="A6606" i="6" s="1"/>
  <c r="D6542" i="3"/>
  <c r="A6542" i="6" s="1"/>
  <c r="D6478" i="3"/>
  <c r="A6478" i="6" s="1"/>
  <c r="D6414" i="3"/>
  <c r="A6414" i="6" s="1"/>
  <c r="D6350" i="3"/>
  <c r="A6350" i="6" s="1"/>
  <c r="D6286" i="3"/>
  <c r="A6286" i="6" s="1"/>
  <c r="D6222" i="3"/>
  <c r="A6222" i="6" s="1"/>
  <c r="D6158" i="3"/>
  <c r="A6158" i="6" s="1"/>
  <c r="D6094" i="3"/>
  <c r="A6094" i="6" s="1"/>
  <c r="D6030" i="3"/>
  <c r="A6030" i="6" s="1"/>
  <c r="D5966" i="3"/>
  <c r="A5966" i="6" s="1"/>
  <c r="D5902" i="3"/>
  <c r="A5902" i="6" s="1"/>
  <c r="D5838" i="3"/>
  <c r="A5838" i="6" s="1"/>
  <c r="D5774" i="3"/>
  <c r="A5774" i="6" s="1"/>
  <c r="D5710" i="3"/>
  <c r="A5710" i="6" s="1"/>
  <c r="D5646" i="3"/>
  <c r="A5646" i="6" s="1"/>
  <c r="D5582" i="3"/>
  <c r="A5582" i="6" s="1"/>
  <c r="D5518" i="3"/>
  <c r="A5518" i="6" s="1"/>
  <c r="D5454" i="3"/>
  <c r="A5454" i="6" s="1"/>
  <c r="D5390" i="3"/>
  <c r="A5390" i="6" s="1"/>
  <c r="D5326" i="3"/>
  <c r="A5326" i="6" s="1"/>
  <c r="E7125" i="3"/>
  <c r="E7061" i="3"/>
  <c r="E6997" i="3"/>
  <c r="E6933" i="3"/>
  <c r="E6869" i="3"/>
  <c r="E6805" i="3"/>
  <c r="E6741" i="3"/>
  <c r="E6677" i="3"/>
  <c r="E6613" i="3"/>
  <c r="E6549" i="3"/>
  <c r="E6485" i="3"/>
  <c r="E6421" i="3"/>
  <c r="E6357" i="3"/>
  <c r="E6293" i="3"/>
  <c r="E6229" i="3"/>
  <c r="E6165" i="3"/>
  <c r="E6101" i="3"/>
  <c r="E6037" i="3"/>
  <c r="E5973" i="3"/>
  <c r="E5909" i="3"/>
  <c r="E5845" i="3"/>
  <c r="E5781" i="3"/>
  <c r="E5717" i="3"/>
  <c r="E5653" i="3"/>
  <c r="E5589" i="3"/>
  <c r="E5525" i="3"/>
  <c r="E5461" i="3"/>
  <c r="E5397" i="3"/>
  <c r="E5333" i="3"/>
  <c r="E5269" i="3"/>
  <c r="D5205" i="3"/>
  <c r="A5205" i="6" s="1"/>
  <c r="D5141" i="3"/>
  <c r="A5141" i="6" s="1"/>
  <c r="D5077" i="3"/>
  <c r="A5077" i="6" s="1"/>
  <c r="D5013" i="3"/>
  <c r="A5013" i="6" s="1"/>
  <c r="D4949" i="3"/>
  <c r="A4949" i="6" s="1"/>
  <c r="D4885" i="3"/>
  <c r="A4885" i="6" s="1"/>
  <c r="D4821" i="3"/>
  <c r="A4821" i="6" s="1"/>
  <c r="D4757" i="3"/>
  <c r="A4757" i="6" s="1"/>
  <c r="D4693" i="3"/>
  <c r="A4693" i="6" s="1"/>
  <c r="D4629" i="3"/>
  <c r="A4629" i="6" s="1"/>
  <c r="D4565" i="3"/>
  <c r="A4565" i="6" s="1"/>
  <c r="D4501" i="3"/>
  <c r="A4501" i="6" s="1"/>
  <c r="D4437" i="3"/>
  <c r="A4437" i="6" s="1"/>
  <c r="D4373" i="3"/>
  <c r="A4373" i="6" s="1"/>
  <c r="D4309" i="3"/>
  <c r="A4309" i="6" s="1"/>
  <c r="D4245" i="3"/>
  <c r="A4245" i="6" s="1"/>
  <c r="D4181" i="3"/>
  <c r="A4181" i="6" s="1"/>
  <c r="D4117" i="3"/>
  <c r="A4117" i="6" s="1"/>
  <c r="D4053" i="3"/>
  <c r="A4053" i="6" s="1"/>
  <c r="D3989" i="3"/>
  <c r="A3989" i="6" s="1"/>
  <c r="D3925" i="3"/>
  <c r="A3925" i="6" s="1"/>
  <c r="D3861" i="3"/>
  <c r="A3861" i="6" s="1"/>
  <c r="D3797" i="3"/>
  <c r="A3797" i="6" s="1"/>
  <c r="D3733" i="3"/>
  <c r="A3733" i="6" s="1"/>
  <c r="D3669" i="3"/>
  <c r="A3669" i="6" s="1"/>
  <c r="D3605" i="3"/>
  <c r="A3605" i="6" s="1"/>
  <c r="D3541" i="3"/>
  <c r="A3541" i="6" s="1"/>
  <c r="D3477" i="3"/>
  <c r="A3477" i="6" s="1"/>
  <c r="E5234" i="3"/>
  <c r="E5170" i="3"/>
  <c r="E5106" i="3"/>
  <c r="E5042" i="3"/>
  <c r="E4978" i="3"/>
  <c r="E4914" i="3"/>
  <c r="E4850" i="3"/>
  <c r="E4786" i="3"/>
  <c r="E4722" i="3"/>
  <c r="E4658" i="3"/>
  <c r="E4594" i="3"/>
  <c r="E4530" i="3"/>
  <c r="E4466" i="3"/>
  <c r="E4402" i="3"/>
  <c r="E4338" i="3"/>
  <c r="E4274" i="3"/>
  <c r="E4210" i="3"/>
  <c r="E4146" i="3"/>
  <c r="E4082" i="3"/>
  <c r="E4018" i="3"/>
  <c r="E3954" i="3"/>
  <c r="E3890" i="3"/>
  <c r="E3826" i="3"/>
  <c r="E3762" i="3"/>
  <c r="E3698" i="3"/>
  <c r="E3634" i="3"/>
  <c r="E3570" i="3"/>
  <c r="E3506" i="3"/>
  <c r="E3442" i="3"/>
  <c r="D3378" i="3"/>
  <c r="A3378" i="6" s="1"/>
  <c r="D3314" i="3"/>
  <c r="A3314" i="6" s="1"/>
  <c r="D3250" i="3"/>
  <c r="A3250" i="6" s="1"/>
  <c r="D3186" i="3"/>
  <c r="A3186" i="6" s="1"/>
  <c r="D3122" i="3"/>
  <c r="A3122" i="6" s="1"/>
  <c r="D3058" i="3"/>
  <c r="A3058" i="6" s="1"/>
  <c r="D2994" i="3"/>
  <c r="A2994" i="6" s="1"/>
  <c r="D2930" i="3"/>
  <c r="A2930" i="6" s="1"/>
  <c r="D2866" i="3"/>
  <c r="A2866" i="6" s="1"/>
  <c r="D2802" i="3"/>
  <c r="A2802" i="6" s="1"/>
  <c r="D2738" i="3"/>
  <c r="A2738" i="6" s="1"/>
  <c r="D2674" i="3"/>
  <c r="A2674" i="6" s="1"/>
  <c r="D2610" i="3"/>
  <c r="A2610" i="6" s="1"/>
  <c r="D2546" i="3"/>
  <c r="A2546" i="6" s="1"/>
  <c r="E3391" i="3"/>
  <c r="E3327" i="3"/>
  <c r="E3263" i="3"/>
  <c r="E3199" i="3"/>
  <c r="E3135" i="3"/>
  <c r="E3071" i="3"/>
  <c r="E3007" i="3"/>
  <c r="E2943" i="3"/>
  <c r="E2879" i="3"/>
  <c r="E2815" i="3"/>
  <c r="E2751" i="3"/>
  <c r="E2687" i="3"/>
  <c r="E2623" i="3"/>
  <c r="E2559" i="3"/>
  <c r="D2499" i="3"/>
  <c r="A2499" i="6" s="1"/>
  <c r="D2435" i="3"/>
  <c r="A2435" i="6" s="1"/>
  <c r="D2371" i="3"/>
  <c r="A2371" i="6" s="1"/>
  <c r="D2307" i="3"/>
  <c r="A2307" i="6" s="1"/>
  <c r="D2243" i="3"/>
  <c r="A2243" i="6" s="1"/>
  <c r="D2179" i="3"/>
  <c r="A2179" i="6" s="1"/>
  <c r="D2115" i="3"/>
  <c r="A2115" i="6" s="1"/>
  <c r="D2051" i="3"/>
  <c r="A2051" i="6" s="1"/>
  <c r="D1987" i="3"/>
  <c r="A1987" i="6" s="1"/>
  <c r="D1923" i="3"/>
  <c r="A1923" i="6" s="1"/>
  <c r="D1859" i="3"/>
  <c r="A1859" i="6" s="1"/>
  <c r="D1795" i="3"/>
  <c r="A1795" i="6" s="1"/>
  <c r="D1731" i="3"/>
  <c r="A1731" i="6" s="1"/>
  <c r="D1667" i="3"/>
  <c r="A1667" i="6" s="1"/>
  <c r="E2506" i="3"/>
  <c r="E2442" i="3"/>
  <c r="E2378" i="3"/>
  <c r="E2314" i="3"/>
  <c r="E2250" i="3"/>
  <c r="E2186" i="3"/>
  <c r="E2122" i="3"/>
  <c r="E2058" i="3"/>
  <c r="E1994" i="3"/>
  <c r="E1930" i="3"/>
  <c r="E1866" i="3"/>
  <c r="E1802" i="3"/>
  <c r="E1738" i="3"/>
  <c r="E1674" i="3"/>
  <c r="D1611" i="3"/>
  <c r="A1611" i="6" s="1"/>
  <c r="D1547" i="3"/>
  <c r="A1547" i="6" s="1"/>
  <c r="D1483" i="3"/>
  <c r="A1483" i="6" s="1"/>
  <c r="D1419" i="3"/>
  <c r="A1419" i="6" s="1"/>
  <c r="D1355" i="3"/>
  <c r="A1355" i="6" s="1"/>
  <c r="D1291" i="3"/>
  <c r="A1291" i="6" s="1"/>
  <c r="D1227" i="3"/>
  <c r="A1227" i="6" s="1"/>
  <c r="E1616" i="3"/>
  <c r="E1552" i="3"/>
  <c r="E1488" i="3"/>
  <c r="E1424" i="3"/>
  <c r="E1360" i="3"/>
  <c r="E1296" i="3"/>
  <c r="E1232" i="3"/>
  <c r="E1196" i="3"/>
  <c r="D1132" i="3"/>
  <c r="A1132" i="6" s="1"/>
  <c r="D1068" i="3"/>
  <c r="A1068" i="6" s="1"/>
  <c r="D1004" i="3"/>
  <c r="A1004" i="6" s="1"/>
  <c r="D940" i="3"/>
  <c r="A940" i="6" s="1"/>
  <c r="D876" i="3"/>
  <c r="A876" i="6" s="1"/>
  <c r="D812" i="3"/>
  <c r="A812" i="6" s="1"/>
  <c r="D723" i="3"/>
  <c r="A723" i="6" s="1"/>
  <c r="E1083" i="3"/>
  <c r="E1019" i="3"/>
  <c r="E955" i="3"/>
  <c r="E891" i="3"/>
  <c r="E827" i="3"/>
  <c r="D757" i="3"/>
  <c r="A757" i="6" s="1"/>
  <c r="E726" i="3"/>
  <c r="D662" i="3"/>
  <c r="A662" i="6" s="1"/>
  <c r="D598" i="3"/>
  <c r="A598" i="6" s="1"/>
  <c r="E709" i="3"/>
  <c r="E645" i="3"/>
  <c r="E581" i="3"/>
  <c r="D516" i="3"/>
  <c r="A516" i="6" s="1"/>
  <c r="D452" i="3"/>
  <c r="A452" i="6" s="1"/>
  <c r="D388" i="3"/>
  <c r="A388" i="6" s="1"/>
  <c r="D321" i="3"/>
  <c r="A321" i="6" s="1"/>
  <c r="E485" i="3"/>
  <c r="E421" i="3"/>
  <c r="E357" i="3"/>
  <c r="D302" i="3"/>
  <c r="A302" i="6" s="1"/>
  <c r="D238" i="3"/>
  <c r="A238" i="6" s="1"/>
  <c r="E273" i="3"/>
  <c r="D208" i="3"/>
  <c r="A208" i="6" s="1"/>
  <c r="E159" i="3"/>
  <c r="D8695" i="3"/>
  <c r="A8695" i="6" s="1"/>
  <c r="D8567" i="3"/>
  <c r="A8567" i="6" s="1"/>
  <c r="D8487" i="3"/>
  <c r="A8487" i="6" s="1"/>
  <c r="D8423" i="3"/>
  <c r="A8423" i="6" s="1"/>
  <c r="D8359" i="3"/>
  <c r="A8359" i="6" s="1"/>
  <c r="D8295" i="3"/>
  <c r="A8295" i="6" s="1"/>
  <c r="D8231" i="3"/>
  <c r="A8231" i="6" s="1"/>
  <c r="D8167" i="3"/>
  <c r="A8167" i="6" s="1"/>
  <c r="D8103" i="3"/>
  <c r="A8103" i="6" s="1"/>
  <c r="D8039" i="3"/>
  <c r="A8039" i="6" s="1"/>
  <c r="D7975" i="3"/>
  <c r="A7975" i="6" s="1"/>
  <c r="D7911" i="3"/>
  <c r="A7911" i="6" s="1"/>
  <c r="D7847" i="3"/>
  <c r="A7847" i="6" s="1"/>
  <c r="D7783" i="3"/>
  <c r="A7783" i="6" s="1"/>
  <c r="D7719" i="3"/>
  <c r="A7719" i="6" s="1"/>
  <c r="D7655" i="3"/>
  <c r="A7655" i="6" s="1"/>
  <c r="D7591" i="3"/>
  <c r="A7591" i="6" s="1"/>
  <c r="D7527" i="3"/>
  <c r="A7527" i="6" s="1"/>
  <c r="D7463" i="3"/>
  <c r="A7463" i="6" s="1"/>
  <c r="D7399" i="3"/>
  <c r="A7399" i="6" s="1"/>
  <c r="D7335" i="3"/>
  <c r="A7335" i="6" s="1"/>
  <c r="D7271" i="3"/>
  <c r="A7271" i="6" s="1"/>
  <c r="D7207" i="3"/>
  <c r="A7207" i="6" s="1"/>
  <c r="D7143" i="3"/>
  <c r="A7143" i="6" s="1"/>
  <c r="E8750" i="3"/>
  <c r="E8686" i="3"/>
  <c r="E8622" i="3"/>
  <c r="E8558" i="3"/>
  <c r="E8494" i="3"/>
  <c r="E8430" i="3"/>
  <c r="E8366" i="3"/>
  <c r="E8302" i="3"/>
  <c r="E8238" i="3"/>
  <c r="E8174" i="3"/>
  <c r="E8110" i="3"/>
  <c r="E8046" i="3"/>
  <c r="E7982" i="3"/>
  <c r="E7918" i="3"/>
  <c r="E7854" i="3"/>
  <c r="E7790" i="3"/>
  <c r="E7726" i="3"/>
  <c r="E7662" i="3"/>
  <c r="E7598" i="3"/>
  <c r="E7534" i="3"/>
  <c r="E7470" i="3"/>
  <c r="E7406" i="3"/>
  <c r="E7342" i="3"/>
  <c r="E7278" i="3"/>
  <c r="E7214" i="3"/>
  <c r="E7150" i="3"/>
  <c r="D7064" i="3"/>
  <c r="A7064" i="6" s="1"/>
  <c r="D7000" i="3"/>
  <c r="A7000" i="6" s="1"/>
  <c r="D6936" i="3"/>
  <c r="A6936" i="6" s="1"/>
  <c r="D6872" i="3"/>
  <c r="A6872" i="6" s="1"/>
  <c r="D6808" i="3"/>
  <c r="A6808" i="6" s="1"/>
  <c r="D6744" i="3"/>
  <c r="A6744" i="6" s="1"/>
  <c r="D6680" i="3"/>
  <c r="A6680" i="6" s="1"/>
  <c r="D6616" i="3"/>
  <c r="A6616" i="6" s="1"/>
  <c r="D6552" i="3"/>
  <c r="A6552" i="6" s="1"/>
  <c r="D6488" i="3"/>
  <c r="A6488" i="6" s="1"/>
  <c r="D6424" i="3"/>
  <c r="A6424" i="6" s="1"/>
  <c r="D6360" i="3"/>
  <c r="A6360" i="6" s="1"/>
  <c r="D6296" i="3"/>
  <c r="A6296" i="6" s="1"/>
  <c r="D6232" i="3"/>
  <c r="A6232" i="6" s="1"/>
  <c r="D6168" i="3"/>
  <c r="A6168" i="6" s="1"/>
  <c r="D6104" i="3"/>
  <c r="A6104" i="6" s="1"/>
  <c r="D6040" i="3"/>
  <c r="A6040" i="6" s="1"/>
  <c r="E5932" i="3"/>
  <c r="E5868" i="3"/>
  <c r="E5804" i="3"/>
  <c r="E5740" i="3"/>
  <c r="E5676" i="3"/>
  <c r="E5612" i="3"/>
  <c r="E5548" i="3"/>
  <c r="E5484" i="3"/>
  <c r="E5420" i="3"/>
  <c r="E5356" i="3"/>
  <c r="E5292" i="3"/>
  <c r="D7091" i="3"/>
  <c r="D7027" i="3"/>
  <c r="D6963" i="3"/>
  <c r="D6899" i="3"/>
  <c r="D6835" i="3"/>
  <c r="D6771" i="3"/>
  <c r="D6707" i="3"/>
  <c r="D6643" i="3"/>
  <c r="D6579" i="3"/>
  <c r="D6515" i="3"/>
  <c r="D6451" i="3"/>
  <c r="D6387" i="3"/>
  <c r="D6323" i="3"/>
  <c r="D6259" i="3"/>
  <c r="D6195" i="3"/>
  <c r="D6131" i="3"/>
  <c r="D6067" i="3"/>
  <c r="D6003" i="3"/>
  <c r="D5939" i="3"/>
  <c r="D5875" i="3"/>
  <c r="D5811" i="3"/>
  <c r="D5747" i="3"/>
  <c r="D5683" i="3"/>
  <c r="D5619" i="3"/>
  <c r="D5555" i="3"/>
  <c r="D5491" i="3"/>
  <c r="D5427" i="3"/>
  <c r="D5363" i="3"/>
  <c r="D5299" i="3"/>
  <c r="E5235" i="3"/>
  <c r="E5171" i="3"/>
  <c r="E5107" i="3"/>
  <c r="E5043" i="3"/>
  <c r="E4979" i="3"/>
  <c r="E4915" i="3"/>
  <c r="E4851" i="3"/>
  <c r="E4787" i="3"/>
  <c r="E4723" i="3"/>
  <c r="E4659" i="3"/>
  <c r="E4595" i="3"/>
  <c r="E4531" i="3"/>
  <c r="E4467" i="3"/>
  <c r="E4403" i="3"/>
  <c r="E4339" i="3"/>
  <c r="E4275" i="3"/>
  <c r="E4211" i="3"/>
  <c r="E4147" i="3"/>
  <c r="E4083" i="3"/>
  <c r="E4019" i="3"/>
  <c r="E3955" i="3"/>
  <c r="E3891" i="3"/>
  <c r="E3827" i="3"/>
  <c r="E3763" i="3"/>
  <c r="E3699" i="3"/>
  <c r="E3635" i="3"/>
  <c r="E3571" i="3"/>
  <c r="E3507" i="3"/>
  <c r="E3443" i="3"/>
  <c r="D5200" i="3"/>
  <c r="D5136" i="3"/>
  <c r="D5072" i="3"/>
  <c r="D5008" i="3"/>
  <c r="D4944" i="3"/>
  <c r="D4880" i="3"/>
  <c r="D4816" i="3"/>
  <c r="D4752" i="3"/>
  <c r="D4688" i="3"/>
  <c r="D4624" i="3"/>
  <c r="D4560" i="3"/>
  <c r="D4496" i="3"/>
  <c r="D4432" i="3"/>
  <c r="D4368" i="3"/>
  <c r="D4304" i="3"/>
  <c r="D4240" i="3"/>
  <c r="D4176" i="3"/>
  <c r="D4112" i="3"/>
  <c r="D4048" i="3"/>
  <c r="D3984" i="3"/>
  <c r="D3920" i="3"/>
  <c r="D3856" i="3"/>
  <c r="D3792" i="3"/>
  <c r="D3728" i="3"/>
  <c r="D3664" i="3"/>
  <c r="D3600" i="3"/>
  <c r="D3536" i="3"/>
  <c r="D3472" i="3"/>
  <c r="E3408" i="3"/>
  <c r="E3344" i="3"/>
  <c r="E3280" i="3"/>
  <c r="E3216" i="3"/>
  <c r="E3152" i="3"/>
  <c r="E3088" i="3"/>
  <c r="E3024" i="3"/>
  <c r="E2960" i="3"/>
  <c r="E2896" i="3"/>
  <c r="E2832" i="3"/>
  <c r="E2768" i="3"/>
  <c r="E2704" i="3"/>
  <c r="E2640" i="3"/>
  <c r="E2576" i="3"/>
  <c r="D3421" i="3"/>
  <c r="D3357" i="3"/>
  <c r="D3293" i="3"/>
  <c r="D3229" i="3"/>
  <c r="D3165" i="3"/>
  <c r="D3101" i="3"/>
  <c r="D3037" i="3"/>
  <c r="D2973" i="3"/>
  <c r="D2909" i="3"/>
  <c r="D2845" i="3"/>
  <c r="D2781" i="3"/>
  <c r="D2717" i="3"/>
  <c r="D2653" i="3"/>
  <c r="D2589" i="3"/>
  <c r="D2529" i="3"/>
  <c r="E2465" i="3"/>
  <c r="E2401" i="3"/>
  <c r="E2337" i="3"/>
  <c r="E2273" i="3"/>
  <c r="E2209" i="3"/>
  <c r="E2145" i="3"/>
  <c r="E2081" i="3"/>
  <c r="E2017" i="3"/>
  <c r="E1953" i="3"/>
  <c r="E1889" i="3"/>
  <c r="E1825" i="3"/>
  <c r="E1761" i="3"/>
  <c r="E1697" i="3"/>
  <c r="E1633" i="3"/>
  <c r="D2472" i="3"/>
  <c r="D2408" i="3"/>
  <c r="D2344" i="3"/>
  <c r="D2280" i="3"/>
  <c r="D2216" i="3"/>
  <c r="D2152" i="3"/>
  <c r="D2088" i="3"/>
  <c r="D2024" i="3"/>
  <c r="D1960" i="3"/>
  <c r="D1896" i="3"/>
  <c r="D1832" i="3"/>
  <c r="D1768" i="3"/>
  <c r="D1704" i="3"/>
  <c r="D1640" i="3"/>
  <c r="E1577" i="3"/>
  <c r="E1513" i="3"/>
  <c r="E1449" i="3"/>
  <c r="E1385" i="3"/>
  <c r="E1321" i="3"/>
  <c r="E1257" i="3"/>
  <c r="E1187" i="3"/>
  <c r="D1582" i="3"/>
  <c r="D1518" i="3"/>
  <c r="D1454" i="3"/>
  <c r="D1390" i="3"/>
  <c r="D1326" i="3"/>
  <c r="D1262" i="3"/>
  <c r="E1197" i="3"/>
  <c r="D1162" i="3"/>
  <c r="E1098" i="3"/>
  <c r="E1034" i="3"/>
  <c r="E970" i="3"/>
  <c r="E906" i="3"/>
  <c r="E842" i="3"/>
  <c r="E778" i="3"/>
  <c r="D1113" i="3"/>
  <c r="D1049" i="3"/>
  <c r="D985" i="3"/>
  <c r="D921" i="3"/>
  <c r="D857" i="3"/>
  <c r="D793" i="3"/>
  <c r="D756" i="3"/>
  <c r="E692" i="3"/>
  <c r="E628" i="3"/>
  <c r="E564" i="3"/>
  <c r="D675" i="3"/>
  <c r="D611" i="3"/>
  <c r="D547" i="3"/>
  <c r="E482" i="3"/>
  <c r="E418" i="3"/>
  <c r="E354" i="3"/>
  <c r="D515" i="3"/>
  <c r="D451" i="3"/>
  <c r="D387" i="3"/>
  <c r="E323" i="3"/>
  <c r="E268" i="3"/>
  <c r="D303" i="3"/>
  <c r="D239" i="3"/>
  <c r="E174" i="3"/>
  <c r="D189" i="3"/>
  <c r="D5956" i="3"/>
  <c r="A5956" i="6" s="1"/>
  <c r="D5892" i="3"/>
  <c r="A5892" i="6" s="1"/>
  <c r="D5828" i="3"/>
  <c r="A5828" i="6" s="1"/>
  <c r="D5764" i="3"/>
  <c r="A5764" i="6" s="1"/>
  <c r="D5700" i="3"/>
  <c r="A5700" i="6" s="1"/>
  <c r="D5636" i="3"/>
  <c r="A5636" i="6" s="1"/>
  <c r="D5572" i="3"/>
  <c r="A5572" i="6" s="1"/>
  <c r="D5508" i="3"/>
  <c r="A5508" i="6" s="1"/>
  <c r="D5444" i="3"/>
  <c r="A5444" i="6" s="1"/>
  <c r="D5380" i="3"/>
  <c r="A5380" i="6" s="1"/>
  <c r="D5316" i="3"/>
  <c r="A5316" i="6" s="1"/>
  <c r="E7115" i="3"/>
  <c r="E7051" i="3"/>
  <c r="E6987" i="3"/>
  <c r="E6923" i="3"/>
  <c r="E6859" i="3"/>
  <c r="E6795" i="3"/>
  <c r="E6731" i="3"/>
  <c r="E6667" i="3"/>
  <c r="E6603" i="3"/>
  <c r="E6539" i="3"/>
  <c r="E6475" i="3"/>
  <c r="E6411" i="3"/>
  <c r="E6347" i="3"/>
  <c r="E6283" i="3"/>
  <c r="E6219" i="3"/>
  <c r="E6155" i="3"/>
  <c r="E6091" i="3"/>
  <c r="E6027" i="3"/>
  <c r="E5963" i="3"/>
  <c r="E5899" i="3"/>
  <c r="E5835" i="3"/>
  <c r="E5771" i="3"/>
  <c r="E5707" i="3"/>
  <c r="E5643" i="3"/>
  <c r="E5579" i="3"/>
  <c r="E5515" i="3"/>
  <c r="E5451" i="3"/>
  <c r="E5387" i="3"/>
  <c r="E5323" i="3"/>
  <c r="D5259" i="3"/>
  <c r="A5259" i="6" s="1"/>
  <c r="D5195" i="3"/>
  <c r="A5195" i="6" s="1"/>
  <c r="D5131" i="3"/>
  <c r="A5131" i="6" s="1"/>
  <c r="D5067" i="3"/>
  <c r="A5067" i="6" s="1"/>
  <c r="D5003" i="3"/>
  <c r="A5003" i="6" s="1"/>
  <c r="D4939" i="3"/>
  <c r="A4939" i="6" s="1"/>
  <c r="D4875" i="3"/>
  <c r="A4875" i="6" s="1"/>
  <c r="D4811" i="3"/>
  <c r="A4811" i="6" s="1"/>
  <c r="D4747" i="3"/>
  <c r="A4747" i="6" s="1"/>
  <c r="D4683" i="3"/>
  <c r="A4683" i="6" s="1"/>
  <c r="D4619" i="3"/>
  <c r="A4619" i="6" s="1"/>
  <c r="D4555" i="3"/>
  <c r="A4555" i="6" s="1"/>
  <c r="D4491" i="3"/>
  <c r="A4491" i="6" s="1"/>
  <c r="D4427" i="3"/>
  <c r="A4427" i="6" s="1"/>
  <c r="D4363" i="3"/>
  <c r="A4363" i="6" s="1"/>
  <c r="D4299" i="3"/>
  <c r="A4299" i="6" s="1"/>
  <c r="D4235" i="3"/>
  <c r="A4235" i="6" s="1"/>
  <c r="D4171" i="3"/>
  <c r="A4171" i="6" s="1"/>
  <c r="D4107" i="3"/>
  <c r="A4107" i="6" s="1"/>
  <c r="D4043" i="3"/>
  <c r="A4043" i="6" s="1"/>
  <c r="D3979" i="3"/>
  <c r="A3979" i="6" s="1"/>
  <c r="D3915" i="3"/>
  <c r="A3915" i="6" s="1"/>
  <c r="D3851" i="3"/>
  <c r="A3851" i="6" s="1"/>
  <c r="D3787" i="3"/>
  <c r="A3787" i="6" s="1"/>
  <c r="D3723" i="3"/>
  <c r="A3723" i="6" s="1"/>
  <c r="D3659" i="3"/>
  <c r="A3659" i="6" s="1"/>
  <c r="D3595" i="3"/>
  <c r="A3595" i="6" s="1"/>
  <c r="D3531" i="3"/>
  <c r="A3531" i="6" s="1"/>
  <c r="D3467" i="3"/>
  <c r="A3467" i="6" s="1"/>
  <c r="E5224" i="3"/>
  <c r="E5160" i="3"/>
  <c r="E5096" i="3"/>
  <c r="E5032" i="3"/>
  <c r="E4968" i="3"/>
  <c r="E4904" i="3"/>
  <c r="E4840" i="3"/>
  <c r="E4776" i="3"/>
  <c r="E4712" i="3"/>
  <c r="E4648" i="3"/>
  <c r="E4584" i="3"/>
  <c r="E4520" i="3"/>
  <c r="E4456" i="3"/>
  <c r="E4392" i="3"/>
  <c r="E4328" i="3"/>
  <c r="E4264" i="3"/>
  <c r="E4200" i="3"/>
  <c r="E4136" i="3"/>
  <c r="E4072" i="3"/>
  <c r="E4008" i="3"/>
  <c r="E3944" i="3"/>
  <c r="E3880" i="3"/>
  <c r="E3816" i="3"/>
  <c r="E3752" i="3"/>
  <c r="E3688" i="3"/>
  <c r="E3624" i="3"/>
  <c r="E3560" i="3"/>
  <c r="E3496" i="3"/>
  <c r="D3432" i="3"/>
  <c r="A3432" i="6" s="1"/>
  <c r="D3368" i="3"/>
  <c r="A3368" i="6" s="1"/>
  <c r="D3304" i="3"/>
  <c r="A3304" i="6" s="1"/>
  <c r="D3240" i="3"/>
  <c r="A3240" i="6" s="1"/>
  <c r="D3176" i="3"/>
  <c r="A3176" i="6" s="1"/>
  <c r="D3112" i="3"/>
  <c r="A3112" i="6" s="1"/>
  <c r="D3048" i="3"/>
  <c r="A3048" i="6" s="1"/>
  <c r="D2984" i="3"/>
  <c r="A2984" i="6" s="1"/>
  <c r="D2920" i="3"/>
  <c r="A2920" i="6" s="1"/>
  <c r="D2856" i="3"/>
  <c r="A2856" i="6" s="1"/>
  <c r="D2792" i="3"/>
  <c r="A2792" i="6" s="1"/>
  <c r="D2728" i="3"/>
  <c r="A2728" i="6" s="1"/>
  <c r="D2664" i="3"/>
  <c r="A2664" i="6" s="1"/>
  <c r="D2600" i="3"/>
  <c r="A2600" i="6" s="1"/>
  <c r="D2536" i="3"/>
  <c r="A2536" i="6" s="1"/>
  <c r="E3381" i="3"/>
  <c r="E3317" i="3"/>
  <c r="E3253" i="3"/>
  <c r="E3189" i="3"/>
  <c r="E3125" i="3"/>
  <c r="E3061" i="3"/>
  <c r="E2997" i="3"/>
  <c r="E2933" i="3"/>
  <c r="E2869" i="3"/>
  <c r="E2805" i="3"/>
  <c r="E2741" i="3"/>
  <c r="E2677" i="3"/>
  <c r="E2613" i="3"/>
  <c r="E2549" i="3"/>
  <c r="D2489" i="3"/>
  <c r="A2489" i="6" s="1"/>
  <c r="D2425" i="3"/>
  <c r="A2425" i="6" s="1"/>
  <c r="D2361" i="3"/>
  <c r="A2361" i="6" s="1"/>
  <c r="D2297" i="3"/>
  <c r="A2297" i="6" s="1"/>
  <c r="D2233" i="3"/>
  <c r="A2233" i="6" s="1"/>
  <c r="D2169" i="3"/>
  <c r="A2169" i="6" s="1"/>
  <c r="D2105" i="3"/>
  <c r="A2105" i="6" s="1"/>
  <c r="D2041" i="3"/>
  <c r="A2041" i="6" s="1"/>
  <c r="D1977" i="3"/>
  <c r="A1977" i="6" s="1"/>
  <c r="D1913" i="3"/>
  <c r="A1913" i="6" s="1"/>
  <c r="D1849" i="3"/>
  <c r="A1849" i="6" s="1"/>
  <c r="D1785" i="3"/>
  <c r="A1785" i="6" s="1"/>
  <c r="D1721" i="3"/>
  <c r="A1721" i="6" s="1"/>
  <c r="D1657" i="3"/>
  <c r="A1657" i="6" s="1"/>
  <c r="E2496" i="3"/>
  <c r="E2432" i="3"/>
  <c r="E2368" i="3"/>
  <c r="E2304" i="3"/>
  <c r="E2240" i="3"/>
  <c r="E2176" i="3"/>
  <c r="E2112" i="3"/>
  <c r="E2048" i="3"/>
  <c r="E1984" i="3"/>
  <c r="E1920" i="3"/>
  <c r="E1856" i="3"/>
  <c r="E1792" i="3"/>
  <c r="E1728" i="3"/>
  <c r="E1664" i="3"/>
  <c r="D1601" i="3"/>
  <c r="A1601" i="6" s="1"/>
  <c r="D1537" i="3"/>
  <c r="A1537" i="6" s="1"/>
  <c r="D1473" i="3"/>
  <c r="A1473" i="6" s="1"/>
  <c r="D1409" i="3"/>
  <c r="A1409" i="6" s="1"/>
  <c r="D1345" i="3"/>
  <c r="A1345" i="6" s="1"/>
  <c r="D1281" i="3"/>
  <c r="A1281" i="6" s="1"/>
  <c r="D1217" i="3"/>
  <c r="A1217" i="6" s="1"/>
  <c r="E1606" i="3"/>
  <c r="E1542" i="3"/>
  <c r="E1478" i="3"/>
  <c r="E1414" i="3"/>
  <c r="E1350" i="3"/>
  <c r="E1286" i="3"/>
  <c r="E1222" i="3"/>
  <c r="E1186" i="3"/>
  <c r="D1122" i="3"/>
  <c r="A1122" i="6" s="1"/>
  <c r="D1058" i="3"/>
  <c r="A1058" i="6" s="1"/>
  <c r="D994" i="3"/>
  <c r="A994" i="6" s="1"/>
  <c r="D930" i="3"/>
  <c r="A930" i="6" s="1"/>
  <c r="D866" i="3"/>
  <c r="A866" i="6" s="1"/>
  <c r="D802" i="3"/>
  <c r="A802" i="6" s="1"/>
  <c r="E1137" i="3"/>
  <c r="E1073" i="3"/>
  <c r="E1009" i="3"/>
  <c r="E945" i="3"/>
  <c r="E881" i="3"/>
  <c r="E817" i="3"/>
  <c r="D737" i="3"/>
  <c r="A737" i="6" s="1"/>
  <c r="D716" i="3"/>
  <c r="A716" i="6" s="1"/>
  <c r="D652" i="3"/>
  <c r="A652" i="6" s="1"/>
  <c r="D588" i="3"/>
  <c r="A588" i="6" s="1"/>
  <c r="E699" i="3"/>
  <c r="E635" i="3"/>
  <c r="E571" i="3"/>
  <c r="D506" i="3"/>
  <c r="A506" i="6" s="1"/>
  <c r="D442" i="3"/>
  <c r="A442" i="6" s="1"/>
  <c r="D378" i="3"/>
  <c r="A378" i="6" s="1"/>
  <c r="E539" i="3"/>
  <c r="E475" i="3"/>
  <c r="E411" i="3"/>
  <c r="E347" i="3"/>
  <c r="D292" i="3"/>
  <c r="A292" i="6" s="1"/>
  <c r="D228" i="3"/>
  <c r="A228" i="6" s="1"/>
  <c r="E263" i="3"/>
  <c r="D198" i="3"/>
  <c r="A198" i="6" s="1"/>
  <c r="E149" i="3"/>
  <c r="D6076" i="3"/>
  <c r="E5792" i="3"/>
  <c r="E5728" i="3"/>
  <c r="E5664" i="3"/>
  <c r="E5600" i="3"/>
  <c r="E5536" i="3"/>
  <c r="E5472" i="3"/>
  <c r="E5408" i="3"/>
  <c r="E5344" i="3"/>
  <c r="E5280" i="3"/>
  <c r="D7079" i="3"/>
  <c r="A7079" i="6" s="1"/>
  <c r="D7015" i="3"/>
  <c r="A7015" i="6" s="1"/>
  <c r="D6951" i="3"/>
  <c r="A6951" i="6" s="1"/>
  <c r="D6887" i="3"/>
  <c r="A6887" i="6" s="1"/>
  <c r="D6823" i="3"/>
  <c r="A6823" i="6" s="1"/>
  <c r="D6759" i="3"/>
  <c r="A6759" i="6" s="1"/>
  <c r="D6695" i="3"/>
  <c r="A6695" i="6" s="1"/>
  <c r="D6631" i="3"/>
  <c r="A6631" i="6" s="1"/>
  <c r="D6567" i="3"/>
  <c r="A6567" i="6" s="1"/>
  <c r="D6503" i="3"/>
  <c r="A6503" i="6" s="1"/>
  <c r="D6439" i="3"/>
  <c r="A6439" i="6" s="1"/>
  <c r="D6375" i="3"/>
  <c r="A6375" i="6" s="1"/>
  <c r="D6311" i="3"/>
  <c r="A6311" i="6" s="1"/>
  <c r="D6247" i="3"/>
  <c r="A6247" i="6" s="1"/>
  <c r="D6183" i="3"/>
  <c r="A6183" i="6" s="1"/>
  <c r="D6119" i="3"/>
  <c r="A6119" i="6" s="1"/>
  <c r="D6055" i="3"/>
  <c r="A6055" i="6" s="1"/>
  <c r="D5991" i="3"/>
  <c r="A5991" i="6" s="1"/>
  <c r="D5927" i="3"/>
  <c r="A5927" i="6" s="1"/>
  <c r="D5863" i="3"/>
  <c r="A5863" i="6" s="1"/>
  <c r="D5799" i="3"/>
  <c r="A5799" i="6" s="1"/>
  <c r="D5735" i="3"/>
  <c r="A5735" i="6" s="1"/>
  <c r="D5671" i="3"/>
  <c r="A5671" i="6" s="1"/>
  <c r="D5607" i="3"/>
  <c r="A5607" i="6" s="1"/>
  <c r="D5543" i="3"/>
  <c r="A5543" i="6" s="1"/>
  <c r="D5479" i="3"/>
  <c r="A5479" i="6" s="1"/>
  <c r="D5415" i="3"/>
  <c r="A5415" i="6" s="1"/>
  <c r="D5351" i="3"/>
  <c r="A5351" i="6" s="1"/>
  <c r="D5287" i="3"/>
  <c r="A5287" i="6" s="1"/>
  <c r="E5223" i="3"/>
  <c r="E5159" i="3"/>
  <c r="E5095" i="3"/>
  <c r="E5031" i="3"/>
  <c r="E4967" i="3"/>
  <c r="E4903" i="3"/>
  <c r="E4839" i="3"/>
  <c r="E4775" i="3"/>
  <c r="E4711" i="3"/>
  <c r="E4647" i="3"/>
  <c r="E4583" i="3"/>
  <c r="E4519" i="3"/>
  <c r="E4455" i="3"/>
  <c r="E4391" i="3"/>
  <c r="E4327" i="3"/>
  <c r="E4263" i="3"/>
  <c r="E4199" i="3"/>
  <c r="E4135" i="3"/>
  <c r="E4071" i="3"/>
  <c r="E4007" i="3"/>
  <c r="E3943" i="3"/>
  <c r="E3879" i="3"/>
  <c r="E3815" i="3"/>
  <c r="E3751" i="3"/>
  <c r="E3687" i="3"/>
  <c r="E3623" i="3"/>
  <c r="E3559" i="3"/>
  <c r="E3495" i="3"/>
  <c r="D5252" i="3"/>
  <c r="A5252" i="6" s="1"/>
  <c r="D5188" i="3"/>
  <c r="A5188" i="6" s="1"/>
  <c r="D5124" i="3"/>
  <c r="A5124" i="6" s="1"/>
  <c r="D5060" i="3"/>
  <c r="A5060" i="6" s="1"/>
  <c r="D4996" i="3"/>
  <c r="A4996" i="6" s="1"/>
  <c r="D4932" i="3"/>
  <c r="A4932" i="6" s="1"/>
  <c r="D4868" i="3"/>
  <c r="A4868" i="6" s="1"/>
  <c r="D4804" i="3"/>
  <c r="A4804" i="6" s="1"/>
  <c r="D4740" i="3"/>
  <c r="A4740" i="6" s="1"/>
  <c r="D4676" i="3"/>
  <c r="A4676" i="6" s="1"/>
  <c r="D4612" i="3"/>
  <c r="A4612" i="6" s="1"/>
  <c r="D4548" i="3"/>
  <c r="A4548" i="6" s="1"/>
  <c r="D4484" i="3"/>
  <c r="A4484" i="6" s="1"/>
  <c r="D4420" i="3"/>
  <c r="A4420" i="6" s="1"/>
  <c r="D4356" i="3"/>
  <c r="A4356" i="6" s="1"/>
  <c r="D4292" i="3"/>
  <c r="A4292" i="6" s="1"/>
  <c r="D4228" i="3"/>
  <c r="A4228" i="6" s="1"/>
  <c r="D4164" i="3"/>
  <c r="A4164" i="6" s="1"/>
  <c r="D4100" i="3"/>
  <c r="A4100" i="6" s="1"/>
  <c r="D4036" i="3"/>
  <c r="A4036" i="6" s="1"/>
  <c r="D3972" i="3"/>
  <c r="A3972" i="6" s="1"/>
  <c r="D3908" i="3"/>
  <c r="A3908" i="6" s="1"/>
  <c r="D3844" i="3"/>
  <c r="A3844" i="6" s="1"/>
  <c r="D3780" i="3"/>
  <c r="A3780" i="6" s="1"/>
  <c r="D3716" i="3"/>
  <c r="A3716" i="6" s="1"/>
  <c r="D3652" i="3"/>
  <c r="A3652" i="6" s="1"/>
  <c r="D3588" i="3"/>
  <c r="A3588" i="6" s="1"/>
  <c r="D3524" i="3"/>
  <c r="A3524" i="6" s="1"/>
  <c r="D3460" i="3"/>
  <c r="A3460" i="6" s="1"/>
  <c r="E3396" i="3"/>
  <c r="E3332" i="3"/>
  <c r="E3268" i="3"/>
  <c r="E3204" i="3"/>
  <c r="E3140" i="3"/>
  <c r="E3076" i="3"/>
  <c r="E3012" i="3"/>
  <c r="E2948" i="3"/>
  <c r="E2884" i="3"/>
  <c r="E2820" i="3"/>
  <c r="E2756" i="3"/>
  <c r="E2692" i="3"/>
  <c r="E2628" i="3"/>
  <c r="E2564" i="3"/>
  <c r="D3409" i="3"/>
  <c r="A3409" i="6" s="1"/>
  <c r="D3345" i="3"/>
  <c r="A3345" i="6" s="1"/>
  <c r="D3281" i="3"/>
  <c r="A3281" i="6" s="1"/>
  <c r="D3217" i="3"/>
  <c r="A3217" i="6" s="1"/>
  <c r="D3153" i="3"/>
  <c r="A3153" i="6" s="1"/>
  <c r="D3089" i="3"/>
  <c r="A3089" i="6" s="1"/>
  <c r="D3025" i="3"/>
  <c r="A3025" i="6" s="1"/>
  <c r="D2961" i="3"/>
  <c r="A2961" i="6" s="1"/>
  <c r="D2897" i="3"/>
  <c r="A2897" i="6" s="1"/>
  <c r="D2833" i="3"/>
  <c r="A2833" i="6" s="1"/>
  <c r="D2769" i="3"/>
  <c r="A2769" i="6" s="1"/>
  <c r="D2705" i="3"/>
  <c r="A2705" i="6" s="1"/>
  <c r="D2641" i="3"/>
  <c r="A2641" i="6" s="1"/>
  <c r="D2577" i="3"/>
  <c r="A2577" i="6" s="1"/>
  <c r="E2517" i="3"/>
  <c r="E2453" i="3"/>
  <c r="E2389" i="3"/>
  <c r="E2325" i="3"/>
  <c r="E2261" i="3"/>
  <c r="E2197" i="3"/>
  <c r="E2133" i="3"/>
  <c r="E2069" i="3"/>
  <c r="E2005" i="3"/>
  <c r="E1941" i="3"/>
  <c r="E1877" i="3"/>
  <c r="E1813" i="3"/>
  <c r="E1749" i="3"/>
  <c r="E1685" i="3"/>
  <c r="D2524" i="3"/>
  <c r="A2524" i="6" s="1"/>
  <c r="D2460" i="3"/>
  <c r="A2460" i="6" s="1"/>
  <c r="D2396" i="3"/>
  <c r="A2396" i="6" s="1"/>
  <c r="D2332" i="3"/>
  <c r="A2332" i="6" s="1"/>
  <c r="D2268" i="3"/>
  <c r="A2268" i="6" s="1"/>
  <c r="D2204" i="3"/>
  <c r="A2204" i="6" s="1"/>
  <c r="D2140" i="3"/>
  <c r="A2140" i="6" s="1"/>
  <c r="D2076" i="3"/>
  <c r="A2076" i="6" s="1"/>
  <c r="D2012" i="3"/>
  <c r="A2012" i="6" s="1"/>
  <c r="D1948" i="3"/>
  <c r="A1948" i="6" s="1"/>
  <c r="D1884" i="3"/>
  <c r="A1884" i="6" s="1"/>
  <c r="D1820" i="3"/>
  <c r="A1820" i="6" s="1"/>
  <c r="D1756" i="3"/>
  <c r="A1756" i="6" s="1"/>
  <c r="D1692" i="3"/>
  <c r="A1692" i="6" s="1"/>
  <c r="D1628" i="3"/>
  <c r="A1628" i="6" s="1"/>
  <c r="E1565" i="3"/>
  <c r="E1501" i="3"/>
  <c r="E1437" i="3"/>
  <c r="E1373" i="3"/>
  <c r="E1309" i="3"/>
  <c r="E1245" i="3"/>
  <c r="E1163" i="3"/>
  <c r="D1570" i="3"/>
  <c r="A1570" i="6" s="1"/>
  <c r="D1506" i="3"/>
  <c r="A1506" i="6" s="1"/>
  <c r="D1442" i="3"/>
  <c r="A1442" i="6" s="1"/>
  <c r="D1378" i="3"/>
  <c r="A1378" i="6" s="1"/>
  <c r="D1314" i="3"/>
  <c r="A1314" i="6" s="1"/>
  <c r="D1250" i="3"/>
  <c r="A1250" i="6" s="1"/>
  <c r="E1173" i="3"/>
  <c r="D1150" i="3"/>
  <c r="A1150" i="6" s="1"/>
  <c r="E1086" i="3"/>
  <c r="E1022" i="3"/>
  <c r="E958" i="3"/>
  <c r="E894" i="3"/>
  <c r="E830" i="3"/>
  <c r="E759" i="3"/>
  <c r="D1101" i="3"/>
  <c r="A1101" i="6" s="1"/>
  <c r="D1037" i="3"/>
  <c r="A1037" i="6" s="1"/>
  <c r="D973" i="3"/>
  <c r="A973" i="6" s="1"/>
  <c r="D909" i="3"/>
  <c r="A909" i="6" s="1"/>
  <c r="D845" i="3"/>
  <c r="A845" i="6" s="1"/>
  <c r="D781" i="3"/>
  <c r="A781" i="6" s="1"/>
  <c r="D744" i="3"/>
  <c r="A744" i="6" s="1"/>
  <c r="E680" i="3"/>
  <c r="E616" i="3"/>
  <c r="E552" i="3"/>
  <c r="D663" i="3"/>
  <c r="A663" i="6" s="1"/>
  <c r="D599" i="3"/>
  <c r="A599" i="6" s="1"/>
  <c r="E534" i="3"/>
  <c r="E470" i="3"/>
  <c r="E406" i="3"/>
  <c r="E342" i="3"/>
  <c r="D503" i="3"/>
  <c r="A503" i="6" s="1"/>
  <c r="D439" i="3"/>
  <c r="A439" i="6" s="1"/>
  <c r="D375" i="3"/>
  <c r="A375" i="6" s="1"/>
  <c r="D320" i="3"/>
  <c r="A320" i="6" s="1"/>
  <c r="E256" i="3"/>
  <c r="D291" i="3"/>
  <c r="A291" i="6" s="1"/>
  <c r="D227" i="3"/>
  <c r="A227" i="6" s="1"/>
  <c r="E162" i="3"/>
  <c r="D209" i="3"/>
  <c r="A209" i="6" s="1"/>
  <c r="D5936" i="3"/>
  <c r="D5872" i="3"/>
  <c r="D5808" i="3"/>
  <c r="A5808" i="6" s="1"/>
  <c r="D5744" i="3"/>
  <c r="A5744" i="6" s="1"/>
  <c r="D5680" i="3"/>
  <c r="A5680" i="6" s="1"/>
  <c r="D5616" i="3"/>
  <c r="A5616" i="6" s="1"/>
  <c r="D5552" i="3"/>
  <c r="A5552" i="6" s="1"/>
  <c r="D5488" i="3"/>
  <c r="A5488" i="6" s="1"/>
  <c r="D5424" i="3"/>
  <c r="A5424" i="6" s="1"/>
  <c r="D5360" i="3"/>
  <c r="A5360" i="6" s="1"/>
  <c r="D5296" i="3"/>
  <c r="A5296" i="6" s="1"/>
  <c r="E7095" i="3"/>
  <c r="E7031" i="3"/>
  <c r="E6967" i="3"/>
  <c r="E6903" i="3"/>
  <c r="E6839" i="3"/>
  <c r="E6775" i="3"/>
  <c r="E6711" i="3"/>
  <c r="E6647" i="3"/>
  <c r="E6583" i="3"/>
  <c r="E6519" i="3"/>
  <c r="E6455" i="3"/>
  <c r="E6391" i="3"/>
  <c r="E6327" i="3"/>
  <c r="E6263" i="3"/>
  <c r="E6199" i="3"/>
  <c r="E6135" i="3"/>
  <c r="E6071" i="3"/>
  <c r="E6007" i="3"/>
  <c r="E5943" i="3"/>
  <c r="E5879" i="3"/>
  <c r="E5815" i="3"/>
  <c r="E5751" i="3"/>
  <c r="E5687" i="3"/>
  <c r="E5623" i="3"/>
  <c r="E5559" i="3"/>
  <c r="E5495" i="3"/>
  <c r="E5431" i="3"/>
  <c r="E5367" i="3"/>
  <c r="E5303" i="3"/>
  <c r="D5239" i="3"/>
  <c r="A5239" i="6" s="1"/>
  <c r="D5175" i="3"/>
  <c r="A5175" i="6" s="1"/>
  <c r="D5111" i="3"/>
  <c r="A5111" i="6" s="1"/>
  <c r="D5047" i="3"/>
  <c r="A5047" i="6" s="1"/>
  <c r="D4983" i="3"/>
  <c r="A4983" i="6" s="1"/>
  <c r="D4919" i="3"/>
  <c r="A4919" i="6" s="1"/>
  <c r="D4855" i="3"/>
  <c r="A4855" i="6" s="1"/>
  <c r="D4791" i="3"/>
  <c r="A4791" i="6" s="1"/>
  <c r="D4727" i="3"/>
  <c r="A4727" i="6" s="1"/>
  <c r="D4663" i="3"/>
  <c r="A4663" i="6" s="1"/>
  <c r="D4599" i="3"/>
  <c r="A4599" i="6" s="1"/>
  <c r="D4535" i="3"/>
  <c r="A4535" i="6" s="1"/>
  <c r="D4471" i="3"/>
  <c r="A4471" i="6" s="1"/>
  <c r="D4407" i="3"/>
  <c r="A4407" i="6" s="1"/>
  <c r="D4343" i="3"/>
  <c r="A4343" i="6" s="1"/>
  <c r="D4279" i="3"/>
  <c r="A4279" i="6" s="1"/>
  <c r="D4215" i="3"/>
  <c r="A4215" i="6" s="1"/>
  <c r="D4151" i="3"/>
  <c r="A4151" i="6" s="1"/>
  <c r="D4087" i="3"/>
  <c r="A4087" i="6" s="1"/>
  <c r="D4023" i="3"/>
  <c r="A4023" i="6" s="1"/>
  <c r="D3959" i="3"/>
  <c r="A3959" i="6" s="1"/>
  <c r="D3895" i="3"/>
  <c r="A3895" i="6" s="1"/>
  <c r="D3831" i="3"/>
  <c r="A3831" i="6" s="1"/>
  <c r="D3767" i="3"/>
  <c r="A3767" i="6" s="1"/>
  <c r="D3703" i="3"/>
  <c r="A3703" i="6" s="1"/>
  <c r="D3639" i="3"/>
  <c r="A3639" i="6" s="1"/>
  <c r="D3575" i="3"/>
  <c r="A3575" i="6" s="1"/>
  <c r="D3511" i="3"/>
  <c r="A3511" i="6" s="1"/>
  <c r="D3447" i="3"/>
  <c r="A3447" i="6" s="1"/>
  <c r="E5204" i="3"/>
  <c r="E5140" i="3"/>
  <c r="E5076" i="3"/>
  <c r="E5012" i="3"/>
  <c r="E4948" i="3"/>
  <c r="E4884" i="3"/>
  <c r="E4820" i="3"/>
  <c r="E4756" i="3"/>
  <c r="E4692" i="3"/>
  <c r="E4628" i="3"/>
  <c r="E4564" i="3"/>
  <c r="E4500" i="3"/>
  <c r="E4436" i="3"/>
  <c r="E4372" i="3"/>
  <c r="E4308" i="3"/>
  <c r="E4244" i="3"/>
  <c r="E4180" i="3"/>
  <c r="E4116" i="3"/>
  <c r="E4052" i="3"/>
  <c r="E3988" i="3"/>
  <c r="E3924" i="3"/>
  <c r="E3860" i="3"/>
  <c r="E3796" i="3"/>
  <c r="E3732" i="3"/>
  <c r="E3668" i="3"/>
  <c r="E3604" i="3"/>
  <c r="E3540" i="3"/>
  <c r="E3476" i="3"/>
  <c r="D3412" i="3"/>
  <c r="A3412" i="6" s="1"/>
  <c r="D3348" i="3"/>
  <c r="A3348" i="6" s="1"/>
  <c r="D3284" i="3"/>
  <c r="A3284" i="6" s="1"/>
  <c r="D3220" i="3"/>
  <c r="A3220" i="6" s="1"/>
  <c r="D3156" i="3"/>
  <c r="A3156" i="6" s="1"/>
  <c r="D3092" i="3"/>
  <c r="A3092" i="6" s="1"/>
  <c r="D3028" i="3"/>
  <c r="A3028" i="6" s="1"/>
  <c r="D2964" i="3"/>
  <c r="A2964" i="6" s="1"/>
  <c r="D2900" i="3"/>
  <c r="A2900" i="6" s="1"/>
  <c r="D2836" i="3"/>
  <c r="A2836" i="6" s="1"/>
  <c r="D2772" i="3"/>
  <c r="A2772" i="6" s="1"/>
  <c r="D2708" i="3"/>
  <c r="A2708" i="6" s="1"/>
  <c r="D2644" i="3"/>
  <c r="A2644" i="6" s="1"/>
  <c r="D2580" i="3"/>
  <c r="A2580" i="6" s="1"/>
  <c r="E3425" i="3"/>
  <c r="E3361" i="3"/>
  <c r="E3297" i="3"/>
  <c r="E3233" i="3"/>
  <c r="E3169" i="3"/>
  <c r="E3105" i="3"/>
  <c r="E3041" i="3"/>
  <c r="E2977" i="3"/>
  <c r="E2913" i="3"/>
  <c r="E2849" i="3"/>
  <c r="E2785" i="3"/>
  <c r="E2721" i="3"/>
  <c r="E2657" i="3"/>
  <c r="E2593" i="3"/>
  <c r="E2533" i="3"/>
  <c r="D2469" i="3"/>
  <c r="A2469" i="6" s="1"/>
  <c r="D2405" i="3"/>
  <c r="A2405" i="6" s="1"/>
  <c r="D2341" i="3"/>
  <c r="A2341" i="6" s="1"/>
  <c r="D2277" i="3"/>
  <c r="A2277" i="6" s="1"/>
  <c r="D2213" i="3"/>
  <c r="A2213" i="6" s="1"/>
  <c r="D2149" i="3"/>
  <c r="A2149" i="6" s="1"/>
  <c r="D2085" i="3"/>
  <c r="A2085" i="6" s="1"/>
  <c r="D2021" i="3"/>
  <c r="A2021" i="6" s="1"/>
  <c r="D1957" i="3"/>
  <c r="A1957" i="6" s="1"/>
  <c r="D1893" i="3"/>
  <c r="A1893" i="6" s="1"/>
  <c r="D1829" i="3"/>
  <c r="A1829" i="6" s="1"/>
  <c r="D1765" i="3"/>
  <c r="A1765" i="6" s="1"/>
  <c r="D1701" i="3"/>
  <c r="A1701" i="6" s="1"/>
  <c r="D1637" i="3"/>
  <c r="A1637" i="6" s="1"/>
  <c r="E2476" i="3"/>
  <c r="E2412" i="3"/>
  <c r="E2348" i="3"/>
  <c r="E2284" i="3"/>
  <c r="E2220" i="3"/>
  <c r="E2156" i="3"/>
  <c r="E2092" i="3"/>
  <c r="E2028" i="3"/>
  <c r="E1964" i="3"/>
  <c r="E1900" i="3"/>
  <c r="E1836" i="3"/>
  <c r="E1772" i="3"/>
  <c r="E1708" i="3"/>
  <c r="E1644" i="3"/>
  <c r="D1581" i="3"/>
  <c r="A1581" i="6" s="1"/>
  <c r="D1517" i="3"/>
  <c r="A1517" i="6" s="1"/>
  <c r="D1453" i="3"/>
  <c r="A1453" i="6" s="1"/>
  <c r="D1389" i="3"/>
  <c r="A1389" i="6" s="1"/>
  <c r="D1325" i="3"/>
  <c r="A1325" i="6" s="1"/>
  <c r="D1261" i="3"/>
  <c r="A1261" i="6" s="1"/>
  <c r="D1195" i="3"/>
  <c r="A1195" i="6" s="1"/>
  <c r="E1586" i="3"/>
  <c r="E1522" i="3"/>
  <c r="E1458" i="3"/>
  <c r="E1394" i="3"/>
  <c r="E1330" i="3"/>
  <c r="E1266" i="3"/>
  <c r="E1202" i="3"/>
  <c r="E1166" i="3"/>
  <c r="D1102" i="3"/>
  <c r="A1102" i="6" s="1"/>
  <c r="D1038" i="3"/>
  <c r="A1038" i="6" s="1"/>
  <c r="D974" i="3"/>
  <c r="A974" i="6" s="1"/>
  <c r="D910" i="3"/>
  <c r="A910" i="6" s="1"/>
  <c r="D846" i="3"/>
  <c r="A846" i="6" s="1"/>
  <c r="D782" i="3"/>
  <c r="A782" i="6" s="1"/>
  <c r="E1117" i="3"/>
  <c r="E1053" i="3"/>
  <c r="E989" i="3"/>
  <c r="E925" i="3"/>
  <c r="E861" i="3"/>
  <c r="E797" i="3"/>
  <c r="E760" i="3"/>
  <c r="D696" i="3"/>
  <c r="A696" i="6" s="1"/>
  <c r="D632" i="3"/>
  <c r="A632" i="6" s="1"/>
  <c r="D568" i="3"/>
  <c r="A568" i="6" s="1"/>
  <c r="E679" i="3"/>
  <c r="E615" i="3"/>
  <c r="E551" i="3"/>
  <c r="D486" i="3"/>
  <c r="A486" i="6" s="1"/>
  <c r="D422" i="3"/>
  <c r="A422" i="6" s="1"/>
  <c r="D358" i="3"/>
  <c r="A358" i="6" s="1"/>
  <c r="E519" i="3"/>
  <c r="E455" i="3"/>
  <c r="E391" i="3"/>
  <c r="E327" i="3"/>
  <c r="D272" i="3"/>
  <c r="A272" i="6" s="1"/>
  <c r="E307" i="3"/>
  <c r="E243" i="3"/>
  <c r="D178" i="3"/>
  <c r="A178" i="6" s="1"/>
  <c r="E193" i="3"/>
  <c r="D6052" i="3"/>
  <c r="A6052" i="6" s="1"/>
  <c r="E5719" i="3"/>
  <c r="E5591" i="3"/>
  <c r="E5463" i="3"/>
  <c r="E5335" i="3"/>
  <c r="D5207" i="3"/>
  <c r="A5207" i="6" s="1"/>
  <c r="D5079" i="3"/>
  <c r="A5079" i="6" s="1"/>
  <c r="D4951" i="3"/>
  <c r="A4951" i="6" s="1"/>
  <c r="D4823" i="3"/>
  <c r="A4823" i="6" s="1"/>
  <c r="D4695" i="3"/>
  <c r="A4695" i="6" s="1"/>
  <c r="D4567" i="3"/>
  <c r="A4567" i="6" s="1"/>
  <c r="D4439" i="3"/>
  <c r="A4439" i="6" s="1"/>
  <c r="D4311" i="3"/>
  <c r="A4311" i="6" s="1"/>
  <c r="D4183" i="3"/>
  <c r="A4183" i="6" s="1"/>
  <c r="D4055" i="3"/>
  <c r="A4055" i="6" s="1"/>
  <c r="D3927" i="3"/>
  <c r="A3927" i="6" s="1"/>
  <c r="D3799" i="3"/>
  <c r="A3799" i="6" s="1"/>
  <c r="D3671" i="3"/>
  <c r="A3671" i="6" s="1"/>
  <c r="D3543" i="3"/>
  <c r="A3543" i="6" s="1"/>
  <c r="E5236" i="3"/>
  <c r="E5108" i="3"/>
  <c r="E4980" i="3"/>
  <c r="E4852" i="3"/>
  <c r="E4724" i="3"/>
  <c r="E4596" i="3"/>
  <c r="E4468" i="3"/>
  <c r="E4340" i="3"/>
  <c r="E4212" i="3"/>
  <c r="E4084" i="3"/>
  <c r="E3956" i="3"/>
  <c r="E3828" i="3"/>
  <c r="E3700" i="3"/>
  <c r="E3572" i="3"/>
  <c r="E3444" i="3"/>
  <c r="D3316" i="3"/>
  <c r="A3316" i="6" s="1"/>
  <c r="D3188" i="3"/>
  <c r="A3188" i="6" s="1"/>
  <c r="D3060" i="3"/>
  <c r="A3060" i="6" s="1"/>
  <c r="D2932" i="3"/>
  <c r="A2932" i="6" s="1"/>
  <c r="D2804" i="3"/>
  <c r="A2804" i="6" s="1"/>
  <c r="D2676" i="3"/>
  <c r="A2676" i="6" s="1"/>
  <c r="D2548" i="3"/>
  <c r="A2548" i="6" s="1"/>
  <c r="E3329" i="3"/>
  <c r="E3201" i="3"/>
  <c r="E3073" i="3"/>
  <c r="E2945" i="3"/>
  <c r="E2817" i="3"/>
  <c r="E2689" i="3"/>
  <c r="E2561" i="3"/>
  <c r="D2437" i="3"/>
  <c r="A2437" i="6" s="1"/>
  <c r="D2309" i="3"/>
  <c r="A2309" i="6" s="1"/>
  <c r="D2181" i="3"/>
  <c r="A2181" i="6" s="1"/>
  <c r="D2053" i="3"/>
  <c r="A2053" i="6" s="1"/>
  <c r="D1925" i="3"/>
  <c r="A1925" i="6" s="1"/>
  <c r="D1797" i="3"/>
  <c r="A1797" i="6" s="1"/>
  <c r="D1669" i="3"/>
  <c r="A1669" i="6" s="1"/>
  <c r="E2444" i="3"/>
  <c r="E2316" i="3"/>
  <c r="E2188" i="3"/>
  <c r="E2060" i="3"/>
  <c r="E1932" i="3"/>
  <c r="E1804" i="3"/>
  <c r="E1676" i="3"/>
  <c r="D1549" i="3"/>
  <c r="A1549" i="6" s="1"/>
  <c r="D1421" i="3"/>
  <c r="A1421" i="6" s="1"/>
  <c r="D1293" i="3"/>
  <c r="A1293" i="6" s="1"/>
  <c r="E1618" i="3"/>
  <c r="E1490" i="3"/>
  <c r="E1362" i="3"/>
  <c r="E1234" i="3"/>
  <c r="D1134" i="3"/>
  <c r="A1134" i="6" s="1"/>
  <c r="D1006" i="3"/>
  <c r="A1006" i="6" s="1"/>
  <c r="D878" i="3"/>
  <c r="A878" i="6" s="1"/>
  <c r="D727" i="3"/>
  <c r="A727" i="6" s="1"/>
  <c r="E1021" i="3"/>
  <c r="E893" i="3"/>
  <c r="D761" i="3"/>
  <c r="A761" i="6" s="1"/>
  <c r="D664" i="3"/>
  <c r="A664" i="6" s="1"/>
  <c r="E711" i="3"/>
  <c r="E583" i="3"/>
  <c r="D454" i="3"/>
  <c r="A454" i="6" s="1"/>
  <c r="D326" i="3"/>
  <c r="A326" i="6" s="1"/>
  <c r="E423" i="3"/>
  <c r="D304" i="3"/>
  <c r="A304" i="6" s="1"/>
  <c r="E275" i="3"/>
  <c r="D146" i="3"/>
  <c r="A146" i="6" s="1"/>
  <c r="E161" i="3"/>
  <c r="D1179" i="3"/>
  <c r="E5856" i="3"/>
  <c r="E5912" i="3"/>
  <c r="E5888" i="3"/>
  <c r="E5864" i="3"/>
  <c r="D6004" i="3"/>
  <c r="A6004" i="6" s="1"/>
  <c r="E5968" i="3"/>
  <c r="E185" i="3"/>
  <c r="E251" i="3"/>
  <c r="D264" i="3"/>
  <c r="E399" i="3"/>
  <c r="E527" i="3"/>
  <c r="D430" i="3"/>
  <c r="A430" i="6" s="1"/>
  <c r="E559" i="3"/>
  <c r="E703" i="3"/>
  <c r="D656" i="3"/>
  <c r="A656" i="6" s="1"/>
  <c r="D745" i="3"/>
  <c r="A745" i="6" s="1"/>
  <c r="E885" i="3"/>
  <c r="E1013" i="3"/>
  <c r="D743" i="3"/>
  <c r="A743" i="6" s="1"/>
  <c r="D886" i="3"/>
  <c r="A886" i="6" s="1"/>
  <c r="D1014" i="3"/>
  <c r="A1014" i="6" s="1"/>
  <c r="D1142" i="3"/>
  <c r="A1142" i="6" s="1"/>
  <c r="E1242" i="3"/>
  <c r="E1370" i="3"/>
  <c r="E1498" i="3"/>
  <c r="D6100" i="3"/>
  <c r="A6100" i="6" s="1"/>
  <c r="E283" i="3"/>
  <c r="D296" i="3"/>
  <c r="A296" i="6" s="1"/>
  <c r="E415" i="3"/>
  <c r="E543" i="3"/>
  <c r="D446" i="3"/>
  <c r="A446" i="6" s="1"/>
  <c r="E575" i="3"/>
  <c r="E687" i="3"/>
  <c r="D624" i="3"/>
  <c r="A624" i="6" s="1"/>
  <c r="E768" i="3"/>
  <c r="E869" i="3"/>
  <c r="E997" i="3"/>
  <c r="E1109" i="3"/>
  <c r="D838" i="3"/>
  <c r="D966" i="3"/>
  <c r="A966" i="6" s="1"/>
  <c r="D1094" i="3"/>
  <c r="D1189" i="3"/>
  <c r="A1189" i="6" s="1"/>
  <c r="E1322" i="3"/>
  <c r="E1450" i="3"/>
  <c r="E1562" i="3"/>
  <c r="E5944" i="3"/>
  <c r="D5988" i="3"/>
  <c r="A5988" i="6" s="1"/>
  <c r="E5960" i="3"/>
  <c r="E5936" i="3"/>
  <c r="E267" i="3"/>
  <c r="E312" i="3"/>
  <c r="E431" i="3"/>
  <c r="D334" i="3"/>
  <c r="A334" i="6" s="1"/>
  <c r="D462" i="3"/>
  <c r="A462" i="6" s="1"/>
  <c r="E591" i="3"/>
  <c r="D576" i="3"/>
  <c r="A576" i="6" s="1"/>
  <c r="D688" i="3"/>
  <c r="A688" i="6" s="1"/>
  <c r="E805" i="3"/>
  <c r="E917" i="3"/>
  <c r="E1045" i="3"/>
  <c r="D790" i="3"/>
  <c r="A790" i="6" s="1"/>
  <c r="D918" i="3"/>
  <c r="A918" i="6" s="1"/>
  <c r="D1046" i="3"/>
  <c r="A1046" i="6" s="1"/>
  <c r="E1174" i="3"/>
  <c r="E1274" i="3"/>
  <c r="E1402" i="3"/>
  <c r="E1530" i="3"/>
  <c r="E235" i="3"/>
  <c r="D280" i="3"/>
  <c r="A280" i="6" s="1"/>
  <c r="E383" i="3"/>
  <c r="E511" i="3"/>
  <c r="D414" i="3"/>
  <c r="A414" i="6" s="1"/>
  <c r="D542" i="3"/>
  <c r="E655" i="3"/>
  <c r="D592" i="3"/>
  <c r="A592" i="6" s="1"/>
  <c r="E736" i="3"/>
  <c r="E821" i="3"/>
  <c r="E965" i="3"/>
  <c r="E1093" i="3"/>
  <c r="D806" i="3"/>
  <c r="A806" i="6" s="1"/>
  <c r="D934" i="3"/>
  <c r="A934" i="6" s="1"/>
  <c r="D1062" i="3"/>
  <c r="A1062" i="6" s="1"/>
  <c r="E1190" i="3"/>
  <c r="E1290" i="3"/>
  <c r="E1418" i="3"/>
  <c r="E1546" i="3"/>
  <c r="E1482" i="3"/>
  <c r="E5880" i="3"/>
  <c r="E5848" i="3"/>
  <c r="E5976" i="3"/>
  <c r="E5952" i="3"/>
  <c r="E5928" i="3"/>
  <c r="E5904" i="3"/>
  <c r="D6068" i="3"/>
  <c r="A6068" i="6" s="1"/>
  <c r="D186" i="3"/>
  <c r="A186" i="6" s="1"/>
  <c r="E299" i="3"/>
  <c r="E335" i="3"/>
  <c r="E463" i="3"/>
  <c r="D366" i="3"/>
  <c r="A366" i="6" s="1"/>
  <c r="D494" i="3"/>
  <c r="A494" i="6" s="1"/>
  <c r="E623" i="3"/>
  <c r="D608" i="3"/>
  <c r="A608" i="6" s="1"/>
  <c r="E720" i="3"/>
  <c r="E837" i="3"/>
  <c r="E949" i="3"/>
  <c r="E1077" i="3"/>
  <c r="D822" i="3"/>
  <c r="A822" i="6" s="1"/>
  <c r="D950" i="3"/>
  <c r="A950" i="6" s="1"/>
  <c r="D1078" i="3"/>
  <c r="A1078" i="6" s="1"/>
  <c r="D1157" i="3"/>
  <c r="A1157" i="6" s="1"/>
  <c r="E1306" i="3"/>
  <c r="E1434" i="3"/>
  <c r="E1578" i="3"/>
  <c r="D202" i="3"/>
  <c r="A202" i="6" s="1"/>
  <c r="D248" i="3"/>
  <c r="A248" i="6" s="1"/>
  <c r="E351" i="3"/>
  <c r="E479" i="3"/>
  <c r="D382" i="3"/>
  <c r="A382" i="6" s="1"/>
  <c r="D510" i="3"/>
  <c r="A510" i="6" s="1"/>
  <c r="E639" i="3"/>
  <c r="D560" i="3"/>
  <c r="A560" i="6" s="1"/>
  <c r="D704" i="3"/>
  <c r="A704" i="6" s="1"/>
  <c r="E789" i="3"/>
  <c r="E933" i="3"/>
  <c r="E1061" i="3"/>
  <c r="D774" i="3"/>
  <c r="D902" i="3"/>
  <c r="A902" i="6" s="1"/>
  <c r="D1030" i="3"/>
  <c r="E1158" i="3"/>
  <c r="E1258" i="3"/>
  <c r="E1386" i="3"/>
  <c r="E1514" i="3"/>
  <c r="E1610" i="3"/>
  <c r="E5920" i="3"/>
  <c r="E5896" i="3"/>
  <c r="E5872" i="3"/>
  <c r="D6036" i="3"/>
  <c r="A6036" i="6" s="1"/>
  <c r="E201" i="3"/>
  <c r="E219" i="3"/>
  <c r="D232" i="3"/>
  <c r="A232" i="6" s="1"/>
  <c r="E367" i="3"/>
  <c r="E495" i="3"/>
  <c r="D398" i="3"/>
  <c r="A398" i="6" s="1"/>
  <c r="D526" i="3"/>
  <c r="A526" i="6" s="1"/>
  <c r="E671" i="3"/>
  <c r="D640" i="3"/>
  <c r="A640" i="6" s="1"/>
  <c r="E752" i="3"/>
  <c r="E853" i="3"/>
  <c r="E981" i="3"/>
  <c r="E1125" i="3"/>
  <c r="D854" i="3"/>
  <c r="A854" i="6" s="1"/>
  <c r="D982" i="3"/>
  <c r="A982" i="6" s="1"/>
  <c r="D1110" i="3"/>
  <c r="A1110" i="6" s="1"/>
  <c r="E1210" i="3"/>
  <c r="E1338" i="3"/>
  <c r="E1466" i="3"/>
  <c r="D1147" i="3"/>
  <c r="A1147" i="6" s="1"/>
  <c r="D170" i="3"/>
  <c r="D216" i="3"/>
  <c r="A216" i="6" s="1"/>
  <c r="D315" i="3"/>
  <c r="E447" i="3"/>
  <c r="D350" i="3"/>
  <c r="D478" i="3"/>
  <c r="A478" i="6" s="1"/>
  <c r="E607" i="3"/>
  <c r="D544" i="3"/>
  <c r="A544" i="6" s="1"/>
  <c r="D672" i="3"/>
  <c r="A672" i="6" s="1"/>
  <c r="E773" i="3"/>
  <c r="E901" i="3"/>
  <c r="E1029" i="3"/>
  <c r="E1141" i="3"/>
  <c r="D870" i="3"/>
  <c r="A870" i="6" s="1"/>
  <c r="D998" i="3"/>
  <c r="A998" i="6" s="1"/>
  <c r="D1126" i="3"/>
  <c r="A1126" i="6" s="1"/>
  <c r="E1226" i="3"/>
  <c r="E1354" i="3"/>
  <c r="E1594" i="3"/>
  <c r="A8654" i="6" l="1"/>
  <c r="A241" i="6"/>
  <c r="A389" i="6"/>
  <c r="A517" i="6"/>
  <c r="A549" i="6"/>
  <c r="A677" i="6"/>
  <c r="A758" i="6"/>
  <c r="A859" i="6"/>
  <c r="A987" i="6"/>
  <c r="A1115" i="6"/>
  <c r="A1200" i="6"/>
  <c r="A1328" i="6"/>
  <c r="A1456" i="6"/>
  <c r="A1584" i="6"/>
  <c r="A1642" i="6"/>
  <c r="A1770" i="6"/>
  <c r="A1898" i="6"/>
  <c r="A2026" i="6"/>
  <c r="A2154" i="6"/>
  <c r="A2282" i="6"/>
  <c r="A2410" i="6"/>
  <c r="A2531" i="6"/>
  <c r="A2655" i="6"/>
  <c r="A2783" i="6"/>
  <c r="A2911" i="6"/>
  <c r="A3039" i="6"/>
  <c r="A3167" i="6"/>
  <c r="A3295" i="6"/>
  <c r="A3423" i="6"/>
  <c r="A3538" i="6"/>
  <c r="A3666" i="6"/>
  <c r="A3794" i="6"/>
  <c r="A3922" i="6"/>
  <c r="A4050" i="6"/>
  <c r="A4178" i="6"/>
  <c r="A4306" i="6"/>
  <c r="A4434" i="6"/>
  <c r="A4562" i="6"/>
  <c r="A4690" i="6"/>
  <c r="A4818" i="6"/>
  <c r="A4946" i="6"/>
  <c r="A5074" i="6"/>
  <c r="A5202" i="6"/>
  <c r="A5301" i="6"/>
  <c r="A5429" i="6"/>
  <c r="A5557" i="6"/>
  <c r="A5685" i="6"/>
  <c r="A5813" i="6"/>
  <c r="A5941" i="6"/>
  <c r="A6069" i="6"/>
  <c r="A6197" i="6"/>
  <c r="A6325" i="6"/>
  <c r="A6453" i="6"/>
  <c r="A6581" i="6"/>
  <c r="A6709" i="6"/>
  <c r="A6837" i="6"/>
  <c r="A6965" i="6"/>
  <c r="A7093" i="6"/>
  <c r="A7172" i="6"/>
  <c r="A7300" i="6"/>
  <c r="A7428" i="6"/>
  <c r="A7556" i="6"/>
  <c r="A7684" i="6"/>
  <c r="A7812" i="6"/>
  <c r="A7940" i="6"/>
  <c r="A8068" i="6"/>
  <c r="A8196" i="6"/>
  <c r="A8324" i="6"/>
  <c r="A8452" i="6"/>
  <c r="A8580" i="6"/>
  <c r="A8708" i="6"/>
  <c r="A542" i="6"/>
  <c r="A1094" i="6"/>
  <c r="A838" i="6"/>
  <c r="A264" i="6"/>
  <c r="A6076" i="6"/>
  <c r="A350" i="6"/>
  <c r="A315" i="6"/>
  <c r="A170" i="6"/>
  <c r="A1030" i="6"/>
  <c r="A774" i="6"/>
  <c r="A1179" i="6"/>
  <c r="A7182" i="6"/>
  <c r="A7310" i="6"/>
  <c r="A7438" i="6"/>
  <c r="A7566" i="6"/>
  <c r="A7694" i="6"/>
  <c r="A7822" i="6"/>
  <c r="A7950" i="6"/>
  <c r="A8078" i="6"/>
  <c r="A8206" i="6"/>
  <c r="A8334" i="6"/>
  <c r="A8462" i="6"/>
  <c r="A8590" i="6"/>
  <c r="A8718" i="6"/>
  <c r="A305" i="6"/>
  <c r="A325" i="6"/>
  <c r="A453" i="6"/>
  <c r="A613" i="6"/>
  <c r="A795" i="6"/>
  <c r="A923" i="6"/>
  <c r="A1051" i="6"/>
  <c r="A1164" i="6"/>
  <c r="A1264" i="6"/>
  <c r="A1392" i="6"/>
  <c r="A1520" i="6"/>
  <c r="A1706" i="6"/>
  <c r="A1834" i="6"/>
  <c r="A1962" i="6"/>
  <c r="A2090" i="6"/>
  <c r="A2218" i="6"/>
  <c r="A2346" i="6"/>
  <c r="A2474" i="6"/>
  <c r="A2591" i="6"/>
  <c r="A2719" i="6"/>
  <c r="A2847" i="6"/>
  <c r="A2975" i="6"/>
  <c r="A3103" i="6"/>
  <c r="A3231" i="6"/>
  <c r="A3359" i="6"/>
  <c r="A3474" i="6"/>
  <c r="A3602" i="6"/>
  <c r="A3730" i="6"/>
  <c r="A3858" i="6"/>
  <c r="A3986" i="6"/>
  <c r="A4114" i="6"/>
  <c r="A4242" i="6"/>
  <c r="A4370" i="6"/>
  <c r="A4498" i="6"/>
  <c r="A4626" i="6"/>
  <c r="A4754" i="6"/>
  <c r="A4882" i="6"/>
  <c r="A5010" i="6"/>
  <c r="A5138" i="6"/>
  <c r="A5365" i="6"/>
  <c r="A5493" i="6"/>
  <c r="A5621" i="6"/>
  <c r="A5749" i="6"/>
  <c r="A5877" i="6"/>
  <c r="A6005" i="6"/>
  <c r="A6133" i="6"/>
  <c r="A6261" i="6"/>
  <c r="A6389" i="6"/>
  <c r="A6517" i="6"/>
  <c r="A6645" i="6"/>
  <c r="A6773" i="6"/>
  <c r="A6901" i="6"/>
  <c r="A7029" i="6"/>
  <c r="A7236" i="6"/>
  <c r="A7364" i="6"/>
  <c r="A7492" i="6"/>
  <c r="A7620" i="6"/>
  <c r="A7748" i="6"/>
  <c r="A7876" i="6"/>
  <c r="A8004" i="6"/>
  <c r="A8132" i="6"/>
  <c r="A8260" i="6"/>
  <c r="A8388" i="6"/>
  <c r="A8516" i="6"/>
  <c r="A8644" i="6"/>
  <c r="A331" i="6"/>
  <c r="A459" i="6"/>
  <c r="A619" i="6"/>
  <c r="A801" i="6"/>
  <c r="A929" i="6"/>
  <c r="A1057" i="6"/>
  <c r="A1170" i="6"/>
  <c r="A1270" i="6"/>
  <c r="A1398" i="6"/>
  <c r="A1526" i="6"/>
  <c r="A1712" i="6"/>
  <c r="A1840" i="6"/>
  <c r="A1968" i="6"/>
  <c r="A2096" i="6"/>
  <c r="A2224" i="6"/>
  <c r="A2352" i="6"/>
  <c r="A2480" i="6"/>
  <c r="A2597" i="6"/>
  <c r="A2725" i="6"/>
  <c r="A2853" i="6"/>
  <c r="A2981" i="6"/>
  <c r="A3109" i="6"/>
  <c r="A3237" i="6"/>
  <c r="A3365" i="6"/>
  <c r="A3480" i="6"/>
  <c r="A3608" i="6"/>
  <c r="A3736" i="6"/>
  <c r="A3864" i="6"/>
  <c r="A3992" i="6"/>
  <c r="A4120" i="6"/>
  <c r="A4248" i="6"/>
  <c r="A4376" i="6"/>
  <c r="A4504" i="6"/>
  <c r="A4632" i="6"/>
  <c r="A4760" i="6"/>
  <c r="A4888" i="6"/>
  <c r="A5016" i="6"/>
  <c r="A5144" i="6"/>
  <c r="A5371" i="6"/>
  <c r="A5499" i="6"/>
  <c r="A5627" i="6"/>
  <c r="A5755" i="6"/>
  <c r="A5883" i="6"/>
  <c r="A6011" i="6"/>
  <c r="A6139" i="6"/>
  <c r="A6267" i="6"/>
  <c r="A6395" i="6"/>
  <c r="A6523" i="6"/>
  <c r="A6651" i="6"/>
  <c r="A6779" i="6"/>
  <c r="A6907" i="6"/>
  <c r="A7035" i="6"/>
  <c r="A303" i="6"/>
  <c r="A451" i="6"/>
  <c r="A611" i="6"/>
  <c r="A793" i="6"/>
  <c r="A921" i="6"/>
  <c r="A1049" i="6"/>
  <c r="A1162" i="6"/>
  <c r="A1262" i="6"/>
  <c r="A1390" i="6"/>
  <c r="A1518" i="6"/>
  <c r="A1704" i="6"/>
  <c r="A1832" i="6"/>
  <c r="A1960" i="6"/>
  <c r="A2088" i="6"/>
  <c r="A2216" i="6"/>
  <c r="A2344" i="6"/>
  <c r="A2472" i="6"/>
  <c r="A2589" i="6"/>
  <c r="A2717" i="6"/>
  <c r="A2845" i="6"/>
  <c r="A2973" i="6"/>
  <c r="A3101" i="6"/>
  <c r="A3229" i="6"/>
  <c r="A3357" i="6"/>
  <c r="A3472" i="6"/>
  <c r="A3600" i="6"/>
  <c r="A3728" i="6"/>
  <c r="A3856" i="6"/>
  <c r="A3984" i="6"/>
  <c r="A4112" i="6"/>
  <c r="A4240" i="6"/>
  <c r="A4368" i="6"/>
  <c r="A4496" i="6"/>
  <c r="A4624" i="6"/>
  <c r="A4752" i="6"/>
  <c r="A4880" i="6"/>
  <c r="A5008" i="6"/>
  <c r="A5136" i="6"/>
  <c r="A5363" i="6"/>
  <c r="A5491" i="6"/>
  <c r="A5619" i="6"/>
  <c r="A5747" i="6"/>
  <c r="A5875" i="6"/>
  <c r="A6003" i="6"/>
  <c r="A6131" i="6"/>
  <c r="A6259" i="6"/>
  <c r="A6387" i="6"/>
  <c r="A6515" i="6"/>
  <c r="A6643" i="6"/>
  <c r="A6771" i="6"/>
  <c r="A6899" i="6"/>
  <c r="A7027" i="6"/>
  <c r="A197" i="6"/>
  <c r="A247" i="6"/>
  <c r="A395" i="6"/>
  <c r="A523" i="6"/>
  <c r="A555" i="6"/>
  <c r="A683" i="6"/>
  <c r="A764" i="6"/>
  <c r="A865" i="6"/>
  <c r="A993" i="6"/>
  <c r="A1121" i="6"/>
  <c r="A1206" i="6"/>
  <c r="A1334" i="6"/>
  <c r="A1462" i="6"/>
  <c r="A1590" i="6"/>
  <c r="A1648" i="6"/>
  <c r="A1776" i="6"/>
  <c r="A1904" i="6"/>
  <c r="A2032" i="6"/>
  <c r="A2160" i="6"/>
  <c r="A2288" i="6"/>
  <c r="A2416" i="6"/>
  <c r="A2661" i="6"/>
  <c r="A2789" i="6"/>
  <c r="A2917" i="6"/>
  <c r="A3045" i="6"/>
  <c r="A3173" i="6"/>
  <c r="A3301" i="6"/>
  <c r="A3429" i="6"/>
  <c r="A3544" i="6"/>
  <c r="A3672" i="6"/>
  <c r="A3800" i="6"/>
  <c r="A3928" i="6"/>
  <c r="A4056" i="6"/>
  <c r="A4184" i="6"/>
  <c r="A4312" i="6"/>
  <c r="A4440" i="6"/>
  <c r="A4568" i="6"/>
  <c r="A4696" i="6"/>
  <c r="A4824" i="6"/>
  <c r="A4952" i="6"/>
  <c r="A5080" i="6"/>
  <c r="A5208" i="6"/>
  <c r="A5307" i="6"/>
  <c r="A5435" i="6"/>
  <c r="A5563" i="6"/>
  <c r="A5691" i="6"/>
  <c r="A5819" i="6"/>
  <c r="A5947" i="6"/>
  <c r="A6075" i="6"/>
  <c r="A6203" i="6"/>
  <c r="A6331" i="6"/>
  <c r="A6459" i="6"/>
  <c r="A6587" i="6"/>
  <c r="A6715" i="6"/>
  <c r="A6843" i="6"/>
  <c r="A6971" i="6"/>
  <c r="A7099" i="6"/>
  <c r="A189" i="6"/>
  <c r="A239" i="6"/>
  <c r="A387" i="6"/>
  <c r="A515" i="6"/>
  <c r="A547" i="6"/>
  <c r="A675" i="6"/>
  <c r="A756" i="6"/>
  <c r="A857" i="6"/>
  <c r="A985" i="6"/>
  <c r="A1113" i="6"/>
  <c r="A1326" i="6"/>
  <c r="A1454" i="6"/>
  <c r="A1582" i="6"/>
  <c r="A1640" i="6"/>
  <c r="A1768" i="6"/>
  <c r="A1896" i="6"/>
  <c r="A2024" i="6"/>
  <c r="A2152" i="6"/>
  <c r="A2280" i="6"/>
  <c r="A2408" i="6"/>
  <c r="A2529" i="6"/>
  <c r="A2653" i="6"/>
  <c r="A2781" i="6"/>
  <c r="A2909" i="6"/>
  <c r="A3037" i="6"/>
  <c r="A3165" i="6"/>
  <c r="A3293" i="6"/>
  <c r="A3421" i="6"/>
  <c r="A3536" i="6"/>
  <c r="A3664" i="6"/>
  <c r="A3792" i="6"/>
  <c r="A3920" i="6"/>
  <c r="A4048" i="6"/>
  <c r="A4176" i="6"/>
  <c r="A4304" i="6"/>
  <c r="A4432" i="6"/>
  <c r="A4560" i="6"/>
  <c r="A4688" i="6"/>
  <c r="A4816" i="6"/>
  <c r="A4944" i="6"/>
  <c r="A5072" i="6"/>
  <c r="A5200" i="6"/>
  <c r="A5299" i="6"/>
  <c r="A5427" i="6"/>
  <c r="A5555" i="6"/>
  <c r="A5683" i="6"/>
  <c r="A5811" i="6"/>
  <c r="A5939" i="6"/>
  <c r="A6067" i="6"/>
  <c r="A6195" i="6"/>
  <c r="A6323" i="6"/>
  <c r="A6451" i="6"/>
  <c r="A6579" i="6"/>
  <c r="A6707" i="6"/>
  <c r="A6835" i="6"/>
  <c r="A6963" i="6"/>
  <c r="A7091" i="6"/>
  <c r="A1253" i="6"/>
  <c r="A1381" i="6"/>
  <c r="A1509" i="6"/>
  <c r="A1629" i="6"/>
  <c r="A1757" i="6"/>
  <c r="A1885" i="6"/>
  <c r="A2013" i="6"/>
  <c r="A2141" i="6"/>
  <c r="A2269" i="6"/>
  <c r="A2397" i="6"/>
  <c r="A2525" i="6"/>
  <c r="A2636" i="6"/>
  <c r="A2764" i="6"/>
  <c r="A2892" i="6"/>
  <c r="A3020" i="6"/>
  <c r="A3148" i="6"/>
  <c r="A3276" i="6"/>
  <c r="A3404" i="6"/>
  <c r="A3503" i="6"/>
  <c r="A3631" i="6"/>
  <c r="A3759" i="6"/>
  <c r="A3887" i="6"/>
  <c r="A4015" i="6"/>
  <c r="A4143" i="6"/>
  <c r="A4271" i="6"/>
  <c r="A4399" i="6"/>
  <c r="A4527" i="6"/>
  <c r="A4655" i="6"/>
  <c r="A4783" i="6"/>
  <c r="A4911" i="6"/>
  <c r="A5039" i="6"/>
  <c r="A5167" i="6"/>
  <c r="A5352" i="6"/>
  <c r="A5480" i="6"/>
  <c r="A5608" i="6"/>
  <c r="A5736" i="6"/>
  <c r="A1700" i="6"/>
  <c r="A1828" i="6"/>
  <c r="A1956" i="6"/>
  <c r="A2084" i="6"/>
  <c r="A2212" i="6"/>
  <c r="A2340" i="6"/>
  <c r="A2468" i="6"/>
  <c r="A2585" i="6"/>
  <c r="A2713" i="6"/>
  <c r="A2841" i="6"/>
  <c r="A2969" i="6"/>
  <c r="A3097" i="6"/>
  <c r="A3225" i="6"/>
  <c r="A3353" i="6"/>
  <c r="A3468" i="6"/>
  <c r="A3596" i="6"/>
  <c r="A3724" i="6"/>
  <c r="A3852" i="6"/>
  <c r="A3980" i="6"/>
  <c r="A4108" i="6"/>
  <c r="A4236" i="6"/>
  <c r="A4364" i="6"/>
  <c r="A4492" i="6"/>
  <c r="A4620" i="6"/>
  <c r="A4748" i="6"/>
  <c r="A4876" i="6"/>
  <c r="A5004" i="6"/>
  <c r="A5132" i="6"/>
  <c r="A5260" i="6"/>
  <c r="A5359" i="6"/>
  <c r="A5487" i="6"/>
  <c r="A5615" i="6"/>
  <c r="A5743" i="6"/>
  <c r="A5871" i="6"/>
  <c r="A5999" i="6"/>
  <c r="A6127" i="6"/>
  <c r="A6255" i="6"/>
  <c r="A6383" i="6"/>
  <c r="A6511" i="6"/>
  <c r="A6639" i="6"/>
  <c r="A6767" i="6"/>
  <c r="A6895" i="6"/>
  <c r="A7023" i="6"/>
  <c r="A6028" i="6"/>
  <c r="A5996" i="6"/>
  <c r="A5872" i="6"/>
  <c r="A5864" i="6"/>
  <c r="A299" i="6"/>
  <c r="A447" i="6"/>
  <c r="A607" i="6"/>
  <c r="A789" i="6"/>
  <c r="A917" i="6"/>
  <c r="A1045" i="6"/>
  <c r="A1158" i="6"/>
  <c r="A1258" i="6"/>
  <c r="A1386" i="6"/>
  <c r="A1514" i="6"/>
  <c r="A268" i="6"/>
  <c r="A418" i="6"/>
  <c r="A628" i="6"/>
  <c r="A842" i="6"/>
  <c r="A970" i="6"/>
  <c r="A1098" i="6"/>
  <c r="A1197" i="6"/>
  <c r="A1257" i="6"/>
  <c r="A1385" i="6"/>
  <c r="A1513" i="6"/>
  <c r="A1633" i="6"/>
  <c r="A1761" i="6"/>
  <c r="A1889" i="6"/>
  <c r="A2017" i="6"/>
  <c r="A2145" i="6"/>
  <c r="A2273" i="6"/>
  <c r="A2401" i="6"/>
  <c r="A2640" i="6"/>
  <c r="A2768" i="6"/>
  <c r="A2896" i="6"/>
  <c r="A3024" i="6"/>
  <c r="A3152" i="6"/>
  <c r="A3280" i="6"/>
  <c r="A3408" i="6"/>
  <c r="A3507" i="6"/>
  <c r="A3635" i="6"/>
  <c r="A3763" i="6"/>
  <c r="A3891" i="6"/>
  <c r="A4019" i="6"/>
  <c r="A4147" i="6"/>
  <c r="A4275" i="6"/>
  <c r="A4403" i="6"/>
  <c r="A4531" i="6"/>
  <c r="A4659" i="6"/>
  <c r="A4787" i="6"/>
  <c r="A4915" i="6"/>
  <c r="A5043" i="6"/>
  <c r="A5171" i="6"/>
  <c r="A5356" i="6"/>
  <c r="A5484" i="6"/>
  <c r="A5612" i="6"/>
  <c r="A5740" i="6"/>
  <c r="A5868" i="6"/>
  <c r="A5888" i="6"/>
  <c r="A193" i="6"/>
  <c r="A243" i="6"/>
  <c r="A391" i="6"/>
  <c r="A519" i="6"/>
  <c r="A551" i="6"/>
  <c r="A679" i="6"/>
  <c r="A760" i="6"/>
  <c r="A861" i="6"/>
  <c r="A989" i="6"/>
  <c r="A1117" i="6"/>
  <c r="A1202" i="6"/>
  <c r="A1330" i="6"/>
  <c r="A1458" i="6"/>
  <c r="A1586" i="6"/>
  <c r="A1644" i="6"/>
  <c r="A1772" i="6"/>
  <c r="A1900" i="6"/>
  <c r="A2028" i="6"/>
  <c r="A2156" i="6"/>
  <c r="A2284" i="6"/>
  <c r="A2412" i="6"/>
  <c r="A2533" i="6"/>
  <c r="A2657" i="6"/>
  <c r="A2785" i="6"/>
  <c r="A2913" i="6"/>
  <c r="A3041" i="6"/>
  <c r="A3169" i="6"/>
  <c r="A3297" i="6"/>
  <c r="A3425" i="6"/>
  <c r="A3540" i="6"/>
  <c r="A3668" i="6"/>
  <c r="A3796" i="6"/>
  <c r="A3924" i="6"/>
  <c r="A4052" i="6"/>
  <c r="A4180" i="6"/>
  <c r="A4308" i="6"/>
  <c r="A4436" i="6"/>
  <c r="A4564" i="6"/>
  <c r="A4692" i="6"/>
  <c r="A4820" i="6"/>
  <c r="A4948" i="6"/>
  <c r="A5076" i="6"/>
  <c r="A5204" i="6"/>
  <c r="A5303" i="6"/>
  <c r="A5431" i="6"/>
  <c r="A5559" i="6"/>
  <c r="A5687" i="6"/>
  <c r="A5815" i="6"/>
  <c r="A5943" i="6"/>
  <c r="A6071" i="6"/>
  <c r="A6199" i="6"/>
  <c r="A6327" i="6"/>
  <c r="A6455" i="6"/>
  <c r="A6583" i="6"/>
  <c r="A6711" i="6"/>
  <c r="A6839" i="6"/>
  <c r="A6967" i="6"/>
  <c r="A7095" i="6"/>
  <c r="A182" i="6"/>
  <c r="A212" i="6"/>
  <c r="A362" i="6"/>
  <c r="A490" i="6"/>
  <c r="A572" i="6"/>
  <c r="A700" i="6"/>
  <c r="A786" i="6"/>
  <c r="A914" i="6"/>
  <c r="A1042" i="6"/>
  <c r="A1201" i="6"/>
  <c r="A1329" i="6"/>
  <c r="A1457" i="6"/>
  <c r="A1585" i="6"/>
  <c r="A1705" i="6"/>
  <c r="A1833" i="6"/>
  <c r="A1961" i="6"/>
  <c r="A2089" i="6"/>
  <c r="A2217" i="6"/>
  <c r="A2345" i="6"/>
  <c r="A2473" i="6"/>
  <c r="A2584" i="6"/>
  <c r="A2712" i="6"/>
  <c r="A2840" i="6"/>
  <c r="A2968" i="6"/>
  <c r="A3096" i="6"/>
  <c r="A3224" i="6"/>
  <c r="A3352" i="6"/>
  <c r="A3451" i="6"/>
  <c r="A3579" i="6"/>
  <c r="A3707" i="6"/>
  <c r="A3835" i="6"/>
  <c r="A3963" i="6"/>
  <c r="A4091" i="6"/>
  <c r="A4219" i="6"/>
  <c r="A4347" i="6"/>
  <c r="A4475" i="6"/>
  <c r="A4603" i="6"/>
  <c r="A4731" i="6"/>
  <c r="A4859" i="6"/>
  <c r="A4987" i="6"/>
  <c r="A5115" i="6"/>
  <c r="A5243" i="6"/>
  <c r="A5300" i="6"/>
  <c r="A5428" i="6"/>
  <c r="A5556" i="6"/>
  <c r="A5684" i="6"/>
  <c r="A5812" i="6"/>
  <c r="A5940" i="6"/>
  <c r="A5912" i="6"/>
  <c r="A251" i="6"/>
  <c r="A399" i="6"/>
  <c r="A527" i="6"/>
  <c r="A559" i="6"/>
  <c r="A687" i="6"/>
  <c r="A768" i="6"/>
  <c r="A869" i="6"/>
  <c r="A997" i="6"/>
  <c r="A1125" i="6"/>
  <c r="A1210" i="6"/>
  <c r="A1338" i="6"/>
  <c r="A1466" i="6"/>
  <c r="A1594" i="6"/>
  <c r="A347" i="6"/>
  <c r="A475" i="6"/>
  <c r="A635" i="6"/>
  <c r="A817" i="6"/>
  <c r="A945" i="6"/>
  <c r="A1073" i="6"/>
  <c r="A1186" i="6"/>
  <c r="A1286" i="6"/>
  <c r="A1414" i="6"/>
  <c r="A1542" i="6"/>
  <c r="A1728" i="6"/>
  <c r="A1856" i="6"/>
  <c r="A1984" i="6"/>
  <c r="A2112" i="6"/>
  <c r="A2240" i="6"/>
  <c r="A2368" i="6"/>
  <c r="A2496" i="6"/>
  <c r="A2613" i="6"/>
  <c r="A2741" i="6"/>
  <c r="A2869" i="6"/>
  <c r="A2997" i="6"/>
  <c r="A3125" i="6"/>
  <c r="A3253" i="6"/>
  <c r="A3381" i="6"/>
  <c r="A3496" i="6"/>
  <c r="A3624" i="6"/>
  <c r="A3752" i="6"/>
  <c r="A3880" i="6"/>
  <c r="A4008" i="6"/>
  <c r="A4136" i="6"/>
  <c r="A4264" i="6"/>
  <c r="A4392" i="6"/>
  <c r="A4520" i="6"/>
  <c r="A4648" i="6"/>
  <c r="A4776" i="6"/>
  <c r="A4904" i="6"/>
  <c r="A5032" i="6"/>
  <c r="A5160" i="6"/>
  <c r="A5387" i="6"/>
  <c r="A5515" i="6"/>
  <c r="A5643" i="6"/>
  <c r="A5771" i="6"/>
  <c r="A5899" i="6"/>
  <c r="A6027" i="6"/>
  <c r="A6155" i="6"/>
  <c r="A6283" i="6"/>
  <c r="A6411" i="6"/>
  <c r="A6539" i="6"/>
  <c r="A6667" i="6"/>
  <c r="A6795" i="6"/>
  <c r="A6923" i="6"/>
  <c r="A7051" i="6"/>
  <c r="A6204" i="6"/>
  <c r="A6332" i="6"/>
  <c r="A6460" i="6"/>
  <c r="A6588" i="6"/>
  <c r="A6716" i="6"/>
  <c r="A6844" i="6"/>
  <c r="A6972" i="6"/>
  <c r="A7118" i="6"/>
  <c r="A7104" i="6"/>
  <c r="A7243" i="6"/>
  <c r="A7371" i="6"/>
  <c r="A7499" i="6"/>
  <c r="A7627" i="6"/>
  <c r="A7755" i="6"/>
  <c r="A7883" i="6"/>
  <c r="A8011" i="6"/>
  <c r="A8139" i="6"/>
  <c r="A8267" i="6"/>
  <c r="A8395" i="6"/>
  <c r="A8523" i="6"/>
  <c r="A250" i="6"/>
  <c r="A400" i="6"/>
  <c r="A528" i="6"/>
  <c r="A610" i="6"/>
  <c r="A824" i="6"/>
  <c r="A952" i="6"/>
  <c r="A1080" i="6"/>
  <c r="A1161" i="6"/>
  <c r="A1239" i="6"/>
  <c r="A1367" i="6"/>
  <c r="A1495" i="6"/>
  <c r="A1623" i="6"/>
  <c r="A1743" i="6"/>
  <c r="A1871" i="6"/>
  <c r="A1999" i="6"/>
  <c r="A2127" i="6"/>
  <c r="A2255" i="6"/>
  <c r="A2383" i="6"/>
  <c r="A2511" i="6"/>
  <c r="A2622" i="6"/>
  <c r="A2750" i="6"/>
  <c r="A2878" i="6"/>
  <c r="A3006" i="6"/>
  <c r="A3134" i="6"/>
  <c r="A3262" i="6"/>
  <c r="A3390" i="6"/>
  <c r="A3489" i="6"/>
  <c r="A3617" i="6"/>
  <c r="A3745" i="6"/>
  <c r="A3873" i="6"/>
  <c r="A4001" i="6"/>
  <c r="A4129" i="6"/>
  <c r="A4257" i="6"/>
  <c r="A4385" i="6"/>
  <c r="A4513" i="6"/>
  <c r="A4641" i="6"/>
  <c r="A4769" i="6"/>
  <c r="A4897" i="6"/>
  <c r="A5025" i="6"/>
  <c r="A5153" i="6"/>
  <c r="A5338" i="6"/>
  <c r="A5466" i="6"/>
  <c r="A5594" i="6"/>
  <c r="A5722" i="6"/>
  <c r="A5850" i="6"/>
  <c r="A5978" i="6"/>
  <c r="A6106" i="6"/>
  <c r="A6234" i="6"/>
  <c r="A6362" i="6"/>
  <c r="A6490" i="6"/>
  <c r="A6618" i="6"/>
  <c r="A6746" i="6"/>
  <c r="A6874" i="6"/>
  <c r="A7002" i="6"/>
  <c r="A7145" i="6"/>
  <c r="A7273" i="6"/>
  <c r="A7401" i="6"/>
  <c r="A7529" i="6"/>
  <c r="A7657" i="6"/>
  <c r="A7785" i="6"/>
  <c r="A7913" i="6"/>
  <c r="A8041" i="6"/>
  <c r="A8169" i="6"/>
  <c r="A8297" i="6"/>
  <c r="A8425" i="6"/>
  <c r="A8553" i="6"/>
  <c r="A8681" i="6"/>
  <c r="A8659" i="6"/>
  <c r="A7238" i="6"/>
  <c r="A7366" i="6"/>
  <c r="A7494" i="6"/>
  <c r="A7622" i="6"/>
  <c r="A7750" i="6"/>
  <c r="A7878" i="6"/>
  <c r="A8006" i="6"/>
  <c r="A8134" i="6"/>
  <c r="A8262" i="6"/>
  <c r="A8390" i="6"/>
  <c r="A8518" i="6"/>
  <c r="A8646" i="6"/>
  <c r="A297" i="6"/>
  <c r="A445" i="6"/>
  <c r="A605" i="6"/>
  <c r="A787" i="6"/>
  <c r="A915" i="6"/>
  <c r="A1043" i="6"/>
  <c r="A1156" i="6"/>
  <c r="A1256" i="6"/>
  <c r="A1384" i="6"/>
  <c r="A1512" i="6"/>
  <c r="A1698" i="6"/>
  <c r="A1826" i="6"/>
  <c r="A1954" i="6"/>
  <c r="A2082" i="6"/>
  <c r="A2210" i="6"/>
  <c r="A2338" i="6"/>
  <c r="A2466" i="6"/>
  <c r="A2583" i="6"/>
  <c r="A2711" i="6"/>
  <c r="A2839" i="6"/>
  <c r="A2967" i="6"/>
  <c r="A3095" i="6"/>
  <c r="A3223" i="6"/>
  <c r="A3351" i="6"/>
  <c r="A3466" i="6"/>
  <c r="A3594" i="6"/>
  <c r="A3722" i="6"/>
  <c r="A3850" i="6"/>
  <c r="A3978" i="6"/>
  <c r="A4106" i="6"/>
  <c r="A4234" i="6"/>
  <c r="A4362" i="6"/>
  <c r="A4490" i="6"/>
  <c r="A4618" i="6"/>
  <c r="A4746" i="6"/>
  <c r="A4874" i="6"/>
  <c r="A5002" i="6"/>
  <c r="A5130" i="6"/>
  <c r="A5258" i="6"/>
  <c r="A5357" i="6"/>
  <c r="A5485" i="6"/>
  <c r="A5613" i="6"/>
  <c r="A5741" i="6"/>
  <c r="A5869" i="6"/>
  <c r="A5997" i="6"/>
  <c r="A6125" i="6"/>
  <c r="A6253" i="6"/>
  <c r="A6381" i="6"/>
  <c r="A6509" i="6"/>
  <c r="A6637" i="6"/>
  <c r="A6765" i="6"/>
  <c r="A6893" i="6"/>
  <c r="A7021" i="6"/>
  <c r="A7228" i="6"/>
  <c r="A7356" i="6"/>
  <c r="A7484" i="6"/>
  <c r="A7612" i="6"/>
  <c r="A7740" i="6"/>
  <c r="A7868" i="6"/>
  <c r="A7996" i="6"/>
  <c r="A8124" i="6"/>
  <c r="A8252" i="6"/>
  <c r="A8380" i="6"/>
  <c r="A8508" i="6"/>
  <c r="A8636" i="6"/>
  <c r="A5904" i="6"/>
  <c r="A177" i="6"/>
  <c r="A259" i="6"/>
  <c r="A407" i="6"/>
  <c r="A535" i="6"/>
  <c r="A567" i="6"/>
  <c r="A695" i="6"/>
  <c r="A877" i="6"/>
  <c r="A1005" i="6"/>
  <c r="A1133" i="6"/>
  <c r="A1218" i="6"/>
  <c r="A1346" i="6"/>
  <c r="A1474" i="6"/>
  <c r="A1602" i="6"/>
  <c r="A1660" i="6"/>
  <c r="A1788" i="6"/>
  <c r="A1916" i="6"/>
  <c r="A2044" i="6"/>
  <c r="A2172" i="6"/>
  <c r="A2300" i="6"/>
  <c r="A2428" i="6"/>
  <c r="A2545" i="6"/>
  <c r="A2673" i="6"/>
  <c r="A2801" i="6"/>
  <c r="A2929" i="6"/>
  <c r="A3057" i="6"/>
  <c r="A3185" i="6"/>
  <c r="A3313" i="6"/>
  <c r="A3441" i="6"/>
  <c r="A3556" i="6"/>
  <c r="A3684" i="6"/>
  <c r="A3812" i="6"/>
  <c r="A3940" i="6"/>
  <c r="A4068" i="6"/>
  <c r="A4196" i="6"/>
  <c r="A4324" i="6"/>
  <c r="A4452" i="6"/>
  <c r="A4580" i="6"/>
  <c r="A4708" i="6"/>
  <c r="A4836" i="6"/>
  <c r="A4964" i="6"/>
  <c r="A5092" i="6"/>
  <c r="A5220" i="6"/>
  <c r="A5319" i="6"/>
  <c r="A5447" i="6"/>
  <c r="A5575" i="6"/>
  <c r="A5703" i="6"/>
  <c r="A5831" i="6"/>
  <c r="A5959" i="6"/>
  <c r="A6087" i="6"/>
  <c r="A6215" i="6"/>
  <c r="A6343" i="6"/>
  <c r="A6471" i="6"/>
  <c r="A6599" i="6"/>
  <c r="A6727" i="6"/>
  <c r="A6855" i="6"/>
  <c r="A6983" i="6"/>
  <c r="A7111" i="6"/>
  <c r="A6012" i="6"/>
  <c r="A6008" i="6"/>
  <c r="A6136" i="6"/>
  <c r="A6264" i="6"/>
  <c r="A6392" i="6"/>
  <c r="A6520" i="6"/>
  <c r="A6648" i="6"/>
  <c r="A6776" i="6"/>
  <c r="A6904" i="6"/>
  <c r="A7032" i="6"/>
  <c r="A7175" i="6"/>
  <c r="A7303" i="6"/>
  <c r="A7431" i="6"/>
  <c r="A7559" i="6"/>
  <c r="A7687" i="6"/>
  <c r="A7815" i="6"/>
  <c r="A7943" i="6"/>
  <c r="A8071" i="6"/>
  <c r="A8199" i="6"/>
  <c r="A8327" i="6"/>
  <c r="A8455" i="6"/>
  <c r="A8631" i="6"/>
  <c r="A176" i="6"/>
  <c r="A356" i="6"/>
  <c r="A484" i="6"/>
  <c r="A566" i="6"/>
  <c r="A694" i="6"/>
  <c r="A780" i="6"/>
  <c r="A908" i="6"/>
  <c r="A1036" i="6"/>
  <c r="A1191" i="6"/>
  <c r="A1323" i="6"/>
  <c r="A1451" i="6"/>
  <c r="A1579" i="6"/>
  <c r="A1699" i="6"/>
  <c r="A1827" i="6"/>
  <c r="A1955" i="6"/>
  <c r="A2083" i="6"/>
  <c r="A2211" i="6"/>
  <c r="A2339" i="6"/>
  <c r="A2467" i="6"/>
  <c r="A2578" i="6"/>
  <c r="A2706" i="6"/>
  <c r="A2834" i="6"/>
  <c r="A2962" i="6"/>
  <c r="A3090" i="6"/>
  <c r="A3218" i="6"/>
  <c r="A3346" i="6"/>
  <c r="A3445" i="6"/>
  <c r="A3573" i="6"/>
  <c r="A3701" i="6"/>
  <c r="A3829" i="6"/>
  <c r="A3957" i="6"/>
  <c r="A4085" i="6"/>
  <c r="A4213" i="6"/>
  <c r="A4341" i="6"/>
  <c r="A4469" i="6"/>
  <c r="A4597" i="6"/>
  <c r="A4725" i="6"/>
  <c r="A4853" i="6"/>
  <c r="A4981" i="6"/>
  <c r="A5109" i="6"/>
  <c r="A5237" i="6"/>
  <c r="A5294" i="6"/>
  <c r="A5422" i="6"/>
  <c r="A5550" i="6"/>
  <c r="A5678" i="6"/>
  <c r="A5806" i="6"/>
  <c r="A5934" i="6"/>
  <c r="A6062" i="6"/>
  <c r="A6190" i="6"/>
  <c r="A6318" i="6"/>
  <c r="A6446" i="6"/>
  <c r="A6574" i="6"/>
  <c r="A6702" i="6"/>
  <c r="A6830" i="6"/>
  <c r="A6958" i="6"/>
  <c r="A7090" i="6"/>
  <c r="A8753" i="6"/>
  <c r="A7229" i="6"/>
  <c r="A7357" i="6"/>
  <c r="A7485" i="6"/>
  <c r="A7613" i="6"/>
  <c r="A7741" i="6"/>
  <c r="A7869" i="6"/>
  <c r="A7997" i="6"/>
  <c r="A8125" i="6"/>
  <c r="A8253" i="6"/>
  <c r="A8381" i="6"/>
  <c r="A8509" i="6"/>
  <c r="A8637" i="6"/>
  <c r="A8571" i="6"/>
  <c r="A7194" i="6"/>
  <c r="A7322" i="6"/>
  <c r="A7450" i="6"/>
  <c r="A7578" i="6"/>
  <c r="A7706" i="6"/>
  <c r="A7834" i="6"/>
  <c r="A7962" i="6"/>
  <c r="A8090" i="6"/>
  <c r="A8218" i="6"/>
  <c r="A8346" i="6"/>
  <c r="A8474" i="6"/>
  <c r="A8602" i="6"/>
  <c r="A8730" i="6"/>
  <c r="A211" i="6"/>
  <c r="A229" i="6"/>
  <c r="A377" i="6"/>
  <c r="A505" i="6"/>
  <c r="A665" i="6"/>
  <c r="A746" i="6"/>
  <c r="A847" i="6"/>
  <c r="A975" i="6"/>
  <c r="A1103" i="6"/>
  <c r="A1316" i="6"/>
  <c r="A1444" i="6"/>
  <c r="A1572" i="6"/>
  <c r="A1630" i="6"/>
  <c r="A1758" i="6"/>
  <c r="A1886" i="6"/>
  <c r="A2014" i="6"/>
  <c r="A2142" i="6"/>
  <c r="A2270" i="6"/>
  <c r="A2398" i="6"/>
  <c r="A2526" i="6"/>
  <c r="A2643" i="6"/>
  <c r="A2771" i="6"/>
  <c r="A2899" i="6"/>
  <c r="A3027" i="6"/>
  <c r="A3155" i="6"/>
  <c r="A3283" i="6"/>
  <c r="A3411" i="6"/>
  <c r="A3526" i="6"/>
  <c r="A3654" i="6"/>
  <c r="A3782" i="6"/>
  <c r="A3910" i="6"/>
  <c r="A4038" i="6"/>
  <c r="A4166" i="6"/>
  <c r="A4294" i="6"/>
  <c r="A4422" i="6"/>
  <c r="A4550" i="6"/>
  <c r="A4678" i="6"/>
  <c r="A4806" i="6"/>
  <c r="A4934" i="6"/>
  <c r="A5062" i="6"/>
  <c r="A5190" i="6"/>
  <c r="A5289" i="6"/>
  <c r="A5417" i="6"/>
  <c r="A5545" i="6"/>
  <c r="A5673" i="6"/>
  <c r="A5801" i="6"/>
  <c r="A5929" i="6"/>
  <c r="A6057" i="6"/>
  <c r="A6185" i="6"/>
  <c r="A6313" i="6"/>
  <c r="A6441" i="6"/>
  <c r="A6569" i="6"/>
  <c r="A6697" i="6"/>
  <c r="A6825" i="6"/>
  <c r="A6953" i="6"/>
  <c r="A7081" i="6"/>
  <c r="A7160" i="6"/>
  <c r="A7288" i="6"/>
  <c r="A7416" i="6"/>
  <c r="A7544" i="6"/>
  <c r="A7672" i="6"/>
  <c r="A7800" i="6"/>
  <c r="A7928" i="6"/>
  <c r="A8056" i="6"/>
  <c r="A8184" i="6"/>
  <c r="A8312" i="6"/>
  <c r="A8440" i="6"/>
  <c r="A8568" i="6"/>
  <c r="A8696" i="6"/>
  <c r="A6196" i="6"/>
  <c r="A6324" i="6"/>
  <c r="A6452" i="6"/>
  <c r="A6580" i="6"/>
  <c r="A6708" i="6"/>
  <c r="A6836" i="6"/>
  <c r="A6964" i="6"/>
  <c r="A7102" i="6"/>
  <c r="A7088" i="6"/>
  <c r="A7235" i="6"/>
  <c r="A7363" i="6"/>
  <c r="A7491" i="6"/>
  <c r="A7619" i="6"/>
  <c r="A7747" i="6"/>
  <c r="A7875" i="6"/>
  <c r="A8003" i="6"/>
  <c r="A8131" i="6"/>
  <c r="A8259" i="6"/>
  <c r="A8387" i="6"/>
  <c r="A8515" i="6"/>
  <c r="A274" i="6"/>
  <c r="A424" i="6"/>
  <c r="A634" i="6"/>
  <c r="A848" i="6"/>
  <c r="A976" i="6"/>
  <c r="A1104" i="6"/>
  <c r="A1263" i="6"/>
  <c r="A1391" i="6"/>
  <c r="A1519" i="6"/>
  <c r="A1639" i="6"/>
  <c r="A1767" i="6"/>
  <c r="A1895" i="6"/>
  <c r="A2023" i="6"/>
  <c r="A2151" i="6"/>
  <c r="A2279" i="6"/>
  <c r="A2407" i="6"/>
  <c r="A2646" i="6"/>
  <c r="A2774" i="6"/>
  <c r="A2902" i="6"/>
  <c r="A3030" i="6"/>
  <c r="A3158" i="6"/>
  <c r="A3286" i="6"/>
  <c r="A3414" i="6"/>
  <c r="A3513" i="6"/>
  <c r="A3641" i="6"/>
  <c r="A3769" i="6"/>
  <c r="A3897" i="6"/>
  <c r="A4025" i="6"/>
  <c r="A4153" i="6"/>
  <c r="A4281" i="6"/>
  <c r="A4409" i="6"/>
  <c r="A4537" i="6"/>
  <c r="A4665" i="6"/>
  <c r="A4793" i="6"/>
  <c r="A4921" i="6"/>
  <c r="A5049" i="6"/>
  <c r="A5177" i="6"/>
  <c r="A5362" i="6"/>
  <c r="A5490" i="6"/>
  <c r="A5618" i="6"/>
  <c r="A5746" i="6"/>
  <c r="A5874" i="6"/>
  <c r="A6002" i="6"/>
  <c r="A6130" i="6"/>
  <c r="A6258" i="6"/>
  <c r="A6386" i="6"/>
  <c r="A6514" i="6"/>
  <c r="A6642" i="6"/>
  <c r="A6770" i="6"/>
  <c r="A6898" i="6"/>
  <c r="A7026" i="6"/>
  <c r="A7169" i="6"/>
  <c r="A7297" i="6"/>
  <c r="A7425" i="6"/>
  <c r="A7553" i="6"/>
  <c r="A7681" i="6"/>
  <c r="A7809" i="6"/>
  <c r="A7937" i="6"/>
  <c r="A8065" i="6"/>
  <c r="A8193" i="6"/>
  <c r="A8321" i="6"/>
  <c r="A8449" i="6"/>
  <c r="A8577" i="6"/>
  <c r="A8705" i="6"/>
  <c r="A8707" i="6"/>
  <c r="A7134" i="6"/>
  <c r="A7262" i="6"/>
  <c r="A7390" i="6"/>
  <c r="A7518" i="6"/>
  <c r="A7646" i="6"/>
  <c r="A7774" i="6"/>
  <c r="A7902" i="6"/>
  <c r="A8030" i="6"/>
  <c r="A8158" i="6"/>
  <c r="A8286" i="6"/>
  <c r="A8414" i="6"/>
  <c r="A8542" i="6"/>
  <c r="A8670" i="6"/>
  <c r="A207" i="6"/>
  <c r="A225" i="6"/>
  <c r="A373" i="6"/>
  <c r="A501" i="6"/>
  <c r="A661" i="6"/>
  <c r="A742" i="6"/>
  <c r="A843" i="6"/>
  <c r="A971" i="6"/>
  <c r="A1099" i="6"/>
  <c r="A1312" i="6"/>
  <c r="A1440" i="6"/>
  <c r="A1568" i="6"/>
  <c r="A1626" i="6"/>
  <c r="A1754" i="6"/>
  <c r="A1882" i="6"/>
  <c r="A2010" i="6"/>
  <c r="A2138" i="6"/>
  <c r="A2266" i="6"/>
  <c r="A2394" i="6"/>
  <c r="A2522" i="6"/>
  <c r="A2639" i="6"/>
  <c r="A2767" i="6"/>
  <c r="A2895" i="6"/>
  <c r="A3023" i="6"/>
  <c r="A3151" i="6"/>
  <c r="A3279" i="6"/>
  <c r="A3407" i="6"/>
  <c r="A3522" i="6"/>
  <c r="A3650" i="6"/>
  <c r="A3778" i="6"/>
  <c r="A3906" i="6"/>
  <c r="A4034" i="6"/>
  <c r="A4162" i="6"/>
  <c r="A4290" i="6"/>
  <c r="A4418" i="6"/>
  <c r="A4546" i="6"/>
  <c r="A4674" i="6"/>
  <c r="A4802" i="6"/>
  <c r="A4930" i="6"/>
  <c r="A5058" i="6"/>
  <c r="A5186" i="6"/>
  <c r="A5285" i="6"/>
  <c r="A5413" i="6"/>
  <c r="A5541" i="6"/>
  <c r="A5669" i="6"/>
  <c r="A5797" i="6"/>
  <c r="A5925" i="6"/>
  <c r="A6053" i="6"/>
  <c r="A6181" i="6"/>
  <c r="A6309" i="6"/>
  <c r="A6437" i="6"/>
  <c r="A6565" i="6"/>
  <c r="A6693" i="6"/>
  <c r="A6821" i="6"/>
  <c r="A6949" i="6"/>
  <c r="A7077" i="6"/>
  <c r="A7156" i="6"/>
  <c r="A7284" i="6"/>
  <c r="A7412" i="6"/>
  <c r="A7540" i="6"/>
  <c r="A7668" i="6"/>
  <c r="A7796" i="6"/>
  <c r="A7924" i="6"/>
  <c r="A8052" i="6"/>
  <c r="A8180" i="6"/>
  <c r="A8308" i="6"/>
  <c r="A8436" i="6"/>
  <c r="A8564" i="6"/>
  <c r="A8692" i="6"/>
  <c r="A5896" i="6"/>
  <c r="A267" i="6"/>
  <c r="A415" i="6"/>
  <c r="A543" i="6"/>
  <c r="A575" i="6"/>
  <c r="A703" i="6"/>
  <c r="A885" i="6"/>
  <c r="A1013" i="6"/>
  <c r="A1141" i="6"/>
  <c r="A1226" i="6"/>
  <c r="A1354" i="6"/>
  <c r="A1482" i="6"/>
  <c r="A1610" i="6"/>
  <c r="A1668" i="6"/>
  <c r="A1796" i="6"/>
  <c r="A1924" i="6"/>
  <c r="A2052" i="6"/>
  <c r="A2180" i="6"/>
  <c r="A2308" i="6"/>
  <c r="A2436" i="6"/>
  <c r="A2553" i="6"/>
  <c r="A2681" i="6"/>
  <c r="A2809" i="6"/>
  <c r="A2937" i="6"/>
  <c r="A3065" i="6"/>
  <c r="A3193" i="6"/>
  <c r="A3321" i="6"/>
  <c r="A3564" i="6"/>
  <c r="A3692" i="6"/>
  <c r="A3820" i="6"/>
  <c r="A3948" i="6"/>
  <c r="A4076" i="6"/>
  <c r="A4204" i="6"/>
  <c r="A4332" i="6"/>
  <c r="A4460" i="6"/>
  <c r="A4588" i="6"/>
  <c r="A4716" i="6"/>
  <c r="A4844" i="6"/>
  <c r="A4972" i="6"/>
  <c r="A5100" i="6"/>
  <c r="A5228" i="6"/>
  <c r="A5327" i="6"/>
  <c r="A5455" i="6"/>
  <c r="A5583" i="6"/>
  <c r="A5711" i="6"/>
  <c r="A5839" i="6"/>
  <c r="A5967" i="6"/>
  <c r="A6095" i="6"/>
  <c r="A6223" i="6"/>
  <c r="A6351" i="6"/>
  <c r="A6479" i="6"/>
  <c r="A6607" i="6"/>
  <c r="A6735" i="6"/>
  <c r="A6863" i="6"/>
  <c r="A6991" i="6"/>
  <c r="A7119" i="6"/>
  <c r="A300" i="6"/>
  <c r="A317" i="6"/>
  <c r="A450" i="6"/>
  <c r="A660" i="6"/>
  <c r="A753" i="6"/>
  <c r="A719" i="6"/>
  <c r="A874" i="6"/>
  <c r="A1002" i="6"/>
  <c r="A1130" i="6"/>
  <c r="A1289" i="6"/>
  <c r="A1417" i="6"/>
  <c r="A1545" i="6"/>
  <c r="A1665" i="6"/>
  <c r="A1793" i="6"/>
  <c r="A1921" i="6"/>
  <c r="A2049" i="6"/>
  <c r="A2177" i="6"/>
  <c r="A2305" i="6"/>
  <c r="A2433" i="6"/>
  <c r="A2544" i="6"/>
  <c r="A2672" i="6"/>
  <c r="A2800" i="6"/>
  <c r="A2928" i="6"/>
  <c r="A3056" i="6"/>
  <c r="A3184" i="6"/>
  <c r="A3312" i="6"/>
  <c r="A3440" i="6"/>
  <c r="A3539" i="6"/>
  <c r="A3667" i="6"/>
  <c r="A3795" i="6"/>
  <c r="A3923" i="6"/>
  <c r="A4051" i="6"/>
  <c r="A4179" i="6"/>
  <c r="A4307" i="6"/>
  <c r="A4435" i="6"/>
  <c r="A4563" i="6"/>
  <c r="A4691" i="6"/>
  <c r="A4819" i="6"/>
  <c r="A4947" i="6"/>
  <c r="A5075" i="6"/>
  <c r="A5203" i="6"/>
  <c r="A5388" i="6"/>
  <c r="A5516" i="6"/>
  <c r="A5644" i="6"/>
  <c r="A5772" i="6"/>
  <c r="A5900" i="6"/>
  <c r="A6220" i="6"/>
  <c r="A6348" i="6"/>
  <c r="A6476" i="6"/>
  <c r="A6604" i="6"/>
  <c r="A6732" i="6"/>
  <c r="A6860" i="6"/>
  <c r="A6988" i="6"/>
  <c r="A7131" i="6"/>
  <c r="A7259" i="6"/>
  <c r="A7387" i="6"/>
  <c r="A7515" i="6"/>
  <c r="A7643" i="6"/>
  <c r="A7771" i="6"/>
  <c r="A7899" i="6"/>
  <c r="A8027" i="6"/>
  <c r="A8155" i="6"/>
  <c r="A8283" i="6"/>
  <c r="A8411" i="6"/>
  <c r="A8543" i="6"/>
  <c r="A266" i="6"/>
  <c r="A416" i="6"/>
  <c r="A626" i="6"/>
  <c r="A840" i="6"/>
  <c r="A968" i="6"/>
  <c r="A1096" i="6"/>
  <c r="A1193" i="6"/>
  <c r="A1255" i="6"/>
  <c r="A1383" i="6"/>
  <c r="A1511" i="6"/>
  <c r="A1631" i="6"/>
  <c r="A1759" i="6"/>
  <c r="A1887" i="6"/>
  <c r="A2015" i="6"/>
  <c r="A2143" i="6"/>
  <c r="A2271" i="6"/>
  <c r="A2399" i="6"/>
  <c r="A2527" i="6"/>
  <c r="A2638" i="6"/>
  <c r="A2766" i="6"/>
  <c r="A2894" i="6"/>
  <c r="A3022" i="6"/>
  <c r="A3150" i="6"/>
  <c r="A3278" i="6"/>
  <c r="A3406" i="6"/>
  <c r="A3505" i="6"/>
  <c r="A3633" i="6"/>
  <c r="A3761" i="6"/>
  <c r="A3889" i="6"/>
  <c r="A4017" i="6"/>
  <c r="A4145" i="6"/>
  <c r="A4273" i="6"/>
  <c r="A4401" i="6"/>
  <c r="A4529" i="6"/>
  <c r="A4657" i="6"/>
  <c r="A4785" i="6"/>
  <c r="A4913" i="6"/>
  <c r="A5041" i="6"/>
  <c r="A5169" i="6"/>
  <c r="A5354" i="6"/>
  <c r="A5482" i="6"/>
  <c r="A5610" i="6"/>
  <c r="A5738" i="6"/>
  <c r="A5866" i="6"/>
  <c r="A5994" i="6"/>
  <c r="A6122" i="6"/>
  <c r="A6250" i="6"/>
  <c r="A6378" i="6"/>
  <c r="A6506" i="6"/>
  <c r="A6634" i="6"/>
  <c r="A6762" i="6"/>
  <c r="A6890" i="6"/>
  <c r="A7018" i="6"/>
  <c r="A7161" i="6"/>
  <c r="A7289" i="6"/>
  <c r="A7417" i="6"/>
  <c r="A7545" i="6"/>
  <c r="A7673" i="6"/>
  <c r="A7801" i="6"/>
  <c r="A7929" i="6"/>
  <c r="A8057" i="6"/>
  <c r="A8185" i="6"/>
  <c r="A8313" i="6"/>
  <c r="A8441" i="6"/>
  <c r="A8569" i="6"/>
  <c r="A8697" i="6"/>
  <c r="A8691" i="6"/>
  <c r="A7126" i="6"/>
  <c r="A7254" i="6"/>
  <c r="A7382" i="6"/>
  <c r="A7510" i="6"/>
  <c r="A7638" i="6"/>
  <c r="A7766" i="6"/>
  <c r="A7894" i="6"/>
  <c r="A8022" i="6"/>
  <c r="A8150" i="6"/>
  <c r="A8278" i="6"/>
  <c r="A8406" i="6"/>
  <c r="A8534" i="6"/>
  <c r="A8662" i="6"/>
  <c r="A199" i="6"/>
  <c r="A249" i="6"/>
  <c r="A397" i="6"/>
  <c r="A525" i="6"/>
  <c r="A557" i="6"/>
  <c r="A685" i="6"/>
  <c r="A766" i="6"/>
  <c r="A867" i="6"/>
  <c r="A995" i="6"/>
  <c r="A1123" i="6"/>
  <c r="A1208" i="6"/>
  <c r="A1336" i="6"/>
  <c r="A1464" i="6"/>
  <c r="A1592" i="6"/>
  <c r="A1650" i="6"/>
  <c r="A1778" i="6"/>
  <c r="A1906" i="6"/>
  <c r="A2034" i="6"/>
  <c r="A2162" i="6"/>
  <c r="A2290" i="6"/>
  <c r="A2418" i="6"/>
  <c r="A2663" i="6"/>
  <c r="A2791" i="6"/>
  <c r="A2919" i="6"/>
  <c r="A3047" i="6"/>
  <c r="A3175" i="6"/>
  <c r="A3303" i="6"/>
  <c r="A3431" i="6"/>
  <c r="A3546" i="6"/>
  <c r="A3674" i="6"/>
  <c r="A3802" i="6"/>
  <c r="A3930" i="6"/>
  <c r="A4058" i="6"/>
  <c r="A4186" i="6"/>
  <c r="A4314" i="6"/>
  <c r="A4442" i="6"/>
  <c r="A4570" i="6"/>
  <c r="A4698" i="6"/>
  <c r="A4826" i="6"/>
  <c r="A4954" i="6"/>
  <c r="A5082" i="6"/>
  <c r="A5210" i="6"/>
  <c r="A5309" i="6"/>
  <c r="A5437" i="6"/>
  <c r="A5565" i="6"/>
  <c r="A5693" i="6"/>
  <c r="A5821" i="6"/>
  <c r="A5949" i="6"/>
  <c r="A6077" i="6"/>
  <c r="A6205" i="6"/>
  <c r="A6333" i="6"/>
  <c r="A6461" i="6"/>
  <c r="A6589" i="6"/>
  <c r="A6717" i="6"/>
  <c r="A6845" i="6"/>
  <c r="A6973" i="6"/>
  <c r="A7101" i="6"/>
  <c r="A7180" i="6"/>
  <c r="A7308" i="6"/>
  <c r="A7436" i="6"/>
  <c r="A7564" i="6"/>
  <c r="A7692" i="6"/>
  <c r="A7820" i="6"/>
  <c r="A7948" i="6"/>
  <c r="A8076" i="6"/>
  <c r="A8204" i="6"/>
  <c r="A8332" i="6"/>
  <c r="A8460" i="6"/>
  <c r="A8588" i="6"/>
  <c r="A8716" i="6"/>
  <c r="A256" i="6"/>
  <c r="A406" i="6"/>
  <c r="A534" i="6"/>
  <c r="A616" i="6"/>
  <c r="A830" i="6"/>
  <c r="A958" i="6"/>
  <c r="A1086" i="6"/>
  <c r="A1173" i="6"/>
  <c r="A1245" i="6"/>
  <c r="A1373" i="6"/>
  <c r="A1501" i="6"/>
  <c r="A1749" i="6"/>
  <c r="A1877" i="6"/>
  <c r="A2005" i="6"/>
  <c r="A2133" i="6"/>
  <c r="A2261" i="6"/>
  <c r="A2389" i="6"/>
  <c r="A2517" i="6"/>
  <c r="A2628" i="6"/>
  <c r="A2756" i="6"/>
  <c r="A2884" i="6"/>
  <c r="A3012" i="6"/>
  <c r="A3140" i="6"/>
  <c r="A3268" i="6"/>
  <c r="A3396" i="6"/>
  <c r="A3495" i="6"/>
  <c r="A3623" i="6"/>
  <c r="A3751" i="6"/>
  <c r="A3879" i="6"/>
  <c r="A4007" i="6"/>
  <c r="A4135" i="6"/>
  <c r="A4263" i="6"/>
  <c r="A4391" i="6"/>
  <c r="A4519" i="6"/>
  <c r="A4647" i="6"/>
  <c r="A4775" i="6"/>
  <c r="A4903" i="6"/>
  <c r="A5031" i="6"/>
  <c r="A5159" i="6"/>
  <c r="A5344" i="6"/>
  <c r="A5472" i="6"/>
  <c r="A5600" i="6"/>
  <c r="A5728" i="6"/>
  <c r="A5856" i="6"/>
  <c r="A5984" i="6"/>
  <c r="A275" i="6"/>
  <c r="A423" i="6"/>
  <c r="A583" i="6"/>
  <c r="A711" i="6"/>
  <c r="A893" i="6"/>
  <c r="A1021" i="6"/>
  <c r="A1234" i="6"/>
  <c r="A1362" i="6"/>
  <c r="A1490" i="6"/>
  <c r="A1618" i="6"/>
  <c r="A1676" i="6"/>
  <c r="A1804" i="6"/>
  <c r="A1932" i="6"/>
  <c r="A2060" i="6"/>
  <c r="A2188" i="6"/>
  <c r="A2316" i="6"/>
  <c r="A2444" i="6"/>
  <c r="A2561" i="6"/>
  <c r="A2689" i="6"/>
  <c r="A2817" i="6"/>
  <c r="A2945" i="6"/>
  <c r="A3073" i="6"/>
  <c r="A3201" i="6"/>
  <c r="A3329" i="6"/>
  <c r="A3444" i="6"/>
  <c r="A3572" i="6"/>
  <c r="A3700" i="6"/>
  <c r="A3828" i="6"/>
  <c r="A3956" i="6"/>
  <c r="A4084" i="6"/>
  <c r="A4212" i="6"/>
  <c r="A4340" i="6"/>
  <c r="A4468" i="6"/>
  <c r="A4596" i="6"/>
  <c r="A4724" i="6"/>
  <c r="A4852" i="6"/>
  <c r="A4980" i="6"/>
  <c r="A5108" i="6"/>
  <c r="A5236" i="6"/>
  <c r="A5335" i="6"/>
  <c r="A5463" i="6"/>
  <c r="A5591" i="6"/>
  <c r="A5719" i="6"/>
  <c r="A5847" i="6"/>
  <c r="A5975" i="6"/>
  <c r="A6103" i="6"/>
  <c r="A6231" i="6"/>
  <c r="A6359" i="6"/>
  <c r="A6487" i="6"/>
  <c r="A6615" i="6"/>
  <c r="A6743" i="6"/>
  <c r="A6871" i="6"/>
  <c r="A6999" i="6"/>
  <c r="A244" i="6"/>
  <c r="A394" i="6"/>
  <c r="A522" i="6"/>
  <c r="A604" i="6"/>
  <c r="A818" i="6"/>
  <c r="A946" i="6"/>
  <c r="A1074" i="6"/>
  <c r="A1149" i="6"/>
  <c r="A1233" i="6"/>
  <c r="A1361" i="6"/>
  <c r="A1489" i="6"/>
  <c r="A1617" i="6"/>
  <c r="A1737" i="6"/>
  <c r="A1865" i="6"/>
  <c r="A1993" i="6"/>
  <c r="A2121" i="6"/>
  <c r="A2249" i="6"/>
  <c r="A2377" i="6"/>
  <c r="A2505" i="6"/>
  <c r="A2616" i="6"/>
  <c r="A2744" i="6"/>
  <c r="A2872" i="6"/>
  <c r="A3000" i="6"/>
  <c r="A3128" i="6"/>
  <c r="A3256" i="6"/>
  <c r="A3384" i="6"/>
  <c r="A3483" i="6"/>
  <c r="A3611" i="6"/>
  <c r="A3739" i="6"/>
  <c r="A3867" i="6"/>
  <c r="A3995" i="6"/>
  <c r="A4123" i="6"/>
  <c r="A4251" i="6"/>
  <c r="A4379" i="6"/>
  <c r="A4507" i="6"/>
  <c r="A4635" i="6"/>
  <c r="A4763" i="6"/>
  <c r="A4891" i="6"/>
  <c r="A5019" i="6"/>
  <c r="A5147" i="6"/>
  <c r="A5332" i="6"/>
  <c r="A5460" i="6"/>
  <c r="A5588" i="6"/>
  <c r="A5716" i="6"/>
  <c r="A5844" i="6"/>
  <c r="A5972" i="6"/>
  <c r="A339" i="6"/>
  <c r="A467" i="6"/>
  <c r="A627" i="6"/>
  <c r="A809" i="6"/>
  <c r="A937" i="6"/>
  <c r="A1065" i="6"/>
  <c r="A1178" i="6"/>
  <c r="A1278" i="6"/>
  <c r="A1406" i="6"/>
  <c r="A1534" i="6"/>
  <c r="A1720" i="6"/>
  <c r="A1848" i="6"/>
  <c r="A1976" i="6"/>
  <c r="A2104" i="6"/>
  <c r="A2232" i="6"/>
  <c r="A2360" i="6"/>
  <c r="A2488" i="6"/>
  <c r="A2605" i="6"/>
  <c r="A2733" i="6"/>
  <c r="A2861" i="6"/>
  <c r="A2989" i="6"/>
  <c r="A3117" i="6"/>
  <c r="A3245" i="6"/>
  <c r="A3373" i="6"/>
  <c r="A3488" i="6"/>
  <c r="A3616" i="6"/>
  <c r="A3744" i="6"/>
  <c r="A3872" i="6"/>
  <c r="A4000" i="6"/>
  <c r="A4128" i="6"/>
  <c r="A4256" i="6"/>
  <c r="A4384" i="6"/>
  <c r="A4512" i="6"/>
  <c r="A4640" i="6"/>
  <c r="A4768" i="6"/>
  <c r="A4896" i="6"/>
  <c r="A5024" i="6"/>
  <c r="A5152" i="6"/>
  <c r="A5379" i="6"/>
  <c r="A5507" i="6"/>
  <c r="A5635" i="6"/>
  <c r="A5763" i="6"/>
  <c r="A5891" i="6"/>
  <c r="A6019" i="6"/>
  <c r="A6147" i="6"/>
  <c r="A6275" i="6"/>
  <c r="A6403" i="6"/>
  <c r="A6531" i="6"/>
  <c r="A6659" i="6"/>
  <c r="A6787" i="6"/>
  <c r="A6915" i="6"/>
  <c r="A7043" i="6"/>
  <c r="A6120" i="6"/>
  <c r="A6248" i="6"/>
  <c r="A6376" i="6"/>
  <c r="A6504" i="6"/>
  <c r="A6632" i="6"/>
  <c r="A6760" i="6"/>
  <c r="A6888" i="6"/>
  <c r="A7016" i="6"/>
  <c r="A7159" i="6"/>
  <c r="A7287" i="6"/>
  <c r="A7415" i="6"/>
  <c r="A7543" i="6"/>
  <c r="A7671" i="6"/>
  <c r="A7799" i="6"/>
  <c r="A7927" i="6"/>
  <c r="A8055" i="6"/>
  <c r="A8183" i="6"/>
  <c r="A8311" i="6"/>
  <c r="A8439" i="6"/>
  <c r="A8599" i="6"/>
  <c r="A286" i="6"/>
  <c r="A436" i="6"/>
  <c r="A646" i="6"/>
  <c r="A725" i="6"/>
  <c r="A860" i="6"/>
  <c r="A988" i="6"/>
  <c r="A1116" i="6"/>
  <c r="A1275" i="6"/>
  <c r="A1403" i="6"/>
  <c r="A1531" i="6"/>
  <c r="A1651" i="6"/>
  <c r="A1779" i="6"/>
  <c r="A1907" i="6"/>
  <c r="A2035" i="6"/>
  <c r="A2163" i="6"/>
  <c r="A2291" i="6"/>
  <c r="A2419" i="6"/>
  <c r="A2658" i="6"/>
  <c r="A2786" i="6"/>
  <c r="A2914" i="6"/>
  <c r="A3042" i="6"/>
  <c r="A3170" i="6"/>
  <c r="A3298" i="6"/>
  <c r="A3426" i="6"/>
  <c r="A3525" i="6"/>
  <c r="A3653" i="6"/>
  <c r="A3781" i="6"/>
  <c r="A3909" i="6"/>
  <c r="A4037" i="6"/>
  <c r="A4165" i="6"/>
  <c r="A4293" i="6"/>
  <c r="A4421" i="6"/>
  <c r="A4549" i="6"/>
  <c r="A4677" i="6"/>
  <c r="A4805" i="6"/>
  <c r="A4933" i="6"/>
  <c r="A5061" i="6"/>
  <c r="A5189" i="6"/>
  <c r="A5374" i="6"/>
  <c r="A5502" i="6"/>
  <c r="A5630" i="6"/>
  <c r="A5758" i="6"/>
  <c r="A5886" i="6"/>
  <c r="A6014" i="6"/>
  <c r="A6142" i="6"/>
  <c r="A6270" i="6"/>
  <c r="A6398" i="6"/>
  <c r="A6526" i="6"/>
  <c r="A6654" i="6"/>
  <c r="A6782" i="6"/>
  <c r="A6910" i="6"/>
  <c r="A7038" i="6"/>
  <c r="A7181" i="6"/>
  <c r="A7309" i="6"/>
  <c r="A7437" i="6"/>
  <c r="A7565" i="6"/>
  <c r="A7693" i="6"/>
  <c r="A7821" i="6"/>
  <c r="A7949" i="6"/>
  <c r="A8077" i="6"/>
  <c r="A8205" i="6"/>
  <c r="A8333" i="6"/>
  <c r="A8461" i="6"/>
  <c r="A8589" i="6"/>
  <c r="A8717" i="6"/>
  <c r="A8737" i="6"/>
  <c r="A7146" i="6"/>
  <c r="A7274" i="6"/>
  <c r="A7402" i="6"/>
  <c r="A7530" i="6"/>
  <c r="A7658" i="6"/>
  <c r="A7786" i="6"/>
  <c r="A7914" i="6"/>
  <c r="A8042" i="6"/>
  <c r="A8170" i="6"/>
  <c r="A8298" i="6"/>
  <c r="A8426" i="6"/>
  <c r="A8554" i="6"/>
  <c r="A8682" i="6"/>
  <c r="A163" i="6"/>
  <c r="A213" i="6"/>
  <c r="A361" i="6"/>
  <c r="A489" i="6"/>
  <c r="A649" i="6"/>
  <c r="A730" i="6"/>
  <c r="A831" i="6"/>
  <c r="A959" i="6"/>
  <c r="A1087" i="6"/>
  <c r="A1300" i="6"/>
  <c r="A1428" i="6"/>
  <c r="A1556" i="6"/>
  <c r="A1742" i="6"/>
  <c r="A1870" i="6"/>
  <c r="A1998" i="6"/>
  <c r="A2126" i="6"/>
  <c r="A2254" i="6"/>
  <c r="A2382" i="6"/>
  <c r="A2510" i="6"/>
  <c r="A2627" i="6"/>
  <c r="A2755" i="6"/>
  <c r="A2883" i="6"/>
  <c r="A3011" i="6"/>
  <c r="A3139" i="6"/>
  <c r="A3267" i="6"/>
  <c r="A3395" i="6"/>
  <c r="A3510" i="6"/>
  <c r="A3638" i="6"/>
  <c r="A3766" i="6"/>
  <c r="A3894" i="6"/>
  <c r="A4022" i="6"/>
  <c r="A4150" i="6"/>
  <c r="A4278" i="6"/>
  <c r="A4406" i="6"/>
  <c r="A4534" i="6"/>
  <c r="A4662" i="6"/>
  <c r="A4790" i="6"/>
  <c r="A4918" i="6"/>
  <c r="A5046" i="6"/>
  <c r="A5174" i="6"/>
  <c r="A5273" i="6"/>
  <c r="A5401" i="6"/>
  <c r="A5529" i="6"/>
  <c r="A5657" i="6"/>
  <c r="A5785" i="6"/>
  <c r="A5913" i="6"/>
  <c r="A6041" i="6"/>
  <c r="A6169" i="6"/>
  <c r="A6297" i="6"/>
  <c r="A6425" i="6"/>
  <c r="A6553" i="6"/>
  <c r="A6681" i="6"/>
  <c r="A6809" i="6"/>
  <c r="A6937" i="6"/>
  <c r="A7065" i="6"/>
  <c r="A7144" i="6"/>
  <c r="A7272" i="6"/>
  <c r="A7400" i="6"/>
  <c r="A7528" i="6"/>
  <c r="A7656" i="6"/>
  <c r="A7784" i="6"/>
  <c r="A7912" i="6"/>
  <c r="A8040" i="6"/>
  <c r="A8168" i="6"/>
  <c r="A8296" i="6"/>
  <c r="A8424" i="6"/>
  <c r="A8552" i="6"/>
  <c r="A8680" i="6"/>
  <c r="A6180" i="6"/>
  <c r="A6308" i="6"/>
  <c r="A6436" i="6"/>
  <c r="A6564" i="6"/>
  <c r="A6692" i="6"/>
  <c r="A6820" i="6"/>
  <c r="A6948" i="6"/>
  <c r="A7076" i="6"/>
  <c r="A8725" i="6"/>
  <c r="A7219" i="6"/>
  <c r="A7347" i="6"/>
  <c r="A7475" i="6"/>
  <c r="A7603" i="6"/>
  <c r="A7731" i="6"/>
  <c r="A7859" i="6"/>
  <c r="A7987" i="6"/>
  <c r="A8115" i="6"/>
  <c r="A8243" i="6"/>
  <c r="A8371" i="6"/>
  <c r="A8499" i="6"/>
  <c r="A8719" i="6"/>
  <c r="A196" i="6"/>
  <c r="A226" i="6"/>
  <c r="A376" i="6"/>
  <c r="A504" i="6"/>
  <c r="A586" i="6"/>
  <c r="A714" i="6"/>
  <c r="A800" i="6"/>
  <c r="A928" i="6"/>
  <c r="A1056" i="6"/>
  <c r="A1215" i="6"/>
  <c r="A1343" i="6"/>
  <c r="A1471" i="6"/>
  <c r="A1599" i="6"/>
  <c r="A1719" i="6"/>
  <c r="A1847" i="6"/>
  <c r="A1975" i="6"/>
  <c r="A2103" i="6"/>
  <c r="A2231" i="6"/>
  <c r="A2359" i="6"/>
  <c r="A2487" i="6"/>
  <c r="A2598" i="6"/>
  <c r="A2726" i="6"/>
  <c r="A2854" i="6"/>
  <c r="A2982" i="6"/>
  <c r="A3110" i="6"/>
  <c r="A3238" i="6"/>
  <c r="A3366" i="6"/>
  <c r="A3465" i="6"/>
  <c r="A3593" i="6"/>
  <c r="A3721" i="6"/>
  <c r="A3849" i="6"/>
  <c r="A3977" i="6"/>
  <c r="A4105" i="6"/>
  <c r="A4233" i="6"/>
  <c r="A4361" i="6"/>
  <c r="A4489" i="6"/>
  <c r="A4617" i="6"/>
  <c r="A4745" i="6"/>
  <c r="A4873" i="6"/>
  <c r="A5001" i="6"/>
  <c r="A5129" i="6"/>
  <c r="A5257" i="6"/>
  <c r="A5314" i="6"/>
  <c r="A5442" i="6"/>
  <c r="A5570" i="6"/>
  <c r="A5698" i="6"/>
  <c r="A5826" i="6"/>
  <c r="A5954" i="6"/>
  <c r="A6082" i="6"/>
  <c r="A6210" i="6"/>
  <c r="A6338" i="6"/>
  <c r="A6466" i="6"/>
  <c r="A6594" i="6"/>
  <c r="A6722" i="6"/>
  <c r="A6850" i="6"/>
  <c r="A6978" i="6"/>
  <c r="A7116" i="6"/>
  <c r="A7249" i="6"/>
  <c r="A7377" i="6"/>
  <c r="A7505" i="6"/>
  <c r="A7633" i="6"/>
  <c r="A7761" i="6"/>
  <c r="A7889" i="6"/>
  <c r="A8017" i="6"/>
  <c r="A8145" i="6"/>
  <c r="A8273" i="6"/>
  <c r="A8401" i="6"/>
  <c r="A8529" i="6"/>
  <c r="A8657" i="6"/>
  <c r="A8611" i="6"/>
  <c r="A7214" i="6"/>
  <c r="A7342" i="6"/>
  <c r="A7470" i="6"/>
  <c r="A7598" i="6"/>
  <c r="A7726" i="6"/>
  <c r="A7854" i="6"/>
  <c r="A7982" i="6"/>
  <c r="A8110" i="6"/>
  <c r="A8238" i="6"/>
  <c r="A8366" i="6"/>
  <c r="A8494" i="6"/>
  <c r="A8622" i="6"/>
  <c r="A8750" i="6"/>
  <c r="A357" i="6"/>
  <c r="A485" i="6"/>
  <c r="A645" i="6"/>
  <c r="A726" i="6"/>
  <c r="A827" i="6"/>
  <c r="A955" i="6"/>
  <c r="A1083" i="6"/>
  <c r="A1196" i="6"/>
  <c r="A1296" i="6"/>
  <c r="A1424" i="6"/>
  <c r="A1552" i="6"/>
  <c r="A1738" i="6"/>
  <c r="A1866" i="6"/>
  <c r="A1994" i="6"/>
  <c r="A2122" i="6"/>
  <c r="A2250" i="6"/>
  <c r="A2378" i="6"/>
  <c r="A2506" i="6"/>
  <c r="A2623" i="6"/>
  <c r="A2751" i="6"/>
  <c r="A2879" i="6"/>
  <c r="A3007" i="6"/>
  <c r="A3135" i="6"/>
  <c r="A3263" i="6"/>
  <c r="A3391" i="6"/>
  <c r="A3506" i="6"/>
  <c r="A3634" i="6"/>
  <c r="A3762" i="6"/>
  <c r="A3890" i="6"/>
  <c r="A4018" i="6"/>
  <c r="A4146" i="6"/>
  <c r="A4274" i="6"/>
  <c r="A4402" i="6"/>
  <c r="A4530" i="6"/>
  <c r="A4658" i="6"/>
  <c r="A4786" i="6"/>
  <c r="A4914" i="6"/>
  <c r="A5042" i="6"/>
  <c r="A5170" i="6"/>
  <c r="A5269" i="6"/>
  <c r="A5397" i="6"/>
  <c r="A5525" i="6"/>
  <c r="A5653" i="6"/>
  <c r="A5781" i="6"/>
  <c r="A5909" i="6"/>
  <c r="A6037" i="6"/>
  <c r="A6165" i="6"/>
  <c r="A6293" i="6"/>
  <c r="A6421" i="6"/>
  <c r="A6549" i="6"/>
  <c r="A6677" i="6"/>
  <c r="A6805" i="6"/>
  <c r="A6933" i="6"/>
  <c r="A7061" i="6"/>
  <c r="A7140" i="6"/>
  <c r="A7268" i="6"/>
  <c r="A7396" i="6"/>
  <c r="A7524" i="6"/>
  <c r="A7652" i="6"/>
  <c r="A7780" i="6"/>
  <c r="A7908" i="6"/>
  <c r="A8036" i="6"/>
  <c r="A8164" i="6"/>
  <c r="A8292" i="6"/>
  <c r="A8420" i="6"/>
  <c r="A8548" i="6"/>
  <c r="A8676" i="6"/>
  <c r="A1269" i="6"/>
  <c r="A1397" i="6"/>
  <c r="A1525" i="6"/>
  <c r="A1645" i="6"/>
  <c r="A1773" i="6"/>
  <c r="A1901" i="6"/>
  <c r="A2029" i="6"/>
  <c r="A2157" i="6"/>
  <c r="A2285" i="6"/>
  <c r="A2413" i="6"/>
  <c r="A2652" i="6"/>
  <c r="A2780" i="6"/>
  <c r="A2908" i="6"/>
  <c r="A3036" i="6"/>
  <c r="A3164" i="6"/>
  <c r="A3292" i="6"/>
  <c r="A3420" i="6"/>
  <c r="A3519" i="6"/>
  <c r="A3647" i="6"/>
  <c r="A3775" i="6"/>
  <c r="A3903" i="6"/>
  <c r="A4031" i="6"/>
  <c r="A4159" i="6"/>
  <c r="A4287" i="6"/>
  <c r="A4415" i="6"/>
  <c r="A4543" i="6"/>
  <c r="A4671" i="6"/>
  <c r="A4799" i="6"/>
  <c r="A4927" i="6"/>
  <c r="A5055" i="6"/>
  <c r="A5183" i="6"/>
  <c r="A5368" i="6"/>
  <c r="A5496" i="6"/>
  <c r="A5624" i="6"/>
  <c r="A5752" i="6"/>
  <c r="A5880" i="6"/>
  <c r="A201" i="6"/>
  <c r="A219" i="6"/>
  <c r="A367" i="6"/>
  <c r="A495" i="6"/>
  <c r="A655" i="6"/>
  <c r="A736" i="6"/>
  <c r="A837" i="6"/>
  <c r="A965" i="6"/>
  <c r="A1093" i="6"/>
  <c r="A1306" i="6"/>
  <c r="A1434" i="6"/>
  <c r="A1562" i="6"/>
  <c r="A1748" i="6"/>
  <c r="A1876" i="6"/>
  <c r="A2004" i="6"/>
  <c r="A2132" i="6"/>
  <c r="A2260" i="6"/>
  <c r="A2388" i="6"/>
  <c r="A2516" i="6"/>
  <c r="A2633" i="6"/>
  <c r="A2761" i="6"/>
  <c r="A2889" i="6"/>
  <c r="A3017" i="6"/>
  <c r="A3145" i="6"/>
  <c r="A3273" i="6"/>
  <c r="A3401" i="6"/>
  <c r="A3516" i="6"/>
  <c r="A3644" i="6"/>
  <c r="A3772" i="6"/>
  <c r="A3900" i="6"/>
  <c r="A4028" i="6"/>
  <c r="A4156" i="6"/>
  <c r="A4284" i="6"/>
  <c r="A4412" i="6"/>
  <c r="A4540" i="6"/>
  <c r="A4668" i="6"/>
  <c r="A4796" i="6"/>
  <c r="A4924" i="6"/>
  <c r="A5052" i="6"/>
  <c r="A5180" i="6"/>
  <c r="A5279" i="6"/>
  <c r="A5407" i="6"/>
  <c r="A5535" i="6"/>
  <c r="A5663" i="6"/>
  <c r="A5791" i="6"/>
  <c r="A5919" i="6"/>
  <c r="A6047" i="6"/>
  <c r="A6175" i="6"/>
  <c r="A6303" i="6"/>
  <c r="A6431" i="6"/>
  <c r="A6559" i="6"/>
  <c r="A6687" i="6"/>
  <c r="A6815" i="6"/>
  <c r="A6943" i="6"/>
  <c r="A7071" i="6"/>
  <c r="A6092" i="6"/>
  <c r="A158" i="6"/>
  <c r="A338" i="6"/>
  <c r="A466" i="6"/>
  <c r="A548" i="6"/>
  <c r="A676" i="6"/>
  <c r="A751" i="6"/>
  <c r="A890" i="6"/>
  <c r="A1018" i="6"/>
  <c r="A1155" i="6"/>
  <c r="A1305" i="6"/>
  <c r="A1433" i="6"/>
  <c r="A1561" i="6"/>
  <c r="A1681" i="6"/>
  <c r="A1809" i="6"/>
  <c r="A1937" i="6"/>
  <c r="A2065" i="6"/>
  <c r="A2193" i="6"/>
  <c r="A2321" i="6"/>
  <c r="A2449" i="6"/>
  <c r="A2560" i="6"/>
  <c r="A2688" i="6"/>
  <c r="A2816" i="6"/>
  <c r="A2944" i="6"/>
  <c r="A3072" i="6"/>
  <c r="A3200" i="6"/>
  <c r="A3328" i="6"/>
  <c r="A3555" i="6"/>
  <c r="A3683" i="6"/>
  <c r="A3811" i="6"/>
  <c r="A3939" i="6"/>
  <c r="A4067" i="6"/>
  <c r="A4195" i="6"/>
  <c r="A4323" i="6"/>
  <c r="A4451" i="6"/>
  <c r="A4579" i="6"/>
  <c r="A4707" i="6"/>
  <c r="A4835" i="6"/>
  <c r="A4963" i="6"/>
  <c r="A5091" i="6"/>
  <c r="A5219" i="6"/>
  <c r="A5276" i="6"/>
  <c r="A5404" i="6"/>
  <c r="A5532" i="6"/>
  <c r="A5660" i="6"/>
  <c r="A5788" i="6"/>
  <c r="A5916" i="6"/>
  <c r="A181" i="6"/>
  <c r="A231" i="6"/>
  <c r="A379" i="6"/>
  <c r="A507" i="6"/>
  <c r="A667" i="6"/>
  <c r="A748" i="6"/>
  <c r="A849" i="6"/>
  <c r="A977" i="6"/>
  <c r="A1105" i="6"/>
  <c r="A1318" i="6"/>
  <c r="A1446" i="6"/>
  <c r="A1574" i="6"/>
  <c r="A1632" i="6"/>
  <c r="A1760" i="6"/>
  <c r="A1888" i="6"/>
  <c r="A2016" i="6"/>
  <c r="A2144" i="6"/>
  <c r="A2272" i="6"/>
  <c r="A2400" i="6"/>
  <c r="A2528" i="6"/>
  <c r="A2645" i="6"/>
  <c r="A2773" i="6"/>
  <c r="A2901" i="6"/>
  <c r="A3029" i="6"/>
  <c r="A3157" i="6"/>
  <c r="A3285" i="6"/>
  <c r="A3413" i="6"/>
  <c r="A3528" i="6"/>
  <c r="A3656" i="6"/>
  <c r="A3784" i="6"/>
  <c r="A3912" i="6"/>
  <c r="A4040" i="6"/>
  <c r="A4168" i="6"/>
  <c r="A4296" i="6"/>
  <c r="A4424" i="6"/>
  <c r="A4552" i="6"/>
  <c r="A4680" i="6"/>
  <c r="A4808" i="6"/>
  <c r="A4936" i="6"/>
  <c r="A5064" i="6"/>
  <c r="A5192" i="6"/>
  <c r="A5291" i="6"/>
  <c r="A5419" i="6"/>
  <c r="A5547" i="6"/>
  <c r="A5675" i="6"/>
  <c r="A5803" i="6"/>
  <c r="A5931" i="6"/>
  <c r="A6059" i="6"/>
  <c r="A6187" i="6"/>
  <c r="A6315" i="6"/>
  <c r="A6443" i="6"/>
  <c r="A6571" i="6"/>
  <c r="A6699" i="6"/>
  <c r="A6827" i="6"/>
  <c r="A6955" i="6"/>
  <c r="A7083" i="6"/>
  <c r="A6112" i="6"/>
  <c r="A6240" i="6"/>
  <c r="A6368" i="6"/>
  <c r="A6496" i="6"/>
  <c r="A6624" i="6"/>
  <c r="A6752" i="6"/>
  <c r="A6880" i="6"/>
  <c r="A7008" i="6"/>
  <c r="A7151" i="6"/>
  <c r="A7279" i="6"/>
  <c r="A7407" i="6"/>
  <c r="A7535" i="6"/>
  <c r="A7663" i="6"/>
  <c r="A7791" i="6"/>
  <c r="A7919" i="6"/>
  <c r="A8047" i="6"/>
  <c r="A8175" i="6"/>
  <c r="A8303" i="6"/>
  <c r="A8431" i="6"/>
  <c r="A8583" i="6"/>
  <c r="A246" i="6"/>
  <c r="A396" i="6"/>
  <c r="A524" i="6"/>
  <c r="A606" i="6"/>
  <c r="A820" i="6"/>
  <c r="A948" i="6"/>
  <c r="A1076" i="6"/>
  <c r="A1153" i="6"/>
  <c r="A1235" i="6"/>
  <c r="A1363" i="6"/>
  <c r="A1491" i="6"/>
  <c r="A1619" i="6"/>
  <c r="A1739" i="6"/>
  <c r="A1867" i="6"/>
  <c r="A1995" i="6"/>
  <c r="A2123" i="6"/>
  <c r="A2251" i="6"/>
  <c r="A2379" i="6"/>
  <c r="A2507" i="6"/>
  <c r="A2618" i="6"/>
  <c r="A2746" i="6"/>
  <c r="A2874" i="6"/>
  <c r="A3002" i="6"/>
  <c r="A3130" i="6"/>
  <c r="A3258" i="6"/>
  <c r="A3386" i="6"/>
  <c r="A3485" i="6"/>
  <c r="A3613" i="6"/>
  <c r="A3741" i="6"/>
  <c r="A3869" i="6"/>
  <c r="A3997" i="6"/>
  <c r="A4125" i="6"/>
  <c r="A4253" i="6"/>
  <c r="A4381" i="6"/>
  <c r="A4509" i="6"/>
  <c r="A4637" i="6"/>
  <c r="A4765" i="6"/>
  <c r="A4893" i="6"/>
  <c r="A5021" i="6"/>
  <c r="A5149" i="6"/>
  <c r="A5334" i="6"/>
  <c r="A5462" i="6"/>
  <c r="A5590" i="6"/>
  <c r="A5718" i="6"/>
  <c r="A5846" i="6"/>
  <c r="A5974" i="6"/>
  <c r="A6102" i="6"/>
  <c r="A6230" i="6"/>
  <c r="A6358" i="6"/>
  <c r="A6486" i="6"/>
  <c r="A6614" i="6"/>
  <c r="A6742" i="6"/>
  <c r="A6870" i="6"/>
  <c r="A6998" i="6"/>
  <c r="A7141" i="6"/>
  <c r="A7269" i="6"/>
  <c r="A7397" i="6"/>
  <c r="A7525" i="6"/>
  <c r="A7653" i="6"/>
  <c r="A7781" i="6"/>
  <c r="A7909" i="6"/>
  <c r="A8037" i="6"/>
  <c r="A7234" i="6"/>
  <c r="A7362" i="6"/>
  <c r="A7490" i="6"/>
  <c r="A7618" i="6"/>
  <c r="A7746" i="6"/>
  <c r="A7874" i="6"/>
  <c r="A8002" i="6"/>
  <c r="A8130" i="6"/>
  <c r="A8258" i="6"/>
  <c r="A8386" i="6"/>
  <c r="A8514" i="6"/>
  <c r="A8642" i="6"/>
  <c r="A353" i="6"/>
  <c r="A481" i="6"/>
  <c r="A641" i="6"/>
  <c r="A722" i="6"/>
  <c r="A823" i="6"/>
  <c r="A951" i="6"/>
  <c r="A1079" i="6"/>
  <c r="A1192" i="6"/>
  <c r="A1292" i="6"/>
  <c r="A1420" i="6"/>
  <c r="A1548" i="6"/>
  <c r="A1734" i="6"/>
  <c r="A1862" i="6"/>
  <c r="A1990" i="6"/>
  <c r="A2118" i="6"/>
  <c r="A2246" i="6"/>
  <c r="A2374" i="6"/>
  <c r="A2502" i="6"/>
  <c r="A2619" i="6"/>
  <c r="A2747" i="6"/>
  <c r="A2875" i="6"/>
  <c r="A3003" i="6"/>
  <c r="A3131" i="6"/>
  <c r="A3259" i="6"/>
  <c r="A3387" i="6"/>
  <c r="A3502" i="6"/>
  <c r="A3630" i="6"/>
  <c r="A3758" i="6"/>
  <c r="A3886" i="6"/>
  <c r="A4014" i="6"/>
  <c r="A4142" i="6"/>
  <c r="A4270" i="6"/>
  <c r="A4398" i="6"/>
  <c r="A4526" i="6"/>
  <c r="A4654" i="6"/>
  <c r="A4782" i="6"/>
  <c r="A4910" i="6"/>
  <c r="A5038" i="6"/>
  <c r="A5166" i="6"/>
  <c r="A5265" i="6"/>
  <c r="A5393" i="6"/>
  <c r="A5521" i="6"/>
  <c r="A5649" i="6"/>
  <c r="A5777" i="6"/>
  <c r="A5905" i="6"/>
  <c r="A6033" i="6"/>
  <c r="A6161" i="6"/>
  <c r="A6289" i="6"/>
  <c r="A6417" i="6"/>
  <c r="A6545" i="6"/>
  <c r="A6673" i="6"/>
  <c r="A6801" i="6"/>
  <c r="A6929" i="6"/>
  <c r="A7057" i="6"/>
  <c r="A7136" i="6"/>
  <c r="A7264" i="6"/>
  <c r="A7392" i="6"/>
  <c r="A7520" i="6"/>
  <c r="A7648" i="6"/>
  <c r="A7776" i="6"/>
  <c r="A7904" i="6"/>
  <c r="A8032" i="6"/>
  <c r="A8160" i="6"/>
  <c r="A8288" i="6"/>
  <c r="A8416" i="6"/>
  <c r="A8544" i="6"/>
  <c r="A8672" i="6"/>
  <c r="A6172" i="6"/>
  <c r="A6300" i="6"/>
  <c r="A6428" i="6"/>
  <c r="A6556" i="6"/>
  <c r="A6684" i="6"/>
  <c r="A6812" i="6"/>
  <c r="A6940" i="6"/>
  <c r="A7068" i="6"/>
  <c r="A7211" i="6"/>
  <c r="A7339" i="6"/>
  <c r="A7467" i="6"/>
  <c r="A7595" i="6"/>
  <c r="A7723" i="6"/>
  <c r="A7851" i="6"/>
  <c r="A7979" i="6"/>
  <c r="A8107" i="6"/>
  <c r="A8235" i="6"/>
  <c r="A8363" i="6"/>
  <c r="A8491" i="6"/>
  <c r="A8703" i="6"/>
  <c r="A188" i="6"/>
  <c r="A218" i="6"/>
  <c r="A368" i="6"/>
  <c r="A496" i="6"/>
  <c r="A578" i="6"/>
  <c r="A706" i="6"/>
  <c r="A792" i="6"/>
  <c r="A920" i="6"/>
  <c r="A1048" i="6"/>
  <c r="A1207" i="6"/>
  <c r="A1335" i="6"/>
  <c r="A1463" i="6"/>
  <c r="A1591" i="6"/>
  <c r="A1711" i="6"/>
  <c r="A1839" i="6"/>
  <c r="A1967" i="6"/>
  <c r="A2095" i="6"/>
  <c r="A2223" i="6"/>
  <c r="A2351" i="6"/>
  <c r="A2479" i="6"/>
  <c r="A2590" i="6"/>
  <c r="A2718" i="6"/>
  <c r="A2846" i="6"/>
  <c r="A2974" i="6"/>
  <c r="A3102" i="6"/>
  <c r="A3230" i="6"/>
  <c r="A3358" i="6"/>
  <c r="A3457" i="6"/>
  <c r="A3585" i="6"/>
  <c r="A3713" i="6"/>
  <c r="A3841" i="6"/>
  <c r="A3969" i="6"/>
  <c r="A4097" i="6"/>
  <c r="A4225" i="6"/>
  <c r="A4353" i="6"/>
  <c r="A4481" i="6"/>
  <c r="A4609" i="6"/>
  <c r="A4737" i="6"/>
  <c r="A4865" i="6"/>
  <c r="A4993" i="6"/>
  <c r="A5121" i="6"/>
  <c r="A5249" i="6"/>
  <c r="A5306" i="6"/>
  <c r="A5434" i="6"/>
  <c r="A5562" i="6"/>
  <c r="A5690" i="6"/>
  <c r="A5818" i="6"/>
  <c r="A5946" i="6"/>
  <c r="A6074" i="6"/>
  <c r="A6202" i="6"/>
  <c r="A6330" i="6"/>
  <c r="A6458" i="6"/>
  <c r="A6586" i="6"/>
  <c r="A6714" i="6"/>
  <c r="A6842" i="6"/>
  <c r="A6970" i="6"/>
  <c r="A7114" i="6"/>
  <c r="A7100" i="6"/>
  <c r="A7241" i="6"/>
  <c r="A7369" i="6"/>
  <c r="A7497" i="6"/>
  <c r="A7625" i="6"/>
  <c r="A7753" i="6"/>
  <c r="A7881" i="6"/>
  <c r="A8009" i="6"/>
  <c r="A8137" i="6"/>
  <c r="A8265" i="6"/>
  <c r="A8393" i="6"/>
  <c r="A8521" i="6"/>
  <c r="A8649" i="6"/>
  <c r="A8595" i="6"/>
  <c r="A7206" i="6"/>
  <c r="A7334" i="6"/>
  <c r="A7462" i="6"/>
  <c r="A7590" i="6"/>
  <c r="A7718" i="6"/>
  <c r="A7846" i="6"/>
  <c r="A7974" i="6"/>
  <c r="A8102" i="6"/>
  <c r="A8230" i="6"/>
  <c r="A8358" i="6"/>
  <c r="A8486" i="6"/>
  <c r="A8614" i="6"/>
  <c r="A8742" i="6"/>
  <c r="A349" i="6"/>
  <c r="A477" i="6"/>
  <c r="A637" i="6"/>
  <c r="A718" i="6"/>
  <c r="A819" i="6"/>
  <c r="A947" i="6"/>
  <c r="A1075" i="6"/>
  <c r="A1188" i="6"/>
  <c r="A1288" i="6"/>
  <c r="A1416" i="6"/>
  <c r="A1544" i="6"/>
  <c r="A1730" i="6"/>
  <c r="A1858" i="6"/>
  <c r="A1986" i="6"/>
  <c r="A2114" i="6"/>
  <c r="A2242" i="6"/>
  <c r="A2370" i="6"/>
  <c r="A2498" i="6"/>
  <c r="A2615" i="6"/>
  <c r="A2743" i="6"/>
  <c r="A2871" i="6"/>
  <c r="A2999" i="6"/>
  <c r="A3127" i="6"/>
  <c r="A3255" i="6"/>
  <c r="A3383" i="6"/>
  <c r="A3498" i="6"/>
  <c r="A3626" i="6"/>
  <c r="A3754" i="6"/>
  <c r="A3882" i="6"/>
  <c r="A4010" i="6"/>
  <c r="A4138" i="6"/>
  <c r="A4266" i="6"/>
  <c r="A4394" i="6"/>
  <c r="A4522" i="6"/>
  <c r="A4650" i="6"/>
  <c r="A4778" i="6"/>
  <c r="A4906" i="6"/>
  <c r="A5034" i="6"/>
  <c r="A5162" i="6"/>
  <c r="A5389" i="6"/>
  <c r="A5517" i="6"/>
  <c r="A5645" i="6"/>
  <c r="A5773" i="6"/>
  <c r="A5901" i="6"/>
  <c r="A6029" i="6"/>
  <c r="A6157" i="6"/>
  <c r="A6285" i="6"/>
  <c r="A6413" i="6"/>
  <c r="A6541" i="6"/>
  <c r="A6669" i="6"/>
  <c r="A6797" i="6"/>
  <c r="A6925" i="6"/>
  <c r="A7053" i="6"/>
  <c r="A7132" i="6"/>
  <c r="A7260" i="6"/>
  <c r="A7388" i="6"/>
  <c r="A7516" i="6"/>
  <c r="A7644" i="6"/>
  <c r="A7772" i="6"/>
  <c r="A7900" i="6"/>
  <c r="A8028" i="6"/>
  <c r="A8156" i="6"/>
  <c r="A8284" i="6"/>
  <c r="A8412" i="6"/>
  <c r="A8540" i="6"/>
  <c r="A8668" i="6"/>
  <c r="A5936" i="6"/>
  <c r="A1317" i="6"/>
  <c r="A1445" i="6"/>
  <c r="A1573" i="6"/>
  <c r="A1693" i="6"/>
  <c r="A1821" i="6"/>
  <c r="A1949" i="6"/>
  <c r="A2077" i="6"/>
  <c r="A2205" i="6"/>
  <c r="A2333" i="6"/>
  <c r="A2461" i="6"/>
  <c r="A2572" i="6"/>
  <c r="A2700" i="6"/>
  <c r="A2828" i="6"/>
  <c r="A2956" i="6"/>
  <c r="A3084" i="6"/>
  <c r="A3212" i="6"/>
  <c r="A3340" i="6"/>
  <c r="A3567" i="6"/>
  <c r="A3695" i="6"/>
  <c r="A3823" i="6"/>
  <c r="A3951" i="6"/>
  <c r="A4079" i="6"/>
  <c r="A4207" i="6"/>
  <c r="A4335" i="6"/>
  <c r="A4463" i="6"/>
  <c r="A4591" i="6"/>
  <c r="A4719" i="6"/>
  <c r="A4847" i="6"/>
  <c r="A4975" i="6"/>
  <c r="A5103" i="6"/>
  <c r="A5231" i="6"/>
  <c r="A5288" i="6"/>
  <c r="A5416" i="6"/>
  <c r="A5544" i="6"/>
  <c r="A5672" i="6"/>
  <c r="A5800" i="6"/>
  <c r="A5928" i="6"/>
  <c r="A185" i="6"/>
  <c r="A235" i="6"/>
  <c r="A383" i="6"/>
  <c r="A511" i="6"/>
  <c r="A671" i="6"/>
  <c r="A752" i="6"/>
  <c r="A853" i="6"/>
  <c r="A981" i="6"/>
  <c r="A1109" i="6"/>
  <c r="A1322" i="6"/>
  <c r="A1450" i="6"/>
  <c r="A1578" i="6"/>
  <c r="A1636" i="6"/>
  <c r="A1764" i="6"/>
  <c r="A1892" i="6"/>
  <c r="A2020" i="6"/>
  <c r="A2148" i="6"/>
  <c r="A2276" i="6"/>
  <c r="A2404" i="6"/>
  <c r="A2649" i="6"/>
  <c r="A2777" i="6"/>
  <c r="A2905" i="6"/>
  <c r="A3033" i="6"/>
  <c r="A3161" i="6"/>
  <c r="A3289" i="6"/>
  <c r="A3417" i="6"/>
  <c r="A3532" i="6"/>
  <c r="A3660" i="6"/>
  <c r="A3788" i="6"/>
  <c r="A3916" i="6"/>
  <c r="A4044" i="6"/>
  <c r="A4172" i="6"/>
  <c r="A4300" i="6"/>
  <c r="A4428" i="6"/>
  <c r="A4556" i="6"/>
  <c r="A4684" i="6"/>
  <c r="A4812" i="6"/>
  <c r="A4940" i="6"/>
  <c r="A5068" i="6"/>
  <c r="A5196" i="6"/>
  <c r="A5295" i="6"/>
  <c r="A5423" i="6"/>
  <c r="A5551" i="6"/>
  <c r="A5679" i="6"/>
  <c r="A5807" i="6"/>
  <c r="A5935" i="6"/>
  <c r="A6063" i="6"/>
  <c r="A6191" i="6"/>
  <c r="A6319" i="6"/>
  <c r="A6447" i="6"/>
  <c r="A6575" i="6"/>
  <c r="A6703" i="6"/>
  <c r="A6831" i="6"/>
  <c r="A6959" i="6"/>
  <c r="A7087" i="6"/>
  <c r="A174" i="6"/>
  <c r="A323" i="6"/>
  <c r="A354" i="6"/>
  <c r="A482" i="6"/>
  <c r="A564" i="6"/>
  <c r="A692" i="6"/>
  <c r="A778" i="6"/>
  <c r="A906" i="6"/>
  <c r="A1034" i="6"/>
  <c r="A1187" i="6"/>
  <c r="A1321" i="6"/>
  <c r="A1449" i="6"/>
  <c r="A1577" i="6"/>
  <c r="A1697" i="6"/>
  <c r="A1825" i="6"/>
  <c r="A1953" i="6"/>
  <c r="A2081" i="6"/>
  <c r="A2209" i="6"/>
  <c r="A2337" i="6"/>
  <c r="A2465" i="6"/>
  <c r="A2576" i="6"/>
  <c r="A2704" i="6"/>
  <c r="A2832" i="6"/>
  <c r="A2960" i="6"/>
  <c r="A3088" i="6"/>
  <c r="A3216" i="6"/>
  <c r="A3344" i="6"/>
  <c r="A3443" i="6"/>
  <c r="A3571" i="6"/>
  <c r="A3699" i="6"/>
  <c r="A3827" i="6"/>
  <c r="A3955" i="6"/>
  <c r="A4083" i="6"/>
  <c r="A4211" i="6"/>
  <c r="A4339" i="6"/>
  <c r="A4467" i="6"/>
  <c r="A4595" i="6"/>
  <c r="A4723" i="6"/>
  <c r="A4851" i="6"/>
  <c r="A4979" i="6"/>
  <c r="A5107" i="6"/>
  <c r="A5235" i="6"/>
  <c r="A5292" i="6"/>
  <c r="A5420" i="6"/>
  <c r="A5548" i="6"/>
  <c r="A5676" i="6"/>
  <c r="A5804" i="6"/>
  <c r="A5932" i="6"/>
  <c r="A5952" i="6"/>
  <c r="A307" i="6"/>
  <c r="A327" i="6"/>
  <c r="A455" i="6"/>
  <c r="A615" i="6"/>
  <c r="A797" i="6"/>
  <c r="A925" i="6"/>
  <c r="A1053" i="6"/>
  <c r="A1166" i="6"/>
  <c r="A1266" i="6"/>
  <c r="A1394" i="6"/>
  <c r="A1522" i="6"/>
  <c r="A1708" i="6"/>
  <c r="A1836" i="6"/>
  <c r="A1964" i="6"/>
  <c r="A2092" i="6"/>
  <c r="A2220" i="6"/>
  <c r="A2348" i="6"/>
  <c r="A2476" i="6"/>
  <c r="A2593" i="6"/>
  <c r="A2721" i="6"/>
  <c r="A2849" i="6"/>
  <c r="A2977" i="6"/>
  <c r="A3105" i="6"/>
  <c r="A3233" i="6"/>
  <c r="A3361" i="6"/>
  <c r="A3476" i="6"/>
  <c r="A3604" i="6"/>
  <c r="A3732" i="6"/>
  <c r="A3860" i="6"/>
  <c r="A3988" i="6"/>
  <c r="A4116" i="6"/>
  <c r="A4244" i="6"/>
  <c r="A4372" i="6"/>
  <c r="A4500" i="6"/>
  <c r="A4628" i="6"/>
  <c r="A4756" i="6"/>
  <c r="A4884" i="6"/>
  <c r="A5012" i="6"/>
  <c r="A5140" i="6"/>
  <c r="A5367" i="6"/>
  <c r="A5495" i="6"/>
  <c r="A5623" i="6"/>
  <c r="A5751" i="6"/>
  <c r="A5879" i="6"/>
  <c r="A6007" i="6"/>
  <c r="A6135" i="6"/>
  <c r="A6263" i="6"/>
  <c r="A6391" i="6"/>
  <c r="A6519" i="6"/>
  <c r="A6647" i="6"/>
  <c r="A6775" i="6"/>
  <c r="A6903" i="6"/>
  <c r="A7031" i="6"/>
  <c r="A276" i="6"/>
  <c r="A426" i="6"/>
  <c r="A636" i="6"/>
  <c r="A850" i="6"/>
  <c r="A978" i="6"/>
  <c r="A1106" i="6"/>
  <c r="A1265" i="6"/>
  <c r="A1393" i="6"/>
  <c r="A1521" i="6"/>
  <c r="A1641" i="6"/>
  <c r="A1769" i="6"/>
  <c r="A1897" i="6"/>
  <c r="A2025" i="6"/>
  <c r="A2153" i="6"/>
  <c r="A2281" i="6"/>
  <c r="A2409" i="6"/>
  <c r="A2530" i="6"/>
  <c r="A2648" i="6"/>
  <c r="A2776" i="6"/>
  <c r="A2904" i="6"/>
  <c r="A3032" i="6"/>
  <c r="A3160" i="6"/>
  <c r="A3288" i="6"/>
  <c r="A3416" i="6"/>
  <c r="A3515" i="6"/>
  <c r="A3643" i="6"/>
  <c r="A3771" i="6"/>
  <c r="A3899" i="6"/>
  <c r="A4027" i="6"/>
  <c r="A4155" i="6"/>
  <c r="A4283" i="6"/>
  <c r="A4411" i="6"/>
  <c r="A4539" i="6"/>
  <c r="A4667" i="6"/>
  <c r="A4795" i="6"/>
  <c r="A4923" i="6"/>
  <c r="A5051" i="6"/>
  <c r="A5179" i="6"/>
  <c r="A5364" i="6"/>
  <c r="A5492" i="6"/>
  <c r="A5620" i="6"/>
  <c r="A5748" i="6"/>
  <c r="A5876" i="6"/>
  <c r="A5848" i="6"/>
  <c r="A5976" i="6"/>
  <c r="A335" i="6"/>
  <c r="A463" i="6"/>
  <c r="A623" i="6"/>
  <c r="A805" i="6"/>
  <c r="A933" i="6"/>
  <c r="A1061" i="6"/>
  <c r="A1174" i="6"/>
  <c r="A1274" i="6"/>
  <c r="A1402" i="6"/>
  <c r="A1530" i="6"/>
  <c r="A149" i="6"/>
  <c r="A263" i="6"/>
  <c r="A411" i="6"/>
  <c r="A539" i="6"/>
  <c r="A571" i="6"/>
  <c r="A699" i="6"/>
  <c r="A881" i="6"/>
  <c r="A1009" i="6"/>
  <c r="A1137" i="6"/>
  <c r="A1222" i="6"/>
  <c r="A1350" i="6"/>
  <c r="A1478" i="6"/>
  <c r="A1606" i="6"/>
  <c r="A1664" i="6"/>
  <c r="A1792" i="6"/>
  <c r="A1920" i="6"/>
  <c r="A2048" i="6"/>
  <c r="A2176" i="6"/>
  <c r="A2304" i="6"/>
  <c r="A2432" i="6"/>
  <c r="A2549" i="6"/>
  <c r="A2677" i="6"/>
  <c r="A2805" i="6"/>
  <c r="A2933" i="6"/>
  <c r="A3061" i="6"/>
  <c r="A3189" i="6"/>
  <c r="A3317" i="6"/>
  <c r="A3560" i="6"/>
  <c r="A3688" i="6"/>
  <c r="A3816" i="6"/>
  <c r="A3944" i="6"/>
  <c r="A4072" i="6"/>
  <c r="A4200" i="6"/>
  <c r="A4328" i="6"/>
  <c r="A4456" i="6"/>
  <c r="A4584" i="6"/>
  <c r="A4712" i="6"/>
  <c r="A4840" i="6"/>
  <c r="A4968" i="6"/>
  <c r="A5096" i="6"/>
  <c r="A5224" i="6"/>
  <c r="A5323" i="6"/>
  <c r="A5451" i="6"/>
  <c r="A5579" i="6"/>
  <c r="A5707" i="6"/>
  <c r="A5835" i="6"/>
  <c r="A5963" i="6"/>
  <c r="A6091" i="6"/>
  <c r="A6219" i="6"/>
  <c r="A6347" i="6"/>
  <c r="A6475" i="6"/>
  <c r="A6603" i="6"/>
  <c r="A6731" i="6"/>
  <c r="A6859" i="6"/>
  <c r="A6987" i="6"/>
  <c r="A7115" i="6"/>
  <c r="A8133" i="6"/>
  <c r="A8261" i="6"/>
  <c r="A8389" i="6"/>
  <c r="A8517" i="6"/>
  <c r="A8645" i="6"/>
  <c r="A8587" i="6"/>
  <c r="A6140" i="6"/>
  <c r="A6268" i="6"/>
  <c r="A6396" i="6"/>
  <c r="A6524" i="6"/>
  <c r="A6652" i="6"/>
  <c r="A6780" i="6"/>
  <c r="A6908" i="6"/>
  <c r="A7036" i="6"/>
  <c r="A7179" i="6"/>
  <c r="A7307" i="6"/>
  <c r="A7435" i="6"/>
  <c r="A7563" i="6"/>
  <c r="A7691" i="6"/>
  <c r="A7819" i="6"/>
  <c r="A7947" i="6"/>
  <c r="A8075" i="6"/>
  <c r="A8203" i="6"/>
  <c r="A8331" i="6"/>
  <c r="A8459" i="6"/>
  <c r="A8639" i="6"/>
  <c r="A156" i="6"/>
  <c r="A336" i="6"/>
  <c r="A464" i="6"/>
  <c r="A546" i="6"/>
  <c r="A674" i="6"/>
  <c r="A747" i="6"/>
  <c r="A888" i="6"/>
  <c r="A1016" i="6"/>
  <c r="A1151" i="6"/>
  <c r="A1303" i="6"/>
  <c r="A1431" i="6"/>
  <c r="A1559" i="6"/>
  <c r="A1679" i="6"/>
  <c r="A1807" i="6"/>
  <c r="A1935" i="6"/>
  <c r="A2063" i="6"/>
  <c r="A2191" i="6"/>
  <c r="A2319" i="6"/>
  <c r="A2447" i="6"/>
  <c r="A2558" i="6"/>
  <c r="A2686" i="6"/>
  <c r="A2814" i="6"/>
  <c r="A2942" i="6"/>
  <c r="A3070" i="6"/>
  <c r="A3198" i="6"/>
  <c r="A3326" i="6"/>
  <c r="A3553" i="6"/>
  <c r="A3681" i="6"/>
  <c r="A3809" i="6"/>
  <c r="A3937" i="6"/>
  <c r="A4065" i="6"/>
  <c r="A4193" i="6"/>
  <c r="A4321" i="6"/>
  <c r="A4449" i="6"/>
  <c r="A4577" i="6"/>
  <c r="A4705" i="6"/>
  <c r="A4833" i="6"/>
  <c r="A4961" i="6"/>
  <c r="A5089" i="6"/>
  <c r="A5217" i="6"/>
  <c r="A5274" i="6"/>
  <c r="A5402" i="6"/>
  <c r="A5530" i="6"/>
  <c r="A5658" i="6"/>
  <c r="A5786" i="6"/>
  <c r="A5914" i="6"/>
  <c r="A6042" i="6"/>
  <c r="A6170" i="6"/>
  <c r="A6298" i="6"/>
  <c r="A6426" i="6"/>
  <c r="A6554" i="6"/>
  <c r="A6682" i="6"/>
  <c r="A6810" i="6"/>
  <c r="A6938" i="6"/>
  <c r="A7066" i="6"/>
  <c r="A7209" i="6"/>
  <c r="A7337" i="6"/>
  <c r="A7465" i="6"/>
  <c r="A7593" i="6"/>
  <c r="A7721" i="6"/>
  <c r="A7849" i="6"/>
  <c r="A7977" i="6"/>
  <c r="A8105" i="6"/>
  <c r="A8233" i="6"/>
  <c r="A8361" i="6"/>
  <c r="A8489" i="6"/>
  <c r="A8617" i="6"/>
  <c r="A8757" i="6"/>
  <c r="A7174" i="6"/>
  <c r="A7302" i="6"/>
  <c r="A7430" i="6"/>
  <c r="A7558" i="6"/>
  <c r="A7686" i="6"/>
  <c r="A7814" i="6"/>
  <c r="A7942" i="6"/>
  <c r="A8070" i="6"/>
  <c r="A8198" i="6"/>
  <c r="A8326" i="6"/>
  <c r="A8454" i="6"/>
  <c r="A8582" i="6"/>
  <c r="A8710" i="6"/>
  <c r="A183" i="6"/>
  <c r="A233" i="6"/>
  <c r="A381" i="6"/>
  <c r="A509" i="6"/>
  <c r="A669" i="6"/>
  <c r="A750" i="6"/>
  <c r="A851" i="6"/>
  <c r="A979" i="6"/>
  <c r="A1107" i="6"/>
  <c r="A1320" i="6"/>
  <c r="A1448" i="6"/>
  <c r="A1576" i="6"/>
  <c r="A1634" i="6"/>
  <c r="A1762" i="6"/>
  <c r="A1890" i="6"/>
  <c r="A2018" i="6"/>
  <c r="A2146" i="6"/>
  <c r="A2274" i="6"/>
  <c r="A2402" i="6"/>
  <c r="A2647" i="6"/>
  <c r="A2775" i="6"/>
  <c r="A2903" i="6"/>
  <c r="A3031" i="6"/>
  <c r="A3159" i="6"/>
  <c r="A3287" i="6"/>
  <c r="A3415" i="6"/>
  <c r="A3530" i="6"/>
  <c r="A3658" i="6"/>
  <c r="A3786" i="6"/>
  <c r="A3914" i="6"/>
  <c r="A4042" i="6"/>
  <c r="A4170" i="6"/>
  <c r="A4298" i="6"/>
  <c r="A4426" i="6"/>
  <c r="A4554" i="6"/>
  <c r="A4682" i="6"/>
  <c r="A4810" i="6"/>
  <c r="A4938" i="6"/>
  <c r="A5066" i="6"/>
  <c r="A5194" i="6"/>
  <c r="A5293" i="6"/>
  <c r="A5421" i="6"/>
  <c r="A5549" i="6"/>
  <c r="A5677" i="6"/>
  <c r="A5805" i="6"/>
  <c r="A5933" i="6"/>
  <c r="A6061" i="6"/>
  <c r="A6189" i="6"/>
  <c r="A6317" i="6"/>
  <c r="A6445" i="6"/>
  <c r="A6573" i="6"/>
  <c r="A6701" i="6"/>
  <c r="A6829" i="6"/>
  <c r="A6957" i="6"/>
  <c r="A7085" i="6"/>
  <c r="A7164" i="6"/>
  <c r="A7292" i="6"/>
  <c r="A7420" i="6"/>
  <c r="A7548" i="6"/>
  <c r="A7676" i="6"/>
  <c r="A7804" i="6"/>
  <c r="A7932" i="6"/>
  <c r="A8060" i="6"/>
  <c r="A8188" i="6"/>
  <c r="A8316" i="6"/>
  <c r="A8444" i="6"/>
  <c r="A8572" i="6"/>
  <c r="A8700" i="6"/>
  <c r="A5968" i="6"/>
  <c r="A343" i="6"/>
  <c r="A471" i="6"/>
  <c r="A631" i="6"/>
  <c r="A813" i="6"/>
  <c r="A941" i="6"/>
  <c r="A1069" i="6"/>
  <c r="A1182" i="6"/>
  <c r="A1282" i="6"/>
  <c r="A1410" i="6"/>
  <c r="A1538" i="6"/>
  <c r="A1724" i="6"/>
  <c r="A1852" i="6"/>
  <c r="A1980" i="6"/>
  <c r="A2108" i="6"/>
  <c r="A2236" i="6"/>
  <c r="A2364" i="6"/>
  <c r="A2492" i="6"/>
  <c r="A2609" i="6"/>
  <c r="A2737" i="6"/>
  <c r="A2865" i="6"/>
  <c r="A2993" i="6"/>
  <c r="A3121" i="6"/>
  <c r="A3249" i="6"/>
  <c r="A3377" i="6"/>
  <c r="A3492" i="6"/>
  <c r="A3620" i="6"/>
  <c r="A3748" i="6"/>
  <c r="A3876" i="6"/>
  <c r="A4004" i="6"/>
  <c r="A4132" i="6"/>
  <c r="A4260" i="6"/>
  <c r="A4388" i="6"/>
  <c r="A4516" i="6"/>
  <c r="A4644" i="6"/>
  <c r="A4772" i="6"/>
  <c r="A4900" i="6"/>
  <c r="A5028" i="6"/>
  <c r="A5156" i="6"/>
  <c r="A5383" i="6"/>
  <c r="A5511" i="6"/>
  <c r="A5639" i="6"/>
  <c r="A5767" i="6"/>
  <c r="A5895" i="6"/>
  <c r="A6023" i="6"/>
  <c r="A6151" i="6"/>
  <c r="A6279" i="6"/>
  <c r="A6407" i="6"/>
  <c r="A6535" i="6"/>
  <c r="A6663" i="6"/>
  <c r="A6791" i="6"/>
  <c r="A6919" i="6"/>
  <c r="A7047" i="6"/>
  <c r="A5992" i="6"/>
  <c r="A6072" i="6"/>
  <c r="A6200" i="6"/>
  <c r="A6328" i="6"/>
  <c r="A6456" i="6"/>
  <c r="A6584" i="6"/>
  <c r="A6712" i="6"/>
  <c r="A6840" i="6"/>
  <c r="A6968" i="6"/>
  <c r="A7110" i="6"/>
  <c r="A7096" i="6"/>
  <c r="A7239" i="6"/>
  <c r="A7367" i="6"/>
  <c r="A7495" i="6"/>
  <c r="A7623" i="6"/>
  <c r="A7751" i="6"/>
  <c r="A7879" i="6"/>
  <c r="A8007" i="6"/>
  <c r="A8135" i="6"/>
  <c r="A8263" i="6"/>
  <c r="A8391" i="6"/>
  <c r="A8519" i="6"/>
  <c r="A270" i="6"/>
  <c r="A420" i="6"/>
  <c r="A630" i="6"/>
  <c r="A844" i="6"/>
  <c r="A972" i="6"/>
  <c r="A1100" i="6"/>
  <c r="A1259" i="6"/>
  <c r="A1387" i="6"/>
  <c r="A1515" i="6"/>
  <c r="A1635" i="6"/>
  <c r="A1763" i="6"/>
  <c r="A1891" i="6"/>
  <c r="A2019" i="6"/>
  <c r="A2147" i="6"/>
  <c r="A2275" i="6"/>
  <c r="A2403" i="6"/>
  <c r="A2642" i="6"/>
  <c r="A2770" i="6"/>
  <c r="A2898" i="6"/>
  <c r="A3026" i="6"/>
  <c r="A3154" i="6"/>
  <c r="A3282" i="6"/>
  <c r="A3410" i="6"/>
  <c r="A3509" i="6"/>
  <c r="A3637" i="6"/>
  <c r="A3765" i="6"/>
  <c r="A3893" i="6"/>
  <c r="A4021" i="6"/>
  <c r="A4149" i="6"/>
  <c r="A4277" i="6"/>
  <c r="A4405" i="6"/>
  <c r="A4533" i="6"/>
  <c r="A4661" i="6"/>
  <c r="A4789" i="6"/>
  <c r="A4917" i="6"/>
  <c r="A5045" i="6"/>
  <c r="A5173" i="6"/>
  <c r="A5358" i="6"/>
  <c r="A5486" i="6"/>
  <c r="A5614" i="6"/>
  <c r="A5742" i="6"/>
  <c r="A5870" i="6"/>
  <c r="A5998" i="6"/>
  <c r="A6126" i="6"/>
  <c r="A6254" i="6"/>
  <c r="A6382" i="6"/>
  <c r="A6510" i="6"/>
  <c r="A6638" i="6"/>
  <c r="A6766" i="6"/>
  <c r="A6894" i="6"/>
  <c r="A7022" i="6"/>
  <c r="A7165" i="6"/>
  <c r="A7293" i="6"/>
  <c r="A7421" i="6"/>
  <c r="A7549" i="6"/>
  <c r="A7677" i="6"/>
  <c r="A7805" i="6"/>
  <c r="A7933" i="6"/>
  <c r="A8061" i="6"/>
  <c r="A8189" i="6"/>
  <c r="A8317" i="6"/>
  <c r="A8445" i="6"/>
  <c r="A8573" i="6"/>
  <c r="A8701" i="6"/>
  <c r="A8699" i="6"/>
  <c r="A7130" i="6"/>
  <c r="A7258" i="6"/>
  <c r="A7386" i="6"/>
  <c r="A7514" i="6"/>
  <c r="A7642" i="6"/>
  <c r="A7770" i="6"/>
  <c r="A7898" i="6"/>
  <c r="A8026" i="6"/>
  <c r="A8154" i="6"/>
  <c r="A8282" i="6"/>
  <c r="A8410" i="6"/>
  <c r="A8538" i="6"/>
  <c r="A8666" i="6"/>
  <c r="A147" i="6"/>
  <c r="A293" i="6"/>
  <c r="A322" i="6"/>
  <c r="A441" i="6"/>
  <c r="A601" i="6"/>
  <c r="A783" i="6"/>
  <c r="A911" i="6"/>
  <c r="A1039" i="6"/>
  <c r="A1152" i="6"/>
  <c r="A1252" i="6"/>
  <c r="A1380" i="6"/>
  <c r="A1508" i="6"/>
  <c r="A1694" i="6"/>
  <c r="A1822" i="6"/>
  <c r="A1950" i="6"/>
  <c r="A2078" i="6"/>
  <c r="A2206" i="6"/>
  <c r="A2334" i="6"/>
  <c r="A2462" i="6"/>
  <c r="A2579" i="6"/>
  <c r="A2707" i="6"/>
  <c r="A2835" i="6"/>
  <c r="A2963" i="6"/>
  <c r="A3091" i="6"/>
  <c r="A3219" i="6"/>
  <c r="A3347" i="6"/>
  <c r="A3462" i="6"/>
  <c r="A3590" i="6"/>
  <c r="A3718" i="6"/>
  <c r="A3846" i="6"/>
  <c r="A3974" i="6"/>
  <c r="A4102" i="6"/>
  <c r="A4230" i="6"/>
  <c r="A4358" i="6"/>
  <c r="A4486" i="6"/>
  <c r="A4614" i="6"/>
  <c r="A4742" i="6"/>
  <c r="A4870" i="6"/>
  <c r="A4998" i="6"/>
  <c r="A5126" i="6"/>
  <c r="A5254" i="6"/>
  <c r="A5353" i="6"/>
  <c r="A5481" i="6"/>
  <c r="A5609" i="6"/>
  <c r="A5737" i="6"/>
  <c r="A5865" i="6"/>
  <c r="A5993" i="6"/>
  <c r="A6121" i="6"/>
  <c r="A6249" i="6"/>
  <c r="A6377" i="6"/>
  <c r="A6505" i="6"/>
  <c r="A6633" i="6"/>
  <c r="A6761" i="6"/>
  <c r="A6889" i="6"/>
  <c r="A7017" i="6"/>
  <c r="A7224" i="6"/>
  <c r="A7352" i="6"/>
  <c r="A7480" i="6"/>
  <c r="A7608" i="6"/>
  <c r="A7736" i="6"/>
  <c r="A7864" i="6"/>
  <c r="A7992" i="6"/>
  <c r="A8120" i="6"/>
  <c r="A8248" i="6"/>
  <c r="A8376" i="6"/>
  <c r="A8504" i="6"/>
  <c r="A8632" i="6"/>
  <c r="A8760" i="6"/>
  <c r="A6132" i="6"/>
  <c r="A6260" i="6"/>
  <c r="A6388" i="6"/>
  <c r="A6516" i="6"/>
  <c r="A6644" i="6"/>
  <c r="A6772" i="6"/>
  <c r="A6900" i="6"/>
  <c r="A7028" i="6"/>
  <c r="A7171" i="6"/>
  <c r="A7299" i="6"/>
  <c r="A7427" i="6"/>
  <c r="A7555" i="6"/>
  <c r="A7683" i="6"/>
  <c r="A7811" i="6"/>
  <c r="A7939" i="6"/>
  <c r="A8067" i="6"/>
  <c r="A8195" i="6"/>
  <c r="A8323" i="6"/>
  <c r="A8451" i="6"/>
  <c r="A8623" i="6"/>
  <c r="A180" i="6"/>
  <c r="A360" i="6"/>
  <c r="A488" i="6"/>
  <c r="A570" i="6"/>
  <c r="A698" i="6"/>
  <c r="A784" i="6"/>
  <c r="A912" i="6"/>
  <c r="A1040" i="6"/>
  <c r="A1199" i="6"/>
  <c r="A1327" i="6"/>
  <c r="A1455" i="6"/>
  <c r="A1583" i="6"/>
  <c r="A1703" i="6"/>
  <c r="A1831" i="6"/>
  <c r="A1959" i="6"/>
  <c r="A2087" i="6"/>
  <c r="A2215" i="6"/>
  <c r="A2343" i="6"/>
  <c r="A2471" i="6"/>
  <c r="A2582" i="6"/>
  <c r="A2710" i="6"/>
  <c r="A2838" i="6"/>
  <c r="A2966" i="6"/>
  <c r="A3094" i="6"/>
  <c r="A3222" i="6"/>
  <c r="A3350" i="6"/>
  <c r="A3449" i="6"/>
  <c r="A3577" i="6"/>
  <c r="A3705" i="6"/>
  <c r="A3833" i="6"/>
  <c r="A3961" i="6"/>
  <c r="A4089" i="6"/>
  <c r="A4217" i="6"/>
  <c r="A4345" i="6"/>
  <c r="A4473" i="6"/>
  <c r="A4601" i="6"/>
  <c r="A4729" i="6"/>
  <c r="A4857" i="6"/>
  <c r="A4985" i="6"/>
  <c r="A5113" i="6"/>
  <c r="A5241" i="6"/>
  <c r="A5298" i="6"/>
  <c r="A5426" i="6"/>
  <c r="A5554" i="6"/>
  <c r="A5682" i="6"/>
  <c r="A5810" i="6"/>
  <c r="A5938" i="6"/>
  <c r="A6066" i="6"/>
  <c r="A6194" i="6"/>
  <c r="A6322" i="6"/>
  <c r="A6450" i="6"/>
  <c r="A6578" i="6"/>
  <c r="A6706" i="6"/>
  <c r="A6834" i="6"/>
  <c r="A6962" i="6"/>
  <c r="A7098" i="6"/>
  <c r="A7084" i="6"/>
  <c r="A7233" i="6"/>
  <c r="A7361" i="6"/>
  <c r="A7489" i="6"/>
  <c r="A7617" i="6"/>
  <c r="A7745" i="6"/>
  <c r="A7873" i="6"/>
  <c r="A8001" i="6"/>
  <c r="A8129" i="6"/>
  <c r="A8257" i="6"/>
  <c r="A8385" i="6"/>
  <c r="A8513" i="6"/>
  <c r="A8641" i="6"/>
  <c r="A8579" i="6"/>
  <c r="A7198" i="6"/>
  <c r="A7326" i="6"/>
  <c r="A7454" i="6"/>
  <c r="A7582" i="6"/>
  <c r="A7710" i="6"/>
  <c r="A7838" i="6"/>
  <c r="A7966" i="6"/>
  <c r="A8094" i="6"/>
  <c r="A8222" i="6"/>
  <c r="A8350" i="6"/>
  <c r="A8478" i="6"/>
  <c r="A8606" i="6"/>
  <c r="A8734" i="6"/>
  <c r="A289" i="6"/>
  <c r="A318" i="6"/>
  <c r="A437" i="6"/>
  <c r="A597" i="6"/>
  <c r="A779" i="6"/>
  <c r="A907" i="6"/>
  <c r="A1035" i="6"/>
  <c r="A1148" i="6"/>
  <c r="A1248" i="6"/>
  <c r="A1376" i="6"/>
  <c r="A1504" i="6"/>
  <c r="A1690" i="6"/>
  <c r="A1818" i="6"/>
  <c r="A1946" i="6"/>
  <c r="A2074" i="6"/>
  <c r="A2202" i="6"/>
  <c r="A2330" i="6"/>
  <c r="A2458" i="6"/>
  <c r="A2575" i="6"/>
  <c r="A2703" i="6"/>
  <c r="A2831" i="6"/>
  <c r="A2959" i="6"/>
  <c r="A3087" i="6"/>
  <c r="A3215" i="6"/>
  <c r="A3343" i="6"/>
  <c r="A3458" i="6"/>
  <c r="A3586" i="6"/>
  <c r="A3714" i="6"/>
  <c r="A3842" i="6"/>
  <c r="A3970" i="6"/>
  <c r="A4098" i="6"/>
  <c r="A4226" i="6"/>
  <c r="A4354" i="6"/>
  <c r="A4482" i="6"/>
  <c r="A4610" i="6"/>
  <c r="A4738" i="6"/>
  <c r="A4866" i="6"/>
  <c r="A4994" i="6"/>
  <c r="A5122" i="6"/>
  <c r="A5250" i="6"/>
  <c r="A5349" i="6"/>
  <c r="A5477" i="6"/>
  <c r="A5605" i="6"/>
  <c r="A5733" i="6"/>
  <c r="A5861" i="6"/>
  <c r="A5989" i="6"/>
  <c r="A6117" i="6"/>
  <c r="A6245" i="6"/>
  <c r="A6373" i="6"/>
  <c r="A6501" i="6"/>
  <c r="A6629" i="6"/>
  <c r="A6757" i="6"/>
  <c r="A6885" i="6"/>
  <c r="A7013" i="6"/>
  <c r="A7220" i="6"/>
  <c r="A7348" i="6"/>
  <c r="A7476" i="6"/>
  <c r="A7604" i="6"/>
  <c r="A7732" i="6"/>
  <c r="A7860" i="6"/>
  <c r="A7988" i="6"/>
  <c r="A8116" i="6"/>
  <c r="A8244" i="6"/>
  <c r="A8372" i="6"/>
  <c r="A8500" i="6"/>
  <c r="A8628" i="6"/>
  <c r="A8756" i="6"/>
  <c r="A5960" i="6"/>
  <c r="A351" i="6"/>
  <c r="A479" i="6"/>
  <c r="A639" i="6"/>
  <c r="A720" i="6"/>
  <c r="A821" i="6"/>
  <c r="A949" i="6"/>
  <c r="A1077" i="6"/>
  <c r="A1190" i="6"/>
  <c r="A1290" i="6"/>
  <c r="A1418" i="6"/>
  <c r="A1546" i="6"/>
  <c r="A1732" i="6"/>
  <c r="A1860" i="6"/>
  <c r="A1988" i="6"/>
  <c r="A2116" i="6"/>
  <c r="A2244" i="6"/>
  <c r="A2372" i="6"/>
  <c r="A2500" i="6"/>
  <c r="A2617" i="6"/>
  <c r="A2745" i="6"/>
  <c r="A2873" i="6"/>
  <c r="A3001" i="6"/>
  <c r="A3129" i="6"/>
  <c r="A3257" i="6"/>
  <c r="A3385" i="6"/>
  <c r="A3500" i="6"/>
  <c r="A3628" i="6"/>
  <c r="A3756" i="6"/>
  <c r="A3884" i="6"/>
  <c r="A4012" i="6"/>
  <c r="A4140" i="6"/>
  <c r="A4268" i="6"/>
  <c r="A4396" i="6"/>
  <c r="A4524" i="6"/>
  <c r="A4652" i="6"/>
  <c r="A4780" i="6"/>
  <c r="A4908" i="6"/>
  <c r="A5036" i="6"/>
  <c r="A5164" i="6"/>
  <c r="A5263" i="6"/>
  <c r="A5391" i="6"/>
  <c r="A5519" i="6"/>
  <c r="A5647" i="6"/>
  <c r="A5775" i="6"/>
  <c r="A5903" i="6"/>
  <c r="A6031" i="6"/>
  <c r="A6159" i="6"/>
  <c r="A6287" i="6"/>
  <c r="A6415" i="6"/>
  <c r="A6543" i="6"/>
  <c r="A6671" i="6"/>
  <c r="A6799" i="6"/>
  <c r="A6927" i="6"/>
  <c r="A7055" i="6"/>
  <c r="A206" i="6"/>
  <c r="A236" i="6"/>
  <c r="A386" i="6"/>
  <c r="A514" i="6"/>
  <c r="A596" i="6"/>
  <c r="A810" i="6"/>
  <c r="A938" i="6"/>
  <c r="A1066" i="6"/>
  <c r="A1225" i="6"/>
  <c r="A1353" i="6"/>
  <c r="A1481" i="6"/>
  <c r="A1609" i="6"/>
  <c r="A1729" i="6"/>
  <c r="A1857" i="6"/>
  <c r="A1985" i="6"/>
  <c r="A2113" i="6"/>
  <c r="A2241" i="6"/>
  <c r="A2369" i="6"/>
  <c r="A2497" i="6"/>
  <c r="A2608" i="6"/>
  <c r="A2736" i="6"/>
  <c r="A2864" i="6"/>
  <c r="A2992" i="6"/>
  <c r="A3120" i="6"/>
  <c r="A3248" i="6"/>
  <c r="A3376" i="6"/>
  <c r="A3475" i="6"/>
  <c r="A3603" i="6"/>
  <c r="A3731" i="6"/>
  <c r="A3859" i="6"/>
  <c r="A3987" i="6"/>
  <c r="A4115" i="6"/>
  <c r="A4243" i="6"/>
  <c r="A4371" i="6"/>
  <c r="A4499" i="6"/>
  <c r="A4627" i="6"/>
  <c r="A4755" i="6"/>
  <c r="A4883" i="6"/>
  <c r="A5011" i="6"/>
  <c r="A5139" i="6"/>
  <c r="A5324" i="6"/>
  <c r="A5452" i="6"/>
  <c r="A5580" i="6"/>
  <c r="A5708" i="6"/>
  <c r="A5836" i="6"/>
  <c r="A5964" i="6"/>
  <c r="A6156" i="6"/>
  <c r="A6284" i="6"/>
  <c r="A6412" i="6"/>
  <c r="A6540" i="6"/>
  <c r="A6668" i="6"/>
  <c r="A6796" i="6"/>
  <c r="A6924" i="6"/>
  <c r="A7052" i="6"/>
  <c r="A7195" i="6"/>
  <c r="A7323" i="6"/>
  <c r="A7451" i="6"/>
  <c r="A7579" i="6"/>
  <c r="A7707" i="6"/>
  <c r="A7835" i="6"/>
  <c r="A7963" i="6"/>
  <c r="A8091" i="6"/>
  <c r="A8219" i="6"/>
  <c r="A8347" i="6"/>
  <c r="A8475" i="6"/>
  <c r="A8671" i="6"/>
  <c r="A172" i="6"/>
  <c r="A319" i="6"/>
  <c r="A352" i="6"/>
  <c r="A480" i="6"/>
  <c r="A562" i="6"/>
  <c r="A690" i="6"/>
  <c r="A776" i="6"/>
  <c r="A904" i="6"/>
  <c r="A1032" i="6"/>
  <c r="A1183" i="6"/>
  <c r="A1319" i="6"/>
  <c r="A1447" i="6"/>
  <c r="A1575" i="6"/>
  <c r="A1695" i="6"/>
  <c r="A1823" i="6"/>
  <c r="A1951" i="6"/>
  <c r="A2079" i="6"/>
  <c r="A2207" i="6"/>
  <c r="A2335" i="6"/>
  <c r="A2463" i="6"/>
  <c r="A2574" i="6"/>
  <c r="A2702" i="6"/>
  <c r="A2830" i="6"/>
  <c r="A2958" i="6"/>
  <c r="A3086" i="6"/>
  <c r="A3214" i="6"/>
  <c r="A3342" i="6"/>
  <c r="A5262" i="6"/>
  <c r="A3569" i="6"/>
  <c r="A3697" i="6"/>
  <c r="A3825" i="6"/>
  <c r="A3953" i="6"/>
  <c r="A4081" i="6"/>
  <c r="A4209" i="6"/>
  <c r="A4337" i="6"/>
  <c r="A4465" i="6"/>
  <c r="A4593" i="6"/>
  <c r="A4721" i="6"/>
  <c r="A4849" i="6"/>
  <c r="A4977" i="6"/>
  <c r="A5105" i="6"/>
  <c r="A5233" i="6"/>
  <c r="A5290" i="6"/>
  <c r="A5418" i="6"/>
  <c r="A5546" i="6"/>
  <c r="A5674" i="6"/>
  <c r="A5802" i="6"/>
  <c r="A5930" i="6"/>
  <c r="A6058" i="6"/>
  <c r="A6186" i="6"/>
  <c r="A6314" i="6"/>
  <c r="A6442" i="6"/>
  <c r="A6570" i="6"/>
  <c r="A6698" i="6"/>
  <c r="A6826" i="6"/>
  <c r="A6954" i="6"/>
  <c r="A7082" i="6"/>
  <c r="A8741" i="6"/>
  <c r="A7225" i="6"/>
  <c r="A7353" i="6"/>
  <c r="A7481" i="6"/>
  <c r="A7609" i="6"/>
  <c r="A7737" i="6"/>
  <c r="A7865" i="6"/>
  <c r="A7993" i="6"/>
  <c r="A8121" i="6"/>
  <c r="A8249" i="6"/>
  <c r="A8377" i="6"/>
  <c r="A8505" i="6"/>
  <c r="A8633" i="6"/>
  <c r="A8563" i="6"/>
  <c r="A7190" i="6"/>
  <c r="A7318" i="6"/>
  <c r="A7446" i="6"/>
  <c r="A7574" i="6"/>
  <c r="A7702" i="6"/>
  <c r="A7830" i="6"/>
  <c r="A7958" i="6"/>
  <c r="A8086" i="6"/>
  <c r="A8214" i="6"/>
  <c r="A8342" i="6"/>
  <c r="A8470" i="6"/>
  <c r="A8598" i="6"/>
  <c r="A8726" i="6"/>
  <c r="A333" i="6"/>
  <c r="A461" i="6"/>
  <c r="A621" i="6"/>
  <c r="A803" i="6"/>
  <c r="A931" i="6"/>
  <c r="A1059" i="6"/>
  <c r="A1172" i="6"/>
  <c r="A1272" i="6"/>
  <c r="A1400" i="6"/>
  <c r="A1528" i="6"/>
  <c r="A1714" i="6"/>
  <c r="A1842" i="6"/>
  <c r="A1970" i="6"/>
  <c r="A2098" i="6"/>
  <c r="A2226" i="6"/>
  <c r="A2354" i="6"/>
  <c r="A2482" i="6"/>
  <c r="A2599" i="6"/>
  <c r="A2727" i="6"/>
  <c r="A2855" i="6"/>
  <c r="A2983" i="6"/>
  <c r="A3111" i="6"/>
  <c r="A3239" i="6"/>
  <c r="A3367" i="6"/>
  <c r="A3482" i="6"/>
  <c r="A3610" i="6"/>
  <c r="A3738" i="6"/>
  <c r="A3866" i="6"/>
  <c r="A3994" i="6"/>
  <c r="A4122" i="6"/>
  <c r="A4250" i="6"/>
  <c r="A4378" i="6"/>
  <c r="A4506" i="6"/>
  <c r="A4634" i="6"/>
  <c r="A4762" i="6"/>
  <c r="A4890" i="6"/>
  <c r="A5018" i="6"/>
  <c r="A5146" i="6"/>
  <c r="A5373" i="6"/>
  <c r="A5501" i="6"/>
  <c r="A5629" i="6"/>
  <c r="A5757" i="6"/>
  <c r="A5885" i="6"/>
  <c r="A6013" i="6"/>
  <c r="A6141" i="6"/>
  <c r="A6269" i="6"/>
  <c r="A6397" i="6"/>
  <c r="A6525" i="6"/>
  <c r="A6653" i="6"/>
  <c r="A6781" i="6"/>
  <c r="A6909" i="6"/>
  <c r="A7037" i="6"/>
  <c r="A7244" i="6"/>
  <c r="A7372" i="6"/>
  <c r="A7500" i="6"/>
  <c r="A7628" i="6"/>
  <c r="A7756" i="6"/>
  <c r="A7884" i="6"/>
  <c r="A8012" i="6"/>
  <c r="A8140" i="6"/>
  <c r="A8268" i="6"/>
  <c r="A8396" i="6"/>
  <c r="A8524" i="6"/>
  <c r="A8652" i="6"/>
  <c r="A6084" i="6"/>
  <c r="A162" i="6"/>
  <c r="A342" i="6"/>
  <c r="A470" i="6"/>
  <c r="A552" i="6"/>
  <c r="A680" i="6"/>
  <c r="A759" i="6"/>
  <c r="A894" i="6"/>
  <c r="A1022" i="6"/>
  <c r="A1163" i="6"/>
  <c r="A1309" i="6"/>
  <c r="A1437" i="6"/>
  <c r="A1565" i="6"/>
  <c r="A1685" i="6"/>
  <c r="A1813" i="6"/>
  <c r="A1941" i="6"/>
  <c r="A2069" i="6"/>
  <c r="A2197" i="6"/>
  <c r="A2325" i="6"/>
  <c r="A2453" i="6"/>
  <c r="A2564" i="6"/>
  <c r="A2692" i="6"/>
  <c r="A2820" i="6"/>
  <c r="A2948" i="6"/>
  <c r="A3076" i="6"/>
  <c r="A3204" i="6"/>
  <c r="A3332" i="6"/>
  <c r="A3559" i="6"/>
  <c r="A3687" i="6"/>
  <c r="A3815" i="6"/>
  <c r="A3943" i="6"/>
  <c r="A4071" i="6"/>
  <c r="A4199" i="6"/>
  <c r="A4327" i="6"/>
  <c r="A4455" i="6"/>
  <c r="A4583" i="6"/>
  <c r="A4711" i="6"/>
  <c r="A4839" i="6"/>
  <c r="A4967" i="6"/>
  <c r="A5095" i="6"/>
  <c r="A5223" i="6"/>
  <c r="A5280" i="6"/>
  <c r="A5408" i="6"/>
  <c r="A5536" i="6"/>
  <c r="A5664" i="6"/>
  <c r="A5792" i="6"/>
  <c r="A5920" i="6"/>
  <c r="A161" i="6"/>
  <c r="A359" i="6"/>
  <c r="A487" i="6"/>
  <c r="A647" i="6"/>
  <c r="A728" i="6"/>
  <c r="A829" i="6"/>
  <c r="A957" i="6"/>
  <c r="A1085" i="6"/>
  <c r="A1198" i="6"/>
  <c r="A1298" i="6"/>
  <c r="A1426" i="6"/>
  <c r="A1554" i="6"/>
  <c r="A1740" i="6"/>
  <c r="A1868" i="6"/>
  <c r="A1996" i="6"/>
  <c r="A2124" i="6"/>
  <c r="A2252" i="6"/>
  <c r="A2380" i="6"/>
  <c r="A2508" i="6"/>
  <c r="A2625" i="6"/>
  <c r="A2753" i="6"/>
  <c r="A2881" i="6"/>
  <c r="A3009" i="6"/>
  <c r="A3137" i="6"/>
  <c r="A3265" i="6"/>
  <c r="A3393" i="6"/>
  <c r="A3508" i="6"/>
  <c r="A3636" i="6"/>
  <c r="A3764" i="6"/>
  <c r="A3892" i="6"/>
  <c r="A4020" i="6"/>
  <c r="A4148" i="6"/>
  <c r="A4276" i="6"/>
  <c r="A4404" i="6"/>
  <c r="A4532" i="6"/>
  <c r="A4660" i="6"/>
  <c r="A4788" i="6"/>
  <c r="A4916" i="6"/>
  <c r="A5044" i="6"/>
  <c r="A5172" i="6"/>
  <c r="A5271" i="6"/>
  <c r="A5399" i="6"/>
  <c r="A5527" i="6"/>
  <c r="A5655" i="6"/>
  <c r="A5783" i="6"/>
  <c r="A5911" i="6"/>
  <c r="A6039" i="6"/>
  <c r="A6167" i="6"/>
  <c r="A6295" i="6"/>
  <c r="A6423" i="6"/>
  <c r="A6551" i="6"/>
  <c r="A6679" i="6"/>
  <c r="A6807" i="6"/>
  <c r="A6935" i="6"/>
  <c r="A7063" i="6"/>
  <c r="A150" i="6"/>
  <c r="A308" i="6"/>
  <c r="A330" i="6"/>
  <c r="A458" i="6"/>
  <c r="A668" i="6"/>
  <c r="A769" i="6"/>
  <c r="A735" i="6"/>
  <c r="A882" i="6"/>
  <c r="A1010" i="6"/>
  <c r="A1138" i="6"/>
  <c r="A1297" i="6"/>
  <c r="A1425" i="6"/>
  <c r="A1553" i="6"/>
  <c r="A1673" i="6"/>
  <c r="A1801" i="6"/>
  <c r="A1929" i="6"/>
  <c r="A2057" i="6"/>
  <c r="A2185" i="6"/>
  <c r="A2313" i="6"/>
  <c r="A2441" i="6"/>
  <c r="A2552" i="6"/>
  <c r="A2680" i="6"/>
  <c r="A2808" i="6"/>
  <c r="A2936" i="6"/>
  <c r="A3064" i="6"/>
  <c r="A3192" i="6"/>
  <c r="A3320" i="6"/>
  <c r="A3547" i="6"/>
  <c r="A3675" i="6"/>
  <c r="A3803" i="6"/>
  <c r="A3931" i="6"/>
  <c r="A4059" i="6"/>
  <c r="A4187" i="6"/>
  <c r="A4315" i="6"/>
  <c r="A4443" i="6"/>
  <c r="A4571" i="6"/>
  <c r="A4699" i="6"/>
  <c r="A4827" i="6"/>
  <c r="A4955" i="6"/>
  <c r="A5083" i="6"/>
  <c r="A5211" i="6"/>
  <c r="A5268" i="6"/>
  <c r="A5396" i="6"/>
  <c r="A5524" i="6"/>
  <c r="A5652" i="6"/>
  <c r="A5780" i="6"/>
  <c r="A5908" i="6"/>
  <c r="A173" i="6"/>
  <c r="A255" i="6"/>
  <c r="A403" i="6"/>
  <c r="A531" i="6"/>
  <c r="A563" i="6"/>
  <c r="A691" i="6"/>
  <c r="A873" i="6"/>
  <c r="A1001" i="6"/>
  <c r="A1129" i="6"/>
  <c r="A1214" i="6"/>
  <c r="A1342" i="6"/>
  <c r="A1470" i="6"/>
  <c r="A1598" i="6"/>
  <c r="A1656" i="6"/>
  <c r="A1784" i="6"/>
  <c r="A1912" i="6"/>
  <c r="A2040" i="6"/>
  <c r="A2168" i="6"/>
  <c r="A2296" i="6"/>
  <c r="A2424" i="6"/>
  <c r="A2541" i="6"/>
  <c r="A2669" i="6"/>
  <c r="A2797" i="6"/>
  <c r="A2925" i="6"/>
  <c r="A3053" i="6"/>
  <c r="A3181" i="6"/>
  <c r="A3309" i="6"/>
  <c r="A3437" i="6"/>
  <c r="A3552" i="6"/>
  <c r="A3680" i="6"/>
  <c r="A3808" i="6"/>
  <c r="A3936" i="6"/>
  <c r="A4064" i="6"/>
  <c r="A4192" i="6"/>
  <c r="A4320" i="6"/>
  <c r="A4448" i="6"/>
  <c r="A4576" i="6"/>
  <c r="A4704" i="6"/>
  <c r="A4832" i="6"/>
  <c r="A4960" i="6"/>
  <c r="A5088" i="6"/>
  <c r="A5216" i="6"/>
  <c r="A5315" i="6"/>
  <c r="A5443" i="6"/>
  <c r="A5571" i="6"/>
  <c r="A5699" i="6"/>
  <c r="A5827" i="6"/>
  <c r="A5955" i="6"/>
  <c r="A6083" i="6"/>
  <c r="A6211" i="6"/>
  <c r="A6339" i="6"/>
  <c r="A6467" i="6"/>
  <c r="A6595" i="6"/>
  <c r="A6723" i="6"/>
  <c r="A6851" i="6"/>
  <c r="A6979" i="6"/>
  <c r="A7107" i="6"/>
  <c r="A6056" i="6"/>
  <c r="A6184" i="6"/>
  <c r="A6312" i="6"/>
  <c r="A6440" i="6"/>
  <c r="A6568" i="6"/>
  <c r="A6696" i="6"/>
  <c r="A6824" i="6"/>
  <c r="A6952" i="6"/>
  <c r="A7080" i="6"/>
  <c r="A8735" i="6"/>
  <c r="A7223" i="6"/>
  <c r="A7351" i="6"/>
  <c r="A7479" i="6"/>
  <c r="A7607" i="6"/>
  <c r="A7735" i="6"/>
  <c r="A7863" i="6"/>
  <c r="A7991" i="6"/>
  <c r="A8119" i="6"/>
  <c r="A8247" i="6"/>
  <c r="A8375" i="6"/>
  <c r="A8503" i="6"/>
  <c r="A8731" i="6"/>
  <c r="A192" i="6"/>
  <c r="A222" i="6"/>
  <c r="A372" i="6"/>
  <c r="A500" i="6"/>
  <c r="A582" i="6"/>
  <c r="A710" i="6"/>
  <c r="A796" i="6"/>
  <c r="A924" i="6"/>
  <c r="A1052" i="6"/>
  <c r="A1211" i="6"/>
  <c r="A1339" i="6"/>
  <c r="A1467" i="6"/>
  <c r="A1595" i="6"/>
  <c r="A1715" i="6"/>
  <c r="A1843" i="6"/>
  <c r="A1971" i="6"/>
  <c r="A2099" i="6"/>
  <c r="A2227" i="6"/>
  <c r="A2355" i="6"/>
  <c r="A2483" i="6"/>
  <c r="A2594" i="6"/>
  <c r="A2722" i="6"/>
  <c r="A2850" i="6"/>
  <c r="A2978" i="6"/>
  <c r="A3106" i="6"/>
  <c r="A3234" i="6"/>
  <c r="A3362" i="6"/>
  <c r="A3461" i="6"/>
  <c r="A3589" i="6"/>
  <c r="A3717" i="6"/>
  <c r="A3845" i="6"/>
  <c r="A3973" i="6"/>
  <c r="A4101" i="6"/>
  <c r="A4229" i="6"/>
  <c r="A4357" i="6"/>
  <c r="A4485" i="6"/>
  <c r="A4613" i="6"/>
  <c r="A4741" i="6"/>
  <c r="A4869" i="6"/>
  <c r="A4997" i="6"/>
  <c r="A5125" i="6"/>
  <c r="A5253" i="6"/>
  <c r="A5310" i="6"/>
  <c r="A5438" i="6"/>
  <c r="A5566" i="6"/>
  <c r="A5694" i="6"/>
  <c r="A5822" i="6"/>
  <c r="A5950" i="6"/>
  <c r="A6078" i="6"/>
  <c r="A6206" i="6"/>
  <c r="A6334" i="6"/>
  <c r="A6462" i="6"/>
  <c r="A6590" i="6"/>
  <c r="A6718" i="6"/>
  <c r="A6846" i="6"/>
  <c r="A6974" i="6"/>
  <c r="A7122" i="6"/>
  <c r="A7108" i="6"/>
  <c r="A7245" i="6"/>
  <c r="A7373" i="6"/>
  <c r="A7501" i="6"/>
  <c r="A7629" i="6"/>
  <c r="A7757" i="6"/>
  <c r="A7885" i="6"/>
  <c r="A8013" i="6"/>
  <c r="A8141" i="6"/>
  <c r="A8269" i="6"/>
  <c r="A8397" i="6"/>
  <c r="A8525" i="6"/>
  <c r="A8653" i="6"/>
  <c r="A8603" i="6"/>
  <c r="A7210" i="6"/>
  <c r="A7338" i="6"/>
  <c r="A7466" i="6"/>
  <c r="A7594" i="6"/>
  <c r="A7722" i="6"/>
  <c r="A7850" i="6"/>
  <c r="A7978" i="6"/>
  <c r="A8106" i="6"/>
  <c r="A8234" i="6"/>
  <c r="A8362" i="6"/>
  <c r="A8490" i="6"/>
  <c r="A8618" i="6"/>
  <c r="A8746" i="6"/>
  <c r="A277" i="6"/>
  <c r="A425" i="6"/>
  <c r="A585" i="6"/>
  <c r="A713" i="6"/>
  <c r="A895" i="6"/>
  <c r="A1023" i="6"/>
  <c r="A1236" i="6"/>
  <c r="A1364" i="6"/>
  <c r="A1492" i="6"/>
  <c r="A1620" i="6"/>
  <c r="A1678" i="6"/>
  <c r="A1806" i="6"/>
  <c r="A1934" i="6"/>
  <c r="A2062" i="6"/>
  <c r="A2190" i="6"/>
  <c r="A2318" i="6"/>
  <c r="A2446" i="6"/>
  <c r="A2563" i="6"/>
  <c r="A2691" i="6"/>
  <c r="A2819" i="6"/>
  <c r="A2947" i="6"/>
  <c r="A3075" i="6"/>
  <c r="A3203" i="6"/>
  <c r="A3331" i="6"/>
  <c r="A3446" i="6"/>
  <c r="A3574" i="6"/>
  <c r="A3702" i="6"/>
  <c r="A3830" i="6"/>
  <c r="A3958" i="6"/>
  <c r="A4086" i="6"/>
  <c r="A4214" i="6"/>
  <c r="A4342" i="6"/>
  <c r="A4470" i="6"/>
  <c r="A4598" i="6"/>
  <c r="A4726" i="6"/>
  <c r="A4854" i="6"/>
  <c r="A4982" i="6"/>
  <c r="A5110" i="6"/>
  <c r="A5238" i="6"/>
  <c r="A5337" i="6"/>
  <c r="A5465" i="6"/>
  <c r="A5593" i="6"/>
  <c r="A5721" i="6"/>
  <c r="A5849" i="6"/>
  <c r="A5977" i="6"/>
  <c r="A6105" i="6"/>
  <c r="A6233" i="6"/>
  <c r="A6361" i="6"/>
  <c r="A6489" i="6"/>
  <c r="A6617" i="6"/>
  <c r="A6745" i="6"/>
  <c r="A6873" i="6"/>
  <c r="A7001" i="6"/>
  <c r="A7208" i="6"/>
  <c r="A7336" i="6"/>
  <c r="A7464" i="6"/>
  <c r="A7592" i="6"/>
  <c r="A7720" i="6"/>
  <c r="A7848" i="6"/>
  <c r="A7976" i="6"/>
  <c r="A8104" i="6"/>
  <c r="A8232" i="6"/>
  <c r="A8360" i="6"/>
  <c r="A8488" i="6"/>
  <c r="A8616" i="6"/>
  <c r="A8744" i="6"/>
  <c r="A6116" i="6"/>
  <c r="A6244" i="6"/>
  <c r="A6372" i="6"/>
  <c r="A6500" i="6"/>
  <c r="A6628" i="6"/>
  <c r="A6756" i="6"/>
  <c r="A6884" i="6"/>
  <c r="A7012" i="6"/>
  <c r="A7155" i="6"/>
  <c r="A7283" i="6"/>
  <c r="A7411" i="6"/>
  <c r="A7539" i="6"/>
  <c r="A7667" i="6"/>
  <c r="A7795" i="6"/>
  <c r="A7923" i="6"/>
  <c r="A8051" i="6"/>
  <c r="A8179" i="6"/>
  <c r="A8307" i="6"/>
  <c r="A8435" i="6"/>
  <c r="A8591" i="6"/>
  <c r="A290" i="6"/>
  <c r="A440" i="6"/>
  <c r="A650" i="6"/>
  <c r="A733" i="6"/>
  <c r="A864" i="6"/>
  <c r="A992" i="6"/>
  <c r="A1120" i="6"/>
  <c r="A1279" i="6"/>
  <c r="A1407" i="6"/>
  <c r="A1535" i="6"/>
  <c r="A1655" i="6"/>
  <c r="A1783" i="6"/>
  <c r="A1911" i="6"/>
  <c r="A2039" i="6"/>
  <c r="A2167" i="6"/>
  <c r="A2295" i="6"/>
  <c r="A2423" i="6"/>
  <c r="A2532" i="6"/>
  <c r="A2662" i="6"/>
  <c r="A2790" i="6"/>
  <c r="A2918" i="6"/>
  <c r="A3046" i="6"/>
  <c r="A3174" i="6"/>
  <c r="A3302" i="6"/>
  <c r="A3430" i="6"/>
  <c r="A3529" i="6"/>
  <c r="A3657" i="6"/>
  <c r="A3785" i="6"/>
  <c r="A3913" i="6"/>
  <c r="A4041" i="6"/>
  <c r="A4169" i="6"/>
  <c r="A4297" i="6"/>
  <c r="A4425" i="6"/>
  <c r="A4553" i="6"/>
  <c r="A4681" i="6"/>
  <c r="A4809" i="6"/>
  <c r="A4937" i="6"/>
  <c r="A5065" i="6"/>
  <c r="A5193" i="6"/>
  <c r="A5378" i="6"/>
  <c r="A5506" i="6"/>
  <c r="A5634" i="6"/>
  <c r="A5762" i="6"/>
  <c r="A5890" i="6"/>
  <c r="A6018" i="6"/>
  <c r="A6146" i="6"/>
  <c r="A6274" i="6"/>
  <c r="A6402" i="6"/>
  <c r="A6530" i="6"/>
  <c r="A6658" i="6"/>
  <c r="A6786" i="6"/>
  <c r="A6914" i="6"/>
  <c r="A7042" i="6"/>
  <c r="A7185" i="6"/>
  <c r="A7313" i="6"/>
  <c r="A7441" i="6"/>
  <c r="A7569" i="6"/>
  <c r="A7697" i="6"/>
  <c r="A7825" i="6"/>
  <c r="A7953" i="6"/>
  <c r="A8081" i="6"/>
  <c r="A8209" i="6"/>
  <c r="A8337" i="6"/>
  <c r="A8465" i="6"/>
  <c r="A8593" i="6"/>
  <c r="A8721" i="6"/>
  <c r="A8749" i="6"/>
  <c r="A7150" i="6"/>
  <c r="A7278" i="6"/>
  <c r="A7406" i="6"/>
  <c r="A7534" i="6"/>
  <c r="A7662" i="6"/>
  <c r="A7790" i="6"/>
  <c r="A7918" i="6"/>
  <c r="A8046" i="6"/>
  <c r="A8174" i="6"/>
  <c r="A8302" i="6"/>
  <c r="A8430" i="6"/>
  <c r="A8558" i="6"/>
  <c r="A8686" i="6"/>
  <c r="A159" i="6"/>
  <c r="A273" i="6"/>
  <c r="A421" i="6"/>
  <c r="A581" i="6"/>
  <c r="A709" i="6"/>
  <c r="A891" i="6"/>
  <c r="A1019" i="6"/>
  <c r="A1232" i="6"/>
  <c r="A1360" i="6"/>
  <c r="A1488" i="6"/>
  <c r="A1616" i="6"/>
  <c r="A1674" i="6"/>
  <c r="A1802" i="6"/>
  <c r="A1930" i="6"/>
  <c r="A2058" i="6"/>
  <c r="A2186" i="6"/>
  <c r="A2314" i="6"/>
  <c r="A2442" i="6"/>
  <c r="A2559" i="6"/>
  <c r="A2687" i="6"/>
  <c r="A2815" i="6"/>
  <c r="A2943" i="6"/>
  <c r="A3071" i="6"/>
  <c r="A3199" i="6"/>
  <c r="A3327" i="6"/>
  <c r="A3442" i="6"/>
  <c r="A3570" i="6"/>
  <c r="A3698" i="6"/>
  <c r="A3826" i="6"/>
  <c r="A3954" i="6"/>
  <c r="A4082" i="6"/>
  <c r="A4210" i="6"/>
  <c r="A4338" i="6"/>
  <c r="A4466" i="6"/>
  <c r="A4594" i="6"/>
  <c r="A4722" i="6"/>
  <c r="A4850" i="6"/>
  <c r="A4978" i="6"/>
  <c r="A5106" i="6"/>
  <c r="A5234" i="6"/>
  <c r="A5333" i="6"/>
  <c r="A5461" i="6"/>
  <c r="A5589" i="6"/>
  <c r="A5717" i="6"/>
  <c r="A5845" i="6"/>
  <c r="A5973" i="6"/>
  <c r="A6101" i="6"/>
  <c r="A6229" i="6"/>
  <c r="A6357" i="6"/>
  <c r="A6485" i="6"/>
  <c r="A6613" i="6"/>
  <c r="A6741" i="6"/>
  <c r="A6869" i="6"/>
  <c r="A6997" i="6"/>
  <c r="A7125" i="6"/>
  <c r="A7204" i="6"/>
  <c r="A7332" i="6"/>
  <c r="A7460" i="6"/>
  <c r="A7588" i="6"/>
  <c r="A7716" i="6"/>
  <c r="A7844" i="6"/>
  <c r="A7972" i="6"/>
  <c r="A8100" i="6"/>
  <c r="A8228" i="6"/>
  <c r="A8356" i="6"/>
  <c r="A8484" i="6"/>
  <c r="A8612" i="6"/>
  <c r="A8740" i="6"/>
  <c r="A1205" i="6"/>
  <c r="A1333" i="6"/>
  <c r="A1461" i="6"/>
  <c r="A1589" i="6"/>
  <c r="A1709" i="6"/>
  <c r="A1837" i="6"/>
  <c r="A1965" i="6"/>
  <c r="A2093" i="6"/>
  <c r="A2221" i="6"/>
  <c r="A2349" i="6"/>
  <c r="A2477" i="6"/>
  <c r="A2588" i="6"/>
  <c r="A2716" i="6"/>
  <c r="A2844" i="6"/>
  <c r="A2972" i="6"/>
  <c r="A3100" i="6"/>
  <c r="A3228" i="6"/>
  <c r="A3356" i="6"/>
  <c r="A3455" i="6"/>
  <c r="A3583" i="6"/>
  <c r="A3711" i="6"/>
  <c r="A3839" i="6"/>
  <c r="A3967" i="6"/>
  <c r="A4095" i="6"/>
  <c r="A4223" i="6"/>
  <c r="A4351" i="6"/>
  <c r="A4479" i="6"/>
  <c r="A4607" i="6"/>
  <c r="A4735" i="6"/>
  <c r="A4863" i="6"/>
  <c r="A4991" i="6"/>
  <c r="A5119" i="6"/>
  <c r="A5247" i="6"/>
  <c r="A5304" i="6"/>
  <c r="A5432" i="6"/>
  <c r="A5560" i="6"/>
  <c r="A5688" i="6"/>
  <c r="A5816" i="6"/>
  <c r="A5944" i="6"/>
  <c r="A283" i="6"/>
  <c r="A312" i="6"/>
  <c r="A431" i="6"/>
  <c r="A591" i="6"/>
  <c r="A773" i="6"/>
  <c r="A901" i="6"/>
  <c r="A1029" i="6"/>
  <c r="A1242" i="6"/>
  <c r="A1370" i="6"/>
  <c r="A1498" i="6"/>
  <c r="A1684" i="6"/>
  <c r="A1812" i="6"/>
  <c r="A1940" i="6"/>
  <c r="A2068" i="6"/>
  <c r="A2196" i="6"/>
  <c r="A2324" i="6"/>
  <c r="A2452" i="6"/>
  <c r="A2569" i="6"/>
  <c r="A2697" i="6"/>
  <c r="A2825" i="6"/>
  <c r="A2953" i="6"/>
  <c r="A3081" i="6"/>
  <c r="A3209" i="6"/>
  <c r="A3337" i="6"/>
  <c r="A3452" i="6"/>
  <c r="A3580" i="6"/>
  <c r="A3708" i="6"/>
  <c r="A3836" i="6"/>
  <c r="A3964" i="6"/>
  <c r="A4092" i="6"/>
  <c r="A4220" i="6"/>
  <c r="A4348" i="6"/>
  <c r="A4476" i="6"/>
  <c r="A4604" i="6"/>
  <c r="A4732" i="6"/>
  <c r="A4860" i="6"/>
  <c r="A4988" i="6"/>
  <c r="A5116" i="6"/>
  <c r="A5244" i="6"/>
  <c r="A5343" i="6"/>
  <c r="A5471" i="6"/>
  <c r="A5599" i="6"/>
  <c r="A5727" i="6"/>
  <c r="A5855" i="6"/>
  <c r="A5983" i="6"/>
  <c r="A6111" i="6"/>
  <c r="A6239" i="6"/>
  <c r="A6367" i="6"/>
  <c r="A6495" i="6"/>
  <c r="A6623" i="6"/>
  <c r="A6751" i="6"/>
  <c r="A6879" i="6"/>
  <c r="A7007" i="6"/>
  <c r="A252" i="6"/>
  <c r="A402" i="6"/>
  <c r="A530" i="6"/>
  <c r="A612" i="6"/>
  <c r="A826" i="6"/>
  <c r="A954" i="6"/>
  <c r="A1082" i="6"/>
  <c r="A1165" i="6"/>
  <c r="A1241" i="6"/>
  <c r="A1369" i="6"/>
  <c r="A1497" i="6"/>
  <c r="A1625" i="6"/>
  <c r="A1745" i="6"/>
  <c r="A1873" i="6"/>
  <c r="A2001" i="6"/>
  <c r="A2129" i="6"/>
  <c r="A2257" i="6"/>
  <c r="A2385" i="6"/>
  <c r="A2513" i="6"/>
  <c r="A2624" i="6"/>
  <c r="A2752" i="6"/>
  <c r="A2880" i="6"/>
  <c r="A3008" i="6"/>
  <c r="A3136" i="6"/>
  <c r="A3264" i="6"/>
  <c r="A3392" i="6"/>
  <c r="A3491" i="6"/>
  <c r="A3619" i="6"/>
  <c r="A3747" i="6"/>
  <c r="A3875" i="6"/>
  <c r="A4003" i="6"/>
  <c r="A4131" i="6"/>
  <c r="A4259" i="6"/>
  <c r="A4387" i="6"/>
  <c r="A4515" i="6"/>
  <c r="A4643" i="6"/>
  <c r="A4771" i="6"/>
  <c r="A4899" i="6"/>
  <c r="A5027" i="6"/>
  <c r="A5155" i="6"/>
  <c r="A5340" i="6"/>
  <c r="A5468" i="6"/>
  <c r="A5596" i="6"/>
  <c r="A5724" i="6"/>
  <c r="A5852" i="6"/>
  <c r="A5980" i="6"/>
  <c r="A295" i="6"/>
  <c r="A443" i="6"/>
  <c r="A603" i="6"/>
  <c r="A785" i="6"/>
  <c r="A913" i="6"/>
  <c r="A1041" i="6"/>
  <c r="A1154" i="6"/>
  <c r="A1254" i="6"/>
  <c r="A1382" i="6"/>
  <c r="A1510" i="6"/>
  <c r="A1696" i="6"/>
  <c r="A1824" i="6"/>
  <c r="A1952" i="6"/>
  <c r="A2080" i="6"/>
  <c r="A2208" i="6"/>
  <c r="A2336" i="6"/>
  <c r="A2464" i="6"/>
  <c r="A2581" i="6"/>
  <c r="A2709" i="6"/>
  <c r="A2837" i="6"/>
  <c r="A2965" i="6"/>
  <c r="A3093" i="6"/>
  <c r="A3221" i="6"/>
  <c r="A3349" i="6"/>
  <c r="A3464" i="6"/>
  <c r="A3592" i="6"/>
  <c r="A3720" i="6"/>
  <c r="A3848" i="6"/>
  <c r="A3976" i="6"/>
  <c r="A4104" i="6"/>
  <c r="A4232" i="6"/>
  <c r="A4360" i="6"/>
  <c r="A4488" i="6"/>
  <c r="A4616" i="6"/>
  <c r="A4744" i="6"/>
  <c r="A4872" i="6"/>
  <c r="A5000" i="6"/>
  <c r="A5128" i="6"/>
  <c r="A5256" i="6"/>
  <c r="A5355" i="6"/>
  <c r="A5483" i="6"/>
  <c r="A5611" i="6"/>
  <c r="A5739" i="6"/>
  <c r="A5867" i="6"/>
  <c r="A5995" i="6"/>
  <c r="A6123" i="6"/>
  <c r="A6251" i="6"/>
  <c r="A6379" i="6"/>
  <c r="A6507" i="6"/>
  <c r="A6635" i="6"/>
  <c r="A6763" i="6"/>
  <c r="A6891" i="6"/>
  <c r="A7019" i="6"/>
  <c r="A6048" i="6"/>
  <c r="A6176" i="6"/>
  <c r="A6304" i="6"/>
  <c r="A6432" i="6"/>
  <c r="A6560" i="6"/>
  <c r="A6688" i="6"/>
  <c r="A6816" i="6"/>
  <c r="A6944" i="6"/>
  <c r="A7072" i="6"/>
  <c r="A7215" i="6"/>
  <c r="A7343" i="6"/>
  <c r="A7471" i="6"/>
  <c r="A7599" i="6"/>
  <c r="A7727" i="6"/>
  <c r="A7855" i="6"/>
  <c r="A7983" i="6"/>
  <c r="A8111" i="6"/>
  <c r="A8239" i="6"/>
  <c r="A8367" i="6"/>
  <c r="A8495" i="6"/>
  <c r="A8711" i="6"/>
  <c r="A152" i="6"/>
  <c r="A332" i="6"/>
  <c r="A460" i="6"/>
  <c r="A717" i="6"/>
  <c r="A670" i="6"/>
  <c r="A739" i="6"/>
  <c r="A884" i="6"/>
  <c r="A1012" i="6"/>
  <c r="A1140" i="6"/>
  <c r="A1299" i="6"/>
  <c r="A1427" i="6"/>
  <c r="A1555" i="6"/>
  <c r="A1675" i="6"/>
  <c r="A1803" i="6"/>
  <c r="A1931" i="6"/>
  <c r="A2059" i="6"/>
  <c r="A2187" i="6"/>
  <c r="A2315" i="6"/>
  <c r="A2443" i="6"/>
  <c r="A2554" i="6"/>
  <c r="A2682" i="6"/>
  <c r="A2810" i="6"/>
  <c r="A2938" i="6"/>
  <c r="A3066" i="6"/>
  <c r="A3194" i="6"/>
  <c r="A3322" i="6"/>
  <c r="A3549" i="6"/>
  <c r="A3677" i="6"/>
  <c r="A3805" i="6"/>
  <c r="A3933" i="6"/>
  <c r="A4061" i="6"/>
  <c r="A4189" i="6"/>
  <c r="A4317" i="6"/>
  <c r="A4445" i="6"/>
  <c r="A4573" i="6"/>
  <c r="A4701" i="6"/>
  <c r="A4829" i="6"/>
  <c r="A4957" i="6"/>
  <c r="A5085" i="6"/>
  <c r="A5213" i="6"/>
  <c r="A5270" i="6"/>
  <c r="A5398" i="6"/>
  <c r="A5526" i="6"/>
  <c r="A5654" i="6"/>
  <c r="A5782" i="6"/>
  <c r="A5910" i="6"/>
  <c r="A6038" i="6"/>
  <c r="A6166" i="6"/>
  <c r="A6294" i="6"/>
  <c r="A6422" i="6"/>
  <c r="A6550" i="6"/>
  <c r="A6678" i="6"/>
  <c r="A6806" i="6"/>
  <c r="A6934" i="6"/>
  <c r="A7062" i="6"/>
  <c r="A7205" i="6"/>
  <c r="A7333" i="6"/>
  <c r="A7461" i="6"/>
  <c r="A7589" i="6"/>
  <c r="A7717" i="6"/>
  <c r="A7845" i="6"/>
  <c r="A7973" i="6"/>
  <c r="A8101" i="6"/>
  <c r="A8229" i="6"/>
  <c r="A8357" i="6"/>
  <c r="A8485" i="6"/>
  <c r="A8613" i="6"/>
  <c r="A8751" i="6"/>
  <c r="A7170" i="6"/>
  <c r="A7298" i="6"/>
  <c r="A7426" i="6"/>
  <c r="A7554" i="6"/>
  <c r="A7682" i="6"/>
  <c r="A7810" i="6"/>
  <c r="A7938" i="6"/>
  <c r="A8066" i="6"/>
  <c r="A8194" i="6"/>
  <c r="A8322" i="6"/>
  <c r="A8450" i="6"/>
  <c r="A8578" i="6"/>
  <c r="A8706" i="6"/>
  <c r="A155" i="6"/>
  <c r="A269" i="6"/>
  <c r="A417" i="6"/>
  <c r="A577" i="6"/>
  <c r="A705" i="6"/>
  <c r="A887" i="6"/>
  <c r="A1015" i="6"/>
  <c r="A1143" i="6"/>
  <c r="A1228" i="6"/>
  <c r="A1356" i="6"/>
  <c r="A1484" i="6"/>
  <c r="A1612" i="6"/>
  <c r="A1670" i="6"/>
  <c r="A1798" i="6"/>
  <c r="A1926" i="6"/>
  <c r="A2054" i="6"/>
  <c r="A2182" i="6"/>
  <c r="A2310" i="6"/>
  <c r="A2438" i="6"/>
  <c r="A2555" i="6"/>
  <c r="A2683" i="6"/>
  <c r="A2811" i="6"/>
  <c r="A2939" i="6"/>
  <c r="A3067" i="6"/>
  <c r="A3195" i="6"/>
  <c r="A3323" i="6"/>
  <c r="A3566" i="6"/>
  <c r="A3694" i="6"/>
  <c r="A3822" i="6"/>
  <c r="A3950" i="6"/>
  <c r="A4078" i="6"/>
  <c r="A4206" i="6"/>
  <c r="A4334" i="6"/>
  <c r="A4462" i="6"/>
  <c r="A4590" i="6"/>
  <c r="A4718" i="6"/>
  <c r="A4846" i="6"/>
  <c r="A4974" i="6"/>
  <c r="A5102" i="6"/>
  <c r="A5230" i="6"/>
  <c r="A5329" i="6"/>
  <c r="A5457" i="6"/>
  <c r="A5585" i="6"/>
  <c r="A5713" i="6"/>
  <c r="A5841" i="6"/>
  <c r="A5969" i="6"/>
  <c r="A6097" i="6"/>
  <c r="A6225" i="6"/>
  <c r="A6353" i="6"/>
  <c r="A6481" i="6"/>
  <c r="A6609" i="6"/>
  <c r="A6737" i="6"/>
  <c r="A6865" i="6"/>
  <c r="A6993" i="6"/>
  <c r="A7121" i="6"/>
  <c r="A7200" i="6"/>
  <c r="A7328" i="6"/>
  <c r="A7456" i="6"/>
  <c r="A7584" i="6"/>
  <c r="A7712" i="6"/>
  <c r="A7840" i="6"/>
  <c r="A7968" i="6"/>
  <c r="A8096" i="6"/>
  <c r="A8224" i="6"/>
  <c r="A8352" i="6"/>
  <c r="A8480" i="6"/>
  <c r="A8608" i="6"/>
  <c r="A8736" i="6"/>
  <c r="A6108" i="6"/>
  <c r="A6236" i="6"/>
  <c r="A6364" i="6"/>
  <c r="A6492" i="6"/>
  <c r="A6620" i="6"/>
  <c r="A6748" i="6"/>
  <c r="A6876" i="6"/>
  <c r="A7004" i="6"/>
  <c r="A7147" i="6"/>
  <c r="A7275" i="6"/>
  <c r="A7403" i="6"/>
  <c r="A7531" i="6"/>
  <c r="A7659" i="6"/>
  <c r="A7787" i="6"/>
  <c r="A7915" i="6"/>
  <c r="A8043" i="6"/>
  <c r="A8171" i="6"/>
  <c r="A8299" i="6"/>
  <c r="A8427" i="6"/>
  <c r="A8575" i="6"/>
  <c r="A282" i="6"/>
  <c r="A432" i="6"/>
  <c r="A642" i="6"/>
  <c r="A770" i="6"/>
  <c r="A856" i="6"/>
  <c r="A984" i="6"/>
  <c r="A1112" i="6"/>
  <c r="A1271" i="6"/>
  <c r="A1399" i="6"/>
  <c r="A1527" i="6"/>
  <c r="A1647" i="6"/>
  <c r="A1775" i="6"/>
  <c r="A1903" i="6"/>
  <c r="A2031" i="6"/>
  <c r="A2159" i="6"/>
  <c r="A2287" i="6"/>
  <c r="A2415" i="6"/>
  <c r="A2654" i="6"/>
  <c r="A2782" i="6"/>
  <c r="A2910" i="6"/>
  <c r="A3038" i="6"/>
  <c r="A3166" i="6"/>
  <c r="A3294" i="6"/>
  <c r="A3422" i="6"/>
  <c r="A3521" i="6"/>
  <c r="A3649" i="6"/>
  <c r="A3777" i="6"/>
  <c r="A3905" i="6"/>
  <c r="A4033" i="6"/>
  <c r="A4161" i="6"/>
  <c r="A4289" i="6"/>
  <c r="A4417" i="6"/>
  <c r="A4545" i="6"/>
  <c r="A4673" i="6"/>
  <c r="A4801" i="6"/>
  <c r="A4929" i="6"/>
  <c r="A5057" i="6"/>
  <c r="A5185" i="6"/>
  <c r="A5370" i="6"/>
  <c r="A5498" i="6"/>
  <c r="A5626" i="6"/>
  <c r="A5754" i="6"/>
  <c r="A5882" i="6"/>
  <c r="A6010" i="6"/>
  <c r="A6138" i="6"/>
  <c r="A6266" i="6"/>
  <c r="A6394" i="6"/>
  <c r="A6522" i="6"/>
  <c r="A6650" i="6"/>
  <c r="A6778" i="6"/>
  <c r="A6906" i="6"/>
  <c r="A7034" i="6"/>
  <c r="A7177" i="6"/>
  <c r="A7305" i="6"/>
  <c r="A7433" i="6"/>
  <c r="A7561" i="6"/>
  <c r="A7689" i="6"/>
  <c r="A7817" i="6"/>
  <c r="A7945" i="6"/>
  <c r="A8073" i="6"/>
  <c r="A8201" i="6"/>
  <c r="A8329" i="6"/>
  <c r="A8457" i="6"/>
  <c r="A8585" i="6"/>
  <c r="A8713" i="6"/>
  <c r="A8723" i="6"/>
  <c r="A7142" i="6"/>
  <c r="A7270" i="6"/>
  <c r="A7398" i="6"/>
  <c r="A7526" i="6"/>
  <c r="A7654" i="6"/>
  <c r="A7782" i="6"/>
  <c r="A7910" i="6"/>
  <c r="A8038" i="6"/>
  <c r="A8166" i="6"/>
  <c r="A8294" i="6"/>
  <c r="A8422" i="6"/>
  <c r="A8550" i="6"/>
  <c r="A8678" i="6"/>
  <c r="A151" i="6"/>
  <c r="A265" i="6"/>
  <c r="A413" i="6"/>
  <c r="A541" i="6"/>
  <c r="A573" i="6"/>
  <c r="A701" i="6"/>
  <c r="A883" i="6"/>
  <c r="A1011" i="6"/>
  <c r="A1139" i="6"/>
  <c r="A1224" i="6"/>
  <c r="A1352" i="6"/>
  <c r="A1480" i="6"/>
  <c r="A1608" i="6"/>
  <c r="A1666" i="6"/>
  <c r="A1794" i="6"/>
  <c r="A1922" i="6"/>
  <c r="A2050" i="6"/>
  <c r="A2178" i="6"/>
  <c r="A2306" i="6"/>
  <c r="A2434" i="6"/>
  <c r="A2551" i="6"/>
  <c r="A2679" i="6"/>
  <c r="A2807" i="6"/>
  <c r="A2935" i="6"/>
  <c r="A3063" i="6"/>
  <c r="A3191" i="6"/>
  <c r="A3319" i="6"/>
  <c r="A3562" i="6"/>
  <c r="A3690" i="6"/>
  <c r="A3818" i="6"/>
  <c r="A3946" i="6"/>
  <c r="A4074" i="6"/>
  <c r="A4202" i="6"/>
  <c r="A4330" i="6"/>
  <c r="A4458" i="6"/>
  <c r="A4586" i="6"/>
  <c r="A4714" i="6"/>
  <c r="A4842" i="6"/>
  <c r="A4970" i="6"/>
  <c r="A5098" i="6"/>
  <c r="A5226" i="6"/>
  <c r="A5325" i="6"/>
  <c r="A5453" i="6"/>
  <c r="A5581" i="6"/>
  <c r="A5709" i="6"/>
  <c r="A5837" i="6"/>
  <c r="A5965" i="6"/>
  <c r="A6093" i="6"/>
  <c r="A6221" i="6"/>
  <c r="A6349" i="6"/>
  <c r="A6477" i="6"/>
  <c r="A6605" i="6"/>
  <c r="A6733" i="6"/>
  <c r="A6861" i="6"/>
  <c r="A6989" i="6"/>
  <c r="A7117" i="6"/>
  <c r="A7196" i="6"/>
  <c r="A7324" i="6"/>
  <c r="A7452" i="6"/>
  <c r="A7580" i="6"/>
  <c r="A7708" i="6"/>
  <c r="A7836" i="6"/>
  <c r="A7964" i="6"/>
  <c r="A8092" i="6"/>
  <c r="A8220" i="6"/>
  <c r="A8348" i="6"/>
  <c r="A8476" i="6"/>
  <c r="A8604" i="6"/>
  <c r="A8732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<sst xmlns="http://schemas.openxmlformats.org/spreadsheetml/2006/main" count="123" uniqueCount="95">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</sst>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&quot;18&quot;yy\.mm\.dd"/>
    <numFmt numFmtId="171" formatCode="000_0_0"/>
    <numFmt numFmtId="172" formatCode="\1\8yy\.mm\.d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70" fontId="0" fillId="2" borderId="0" xfId="0" applyNumberFormat="1" applyFill="1" applyAlignment="1">
      <alignment horizontal="lef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1" fontId="0" fillId="0" borderId="0" xfId="0" applyNumberFormat="1" applyAlignment="1"/>
    <xf numFmtId="171" fontId="0" fillId="0" borderId="0" xfId="0" applyNumberFormat="1" applyBorder="1" applyAlignment="1"/>
    <xf numFmtId="171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164" fontId="7" fillId="4" borderId="4" xfId="0" applyNumberFormat="1" applyFont="1" applyFill="1" applyBorder="1" applyProtection="1">
      <protection locked="0"/>
    </xf>
    <xf numFmtId="164" fontId="7" fillId="4" borderId="0" xfId="0" applyNumberFormat="1" applyFont="1" applyFill="1" applyBorder="1" applyProtection="1">
      <protection locked="0"/>
    </xf>
    <xf numFmtId="172" fontId="0" fillId="0" borderId="0" xfId="0" applyNumberFormat="1" applyAlignment="1">
      <alignment horizontal="left"/>
    </xf>
    <xf numFmtId="172" fontId="0" fillId="0" borderId="6" xfId="0" applyNumberFormat="1" applyBorder="1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workbookViewId="0">
      <pane xSplit="1" ySplit="4" topLeftCell="C348" activePane="bottomRight" state="frozen"/>
      <selection pane="topRight" activeCell="B1" sqref="B1"/>
      <selection pane="bottomLeft" activeCell="A5" sqref="A5"/>
      <selection pane="bottomRight" activeCell="Y350" sqref="Y350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43" t="s">
        <v>22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3" spans="1:26" x14ac:dyDescent="0.25">
      <c r="A3" s="38" t="s">
        <v>0</v>
      </c>
      <c r="B3" s="40" t="s">
        <v>24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2"/>
    </row>
    <row r="4" spans="1:26" x14ac:dyDescent="0.25">
      <c r="A4" s="39"/>
      <c r="B4" s="23" t="s">
        <v>23</v>
      </c>
      <c r="C4" s="24" t="s">
        <v>25</v>
      </c>
      <c r="D4" s="24" t="s">
        <v>26</v>
      </c>
      <c r="E4" s="24" t="s">
        <v>27</v>
      </c>
      <c r="F4" s="24" t="s">
        <v>28</v>
      </c>
      <c r="G4" s="24" t="s">
        <v>29</v>
      </c>
      <c r="H4" s="24" t="s">
        <v>30</v>
      </c>
      <c r="I4" s="24" t="s">
        <v>31</v>
      </c>
      <c r="J4" s="24" t="s">
        <v>32</v>
      </c>
      <c r="K4" s="24" t="s">
        <v>33</v>
      </c>
      <c r="L4" s="24" t="s">
        <v>34</v>
      </c>
      <c r="M4" s="24" t="s">
        <v>35</v>
      </c>
      <c r="N4" s="23" t="s">
        <v>36</v>
      </c>
      <c r="O4" s="24" t="s">
        <v>37</v>
      </c>
      <c r="P4" s="24" t="s">
        <v>38</v>
      </c>
      <c r="Q4" s="24" t="s">
        <v>39</v>
      </c>
      <c r="R4" s="24" t="s">
        <v>40</v>
      </c>
      <c r="S4" s="24" t="s">
        <v>41</v>
      </c>
      <c r="T4" s="24" t="s">
        <v>42</v>
      </c>
      <c r="U4" s="24" t="s">
        <v>43</v>
      </c>
      <c r="V4" s="24" t="s">
        <v>44</v>
      </c>
      <c r="W4" s="24" t="s">
        <v>45</v>
      </c>
      <c r="X4" s="24" t="s">
        <v>46</v>
      </c>
      <c r="Y4" s="25" t="s">
        <v>47</v>
      </c>
      <c r="Z4" s="22" t="s">
        <v>48</v>
      </c>
    </row>
    <row r="5" spans="1:26" x14ac:dyDescent="0.25">
      <c r="A5" s="17">
        <f ca="1">DATE(VALUE(MID(CELL("bestandsnaam"),FIND(".",CELL("bestandsnaam"))-4,4)),1,1)</f>
        <v>693233</v>
      </c>
      <c r="B5" s="26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6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1" t="str">
        <f>IF(COUNT(B5:Y5)&gt;0,SUM(B5:Y5),"")</f>
        <v/>
      </c>
    </row>
    <row r="6" spans="1:26" x14ac:dyDescent="0.25">
      <c r="A6" s="17">
        <f ca="1">IF(ISTEXT(A5),A4+1,IF(MONTH(A5+1)=MONTH(A5),A5+1,"Totaal"))</f>
        <v>693234</v>
      </c>
      <c r="B6" s="26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6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1" t="str">
        <f t="shared" ref="Z6:Z35" si="0">IF(COUNT(B6:Y6)&gt;0,SUM(B6:Y6),"")</f>
        <v/>
      </c>
    </row>
    <row r="7" spans="1:26" x14ac:dyDescent="0.25">
      <c r="A7" s="17">
        <f t="shared" ref="A7:A70" ca="1" si="1">IF(ISTEXT(A6),A5+1,IF(MONTH(A6+1)=MONTH(A6),A6+1,"Totaal"))</f>
        <v>693235</v>
      </c>
      <c r="B7" s="26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6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1" t="str">
        <f t="shared" si="0"/>
        <v/>
      </c>
    </row>
    <row r="8" spans="1:26" x14ac:dyDescent="0.25">
      <c r="A8" s="17">
        <f t="shared" ca="1" si="1"/>
        <v>693236</v>
      </c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6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1" t="str">
        <f t="shared" si="0"/>
        <v/>
      </c>
    </row>
    <row r="9" spans="1:26" x14ac:dyDescent="0.25">
      <c r="A9" s="17">
        <f t="shared" ca="1" si="1"/>
        <v>693237</v>
      </c>
      <c r="B9" s="26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6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1" t="str">
        <f t="shared" si="0"/>
        <v/>
      </c>
    </row>
    <row r="10" spans="1:26" x14ac:dyDescent="0.25">
      <c r="A10" s="17">
        <f t="shared" ca="1" si="1"/>
        <v>693238</v>
      </c>
      <c r="B10" s="26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6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1" t="str">
        <f t="shared" si="0"/>
        <v/>
      </c>
    </row>
    <row r="11" spans="1:26" x14ac:dyDescent="0.25">
      <c r="A11" s="17">
        <f t="shared" ca="1" si="1"/>
        <v>693239</v>
      </c>
      <c r="B11" s="26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6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1" t="str">
        <f t="shared" si="0"/>
        <v/>
      </c>
    </row>
    <row r="12" spans="1:26" x14ac:dyDescent="0.25">
      <c r="A12" s="17">
        <f t="shared" ca="1" si="1"/>
        <v>693240</v>
      </c>
      <c r="B12" s="26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6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1" t="str">
        <f t="shared" si="0"/>
        <v/>
      </c>
    </row>
    <row r="13" spans="1:26" x14ac:dyDescent="0.25">
      <c r="A13" s="17">
        <f t="shared" ca="1" si="1"/>
        <v>693241</v>
      </c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6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1" t="str">
        <f t="shared" si="0"/>
        <v/>
      </c>
    </row>
    <row r="14" spans="1:26" x14ac:dyDescent="0.25">
      <c r="A14" s="17">
        <f t="shared" ca="1" si="1"/>
        <v>693242</v>
      </c>
      <c r="B14" s="26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6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1" t="str">
        <f t="shared" si="0"/>
        <v/>
      </c>
    </row>
    <row r="15" spans="1:26" x14ac:dyDescent="0.25">
      <c r="A15" s="17">
        <f t="shared" ca="1" si="1"/>
        <v>693243</v>
      </c>
      <c r="B15" s="26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6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1" t="str">
        <f t="shared" si="0"/>
        <v/>
      </c>
    </row>
    <row r="16" spans="1:26" x14ac:dyDescent="0.25">
      <c r="A16" s="17">
        <f t="shared" ca="1" si="1"/>
        <v>693244</v>
      </c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6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1" t="str">
        <f t="shared" si="0"/>
        <v/>
      </c>
    </row>
    <row r="17" spans="1:26" x14ac:dyDescent="0.25">
      <c r="A17" s="17">
        <f t="shared" ca="1" si="1"/>
        <v>693245</v>
      </c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6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1" t="str">
        <f t="shared" si="0"/>
        <v/>
      </c>
    </row>
    <row r="18" spans="1:26" x14ac:dyDescent="0.25">
      <c r="A18" s="17">
        <f t="shared" ca="1" si="1"/>
        <v>693246</v>
      </c>
      <c r="B18" s="26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2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21" t="str">
        <f t="shared" si="0"/>
        <v/>
      </c>
    </row>
    <row r="19" spans="1:26" x14ac:dyDescent="0.25">
      <c r="A19" s="17">
        <f t="shared" ca="1" si="1"/>
        <v>693247</v>
      </c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2"/>
      <c r="O19" s="33"/>
      <c r="P19" s="33"/>
      <c r="Q19" s="33"/>
      <c r="R19" s="27"/>
      <c r="S19" s="27"/>
      <c r="T19" s="27"/>
      <c r="U19" s="27"/>
      <c r="V19" s="27"/>
      <c r="W19" s="27"/>
      <c r="X19" s="27"/>
      <c r="Y19" s="27"/>
      <c r="Z19" s="21" t="str">
        <f t="shared" si="0"/>
        <v/>
      </c>
    </row>
    <row r="20" spans="1:26" x14ac:dyDescent="0.25">
      <c r="A20" s="17">
        <f t="shared" ca="1" si="1"/>
        <v>693248</v>
      </c>
      <c r="B20" s="26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6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1" t="str">
        <f t="shared" si="0"/>
        <v/>
      </c>
    </row>
    <row r="21" spans="1:26" x14ac:dyDescent="0.25">
      <c r="A21" s="17">
        <f t="shared" ca="1" si="1"/>
        <v>693249</v>
      </c>
      <c r="B21" s="26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6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1" t="str">
        <f t="shared" si="0"/>
        <v/>
      </c>
    </row>
    <row r="22" spans="1:26" x14ac:dyDescent="0.25">
      <c r="A22" s="17">
        <f t="shared" ca="1" si="1"/>
        <v>693250</v>
      </c>
      <c r="B22" s="26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6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1" t="str">
        <f t="shared" si="0"/>
        <v/>
      </c>
    </row>
    <row r="23" spans="1:26" x14ac:dyDescent="0.25">
      <c r="A23" s="17">
        <f t="shared" ca="1" si="1"/>
        <v>693251</v>
      </c>
      <c r="B23" s="26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6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1" t="str">
        <f t="shared" si="0"/>
        <v/>
      </c>
    </row>
    <row r="24" spans="1:26" x14ac:dyDescent="0.25">
      <c r="A24" s="17">
        <f t="shared" ca="1" si="1"/>
        <v>693252</v>
      </c>
      <c r="B24" s="26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6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1" t="str">
        <f t="shared" si="0"/>
        <v/>
      </c>
    </row>
    <row r="25" spans="1:26" x14ac:dyDescent="0.25">
      <c r="A25" s="17">
        <f t="shared" ca="1" si="1"/>
        <v>693253</v>
      </c>
      <c r="B25" s="26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6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1" t="str">
        <f t="shared" si="0"/>
        <v/>
      </c>
    </row>
    <row r="26" spans="1:26" x14ac:dyDescent="0.25">
      <c r="A26" s="17">
        <f t="shared" ca="1" si="1"/>
        <v>693254</v>
      </c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6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1" t="str">
        <f t="shared" si="0"/>
        <v/>
      </c>
    </row>
    <row r="27" spans="1:26" x14ac:dyDescent="0.25">
      <c r="A27" s="17">
        <f t="shared" ca="1" si="1"/>
        <v>693255</v>
      </c>
      <c r="B27" s="26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6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1" t="str">
        <f t="shared" si="0"/>
        <v/>
      </c>
    </row>
    <row r="28" spans="1:26" x14ac:dyDescent="0.25">
      <c r="A28" s="17">
        <f t="shared" ca="1" si="1"/>
        <v>693256</v>
      </c>
      <c r="B28" s="26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6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1" t="str">
        <f t="shared" si="0"/>
        <v/>
      </c>
    </row>
    <row r="29" spans="1:26" x14ac:dyDescent="0.25">
      <c r="A29" s="17">
        <f t="shared" ca="1" si="1"/>
        <v>693257</v>
      </c>
      <c r="B29" s="26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6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1" t="str">
        <f t="shared" si="0"/>
        <v/>
      </c>
    </row>
    <row r="30" spans="1:26" x14ac:dyDescent="0.25">
      <c r="A30" s="17">
        <f t="shared" ca="1" si="1"/>
        <v>693258</v>
      </c>
      <c r="B30" s="26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6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1" t="str">
        <f t="shared" si="0"/>
        <v/>
      </c>
    </row>
    <row r="31" spans="1:26" x14ac:dyDescent="0.25">
      <c r="A31" s="17">
        <f t="shared" ca="1" si="1"/>
        <v>693259</v>
      </c>
      <c r="B31" s="26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6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1" t="str">
        <f t="shared" si="0"/>
        <v/>
      </c>
    </row>
    <row r="32" spans="1:26" x14ac:dyDescent="0.25">
      <c r="A32" s="17">
        <f t="shared" ca="1" si="1"/>
        <v>693260</v>
      </c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6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1" t="str">
        <f t="shared" si="0"/>
        <v/>
      </c>
    </row>
    <row r="33" spans="1:26" x14ac:dyDescent="0.25">
      <c r="A33" s="17">
        <f t="shared" ca="1" si="1"/>
        <v>693261</v>
      </c>
      <c r="B33" s="26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6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1" t="str">
        <f t="shared" si="0"/>
        <v/>
      </c>
    </row>
    <row r="34" spans="1:26" x14ac:dyDescent="0.25">
      <c r="A34" s="17">
        <f t="shared" ca="1" si="1"/>
        <v>693262</v>
      </c>
      <c r="B34" s="26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6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1" t="str">
        <f t="shared" si="0"/>
        <v/>
      </c>
    </row>
    <row r="35" spans="1:26" x14ac:dyDescent="0.25">
      <c r="A35" s="17">
        <f t="shared" ca="1" si="1"/>
        <v>693263</v>
      </c>
      <c r="B35" s="26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6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1" t="str">
        <f t="shared" si="0"/>
        <v/>
      </c>
    </row>
    <row r="36" spans="1:26" x14ac:dyDescent="0.25">
      <c r="A36" s="17" t="str">
        <f t="shared" ca="1" si="1"/>
        <v>Totaal</v>
      </c>
      <c r="B36" s="18" t="str">
        <f>IF(COUNT(B5:B35)&gt;0,AVERAGE(B5:B35),"")</f>
        <v/>
      </c>
      <c r="C36" s="19" t="str">
        <f t="shared" ref="C36:Y36" si="2">IF(COUNT(C5:C35)&gt;0,AVERAGE(C5:C35),"")</f>
        <v/>
      </c>
      <c r="D36" s="19" t="str">
        <f t="shared" si="2"/>
        <v/>
      </c>
      <c r="E36" s="19" t="str">
        <f t="shared" si="2"/>
        <v/>
      </c>
      <c r="F36" s="19" t="str">
        <f t="shared" si="2"/>
        <v/>
      </c>
      <c r="G36" s="19" t="str">
        <f t="shared" si="2"/>
        <v/>
      </c>
      <c r="H36" s="19" t="str">
        <f t="shared" si="2"/>
        <v/>
      </c>
      <c r="I36" s="19" t="str">
        <f t="shared" si="2"/>
        <v/>
      </c>
      <c r="J36" s="19" t="str">
        <f t="shared" si="2"/>
        <v/>
      </c>
      <c r="K36" s="19" t="str">
        <f t="shared" si="2"/>
        <v/>
      </c>
      <c r="L36" s="19" t="str">
        <f t="shared" si="2"/>
        <v/>
      </c>
      <c r="M36" s="19" t="str">
        <f t="shared" si="2"/>
        <v/>
      </c>
      <c r="N36" s="18" t="str">
        <f t="shared" si="2"/>
        <v/>
      </c>
      <c r="O36" s="19" t="str">
        <f t="shared" si="2"/>
        <v/>
      </c>
      <c r="P36" s="19" t="str">
        <f t="shared" si="2"/>
        <v/>
      </c>
      <c r="Q36" s="19" t="str">
        <f t="shared" si="2"/>
        <v/>
      </c>
      <c r="R36" s="19" t="str">
        <f t="shared" si="2"/>
        <v/>
      </c>
      <c r="S36" s="19" t="str">
        <f t="shared" si="2"/>
        <v/>
      </c>
      <c r="T36" s="19" t="str">
        <f t="shared" si="2"/>
        <v/>
      </c>
      <c r="U36" s="19" t="str">
        <f t="shared" si="2"/>
        <v/>
      </c>
      <c r="V36" s="19" t="str">
        <f t="shared" si="2"/>
        <v/>
      </c>
      <c r="W36" s="19" t="str">
        <f t="shared" si="2"/>
        <v/>
      </c>
      <c r="X36" s="19" t="str">
        <f t="shared" si="2"/>
        <v/>
      </c>
      <c r="Y36" s="19" t="str">
        <f t="shared" si="2"/>
        <v/>
      </c>
      <c r="Z36" s="20" t="str">
        <f>IF(COUNT(B36:Y36)&gt;0,AVERAGE(B36:Y36),"")</f>
        <v/>
      </c>
    </row>
    <row r="37" spans="1:26" x14ac:dyDescent="0.25">
      <c r="A37" s="17">
        <f t="shared" ca="1" si="1"/>
        <v>693264</v>
      </c>
      <c r="B37" s="26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6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1" t="str">
        <f>IF(COUNT(B37:Y37)&gt;0,SUM(B37:Y37),"")</f>
        <v/>
      </c>
    </row>
    <row r="38" spans="1:26" x14ac:dyDescent="0.25">
      <c r="A38" s="17">
        <f t="shared" ca="1" si="1"/>
        <v>693265</v>
      </c>
      <c r="B38" s="26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6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1" t="str">
        <f t="shared" ref="Z38:Z64" si="3">IF(COUNT(B38:Y38)&gt;0,SUM(B38:Y38),"")</f>
        <v/>
      </c>
    </row>
    <row r="39" spans="1:26" x14ac:dyDescent="0.25">
      <c r="A39" s="17">
        <f t="shared" ca="1" si="1"/>
        <v>693266</v>
      </c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6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1" t="str">
        <f t="shared" si="3"/>
        <v/>
      </c>
    </row>
    <row r="40" spans="1:26" x14ac:dyDescent="0.25">
      <c r="A40" s="17">
        <f t="shared" ca="1" si="1"/>
        <v>693267</v>
      </c>
      <c r="B40" s="26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6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1" t="str">
        <f t="shared" si="3"/>
        <v/>
      </c>
    </row>
    <row r="41" spans="1:26" x14ac:dyDescent="0.25">
      <c r="A41" s="17">
        <f t="shared" ca="1" si="1"/>
        <v>693268</v>
      </c>
      <c r="B41" s="26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6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1" t="str">
        <f t="shared" si="3"/>
        <v/>
      </c>
    </row>
    <row r="42" spans="1:26" x14ac:dyDescent="0.25">
      <c r="A42" s="17">
        <f t="shared" ca="1" si="1"/>
        <v>693269</v>
      </c>
      <c r="B42" s="26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6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1" t="str">
        <f t="shared" si="3"/>
        <v/>
      </c>
    </row>
    <row r="43" spans="1:26" x14ac:dyDescent="0.25">
      <c r="A43" s="17">
        <f t="shared" ca="1" si="1"/>
        <v>693270</v>
      </c>
      <c r="B43" s="26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6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1" t="str">
        <f t="shared" si="3"/>
        <v/>
      </c>
    </row>
    <row r="44" spans="1:26" x14ac:dyDescent="0.25">
      <c r="A44" s="17">
        <f t="shared" ca="1" si="1"/>
        <v>693271</v>
      </c>
      <c r="B44" s="26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6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1" t="str">
        <f t="shared" si="3"/>
        <v/>
      </c>
    </row>
    <row r="45" spans="1:26" x14ac:dyDescent="0.25">
      <c r="A45" s="17">
        <f t="shared" ca="1" si="1"/>
        <v>693272</v>
      </c>
      <c r="B45" s="26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6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1" t="str">
        <f t="shared" si="3"/>
        <v/>
      </c>
    </row>
    <row r="46" spans="1:26" x14ac:dyDescent="0.25">
      <c r="A46" s="17">
        <f t="shared" ca="1" si="1"/>
        <v>693273</v>
      </c>
      <c r="B46" s="26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6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1" t="str">
        <f t="shared" si="3"/>
        <v/>
      </c>
    </row>
    <row r="47" spans="1:26" x14ac:dyDescent="0.25">
      <c r="A47" s="17">
        <f t="shared" ca="1" si="1"/>
        <v>693274</v>
      </c>
      <c r="B47" s="26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6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1" t="str">
        <f t="shared" si="3"/>
        <v/>
      </c>
    </row>
    <row r="48" spans="1:26" x14ac:dyDescent="0.25">
      <c r="A48" s="17">
        <f t="shared" ca="1" si="1"/>
        <v>693275</v>
      </c>
      <c r="B48" s="26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6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1" t="str">
        <f t="shared" si="3"/>
        <v/>
      </c>
    </row>
    <row r="49" spans="1:26" x14ac:dyDescent="0.25">
      <c r="A49" s="17">
        <f t="shared" ca="1" si="1"/>
        <v>693276</v>
      </c>
      <c r="B49" s="26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6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1" t="str">
        <f t="shared" si="3"/>
        <v/>
      </c>
    </row>
    <row r="50" spans="1:26" x14ac:dyDescent="0.25">
      <c r="A50" s="17">
        <f t="shared" ca="1" si="1"/>
        <v>693277</v>
      </c>
      <c r="B50" s="26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6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1" t="str">
        <f t="shared" si="3"/>
        <v/>
      </c>
    </row>
    <row r="51" spans="1:26" x14ac:dyDescent="0.25">
      <c r="A51" s="17">
        <f t="shared" ca="1" si="1"/>
        <v>693278</v>
      </c>
      <c r="B51" s="26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6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1" t="str">
        <f t="shared" si="3"/>
        <v/>
      </c>
    </row>
    <row r="52" spans="1:26" x14ac:dyDescent="0.25">
      <c r="A52" s="17">
        <f t="shared" ca="1" si="1"/>
        <v>693279</v>
      </c>
      <c r="B52" s="26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6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1" t="str">
        <f t="shared" si="3"/>
        <v/>
      </c>
    </row>
    <row r="53" spans="1:26" x14ac:dyDescent="0.25">
      <c r="A53" s="17">
        <f t="shared" ca="1" si="1"/>
        <v>693280</v>
      </c>
      <c r="B53" s="26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6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1" t="str">
        <f t="shared" si="3"/>
        <v/>
      </c>
    </row>
    <row r="54" spans="1:26" x14ac:dyDescent="0.25">
      <c r="A54" s="17">
        <f t="shared" ca="1" si="1"/>
        <v>693281</v>
      </c>
      <c r="B54" s="26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6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1" t="str">
        <f t="shared" si="3"/>
        <v/>
      </c>
    </row>
    <row r="55" spans="1:26" x14ac:dyDescent="0.25">
      <c r="A55" s="17">
        <f t="shared" ca="1" si="1"/>
        <v>693282</v>
      </c>
      <c r="B55" s="26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6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1" t="str">
        <f t="shared" si="3"/>
        <v/>
      </c>
    </row>
    <row r="56" spans="1:26" x14ac:dyDescent="0.25">
      <c r="A56" s="17">
        <f t="shared" ca="1" si="1"/>
        <v>693283</v>
      </c>
      <c r="B56" s="26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6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1" t="str">
        <f t="shared" si="3"/>
        <v/>
      </c>
    </row>
    <row r="57" spans="1:26" x14ac:dyDescent="0.25">
      <c r="A57" s="17">
        <f t="shared" ca="1" si="1"/>
        <v>693284</v>
      </c>
      <c r="B57" s="26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6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1" t="str">
        <f t="shared" si="3"/>
        <v/>
      </c>
    </row>
    <row r="58" spans="1:26" x14ac:dyDescent="0.25">
      <c r="A58" s="17">
        <f t="shared" ca="1" si="1"/>
        <v>693285</v>
      </c>
      <c r="B58" s="26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6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1" t="str">
        <f t="shared" si="3"/>
        <v/>
      </c>
    </row>
    <row r="59" spans="1:26" x14ac:dyDescent="0.25">
      <c r="A59" s="17">
        <f t="shared" ca="1" si="1"/>
        <v>693286</v>
      </c>
      <c r="B59" s="26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6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1" t="str">
        <f t="shared" si="3"/>
        <v/>
      </c>
    </row>
    <row r="60" spans="1:26" x14ac:dyDescent="0.25">
      <c r="A60" s="17">
        <f t="shared" ca="1" si="1"/>
        <v>693287</v>
      </c>
      <c r="B60" s="26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6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1" t="str">
        <f t="shared" si="3"/>
        <v/>
      </c>
    </row>
    <row r="61" spans="1:26" x14ac:dyDescent="0.25">
      <c r="A61" s="17">
        <f t="shared" ca="1" si="1"/>
        <v>693288</v>
      </c>
      <c r="B61" s="26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6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1" t="str">
        <f t="shared" si="3"/>
        <v/>
      </c>
    </row>
    <row r="62" spans="1:26" x14ac:dyDescent="0.25">
      <c r="A62" s="17">
        <f t="shared" ca="1" si="1"/>
        <v>693289</v>
      </c>
      <c r="B62" s="26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6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1" t="str">
        <f t="shared" si="3"/>
        <v/>
      </c>
    </row>
    <row r="63" spans="1:26" x14ac:dyDescent="0.25">
      <c r="A63" s="17">
        <f t="shared" ca="1" si="1"/>
        <v>693290</v>
      </c>
      <c r="B63" s="26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6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1" t="str">
        <f t="shared" si="3"/>
        <v/>
      </c>
    </row>
    <row r="64" spans="1:26" x14ac:dyDescent="0.25">
      <c r="A64" s="17">
        <f t="shared" ca="1" si="1"/>
        <v>693291</v>
      </c>
      <c r="B64" s="26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6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1" t="str">
        <f t="shared" si="3"/>
        <v/>
      </c>
    </row>
    <row r="65" spans="1:26" x14ac:dyDescent="0.25">
      <c r="A65" s="17" t="str">
        <f t="shared" ca="1" si="1"/>
        <v>Totaal</v>
      </c>
      <c r="B65" s="18" t="str">
        <f t="shared" ref="B65:Y65" si="4">IF(COUNT(B37:B64)&gt;0,AVERAGE(B37:B64),"")</f>
        <v/>
      </c>
      <c r="C65" s="19" t="str">
        <f t="shared" si="4"/>
        <v/>
      </c>
      <c r="D65" s="19" t="str">
        <f t="shared" si="4"/>
        <v/>
      </c>
      <c r="E65" s="19" t="str">
        <f t="shared" si="4"/>
        <v/>
      </c>
      <c r="F65" s="19" t="str">
        <f t="shared" si="4"/>
        <v/>
      </c>
      <c r="G65" s="19" t="str">
        <f t="shared" si="4"/>
        <v/>
      </c>
      <c r="H65" s="19" t="str">
        <f t="shared" si="4"/>
        <v/>
      </c>
      <c r="I65" s="19" t="str">
        <f t="shared" si="4"/>
        <v/>
      </c>
      <c r="J65" s="19" t="str">
        <f t="shared" si="4"/>
        <v/>
      </c>
      <c r="K65" s="19" t="str">
        <f t="shared" si="4"/>
        <v/>
      </c>
      <c r="L65" s="19" t="str">
        <f t="shared" si="4"/>
        <v/>
      </c>
      <c r="M65" s="19" t="str">
        <f t="shared" si="4"/>
        <v/>
      </c>
      <c r="N65" s="18" t="str">
        <f t="shared" si="4"/>
        <v/>
      </c>
      <c r="O65" s="19" t="str">
        <f t="shared" si="4"/>
        <v/>
      </c>
      <c r="P65" s="19" t="str">
        <f t="shared" si="4"/>
        <v/>
      </c>
      <c r="Q65" s="19" t="str">
        <f t="shared" si="4"/>
        <v/>
      </c>
      <c r="R65" s="19" t="str">
        <f t="shared" si="4"/>
        <v/>
      </c>
      <c r="S65" s="19" t="str">
        <f t="shared" si="4"/>
        <v/>
      </c>
      <c r="T65" s="19" t="str">
        <f t="shared" si="4"/>
        <v/>
      </c>
      <c r="U65" s="19" t="str">
        <f t="shared" si="4"/>
        <v/>
      </c>
      <c r="V65" s="19" t="str">
        <f t="shared" si="4"/>
        <v/>
      </c>
      <c r="W65" s="19" t="str">
        <f t="shared" si="4"/>
        <v/>
      </c>
      <c r="X65" s="19" t="str">
        <f t="shared" si="4"/>
        <v/>
      </c>
      <c r="Y65" s="19" t="str">
        <f t="shared" si="4"/>
        <v/>
      </c>
      <c r="Z65" s="20" t="str">
        <f>IF(COUNT(B65:Y65)&gt;0,AVERAGE(B65:Y65),"")</f>
        <v/>
      </c>
    </row>
    <row r="66" spans="1:26" x14ac:dyDescent="0.25">
      <c r="A66" s="17">
        <f t="shared" ca="1" si="1"/>
        <v>693292</v>
      </c>
      <c r="B66" s="26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6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1" t="str">
        <f>IF(COUNT(B66:Y66)&gt;0,SUM(B66:Y66),"")</f>
        <v/>
      </c>
    </row>
    <row r="67" spans="1:26" x14ac:dyDescent="0.25">
      <c r="A67" s="17">
        <f t="shared" ca="1" si="1"/>
        <v>693293</v>
      </c>
      <c r="B67" s="26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6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1" t="str">
        <f t="shared" ref="Z67:Z96" si="5">IF(COUNT(B67:Y67)&gt;0,SUM(B67:Y67),"")</f>
        <v/>
      </c>
    </row>
    <row r="68" spans="1:26" x14ac:dyDescent="0.25">
      <c r="A68" s="17">
        <f t="shared" ca="1" si="1"/>
        <v>693294</v>
      </c>
      <c r="B68" s="26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6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1" t="str">
        <f t="shared" si="5"/>
        <v/>
      </c>
    </row>
    <row r="69" spans="1:26" x14ac:dyDescent="0.25">
      <c r="A69" s="17">
        <f t="shared" ca="1" si="1"/>
        <v>693295</v>
      </c>
      <c r="B69" s="26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6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1" t="str">
        <f t="shared" si="5"/>
        <v/>
      </c>
    </row>
    <row r="70" spans="1:26" x14ac:dyDescent="0.25">
      <c r="A70" s="17">
        <f t="shared" ca="1" si="1"/>
        <v>693296</v>
      </c>
      <c r="B70" s="26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6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1" t="str">
        <f t="shared" si="5"/>
        <v/>
      </c>
    </row>
    <row r="71" spans="1:26" x14ac:dyDescent="0.25">
      <c r="A71" s="17">
        <f t="shared" ref="A71:A134" ca="1" si="6">IF(ISTEXT(A70),A69+1,IF(MONTH(A70+1)=MONTH(A70),A70+1,"Totaal"))</f>
        <v>693297</v>
      </c>
      <c r="B71" s="26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6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1" t="str">
        <f t="shared" si="5"/>
        <v/>
      </c>
    </row>
    <row r="72" spans="1:26" x14ac:dyDescent="0.25">
      <c r="A72" s="17">
        <f t="shared" ca="1" si="6"/>
        <v>693298</v>
      </c>
      <c r="B72" s="26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6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1" t="str">
        <f t="shared" si="5"/>
        <v/>
      </c>
    </row>
    <row r="73" spans="1:26" x14ac:dyDescent="0.25">
      <c r="A73" s="17">
        <f t="shared" ca="1" si="6"/>
        <v>693299</v>
      </c>
      <c r="B73" s="26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6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1" t="str">
        <f t="shared" si="5"/>
        <v/>
      </c>
    </row>
    <row r="74" spans="1:26" x14ac:dyDescent="0.25">
      <c r="A74" s="17">
        <f t="shared" ca="1" si="6"/>
        <v>693300</v>
      </c>
      <c r="B74" s="26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6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1" t="str">
        <f t="shared" si="5"/>
        <v/>
      </c>
    </row>
    <row r="75" spans="1:26" x14ac:dyDescent="0.25">
      <c r="A75" s="17">
        <f t="shared" ca="1" si="6"/>
        <v>693301</v>
      </c>
      <c r="B75" s="26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6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1" t="str">
        <f t="shared" si="5"/>
        <v/>
      </c>
    </row>
    <row r="76" spans="1:26" x14ac:dyDescent="0.25">
      <c r="A76" s="17">
        <f t="shared" ca="1" si="6"/>
        <v>693302</v>
      </c>
      <c r="B76" s="26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6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1" t="str">
        <f t="shared" si="5"/>
        <v/>
      </c>
    </row>
    <row r="77" spans="1:26" x14ac:dyDescent="0.25">
      <c r="A77" s="17">
        <f t="shared" ca="1" si="6"/>
        <v>693303</v>
      </c>
      <c r="B77" s="26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6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1" t="str">
        <f t="shared" si="5"/>
        <v/>
      </c>
    </row>
    <row r="78" spans="1:26" x14ac:dyDescent="0.25">
      <c r="A78" s="17">
        <f t="shared" ca="1" si="6"/>
        <v>693304</v>
      </c>
      <c r="B78" s="26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6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1" t="str">
        <f t="shared" si="5"/>
        <v/>
      </c>
    </row>
    <row r="79" spans="1:26" x14ac:dyDescent="0.25">
      <c r="A79" s="17">
        <f t="shared" ca="1" si="6"/>
        <v>693305</v>
      </c>
      <c r="B79" s="26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6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1" t="str">
        <f t="shared" si="5"/>
        <v/>
      </c>
    </row>
    <row r="80" spans="1:26" x14ac:dyDescent="0.25">
      <c r="A80" s="17">
        <f t="shared" ca="1" si="6"/>
        <v>693306</v>
      </c>
      <c r="B80" s="26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6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1" t="str">
        <f t="shared" si="5"/>
        <v/>
      </c>
    </row>
    <row r="81" spans="1:26" x14ac:dyDescent="0.25">
      <c r="A81" s="17">
        <f t="shared" ca="1" si="6"/>
        <v>693307</v>
      </c>
      <c r="B81" s="26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6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1" t="str">
        <f t="shared" si="5"/>
        <v/>
      </c>
    </row>
    <row r="82" spans="1:26" x14ac:dyDescent="0.25">
      <c r="A82" s="17">
        <f t="shared" ca="1" si="6"/>
        <v>693308</v>
      </c>
      <c r="B82" s="26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6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1" t="str">
        <f t="shared" si="5"/>
        <v/>
      </c>
    </row>
    <row r="83" spans="1:26" x14ac:dyDescent="0.25">
      <c r="A83" s="17">
        <f t="shared" ca="1" si="6"/>
        <v>693309</v>
      </c>
      <c r="B83" s="26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6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1" t="str">
        <f t="shared" si="5"/>
        <v/>
      </c>
    </row>
    <row r="84" spans="1:26" x14ac:dyDescent="0.25">
      <c r="A84" s="17">
        <f t="shared" ca="1" si="6"/>
        <v>693310</v>
      </c>
      <c r="B84" s="26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6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1" t="str">
        <f t="shared" si="5"/>
        <v/>
      </c>
    </row>
    <row r="85" spans="1:26" x14ac:dyDescent="0.25">
      <c r="A85" s="17">
        <f t="shared" ca="1" si="6"/>
        <v>693311</v>
      </c>
      <c r="B85" s="26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6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1" t="str">
        <f t="shared" si="5"/>
        <v/>
      </c>
    </row>
    <row r="86" spans="1:26" x14ac:dyDescent="0.25">
      <c r="A86" s="17">
        <f t="shared" ca="1" si="6"/>
        <v>693312</v>
      </c>
      <c r="B86" s="26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6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1" t="str">
        <f t="shared" si="5"/>
        <v/>
      </c>
    </row>
    <row r="87" spans="1:26" x14ac:dyDescent="0.25">
      <c r="A87" s="17">
        <f t="shared" ca="1" si="6"/>
        <v>693313</v>
      </c>
      <c r="B87" s="26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6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1" t="str">
        <f t="shared" si="5"/>
        <v/>
      </c>
    </row>
    <row r="88" spans="1:26" x14ac:dyDescent="0.25">
      <c r="A88" s="17">
        <f t="shared" ca="1" si="6"/>
        <v>693314</v>
      </c>
      <c r="B88" s="26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6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1" t="str">
        <f t="shared" si="5"/>
        <v/>
      </c>
    </row>
    <row r="89" spans="1:26" x14ac:dyDescent="0.25">
      <c r="A89" s="17">
        <f t="shared" ca="1" si="6"/>
        <v>693315</v>
      </c>
      <c r="B89" s="26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6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1" t="str">
        <f t="shared" si="5"/>
        <v/>
      </c>
    </row>
    <row r="90" spans="1:26" x14ac:dyDescent="0.25">
      <c r="A90" s="17">
        <f t="shared" ca="1" si="6"/>
        <v>693316</v>
      </c>
      <c r="B90" s="26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6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1" t="str">
        <f t="shared" si="5"/>
        <v/>
      </c>
    </row>
    <row r="91" spans="1:26" x14ac:dyDescent="0.25">
      <c r="A91" s="17">
        <f t="shared" ca="1" si="6"/>
        <v>693317</v>
      </c>
      <c r="B91" s="26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6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1" t="str">
        <f t="shared" si="5"/>
        <v/>
      </c>
    </row>
    <row r="92" spans="1:26" x14ac:dyDescent="0.25">
      <c r="A92" s="17">
        <f t="shared" ca="1" si="6"/>
        <v>693318</v>
      </c>
      <c r="B92" s="26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6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1" t="str">
        <f t="shared" si="5"/>
        <v/>
      </c>
    </row>
    <row r="93" spans="1:26" x14ac:dyDescent="0.25">
      <c r="A93" s="17">
        <f t="shared" ca="1" si="6"/>
        <v>693319</v>
      </c>
      <c r="B93" s="26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6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1" t="str">
        <f t="shared" si="5"/>
        <v/>
      </c>
    </row>
    <row r="94" spans="1:26" x14ac:dyDescent="0.25">
      <c r="A94" s="17">
        <f t="shared" ca="1" si="6"/>
        <v>693320</v>
      </c>
      <c r="B94" s="26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6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1" t="str">
        <f t="shared" si="5"/>
        <v/>
      </c>
    </row>
    <row r="95" spans="1:26" x14ac:dyDescent="0.25">
      <c r="A95" s="17">
        <f t="shared" ca="1" si="6"/>
        <v>693321</v>
      </c>
      <c r="B95" s="26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6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1" t="str">
        <f t="shared" si="5"/>
        <v/>
      </c>
    </row>
    <row r="96" spans="1:26" x14ac:dyDescent="0.25">
      <c r="A96" s="17">
        <f t="shared" ca="1" si="6"/>
        <v>693322</v>
      </c>
      <c r="B96" s="26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6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1" t="str">
        <f t="shared" si="5"/>
        <v/>
      </c>
    </row>
    <row r="97" spans="1:26" x14ac:dyDescent="0.25">
      <c r="A97" s="17" t="str">
        <f t="shared" ca="1" si="6"/>
        <v>Totaal</v>
      </c>
      <c r="B97" s="18" t="str">
        <f>IF(COUNT(B66:B96)&gt;0,AVERAGE(B66:B96),"")</f>
        <v/>
      </c>
      <c r="C97" s="19" t="str">
        <f t="shared" ref="C97:Y97" si="7">IF(COUNT(C66:C96)&gt;0,AVERAGE(C66:C96),"")</f>
        <v/>
      </c>
      <c r="D97" s="19" t="str">
        <f t="shared" si="7"/>
        <v/>
      </c>
      <c r="E97" s="19" t="str">
        <f t="shared" si="7"/>
        <v/>
      </c>
      <c r="F97" s="19" t="str">
        <f t="shared" si="7"/>
        <v/>
      </c>
      <c r="G97" s="19" t="str">
        <f t="shared" si="7"/>
        <v/>
      </c>
      <c r="H97" s="19" t="str">
        <f t="shared" si="7"/>
        <v/>
      </c>
      <c r="I97" s="19" t="str">
        <f t="shared" si="7"/>
        <v/>
      </c>
      <c r="J97" s="19" t="str">
        <f t="shared" si="7"/>
        <v/>
      </c>
      <c r="K97" s="19" t="str">
        <f t="shared" si="7"/>
        <v/>
      </c>
      <c r="L97" s="19" t="str">
        <f t="shared" si="7"/>
        <v/>
      </c>
      <c r="M97" s="19" t="str">
        <f t="shared" si="7"/>
        <v/>
      </c>
      <c r="N97" s="18" t="str">
        <f t="shared" si="7"/>
        <v/>
      </c>
      <c r="O97" s="19" t="str">
        <f t="shared" si="7"/>
        <v/>
      </c>
      <c r="P97" s="19" t="str">
        <f t="shared" si="7"/>
        <v/>
      </c>
      <c r="Q97" s="19" t="str">
        <f t="shared" si="7"/>
        <v/>
      </c>
      <c r="R97" s="19" t="str">
        <f t="shared" si="7"/>
        <v/>
      </c>
      <c r="S97" s="19" t="str">
        <f t="shared" si="7"/>
        <v/>
      </c>
      <c r="T97" s="19" t="str">
        <f t="shared" si="7"/>
        <v/>
      </c>
      <c r="U97" s="19" t="str">
        <f t="shared" si="7"/>
        <v/>
      </c>
      <c r="V97" s="19" t="str">
        <f t="shared" si="7"/>
        <v/>
      </c>
      <c r="W97" s="19" t="str">
        <f t="shared" si="7"/>
        <v/>
      </c>
      <c r="X97" s="19" t="str">
        <f t="shared" si="7"/>
        <v/>
      </c>
      <c r="Y97" s="19" t="str">
        <f t="shared" si="7"/>
        <v/>
      </c>
      <c r="Z97" s="20" t="str">
        <f>IF(COUNT(B97:Y97)&gt;0,AVERAGE(B97:Y97),"")</f>
        <v/>
      </c>
    </row>
    <row r="98" spans="1:26" x14ac:dyDescent="0.25">
      <c r="A98" s="17">
        <f t="shared" ca="1" si="6"/>
        <v>693323</v>
      </c>
      <c r="B98" s="26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6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1" t="str">
        <f>IF(COUNT(B98:Y98)&gt;0,SUM(B98:Y98),"")</f>
        <v/>
      </c>
    </row>
    <row r="99" spans="1:26" x14ac:dyDescent="0.25">
      <c r="A99" s="17">
        <f t="shared" ca="1" si="6"/>
        <v>693324</v>
      </c>
      <c r="B99" s="26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6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1" t="str">
        <f t="shared" ref="Z99:Z127" si="8">IF(COUNT(B99:Y99)&gt;0,SUM(B99:Y99),"")</f>
        <v/>
      </c>
    </row>
    <row r="100" spans="1:26" x14ac:dyDescent="0.25">
      <c r="A100" s="17">
        <f t="shared" ca="1" si="6"/>
        <v>693325</v>
      </c>
      <c r="B100" s="26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6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1" t="str">
        <f t="shared" si="8"/>
        <v/>
      </c>
    </row>
    <row r="101" spans="1:26" x14ac:dyDescent="0.25">
      <c r="A101" s="17">
        <f t="shared" ca="1" si="6"/>
        <v>693326</v>
      </c>
      <c r="B101" s="26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6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1" t="str">
        <f t="shared" si="8"/>
        <v/>
      </c>
    </row>
    <row r="102" spans="1:26" x14ac:dyDescent="0.25">
      <c r="A102" s="17">
        <f t="shared" ca="1" si="6"/>
        <v>693327</v>
      </c>
      <c r="B102" s="26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6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1" t="str">
        <f t="shared" si="8"/>
        <v/>
      </c>
    </row>
    <row r="103" spans="1:26" x14ac:dyDescent="0.25">
      <c r="A103" s="17">
        <f t="shared" ca="1" si="6"/>
        <v>693328</v>
      </c>
      <c r="B103" s="26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6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1" t="str">
        <f t="shared" si="8"/>
        <v/>
      </c>
    </row>
    <row r="104" spans="1:26" x14ac:dyDescent="0.25">
      <c r="A104" s="17">
        <f t="shared" ca="1" si="6"/>
        <v>693329</v>
      </c>
      <c r="B104" s="26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6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1" t="str">
        <f t="shared" si="8"/>
        <v/>
      </c>
    </row>
    <row r="105" spans="1:26" x14ac:dyDescent="0.25">
      <c r="A105" s="17">
        <f t="shared" ca="1" si="6"/>
        <v>693330</v>
      </c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6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1" t="str">
        <f t="shared" si="8"/>
        <v/>
      </c>
    </row>
    <row r="106" spans="1:26" x14ac:dyDescent="0.25">
      <c r="A106" s="17">
        <f t="shared" ca="1" si="6"/>
        <v>693331</v>
      </c>
      <c r="B106" s="26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6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1" t="str">
        <f t="shared" si="8"/>
        <v/>
      </c>
    </row>
    <row r="107" spans="1:26" x14ac:dyDescent="0.25">
      <c r="A107" s="17">
        <f t="shared" ca="1" si="6"/>
        <v>693332</v>
      </c>
      <c r="B107" s="26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6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1" t="str">
        <f t="shared" si="8"/>
        <v/>
      </c>
    </row>
    <row r="108" spans="1:26" x14ac:dyDescent="0.25">
      <c r="A108" s="17">
        <f t="shared" ca="1" si="6"/>
        <v>693333</v>
      </c>
      <c r="B108" s="26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6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1" t="str">
        <f t="shared" si="8"/>
        <v/>
      </c>
    </row>
    <row r="109" spans="1:26" x14ac:dyDescent="0.25">
      <c r="A109" s="17">
        <f t="shared" ca="1" si="6"/>
        <v>693334</v>
      </c>
      <c r="B109" s="26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6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1" t="str">
        <f t="shared" si="8"/>
        <v/>
      </c>
    </row>
    <row r="110" spans="1:26" x14ac:dyDescent="0.25">
      <c r="A110" s="17">
        <f t="shared" ca="1" si="6"/>
        <v>693335</v>
      </c>
      <c r="B110" s="26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6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1" t="str">
        <f t="shared" si="8"/>
        <v/>
      </c>
    </row>
    <row r="111" spans="1:26" x14ac:dyDescent="0.25">
      <c r="A111" s="17">
        <f t="shared" ca="1" si="6"/>
        <v>693336</v>
      </c>
      <c r="B111" s="26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6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1" t="str">
        <f t="shared" si="8"/>
        <v/>
      </c>
    </row>
    <row r="112" spans="1:26" x14ac:dyDescent="0.25">
      <c r="A112" s="17">
        <f t="shared" ca="1" si="6"/>
        <v>693337</v>
      </c>
      <c r="B112" s="26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6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1" t="str">
        <f t="shared" si="8"/>
        <v/>
      </c>
    </row>
    <row r="113" spans="1:26" x14ac:dyDescent="0.25">
      <c r="A113" s="17">
        <f t="shared" ca="1" si="6"/>
        <v>693338</v>
      </c>
      <c r="B113" s="26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6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1" t="str">
        <f t="shared" si="8"/>
        <v/>
      </c>
    </row>
    <row r="114" spans="1:26" x14ac:dyDescent="0.25">
      <c r="A114" s="17">
        <f t="shared" ca="1" si="6"/>
        <v>693339</v>
      </c>
      <c r="B114" s="26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6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1" t="str">
        <f t="shared" si="8"/>
        <v/>
      </c>
    </row>
    <row r="115" spans="1:26" x14ac:dyDescent="0.25">
      <c r="A115" s="17">
        <f t="shared" ca="1" si="6"/>
        <v>693340</v>
      </c>
      <c r="B115" s="26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6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1" t="str">
        <f t="shared" si="8"/>
        <v/>
      </c>
    </row>
    <row r="116" spans="1:26" x14ac:dyDescent="0.25">
      <c r="A116" s="17">
        <f t="shared" ca="1" si="6"/>
        <v>693341</v>
      </c>
      <c r="B116" s="26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6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1" t="str">
        <f t="shared" si="8"/>
        <v/>
      </c>
    </row>
    <row r="117" spans="1:26" x14ac:dyDescent="0.25">
      <c r="A117" s="17">
        <f t="shared" ca="1" si="6"/>
        <v>693342</v>
      </c>
      <c r="B117" s="26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6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1" t="str">
        <f t="shared" si="8"/>
        <v/>
      </c>
    </row>
    <row r="118" spans="1:26" x14ac:dyDescent="0.25">
      <c r="A118" s="17">
        <f t="shared" ca="1" si="6"/>
        <v>693343</v>
      </c>
      <c r="B118" s="26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6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1" t="str">
        <f t="shared" si="8"/>
        <v/>
      </c>
    </row>
    <row r="119" spans="1:26" x14ac:dyDescent="0.25">
      <c r="A119" s="17">
        <f t="shared" ca="1" si="6"/>
        <v>693344</v>
      </c>
      <c r="B119" s="26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6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1" t="str">
        <f t="shared" si="8"/>
        <v/>
      </c>
    </row>
    <row r="120" spans="1:26" x14ac:dyDescent="0.25">
      <c r="A120" s="17">
        <f t="shared" ca="1" si="6"/>
        <v>693345</v>
      </c>
      <c r="B120" s="26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6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1" t="str">
        <f t="shared" si="8"/>
        <v/>
      </c>
    </row>
    <row r="121" spans="1:26" x14ac:dyDescent="0.25">
      <c r="A121" s="17">
        <f t="shared" ca="1" si="6"/>
        <v>693346</v>
      </c>
      <c r="B121" s="26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6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1" t="str">
        <f t="shared" si="8"/>
        <v/>
      </c>
    </row>
    <row r="122" spans="1:26" x14ac:dyDescent="0.25">
      <c r="A122" s="17">
        <f t="shared" ca="1" si="6"/>
        <v>693347</v>
      </c>
      <c r="B122" s="26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6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1" t="str">
        <f t="shared" si="8"/>
        <v/>
      </c>
    </row>
    <row r="123" spans="1:26" x14ac:dyDescent="0.25">
      <c r="A123" s="17">
        <f t="shared" ca="1" si="6"/>
        <v>693348</v>
      </c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6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1" t="str">
        <f t="shared" si="8"/>
        <v/>
      </c>
    </row>
    <row r="124" spans="1:26" x14ac:dyDescent="0.25">
      <c r="A124" s="17">
        <f t="shared" ca="1" si="6"/>
        <v>693349</v>
      </c>
      <c r="B124" s="26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6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1" t="str">
        <f t="shared" si="8"/>
        <v/>
      </c>
    </row>
    <row r="125" spans="1:26" x14ac:dyDescent="0.25">
      <c r="A125" s="17">
        <f t="shared" ca="1" si="6"/>
        <v>693350</v>
      </c>
      <c r="B125" s="26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6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1" t="str">
        <f t="shared" si="8"/>
        <v/>
      </c>
    </row>
    <row r="126" spans="1:26" x14ac:dyDescent="0.25">
      <c r="A126" s="17">
        <f t="shared" ca="1" si="6"/>
        <v>693351</v>
      </c>
      <c r="B126" s="26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6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1" t="str">
        <f t="shared" si="8"/>
        <v/>
      </c>
    </row>
    <row r="127" spans="1:26" x14ac:dyDescent="0.25">
      <c r="A127" s="17">
        <f t="shared" ca="1" si="6"/>
        <v>693352</v>
      </c>
      <c r="B127" s="26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6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1" t="str">
        <f t="shared" si="8"/>
        <v/>
      </c>
    </row>
    <row r="128" spans="1:26" x14ac:dyDescent="0.25">
      <c r="A128" s="17" t="str">
        <f t="shared" ca="1" si="6"/>
        <v>Totaal</v>
      </c>
      <c r="B128" s="18" t="str">
        <f t="shared" ref="B128:Y128" si="9">IF(COUNT(B98:B127)&gt;0,AVERAGE(B98:B127),"")</f>
        <v/>
      </c>
      <c r="C128" s="19" t="str">
        <f t="shared" si="9"/>
        <v/>
      </c>
      <c r="D128" s="19" t="str">
        <f t="shared" si="9"/>
        <v/>
      </c>
      <c r="E128" s="19" t="str">
        <f t="shared" si="9"/>
        <v/>
      </c>
      <c r="F128" s="19" t="str">
        <f t="shared" si="9"/>
        <v/>
      </c>
      <c r="G128" s="19" t="str">
        <f t="shared" si="9"/>
        <v/>
      </c>
      <c r="H128" s="19" t="str">
        <f t="shared" si="9"/>
        <v/>
      </c>
      <c r="I128" s="19" t="str">
        <f t="shared" si="9"/>
        <v/>
      </c>
      <c r="J128" s="19" t="str">
        <f t="shared" si="9"/>
        <v/>
      </c>
      <c r="K128" s="19" t="str">
        <f t="shared" si="9"/>
        <v/>
      </c>
      <c r="L128" s="19" t="str">
        <f t="shared" si="9"/>
        <v/>
      </c>
      <c r="M128" s="19" t="str">
        <f t="shared" si="9"/>
        <v/>
      </c>
      <c r="N128" s="18" t="str">
        <f t="shared" si="9"/>
        <v/>
      </c>
      <c r="O128" s="19" t="str">
        <f t="shared" si="9"/>
        <v/>
      </c>
      <c r="P128" s="19" t="str">
        <f t="shared" si="9"/>
        <v/>
      </c>
      <c r="Q128" s="19" t="str">
        <f t="shared" si="9"/>
        <v/>
      </c>
      <c r="R128" s="19" t="str">
        <f t="shared" si="9"/>
        <v/>
      </c>
      <c r="S128" s="19" t="str">
        <f t="shared" si="9"/>
        <v/>
      </c>
      <c r="T128" s="19" t="str">
        <f t="shared" si="9"/>
        <v/>
      </c>
      <c r="U128" s="19" t="str">
        <f t="shared" si="9"/>
        <v/>
      </c>
      <c r="V128" s="19" t="str">
        <f t="shared" si="9"/>
        <v/>
      </c>
      <c r="W128" s="19" t="str">
        <f t="shared" si="9"/>
        <v/>
      </c>
      <c r="X128" s="19" t="str">
        <f t="shared" si="9"/>
        <v/>
      </c>
      <c r="Y128" s="19" t="str">
        <f t="shared" si="9"/>
        <v/>
      </c>
      <c r="Z128" s="20" t="str">
        <f>IF(COUNT(B128:Y128)&gt;0,AVERAGE(B128:Y128),"")</f>
        <v/>
      </c>
    </row>
    <row r="129" spans="1:26" x14ac:dyDescent="0.25">
      <c r="A129" s="17">
        <f t="shared" ca="1" si="6"/>
        <v>693353</v>
      </c>
      <c r="B129" s="26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6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1" t="str">
        <f>IF(COUNT(B129:Y129)&gt;0,SUM(B129:Y129),"")</f>
        <v/>
      </c>
    </row>
    <row r="130" spans="1:26" x14ac:dyDescent="0.25">
      <c r="A130" s="17">
        <f t="shared" ca="1" si="6"/>
        <v>693354</v>
      </c>
      <c r="B130" s="26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6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1" t="str">
        <f t="shared" ref="Z130:Z159" si="10">IF(COUNT(B130:Y130)&gt;0,SUM(B130:Y130),"")</f>
        <v/>
      </c>
    </row>
    <row r="131" spans="1:26" x14ac:dyDescent="0.25">
      <c r="A131" s="17">
        <f t="shared" ca="1" si="6"/>
        <v>693355</v>
      </c>
      <c r="B131" s="26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6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1" t="str">
        <f t="shared" si="10"/>
        <v/>
      </c>
    </row>
    <row r="132" spans="1:26" x14ac:dyDescent="0.25">
      <c r="A132" s="17">
        <f t="shared" ca="1" si="6"/>
        <v>693356</v>
      </c>
      <c r="B132" s="26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6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1" t="str">
        <f t="shared" si="10"/>
        <v/>
      </c>
    </row>
    <row r="133" spans="1:26" x14ac:dyDescent="0.25">
      <c r="A133" s="17">
        <f t="shared" ca="1" si="6"/>
        <v>693357</v>
      </c>
      <c r="B133" s="26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6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1" t="str">
        <f t="shared" si="10"/>
        <v/>
      </c>
    </row>
    <row r="134" spans="1:26" x14ac:dyDescent="0.25">
      <c r="A134" s="17">
        <f t="shared" ca="1" si="6"/>
        <v>693358</v>
      </c>
      <c r="B134" s="26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6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1" t="str">
        <f t="shared" si="10"/>
        <v/>
      </c>
    </row>
    <row r="135" spans="1:26" x14ac:dyDescent="0.25">
      <c r="A135" s="17">
        <f t="shared" ref="A135:A198" ca="1" si="11">IF(ISTEXT(A134),A133+1,IF(MONTH(A134+1)=MONTH(A134),A134+1,"Totaal"))</f>
        <v>693359</v>
      </c>
      <c r="B135" s="26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6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1" t="str">
        <f t="shared" si="10"/>
        <v/>
      </c>
    </row>
    <row r="136" spans="1:26" x14ac:dyDescent="0.25">
      <c r="A136" s="17">
        <f t="shared" ca="1" si="11"/>
        <v>693360</v>
      </c>
      <c r="B136" s="26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6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1" t="str">
        <f t="shared" si="10"/>
        <v/>
      </c>
    </row>
    <row r="137" spans="1:26" x14ac:dyDescent="0.25">
      <c r="A137" s="17">
        <f t="shared" ca="1" si="11"/>
        <v>693361</v>
      </c>
      <c r="B137" s="26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6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1" t="str">
        <f t="shared" si="10"/>
        <v/>
      </c>
    </row>
    <row r="138" spans="1:26" x14ac:dyDescent="0.25">
      <c r="A138" s="17">
        <f t="shared" ca="1" si="11"/>
        <v>693362</v>
      </c>
      <c r="B138" s="26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6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1" t="str">
        <f t="shared" si="10"/>
        <v/>
      </c>
    </row>
    <row r="139" spans="1:26" x14ac:dyDescent="0.25">
      <c r="A139" s="17">
        <f t="shared" ca="1" si="11"/>
        <v>693363</v>
      </c>
      <c r="B139" s="26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6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1" t="str">
        <f t="shared" si="10"/>
        <v/>
      </c>
    </row>
    <row r="140" spans="1:26" x14ac:dyDescent="0.25">
      <c r="A140" s="17">
        <f t="shared" ca="1" si="11"/>
        <v>693364</v>
      </c>
      <c r="B140" s="26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6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1" t="str">
        <f t="shared" si="10"/>
        <v/>
      </c>
    </row>
    <row r="141" spans="1:26" x14ac:dyDescent="0.25">
      <c r="A141" s="17">
        <f t="shared" ca="1" si="11"/>
        <v>693365</v>
      </c>
      <c r="B141" s="26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6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1" t="str">
        <f t="shared" si="10"/>
        <v/>
      </c>
    </row>
    <row r="142" spans="1:26" x14ac:dyDescent="0.25">
      <c r="A142" s="17">
        <f t="shared" ca="1" si="11"/>
        <v>693366</v>
      </c>
      <c r="B142" s="26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6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1" t="str">
        <f t="shared" si="10"/>
        <v/>
      </c>
    </row>
    <row r="143" spans="1:26" x14ac:dyDescent="0.25">
      <c r="A143" s="17">
        <f t="shared" ca="1" si="11"/>
        <v>693367</v>
      </c>
      <c r="B143" s="26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6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1" t="str">
        <f t="shared" si="10"/>
        <v/>
      </c>
    </row>
    <row r="144" spans="1:26" x14ac:dyDescent="0.25">
      <c r="A144" s="17">
        <f t="shared" ca="1" si="11"/>
        <v>693368</v>
      </c>
      <c r="B144" s="26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6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1" t="str">
        <f t="shared" si="10"/>
        <v/>
      </c>
    </row>
    <row r="145" spans="1:26" x14ac:dyDescent="0.25">
      <c r="A145" s="17">
        <f t="shared" ca="1" si="11"/>
        <v>693369</v>
      </c>
      <c r="B145" s="26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6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1" t="str">
        <f t="shared" si="10"/>
        <v/>
      </c>
    </row>
    <row r="146" spans="1:26" x14ac:dyDescent="0.25">
      <c r="A146" s="17">
        <f t="shared" ca="1" si="11"/>
        <v>693370</v>
      </c>
      <c r="B146" s="26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6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1" t="str">
        <f t="shared" si="10"/>
        <v/>
      </c>
    </row>
    <row r="147" spans="1:26" x14ac:dyDescent="0.25">
      <c r="A147" s="17">
        <f t="shared" ca="1" si="11"/>
        <v>693371</v>
      </c>
      <c r="B147" s="26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6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1" t="str">
        <f t="shared" si="10"/>
        <v/>
      </c>
    </row>
    <row r="148" spans="1:26" x14ac:dyDescent="0.25">
      <c r="A148" s="17">
        <f t="shared" ca="1" si="11"/>
        <v>693372</v>
      </c>
      <c r="B148" s="26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6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1" t="str">
        <f t="shared" si="10"/>
        <v/>
      </c>
    </row>
    <row r="149" spans="1:26" x14ac:dyDescent="0.25">
      <c r="A149" s="17">
        <f t="shared" ca="1" si="11"/>
        <v>693373</v>
      </c>
      <c r="B149" s="26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6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1" t="str">
        <f t="shared" si="10"/>
        <v/>
      </c>
    </row>
    <row r="150" spans="1:26" x14ac:dyDescent="0.25">
      <c r="A150" s="17">
        <f t="shared" ca="1" si="11"/>
        <v>693374</v>
      </c>
      <c r="B150" s="26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6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1" t="str">
        <f t="shared" si="10"/>
        <v/>
      </c>
    </row>
    <row r="151" spans="1:26" x14ac:dyDescent="0.25">
      <c r="A151" s="17">
        <f t="shared" ca="1" si="11"/>
        <v>693375</v>
      </c>
      <c r="B151" s="26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6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1" t="str">
        <f t="shared" si="10"/>
        <v/>
      </c>
    </row>
    <row r="152" spans="1:26" x14ac:dyDescent="0.25">
      <c r="A152" s="17">
        <f t="shared" ca="1" si="11"/>
        <v>693376</v>
      </c>
      <c r="B152" s="26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6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1" t="str">
        <f t="shared" si="10"/>
        <v/>
      </c>
    </row>
    <row r="153" spans="1:26" x14ac:dyDescent="0.25">
      <c r="A153" s="17">
        <f t="shared" ca="1" si="11"/>
        <v>693377</v>
      </c>
      <c r="B153" s="26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6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1" t="str">
        <f t="shared" si="10"/>
        <v/>
      </c>
    </row>
    <row r="154" spans="1:26" x14ac:dyDescent="0.25">
      <c r="A154" s="17">
        <f t="shared" ca="1" si="11"/>
        <v>693378</v>
      </c>
      <c r="B154" s="26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6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1" t="str">
        <f t="shared" si="10"/>
        <v/>
      </c>
    </row>
    <row r="155" spans="1:26" x14ac:dyDescent="0.25">
      <c r="A155" s="17">
        <f t="shared" ca="1" si="11"/>
        <v>693379</v>
      </c>
      <c r="B155" s="26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6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1" t="str">
        <f t="shared" si="10"/>
        <v/>
      </c>
    </row>
    <row r="156" spans="1:26" x14ac:dyDescent="0.25">
      <c r="A156" s="17">
        <f t="shared" ca="1" si="11"/>
        <v>693380</v>
      </c>
      <c r="B156" s="26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6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1" t="str">
        <f t="shared" si="10"/>
        <v/>
      </c>
    </row>
    <row r="157" spans="1:26" x14ac:dyDescent="0.25">
      <c r="A157" s="17">
        <f t="shared" ca="1" si="11"/>
        <v>693381</v>
      </c>
      <c r="B157" s="26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6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1" t="str">
        <f t="shared" si="10"/>
        <v/>
      </c>
    </row>
    <row r="158" spans="1:26" x14ac:dyDescent="0.25">
      <c r="A158" s="17">
        <f t="shared" ca="1" si="11"/>
        <v>693382</v>
      </c>
      <c r="B158" s="26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6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1" t="str">
        <f t="shared" si="10"/>
        <v/>
      </c>
    </row>
    <row r="159" spans="1:26" x14ac:dyDescent="0.25">
      <c r="A159" s="17">
        <f t="shared" ca="1" si="11"/>
        <v>693383</v>
      </c>
      <c r="B159" s="26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6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1" t="str">
        <f t="shared" si="10"/>
        <v/>
      </c>
    </row>
    <row r="160" spans="1:26" x14ac:dyDescent="0.25">
      <c r="A160" s="17" t="str">
        <f t="shared" ca="1" si="11"/>
        <v>Totaal</v>
      </c>
      <c r="B160" s="18" t="str">
        <f>IF(COUNT(B129:B159)&gt;0,AVERAGE(B129:B159),"")</f>
        <v/>
      </c>
      <c r="C160" s="19" t="str">
        <f t="shared" ref="C160:Y160" si="12">IF(COUNT(C129:C159)&gt;0,AVERAGE(C129:C159),"")</f>
        <v/>
      </c>
      <c r="D160" s="19" t="str">
        <f t="shared" si="12"/>
        <v/>
      </c>
      <c r="E160" s="19" t="str">
        <f t="shared" si="12"/>
        <v/>
      </c>
      <c r="F160" s="19" t="str">
        <f t="shared" si="12"/>
        <v/>
      </c>
      <c r="G160" s="19" t="str">
        <f t="shared" si="12"/>
        <v/>
      </c>
      <c r="H160" s="19" t="str">
        <f t="shared" si="12"/>
        <v/>
      </c>
      <c r="I160" s="19" t="str">
        <f t="shared" si="12"/>
        <v/>
      </c>
      <c r="J160" s="19" t="str">
        <f t="shared" si="12"/>
        <v/>
      </c>
      <c r="K160" s="19" t="str">
        <f t="shared" si="12"/>
        <v/>
      </c>
      <c r="L160" s="19" t="str">
        <f t="shared" si="12"/>
        <v/>
      </c>
      <c r="M160" s="19" t="str">
        <f t="shared" si="12"/>
        <v/>
      </c>
      <c r="N160" s="18" t="str">
        <f t="shared" si="12"/>
        <v/>
      </c>
      <c r="O160" s="19" t="str">
        <f t="shared" si="12"/>
        <v/>
      </c>
      <c r="P160" s="19" t="str">
        <f t="shared" si="12"/>
        <v/>
      </c>
      <c r="Q160" s="19" t="str">
        <f t="shared" si="12"/>
        <v/>
      </c>
      <c r="R160" s="19" t="str">
        <f t="shared" si="12"/>
        <v/>
      </c>
      <c r="S160" s="19" t="str">
        <f t="shared" si="12"/>
        <v/>
      </c>
      <c r="T160" s="19" t="str">
        <f t="shared" si="12"/>
        <v/>
      </c>
      <c r="U160" s="19" t="str">
        <f t="shared" si="12"/>
        <v/>
      </c>
      <c r="V160" s="19" t="str">
        <f t="shared" si="12"/>
        <v/>
      </c>
      <c r="W160" s="19" t="str">
        <f t="shared" si="12"/>
        <v/>
      </c>
      <c r="X160" s="19" t="str">
        <f t="shared" si="12"/>
        <v/>
      </c>
      <c r="Y160" s="19" t="str">
        <f t="shared" si="12"/>
        <v/>
      </c>
      <c r="Z160" s="20" t="str">
        <f>IF(COUNT(B160:Y160)&gt;0,AVERAGE(B160:Y160),"")</f>
        <v/>
      </c>
    </row>
    <row r="161" spans="1:26" x14ac:dyDescent="0.25">
      <c r="A161" s="17">
        <f t="shared" ca="1" si="11"/>
        <v>693384</v>
      </c>
      <c r="B161" s="26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6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1" t="str">
        <f>IF(COUNT(B161:Y161)&gt;0,SUM(B161:Y161),"")</f>
        <v/>
      </c>
    </row>
    <row r="162" spans="1:26" x14ac:dyDescent="0.25">
      <c r="A162" s="17">
        <f t="shared" ca="1" si="11"/>
        <v>693385</v>
      </c>
      <c r="B162" s="26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6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1" t="str">
        <f t="shared" ref="Z162:Z190" si="13">IF(COUNT(B162:Y162)&gt;0,SUM(B162:Y162),"")</f>
        <v/>
      </c>
    </row>
    <row r="163" spans="1:26" x14ac:dyDescent="0.25">
      <c r="A163" s="17">
        <f t="shared" ca="1" si="11"/>
        <v>693386</v>
      </c>
      <c r="B163" s="26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6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1" t="str">
        <f t="shared" si="13"/>
        <v/>
      </c>
    </row>
    <row r="164" spans="1:26" x14ac:dyDescent="0.25">
      <c r="A164" s="17">
        <f t="shared" ca="1" si="11"/>
        <v>693387</v>
      </c>
      <c r="B164" s="26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6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1" t="str">
        <f t="shared" si="13"/>
        <v/>
      </c>
    </row>
    <row r="165" spans="1:26" x14ac:dyDescent="0.25">
      <c r="A165" s="17">
        <f t="shared" ca="1" si="11"/>
        <v>693388</v>
      </c>
      <c r="B165" s="26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6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1" t="str">
        <f t="shared" si="13"/>
        <v/>
      </c>
    </row>
    <row r="166" spans="1:26" x14ac:dyDescent="0.25">
      <c r="A166" s="17">
        <f t="shared" ca="1" si="11"/>
        <v>693389</v>
      </c>
      <c r="B166" s="26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6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1" t="str">
        <f t="shared" si="13"/>
        <v/>
      </c>
    </row>
    <row r="167" spans="1:26" x14ac:dyDescent="0.25">
      <c r="A167" s="17">
        <f t="shared" ca="1" si="11"/>
        <v>693390</v>
      </c>
      <c r="B167" s="26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6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1" t="str">
        <f t="shared" si="13"/>
        <v/>
      </c>
    </row>
    <row r="168" spans="1:26" x14ac:dyDescent="0.25">
      <c r="A168" s="17">
        <f t="shared" ca="1" si="11"/>
        <v>693391</v>
      </c>
      <c r="B168" s="26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6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1" t="str">
        <f t="shared" si="13"/>
        <v/>
      </c>
    </row>
    <row r="169" spans="1:26" x14ac:dyDescent="0.25">
      <c r="A169" s="17">
        <f t="shared" ca="1" si="11"/>
        <v>693392</v>
      </c>
      <c r="B169" s="26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6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1" t="str">
        <f t="shared" si="13"/>
        <v/>
      </c>
    </row>
    <row r="170" spans="1:26" x14ac:dyDescent="0.25">
      <c r="A170" s="17">
        <f t="shared" ca="1" si="11"/>
        <v>693393</v>
      </c>
      <c r="B170" s="26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6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1" t="str">
        <f t="shared" si="13"/>
        <v/>
      </c>
    </row>
    <row r="171" spans="1:26" x14ac:dyDescent="0.25">
      <c r="A171" s="17">
        <f t="shared" ca="1" si="11"/>
        <v>693394</v>
      </c>
      <c r="B171" s="26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6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1" t="str">
        <f t="shared" si="13"/>
        <v/>
      </c>
    </row>
    <row r="172" spans="1:26" x14ac:dyDescent="0.25">
      <c r="A172" s="17">
        <f t="shared" ca="1" si="11"/>
        <v>693395</v>
      </c>
      <c r="B172" s="26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6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1" t="str">
        <f t="shared" si="13"/>
        <v/>
      </c>
    </row>
    <row r="173" spans="1:26" x14ac:dyDescent="0.25">
      <c r="A173" s="17">
        <f t="shared" ca="1" si="11"/>
        <v>693396</v>
      </c>
      <c r="B173" s="26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6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1" t="str">
        <f t="shared" si="13"/>
        <v/>
      </c>
    </row>
    <row r="174" spans="1:26" x14ac:dyDescent="0.25">
      <c r="A174" s="17">
        <f t="shared" ca="1" si="11"/>
        <v>693397</v>
      </c>
      <c r="B174" s="26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6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1" t="str">
        <f t="shared" si="13"/>
        <v/>
      </c>
    </row>
    <row r="175" spans="1:26" x14ac:dyDescent="0.25">
      <c r="A175" s="17">
        <f t="shared" ca="1" si="11"/>
        <v>693398</v>
      </c>
      <c r="B175" s="26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6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1" t="str">
        <f t="shared" si="13"/>
        <v/>
      </c>
    </row>
    <row r="176" spans="1:26" x14ac:dyDescent="0.25">
      <c r="A176" s="17">
        <f t="shared" ca="1" si="11"/>
        <v>693399</v>
      </c>
      <c r="B176" s="26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6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1" t="str">
        <f t="shared" si="13"/>
        <v/>
      </c>
    </row>
    <row r="177" spans="1:26" x14ac:dyDescent="0.25">
      <c r="A177" s="17">
        <f t="shared" ca="1" si="11"/>
        <v>693400</v>
      </c>
      <c r="B177" s="26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6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1" t="str">
        <f t="shared" si="13"/>
        <v/>
      </c>
    </row>
    <row r="178" spans="1:26" x14ac:dyDescent="0.25">
      <c r="A178" s="17">
        <f t="shared" ca="1" si="11"/>
        <v>693401</v>
      </c>
      <c r="B178" s="26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6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1" t="str">
        <f t="shared" si="13"/>
        <v/>
      </c>
    </row>
    <row r="179" spans="1:26" x14ac:dyDescent="0.25">
      <c r="A179" s="17">
        <f t="shared" ca="1" si="11"/>
        <v>693402</v>
      </c>
      <c r="B179" s="26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6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1" t="str">
        <f t="shared" si="13"/>
        <v/>
      </c>
    </row>
    <row r="180" spans="1:26" x14ac:dyDescent="0.25">
      <c r="A180" s="17">
        <f t="shared" ca="1" si="11"/>
        <v>693403</v>
      </c>
      <c r="B180" s="26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6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1" t="str">
        <f t="shared" si="13"/>
        <v/>
      </c>
    </row>
    <row r="181" spans="1:26" x14ac:dyDescent="0.25">
      <c r="A181" s="17">
        <f t="shared" ca="1" si="11"/>
        <v>693404</v>
      </c>
      <c r="B181" s="26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6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1" t="str">
        <f t="shared" si="13"/>
        <v/>
      </c>
    </row>
    <row r="182" spans="1:26" x14ac:dyDescent="0.25">
      <c r="A182" s="17">
        <f t="shared" ca="1" si="11"/>
        <v>693405</v>
      </c>
      <c r="B182" s="26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6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1" t="str">
        <f t="shared" si="13"/>
        <v/>
      </c>
    </row>
    <row r="183" spans="1:26" x14ac:dyDescent="0.25">
      <c r="A183" s="17">
        <f t="shared" ca="1" si="11"/>
        <v>693406</v>
      </c>
      <c r="B183" s="26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6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1" t="str">
        <f t="shared" si="13"/>
        <v/>
      </c>
    </row>
    <row r="184" spans="1:26" x14ac:dyDescent="0.25">
      <c r="A184" s="17">
        <f t="shared" ca="1" si="11"/>
        <v>693407</v>
      </c>
      <c r="B184" s="26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6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1" t="str">
        <f t="shared" si="13"/>
        <v/>
      </c>
    </row>
    <row r="185" spans="1:26" x14ac:dyDescent="0.25">
      <c r="A185" s="17">
        <f t="shared" ca="1" si="11"/>
        <v>693408</v>
      </c>
      <c r="B185" s="26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6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1" t="str">
        <f t="shared" si="13"/>
        <v/>
      </c>
    </row>
    <row r="186" spans="1:26" x14ac:dyDescent="0.25">
      <c r="A186" s="17">
        <f t="shared" ca="1" si="11"/>
        <v>693409</v>
      </c>
      <c r="B186" s="26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6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1" t="str">
        <f t="shared" si="13"/>
        <v/>
      </c>
    </row>
    <row r="187" spans="1:26" x14ac:dyDescent="0.25">
      <c r="A187" s="17">
        <f t="shared" ca="1" si="11"/>
        <v>693410</v>
      </c>
      <c r="B187" s="26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6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1" t="str">
        <f t="shared" si="13"/>
        <v/>
      </c>
    </row>
    <row r="188" spans="1:26" x14ac:dyDescent="0.25">
      <c r="A188" s="17">
        <f t="shared" ca="1" si="11"/>
        <v>693411</v>
      </c>
      <c r="B188" s="26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6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1" t="str">
        <f t="shared" si="13"/>
        <v/>
      </c>
    </row>
    <row r="189" spans="1:26" x14ac:dyDescent="0.25">
      <c r="A189" s="17">
        <f t="shared" ca="1" si="11"/>
        <v>693412</v>
      </c>
      <c r="B189" s="26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6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1" t="str">
        <f t="shared" si="13"/>
        <v/>
      </c>
    </row>
    <row r="190" spans="1:26" x14ac:dyDescent="0.25">
      <c r="A190" s="17">
        <f t="shared" ca="1" si="11"/>
        <v>693413</v>
      </c>
      <c r="B190" s="26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6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1" t="str">
        <f t="shared" si="13"/>
        <v/>
      </c>
    </row>
    <row r="191" spans="1:26" x14ac:dyDescent="0.25">
      <c r="A191" s="17" t="str">
        <f t="shared" ca="1" si="11"/>
        <v>Totaal</v>
      </c>
      <c r="B191" s="18" t="str">
        <f t="shared" ref="B191:Y191" si="14">IF(COUNT(B161:B190)&gt;0,AVERAGE(B161:B190),"")</f>
        <v/>
      </c>
      <c r="C191" s="19" t="str">
        <f t="shared" si="14"/>
        <v/>
      </c>
      <c r="D191" s="19" t="str">
        <f t="shared" si="14"/>
        <v/>
      </c>
      <c r="E191" s="19" t="str">
        <f t="shared" si="14"/>
        <v/>
      </c>
      <c r="F191" s="19" t="str">
        <f t="shared" si="14"/>
        <v/>
      </c>
      <c r="G191" s="19" t="str">
        <f t="shared" si="14"/>
        <v/>
      </c>
      <c r="H191" s="19" t="str">
        <f t="shared" si="14"/>
        <v/>
      </c>
      <c r="I191" s="19" t="str">
        <f t="shared" si="14"/>
        <v/>
      </c>
      <c r="J191" s="19" t="str">
        <f t="shared" si="14"/>
        <v/>
      </c>
      <c r="K191" s="19" t="str">
        <f t="shared" si="14"/>
        <v/>
      </c>
      <c r="L191" s="19" t="str">
        <f t="shared" si="14"/>
        <v/>
      </c>
      <c r="M191" s="19" t="str">
        <f t="shared" si="14"/>
        <v/>
      </c>
      <c r="N191" s="18" t="str">
        <f t="shared" si="14"/>
        <v/>
      </c>
      <c r="O191" s="19" t="str">
        <f t="shared" si="14"/>
        <v/>
      </c>
      <c r="P191" s="19" t="str">
        <f t="shared" si="14"/>
        <v/>
      </c>
      <c r="Q191" s="19" t="str">
        <f t="shared" si="14"/>
        <v/>
      </c>
      <c r="R191" s="19" t="str">
        <f t="shared" si="14"/>
        <v/>
      </c>
      <c r="S191" s="19" t="str">
        <f t="shared" si="14"/>
        <v/>
      </c>
      <c r="T191" s="19" t="str">
        <f t="shared" si="14"/>
        <v/>
      </c>
      <c r="U191" s="19" t="str">
        <f t="shared" si="14"/>
        <v/>
      </c>
      <c r="V191" s="19" t="str">
        <f t="shared" si="14"/>
        <v/>
      </c>
      <c r="W191" s="19" t="str">
        <f t="shared" si="14"/>
        <v/>
      </c>
      <c r="X191" s="19" t="str">
        <f t="shared" si="14"/>
        <v/>
      </c>
      <c r="Y191" s="19" t="str">
        <f t="shared" si="14"/>
        <v/>
      </c>
      <c r="Z191" s="20" t="str">
        <f>IF(COUNT(B191:Y191)&gt;0,AVERAGE(B191:Y191),"")</f>
        <v/>
      </c>
    </row>
    <row r="192" spans="1:26" x14ac:dyDescent="0.25">
      <c r="A192" s="17">
        <f t="shared" ca="1" si="11"/>
        <v>693414</v>
      </c>
      <c r="B192" s="26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6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1" t="str">
        <f>IF(COUNT(B192:Y192)&gt;0,SUM(B192:Y192),"")</f>
        <v/>
      </c>
    </row>
    <row r="193" spans="1:26" x14ac:dyDescent="0.25">
      <c r="A193" s="17">
        <f t="shared" ca="1" si="11"/>
        <v>693415</v>
      </c>
      <c r="B193" s="26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6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1" t="str">
        <f t="shared" ref="Z193:Z222" si="15">IF(COUNT(B193:Y193)&gt;0,SUM(B193:Y193),"")</f>
        <v/>
      </c>
    </row>
    <row r="194" spans="1:26" x14ac:dyDescent="0.25">
      <c r="A194" s="17">
        <f t="shared" ca="1" si="11"/>
        <v>693416</v>
      </c>
      <c r="B194" s="26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6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1" t="str">
        <f t="shared" si="15"/>
        <v/>
      </c>
    </row>
    <row r="195" spans="1:26" x14ac:dyDescent="0.25">
      <c r="A195" s="17">
        <f t="shared" ca="1" si="11"/>
        <v>693417</v>
      </c>
      <c r="B195" s="26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6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1" t="str">
        <f t="shared" si="15"/>
        <v/>
      </c>
    </row>
    <row r="196" spans="1:26" x14ac:dyDescent="0.25">
      <c r="A196" s="17">
        <f t="shared" ca="1" si="11"/>
        <v>693418</v>
      </c>
      <c r="B196" s="26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6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1" t="str">
        <f t="shared" si="15"/>
        <v/>
      </c>
    </row>
    <row r="197" spans="1:26" x14ac:dyDescent="0.25">
      <c r="A197" s="17">
        <f t="shared" ca="1" si="11"/>
        <v>693419</v>
      </c>
      <c r="B197" s="26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6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1" t="str">
        <f t="shared" si="15"/>
        <v/>
      </c>
    </row>
    <row r="198" spans="1:26" x14ac:dyDescent="0.25">
      <c r="A198" s="17">
        <f t="shared" ca="1" si="11"/>
        <v>693420</v>
      </c>
      <c r="B198" s="26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6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1" t="str">
        <f t="shared" si="15"/>
        <v/>
      </c>
    </row>
    <row r="199" spans="1:26" x14ac:dyDescent="0.25">
      <c r="A199" s="17">
        <f t="shared" ref="A199:A262" ca="1" si="16">IF(ISTEXT(A198),A197+1,IF(MONTH(A198+1)=MONTH(A198),A198+1,"Totaal"))</f>
        <v>693421</v>
      </c>
      <c r="B199" s="26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6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1" t="str">
        <f t="shared" si="15"/>
        <v/>
      </c>
    </row>
    <row r="200" spans="1:26" x14ac:dyDescent="0.25">
      <c r="A200" s="17">
        <f t="shared" ca="1" si="16"/>
        <v>693422</v>
      </c>
      <c r="B200" s="26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6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1" t="str">
        <f t="shared" si="15"/>
        <v/>
      </c>
    </row>
    <row r="201" spans="1:26" x14ac:dyDescent="0.25">
      <c r="A201" s="17">
        <f t="shared" ca="1" si="16"/>
        <v>693423</v>
      </c>
      <c r="B201" s="26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6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1" t="str">
        <f t="shared" si="15"/>
        <v/>
      </c>
    </row>
    <row r="202" spans="1:26" x14ac:dyDescent="0.25">
      <c r="A202" s="17">
        <f t="shared" ca="1" si="16"/>
        <v>693424</v>
      </c>
      <c r="B202" s="26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6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1" t="str">
        <f t="shared" si="15"/>
        <v/>
      </c>
    </row>
    <row r="203" spans="1:26" x14ac:dyDescent="0.25">
      <c r="A203" s="17">
        <f t="shared" ca="1" si="16"/>
        <v>693425</v>
      </c>
      <c r="B203" s="26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6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1" t="str">
        <f t="shared" si="15"/>
        <v/>
      </c>
    </row>
    <row r="204" spans="1:26" x14ac:dyDescent="0.25">
      <c r="A204" s="17">
        <f t="shared" ca="1" si="16"/>
        <v>693426</v>
      </c>
      <c r="B204" s="26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6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1" t="str">
        <f t="shared" si="15"/>
        <v/>
      </c>
    </row>
    <row r="205" spans="1:26" x14ac:dyDescent="0.25">
      <c r="A205" s="17">
        <f t="shared" ca="1" si="16"/>
        <v>693427</v>
      </c>
      <c r="B205" s="26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6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1" t="str">
        <f t="shared" si="15"/>
        <v/>
      </c>
    </row>
    <row r="206" spans="1:26" x14ac:dyDescent="0.25">
      <c r="A206" s="17">
        <f t="shared" ca="1" si="16"/>
        <v>693428</v>
      </c>
      <c r="B206" s="26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6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1" t="str">
        <f t="shared" si="15"/>
        <v/>
      </c>
    </row>
    <row r="207" spans="1:26" x14ac:dyDescent="0.25">
      <c r="A207" s="17">
        <f t="shared" ca="1" si="16"/>
        <v>693429</v>
      </c>
      <c r="B207" s="26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6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1" t="str">
        <f t="shared" si="15"/>
        <v/>
      </c>
    </row>
    <row r="208" spans="1:26" x14ac:dyDescent="0.25">
      <c r="A208" s="17">
        <f t="shared" ca="1" si="16"/>
        <v>693430</v>
      </c>
      <c r="B208" s="26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6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1" t="str">
        <f t="shared" si="15"/>
        <v/>
      </c>
    </row>
    <row r="209" spans="1:26" x14ac:dyDescent="0.25">
      <c r="A209" s="17">
        <f t="shared" ca="1" si="16"/>
        <v>693431</v>
      </c>
      <c r="B209" s="26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6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1" t="str">
        <f t="shared" si="15"/>
        <v/>
      </c>
    </row>
    <row r="210" spans="1:26" x14ac:dyDescent="0.25">
      <c r="A210" s="17">
        <f t="shared" ca="1" si="16"/>
        <v>693432</v>
      </c>
      <c r="B210" s="26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6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1" t="str">
        <f t="shared" si="15"/>
        <v/>
      </c>
    </row>
    <row r="211" spans="1:26" x14ac:dyDescent="0.25">
      <c r="A211" s="17">
        <f t="shared" ca="1" si="16"/>
        <v>693433</v>
      </c>
      <c r="B211" s="26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6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1" t="str">
        <f t="shared" si="15"/>
        <v/>
      </c>
    </row>
    <row r="212" spans="1:26" x14ac:dyDescent="0.25">
      <c r="A212" s="17">
        <f t="shared" ca="1" si="16"/>
        <v>693434</v>
      </c>
      <c r="B212" s="26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6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1" t="str">
        <f t="shared" si="15"/>
        <v/>
      </c>
    </row>
    <row r="213" spans="1:26" x14ac:dyDescent="0.25">
      <c r="A213" s="17">
        <f t="shared" ca="1" si="16"/>
        <v>693435</v>
      </c>
      <c r="B213" s="26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6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1" t="str">
        <f t="shared" si="15"/>
        <v/>
      </c>
    </row>
    <row r="214" spans="1:26" x14ac:dyDescent="0.25">
      <c r="A214" s="17">
        <f t="shared" ca="1" si="16"/>
        <v>693436</v>
      </c>
      <c r="B214" s="26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6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1" t="str">
        <f t="shared" si="15"/>
        <v/>
      </c>
    </row>
    <row r="215" spans="1:26" x14ac:dyDescent="0.25">
      <c r="A215" s="17">
        <f t="shared" ca="1" si="16"/>
        <v>693437</v>
      </c>
      <c r="B215" s="26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6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1" t="str">
        <f t="shared" si="15"/>
        <v/>
      </c>
    </row>
    <row r="216" spans="1:26" x14ac:dyDescent="0.25">
      <c r="A216" s="17">
        <f t="shared" ca="1" si="16"/>
        <v>693438</v>
      </c>
      <c r="B216" s="26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6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1" t="str">
        <f t="shared" si="15"/>
        <v/>
      </c>
    </row>
    <row r="217" spans="1:26" x14ac:dyDescent="0.25">
      <c r="A217" s="17">
        <f t="shared" ca="1" si="16"/>
        <v>693439</v>
      </c>
      <c r="B217" s="26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6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1" t="str">
        <f t="shared" si="15"/>
        <v/>
      </c>
    </row>
    <row r="218" spans="1:26" x14ac:dyDescent="0.25">
      <c r="A218" s="17">
        <f t="shared" ca="1" si="16"/>
        <v>693440</v>
      </c>
      <c r="B218" s="26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6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1" t="str">
        <f t="shared" si="15"/>
        <v/>
      </c>
    </row>
    <row r="219" spans="1:26" x14ac:dyDescent="0.25">
      <c r="A219" s="17">
        <f t="shared" ca="1" si="16"/>
        <v>693441</v>
      </c>
      <c r="B219" s="26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6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1" t="str">
        <f t="shared" si="15"/>
        <v/>
      </c>
    </row>
    <row r="220" spans="1:26" x14ac:dyDescent="0.25">
      <c r="A220" s="17">
        <f t="shared" ca="1" si="16"/>
        <v>693442</v>
      </c>
      <c r="B220" s="26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6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1" t="str">
        <f t="shared" si="15"/>
        <v/>
      </c>
    </row>
    <row r="221" spans="1:26" x14ac:dyDescent="0.25">
      <c r="A221" s="17">
        <f t="shared" ca="1" si="16"/>
        <v>693443</v>
      </c>
      <c r="B221" s="26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6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1" t="str">
        <f t="shared" si="15"/>
        <v/>
      </c>
    </row>
    <row r="222" spans="1:26" x14ac:dyDescent="0.25">
      <c r="A222" s="17">
        <f t="shared" ca="1" si="16"/>
        <v>693444</v>
      </c>
      <c r="B222" s="26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6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1" t="str">
        <f t="shared" si="15"/>
        <v/>
      </c>
    </row>
    <row r="223" spans="1:26" x14ac:dyDescent="0.25">
      <c r="A223" s="17" t="str">
        <f t="shared" ca="1" si="16"/>
        <v>Totaal</v>
      </c>
      <c r="B223" s="18" t="str">
        <f>IF(COUNT(B192:B222)&gt;0,AVERAGE(B192:B222),"")</f>
        <v/>
      </c>
      <c r="C223" s="19" t="str">
        <f t="shared" ref="C223:Y223" si="17">IF(COUNT(C192:C222)&gt;0,AVERAGE(C192:C222),"")</f>
        <v/>
      </c>
      <c r="D223" s="19" t="str">
        <f t="shared" si="17"/>
        <v/>
      </c>
      <c r="E223" s="19" t="str">
        <f t="shared" si="17"/>
        <v/>
      </c>
      <c r="F223" s="19" t="str">
        <f t="shared" si="17"/>
        <v/>
      </c>
      <c r="G223" s="19" t="str">
        <f t="shared" si="17"/>
        <v/>
      </c>
      <c r="H223" s="19" t="str">
        <f t="shared" si="17"/>
        <v/>
      </c>
      <c r="I223" s="19" t="str">
        <f t="shared" si="17"/>
        <v/>
      </c>
      <c r="J223" s="19" t="str">
        <f t="shared" si="17"/>
        <v/>
      </c>
      <c r="K223" s="19" t="str">
        <f t="shared" si="17"/>
        <v/>
      </c>
      <c r="L223" s="19" t="str">
        <f t="shared" si="17"/>
        <v/>
      </c>
      <c r="M223" s="19" t="str">
        <f t="shared" si="17"/>
        <v/>
      </c>
      <c r="N223" s="18" t="str">
        <f t="shared" si="17"/>
        <v/>
      </c>
      <c r="O223" s="19" t="str">
        <f t="shared" si="17"/>
        <v/>
      </c>
      <c r="P223" s="19" t="str">
        <f t="shared" si="17"/>
        <v/>
      </c>
      <c r="Q223" s="19" t="str">
        <f t="shared" si="17"/>
        <v/>
      </c>
      <c r="R223" s="19" t="str">
        <f t="shared" si="17"/>
        <v/>
      </c>
      <c r="S223" s="19" t="str">
        <f t="shared" si="17"/>
        <v/>
      </c>
      <c r="T223" s="19" t="str">
        <f t="shared" si="17"/>
        <v/>
      </c>
      <c r="U223" s="19" t="str">
        <f t="shared" si="17"/>
        <v/>
      </c>
      <c r="V223" s="19" t="str">
        <f t="shared" si="17"/>
        <v/>
      </c>
      <c r="W223" s="19" t="str">
        <f t="shared" si="17"/>
        <v/>
      </c>
      <c r="X223" s="19" t="str">
        <f t="shared" si="17"/>
        <v/>
      </c>
      <c r="Y223" s="19" t="str">
        <f t="shared" si="17"/>
        <v/>
      </c>
      <c r="Z223" s="20" t="str">
        <f>IF(COUNT(B223:Y223)&gt;0,AVERAGE(B223:Y223),"")</f>
        <v/>
      </c>
    </row>
    <row r="224" spans="1:26" x14ac:dyDescent="0.25">
      <c r="A224" s="17">
        <f t="shared" ca="1" si="16"/>
        <v>693445</v>
      </c>
      <c r="B224" s="26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6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1" t="str">
        <f>IF(COUNT(B224:Y224)&gt;0,SUM(B224:Y224),"")</f>
        <v/>
      </c>
    </row>
    <row r="225" spans="1:26" x14ac:dyDescent="0.25">
      <c r="A225" s="17">
        <f t="shared" ca="1" si="16"/>
        <v>693446</v>
      </c>
      <c r="B225" s="26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6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1" t="str">
        <f t="shared" ref="Z225:Z254" si="18">IF(COUNT(B225:Y225)&gt;0,SUM(B225:Y225),"")</f>
        <v/>
      </c>
    </row>
    <row r="226" spans="1:26" x14ac:dyDescent="0.25">
      <c r="A226" s="17">
        <f t="shared" ca="1" si="16"/>
        <v>693447</v>
      </c>
      <c r="B226" s="26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6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1" t="str">
        <f t="shared" si="18"/>
        <v/>
      </c>
    </row>
    <row r="227" spans="1:26" x14ac:dyDescent="0.25">
      <c r="A227" s="17">
        <f t="shared" ca="1" si="16"/>
        <v>693448</v>
      </c>
      <c r="B227" s="26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6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1" t="str">
        <f t="shared" si="18"/>
        <v/>
      </c>
    </row>
    <row r="228" spans="1:26" x14ac:dyDescent="0.25">
      <c r="A228" s="17">
        <f t="shared" ca="1" si="16"/>
        <v>693449</v>
      </c>
      <c r="B228" s="26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6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1" t="str">
        <f t="shared" si="18"/>
        <v/>
      </c>
    </row>
    <row r="229" spans="1:26" x14ac:dyDescent="0.25">
      <c r="A229" s="17">
        <f t="shared" ca="1" si="16"/>
        <v>693450</v>
      </c>
      <c r="B229" s="26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6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1" t="str">
        <f t="shared" si="18"/>
        <v/>
      </c>
    </row>
    <row r="230" spans="1:26" x14ac:dyDescent="0.25">
      <c r="A230" s="17">
        <f t="shared" ca="1" si="16"/>
        <v>693451</v>
      </c>
      <c r="B230" s="26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6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1" t="str">
        <f t="shared" si="18"/>
        <v/>
      </c>
    </row>
    <row r="231" spans="1:26" x14ac:dyDescent="0.25">
      <c r="A231" s="17">
        <f t="shared" ca="1" si="16"/>
        <v>693452</v>
      </c>
      <c r="B231" s="26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6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1" t="str">
        <f t="shared" si="18"/>
        <v/>
      </c>
    </row>
    <row r="232" spans="1:26" x14ac:dyDescent="0.25">
      <c r="A232" s="17">
        <f t="shared" ca="1" si="16"/>
        <v>693453</v>
      </c>
      <c r="B232" s="26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6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1" t="str">
        <f t="shared" si="18"/>
        <v/>
      </c>
    </row>
    <row r="233" spans="1:26" x14ac:dyDescent="0.25">
      <c r="A233" s="17">
        <f t="shared" ca="1" si="16"/>
        <v>693454</v>
      </c>
      <c r="B233" s="26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6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1" t="str">
        <f t="shared" si="18"/>
        <v/>
      </c>
    </row>
    <row r="234" spans="1:26" x14ac:dyDescent="0.25">
      <c r="A234" s="17">
        <f t="shared" ca="1" si="16"/>
        <v>693455</v>
      </c>
      <c r="B234" s="26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6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1" t="str">
        <f t="shared" si="18"/>
        <v/>
      </c>
    </row>
    <row r="235" spans="1:26" x14ac:dyDescent="0.25">
      <c r="A235" s="17">
        <f t="shared" ca="1" si="16"/>
        <v>693456</v>
      </c>
      <c r="B235" s="26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6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1" t="str">
        <f t="shared" si="18"/>
        <v/>
      </c>
    </row>
    <row r="236" spans="1:26" x14ac:dyDescent="0.25">
      <c r="A236" s="17">
        <f t="shared" ca="1" si="16"/>
        <v>693457</v>
      </c>
      <c r="B236" s="26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6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1" t="str">
        <f t="shared" si="18"/>
        <v/>
      </c>
    </row>
    <row r="237" spans="1:26" x14ac:dyDescent="0.25">
      <c r="A237" s="17">
        <f t="shared" ca="1" si="16"/>
        <v>693458</v>
      </c>
      <c r="B237" s="26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>
        <v>6</v>
      </c>
      <c r="N237" s="34">
        <v>7</v>
      </c>
      <c r="O237" s="35">
        <v>7</v>
      </c>
      <c r="P237" s="35">
        <v>8</v>
      </c>
      <c r="Q237" s="35">
        <v>10</v>
      </c>
      <c r="R237" s="35">
        <v>9</v>
      </c>
      <c r="S237" s="35">
        <v>9</v>
      </c>
      <c r="T237" s="35">
        <v>10</v>
      </c>
      <c r="U237" s="35">
        <v>10</v>
      </c>
      <c r="V237" s="35">
        <v>9</v>
      </c>
      <c r="W237" s="35">
        <v>8</v>
      </c>
      <c r="X237" s="35">
        <v>7</v>
      </c>
      <c r="Y237" s="35">
        <v>6</v>
      </c>
      <c r="Z237" s="21">
        <f t="shared" si="18"/>
        <v>106</v>
      </c>
    </row>
    <row r="238" spans="1:26" x14ac:dyDescent="0.25">
      <c r="A238" s="17">
        <f t="shared" ca="1" si="16"/>
        <v>693459</v>
      </c>
      <c r="B238" s="34">
        <v>6</v>
      </c>
      <c r="C238" s="35">
        <v>5</v>
      </c>
      <c r="D238" s="35">
        <v>5</v>
      </c>
      <c r="E238" s="35">
        <v>5</v>
      </c>
      <c r="F238" s="35">
        <v>5</v>
      </c>
      <c r="G238" s="35">
        <v>4</v>
      </c>
      <c r="H238" s="35">
        <v>5</v>
      </c>
      <c r="I238" s="35">
        <v>6</v>
      </c>
      <c r="J238" s="35">
        <v>6</v>
      </c>
      <c r="K238" s="35">
        <v>6</v>
      </c>
      <c r="L238" s="35">
        <v>6</v>
      </c>
      <c r="M238" s="35">
        <v>7</v>
      </c>
      <c r="N238" s="34">
        <v>5</v>
      </c>
      <c r="O238" s="35">
        <v>5</v>
      </c>
      <c r="P238" s="35">
        <v>6</v>
      </c>
      <c r="Q238" s="35">
        <v>7</v>
      </c>
      <c r="R238" s="27">
        <v>11</v>
      </c>
      <c r="S238" s="27">
        <v>10</v>
      </c>
      <c r="T238" s="27">
        <v>10</v>
      </c>
      <c r="U238" s="27">
        <v>10</v>
      </c>
      <c r="V238" s="27">
        <v>10</v>
      </c>
      <c r="W238" s="27">
        <v>9</v>
      </c>
      <c r="X238" s="27">
        <v>7</v>
      </c>
      <c r="Y238" s="27">
        <v>6</v>
      </c>
      <c r="Z238" s="21">
        <f t="shared" si="18"/>
        <v>162</v>
      </c>
    </row>
    <row r="239" spans="1:26" x14ac:dyDescent="0.25">
      <c r="A239" s="17">
        <f t="shared" ca="1" si="16"/>
        <v>693460</v>
      </c>
      <c r="B239" s="26">
        <v>5</v>
      </c>
      <c r="C239" s="27">
        <v>6</v>
      </c>
      <c r="D239" s="27">
        <v>7</v>
      </c>
      <c r="E239" s="27">
        <v>5</v>
      </c>
      <c r="F239" s="27">
        <v>4</v>
      </c>
      <c r="G239" s="27">
        <v>5</v>
      </c>
      <c r="H239" s="27">
        <v>6</v>
      </c>
      <c r="I239" s="27">
        <v>7</v>
      </c>
      <c r="J239" s="27">
        <v>8</v>
      </c>
      <c r="K239" s="27">
        <v>7</v>
      </c>
      <c r="L239" s="27">
        <v>8</v>
      </c>
      <c r="M239" s="27">
        <v>7</v>
      </c>
      <c r="N239" s="26">
        <v>6</v>
      </c>
      <c r="O239" s="27">
        <v>5</v>
      </c>
      <c r="P239" s="27">
        <v>9</v>
      </c>
      <c r="Q239" s="27">
        <v>9</v>
      </c>
      <c r="R239" s="27">
        <v>9</v>
      </c>
      <c r="S239" s="27">
        <v>9</v>
      </c>
      <c r="T239" s="27">
        <v>5</v>
      </c>
      <c r="U239" s="27">
        <v>4</v>
      </c>
      <c r="V239" s="27">
        <v>4</v>
      </c>
      <c r="W239" s="27">
        <v>4</v>
      </c>
      <c r="X239" s="27">
        <v>3</v>
      </c>
      <c r="Y239" s="27">
        <v>3</v>
      </c>
      <c r="Z239" s="21">
        <f t="shared" si="18"/>
        <v>145</v>
      </c>
    </row>
    <row r="240" spans="1:26" x14ac:dyDescent="0.25">
      <c r="A240" s="17">
        <f t="shared" ca="1" si="16"/>
        <v>693461</v>
      </c>
      <c r="B240" s="26">
        <v>4</v>
      </c>
      <c r="C240" s="27">
        <v>5</v>
      </c>
      <c r="D240" s="27">
        <v>2</v>
      </c>
      <c r="E240" s="27">
        <v>0</v>
      </c>
      <c r="F240" s="27">
        <v>1</v>
      </c>
      <c r="G240" s="27">
        <v>1</v>
      </c>
      <c r="H240" s="27">
        <v>9</v>
      </c>
      <c r="I240" s="27">
        <v>6</v>
      </c>
      <c r="J240" s="27">
        <v>5</v>
      </c>
      <c r="K240" s="27">
        <v>6</v>
      </c>
      <c r="L240" s="27">
        <v>7</v>
      </c>
      <c r="M240" s="27">
        <v>5</v>
      </c>
      <c r="N240" s="26">
        <v>4</v>
      </c>
      <c r="O240" s="27">
        <v>9</v>
      </c>
      <c r="P240" s="27">
        <v>10</v>
      </c>
      <c r="Q240" s="27">
        <v>12</v>
      </c>
      <c r="R240" s="27">
        <v>13</v>
      </c>
      <c r="S240" s="27">
        <v>14</v>
      </c>
      <c r="T240" s="27">
        <v>13</v>
      </c>
      <c r="U240" s="27">
        <v>12</v>
      </c>
      <c r="V240" s="27">
        <v>12</v>
      </c>
      <c r="W240" s="27">
        <v>11</v>
      </c>
      <c r="X240" s="27">
        <v>12</v>
      </c>
      <c r="Y240" s="27">
        <v>10</v>
      </c>
      <c r="Z240" s="21">
        <f t="shared" si="18"/>
        <v>183</v>
      </c>
    </row>
    <row r="241" spans="1:26" x14ac:dyDescent="0.25">
      <c r="A241" s="17">
        <f t="shared" ca="1" si="16"/>
        <v>693462</v>
      </c>
      <c r="B241" s="26">
        <v>12</v>
      </c>
      <c r="C241" s="27">
        <v>10</v>
      </c>
      <c r="D241" s="27">
        <v>9</v>
      </c>
      <c r="E241" s="27">
        <v>8</v>
      </c>
      <c r="F241" s="27">
        <v>14</v>
      </c>
      <c r="G241" s="27">
        <v>13</v>
      </c>
      <c r="H241" s="27">
        <v>14</v>
      </c>
      <c r="I241" s="27">
        <v>14</v>
      </c>
      <c r="J241" s="27">
        <v>15</v>
      </c>
      <c r="K241" s="27">
        <v>13</v>
      </c>
      <c r="L241" s="27">
        <v>14</v>
      </c>
      <c r="M241" s="27">
        <v>12</v>
      </c>
      <c r="N241" s="26">
        <v>13</v>
      </c>
      <c r="O241" s="27">
        <v>11</v>
      </c>
      <c r="P241" s="27">
        <v>11</v>
      </c>
      <c r="Q241" s="27">
        <v>13</v>
      </c>
      <c r="R241" s="27">
        <v>14</v>
      </c>
      <c r="S241" s="27">
        <v>15</v>
      </c>
      <c r="T241" s="27">
        <v>13</v>
      </c>
      <c r="U241" s="27">
        <v>11</v>
      </c>
      <c r="V241" s="27">
        <v>12</v>
      </c>
      <c r="W241" s="27">
        <v>13</v>
      </c>
      <c r="X241" s="27">
        <v>12</v>
      </c>
      <c r="Y241" s="27">
        <v>10</v>
      </c>
      <c r="Z241" s="21">
        <f t="shared" si="18"/>
        <v>296</v>
      </c>
    </row>
    <row r="242" spans="1:26" x14ac:dyDescent="0.25">
      <c r="A242" s="17">
        <f t="shared" ca="1" si="16"/>
        <v>693463</v>
      </c>
      <c r="B242" s="26">
        <v>10</v>
      </c>
      <c r="C242" s="27">
        <v>9</v>
      </c>
      <c r="D242" s="27">
        <v>8</v>
      </c>
      <c r="E242" s="27">
        <v>7</v>
      </c>
      <c r="F242" s="27">
        <v>6</v>
      </c>
      <c r="G242" s="27">
        <v>6</v>
      </c>
      <c r="H242" s="27">
        <v>9</v>
      </c>
      <c r="I242" s="27">
        <v>8</v>
      </c>
      <c r="J242" s="27">
        <v>9</v>
      </c>
      <c r="K242" s="27">
        <v>11</v>
      </c>
      <c r="L242" s="27">
        <v>12</v>
      </c>
      <c r="M242" s="27">
        <v>9</v>
      </c>
      <c r="N242" s="26">
        <v>4</v>
      </c>
      <c r="O242" s="27">
        <v>9</v>
      </c>
      <c r="P242" s="27">
        <v>10</v>
      </c>
      <c r="Q242" s="27">
        <v>11</v>
      </c>
      <c r="R242" s="27">
        <v>12</v>
      </c>
      <c r="S242" s="27">
        <v>13</v>
      </c>
      <c r="T242" s="27">
        <v>11</v>
      </c>
      <c r="U242" s="27">
        <v>9</v>
      </c>
      <c r="V242" s="27">
        <v>9</v>
      </c>
      <c r="W242" s="27">
        <v>9</v>
      </c>
      <c r="X242" s="27">
        <v>8</v>
      </c>
      <c r="Y242" s="27">
        <v>7</v>
      </c>
      <c r="Z242" s="21">
        <f t="shared" si="18"/>
        <v>216</v>
      </c>
    </row>
    <row r="243" spans="1:26" x14ac:dyDescent="0.25">
      <c r="A243" s="17">
        <f t="shared" ca="1" si="16"/>
        <v>693464</v>
      </c>
      <c r="B243" s="26">
        <v>7</v>
      </c>
      <c r="C243" s="27">
        <v>6</v>
      </c>
      <c r="D243" s="27">
        <v>5</v>
      </c>
      <c r="E243" s="27">
        <v>7</v>
      </c>
      <c r="F243" s="27">
        <v>6</v>
      </c>
      <c r="G243" s="27">
        <v>8</v>
      </c>
      <c r="H243" s="27">
        <v>8</v>
      </c>
      <c r="I243" s="27">
        <v>11</v>
      </c>
      <c r="J243" s="27">
        <v>11</v>
      </c>
      <c r="K243" s="27">
        <v>14</v>
      </c>
      <c r="L243" s="27">
        <v>12</v>
      </c>
      <c r="M243" s="27">
        <v>13</v>
      </c>
      <c r="N243" s="26">
        <v>15</v>
      </c>
      <c r="O243" s="27">
        <v>12</v>
      </c>
      <c r="P243" s="27">
        <v>12</v>
      </c>
      <c r="Q243" s="27">
        <v>14</v>
      </c>
      <c r="R243" s="27">
        <v>14</v>
      </c>
      <c r="S243" s="27">
        <v>14</v>
      </c>
      <c r="T243" s="27">
        <v>16</v>
      </c>
      <c r="U243" s="27">
        <v>13</v>
      </c>
      <c r="V243" s="27">
        <v>10</v>
      </c>
      <c r="W243" s="27">
        <v>9</v>
      </c>
      <c r="X243" s="27">
        <v>9</v>
      </c>
      <c r="Y243" s="27">
        <v>9</v>
      </c>
      <c r="Z243" s="21">
        <f t="shared" si="18"/>
        <v>255</v>
      </c>
    </row>
    <row r="244" spans="1:26" x14ac:dyDescent="0.25">
      <c r="A244" s="17">
        <f t="shared" ca="1" si="16"/>
        <v>693465</v>
      </c>
      <c r="B244" s="26">
        <v>11</v>
      </c>
      <c r="C244" s="27">
        <v>9</v>
      </c>
      <c r="D244" s="27">
        <v>9</v>
      </c>
      <c r="E244" s="27">
        <v>8</v>
      </c>
      <c r="F244" s="27">
        <v>9</v>
      </c>
      <c r="G244" s="27">
        <v>7</v>
      </c>
      <c r="H244" s="27">
        <v>10</v>
      </c>
      <c r="I244" s="27">
        <v>11</v>
      </c>
      <c r="J244" s="27">
        <v>12</v>
      </c>
      <c r="K244" s="27">
        <v>11</v>
      </c>
      <c r="L244" s="27">
        <v>13</v>
      </c>
      <c r="M244" s="27">
        <v>12</v>
      </c>
      <c r="N244" s="26">
        <v>13</v>
      </c>
      <c r="O244" s="27">
        <v>14</v>
      </c>
      <c r="P244" s="27">
        <v>10</v>
      </c>
      <c r="Q244" s="27">
        <v>9</v>
      </c>
      <c r="R244" s="27">
        <v>8</v>
      </c>
      <c r="S244" s="27">
        <v>8</v>
      </c>
      <c r="T244" s="27">
        <v>10</v>
      </c>
      <c r="U244" s="27">
        <v>9</v>
      </c>
      <c r="V244" s="27">
        <v>8</v>
      </c>
      <c r="W244" s="27">
        <v>7</v>
      </c>
      <c r="X244" s="27">
        <v>6</v>
      </c>
      <c r="Y244" s="27">
        <v>7</v>
      </c>
      <c r="Z244" s="21">
        <f t="shared" si="18"/>
        <v>231</v>
      </c>
    </row>
    <row r="245" spans="1:26" x14ac:dyDescent="0.25">
      <c r="A245" s="17">
        <f t="shared" ca="1" si="16"/>
        <v>693466</v>
      </c>
      <c r="B245" s="26">
        <v>7</v>
      </c>
      <c r="C245" s="27">
        <v>6</v>
      </c>
      <c r="D245" s="27">
        <v>6</v>
      </c>
      <c r="E245" s="27">
        <v>6</v>
      </c>
      <c r="F245" s="27">
        <v>4</v>
      </c>
      <c r="G245" s="27">
        <v>6</v>
      </c>
      <c r="H245" s="27">
        <v>6</v>
      </c>
      <c r="I245" s="27">
        <v>10</v>
      </c>
      <c r="J245" s="27">
        <v>11</v>
      </c>
      <c r="K245" s="27">
        <v>13</v>
      </c>
      <c r="L245" s="27">
        <v>14</v>
      </c>
      <c r="M245" s="27">
        <v>15</v>
      </c>
      <c r="N245" s="26">
        <v>15</v>
      </c>
      <c r="O245" s="27">
        <v>14</v>
      </c>
      <c r="P245" s="27">
        <v>14</v>
      </c>
      <c r="Q245" s="27">
        <v>14</v>
      </c>
      <c r="R245" s="27">
        <v>15</v>
      </c>
      <c r="S245" s="27">
        <v>14</v>
      </c>
      <c r="T245" s="27">
        <v>12</v>
      </c>
      <c r="U245" s="27">
        <v>11</v>
      </c>
      <c r="V245" s="27">
        <v>13</v>
      </c>
      <c r="W245" s="27">
        <v>17</v>
      </c>
      <c r="X245" s="27">
        <v>15</v>
      </c>
      <c r="Y245" s="27">
        <v>14</v>
      </c>
      <c r="Z245" s="21">
        <f t="shared" si="18"/>
        <v>272</v>
      </c>
    </row>
    <row r="246" spans="1:26" x14ac:dyDescent="0.25">
      <c r="A246" s="17">
        <f t="shared" ca="1" si="16"/>
        <v>693467</v>
      </c>
      <c r="B246" s="26">
        <v>12</v>
      </c>
      <c r="C246" s="27">
        <v>13</v>
      </c>
      <c r="D246" s="27">
        <v>12</v>
      </c>
      <c r="E246" s="27">
        <v>11</v>
      </c>
      <c r="F246" s="27">
        <v>12</v>
      </c>
      <c r="G246" s="27">
        <v>10</v>
      </c>
      <c r="H246" s="27">
        <v>13</v>
      </c>
      <c r="I246" s="27">
        <v>14</v>
      </c>
      <c r="J246" s="27">
        <v>16</v>
      </c>
      <c r="K246" s="27">
        <v>15</v>
      </c>
      <c r="L246" s="27">
        <v>14</v>
      </c>
      <c r="M246" s="27">
        <v>13</v>
      </c>
      <c r="N246" s="26">
        <v>15</v>
      </c>
      <c r="O246" s="27">
        <v>15</v>
      </c>
      <c r="P246" s="27">
        <v>15</v>
      </c>
      <c r="Q246" s="27">
        <v>15</v>
      </c>
      <c r="R246" s="27">
        <v>17</v>
      </c>
      <c r="S246" s="27">
        <v>17</v>
      </c>
      <c r="T246" s="27">
        <v>19</v>
      </c>
      <c r="U246" s="27">
        <v>16</v>
      </c>
      <c r="V246" s="27">
        <v>15</v>
      </c>
      <c r="W246" s="27">
        <v>16</v>
      </c>
      <c r="X246" s="27">
        <v>14</v>
      </c>
      <c r="Y246" s="27">
        <v>14</v>
      </c>
      <c r="Z246" s="21">
        <f t="shared" si="18"/>
        <v>343</v>
      </c>
    </row>
    <row r="247" spans="1:26" x14ac:dyDescent="0.25">
      <c r="A247" s="17">
        <f t="shared" ca="1" si="16"/>
        <v>693468</v>
      </c>
      <c r="B247" s="26">
        <v>12</v>
      </c>
      <c r="C247" s="27">
        <v>13</v>
      </c>
      <c r="D247" s="27">
        <v>8</v>
      </c>
      <c r="E247" s="27">
        <v>10</v>
      </c>
      <c r="F247" s="27">
        <v>9</v>
      </c>
      <c r="G247" s="27">
        <v>8</v>
      </c>
      <c r="H247" s="27">
        <v>11</v>
      </c>
      <c r="I247" s="27">
        <v>13</v>
      </c>
      <c r="J247" s="27">
        <v>11</v>
      </c>
      <c r="K247" s="27">
        <v>13</v>
      </c>
      <c r="L247" s="27">
        <v>14</v>
      </c>
      <c r="M247" s="27">
        <v>14</v>
      </c>
      <c r="N247" s="26">
        <v>11</v>
      </c>
      <c r="O247" s="27">
        <v>12</v>
      </c>
      <c r="P247" s="27">
        <v>13</v>
      </c>
      <c r="Q247" s="27">
        <v>14</v>
      </c>
      <c r="R247" s="27">
        <v>15</v>
      </c>
      <c r="S247" s="27">
        <v>15</v>
      </c>
      <c r="T247" s="27">
        <v>13</v>
      </c>
      <c r="U247" s="27">
        <v>12</v>
      </c>
      <c r="V247" s="27">
        <v>13</v>
      </c>
      <c r="W247" s="27">
        <v>11</v>
      </c>
      <c r="X247" s="27">
        <v>12</v>
      </c>
      <c r="Y247" s="27">
        <v>9</v>
      </c>
      <c r="Z247" s="21">
        <f t="shared" si="18"/>
        <v>286</v>
      </c>
    </row>
    <row r="248" spans="1:26" x14ac:dyDescent="0.25">
      <c r="A248" s="17">
        <f t="shared" ca="1" si="16"/>
        <v>693469</v>
      </c>
      <c r="B248" s="26">
        <v>9</v>
      </c>
      <c r="C248" s="27">
        <v>9</v>
      </c>
      <c r="D248" s="27">
        <v>9</v>
      </c>
      <c r="E248" s="27">
        <v>8</v>
      </c>
      <c r="F248" s="27">
        <v>9</v>
      </c>
      <c r="G248" s="27">
        <v>7</v>
      </c>
      <c r="H248" s="27">
        <v>9</v>
      </c>
      <c r="I248" s="27">
        <v>11</v>
      </c>
      <c r="J248" s="27">
        <v>11</v>
      </c>
      <c r="K248" s="27">
        <v>12</v>
      </c>
      <c r="L248" s="27">
        <v>13</v>
      </c>
      <c r="M248" s="27">
        <v>13</v>
      </c>
      <c r="N248" s="26">
        <v>13</v>
      </c>
      <c r="O248" s="27">
        <v>12</v>
      </c>
      <c r="P248" s="27">
        <v>12</v>
      </c>
      <c r="Q248" s="27">
        <v>13</v>
      </c>
      <c r="R248" s="27">
        <v>13</v>
      </c>
      <c r="S248" s="27">
        <v>11</v>
      </c>
      <c r="T248" s="27">
        <v>11</v>
      </c>
      <c r="U248" s="27">
        <v>10</v>
      </c>
      <c r="V248" s="27">
        <v>10</v>
      </c>
      <c r="W248" s="27">
        <v>10</v>
      </c>
      <c r="X248" s="27">
        <v>9</v>
      </c>
      <c r="Y248" s="27">
        <v>10</v>
      </c>
      <c r="Z248" s="21">
        <f t="shared" si="18"/>
        <v>254</v>
      </c>
    </row>
    <row r="249" spans="1:26" x14ac:dyDescent="0.25">
      <c r="A249" s="17">
        <f t="shared" ca="1" si="16"/>
        <v>693470</v>
      </c>
      <c r="B249" s="26">
        <v>8</v>
      </c>
      <c r="C249" s="27">
        <v>8</v>
      </c>
      <c r="D249" s="27">
        <v>7</v>
      </c>
      <c r="E249" s="27">
        <v>4</v>
      </c>
      <c r="F249" s="27">
        <v>5</v>
      </c>
      <c r="G249" s="27">
        <v>5</v>
      </c>
      <c r="H249" s="27">
        <v>7</v>
      </c>
      <c r="I249" s="27">
        <v>9</v>
      </c>
      <c r="J249" s="27">
        <v>10</v>
      </c>
      <c r="K249" s="27">
        <v>12</v>
      </c>
      <c r="L249" s="27">
        <v>14</v>
      </c>
      <c r="M249" s="27">
        <v>13</v>
      </c>
      <c r="N249" s="26">
        <v>13</v>
      </c>
      <c r="O249" s="27">
        <v>11</v>
      </c>
      <c r="P249" s="27">
        <v>13</v>
      </c>
      <c r="Q249" s="27">
        <v>14</v>
      </c>
      <c r="R249" s="27">
        <v>13</v>
      </c>
      <c r="S249" s="27">
        <v>12</v>
      </c>
      <c r="T249" s="27">
        <v>13</v>
      </c>
      <c r="U249" s="27">
        <v>11</v>
      </c>
      <c r="V249" s="27">
        <v>6</v>
      </c>
      <c r="W249" s="27">
        <v>9</v>
      </c>
      <c r="X249" s="27">
        <v>8</v>
      </c>
      <c r="Y249" s="27">
        <v>6</v>
      </c>
      <c r="Z249" s="21">
        <f t="shared" si="18"/>
        <v>231</v>
      </c>
    </row>
    <row r="250" spans="1:26" x14ac:dyDescent="0.25">
      <c r="A250" s="17">
        <f t="shared" ca="1" si="16"/>
        <v>693471</v>
      </c>
      <c r="B250" s="26">
        <v>6</v>
      </c>
      <c r="C250" s="27">
        <v>6</v>
      </c>
      <c r="D250" s="27">
        <v>7</v>
      </c>
      <c r="E250" s="27">
        <v>8</v>
      </c>
      <c r="F250" s="27">
        <v>9</v>
      </c>
      <c r="G250" s="27">
        <v>8</v>
      </c>
      <c r="H250" s="27">
        <v>10</v>
      </c>
      <c r="I250" s="27">
        <v>13</v>
      </c>
      <c r="J250" s="27">
        <v>15</v>
      </c>
      <c r="K250" s="27">
        <v>14</v>
      </c>
      <c r="L250" s="27">
        <v>14</v>
      </c>
      <c r="M250" s="27">
        <v>14</v>
      </c>
      <c r="N250" s="26">
        <v>14</v>
      </c>
      <c r="O250" s="27">
        <v>14</v>
      </c>
      <c r="P250" s="27">
        <v>14</v>
      </c>
      <c r="Q250" s="27">
        <v>14</v>
      </c>
      <c r="R250" s="27">
        <v>16</v>
      </c>
      <c r="S250" s="27">
        <v>17</v>
      </c>
      <c r="T250" s="27">
        <v>17</v>
      </c>
      <c r="U250" s="27">
        <v>15</v>
      </c>
      <c r="V250" s="27">
        <v>14</v>
      </c>
      <c r="W250" s="27">
        <v>12</v>
      </c>
      <c r="X250" s="27">
        <v>14</v>
      </c>
      <c r="Y250" s="27">
        <v>13</v>
      </c>
      <c r="Z250" s="21">
        <f t="shared" si="18"/>
        <v>298</v>
      </c>
    </row>
    <row r="251" spans="1:26" x14ac:dyDescent="0.25">
      <c r="A251" s="17">
        <f t="shared" ca="1" si="16"/>
        <v>693472</v>
      </c>
      <c r="B251" s="26">
        <v>11</v>
      </c>
      <c r="C251" s="27">
        <v>11</v>
      </c>
      <c r="D251" s="27">
        <v>10</v>
      </c>
      <c r="E251" s="27">
        <v>11</v>
      </c>
      <c r="F251" s="27">
        <v>11</v>
      </c>
      <c r="G251" s="27">
        <v>12</v>
      </c>
      <c r="H251" s="27">
        <v>15</v>
      </c>
      <c r="I251" s="27">
        <v>17</v>
      </c>
      <c r="J251" s="27">
        <v>16</v>
      </c>
      <c r="K251" s="27">
        <v>14</v>
      </c>
      <c r="L251" s="27">
        <v>14</v>
      </c>
      <c r="M251" s="27">
        <v>12</v>
      </c>
      <c r="N251" s="26">
        <v>15</v>
      </c>
      <c r="O251" s="27">
        <v>17</v>
      </c>
      <c r="P251" s="27">
        <v>16</v>
      </c>
      <c r="Q251" s="27">
        <v>18</v>
      </c>
      <c r="R251" s="27">
        <v>16</v>
      </c>
      <c r="S251" s="27">
        <v>14</v>
      </c>
      <c r="T251" s="27">
        <v>14</v>
      </c>
      <c r="U251" s="27">
        <v>13</v>
      </c>
      <c r="V251" s="27">
        <v>13</v>
      </c>
      <c r="W251" s="27">
        <v>11</v>
      </c>
      <c r="X251" s="27">
        <v>12</v>
      </c>
      <c r="Y251" s="27">
        <v>9</v>
      </c>
      <c r="Z251" s="21">
        <f t="shared" si="18"/>
        <v>322</v>
      </c>
    </row>
    <row r="252" spans="1:26" x14ac:dyDescent="0.25">
      <c r="A252" s="17">
        <f t="shared" ca="1" si="16"/>
        <v>693473</v>
      </c>
      <c r="B252" s="26">
        <v>10</v>
      </c>
      <c r="C252" s="27">
        <v>9</v>
      </c>
      <c r="D252" s="27">
        <v>10</v>
      </c>
      <c r="E252" s="27">
        <v>9</v>
      </c>
      <c r="F252" s="27">
        <v>8</v>
      </c>
      <c r="G252" s="27">
        <v>10</v>
      </c>
      <c r="H252" s="27">
        <v>9</v>
      </c>
      <c r="I252" s="27">
        <v>11</v>
      </c>
      <c r="J252" s="27">
        <v>12</v>
      </c>
      <c r="K252" s="27">
        <v>13</v>
      </c>
      <c r="L252" s="27">
        <v>13</v>
      </c>
      <c r="M252" s="27">
        <v>12</v>
      </c>
      <c r="N252" s="26">
        <v>11</v>
      </c>
      <c r="O252" s="27">
        <v>13</v>
      </c>
      <c r="P252" s="27">
        <v>13</v>
      </c>
      <c r="Q252" s="27">
        <v>13</v>
      </c>
      <c r="R252" s="27">
        <v>12</v>
      </c>
      <c r="S252" s="27">
        <v>13</v>
      </c>
      <c r="T252" s="27">
        <v>11</v>
      </c>
      <c r="U252" s="27">
        <v>12</v>
      </c>
      <c r="V252" s="27">
        <v>10</v>
      </c>
      <c r="W252" s="27">
        <v>9</v>
      </c>
      <c r="X252" s="27">
        <v>8</v>
      </c>
      <c r="Y252" s="27">
        <v>8</v>
      </c>
      <c r="Z252" s="21">
        <f t="shared" si="18"/>
        <v>259</v>
      </c>
    </row>
    <row r="253" spans="1:26" x14ac:dyDescent="0.25">
      <c r="A253" s="17">
        <f t="shared" ca="1" si="16"/>
        <v>693474</v>
      </c>
      <c r="B253" s="26">
        <v>10</v>
      </c>
      <c r="C253" s="27">
        <v>9</v>
      </c>
      <c r="D253" s="27">
        <v>8</v>
      </c>
      <c r="E253" s="27">
        <v>8</v>
      </c>
      <c r="F253" s="27">
        <v>8</v>
      </c>
      <c r="G253" s="27">
        <v>6</v>
      </c>
      <c r="H253" s="27">
        <v>9</v>
      </c>
      <c r="I253" s="27">
        <v>12</v>
      </c>
      <c r="J253" s="27">
        <v>11</v>
      </c>
      <c r="K253" s="27">
        <v>11</v>
      </c>
      <c r="L253" s="27">
        <v>12</v>
      </c>
      <c r="M253" s="27">
        <v>15</v>
      </c>
      <c r="N253" s="26">
        <v>15</v>
      </c>
      <c r="O253" s="27">
        <v>12</v>
      </c>
      <c r="P253" s="27">
        <v>12</v>
      </c>
      <c r="Q253" s="27">
        <v>13</v>
      </c>
      <c r="R253" s="27">
        <v>13</v>
      </c>
      <c r="S253" s="27">
        <v>12</v>
      </c>
      <c r="T253" s="27">
        <v>12</v>
      </c>
      <c r="U253" s="27">
        <v>10</v>
      </c>
      <c r="V253" s="27">
        <v>8</v>
      </c>
      <c r="W253" s="27">
        <v>7</v>
      </c>
      <c r="X253" s="27">
        <v>8</v>
      </c>
      <c r="Y253" s="27">
        <v>9</v>
      </c>
      <c r="Z253" s="21">
        <f t="shared" si="18"/>
        <v>250</v>
      </c>
    </row>
    <row r="254" spans="1:26" x14ac:dyDescent="0.25">
      <c r="A254" s="17">
        <f t="shared" ca="1" si="16"/>
        <v>693475</v>
      </c>
      <c r="B254" s="26">
        <v>10</v>
      </c>
      <c r="C254" s="27">
        <v>8</v>
      </c>
      <c r="D254" s="27">
        <v>8</v>
      </c>
      <c r="E254" s="27">
        <v>10</v>
      </c>
      <c r="F254" s="27">
        <v>8</v>
      </c>
      <c r="G254" s="27">
        <v>9</v>
      </c>
      <c r="H254" s="27">
        <v>9</v>
      </c>
      <c r="I254" s="27">
        <v>12</v>
      </c>
      <c r="J254" s="27">
        <v>11</v>
      </c>
      <c r="K254" s="27">
        <v>14</v>
      </c>
      <c r="L254" s="27">
        <v>11</v>
      </c>
      <c r="M254" s="27">
        <v>11</v>
      </c>
      <c r="N254" s="26">
        <v>12</v>
      </c>
      <c r="O254" s="27">
        <v>15</v>
      </c>
      <c r="P254" s="27">
        <v>17</v>
      </c>
      <c r="Q254" s="27">
        <v>16</v>
      </c>
      <c r="R254" s="27">
        <v>18</v>
      </c>
      <c r="S254" s="27">
        <v>16</v>
      </c>
      <c r="T254" s="27">
        <v>14</v>
      </c>
      <c r="U254" s="27">
        <v>14</v>
      </c>
      <c r="V254" s="27">
        <v>13</v>
      </c>
      <c r="W254" s="27">
        <v>11</v>
      </c>
      <c r="X254" s="27">
        <v>10</v>
      </c>
      <c r="Y254" s="27">
        <v>11</v>
      </c>
      <c r="Z254" s="21">
        <f t="shared" si="18"/>
        <v>288</v>
      </c>
    </row>
    <row r="255" spans="1:26" x14ac:dyDescent="0.25">
      <c r="A255" s="17" t="str">
        <f t="shared" ca="1" si="16"/>
        <v>Totaal</v>
      </c>
      <c r="B255" s="18">
        <f>IF(COUNT(B224:B254)&gt;0,AVERAGE(B224:B254),"")</f>
        <v>8.8235294117647065</v>
      </c>
      <c r="C255" s="19">
        <f t="shared" ref="C255:Y255" si="19">IF(COUNT(C224:C254)&gt;0,AVERAGE(C224:C254),"")</f>
        <v>8.3529411764705888</v>
      </c>
      <c r="D255" s="19">
        <f t="shared" si="19"/>
        <v>7.6470588235294121</v>
      </c>
      <c r="E255" s="19">
        <f t="shared" si="19"/>
        <v>7.3529411764705879</v>
      </c>
      <c r="F255" s="19">
        <f t="shared" si="19"/>
        <v>7.5294117647058822</v>
      </c>
      <c r="G255" s="19">
        <f t="shared" si="19"/>
        <v>7.3529411764705879</v>
      </c>
      <c r="H255" s="19">
        <f t="shared" si="19"/>
        <v>9.3529411764705888</v>
      </c>
      <c r="I255" s="19">
        <f t="shared" si="19"/>
        <v>10.882352941176471</v>
      </c>
      <c r="J255" s="19">
        <f t="shared" si="19"/>
        <v>11.176470588235293</v>
      </c>
      <c r="K255" s="19">
        <f t="shared" si="19"/>
        <v>11.705882352941176</v>
      </c>
      <c r="L255" s="19">
        <f t="shared" si="19"/>
        <v>12.058823529411764</v>
      </c>
      <c r="M255" s="19">
        <f t="shared" si="19"/>
        <v>11.277777777777779</v>
      </c>
      <c r="N255" s="18">
        <f t="shared" si="19"/>
        <v>11.166666666666666</v>
      </c>
      <c r="O255" s="19">
        <f t="shared" si="19"/>
        <v>11.5</v>
      </c>
      <c r="P255" s="19">
        <f t="shared" si="19"/>
        <v>11.944444444444445</v>
      </c>
      <c r="Q255" s="19">
        <f t="shared" si="19"/>
        <v>12.722222222222221</v>
      </c>
      <c r="R255" s="19">
        <f t="shared" si="19"/>
        <v>13.222222222222221</v>
      </c>
      <c r="S255" s="19">
        <f t="shared" si="19"/>
        <v>12.944444444444445</v>
      </c>
      <c r="T255" s="19">
        <f t="shared" si="19"/>
        <v>12.444444444444445</v>
      </c>
      <c r="U255" s="19">
        <f t="shared" si="19"/>
        <v>11.222222222222221</v>
      </c>
      <c r="V255" s="19">
        <f t="shared" si="19"/>
        <v>10.5</v>
      </c>
      <c r="W255" s="19">
        <f t="shared" si="19"/>
        <v>10.166666666666666</v>
      </c>
      <c r="X255" s="19">
        <f t="shared" si="19"/>
        <v>9.6666666666666661</v>
      </c>
      <c r="Y255" s="19">
        <f t="shared" si="19"/>
        <v>8.9444444444444446</v>
      </c>
      <c r="Z255" s="20">
        <f>IF(COUNT(B255:Y255)&gt;0,AVERAGE(B255:Y255),"")</f>
        <v>10.414896514161223</v>
      </c>
    </row>
    <row r="256" spans="1:26" x14ac:dyDescent="0.25">
      <c r="A256" s="17">
        <f t="shared" ca="1" si="16"/>
        <v>693476</v>
      </c>
      <c r="B256" s="26">
        <v>9</v>
      </c>
      <c r="C256" s="27">
        <v>8</v>
      </c>
      <c r="D256" s="27">
        <v>7</v>
      </c>
      <c r="E256" s="27">
        <v>10</v>
      </c>
      <c r="F256" s="27">
        <v>8</v>
      </c>
      <c r="G256" s="27">
        <v>10</v>
      </c>
      <c r="H256" s="27">
        <v>8</v>
      </c>
      <c r="I256" s="27">
        <v>9</v>
      </c>
      <c r="J256" s="27">
        <v>12</v>
      </c>
      <c r="K256" s="27">
        <v>18</v>
      </c>
      <c r="L256" s="27">
        <v>17</v>
      </c>
      <c r="M256" s="27">
        <v>17</v>
      </c>
      <c r="N256" s="26">
        <v>11</v>
      </c>
      <c r="O256" s="27">
        <v>14</v>
      </c>
      <c r="P256" s="27">
        <v>13</v>
      </c>
      <c r="Q256" s="27">
        <v>13</v>
      </c>
      <c r="R256" s="27">
        <v>13</v>
      </c>
      <c r="S256" s="27">
        <v>13</v>
      </c>
      <c r="T256" s="27">
        <v>13</v>
      </c>
      <c r="U256" s="27">
        <v>11</v>
      </c>
      <c r="V256" s="27">
        <v>9</v>
      </c>
      <c r="W256" s="27">
        <v>9</v>
      </c>
      <c r="X256" s="27">
        <v>8</v>
      </c>
      <c r="Y256" s="27">
        <v>7</v>
      </c>
      <c r="Z256" s="21">
        <f>IF(COUNT(B256:Y256)&gt;0,SUM(B256:Y256),"")</f>
        <v>267</v>
      </c>
    </row>
    <row r="257" spans="1:26" x14ac:dyDescent="0.25">
      <c r="A257" s="17">
        <f t="shared" ca="1" si="16"/>
        <v>693477</v>
      </c>
      <c r="B257" s="26">
        <v>5</v>
      </c>
      <c r="C257" s="27">
        <v>10</v>
      </c>
      <c r="D257" s="27">
        <v>12</v>
      </c>
      <c r="E257" s="27">
        <v>9</v>
      </c>
      <c r="F257" s="27">
        <v>8</v>
      </c>
      <c r="G257" s="27">
        <v>6</v>
      </c>
      <c r="H257" s="27">
        <v>6</v>
      </c>
      <c r="I257" s="27">
        <v>10</v>
      </c>
      <c r="J257" s="27">
        <v>13</v>
      </c>
      <c r="K257" s="27">
        <v>13</v>
      </c>
      <c r="L257" s="27">
        <v>14</v>
      </c>
      <c r="M257" s="27">
        <v>14</v>
      </c>
      <c r="N257" s="26">
        <v>13</v>
      </c>
      <c r="O257" s="27">
        <v>14</v>
      </c>
      <c r="P257" s="27">
        <v>14</v>
      </c>
      <c r="Q257" s="27">
        <v>14</v>
      </c>
      <c r="R257" s="27">
        <v>13</v>
      </c>
      <c r="S257" s="27">
        <v>12</v>
      </c>
      <c r="T257" s="27">
        <v>11</v>
      </c>
      <c r="U257" s="27">
        <v>12</v>
      </c>
      <c r="V257" s="27">
        <v>10</v>
      </c>
      <c r="W257" s="27">
        <v>11</v>
      </c>
      <c r="X257" s="27">
        <v>10</v>
      </c>
      <c r="Y257" s="27">
        <v>10</v>
      </c>
      <c r="Z257" s="21">
        <f t="shared" ref="Z257:Z285" si="20">IF(COUNT(B257:Y257)&gt;0,SUM(B257:Y257),"")</f>
        <v>264</v>
      </c>
    </row>
    <row r="258" spans="1:26" x14ac:dyDescent="0.25">
      <c r="A258" s="17">
        <f t="shared" ca="1" si="16"/>
        <v>693478</v>
      </c>
      <c r="B258" s="26">
        <v>10</v>
      </c>
      <c r="C258" s="27">
        <v>10</v>
      </c>
      <c r="D258" s="27">
        <v>10</v>
      </c>
      <c r="E258" s="27">
        <v>8</v>
      </c>
      <c r="F258" s="27">
        <v>6</v>
      </c>
      <c r="G258" s="27">
        <v>10</v>
      </c>
      <c r="H258" s="27">
        <v>12</v>
      </c>
      <c r="I258" s="27">
        <v>14</v>
      </c>
      <c r="J258" s="27">
        <v>14</v>
      </c>
      <c r="K258" s="27">
        <v>14</v>
      </c>
      <c r="L258" s="27">
        <v>16</v>
      </c>
      <c r="M258" s="27">
        <v>16</v>
      </c>
      <c r="N258" s="26">
        <v>14</v>
      </c>
      <c r="O258" s="27">
        <v>16</v>
      </c>
      <c r="P258" s="27">
        <v>15</v>
      </c>
      <c r="Q258" s="27">
        <v>17</v>
      </c>
      <c r="R258" s="27">
        <v>17</v>
      </c>
      <c r="S258" s="27">
        <v>17</v>
      </c>
      <c r="T258" s="27">
        <v>16</v>
      </c>
      <c r="U258" s="27">
        <v>15</v>
      </c>
      <c r="V258" s="27">
        <v>15</v>
      </c>
      <c r="W258" s="27">
        <v>14</v>
      </c>
      <c r="X258" s="27">
        <v>14</v>
      </c>
      <c r="Y258" s="27">
        <v>11</v>
      </c>
      <c r="Z258" s="21">
        <f t="shared" si="20"/>
        <v>321</v>
      </c>
    </row>
    <row r="259" spans="1:26" x14ac:dyDescent="0.25">
      <c r="A259" s="17">
        <f t="shared" ca="1" si="16"/>
        <v>693479</v>
      </c>
      <c r="B259" s="26">
        <v>11</v>
      </c>
      <c r="C259" s="27">
        <v>10</v>
      </c>
      <c r="D259" s="27">
        <v>9</v>
      </c>
      <c r="E259" s="27">
        <v>9</v>
      </c>
      <c r="F259" s="27">
        <v>9</v>
      </c>
      <c r="G259" s="27">
        <v>9</v>
      </c>
      <c r="H259" s="27">
        <v>11</v>
      </c>
      <c r="I259" s="27">
        <v>14</v>
      </c>
      <c r="J259" s="27">
        <v>15</v>
      </c>
      <c r="K259" s="27">
        <v>14</v>
      </c>
      <c r="L259" s="27">
        <v>15</v>
      </c>
      <c r="M259" s="27">
        <v>16</v>
      </c>
      <c r="N259" s="26">
        <v>13</v>
      </c>
      <c r="O259" s="27">
        <v>13</v>
      </c>
      <c r="P259" s="27">
        <v>14</v>
      </c>
      <c r="Q259" s="27">
        <v>16</v>
      </c>
      <c r="R259" s="27">
        <v>15</v>
      </c>
      <c r="S259" s="27">
        <v>13</v>
      </c>
      <c r="T259" s="27">
        <v>12</v>
      </c>
      <c r="U259" s="27">
        <v>13</v>
      </c>
      <c r="V259" s="27">
        <v>12</v>
      </c>
      <c r="W259" s="27">
        <v>10</v>
      </c>
      <c r="X259" s="27">
        <v>9</v>
      </c>
      <c r="Y259" s="27">
        <v>9</v>
      </c>
      <c r="Z259" s="21">
        <f t="shared" si="20"/>
        <v>291</v>
      </c>
    </row>
    <row r="260" spans="1:26" x14ac:dyDescent="0.25">
      <c r="A260" s="17">
        <f t="shared" ca="1" si="16"/>
        <v>693480</v>
      </c>
      <c r="B260" s="26">
        <v>8</v>
      </c>
      <c r="C260" s="27">
        <v>8</v>
      </c>
      <c r="D260" s="27">
        <v>7</v>
      </c>
      <c r="E260" s="27">
        <v>7</v>
      </c>
      <c r="F260" s="27">
        <v>6</v>
      </c>
      <c r="G260" s="27">
        <v>5</v>
      </c>
      <c r="H260" s="27">
        <v>8</v>
      </c>
      <c r="I260" s="27">
        <v>10</v>
      </c>
      <c r="J260" s="27">
        <v>11</v>
      </c>
      <c r="K260" s="27">
        <v>14</v>
      </c>
      <c r="L260" s="27">
        <v>13</v>
      </c>
      <c r="M260" s="27">
        <v>11</v>
      </c>
      <c r="N260" s="26">
        <v>11</v>
      </c>
      <c r="O260" s="27">
        <v>11</v>
      </c>
      <c r="P260" s="27">
        <v>12</v>
      </c>
      <c r="Q260" s="27">
        <v>13</v>
      </c>
      <c r="R260" s="27">
        <v>13</v>
      </c>
      <c r="S260" s="27">
        <v>12</v>
      </c>
      <c r="T260" s="27">
        <v>11</v>
      </c>
      <c r="U260" s="27">
        <v>11</v>
      </c>
      <c r="V260" s="27">
        <v>10</v>
      </c>
      <c r="W260" s="27">
        <v>11</v>
      </c>
      <c r="X260" s="27">
        <v>9</v>
      </c>
      <c r="Y260" s="27">
        <v>9</v>
      </c>
      <c r="Z260" s="21">
        <f t="shared" si="20"/>
        <v>241</v>
      </c>
    </row>
    <row r="261" spans="1:26" x14ac:dyDescent="0.25">
      <c r="A261" s="17">
        <f t="shared" ca="1" si="16"/>
        <v>693481</v>
      </c>
      <c r="B261" s="26">
        <v>9</v>
      </c>
      <c r="C261" s="27">
        <v>8</v>
      </c>
      <c r="D261" s="27">
        <v>10</v>
      </c>
      <c r="E261" s="27">
        <v>10</v>
      </c>
      <c r="F261" s="27">
        <v>9</v>
      </c>
      <c r="G261" s="27">
        <v>9</v>
      </c>
      <c r="H261" s="27">
        <v>10</v>
      </c>
      <c r="I261" s="27">
        <v>12</v>
      </c>
      <c r="J261" s="27">
        <v>11</v>
      </c>
      <c r="K261" s="27">
        <v>11</v>
      </c>
      <c r="L261" s="27">
        <v>12</v>
      </c>
      <c r="M261" s="27">
        <v>11</v>
      </c>
      <c r="N261" s="26">
        <v>12</v>
      </c>
      <c r="O261" s="27">
        <v>13</v>
      </c>
      <c r="P261" s="27">
        <v>15</v>
      </c>
      <c r="Q261" s="27">
        <v>14</v>
      </c>
      <c r="R261" s="27">
        <v>15</v>
      </c>
      <c r="S261" s="27">
        <v>13</v>
      </c>
      <c r="T261" s="27">
        <v>15</v>
      </c>
      <c r="U261" s="27">
        <v>12</v>
      </c>
      <c r="V261" s="27">
        <v>12</v>
      </c>
      <c r="W261" s="27">
        <v>10</v>
      </c>
      <c r="X261" s="27">
        <v>9</v>
      </c>
      <c r="Y261" s="27">
        <v>10</v>
      </c>
      <c r="Z261" s="21">
        <f t="shared" si="20"/>
        <v>272</v>
      </c>
    </row>
    <row r="262" spans="1:26" x14ac:dyDescent="0.25">
      <c r="A262" s="17">
        <f t="shared" ca="1" si="16"/>
        <v>693482</v>
      </c>
      <c r="B262" s="26">
        <v>8</v>
      </c>
      <c r="C262" s="27">
        <v>8</v>
      </c>
      <c r="D262" s="27">
        <v>6</v>
      </c>
      <c r="E262" s="27">
        <v>8</v>
      </c>
      <c r="F262" s="27">
        <v>5</v>
      </c>
      <c r="G262" s="27">
        <v>5</v>
      </c>
      <c r="H262" s="27">
        <v>7</v>
      </c>
      <c r="I262" s="27">
        <v>12</v>
      </c>
      <c r="J262" s="27">
        <v>13</v>
      </c>
      <c r="K262" s="27">
        <v>13</v>
      </c>
      <c r="L262" s="27">
        <v>13</v>
      </c>
      <c r="M262" s="27">
        <v>13</v>
      </c>
      <c r="N262" s="26">
        <v>15</v>
      </c>
      <c r="O262" s="27">
        <v>11</v>
      </c>
      <c r="P262" s="27">
        <v>12</v>
      </c>
      <c r="Q262" s="27">
        <v>11</v>
      </c>
      <c r="R262" s="27">
        <v>12</v>
      </c>
      <c r="S262" s="27">
        <v>11</v>
      </c>
      <c r="T262" s="27">
        <v>10</v>
      </c>
      <c r="U262" s="27">
        <v>10</v>
      </c>
      <c r="V262" s="27">
        <v>9</v>
      </c>
      <c r="W262" s="27">
        <v>9</v>
      </c>
      <c r="X262" s="27">
        <v>9</v>
      </c>
      <c r="Y262" s="27">
        <v>9</v>
      </c>
      <c r="Z262" s="21">
        <f t="shared" si="20"/>
        <v>239</v>
      </c>
    </row>
    <row r="263" spans="1:26" x14ac:dyDescent="0.25">
      <c r="A263" s="17">
        <f t="shared" ref="A263:A326" ca="1" si="21">IF(ISTEXT(A262),A261+1,IF(MONTH(A262+1)=MONTH(A262),A262+1,"Totaal"))</f>
        <v>693483</v>
      </c>
      <c r="B263" s="26">
        <v>9</v>
      </c>
      <c r="C263" s="27">
        <v>7</v>
      </c>
      <c r="D263" s="27">
        <v>6</v>
      </c>
      <c r="E263" s="27">
        <v>5</v>
      </c>
      <c r="F263" s="27">
        <v>6</v>
      </c>
      <c r="G263" s="27">
        <v>4</v>
      </c>
      <c r="H263" s="27">
        <v>5</v>
      </c>
      <c r="I263" s="27">
        <v>6</v>
      </c>
      <c r="J263" s="27">
        <v>6</v>
      </c>
      <c r="K263" s="27">
        <v>7</v>
      </c>
      <c r="L263" s="27">
        <v>10</v>
      </c>
      <c r="M263" s="27">
        <v>9</v>
      </c>
      <c r="N263" s="26">
        <v>7</v>
      </c>
      <c r="O263" s="27">
        <v>11</v>
      </c>
      <c r="P263" s="27">
        <v>12</v>
      </c>
      <c r="Q263" s="27">
        <v>13</v>
      </c>
      <c r="R263" s="27">
        <v>11</v>
      </c>
      <c r="S263" s="27">
        <v>9</v>
      </c>
      <c r="T263" s="27">
        <v>9</v>
      </c>
      <c r="U263" s="27">
        <v>5</v>
      </c>
      <c r="V263" s="27">
        <v>6</v>
      </c>
      <c r="W263" s="27">
        <v>6</v>
      </c>
      <c r="X263" s="27">
        <v>6</v>
      </c>
      <c r="Y263" s="27">
        <v>6</v>
      </c>
      <c r="Z263" s="21">
        <f t="shared" si="20"/>
        <v>181</v>
      </c>
    </row>
    <row r="264" spans="1:26" x14ac:dyDescent="0.25">
      <c r="A264" s="17">
        <f t="shared" ca="1" si="21"/>
        <v>693484</v>
      </c>
      <c r="B264" s="26">
        <v>6</v>
      </c>
      <c r="C264" s="27">
        <v>6</v>
      </c>
      <c r="D264" s="27">
        <v>6</v>
      </c>
      <c r="E264" s="27">
        <v>8</v>
      </c>
      <c r="F264" s="27">
        <v>8</v>
      </c>
      <c r="G264" s="27">
        <v>9</v>
      </c>
      <c r="H264" s="27">
        <v>7</v>
      </c>
      <c r="I264" s="27">
        <v>10</v>
      </c>
      <c r="J264" s="27">
        <v>11</v>
      </c>
      <c r="K264" s="27">
        <v>11</v>
      </c>
      <c r="L264" s="27">
        <v>10</v>
      </c>
      <c r="M264" s="27">
        <v>10</v>
      </c>
      <c r="N264" s="26">
        <v>8</v>
      </c>
      <c r="O264" s="27">
        <v>9</v>
      </c>
      <c r="P264" s="27">
        <v>10</v>
      </c>
      <c r="Q264" s="27">
        <v>13</v>
      </c>
      <c r="R264" s="27">
        <v>12</v>
      </c>
      <c r="S264" s="27">
        <v>12</v>
      </c>
      <c r="T264" s="27">
        <v>11</v>
      </c>
      <c r="U264" s="27">
        <v>9</v>
      </c>
      <c r="V264" s="27">
        <v>12</v>
      </c>
      <c r="W264" s="27">
        <v>9</v>
      </c>
      <c r="X264" s="27">
        <v>4</v>
      </c>
      <c r="Y264" s="27">
        <v>10</v>
      </c>
      <c r="Z264" s="21">
        <f t="shared" si="20"/>
        <v>221</v>
      </c>
    </row>
    <row r="265" spans="1:26" x14ac:dyDescent="0.25">
      <c r="A265" s="17">
        <f t="shared" ca="1" si="21"/>
        <v>693485</v>
      </c>
      <c r="B265" s="26">
        <v>8</v>
      </c>
      <c r="C265" s="27">
        <v>9</v>
      </c>
      <c r="D265" s="27">
        <v>8</v>
      </c>
      <c r="E265" s="27">
        <v>8</v>
      </c>
      <c r="F265" s="27">
        <v>6</v>
      </c>
      <c r="G265" s="27">
        <v>5</v>
      </c>
      <c r="H265" s="27">
        <v>6</v>
      </c>
      <c r="I265" s="27">
        <v>8</v>
      </c>
      <c r="J265" s="27">
        <v>10</v>
      </c>
      <c r="K265" s="27">
        <v>9</v>
      </c>
      <c r="L265" s="27">
        <v>9</v>
      </c>
      <c r="M265" s="27">
        <v>13</v>
      </c>
      <c r="N265" s="26">
        <v>11</v>
      </c>
      <c r="O265" s="27">
        <v>11</v>
      </c>
      <c r="P265" s="27">
        <v>10</v>
      </c>
      <c r="Q265" s="27">
        <v>10</v>
      </c>
      <c r="R265" s="27">
        <v>9</v>
      </c>
      <c r="S265" s="27">
        <v>8</v>
      </c>
      <c r="T265" s="27">
        <v>8</v>
      </c>
      <c r="U265" s="27">
        <v>7</v>
      </c>
      <c r="V265" s="27">
        <v>7</v>
      </c>
      <c r="W265" s="27">
        <v>6</v>
      </c>
      <c r="X265" s="27">
        <v>6</v>
      </c>
      <c r="Y265" s="27">
        <v>5</v>
      </c>
      <c r="Z265" s="21">
        <f t="shared" si="20"/>
        <v>197</v>
      </c>
    </row>
    <row r="266" spans="1:26" x14ac:dyDescent="0.25">
      <c r="A266" s="17">
        <f t="shared" ca="1" si="21"/>
        <v>693486</v>
      </c>
      <c r="B266" s="26">
        <v>4</v>
      </c>
      <c r="C266" s="27">
        <v>3</v>
      </c>
      <c r="D266" s="27">
        <v>2</v>
      </c>
      <c r="E266" s="27">
        <v>4</v>
      </c>
      <c r="F266" s="27">
        <v>3</v>
      </c>
      <c r="G266" s="27">
        <v>3</v>
      </c>
      <c r="H266" s="27">
        <v>4</v>
      </c>
      <c r="I266" s="27">
        <v>5</v>
      </c>
      <c r="J266" s="27">
        <v>6</v>
      </c>
      <c r="K266" s="27">
        <v>7</v>
      </c>
      <c r="L266" s="27">
        <v>7</v>
      </c>
      <c r="M266" s="27">
        <v>2</v>
      </c>
      <c r="N266" s="26">
        <v>5</v>
      </c>
      <c r="O266" s="27">
        <v>9</v>
      </c>
      <c r="P266" s="27">
        <v>9</v>
      </c>
      <c r="Q266" s="27">
        <v>10</v>
      </c>
      <c r="R266" s="27">
        <v>9</v>
      </c>
      <c r="S266" s="27">
        <v>7</v>
      </c>
      <c r="T266" s="27">
        <v>6</v>
      </c>
      <c r="U266" s="27">
        <v>3</v>
      </c>
      <c r="V266" s="27">
        <v>3</v>
      </c>
      <c r="W266" s="27">
        <v>3</v>
      </c>
      <c r="X266" s="27">
        <v>3</v>
      </c>
      <c r="Y266" s="27">
        <v>3</v>
      </c>
      <c r="Z266" s="21">
        <f t="shared" si="20"/>
        <v>120</v>
      </c>
    </row>
    <row r="267" spans="1:26" x14ac:dyDescent="0.25">
      <c r="A267" s="17">
        <f t="shared" ca="1" si="21"/>
        <v>693487</v>
      </c>
      <c r="B267" s="26">
        <v>1</v>
      </c>
      <c r="C267" s="27">
        <v>2</v>
      </c>
      <c r="D267" s="27">
        <v>3</v>
      </c>
      <c r="E267" s="27">
        <v>4</v>
      </c>
      <c r="F267" s="27">
        <v>3</v>
      </c>
      <c r="G267" s="27">
        <v>3</v>
      </c>
      <c r="H267" s="27">
        <v>1</v>
      </c>
      <c r="I267" s="27">
        <v>3</v>
      </c>
      <c r="J267" s="27">
        <v>5</v>
      </c>
      <c r="K267" s="27">
        <v>8</v>
      </c>
      <c r="L267" s="27">
        <v>8</v>
      </c>
      <c r="M267" s="27">
        <v>8</v>
      </c>
      <c r="N267" s="26">
        <v>8</v>
      </c>
      <c r="O267" s="27">
        <v>6</v>
      </c>
      <c r="P267" s="27">
        <v>5</v>
      </c>
      <c r="Q267" s="27">
        <v>3</v>
      </c>
      <c r="R267" s="27">
        <v>17</v>
      </c>
      <c r="S267" s="27">
        <v>9</v>
      </c>
      <c r="T267" s="27">
        <v>7</v>
      </c>
      <c r="U267" s="27">
        <v>7</v>
      </c>
      <c r="V267" s="27">
        <v>5</v>
      </c>
      <c r="W267" s="27">
        <v>7</v>
      </c>
      <c r="X267" s="27">
        <v>7</v>
      </c>
      <c r="Y267" s="27">
        <v>7</v>
      </c>
      <c r="Z267" s="21">
        <f t="shared" si="20"/>
        <v>137</v>
      </c>
    </row>
    <row r="268" spans="1:26" x14ac:dyDescent="0.25">
      <c r="A268" s="17">
        <f t="shared" ca="1" si="21"/>
        <v>693488</v>
      </c>
      <c r="B268" s="26">
        <v>8</v>
      </c>
      <c r="C268" s="27">
        <v>5</v>
      </c>
      <c r="D268" s="27">
        <v>5</v>
      </c>
      <c r="E268" s="27">
        <v>7</v>
      </c>
      <c r="F268" s="27">
        <v>5</v>
      </c>
      <c r="G268" s="27">
        <v>3</v>
      </c>
      <c r="H268" s="27">
        <v>5</v>
      </c>
      <c r="I268" s="27">
        <v>6</v>
      </c>
      <c r="J268" s="27">
        <v>8</v>
      </c>
      <c r="K268" s="27">
        <v>8</v>
      </c>
      <c r="L268" s="27">
        <v>8</v>
      </c>
      <c r="M268" s="27">
        <v>6</v>
      </c>
      <c r="N268" s="26">
        <v>6</v>
      </c>
      <c r="O268" s="27">
        <v>7</v>
      </c>
      <c r="P268" s="27">
        <v>8</v>
      </c>
      <c r="Q268" s="27">
        <v>5</v>
      </c>
      <c r="R268" s="27">
        <v>8</v>
      </c>
      <c r="S268" s="27">
        <v>8</v>
      </c>
      <c r="T268" s="27">
        <v>7</v>
      </c>
      <c r="U268" s="27">
        <v>6</v>
      </c>
      <c r="V268" s="27">
        <v>4</v>
      </c>
      <c r="W268" s="27">
        <v>5</v>
      </c>
      <c r="X268" s="27">
        <v>4</v>
      </c>
      <c r="Y268" s="27">
        <v>4</v>
      </c>
      <c r="Z268" s="21">
        <f t="shared" si="20"/>
        <v>146</v>
      </c>
    </row>
    <row r="269" spans="1:26" x14ac:dyDescent="0.25">
      <c r="A269" s="17">
        <f t="shared" ca="1" si="21"/>
        <v>693489</v>
      </c>
      <c r="B269" s="26">
        <v>5</v>
      </c>
      <c r="C269" s="27">
        <v>3</v>
      </c>
      <c r="D269" s="27">
        <v>5</v>
      </c>
      <c r="E269" s="27">
        <v>4</v>
      </c>
      <c r="F269" s="27">
        <v>4</v>
      </c>
      <c r="G269" s="27">
        <v>2</v>
      </c>
      <c r="H269" s="27">
        <v>3</v>
      </c>
      <c r="I269" s="27">
        <v>7</v>
      </c>
      <c r="J269" s="27">
        <v>8</v>
      </c>
      <c r="K269" s="27">
        <v>8</v>
      </c>
      <c r="L269" s="27">
        <v>9</v>
      </c>
      <c r="M269" s="27">
        <v>10</v>
      </c>
      <c r="N269" s="26">
        <v>9</v>
      </c>
      <c r="O269" s="27">
        <v>6</v>
      </c>
      <c r="P269" s="27">
        <v>7</v>
      </c>
      <c r="Q269" s="27">
        <v>5</v>
      </c>
      <c r="R269" s="27">
        <v>8</v>
      </c>
      <c r="S269" s="27">
        <v>8</v>
      </c>
      <c r="T269" s="27">
        <v>7</v>
      </c>
      <c r="U269" s="27">
        <v>8</v>
      </c>
      <c r="V269" s="27">
        <v>5</v>
      </c>
      <c r="W269" s="27">
        <v>5</v>
      </c>
      <c r="X269" s="27">
        <v>6</v>
      </c>
      <c r="Y269" s="27">
        <v>5</v>
      </c>
      <c r="Z269" s="21">
        <f t="shared" si="20"/>
        <v>147</v>
      </c>
    </row>
    <row r="270" spans="1:26" x14ac:dyDescent="0.25">
      <c r="A270" s="17">
        <f t="shared" ca="1" si="21"/>
        <v>693490</v>
      </c>
      <c r="B270" s="26">
        <v>5</v>
      </c>
      <c r="C270" s="27">
        <v>4</v>
      </c>
      <c r="D270" s="27">
        <v>3</v>
      </c>
      <c r="E270" s="27">
        <v>3</v>
      </c>
      <c r="F270" s="27">
        <v>3</v>
      </c>
      <c r="G270" s="27">
        <v>3</v>
      </c>
      <c r="H270" s="27">
        <v>5</v>
      </c>
      <c r="I270" s="27">
        <v>7</v>
      </c>
      <c r="J270" s="27">
        <v>12</v>
      </c>
      <c r="K270" s="27">
        <v>11</v>
      </c>
      <c r="L270" s="27">
        <v>12</v>
      </c>
      <c r="M270" s="27">
        <v>10</v>
      </c>
      <c r="N270" s="26">
        <v>10</v>
      </c>
      <c r="O270" s="27">
        <v>10</v>
      </c>
      <c r="P270" s="27">
        <v>11</v>
      </c>
      <c r="Q270" s="27">
        <v>8</v>
      </c>
      <c r="R270" s="27">
        <v>10</v>
      </c>
      <c r="S270" s="27">
        <v>11</v>
      </c>
      <c r="T270" s="27">
        <v>10</v>
      </c>
      <c r="U270" s="27">
        <v>10</v>
      </c>
      <c r="V270" s="27">
        <v>9</v>
      </c>
      <c r="W270" s="27">
        <v>8</v>
      </c>
      <c r="X270" s="27">
        <v>6</v>
      </c>
      <c r="Y270" s="27">
        <v>8</v>
      </c>
      <c r="Z270" s="21">
        <f t="shared" si="20"/>
        <v>189</v>
      </c>
    </row>
    <row r="271" spans="1:26" x14ac:dyDescent="0.25">
      <c r="A271" s="17">
        <f t="shared" ca="1" si="21"/>
        <v>693491</v>
      </c>
      <c r="B271" s="26">
        <v>8</v>
      </c>
      <c r="C271" s="27">
        <v>7</v>
      </c>
      <c r="D271" s="27">
        <v>8</v>
      </c>
      <c r="E271" s="27">
        <v>8</v>
      </c>
      <c r="F271" s="27">
        <v>7</v>
      </c>
      <c r="G271" s="27">
        <v>6</v>
      </c>
      <c r="H271" s="27">
        <v>8</v>
      </c>
      <c r="I271" s="27">
        <v>11</v>
      </c>
      <c r="J271" s="27">
        <v>12</v>
      </c>
      <c r="K271" s="27">
        <v>15</v>
      </c>
      <c r="L271" s="27">
        <v>16</v>
      </c>
      <c r="M271" s="27">
        <v>14</v>
      </c>
      <c r="N271" s="26">
        <v>13</v>
      </c>
      <c r="O271" s="27">
        <v>12</v>
      </c>
      <c r="P271" s="27">
        <v>11</v>
      </c>
      <c r="Q271" s="27">
        <v>12</v>
      </c>
      <c r="R271" s="27">
        <v>13</v>
      </c>
      <c r="S271" s="27">
        <v>12</v>
      </c>
      <c r="T271" s="27">
        <v>12</v>
      </c>
      <c r="U271" s="27">
        <v>11</v>
      </c>
      <c r="V271" s="27">
        <v>13</v>
      </c>
      <c r="W271" s="27">
        <v>11</v>
      </c>
      <c r="X271" s="27">
        <v>12</v>
      </c>
      <c r="Y271" s="27">
        <v>11</v>
      </c>
      <c r="Z271" s="21">
        <f t="shared" si="20"/>
        <v>263</v>
      </c>
    </row>
    <row r="272" spans="1:26" x14ac:dyDescent="0.25">
      <c r="A272" s="17">
        <f t="shared" ca="1" si="21"/>
        <v>693492</v>
      </c>
      <c r="B272" s="26">
        <v>11</v>
      </c>
      <c r="C272" s="27">
        <v>10</v>
      </c>
      <c r="D272" s="27">
        <v>10</v>
      </c>
      <c r="E272" s="27">
        <v>10</v>
      </c>
      <c r="F272" s="27">
        <v>10</v>
      </c>
      <c r="G272" s="27">
        <v>8</v>
      </c>
      <c r="H272" s="27">
        <v>9</v>
      </c>
      <c r="I272" s="27">
        <v>12</v>
      </c>
      <c r="J272" s="27">
        <v>11</v>
      </c>
      <c r="K272" s="27">
        <v>13</v>
      </c>
      <c r="L272" s="27">
        <v>13</v>
      </c>
      <c r="M272" s="27">
        <v>15</v>
      </c>
      <c r="N272" s="26">
        <v>13</v>
      </c>
      <c r="O272" s="27">
        <v>17</v>
      </c>
      <c r="P272" s="27">
        <v>16</v>
      </c>
      <c r="Q272" s="27">
        <v>16</v>
      </c>
      <c r="R272" s="27">
        <v>19</v>
      </c>
      <c r="S272" s="27">
        <v>16</v>
      </c>
      <c r="T272" s="27">
        <v>15</v>
      </c>
      <c r="U272" s="27">
        <v>14</v>
      </c>
      <c r="V272" s="27">
        <v>12</v>
      </c>
      <c r="W272" s="27">
        <v>12</v>
      </c>
      <c r="X272" s="27">
        <v>11</v>
      </c>
      <c r="Y272" s="27">
        <v>12</v>
      </c>
      <c r="Z272" s="21">
        <f t="shared" si="20"/>
        <v>305</v>
      </c>
    </row>
    <row r="273" spans="1:26" x14ac:dyDescent="0.25">
      <c r="A273" s="17">
        <f t="shared" ca="1" si="21"/>
        <v>693493</v>
      </c>
      <c r="B273" s="26">
        <v>12</v>
      </c>
      <c r="C273" s="27">
        <v>11</v>
      </c>
      <c r="D273" s="27">
        <v>10</v>
      </c>
      <c r="E273" s="27">
        <v>10</v>
      </c>
      <c r="F273" s="27">
        <v>9</v>
      </c>
      <c r="G273" s="27">
        <v>9</v>
      </c>
      <c r="H273" s="27">
        <v>10</v>
      </c>
      <c r="I273" s="27">
        <v>12</v>
      </c>
      <c r="J273" s="27">
        <v>12</v>
      </c>
      <c r="K273" s="27">
        <v>13</v>
      </c>
      <c r="L273" s="27">
        <v>14</v>
      </c>
      <c r="M273" s="27">
        <v>13</v>
      </c>
      <c r="N273" s="26">
        <v>14</v>
      </c>
      <c r="O273" s="27">
        <v>12</v>
      </c>
      <c r="P273" s="27">
        <v>15</v>
      </c>
      <c r="Q273" s="27">
        <v>16</v>
      </c>
      <c r="R273" s="27">
        <v>15</v>
      </c>
      <c r="S273" s="27">
        <v>14</v>
      </c>
      <c r="T273" s="27">
        <v>14</v>
      </c>
      <c r="U273" s="27">
        <v>13</v>
      </c>
      <c r="V273" s="27">
        <v>12</v>
      </c>
      <c r="W273" s="27">
        <v>14</v>
      </c>
      <c r="X273" s="27">
        <v>12</v>
      </c>
      <c r="Y273" s="27">
        <v>10</v>
      </c>
      <c r="Z273" s="21">
        <f t="shared" si="20"/>
        <v>296</v>
      </c>
    </row>
    <row r="274" spans="1:26" x14ac:dyDescent="0.25">
      <c r="A274" s="17">
        <f t="shared" ca="1" si="21"/>
        <v>693494</v>
      </c>
      <c r="B274" s="26">
        <v>10</v>
      </c>
      <c r="C274" s="27">
        <v>12</v>
      </c>
      <c r="D274" s="27">
        <v>17</v>
      </c>
      <c r="E274" s="27">
        <v>4</v>
      </c>
      <c r="F274" s="27">
        <v>5</v>
      </c>
      <c r="G274" s="27">
        <v>6</v>
      </c>
      <c r="H274" s="27">
        <v>9</v>
      </c>
      <c r="I274" s="27">
        <v>11</v>
      </c>
      <c r="J274" s="27">
        <v>10</v>
      </c>
      <c r="K274" s="27">
        <v>10</v>
      </c>
      <c r="L274" s="27">
        <v>11</v>
      </c>
      <c r="M274" s="27">
        <v>10</v>
      </c>
      <c r="N274" s="26">
        <v>10</v>
      </c>
      <c r="O274" s="27">
        <v>10</v>
      </c>
      <c r="P274" s="27">
        <v>12</v>
      </c>
      <c r="Q274" s="27">
        <v>11</v>
      </c>
      <c r="R274" s="27">
        <v>13</v>
      </c>
      <c r="S274" s="27">
        <v>13</v>
      </c>
      <c r="T274" s="27">
        <v>9</v>
      </c>
      <c r="U274" s="27">
        <v>9</v>
      </c>
      <c r="V274" s="27">
        <v>8</v>
      </c>
      <c r="W274" s="27">
        <v>7</v>
      </c>
      <c r="X274" s="27">
        <v>6</v>
      </c>
      <c r="Y274" s="27">
        <v>7</v>
      </c>
      <c r="Z274" s="21">
        <f t="shared" si="20"/>
        <v>230</v>
      </c>
    </row>
    <row r="275" spans="1:26" x14ac:dyDescent="0.25">
      <c r="A275" s="17">
        <f t="shared" ca="1" si="21"/>
        <v>693495</v>
      </c>
      <c r="B275" s="26">
        <v>9</v>
      </c>
      <c r="C275" s="27">
        <v>7</v>
      </c>
      <c r="D275" s="27">
        <v>8</v>
      </c>
      <c r="E275" s="27">
        <v>8</v>
      </c>
      <c r="F275" s="27">
        <v>10</v>
      </c>
      <c r="G275" s="27">
        <v>9</v>
      </c>
      <c r="H275" s="27">
        <v>9</v>
      </c>
      <c r="I275" s="27">
        <v>11</v>
      </c>
      <c r="J275" s="27">
        <v>12</v>
      </c>
      <c r="K275" s="27">
        <v>13</v>
      </c>
      <c r="L275" s="27">
        <v>14</v>
      </c>
      <c r="M275" s="27">
        <v>13</v>
      </c>
      <c r="N275" s="26">
        <v>13</v>
      </c>
      <c r="O275" s="27">
        <v>12</v>
      </c>
      <c r="P275" s="27">
        <v>10</v>
      </c>
      <c r="Q275" s="27">
        <v>11</v>
      </c>
      <c r="R275" s="27">
        <v>13</v>
      </c>
      <c r="S275" s="27">
        <v>12</v>
      </c>
      <c r="T275" s="27">
        <v>13</v>
      </c>
      <c r="U275" s="27">
        <v>14</v>
      </c>
      <c r="V275" s="27">
        <v>12</v>
      </c>
      <c r="W275" s="27">
        <v>10</v>
      </c>
      <c r="X275" s="27">
        <v>9</v>
      </c>
      <c r="Y275" s="27">
        <v>10</v>
      </c>
      <c r="Z275" s="21">
        <f t="shared" si="20"/>
        <v>262</v>
      </c>
    </row>
    <row r="276" spans="1:26" x14ac:dyDescent="0.25">
      <c r="A276" s="17">
        <f t="shared" ca="1" si="21"/>
        <v>693496</v>
      </c>
      <c r="B276" s="26">
        <v>9</v>
      </c>
      <c r="C276" s="27">
        <v>8</v>
      </c>
      <c r="D276" s="27">
        <v>7</v>
      </c>
      <c r="E276" s="27">
        <v>9</v>
      </c>
      <c r="F276" s="27">
        <v>7</v>
      </c>
      <c r="G276" s="27">
        <v>7</v>
      </c>
      <c r="H276" s="27">
        <v>9</v>
      </c>
      <c r="I276" s="27">
        <v>11</v>
      </c>
      <c r="J276" s="27">
        <v>11</v>
      </c>
      <c r="K276" s="27">
        <v>11</v>
      </c>
      <c r="L276" s="27">
        <v>14</v>
      </c>
      <c r="M276" s="27">
        <v>12</v>
      </c>
      <c r="N276" s="26">
        <v>12</v>
      </c>
      <c r="O276" s="27">
        <v>10</v>
      </c>
      <c r="P276" s="27">
        <v>10</v>
      </c>
      <c r="Q276" s="27">
        <v>10</v>
      </c>
      <c r="R276" s="27">
        <v>10</v>
      </c>
      <c r="S276" s="27">
        <v>11</v>
      </c>
      <c r="T276" s="27">
        <v>11</v>
      </c>
      <c r="U276" s="27">
        <v>10</v>
      </c>
      <c r="V276" s="27">
        <v>10</v>
      </c>
      <c r="W276" s="27">
        <v>7</v>
      </c>
      <c r="X276" s="27">
        <v>7</v>
      </c>
      <c r="Y276" s="27">
        <v>5</v>
      </c>
      <c r="Z276" s="21">
        <f t="shared" si="20"/>
        <v>228</v>
      </c>
    </row>
    <row r="277" spans="1:26" x14ac:dyDescent="0.25">
      <c r="A277" s="17">
        <f t="shared" ca="1" si="21"/>
        <v>693497</v>
      </c>
      <c r="B277" s="26">
        <v>4</v>
      </c>
      <c r="C277" s="27">
        <v>5</v>
      </c>
      <c r="D277" s="27">
        <v>5</v>
      </c>
      <c r="E277" s="27">
        <v>6</v>
      </c>
      <c r="F277" s="27">
        <v>6</v>
      </c>
      <c r="G277" s="27">
        <v>4</v>
      </c>
      <c r="H277" s="27">
        <v>5</v>
      </c>
      <c r="I277" s="27">
        <v>8</v>
      </c>
      <c r="J277" s="27">
        <v>9</v>
      </c>
      <c r="K277" s="27">
        <v>9</v>
      </c>
      <c r="L277" s="27">
        <v>9</v>
      </c>
      <c r="M277" s="27">
        <v>7</v>
      </c>
      <c r="N277" s="26">
        <v>8</v>
      </c>
      <c r="O277" s="27">
        <v>6</v>
      </c>
      <c r="P277" s="27">
        <v>5</v>
      </c>
      <c r="Q277" s="27">
        <v>6</v>
      </c>
      <c r="R277" s="27">
        <v>5</v>
      </c>
      <c r="S277" s="27">
        <v>7</v>
      </c>
      <c r="T277" s="27">
        <v>7</v>
      </c>
      <c r="U277" s="27">
        <v>5</v>
      </c>
      <c r="V277" s="27">
        <v>5</v>
      </c>
      <c r="W277" s="27">
        <v>2</v>
      </c>
      <c r="X277" s="27">
        <v>2</v>
      </c>
      <c r="Y277" s="27">
        <v>2</v>
      </c>
      <c r="Z277" s="21">
        <f t="shared" si="20"/>
        <v>137</v>
      </c>
    </row>
    <row r="278" spans="1:26" x14ac:dyDescent="0.25">
      <c r="A278" s="17">
        <f t="shared" ca="1" si="21"/>
        <v>693498</v>
      </c>
      <c r="B278" s="26">
        <v>5</v>
      </c>
      <c r="C278" s="27">
        <v>7</v>
      </c>
      <c r="D278" s="27">
        <v>6</v>
      </c>
      <c r="E278" s="27">
        <v>3</v>
      </c>
      <c r="F278" s="27">
        <v>4</v>
      </c>
      <c r="G278" s="27">
        <v>4</v>
      </c>
      <c r="H278" s="27">
        <v>2</v>
      </c>
      <c r="I278" s="27">
        <v>8</v>
      </c>
      <c r="J278" s="27">
        <v>7</v>
      </c>
      <c r="K278" s="27">
        <v>9</v>
      </c>
      <c r="L278" s="27">
        <v>7</v>
      </c>
      <c r="M278" s="27">
        <v>5</v>
      </c>
      <c r="N278" s="26">
        <v>5</v>
      </c>
      <c r="O278" s="27">
        <v>4</v>
      </c>
      <c r="P278" s="27">
        <v>5</v>
      </c>
      <c r="Q278" s="27">
        <v>5</v>
      </c>
      <c r="R278" s="27">
        <v>4</v>
      </c>
      <c r="S278" s="27">
        <v>5</v>
      </c>
      <c r="T278" s="27">
        <v>5</v>
      </c>
      <c r="U278" s="27">
        <v>6</v>
      </c>
      <c r="V278" s="27">
        <v>6</v>
      </c>
      <c r="W278" s="27">
        <v>7</v>
      </c>
      <c r="X278" s="27">
        <v>6</v>
      </c>
      <c r="Y278" s="27">
        <v>7</v>
      </c>
      <c r="Z278" s="21">
        <f t="shared" si="20"/>
        <v>132</v>
      </c>
    </row>
    <row r="279" spans="1:26" x14ac:dyDescent="0.25">
      <c r="A279" s="17">
        <f t="shared" ca="1" si="21"/>
        <v>693499</v>
      </c>
      <c r="B279" s="26">
        <v>5</v>
      </c>
      <c r="C279" s="27">
        <v>4</v>
      </c>
      <c r="D279" s="27">
        <v>4</v>
      </c>
      <c r="E279" s="27">
        <v>4</v>
      </c>
      <c r="F279" s="27">
        <v>4</v>
      </c>
      <c r="G279" s="27">
        <v>6</v>
      </c>
      <c r="H279" s="27">
        <v>7</v>
      </c>
      <c r="I279" s="27">
        <v>9</v>
      </c>
      <c r="J279" s="27">
        <v>10</v>
      </c>
      <c r="K279" s="27">
        <v>12</v>
      </c>
      <c r="L279" s="27">
        <v>12</v>
      </c>
      <c r="M279" s="27">
        <v>12</v>
      </c>
      <c r="N279" s="26">
        <v>12</v>
      </c>
      <c r="O279" s="27">
        <v>13</v>
      </c>
      <c r="P279" s="27">
        <v>12</v>
      </c>
      <c r="Q279" s="27">
        <v>8</v>
      </c>
      <c r="R279" s="27">
        <v>9</v>
      </c>
      <c r="S279" s="27">
        <v>9</v>
      </c>
      <c r="T279" s="27">
        <v>9</v>
      </c>
      <c r="U279" s="27">
        <v>8</v>
      </c>
      <c r="V279" s="27">
        <v>8</v>
      </c>
      <c r="W279" s="27">
        <v>8</v>
      </c>
      <c r="X279" s="27">
        <v>8</v>
      </c>
      <c r="Y279" s="27">
        <v>7</v>
      </c>
      <c r="Z279" s="21">
        <f t="shared" si="20"/>
        <v>200</v>
      </c>
    </row>
    <row r="280" spans="1:26" x14ac:dyDescent="0.25">
      <c r="A280" s="17">
        <f t="shared" ca="1" si="21"/>
        <v>693500</v>
      </c>
      <c r="B280" s="26">
        <v>6</v>
      </c>
      <c r="C280" s="27">
        <v>6</v>
      </c>
      <c r="D280" s="27">
        <v>6</v>
      </c>
      <c r="E280" s="27">
        <v>7</v>
      </c>
      <c r="F280" s="27">
        <v>6</v>
      </c>
      <c r="G280" s="27">
        <v>6</v>
      </c>
      <c r="H280" s="27">
        <v>8</v>
      </c>
      <c r="I280" s="27">
        <v>12</v>
      </c>
      <c r="J280" s="27">
        <v>11</v>
      </c>
      <c r="K280" s="27">
        <v>13</v>
      </c>
      <c r="L280" s="27">
        <v>16</v>
      </c>
      <c r="M280" s="27">
        <v>15</v>
      </c>
      <c r="N280" s="26">
        <v>15</v>
      </c>
      <c r="O280" s="27">
        <v>14</v>
      </c>
      <c r="P280" s="27">
        <v>11</v>
      </c>
      <c r="Q280" s="27">
        <v>12</v>
      </c>
      <c r="R280" s="27">
        <v>11</v>
      </c>
      <c r="S280" s="27">
        <v>11</v>
      </c>
      <c r="T280" s="27">
        <v>10</v>
      </c>
      <c r="U280" s="27">
        <v>10</v>
      </c>
      <c r="V280" s="27">
        <v>10</v>
      </c>
      <c r="W280" s="27">
        <v>9</v>
      </c>
      <c r="X280" s="27">
        <v>10</v>
      </c>
      <c r="Y280" s="27">
        <v>9</v>
      </c>
      <c r="Z280" s="21">
        <f t="shared" si="20"/>
        <v>244</v>
      </c>
    </row>
    <row r="281" spans="1:26" x14ac:dyDescent="0.25">
      <c r="A281" s="17">
        <f t="shared" ca="1" si="21"/>
        <v>693501</v>
      </c>
      <c r="B281" s="26">
        <v>8</v>
      </c>
      <c r="C281" s="27">
        <v>9</v>
      </c>
      <c r="D281" s="27">
        <v>7</v>
      </c>
      <c r="E281" s="27">
        <v>5</v>
      </c>
      <c r="F281" s="27">
        <v>6</v>
      </c>
      <c r="G281" s="27">
        <v>6</v>
      </c>
      <c r="H281" s="27">
        <v>7</v>
      </c>
      <c r="I281" s="27">
        <v>9</v>
      </c>
      <c r="J281" s="27">
        <v>10</v>
      </c>
      <c r="K281" s="27">
        <v>11</v>
      </c>
      <c r="L281" s="27">
        <v>14</v>
      </c>
      <c r="M281" s="27">
        <v>13</v>
      </c>
      <c r="N281" s="26">
        <v>12</v>
      </c>
      <c r="O281" s="27">
        <v>12</v>
      </c>
      <c r="P281" s="27">
        <v>12</v>
      </c>
      <c r="Q281" s="27">
        <v>11</v>
      </c>
      <c r="R281" s="27">
        <v>13</v>
      </c>
      <c r="S281" s="27">
        <v>12</v>
      </c>
      <c r="T281" s="27">
        <v>13</v>
      </c>
      <c r="U281" s="27">
        <v>13</v>
      </c>
      <c r="V281" s="27">
        <v>9</v>
      </c>
      <c r="W281" s="27">
        <v>8</v>
      </c>
      <c r="X281" s="27">
        <v>7</v>
      </c>
      <c r="Y281" s="27">
        <v>8</v>
      </c>
      <c r="Z281" s="21">
        <f t="shared" si="20"/>
        <v>235</v>
      </c>
    </row>
    <row r="282" spans="1:26" x14ac:dyDescent="0.25">
      <c r="A282" s="17">
        <f t="shared" ca="1" si="21"/>
        <v>693502</v>
      </c>
      <c r="B282" s="26">
        <v>7</v>
      </c>
      <c r="C282" s="27">
        <v>7</v>
      </c>
      <c r="D282" s="27">
        <v>8</v>
      </c>
      <c r="E282" s="27">
        <v>7</v>
      </c>
      <c r="F282" s="27">
        <v>6</v>
      </c>
      <c r="G282" s="27">
        <v>4</v>
      </c>
      <c r="H282" s="27">
        <v>8</v>
      </c>
      <c r="I282" s="27">
        <v>8</v>
      </c>
      <c r="J282" s="27">
        <v>11</v>
      </c>
      <c r="K282" s="27">
        <v>12</v>
      </c>
      <c r="L282" s="27">
        <v>13</v>
      </c>
      <c r="M282" s="27">
        <v>12</v>
      </c>
      <c r="N282" s="26">
        <v>12</v>
      </c>
      <c r="O282" s="27">
        <v>11</v>
      </c>
      <c r="P282" s="27">
        <v>11</v>
      </c>
      <c r="Q282" s="27">
        <v>11</v>
      </c>
      <c r="R282" s="27">
        <v>12</v>
      </c>
      <c r="S282" s="27">
        <v>12</v>
      </c>
      <c r="T282" s="27">
        <v>11</v>
      </c>
      <c r="U282" s="27">
        <v>10</v>
      </c>
      <c r="V282" s="27">
        <v>10</v>
      </c>
      <c r="W282" s="27">
        <v>8</v>
      </c>
      <c r="X282" s="27">
        <v>7</v>
      </c>
      <c r="Y282" s="27">
        <v>6</v>
      </c>
      <c r="Z282" s="21">
        <f t="shared" si="20"/>
        <v>224</v>
      </c>
    </row>
    <row r="283" spans="1:26" x14ac:dyDescent="0.25">
      <c r="A283" s="17">
        <f t="shared" ca="1" si="21"/>
        <v>693503</v>
      </c>
      <c r="B283" s="26">
        <v>6</v>
      </c>
      <c r="C283" s="27">
        <v>6</v>
      </c>
      <c r="D283" s="27">
        <v>5</v>
      </c>
      <c r="E283" s="27">
        <v>6</v>
      </c>
      <c r="F283" s="27">
        <v>5</v>
      </c>
      <c r="G283" s="27">
        <v>5</v>
      </c>
      <c r="H283" s="27">
        <v>7</v>
      </c>
      <c r="I283" s="27">
        <v>7</v>
      </c>
      <c r="J283" s="27">
        <v>10</v>
      </c>
      <c r="K283" s="27">
        <v>12</v>
      </c>
      <c r="L283" s="27">
        <v>11</v>
      </c>
      <c r="M283" s="27">
        <v>13</v>
      </c>
      <c r="N283" s="26">
        <v>13</v>
      </c>
      <c r="O283" s="27">
        <v>10</v>
      </c>
      <c r="P283" s="27">
        <v>10</v>
      </c>
      <c r="Q283" s="27">
        <v>9</v>
      </c>
      <c r="R283" s="27">
        <v>12</v>
      </c>
      <c r="S283" s="27">
        <v>11</v>
      </c>
      <c r="T283" s="27">
        <v>11</v>
      </c>
      <c r="U283" s="27">
        <v>10</v>
      </c>
      <c r="V283" s="27">
        <v>7</v>
      </c>
      <c r="W283" s="27">
        <v>5</v>
      </c>
      <c r="X283" s="27">
        <v>6</v>
      </c>
      <c r="Y283" s="27">
        <v>5</v>
      </c>
      <c r="Z283" s="21">
        <f t="shared" si="20"/>
        <v>202</v>
      </c>
    </row>
    <row r="284" spans="1:26" x14ac:dyDescent="0.25">
      <c r="A284" s="17">
        <f t="shared" ca="1" si="21"/>
        <v>693504</v>
      </c>
      <c r="B284" s="26">
        <v>5</v>
      </c>
      <c r="C284" s="27">
        <v>4</v>
      </c>
      <c r="D284" s="27">
        <v>4</v>
      </c>
      <c r="E284" s="27">
        <v>5</v>
      </c>
      <c r="F284" s="27">
        <v>5</v>
      </c>
      <c r="G284" s="27">
        <v>3</v>
      </c>
      <c r="H284" s="27">
        <v>4</v>
      </c>
      <c r="I284" s="27">
        <v>6</v>
      </c>
      <c r="J284" s="27">
        <v>6</v>
      </c>
      <c r="K284" s="27">
        <v>9</v>
      </c>
      <c r="L284" s="27">
        <v>10</v>
      </c>
      <c r="M284" s="27">
        <v>8</v>
      </c>
      <c r="N284" s="26">
        <v>6</v>
      </c>
      <c r="O284" s="27">
        <v>7</v>
      </c>
      <c r="P284" s="27">
        <v>5</v>
      </c>
      <c r="Q284" s="27">
        <v>9</v>
      </c>
      <c r="R284" s="27">
        <v>10</v>
      </c>
      <c r="S284" s="27">
        <v>6</v>
      </c>
      <c r="T284" s="27">
        <v>4</v>
      </c>
      <c r="U284" s="27">
        <v>4</v>
      </c>
      <c r="V284" s="27">
        <v>4</v>
      </c>
      <c r="W284" s="27">
        <v>3</v>
      </c>
      <c r="X284" s="27">
        <v>3</v>
      </c>
      <c r="Y284" s="27">
        <v>4</v>
      </c>
      <c r="Z284" s="21">
        <f t="shared" si="20"/>
        <v>134</v>
      </c>
    </row>
    <row r="285" spans="1:26" x14ac:dyDescent="0.25">
      <c r="A285" s="17">
        <f t="shared" ca="1" si="21"/>
        <v>693505</v>
      </c>
      <c r="B285" s="26">
        <v>3</v>
      </c>
      <c r="C285" s="27">
        <v>2</v>
      </c>
      <c r="D285" s="27">
        <v>4</v>
      </c>
      <c r="E285" s="27">
        <v>2</v>
      </c>
      <c r="F285" s="27">
        <v>2</v>
      </c>
      <c r="G285" s="27">
        <v>2</v>
      </c>
      <c r="H285" s="27">
        <v>3</v>
      </c>
      <c r="I285" s="27">
        <v>4</v>
      </c>
      <c r="J285" s="27">
        <v>8</v>
      </c>
      <c r="K285" s="27">
        <v>7</v>
      </c>
      <c r="L285" s="27">
        <v>6</v>
      </c>
      <c r="M285" s="27">
        <v>6</v>
      </c>
      <c r="N285" s="26">
        <v>7</v>
      </c>
      <c r="O285" s="27">
        <v>5</v>
      </c>
      <c r="P285" s="27">
        <v>7</v>
      </c>
      <c r="Q285" s="27">
        <v>7</v>
      </c>
      <c r="R285" s="27">
        <v>7</v>
      </c>
      <c r="S285" s="27">
        <v>7</v>
      </c>
      <c r="T285" s="27">
        <v>3</v>
      </c>
      <c r="U285" s="27">
        <v>5</v>
      </c>
      <c r="V285" s="27">
        <v>7</v>
      </c>
      <c r="W285" s="27">
        <v>7</v>
      </c>
      <c r="X285" s="27">
        <v>7</v>
      </c>
      <c r="Y285" s="27">
        <v>5</v>
      </c>
      <c r="Z285" s="21">
        <f t="shared" si="20"/>
        <v>123</v>
      </c>
    </row>
    <row r="286" spans="1:26" x14ac:dyDescent="0.25">
      <c r="A286" s="17" t="str">
        <f t="shared" ca="1" si="21"/>
        <v>Totaal</v>
      </c>
      <c r="B286" s="18">
        <f t="shared" ref="B286:Y286" si="22">IF(COUNT(B256:B285)&gt;0,AVERAGE(B256:B285),"")</f>
        <v>7.1333333333333337</v>
      </c>
      <c r="C286" s="19">
        <f t="shared" si="22"/>
        <v>6.8666666666666663</v>
      </c>
      <c r="D286" s="19">
        <f t="shared" si="22"/>
        <v>6.9333333333333336</v>
      </c>
      <c r="E286" s="19">
        <f t="shared" si="22"/>
        <v>6.6</v>
      </c>
      <c r="F286" s="19">
        <f t="shared" si="22"/>
        <v>6.0333333333333332</v>
      </c>
      <c r="G286" s="19">
        <f t="shared" si="22"/>
        <v>5.7</v>
      </c>
      <c r="H286" s="19">
        <f t="shared" si="22"/>
        <v>6.7666666666666666</v>
      </c>
      <c r="I286" s="19">
        <f t="shared" si="22"/>
        <v>9.0666666666666664</v>
      </c>
      <c r="J286" s="19">
        <f t="shared" si="22"/>
        <v>10.166666666666666</v>
      </c>
      <c r="K286" s="19">
        <f t="shared" si="22"/>
        <v>11.166666666666666</v>
      </c>
      <c r="L286" s="19">
        <f t="shared" si="22"/>
        <v>11.766666666666667</v>
      </c>
      <c r="M286" s="19">
        <f t="shared" si="22"/>
        <v>11.133333333333333</v>
      </c>
      <c r="N286" s="18">
        <f t="shared" si="22"/>
        <v>10.6</v>
      </c>
      <c r="O286" s="19">
        <f t="shared" si="22"/>
        <v>10.533333333333333</v>
      </c>
      <c r="P286" s="19">
        <f t="shared" si="22"/>
        <v>10.633333333333333</v>
      </c>
      <c r="Q286" s="19">
        <f t="shared" si="22"/>
        <v>10.633333333333333</v>
      </c>
      <c r="R286" s="19">
        <f t="shared" si="22"/>
        <v>11.6</v>
      </c>
      <c r="S286" s="19">
        <f t="shared" si="22"/>
        <v>10.7</v>
      </c>
      <c r="T286" s="19">
        <f t="shared" si="22"/>
        <v>10</v>
      </c>
      <c r="U286" s="19">
        <f t="shared" si="22"/>
        <v>9.3666666666666671</v>
      </c>
      <c r="V286" s="19">
        <f t="shared" si="22"/>
        <v>8.6999999999999993</v>
      </c>
      <c r="W286" s="19">
        <f t="shared" si="22"/>
        <v>8.0333333333333332</v>
      </c>
      <c r="X286" s="19">
        <f t="shared" si="22"/>
        <v>7.4333333333333336</v>
      </c>
      <c r="Y286" s="19">
        <f t="shared" si="22"/>
        <v>7.3666666666666663</v>
      </c>
      <c r="Z286" s="20">
        <f>IF(COUNT(B286:Y286)&gt;0,AVERAGE(B286:Y286),"")</f>
        <v>8.9555555555555539</v>
      </c>
    </row>
    <row r="287" spans="1:26" x14ac:dyDescent="0.25">
      <c r="A287" s="17">
        <f t="shared" ca="1" si="21"/>
        <v>693506</v>
      </c>
      <c r="B287" s="26">
        <v>6</v>
      </c>
      <c r="C287" s="27">
        <v>6</v>
      </c>
      <c r="D287" s="27">
        <v>5</v>
      </c>
      <c r="E287" s="27">
        <v>5</v>
      </c>
      <c r="F287" s="27">
        <v>4</v>
      </c>
      <c r="G287" s="27">
        <v>2</v>
      </c>
      <c r="H287" s="27">
        <v>3</v>
      </c>
      <c r="I287" s="27">
        <v>5</v>
      </c>
      <c r="J287" s="27">
        <v>8</v>
      </c>
      <c r="K287" s="27">
        <v>9</v>
      </c>
      <c r="L287" s="27">
        <v>11</v>
      </c>
      <c r="M287" s="27">
        <v>10</v>
      </c>
      <c r="N287" s="26">
        <v>10</v>
      </c>
      <c r="O287" s="27">
        <v>10</v>
      </c>
      <c r="P287" s="27">
        <v>11</v>
      </c>
      <c r="Q287" s="27">
        <v>12</v>
      </c>
      <c r="R287" s="27">
        <v>10</v>
      </c>
      <c r="S287" s="27">
        <v>9</v>
      </c>
      <c r="T287" s="27">
        <v>11</v>
      </c>
      <c r="U287" s="27">
        <v>8</v>
      </c>
      <c r="V287" s="27">
        <v>8</v>
      </c>
      <c r="W287" s="27">
        <v>6</v>
      </c>
      <c r="X287" s="27">
        <v>7</v>
      </c>
      <c r="Y287" s="27">
        <v>6</v>
      </c>
      <c r="Z287" s="21">
        <f>IF(COUNT(B287:Y287)&gt;0,SUM(B287:Y287),"")</f>
        <v>182</v>
      </c>
    </row>
    <row r="288" spans="1:26" x14ac:dyDescent="0.25">
      <c r="A288" s="17">
        <f t="shared" ca="1" si="21"/>
        <v>693507</v>
      </c>
      <c r="B288" s="26">
        <v>5</v>
      </c>
      <c r="C288" s="27">
        <v>5</v>
      </c>
      <c r="D288" s="27">
        <v>5</v>
      </c>
      <c r="E288" s="27">
        <v>5</v>
      </c>
      <c r="F288" s="27">
        <v>4</v>
      </c>
      <c r="G288" s="27">
        <v>5</v>
      </c>
      <c r="H288" s="27">
        <v>5</v>
      </c>
      <c r="I288" s="27">
        <v>7</v>
      </c>
      <c r="J288" s="27">
        <v>7</v>
      </c>
      <c r="K288" s="27">
        <v>9</v>
      </c>
      <c r="L288" s="27">
        <v>8</v>
      </c>
      <c r="M288" s="27">
        <v>10</v>
      </c>
      <c r="N288" s="26">
        <v>7</v>
      </c>
      <c r="O288" s="27">
        <v>5</v>
      </c>
      <c r="P288" s="27">
        <v>8</v>
      </c>
      <c r="Q288" s="27">
        <v>6</v>
      </c>
      <c r="R288" s="27">
        <v>5</v>
      </c>
      <c r="S288" s="27">
        <v>5</v>
      </c>
      <c r="T288" s="27">
        <v>5</v>
      </c>
      <c r="U288" s="27">
        <v>6</v>
      </c>
      <c r="V288" s="27">
        <v>6</v>
      </c>
      <c r="W288" s="27">
        <v>4</v>
      </c>
      <c r="X288" s="27">
        <v>4</v>
      </c>
      <c r="Y288" s="27">
        <v>4</v>
      </c>
      <c r="Z288" s="21">
        <f t="shared" ref="Z288:Z317" si="23">IF(COUNT(B288:Y288)&gt;0,SUM(B288:Y288),"")</f>
        <v>140</v>
      </c>
    </row>
    <row r="289" spans="1:26" x14ac:dyDescent="0.25">
      <c r="A289" s="17">
        <f t="shared" ca="1" si="21"/>
        <v>693508</v>
      </c>
      <c r="B289" s="26">
        <v>3</v>
      </c>
      <c r="C289" s="27">
        <v>4</v>
      </c>
      <c r="D289" s="27">
        <v>4</v>
      </c>
      <c r="E289" s="27">
        <v>3</v>
      </c>
      <c r="F289" s="27">
        <v>7</v>
      </c>
      <c r="G289" s="27">
        <v>6</v>
      </c>
      <c r="H289" s="27">
        <v>6</v>
      </c>
      <c r="I289" s="27">
        <v>9</v>
      </c>
      <c r="J289" s="27">
        <v>9</v>
      </c>
      <c r="K289" s="27">
        <v>11</v>
      </c>
      <c r="L289" s="27">
        <v>11</v>
      </c>
      <c r="M289" s="27">
        <v>12</v>
      </c>
      <c r="N289" s="26">
        <v>11</v>
      </c>
      <c r="O289" s="27">
        <v>12</v>
      </c>
      <c r="P289" s="27">
        <v>8</v>
      </c>
      <c r="Q289" s="27">
        <v>8</v>
      </c>
      <c r="R289" s="27">
        <v>8</v>
      </c>
      <c r="S289" s="27">
        <v>9</v>
      </c>
      <c r="T289" s="27">
        <v>7</v>
      </c>
      <c r="U289" s="27">
        <v>8</v>
      </c>
      <c r="V289" s="27">
        <v>7</v>
      </c>
      <c r="W289" s="27">
        <v>6</v>
      </c>
      <c r="X289" s="27">
        <v>5</v>
      </c>
      <c r="Y289" s="27">
        <v>5</v>
      </c>
      <c r="Z289" s="21">
        <f t="shared" si="23"/>
        <v>179</v>
      </c>
    </row>
    <row r="290" spans="1:26" x14ac:dyDescent="0.25">
      <c r="A290" s="17">
        <f t="shared" ca="1" si="21"/>
        <v>693509</v>
      </c>
      <c r="B290" s="26">
        <v>5</v>
      </c>
      <c r="C290" s="27">
        <v>4</v>
      </c>
      <c r="D290" s="27">
        <v>5</v>
      </c>
      <c r="E290" s="27">
        <v>6</v>
      </c>
      <c r="F290" s="27">
        <v>5</v>
      </c>
      <c r="G290" s="27">
        <v>5</v>
      </c>
      <c r="H290" s="27">
        <v>7</v>
      </c>
      <c r="I290" s="27">
        <v>10</v>
      </c>
      <c r="J290" s="27">
        <v>10</v>
      </c>
      <c r="K290" s="27">
        <v>11</v>
      </c>
      <c r="L290" s="27">
        <v>11</v>
      </c>
      <c r="M290" s="27">
        <v>14</v>
      </c>
      <c r="N290" s="26">
        <v>16</v>
      </c>
      <c r="O290" s="27">
        <v>13</v>
      </c>
      <c r="P290" s="27">
        <v>12</v>
      </c>
      <c r="Q290" s="27">
        <v>12</v>
      </c>
      <c r="R290" s="27">
        <v>12</v>
      </c>
      <c r="S290" s="27">
        <v>10</v>
      </c>
      <c r="T290" s="27">
        <v>11</v>
      </c>
      <c r="U290" s="27">
        <v>10</v>
      </c>
      <c r="V290" s="27">
        <v>11</v>
      </c>
      <c r="W290" s="27">
        <v>10</v>
      </c>
      <c r="X290" s="27">
        <v>10</v>
      </c>
      <c r="Y290" s="27">
        <v>9</v>
      </c>
      <c r="Z290" s="21">
        <f t="shared" si="23"/>
        <v>229</v>
      </c>
    </row>
    <row r="291" spans="1:26" x14ac:dyDescent="0.25">
      <c r="A291" s="17">
        <f t="shared" ca="1" si="21"/>
        <v>693510</v>
      </c>
      <c r="B291" s="26">
        <v>8</v>
      </c>
      <c r="C291" s="27">
        <v>9</v>
      </c>
      <c r="D291" s="27">
        <v>9</v>
      </c>
      <c r="E291" s="27">
        <v>9</v>
      </c>
      <c r="F291" s="27">
        <v>7</v>
      </c>
      <c r="G291" s="27">
        <v>9</v>
      </c>
      <c r="H291" s="27">
        <v>11</v>
      </c>
      <c r="I291" s="27">
        <v>10</v>
      </c>
      <c r="J291" s="27">
        <v>13</v>
      </c>
      <c r="K291" s="27">
        <v>13</v>
      </c>
      <c r="L291" s="27">
        <v>13</v>
      </c>
      <c r="M291" s="27">
        <v>10</v>
      </c>
      <c r="N291" s="26">
        <v>8</v>
      </c>
      <c r="O291" s="27">
        <v>8</v>
      </c>
      <c r="P291" s="27">
        <v>6</v>
      </c>
      <c r="Q291" s="27">
        <v>6</v>
      </c>
      <c r="R291" s="27">
        <v>3</v>
      </c>
      <c r="S291" s="27">
        <v>2</v>
      </c>
      <c r="T291" s="27">
        <v>2</v>
      </c>
      <c r="U291" s="27">
        <v>2</v>
      </c>
      <c r="V291" s="27">
        <v>2</v>
      </c>
      <c r="W291" s="27">
        <v>1</v>
      </c>
      <c r="X291" s="27">
        <v>2</v>
      </c>
      <c r="Y291" s="27">
        <v>1</v>
      </c>
      <c r="Z291" s="21">
        <f t="shared" si="23"/>
        <v>164</v>
      </c>
    </row>
    <row r="292" spans="1:26" x14ac:dyDescent="0.25">
      <c r="A292" s="17">
        <f t="shared" ca="1" si="21"/>
        <v>693511</v>
      </c>
      <c r="B292" s="26">
        <v>2</v>
      </c>
      <c r="C292" s="27">
        <v>1</v>
      </c>
      <c r="D292" s="27">
        <v>2</v>
      </c>
      <c r="E292" s="27">
        <v>2</v>
      </c>
      <c r="F292" s="27">
        <v>1</v>
      </c>
      <c r="G292" s="27">
        <v>2</v>
      </c>
      <c r="H292" s="27">
        <v>1</v>
      </c>
      <c r="I292" s="27">
        <v>3</v>
      </c>
      <c r="J292" s="27">
        <v>6</v>
      </c>
      <c r="K292" s="27">
        <v>10</v>
      </c>
      <c r="L292" s="27">
        <v>10</v>
      </c>
      <c r="M292" s="27">
        <v>9</v>
      </c>
      <c r="N292" s="26">
        <v>11</v>
      </c>
      <c r="O292" s="27">
        <v>12</v>
      </c>
      <c r="P292" s="27">
        <v>13</v>
      </c>
      <c r="Q292" s="27">
        <v>11</v>
      </c>
      <c r="R292" s="27">
        <v>13</v>
      </c>
      <c r="S292" s="27">
        <v>10</v>
      </c>
      <c r="T292" s="27">
        <v>10</v>
      </c>
      <c r="U292" s="27">
        <v>12</v>
      </c>
      <c r="V292" s="27">
        <v>11</v>
      </c>
      <c r="W292" s="27">
        <v>11</v>
      </c>
      <c r="X292" s="27">
        <v>13</v>
      </c>
      <c r="Y292" s="27">
        <v>13</v>
      </c>
      <c r="Z292" s="21">
        <f t="shared" si="23"/>
        <v>189</v>
      </c>
    </row>
    <row r="293" spans="1:26" x14ac:dyDescent="0.25">
      <c r="A293" s="17">
        <f t="shared" ca="1" si="21"/>
        <v>693512</v>
      </c>
      <c r="B293" s="26">
        <v>13</v>
      </c>
      <c r="C293" s="27">
        <v>11</v>
      </c>
      <c r="D293" s="27">
        <v>10</v>
      </c>
      <c r="E293" s="27">
        <v>11</v>
      </c>
      <c r="F293" s="27">
        <v>11</v>
      </c>
      <c r="G293" s="27">
        <v>10</v>
      </c>
      <c r="H293" s="27">
        <v>14</v>
      </c>
      <c r="I293" s="27">
        <v>15</v>
      </c>
      <c r="J293" s="27">
        <v>14</v>
      </c>
      <c r="K293" s="27">
        <v>16</v>
      </c>
      <c r="L293" s="27">
        <v>18</v>
      </c>
      <c r="M293" s="27">
        <v>16</v>
      </c>
      <c r="N293" s="26">
        <v>17</v>
      </c>
      <c r="O293" s="27">
        <v>16</v>
      </c>
      <c r="P293" s="27">
        <v>15</v>
      </c>
      <c r="Q293" s="27">
        <v>14</v>
      </c>
      <c r="R293" s="27">
        <v>15</v>
      </c>
      <c r="S293" s="27">
        <v>15</v>
      </c>
      <c r="T293" s="27">
        <v>14</v>
      </c>
      <c r="U293" s="27">
        <v>14</v>
      </c>
      <c r="V293" s="27">
        <v>13</v>
      </c>
      <c r="W293" s="27">
        <v>13</v>
      </c>
      <c r="X293" s="27">
        <v>13</v>
      </c>
      <c r="Y293" s="27">
        <v>10</v>
      </c>
      <c r="Z293" s="21">
        <f t="shared" si="23"/>
        <v>328</v>
      </c>
    </row>
    <row r="294" spans="1:26" x14ac:dyDescent="0.25">
      <c r="A294" s="17">
        <f t="shared" ca="1" si="21"/>
        <v>693513</v>
      </c>
      <c r="B294" s="26">
        <v>12</v>
      </c>
      <c r="C294" s="27">
        <v>11</v>
      </c>
      <c r="D294" s="27">
        <v>12</v>
      </c>
      <c r="E294" s="27">
        <v>10</v>
      </c>
      <c r="F294" s="27">
        <v>10</v>
      </c>
      <c r="G294" s="27">
        <v>10</v>
      </c>
      <c r="H294" s="27">
        <v>13</v>
      </c>
      <c r="I294" s="27">
        <v>14</v>
      </c>
      <c r="J294" s="27">
        <v>14</v>
      </c>
      <c r="K294" s="27">
        <v>15</v>
      </c>
      <c r="L294" s="27">
        <v>16</v>
      </c>
      <c r="M294" s="27">
        <v>16</v>
      </c>
      <c r="N294" s="26">
        <v>16</v>
      </c>
      <c r="O294" s="27">
        <v>15</v>
      </c>
      <c r="P294" s="27">
        <v>17</v>
      </c>
      <c r="Q294" s="27">
        <v>18</v>
      </c>
      <c r="R294" s="27">
        <v>19</v>
      </c>
      <c r="S294" s="27">
        <v>16</v>
      </c>
      <c r="T294" s="27">
        <v>16</v>
      </c>
      <c r="U294" s="27">
        <v>17</v>
      </c>
      <c r="V294" s="27">
        <v>14</v>
      </c>
      <c r="W294" s="27">
        <v>13</v>
      </c>
      <c r="X294" s="27">
        <v>12</v>
      </c>
      <c r="Y294" s="27">
        <v>12</v>
      </c>
      <c r="Z294" s="21">
        <f t="shared" si="23"/>
        <v>338</v>
      </c>
    </row>
    <row r="295" spans="1:26" x14ac:dyDescent="0.25">
      <c r="A295" s="17">
        <f t="shared" ca="1" si="21"/>
        <v>693514</v>
      </c>
      <c r="B295" s="26">
        <v>10</v>
      </c>
      <c r="C295" s="27">
        <v>9</v>
      </c>
      <c r="D295" s="27">
        <v>9</v>
      </c>
      <c r="E295" s="27">
        <v>10</v>
      </c>
      <c r="F295" s="27">
        <v>9</v>
      </c>
      <c r="G295" s="27">
        <v>10</v>
      </c>
      <c r="H295" s="27">
        <v>12</v>
      </c>
      <c r="I295" s="27">
        <v>14</v>
      </c>
      <c r="J295" s="27">
        <v>13</v>
      </c>
      <c r="K295" s="27">
        <v>14</v>
      </c>
      <c r="L295" s="27">
        <v>13</v>
      </c>
      <c r="M295" s="27">
        <v>16</v>
      </c>
      <c r="N295" s="26">
        <v>16</v>
      </c>
      <c r="O295" s="27">
        <v>13</v>
      </c>
      <c r="P295" s="27">
        <v>14</v>
      </c>
      <c r="Q295" s="27">
        <v>15</v>
      </c>
      <c r="R295" s="27">
        <v>14</v>
      </c>
      <c r="S295" s="27">
        <v>15</v>
      </c>
      <c r="T295" s="27">
        <v>12</v>
      </c>
      <c r="U295" s="27">
        <v>11</v>
      </c>
      <c r="V295" s="27">
        <v>10</v>
      </c>
      <c r="W295" s="27">
        <v>9</v>
      </c>
      <c r="X295" s="27">
        <v>8</v>
      </c>
      <c r="Y295" s="27">
        <v>8</v>
      </c>
      <c r="Z295" s="21">
        <f t="shared" si="23"/>
        <v>284</v>
      </c>
    </row>
    <row r="296" spans="1:26" x14ac:dyDescent="0.25">
      <c r="A296" s="17">
        <f t="shared" ca="1" si="21"/>
        <v>693515</v>
      </c>
      <c r="B296" s="26">
        <v>9</v>
      </c>
      <c r="C296" s="27">
        <v>7</v>
      </c>
      <c r="D296" s="27">
        <v>5</v>
      </c>
      <c r="E296" s="27">
        <v>9</v>
      </c>
      <c r="F296" s="27">
        <v>8</v>
      </c>
      <c r="G296" s="27">
        <v>5</v>
      </c>
      <c r="H296" s="27">
        <v>6</v>
      </c>
      <c r="I296" s="27">
        <v>8</v>
      </c>
      <c r="J296" s="27">
        <v>12</v>
      </c>
      <c r="K296" s="27">
        <v>10</v>
      </c>
      <c r="L296" s="27">
        <v>10</v>
      </c>
      <c r="M296" s="27">
        <v>12</v>
      </c>
      <c r="N296" s="26">
        <v>13</v>
      </c>
      <c r="O296" s="27">
        <v>13</v>
      </c>
      <c r="P296" s="27">
        <v>12</v>
      </c>
      <c r="Q296" s="27">
        <v>11</v>
      </c>
      <c r="R296" s="27">
        <v>10</v>
      </c>
      <c r="S296" s="27">
        <v>9</v>
      </c>
      <c r="T296" s="27">
        <v>9</v>
      </c>
      <c r="U296" s="27">
        <v>7</v>
      </c>
      <c r="V296" s="27">
        <v>6</v>
      </c>
      <c r="W296" s="27">
        <v>7</v>
      </c>
      <c r="X296" s="27">
        <v>6</v>
      </c>
      <c r="Y296" s="27">
        <v>8</v>
      </c>
      <c r="Z296" s="21">
        <f t="shared" si="23"/>
        <v>212</v>
      </c>
    </row>
    <row r="297" spans="1:26" x14ac:dyDescent="0.25">
      <c r="A297" s="17">
        <f t="shared" ca="1" si="21"/>
        <v>693516</v>
      </c>
      <c r="B297" s="26">
        <v>6</v>
      </c>
      <c r="C297" s="27">
        <v>5</v>
      </c>
      <c r="D297" s="27">
        <v>5</v>
      </c>
      <c r="E297" s="27">
        <v>6</v>
      </c>
      <c r="F297" s="27">
        <v>6</v>
      </c>
      <c r="G297" s="27">
        <v>5</v>
      </c>
      <c r="H297" s="27">
        <v>8</v>
      </c>
      <c r="I297" s="27">
        <v>10</v>
      </c>
      <c r="J297" s="27">
        <v>10</v>
      </c>
      <c r="K297" s="27">
        <v>9</v>
      </c>
      <c r="L297" s="27">
        <v>12</v>
      </c>
      <c r="M297" s="27">
        <v>14</v>
      </c>
      <c r="N297" s="26">
        <v>11</v>
      </c>
      <c r="O297" s="27">
        <v>10</v>
      </c>
      <c r="P297" s="27">
        <v>11</v>
      </c>
      <c r="Q297" s="27">
        <v>11</v>
      </c>
      <c r="R297" s="27">
        <v>14</v>
      </c>
      <c r="S297" s="27">
        <v>13</v>
      </c>
      <c r="T297" s="27">
        <v>11</v>
      </c>
      <c r="U297" s="27">
        <v>12</v>
      </c>
      <c r="V297" s="27">
        <v>9</v>
      </c>
      <c r="W297" s="27">
        <v>8</v>
      </c>
      <c r="X297" s="27">
        <v>8</v>
      </c>
      <c r="Y297" s="27">
        <v>8</v>
      </c>
      <c r="Z297" s="21">
        <f t="shared" si="23"/>
        <v>222</v>
      </c>
    </row>
    <row r="298" spans="1:26" x14ac:dyDescent="0.25">
      <c r="A298" s="17">
        <f t="shared" ca="1" si="21"/>
        <v>693517</v>
      </c>
      <c r="B298" s="26">
        <v>7</v>
      </c>
      <c r="C298" s="27">
        <v>8</v>
      </c>
      <c r="D298" s="27">
        <v>7</v>
      </c>
      <c r="E298" s="27">
        <v>8</v>
      </c>
      <c r="F298" s="27">
        <v>7</v>
      </c>
      <c r="G298" s="27">
        <v>7</v>
      </c>
      <c r="H298" s="27">
        <v>8</v>
      </c>
      <c r="I298" s="27">
        <v>11</v>
      </c>
      <c r="J298" s="27">
        <v>14</v>
      </c>
      <c r="K298" s="27">
        <v>14</v>
      </c>
      <c r="L298" s="27">
        <v>14</v>
      </c>
      <c r="M298" s="27">
        <v>15</v>
      </c>
      <c r="N298" s="26">
        <v>15</v>
      </c>
      <c r="O298" s="27">
        <v>14</v>
      </c>
      <c r="P298" s="27">
        <v>10</v>
      </c>
      <c r="Q298" s="27">
        <v>10</v>
      </c>
      <c r="R298" s="27">
        <v>10</v>
      </c>
      <c r="S298" s="27">
        <v>9</v>
      </c>
      <c r="T298" s="27">
        <v>8</v>
      </c>
      <c r="U298" s="27">
        <v>7</v>
      </c>
      <c r="V298" s="27">
        <v>9</v>
      </c>
      <c r="W298" s="27">
        <v>8</v>
      </c>
      <c r="X298" s="27">
        <v>8</v>
      </c>
      <c r="Y298" s="27">
        <v>10</v>
      </c>
      <c r="Z298" s="21">
        <f t="shared" si="23"/>
        <v>238</v>
      </c>
    </row>
    <row r="299" spans="1:26" x14ac:dyDescent="0.25">
      <c r="A299" s="17">
        <f t="shared" ca="1" si="21"/>
        <v>693518</v>
      </c>
      <c r="B299" s="26">
        <v>7</v>
      </c>
      <c r="C299" s="27">
        <v>7</v>
      </c>
      <c r="D299" s="27">
        <v>7</v>
      </c>
      <c r="E299" s="27">
        <v>8</v>
      </c>
      <c r="F299" s="27">
        <v>8</v>
      </c>
      <c r="G299" s="27">
        <v>7</v>
      </c>
      <c r="H299" s="27">
        <v>6</v>
      </c>
      <c r="I299" s="27">
        <v>10</v>
      </c>
      <c r="J299" s="27">
        <v>10</v>
      </c>
      <c r="K299" s="27">
        <v>11</v>
      </c>
      <c r="L299" s="27">
        <v>11</v>
      </c>
      <c r="M299" s="27">
        <v>10</v>
      </c>
      <c r="N299" s="26">
        <v>9</v>
      </c>
      <c r="O299" s="27">
        <v>11</v>
      </c>
      <c r="P299" s="27">
        <v>10</v>
      </c>
      <c r="Q299" s="27">
        <v>12</v>
      </c>
      <c r="R299" s="27">
        <v>11</v>
      </c>
      <c r="S299" s="27">
        <v>11</v>
      </c>
      <c r="T299" s="27">
        <v>10</v>
      </c>
      <c r="U299" s="27">
        <v>11</v>
      </c>
      <c r="V299" s="27">
        <v>11</v>
      </c>
      <c r="W299" s="27">
        <v>10</v>
      </c>
      <c r="X299" s="27">
        <v>10</v>
      </c>
      <c r="Y299" s="27">
        <v>10</v>
      </c>
      <c r="Z299" s="21">
        <f t="shared" si="23"/>
        <v>228</v>
      </c>
    </row>
    <row r="300" spans="1:26" x14ac:dyDescent="0.25">
      <c r="A300" s="17">
        <f t="shared" ca="1" si="21"/>
        <v>693519</v>
      </c>
      <c r="B300" s="26">
        <v>9</v>
      </c>
      <c r="C300" s="27">
        <v>9</v>
      </c>
      <c r="D300" s="27">
        <v>8</v>
      </c>
      <c r="E300" s="27">
        <v>6</v>
      </c>
      <c r="F300" s="27">
        <v>8</v>
      </c>
      <c r="G300" s="27">
        <v>9</v>
      </c>
      <c r="H300" s="27">
        <v>10</v>
      </c>
      <c r="I300" s="27">
        <v>9</v>
      </c>
      <c r="J300" s="27">
        <v>10</v>
      </c>
      <c r="K300" s="27">
        <v>8</v>
      </c>
      <c r="L300" s="27">
        <v>10</v>
      </c>
      <c r="M300" s="27">
        <v>11</v>
      </c>
      <c r="N300" s="26">
        <v>11</v>
      </c>
      <c r="O300" s="27">
        <v>10</v>
      </c>
      <c r="P300" s="27">
        <v>12</v>
      </c>
      <c r="Q300" s="27">
        <v>12</v>
      </c>
      <c r="R300" s="27">
        <v>14</v>
      </c>
      <c r="S300" s="27">
        <v>14</v>
      </c>
      <c r="T300" s="27">
        <v>14</v>
      </c>
      <c r="U300" s="27">
        <v>14</v>
      </c>
      <c r="V300" s="27">
        <v>13</v>
      </c>
      <c r="W300" s="27">
        <v>12</v>
      </c>
      <c r="X300" s="27">
        <v>11</v>
      </c>
      <c r="Y300" s="27">
        <v>10</v>
      </c>
      <c r="Z300" s="21">
        <f t="shared" si="23"/>
        <v>254</v>
      </c>
    </row>
    <row r="301" spans="1:26" x14ac:dyDescent="0.25">
      <c r="A301" s="17">
        <f t="shared" ca="1" si="21"/>
        <v>693520</v>
      </c>
      <c r="B301" s="26">
        <v>9</v>
      </c>
      <c r="C301" s="27">
        <v>7</v>
      </c>
      <c r="D301" s="27">
        <v>10</v>
      </c>
      <c r="E301" s="27">
        <v>10</v>
      </c>
      <c r="F301" s="27">
        <v>10</v>
      </c>
      <c r="G301" s="27">
        <v>9</v>
      </c>
      <c r="H301" s="27">
        <v>12</v>
      </c>
      <c r="I301" s="27">
        <v>15</v>
      </c>
      <c r="J301" s="27">
        <v>15</v>
      </c>
      <c r="K301" s="27">
        <v>13</v>
      </c>
      <c r="L301" s="27">
        <v>15</v>
      </c>
      <c r="M301" s="27">
        <v>15</v>
      </c>
      <c r="N301" s="26">
        <v>15</v>
      </c>
      <c r="O301" s="27">
        <v>15</v>
      </c>
      <c r="P301" s="27">
        <v>14</v>
      </c>
      <c r="Q301" s="27">
        <v>16</v>
      </c>
      <c r="R301" s="27">
        <v>15</v>
      </c>
      <c r="S301" s="27">
        <v>13</v>
      </c>
      <c r="T301" s="27">
        <v>13</v>
      </c>
      <c r="U301" s="27">
        <v>11</v>
      </c>
      <c r="V301" s="27">
        <v>9</v>
      </c>
      <c r="W301" s="27">
        <v>11</v>
      </c>
      <c r="X301" s="27">
        <v>11</v>
      </c>
      <c r="Y301" s="27">
        <v>10</v>
      </c>
      <c r="Z301" s="21">
        <f t="shared" si="23"/>
        <v>293</v>
      </c>
    </row>
    <row r="302" spans="1:26" x14ac:dyDescent="0.25">
      <c r="A302" s="17">
        <f t="shared" ca="1" si="21"/>
        <v>693521</v>
      </c>
      <c r="B302" s="26">
        <v>8</v>
      </c>
      <c r="C302" s="27">
        <v>8</v>
      </c>
      <c r="D302" s="27">
        <v>8</v>
      </c>
      <c r="E302" s="27">
        <v>7</v>
      </c>
      <c r="F302" s="27">
        <v>9</v>
      </c>
      <c r="G302" s="27">
        <v>6</v>
      </c>
      <c r="H302" s="27">
        <v>10</v>
      </c>
      <c r="I302" s="27">
        <v>13</v>
      </c>
      <c r="J302" s="27">
        <v>12</v>
      </c>
      <c r="K302" s="27">
        <v>14</v>
      </c>
      <c r="L302" s="27">
        <v>14</v>
      </c>
      <c r="M302" s="27">
        <v>15</v>
      </c>
      <c r="N302" s="26">
        <v>15</v>
      </c>
      <c r="O302" s="27">
        <v>14</v>
      </c>
      <c r="P302" s="27">
        <v>12</v>
      </c>
      <c r="Q302" s="27">
        <v>14</v>
      </c>
      <c r="R302" s="27">
        <v>14</v>
      </c>
      <c r="S302" s="27">
        <v>13</v>
      </c>
      <c r="T302" s="27">
        <v>12</v>
      </c>
      <c r="U302" s="27">
        <v>13</v>
      </c>
      <c r="V302" s="27">
        <v>12</v>
      </c>
      <c r="W302" s="27">
        <v>13</v>
      </c>
      <c r="X302" s="27">
        <v>11</v>
      </c>
      <c r="Y302" s="27">
        <v>10</v>
      </c>
      <c r="Z302" s="21">
        <f t="shared" si="23"/>
        <v>277</v>
      </c>
    </row>
    <row r="303" spans="1:26" x14ac:dyDescent="0.25">
      <c r="A303" s="17">
        <f t="shared" ca="1" si="21"/>
        <v>693522</v>
      </c>
      <c r="B303" s="26">
        <v>9</v>
      </c>
      <c r="C303" s="27">
        <v>10</v>
      </c>
      <c r="D303" s="27">
        <v>9</v>
      </c>
      <c r="E303" s="27">
        <v>8</v>
      </c>
      <c r="F303" s="27">
        <v>10</v>
      </c>
      <c r="G303" s="27">
        <v>9</v>
      </c>
      <c r="H303" s="27">
        <v>11</v>
      </c>
      <c r="I303" s="27">
        <v>14</v>
      </c>
      <c r="J303" s="27">
        <v>14</v>
      </c>
      <c r="K303" s="27">
        <v>15</v>
      </c>
      <c r="L303" s="27">
        <v>14</v>
      </c>
      <c r="M303" s="27">
        <v>17</v>
      </c>
      <c r="N303" s="26">
        <v>16</v>
      </c>
      <c r="O303" s="27">
        <v>14</v>
      </c>
      <c r="P303" s="27">
        <v>18</v>
      </c>
      <c r="Q303" s="27">
        <v>18</v>
      </c>
      <c r="R303" s="27">
        <v>18</v>
      </c>
      <c r="S303" s="27">
        <v>16</v>
      </c>
      <c r="T303" s="27">
        <v>15</v>
      </c>
      <c r="U303" s="27">
        <v>14</v>
      </c>
      <c r="V303" s="27">
        <v>14</v>
      </c>
      <c r="W303" s="27">
        <v>14</v>
      </c>
      <c r="X303" s="27">
        <v>12</v>
      </c>
      <c r="Y303" s="27">
        <v>11</v>
      </c>
      <c r="Z303" s="21">
        <f t="shared" si="23"/>
        <v>320</v>
      </c>
    </row>
    <row r="304" spans="1:26" x14ac:dyDescent="0.25">
      <c r="A304" s="17">
        <f t="shared" ca="1" si="21"/>
        <v>693523</v>
      </c>
      <c r="B304" s="26">
        <v>10</v>
      </c>
      <c r="C304" s="27">
        <v>11</v>
      </c>
      <c r="D304" s="27">
        <v>11</v>
      </c>
      <c r="E304" s="27">
        <v>13</v>
      </c>
      <c r="F304" s="27">
        <v>12</v>
      </c>
      <c r="G304" s="27">
        <v>14</v>
      </c>
      <c r="H304" s="27">
        <v>9</v>
      </c>
      <c r="I304" s="27">
        <v>14</v>
      </c>
      <c r="J304" s="27">
        <v>13</v>
      </c>
      <c r="K304" s="27">
        <v>14</v>
      </c>
      <c r="L304" s="27">
        <v>16</v>
      </c>
      <c r="M304" s="27">
        <v>14</v>
      </c>
      <c r="N304" s="26">
        <v>15</v>
      </c>
      <c r="O304" s="27">
        <v>15</v>
      </c>
      <c r="P304" s="27">
        <v>18</v>
      </c>
      <c r="Q304" s="27">
        <v>17</v>
      </c>
      <c r="R304" s="27">
        <v>16</v>
      </c>
      <c r="S304" s="27">
        <v>14</v>
      </c>
      <c r="T304" s="27">
        <v>14</v>
      </c>
      <c r="U304" s="27">
        <v>13</v>
      </c>
      <c r="V304" s="27">
        <v>12</v>
      </c>
      <c r="W304" s="27">
        <v>10</v>
      </c>
      <c r="X304" s="27">
        <v>11</v>
      </c>
      <c r="Y304" s="27">
        <v>10</v>
      </c>
      <c r="Z304" s="21">
        <f t="shared" si="23"/>
        <v>316</v>
      </c>
    </row>
    <row r="305" spans="1:26" x14ac:dyDescent="0.25">
      <c r="A305" s="17">
        <f t="shared" ca="1" si="21"/>
        <v>693524</v>
      </c>
      <c r="B305" s="26">
        <v>11</v>
      </c>
      <c r="C305" s="27">
        <v>12</v>
      </c>
      <c r="D305" s="27">
        <v>11</v>
      </c>
      <c r="E305" s="27">
        <v>10</v>
      </c>
      <c r="F305" s="27">
        <v>10</v>
      </c>
      <c r="G305" s="27">
        <v>10</v>
      </c>
      <c r="H305" s="27">
        <v>11</v>
      </c>
      <c r="I305" s="27">
        <v>13</v>
      </c>
      <c r="J305" s="27">
        <v>14</v>
      </c>
      <c r="K305" s="27">
        <v>12</v>
      </c>
      <c r="L305" s="27">
        <v>13</v>
      </c>
      <c r="M305" s="27">
        <v>14</v>
      </c>
      <c r="N305" s="26">
        <v>17</v>
      </c>
      <c r="O305" s="27">
        <v>17</v>
      </c>
      <c r="P305" s="27">
        <v>18</v>
      </c>
      <c r="Q305" s="27">
        <v>18</v>
      </c>
      <c r="R305" s="27">
        <v>15</v>
      </c>
      <c r="S305" s="27">
        <v>15</v>
      </c>
      <c r="T305" s="27">
        <v>15</v>
      </c>
      <c r="U305" s="27">
        <v>15</v>
      </c>
      <c r="V305" s="27">
        <v>13</v>
      </c>
      <c r="W305" s="27">
        <v>13</v>
      </c>
      <c r="X305" s="27">
        <v>13</v>
      </c>
      <c r="Y305" s="27">
        <v>11</v>
      </c>
      <c r="Z305" s="21">
        <f t="shared" si="23"/>
        <v>321</v>
      </c>
    </row>
    <row r="306" spans="1:26" x14ac:dyDescent="0.25">
      <c r="A306" s="17">
        <f t="shared" ca="1" si="21"/>
        <v>693525</v>
      </c>
      <c r="B306" s="26">
        <v>11</v>
      </c>
      <c r="C306" s="27">
        <v>10</v>
      </c>
      <c r="D306" s="27">
        <v>11</v>
      </c>
      <c r="E306" s="27">
        <v>8</v>
      </c>
      <c r="F306" s="27">
        <v>8</v>
      </c>
      <c r="G306" s="27">
        <v>8</v>
      </c>
      <c r="H306" s="27">
        <v>9</v>
      </c>
      <c r="I306" s="27">
        <v>13</v>
      </c>
      <c r="J306" s="27">
        <v>12</v>
      </c>
      <c r="K306" s="27">
        <v>17</v>
      </c>
      <c r="L306" s="27">
        <v>15</v>
      </c>
      <c r="M306" s="27">
        <v>15</v>
      </c>
      <c r="N306" s="26">
        <v>15</v>
      </c>
      <c r="O306" s="27">
        <v>16</v>
      </c>
      <c r="P306" s="27">
        <v>16</v>
      </c>
      <c r="Q306" s="27">
        <v>14</v>
      </c>
      <c r="R306" s="27">
        <v>14</v>
      </c>
      <c r="S306" s="27">
        <v>13</v>
      </c>
      <c r="T306" s="27">
        <v>13</v>
      </c>
      <c r="U306" s="27">
        <v>12</v>
      </c>
      <c r="V306" s="27">
        <v>15</v>
      </c>
      <c r="W306" s="27">
        <v>12</v>
      </c>
      <c r="X306" s="27">
        <v>9</v>
      </c>
      <c r="Y306" s="27">
        <v>9</v>
      </c>
      <c r="Z306" s="21">
        <f t="shared" si="23"/>
        <v>295</v>
      </c>
    </row>
    <row r="307" spans="1:26" x14ac:dyDescent="0.25">
      <c r="A307" s="17">
        <f t="shared" ca="1" si="21"/>
        <v>693526</v>
      </c>
      <c r="B307" s="26">
        <v>8</v>
      </c>
      <c r="C307" s="27">
        <v>7</v>
      </c>
      <c r="D307" s="27">
        <v>9</v>
      </c>
      <c r="E307" s="27">
        <v>8</v>
      </c>
      <c r="F307" s="27">
        <v>7</v>
      </c>
      <c r="G307" s="27">
        <v>6</v>
      </c>
      <c r="H307" s="27">
        <v>8</v>
      </c>
      <c r="I307" s="27">
        <v>13</v>
      </c>
      <c r="J307" s="27">
        <v>13</v>
      </c>
      <c r="K307" s="27">
        <v>13</v>
      </c>
      <c r="L307" s="27">
        <v>12</v>
      </c>
      <c r="M307" s="27">
        <v>13</v>
      </c>
      <c r="N307" s="26">
        <v>14</v>
      </c>
      <c r="O307" s="27">
        <v>12</v>
      </c>
      <c r="P307" s="27">
        <v>13</v>
      </c>
      <c r="Q307" s="27">
        <v>13</v>
      </c>
      <c r="R307" s="27">
        <v>11</v>
      </c>
      <c r="S307" s="27">
        <v>12</v>
      </c>
      <c r="T307" s="27">
        <v>10</v>
      </c>
      <c r="U307" s="27">
        <v>10</v>
      </c>
      <c r="V307" s="27">
        <v>10</v>
      </c>
      <c r="W307" s="27">
        <v>8</v>
      </c>
      <c r="X307" s="27">
        <v>6</v>
      </c>
      <c r="Y307" s="27">
        <v>5</v>
      </c>
      <c r="Z307" s="21">
        <f t="shared" si="23"/>
        <v>241</v>
      </c>
    </row>
    <row r="308" spans="1:26" x14ac:dyDescent="0.25">
      <c r="A308" s="17">
        <f t="shared" ca="1" si="21"/>
        <v>693527</v>
      </c>
      <c r="B308" s="26">
        <v>5</v>
      </c>
      <c r="C308" s="27">
        <v>4</v>
      </c>
      <c r="D308" s="27">
        <v>5</v>
      </c>
      <c r="E308" s="27">
        <v>4</v>
      </c>
      <c r="F308" s="27">
        <v>7</v>
      </c>
      <c r="G308" s="27">
        <v>4</v>
      </c>
      <c r="H308" s="27">
        <v>5</v>
      </c>
      <c r="I308" s="27">
        <v>8</v>
      </c>
      <c r="J308" s="27">
        <v>11</v>
      </c>
      <c r="K308" s="27">
        <v>11</v>
      </c>
      <c r="L308" s="27">
        <v>12</v>
      </c>
      <c r="M308" s="27">
        <v>13</v>
      </c>
      <c r="N308" s="26">
        <v>9</v>
      </c>
      <c r="O308" s="27">
        <v>9</v>
      </c>
      <c r="P308" s="27">
        <v>8</v>
      </c>
      <c r="Q308" s="27">
        <v>10</v>
      </c>
      <c r="R308" s="27">
        <v>9</v>
      </c>
      <c r="S308" s="27">
        <v>7</v>
      </c>
      <c r="T308" s="27">
        <v>6</v>
      </c>
      <c r="U308" s="27">
        <v>5</v>
      </c>
      <c r="V308" s="27">
        <v>6</v>
      </c>
      <c r="W308" s="27">
        <v>4</v>
      </c>
      <c r="X308" s="27">
        <v>4</v>
      </c>
      <c r="Y308" s="27">
        <v>3</v>
      </c>
      <c r="Z308" s="21">
        <f t="shared" si="23"/>
        <v>169</v>
      </c>
    </row>
    <row r="309" spans="1:26" x14ac:dyDescent="0.25">
      <c r="A309" s="17">
        <f t="shared" ca="1" si="21"/>
        <v>693528</v>
      </c>
      <c r="B309" s="26">
        <v>4</v>
      </c>
      <c r="C309" s="27">
        <v>4</v>
      </c>
      <c r="D309" s="27">
        <v>2</v>
      </c>
      <c r="E309" s="27">
        <v>5</v>
      </c>
      <c r="F309" s="27">
        <v>3</v>
      </c>
      <c r="G309" s="27">
        <v>4</v>
      </c>
      <c r="H309" s="27">
        <v>3</v>
      </c>
      <c r="I309" s="27">
        <v>3</v>
      </c>
      <c r="J309" s="27">
        <v>2</v>
      </c>
      <c r="K309" s="27">
        <v>8</v>
      </c>
      <c r="L309" s="27">
        <v>7</v>
      </c>
      <c r="M309" s="27">
        <v>8</v>
      </c>
      <c r="N309" s="26">
        <v>7</v>
      </c>
      <c r="O309" s="27">
        <v>11</v>
      </c>
      <c r="P309" s="27">
        <v>8</v>
      </c>
      <c r="Q309" s="27">
        <v>7</v>
      </c>
      <c r="R309" s="27">
        <v>6</v>
      </c>
      <c r="S309" s="27">
        <v>5</v>
      </c>
      <c r="T309" s="27">
        <v>4</v>
      </c>
      <c r="U309" s="27">
        <v>4</v>
      </c>
      <c r="V309" s="27">
        <v>6</v>
      </c>
      <c r="W309" s="27">
        <v>4</v>
      </c>
      <c r="X309" s="27">
        <v>5</v>
      </c>
      <c r="Y309" s="27">
        <v>7</v>
      </c>
      <c r="Z309" s="21">
        <f t="shared" si="23"/>
        <v>127</v>
      </c>
    </row>
    <row r="310" spans="1:26" x14ac:dyDescent="0.25">
      <c r="A310" s="17">
        <f t="shared" ca="1" si="21"/>
        <v>693529</v>
      </c>
      <c r="B310" s="26">
        <v>6</v>
      </c>
      <c r="C310" s="27">
        <v>5</v>
      </c>
      <c r="D310" s="27">
        <v>5</v>
      </c>
      <c r="E310" s="27">
        <v>7</v>
      </c>
      <c r="F310" s="27">
        <v>6</v>
      </c>
      <c r="G310" s="27">
        <v>8</v>
      </c>
      <c r="H310" s="27">
        <v>8</v>
      </c>
      <c r="I310" s="27">
        <v>12</v>
      </c>
      <c r="J310" s="27">
        <v>11</v>
      </c>
      <c r="K310" s="27">
        <v>15</v>
      </c>
      <c r="L310" s="27">
        <v>14</v>
      </c>
      <c r="M310" s="27">
        <v>14</v>
      </c>
      <c r="N310" s="26">
        <v>12</v>
      </c>
      <c r="O310" s="27">
        <v>14</v>
      </c>
      <c r="P310" s="27">
        <v>13</v>
      </c>
      <c r="Q310" s="27">
        <v>12</v>
      </c>
      <c r="R310" s="27">
        <v>10</v>
      </c>
      <c r="S310" s="27">
        <v>9</v>
      </c>
      <c r="T310" s="27">
        <v>9</v>
      </c>
      <c r="U310" s="27">
        <v>8</v>
      </c>
      <c r="V310" s="27">
        <v>7</v>
      </c>
      <c r="W310" s="27">
        <v>7</v>
      </c>
      <c r="X310" s="27">
        <v>7</v>
      </c>
      <c r="Y310" s="27">
        <v>6</v>
      </c>
      <c r="Z310" s="21">
        <f t="shared" si="23"/>
        <v>225</v>
      </c>
    </row>
    <row r="311" spans="1:26" x14ac:dyDescent="0.25">
      <c r="A311" s="17">
        <f t="shared" ca="1" si="21"/>
        <v>693530</v>
      </c>
      <c r="B311" s="26">
        <v>3</v>
      </c>
      <c r="C311" s="27">
        <v>3</v>
      </c>
      <c r="D311" s="27">
        <v>4</v>
      </c>
      <c r="E311" s="27">
        <v>3</v>
      </c>
      <c r="F311" s="27">
        <v>5</v>
      </c>
      <c r="G311" s="27">
        <v>6</v>
      </c>
      <c r="H311" s="27">
        <v>5</v>
      </c>
      <c r="I311" s="27">
        <v>10</v>
      </c>
      <c r="J311" s="27">
        <v>12</v>
      </c>
      <c r="K311" s="27">
        <v>11</v>
      </c>
      <c r="L311" s="27">
        <v>12</v>
      </c>
      <c r="M311" s="27">
        <v>13</v>
      </c>
      <c r="N311" s="26">
        <v>11</v>
      </c>
      <c r="O311" s="27">
        <v>12</v>
      </c>
      <c r="P311" s="27">
        <v>12</v>
      </c>
      <c r="Q311" s="27">
        <v>9</v>
      </c>
      <c r="R311" s="27">
        <v>10</v>
      </c>
      <c r="S311" s="27">
        <v>9</v>
      </c>
      <c r="T311" s="27">
        <v>8</v>
      </c>
      <c r="U311" s="27">
        <v>10</v>
      </c>
      <c r="V311" s="27">
        <v>10</v>
      </c>
      <c r="W311" s="27">
        <v>9</v>
      </c>
      <c r="X311" s="27">
        <v>6</v>
      </c>
      <c r="Y311" s="27">
        <v>8</v>
      </c>
      <c r="Z311" s="21">
        <f t="shared" si="23"/>
        <v>201</v>
      </c>
    </row>
    <row r="312" spans="1:26" x14ac:dyDescent="0.25">
      <c r="A312" s="17">
        <f t="shared" ca="1" si="21"/>
        <v>693531</v>
      </c>
      <c r="B312" s="26">
        <v>6</v>
      </c>
      <c r="C312" s="27">
        <v>6</v>
      </c>
      <c r="D312" s="27">
        <v>8</v>
      </c>
      <c r="E312" s="27">
        <v>6</v>
      </c>
      <c r="F312" s="27">
        <v>6</v>
      </c>
      <c r="G312" s="27">
        <v>7</v>
      </c>
      <c r="H312" s="27">
        <v>8</v>
      </c>
      <c r="I312" s="27">
        <v>10</v>
      </c>
      <c r="J312" s="27">
        <v>11</v>
      </c>
      <c r="K312" s="27">
        <v>10</v>
      </c>
      <c r="L312" s="27">
        <v>10</v>
      </c>
      <c r="M312" s="27">
        <v>13</v>
      </c>
      <c r="N312" s="26">
        <v>12</v>
      </c>
      <c r="O312" s="27">
        <v>12</v>
      </c>
      <c r="P312" s="27">
        <v>11</v>
      </c>
      <c r="Q312" s="27">
        <v>12</v>
      </c>
      <c r="R312" s="27">
        <v>10</v>
      </c>
      <c r="S312" s="27">
        <v>10</v>
      </c>
      <c r="T312" s="27">
        <v>9</v>
      </c>
      <c r="U312" s="27">
        <v>7</v>
      </c>
      <c r="V312" s="27">
        <v>8</v>
      </c>
      <c r="W312" s="27">
        <v>6</v>
      </c>
      <c r="X312" s="27">
        <v>6</v>
      </c>
      <c r="Y312" s="27">
        <v>4</v>
      </c>
      <c r="Z312" s="21">
        <f t="shared" si="23"/>
        <v>208</v>
      </c>
    </row>
    <row r="313" spans="1:26" x14ac:dyDescent="0.25">
      <c r="A313" s="17">
        <f t="shared" ca="1" si="21"/>
        <v>693532</v>
      </c>
      <c r="B313" s="26">
        <v>5</v>
      </c>
      <c r="C313" s="27">
        <v>5</v>
      </c>
      <c r="D313" s="27">
        <v>4</v>
      </c>
      <c r="E313" s="27">
        <v>4</v>
      </c>
      <c r="F313" s="27">
        <v>5</v>
      </c>
      <c r="G313" s="27">
        <v>5</v>
      </c>
      <c r="H313" s="27">
        <v>5</v>
      </c>
      <c r="I313" s="27">
        <v>8</v>
      </c>
      <c r="J313" s="27">
        <v>11</v>
      </c>
      <c r="K313" s="27">
        <v>12</v>
      </c>
      <c r="L313" s="27">
        <v>12</v>
      </c>
      <c r="M313" s="27">
        <v>12</v>
      </c>
      <c r="N313" s="26">
        <v>14</v>
      </c>
      <c r="O313" s="27">
        <v>10</v>
      </c>
      <c r="P313" s="27">
        <v>11</v>
      </c>
      <c r="Q313" s="27">
        <v>11</v>
      </c>
      <c r="R313" s="27">
        <v>11</v>
      </c>
      <c r="S313" s="27">
        <v>9</v>
      </c>
      <c r="T313" s="27">
        <v>8</v>
      </c>
      <c r="U313" s="27">
        <v>7</v>
      </c>
      <c r="V313" s="27">
        <v>7</v>
      </c>
      <c r="W313" s="27">
        <v>4</v>
      </c>
      <c r="X313" s="27">
        <v>5</v>
      </c>
      <c r="Y313" s="27">
        <v>5</v>
      </c>
      <c r="Z313" s="21">
        <f t="shared" si="23"/>
        <v>190</v>
      </c>
    </row>
    <row r="314" spans="1:26" x14ac:dyDescent="0.25">
      <c r="A314" s="17">
        <f t="shared" ca="1" si="21"/>
        <v>693533</v>
      </c>
      <c r="B314" s="26">
        <v>5</v>
      </c>
      <c r="C314" s="27">
        <v>6</v>
      </c>
      <c r="D314" s="27">
        <v>10</v>
      </c>
      <c r="E314" s="27">
        <v>9</v>
      </c>
      <c r="F314" s="27">
        <v>5</v>
      </c>
      <c r="G314" s="27">
        <v>4</v>
      </c>
      <c r="H314" s="27">
        <v>4</v>
      </c>
      <c r="I314" s="27">
        <v>7</v>
      </c>
      <c r="J314" s="27">
        <v>9</v>
      </c>
      <c r="K314" s="27">
        <v>12</v>
      </c>
      <c r="L314" s="27">
        <v>11</v>
      </c>
      <c r="M314" s="27">
        <v>13</v>
      </c>
      <c r="N314" s="26">
        <v>11</v>
      </c>
      <c r="O314" s="27">
        <v>12</v>
      </c>
      <c r="P314" s="27">
        <v>10</v>
      </c>
      <c r="Q314" s="27">
        <v>11</v>
      </c>
      <c r="R314" s="27">
        <v>10</v>
      </c>
      <c r="S314" s="27">
        <v>9</v>
      </c>
      <c r="T314" s="27">
        <v>8</v>
      </c>
      <c r="U314" s="27">
        <v>5</v>
      </c>
      <c r="V314" s="27">
        <v>8</v>
      </c>
      <c r="W314" s="27">
        <v>6</v>
      </c>
      <c r="X314" s="27">
        <v>5</v>
      </c>
      <c r="Y314" s="27">
        <v>4</v>
      </c>
      <c r="Z314" s="21">
        <f t="shared" si="23"/>
        <v>194</v>
      </c>
    </row>
    <row r="315" spans="1:26" x14ac:dyDescent="0.25">
      <c r="A315" s="17">
        <f t="shared" ca="1" si="21"/>
        <v>693534</v>
      </c>
      <c r="B315" s="26">
        <v>4</v>
      </c>
      <c r="C315" s="27">
        <v>5</v>
      </c>
      <c r="D315" s="27">
        <v>5</v>
      </c>
      <c r="E315" s="27">
        <v>6</v>
      </c>
      <c r="F315" s="27">
        <v>6</v>
      </c>
      <c r="G315" s="27">
        <v>6</v>
      </c>
      <c r="H315" s="27">
        <v>8</v>
      </c>
      <c r="I315" s="27">
        <v>12</v>
      </c>
      <c r="J315" s="27">
        <v>11</v>
      </c>
      <c r="K315" s="27">
        <v>12</v>
      </c>
      <c r="L315" s="27">
        <v>14</v>
      </c>
      <c r="M315" s="27">
        <v>14</v>
      </c>
      <c r="N315" s="26">
        <v>11</v>
      </c>
      <c r="O315" s="27">
        <v>11</v>
      </c>
      <c r="P315" s="27">
        <v>11</v>
      </c>
      <c r="Q315" s="27">
        <v>12</v>
      </c>
      <c r="R315" s="27">
        <v>10</v>
      </c>
      <c r="S315" s="27">
        <v>8</v>
      </c>
      <c r="T315" s="27">
        <v>9</v>
      </c>
      <c r="U315" s="27">
        <v>10</v>
      </c>
      <c r="V315" s="27">
        <v>9</v>
      </c>
      <c r="W315" s="27">
        <v>7</v>
      </c>
      <c r="X315" s="27">
        <v>6</v>
      </c>
      <c r="Y315" s="27">
        <v>6</v>
      </c>
      <c r="Z315" s="21">
        <f t="shared" si="23"/>
        <v>213</v>
      </c>
    </row>
    <row r="316" spans="1:26" x14ac:dyDescent="0.25">
      <c r="A316" s="17">
        <f t="shared" ca="1" si="21"/>
        <v>693535</v>
      </c>
      <c r="B316" s="26">
        <v>7</v>
      </c>
      <c r="C316" s="27">
        <v>10</v>
      </c>
      <c r="D316" s="27">
        <v>7</v>
      </c>
      <c r="E316" s="27">
        <v>7</v>
      </c>
      <c r="F316" s="27">
        <v>8</v>
      </c>
      <c r="G316" s="27">
        <v>7</v>
      </c>
      <c r="H316" s="27">
        <v>8</v>
      </c>
      <c r="I316" s="27">
        <v>10</v>
      </c>
      <c r="J316" s="27">
        <v>11</v>
      </c>
      <c r="K316" s="27">
        <v>14</v>
      </c>
      <c r="L316" s="27">
        <v>14</v>
      </c>
      <c r="M316" s="27">
        <v>13</v>
      </c>
      <c r="N316" s="26">
        <v>14</v>
      </c>
      <c r="O316" s="27">
        <v>14</v>
      </c>
      <c r="P316" s="27">
        <v>16</v>
      </c>
      <c r="Q316" s="27">
        <v>15</v>
      </c>
      <c r="R316" s="27">
        <v>15</v>
      </c>
      <c r="S316" s="27">
        <v>14</v>
      </c>
      <c r="T316" s="27">
        <v>12</v>
      </c>
      <c r="U316" s="27">
        <v>12</v>
      </c>
      <c r="V316" s="27">
        <v>12</v>
      </c>
      <c r="W316" s="27">
        <v>10</v>
      </c>
      <c r="X316" s="27">
        <v>10</v>
      </c>
      <c r="Y316" s="27">
        <v>10</v>
      </c>
      <c r="Z316" s="21">
        <f t="shared" si="23"/>
        <v>270</v>
      </c>
    </row>
    <row r="317" spans="1:26" x14ac:dyDescent="0.25">
      <c r="A317" s="17">
        <f t="shared" ca="1" si="21"/>
        <v>693536</v>
      </c>
      <c r="B317" s="26">
        <v>10</v>
      </c>
      <c r="C317" s="27">
        <v>10</v>
      </c>
      <c r="D317" s="27">
        <v>10</v>
      </c>
      <c r="E317" s="27">
        <v>10</v>
      </c>
      <c r="F317" s="27">
        <v>11</v>
      </c>
      <c r="G317" s="27">
        <v>10</v>
      </c>
      <c r="H317" s="27">
        <v>10</v>
      </c>
      <c r="I317" s="27">
        <v>13</v>
      </c>
      <c r="J317" s="27">
        <v>13</v>
      </c>
      <c r="K317" s="27">
        <v>12</v>
      </c>
      <c r="L317" s="27">
        <v>14</v>
      </c>
      <c r="M317" s="27">
        <v>14</v>
      </c>
      <c r="N317" s="26">
        <v>12</v>
      </c>
      <c r="O317" s="27">
        <v>13</v>
      </c>
      <c r="P317" s="27">
        <v>12</v>
      </c>
      <c r="Q317" s="27">
        <v>14</v>
      </c>
      <c r="R317" s="27">
        <v>13</v>
      </c>
      <c r="S317" s="27">
        <v>13</v>
      </c>
      <c r="T317" s="27">
        <v>14</v>
      </c>
      <c r="U317" s="27">
        <v>15</v>
      </c>
      <c r="V317" s="27">
        <v>11</v>
      </c>
      <c r="W317" s="27">
        <v>9</v>
      </c>
      <c r="X317" s="27">
        <v>9</v>
      </c>
      <c r="Y317" s="27">
        <v>9</v>
      </c>
      <c r="Z317" s="21">
        <f t="shared" si="23"/>
        <v>281</v>
      </c>
    </row>
    <row r="318" spans="1:26" x14ac:dyDescent="0.25">
      <c r="A318" s="17" t="str">
        <f t="shared" ca="1" si="21"/>
        <v>Totaal</v>
      </c>
      <c r="B318" s="18">
        <f>IF(COUNT(B287:B317)&gt;0,AVERAGE(B287:B317),"")</f>
        <v>7.193548387096774</v>
      </c>
      <c r="C318" s="19">
        <f t="shared" ref="C318:Y318" si="24">IF(COUNT(C287:C317)&gt;0,AVERAGE(C287:C317),"")</f>
        <v>7.064516129032258</v>
      </c>
      <c r="D318" s="19">
        <f t="shared" si="24"/>
        <v>7.161290322580645</v>
      </c>
      <c r="E318" s="19">
        <f t="shared" si="24"/>
        <v>7.193548387096774</v>
      </c>
      <c r="F318" s="19">
        <f t="shared" si="24"/>
        <v>7.193548387096774</v>
      </c>
      <c r="G318" s="19">
        <f t="shared" si="24"/>
        <v>6.935483870967742</v>
      </c>
      <c r="H318" s="19">
        <f t="shared" si="24"/>
        <v>7.870967741935484</v>
      </c>
      <c r="I318" s="19">
        <f t="shared" si="24"/>
        <v>10.419354838709678</v>
      </c>
      <c r="J318" s="19">
        <f t="shared" si="24"/>
        <v>11.129032258064516</v>
      </c>
      <c r="K318" s="19">
        <f t="shared" si="24"/>
        <v>12.096774193548388</v>
      </c>
      <c r="L318" s="19">
        <f t="shared" si="24"/>
        <v>12.483870967741936</v>
      </c>
      <c r="M318" s="19">
        <f t="shared" si="24"/>
        <v>13.064516129032258</v>
      </c>
      <c r="N318" s="18">
        <f t="shared" si="24"/>
        <v>12.612903225806452</v>
      </c>
      <c r="O318" s="19">
        <f t="shared" si="24"/>
        <v>12.35483870967742</v>
      </c>
      <c r="P318" s="19">
        <f t="shared" si="24"/>
        <v>12.258064516129032</v>
      </c>
      <c r="Q318" s="19">
        <f t="shared" si="24"/>
        <v>12.290322580645162</v>
      </c>
      <c r="R318" s="19">
        <f t="shared" si="24"/>
        <v>11.774193548387096</v>
      </c>
      <c r="S318" s="19">
        <f t="shared" si="24"/>
        <v>10.838709677419354</v>
      </c>
      <c r="T318" s="19">
        <f t="shared" si="24"/>
        <v>10.290322580645162</v>
      </c>
      <c r="U318" s="19">
        <f t="shared" si="24"/>
        <v>10</v>
      </c>
      <c r="V318" s="19">
        <f t="shared" si="24"/>
        <v>9.6451612903225801</v>
      </c>
      <c r="W318" s="19">
        <f t="shared" si="24"/>
        <v>8.5483870967741939</v>
      </c>
      <c r="X318" s="19">
        <f t="shared" si="24"/>
        <v>8.1612903225806459</v>
      </c>
      <c r="Y318" s="19">
        <f t="shared" si="24"/>
        <v>7.806451612903226</v>
      </c>
      <c r="Z318" s="20">
        <f>IF(COUNT(B318:Y318)&gt;0,AVERAGE(B318:Y318),"")</f>
        <v>9.849462365591398</v>
      </c>
    </row>
    <row r="319" spans="1:26" x14ac:dyDescent="0.25">
      <c r="A319" s="17">
        <f t="shared" ca="1" si="21"/>
        <v>693537</v>
      </c>
      <c r="B319" s="26">
        <v>7</v>
      </c>
      <c r="C319" s="27">
        <v>7</v>
      </c>
      <c r="D319" s="27">
        <v>6</v>
      </c>
      <c r="E319" s="27">
        <v>6</v>
      </c>
      <c r="F319" s="27">
        <v>6</v>
      </c>
      <c r="G319" s="27">
        <v>6</v>
      </c>
      <c r="H319" s="27">
        <v>9</v>
      </c>
      <c r="I319" s="27">
        <v>14</v>
      </c>
      <c r="J319" s="27">
        <v>17</v>
      </c>
      <c r="K319" s="27">
        <v>14</v>
      </c>
      <c r="L319" s="27">
        <v>15</v>
      </c>
      <c r="M319" s="27">
        <v>15</v>
      </c>
      <c r="N319" s="26">
        <v>15</v>
      </c>
      <c r="O319" s="27">
        <v>12</v>
      </c>
      <c r="P319" s="27">
        <v>12</v>
      </c>
      <c r="Q319" s="27">
        <v>12</v>
      </c>
      <c r="R319" s="27">
        <v>12</v>
      </c>
      <c r="S319" s="27">
        <v>12</v>
      </c>
      <c r="T319" s="27">
        <v>9</v>
      </c>
      <c r="U319" s="27">
        <v>8</v>
      </c>
      <c r="V319" s="27">
        <v>9</v>
      </c>
      <c r="W319" s="27">
        <v>9</v>
      </c>
      <c r="X319" s="27">
        <v>7</v>
      </c>
      <c r="Y319" s="27">
        <v>8</v>
      </c>
      <c r="Z319" s="21">
        <f>IF(COUNT(B319:Y319)&gt;0,SUM(B319:Y319),"")</f>
        <v>247</v>
      </c>
    </row>
    <row r="320" spans="1:26" x14ac:dyDescent="0.25">
      <c r="A320" s="17">
        <f t="shared" ca="1" si="21"/>
        <v>693538</v>
      </c>
      <c r="B320" s="26">
        <v>8</v>
      </c>
      <c r="C320" s="27">
        <v>7</v>
      </c>
      <c r="D320" s="27">
        <v>5</v>
      </c>
      <c r="E320" s="27">
        <v>6</v>
      </c>
      <c r="F320" s="27">
        <v>5</v>
      </c>
      <c r="G320" s="27">
        <v>6</v>
      </c>
      <c r="H320" s="27">
        <v>5</v>
      </c>
      <c r="I320" s="27">
        <v>6</v>
      </c>
      <c r="J320" s="27">
        <v>7</v>
      </c>
      <c r="K320" s="27">
        <v>10</v>
      </c>
      <c r="L320" s="27">
        <v>9</v>
      </c>
      <c r="M320" s="27">
        <v>10</v>
      </c>
      <c r="N320" s="26">
        <v>11</v>
      </c>
      <c r="O320" s="27">
        <v>11</v>
      </c>
      <c r="P320" s="27">
        <v>8</v>
      </c>
      <c r="Q320" s="27">
        <v>10</v>
      </c>
      <c r="R320" s="27">
        <v>8</v>
      </c>
      <c r="S320" s="27">
        <v>7</v>
      </c>
      <c r="T320" s="27">
        <v>5</v>
      </c>
      <c r="U320" s="27">
        <v>7</v>
      </c>
      <c r="V320" s="27">
        <v>7</v>
      </c>
      <c r="W320" s="27">
        <v>6</v>
      </c>
      <c r="X320" s="27">
        <v>6</v>
      </c>
      <c r="Y320" s="27">
        <v>6</v>
      </c>
      <c r="Z320" s="21">
        <f t="shared" ref="Z320:Z348" si="25">IF(COUNT(B320:Y320)&gt;0,SUM(B320:Y320),"")</f>
        <v>176</v>
      </c>
    </row>
    <row r="321" spans="1:26" x14ac:dyDescent="0.25">
      <c r="A321" s="17">
        <f t="shared" ca="1" si="21"/>
        <v>693539</v>
      </c>
      <c r="B321" s="26">
        <v>6</v>
      </c>
      <c r="C321" s="27">
        <v>5</v>
      </c>
      <c r="D321" s="27">
        <v>5</v>
      </c>
      <c r="E321" s="27">
        <v>5</v>
      </c>
      <c r="F321" s="27">
        <v>5</v>
      </c>
      <c r="G321" s="27">
        <v>4</v>
      </c>
      <c r="H321" s="27">
        <v>6</v>
      </c>
      <c r="I321" s="27">
        <v>9</v>
      </c>
      <c r="J321" s="27">
        <v>11</v>
      </c>
      <c r="K321" s="27">
        <v>10</v>
      </c>
      <c r="L321" s="27">
        <v>11</v>
      </c>
      <c r="M321" s="27">
        <v>11</v>
      </c>
      <c r="N321" s="26">
        <v>12</v>
      </c>
      <c r="O321" s="27">
        <v>11</v>
      </c>
      <c r="P321" s="27">
        <v>10</v>
      </c>
      <c r="Q321" s="27">
        <v>10</v>
      </c>
      <c r="R321" s="27">
        <v>11</v>
      </c>
      <c r="S321" s="27">
        <v>10</v>
      </c>
      <c r="T321" s="27">
        <v>10</v>
      </c>
      <c r="U321" s="27">
        <v>9</v>
      </c>
      <c r="V321" s="27">
        <v>11</v>
      </c>
      <c r="W321" s="27">
        <v>8</v>
      </c>
      <c r="X321" s="27">
        <v>5</v>
      </c>
      <c r="Y321" s="27">
        <v>5</v>
      </c>
      <c r="Z321" s="21">
        <f t="shared" si="25"/>
        <v>200</v>
      </c>
    </row>
    <row r="322" spans="1:26" x14ac:dyDescent="0.25">
      <c r="A322" s="17">
        <f t="shared" ca="1" si="21"/>
        <v>693540</v>
      </c>
      <c r="B322" s="26">
        <v>6</v>
      </c>
      <c r="C322" s="27">
        <v>4</v>
      </c>
      <c r="D322" s="27">
        <v>4</v>
      </c>
      <c r="E322" s="27">
        <v>5</v>
      </c>
      <c r="F322" s="27">
        <v>6</v>
      </c>
      <c r="G322" s="27">
        <v>5</v>
      </c>
      <c r="H322" s="27">
        <v>5</v>
      </c>
      <c r="I322" s="27">
        <v>8</v>
      </c>
      <c r="J322" s="27">
        <v>11</v>
      </c>
      <c r="K322" s="27">
        <v>11</v>
      </c>
      <c r="L322" s="27">
        <v>11</v>
      </c>
      <c r="M322" s="27">
        <v>11</v>
      </c>
      <c r="N322" s="26">
        <v>10</v>
      </c>
      <c r="O322" s="27">
        <v>10</v>
      </c>
      <c r="P322" s="27">
        <v>9</v>
      </c>
      <c r="Q322" s="27">
        <v>7</v>
      </c>
      <c r="R322" s="27">
        <v>6</v>
      </c>
      <c r="S322" s="27">
        <v>6</v>
      </c>
      <c r="T322" s="27">
        <v>5</v>
      </c>
      <c r="U322" s="27">
        <v>5</v>
      </c>
      <c r="V322" s="27">
        <v>6</v>
      </c>
      <c r="W322" s="27">
        <v>6</v>
      </c>
      <c r="X322" s="27">
        <v>7</v>
      </c>
      <c r="Y322" s="27">
        <v>6</v>
      </c>
      <c r="Z322" s="21">
        <f t="shared" si="25"/>
        <v>170</v>
      </c>
    </row>
    <row r="323" spans="1:26" x14ac:dyDescent="0.25">
      <c r="A323" s="17">
        <f t="shared" ca="1" si="21"/>
        <v>693541</v>
      </c>
      <c r="B323" s="26">
        <v>4</v>
      </c>
      <c r="C323" s="27">
        <v>3</v>
      </c>
      <c r="D323" s="27">
        <v>5</v>
      </c>
      <c r="E323" s="27">
        <v>4</v>
      </c>
      <c r="F323" s="27">
        <v>4</v>
      </c>
      <c r="G323" s="27">
        <v>5</v>
      </c>
      <c r="H323" s="27">
        <v>6</v>
      </c>
      <c r="I323" s="27">
        <v>8</v>
      </c>
      <c r="J323" s="27">
        <v>10</v>
      </c>
      <c r="K323" s="27">
        <v>10</v>
      </c>
      <c r="L323" s="27">
        <v>11</v>
      </c>
      <c r="M323" s="27">
        <v>10</v>
      </c>
      <c r="N323" s="26">
        <v>10</v>
      </c>
      <c r="O323" s="27">
        <v>11</v>
      </c>
      <c r="P323" s="27">
        <v>9</v>
      </c>
      <c r="Q323" s="27">
        <v>8</v>
      </c>
      <c r="R323" s="27">
        <v>8</v>
      </c>
      <c r="S323" s="27">
        <v>6</v>
      </c>
      <c r="T323" s="27">
        <v>9</v>
      </c>
      <c r="U323" s="27">
        <v>9</v>
      </c>
      <c r="V323" s="27">
        <v>7</v>
      </c>
      <c r="W323" s="27">
        <v>10</v>
      </c>
      <c r="X323" s="27">
        <v>6</v>
      </c>
      <c r="Y323" s="27">
        <v>5</v>
      </c>
      <c r="Z323" s="21">
        <f t="shared" si="25"/>
        <v>178</v>
      </c>
    </row>
    <row r="324" spans="1:26" x14ac:dyDescent="0.25">
      <c r="A324" s="17">
        <f t="shared" ca="1" si="21"/>
        <v>693542</v>
      </c>
      <c r="B324" s="26">
        <v>4</v>
      </c>
      <c r="C324" s="27">
        <v>5</v>
      </c>
      <c r="D324" s="27">
        <v>5</v>
      </c>
      <c r="E324" s="27">
        <v>4</v>
      </c>
      <c r="F324" s="27">
        <v>4</v>
      </c>
      <c r="G324" s="27">
        <v>5</v>
      </c>
      <c r="H324" s="27">
        <v>5</v>
      </c>
      <c r="I324" s="27">
        <v>6</v>
      </c>
      <c r="J324" s="27">
        <v>5</v>
      </c>
      <c r="K324" s="27">
        <v>8</v>
      </c>
      <c r="L324" s="27">
        <v>8</v>
      </c>
      <c r="M324" s="27">
        <v>7</v>
      </c>
      <c r="N324" s="26">
        <v>4</v>
      </c>
      <c r="O324" s="27">
        <v>8</v>
      </c>
      <c r="P324" s="27">
        <v>9</v>
      </c>
      <c r="Q324" s="27">
        <v>10</v>
      </c>
      <c r="R324" s="27">
        <v>8</v>
      </c>
      <c r="S324" s="27">
        <v>7</v>
      </c>
      <c r="T324" s="27">
        <v>7</v>
      </c>
      <c r="U324" s="27">
        <v>8</v>
      </c>
      <c r="V324" s="27">
        <v>7</v>
      </c>
      <c r="W324" s="27">
        <v>7</v>
      </c>
      <c r="X324" s="27">
        <v>6</v>
      </c>
      <c r="Y324" s="27">
        <v>5</v>
      </c>
      <c r="Z324" s="21">
        <f t="shared" si="25"/>
        <v>152</v>
      </c>
    </row>
    <row r="325" spans="1:26" x14ac:dyDescent="0.25">
      <c r="A325" s="17">
        <f t="shared" ca="1" si="21"/>
        <v>693543</v>
      </c>
      <c r="B325" s="26">
        <v>5</v>
      </c>
      <c r="C325" s="27">
        <v>2</v>
      </c>
      <c r="D325" s="27">
        <v>3</v>
      </c>
      <c r="E325" s="27">
        <v>4</v>
      </c>
      <c r="F325" s="27">
        <v>3</v>
      </c>
      <c r="G325" s="27">
        <v>3</v>
      </c>
      <c r="H325" s="27">
        <v>2</v>
      </c>
      <c r="I325" s="27">
        <v>4</v>
      </c>
      <c r="J325" s="27">
        <v>6</v>
      </c>
      <c r="K325" s="27">
        <v>6</v>
      </c>
      <c r="L325" s="27">
        <v>7</v>
      </c>
      <c r="M325" s="27">
        <v>8</v>
      </c>
      <c r="N325" s="26">
        <v>8</v>
      </c>
      <c r="O325" s="27">
        <v>10</v>
      </c>
      <c r="P325" s="27">
        <v>9</v>
      </c>
      <c r="Q325" s="27">
        <v>11</v>
      </c>
      <c r="R325" s="27">
        <v>11</v>
      </c>
      <c r="S325" s="27">
        <v>12</v>
      </c>
      <c r="T325" s="27">
        <v>11</v>
      </c>
      <c r="U325" s="27">
        <v>11</v>
      </c>
      <c r="V325" s="27">
        <v>12</v>
      </c>
      <c r="W325" s="27">
        <v>11</v>
      </c>
      <c r="X325" s="27">
        <v>11</v>
      </c>
      <c r="Y325" s="27">
        <v>9</v>
      </c>
      <c r="Z325" s="21">
        <f t="shared" si="25"/>
        <v>179</v>
      </c>
    </row>
    <row r="326" spans="1:26" x14ac:dyDescent="0.25">
      <c r="A326" s="17">
        <f t="shared" ca="1" si="21"/>
        <v>693544</v>
      </c>
      <c r="B326" s="26">
        <v>8</v>
      </c>
      <c r="C326" s="27">
        <v>8</v>
      </c>
      <c r="D326" s="27">
        <v>9</v>
      </c>
      <c r="E326" s="27">
        <v>6</v>
      </c>
      <c r="F326" s="27">
        <v>7</v>
      </c>
      <c r="G326" s="27">
        <v>4</v>
      </c>
      <c r="H326" s="27">
        <v>5</v>
      </c>
      <c r="I326" s="27">
        <v>8</v>
      </c>
      <c r="J326" s="27">
        <v>7</v>
      </c>
      <c r="K326" s="27">
        <v>6</v>
      </c>
      <c r="L326" s="27">
        <v>5</v>
      </c>
      <c r="M326" s="27">
        <v>7</v>
      </c>
      <c r="N326" s="26">
        <v>8</v>
      </c>
      <c r="O326" s="27">
        <v>10</v>
      </c>
      <c r="P326" s="27">
        <v>10</v>
      </c>
      <c r="Q326" s="27">
        <v>12</v>
      </c>
      <c r="R326" s="27">
        <v>11</v>
      </c>
      <c r="S326" s="27">
        <v>10</v>
      </c>
      <c r="T326" s="27">
        <v>11</v>
      </c>
      <c r="U326" s="27">
        <v>13</v>
      </c>
      <c r="V326" s="27">
        <v>11</v>
      </c>
      <c r="W326" s="27">
        <v>9</v>
      </c>
      <c r="X326" s="27">
        <v>10</v>
      </c>
      <c r="Y326" s="27">
        <v>10</v>
      </c>
      <c r="Z326" s="21">
        <f t="shared" si="25"/>
        <v>205</v>
      </c>
    </row>
    <row r="327" spans="1:26" x14ac:dyDescent="0.25">
      <c r="A327" s="17">
        <f t="shared" ref="A327:A381" ca="1" si="26">IF(ISTEXT(A326),A325+1,IF(MONTH(A326+1)=MONTH(A326),A326+1,"Totaal"))</f>
        <v>693545</v>
      </c>
      <c r="B327" s="26">
        <v>8</v>
      </c>
      <c r="C327" s="27">
        <v>9</v>
      </c>
      <c r="D327" s="27">
        <v>8</v>
      </c>
      <c r="E327" s="27">
        <v>6</v>
      </c>
      <c r="F327" s="27">
        <v>7</v>
      </c>
      <c r="G327" s="27">
        <v>9</v>
      </c>
      <c r="H327" s="27">
        <v>9</v>
      </c>
      <c r="I327" s="27">
        <v>11</v>
      </c>
      <c r="J327" s="27">
        <v>11</v>
      </c>
      <c r="K327" s="27">
        <v>10</v>
      </c>
      <c r="L327" s="27">
        <v>7</v>
      </c>
      <c r="M327" s="27">
        <v>11</v>
      </c>
      <c r="N327" s="26">
        <v>11</v>
      </c>
      <c r="O327" s="27">
        <v>11</v>
      </c>
      <c r="P327" s="27">
        <v>9</v>
      </c>
      <c r="Q327" s="27">
        <v>13</v>
      </c>
      <c r="R327" s="27">
        <v>13</v>
      </c>
      <c r="S327" s="27">
        <v>11</v>
      </c>
      <c r="T327" s="27">
        <v>11</v>
      </c>
      <c r="U327" s="27">
        <v>11</v>
      </c>
      <c r="V327" s="27">
        <v>13</v>
      </c>
      <c r="W327" s="27">
        <v>10</v>
      </c>
      <c r="X327" s="27">
        <v>9</v>
      </c>
      <c r="Y327" s="27">
        <v>10</v>
      </c>
      <c r="Z327" s="21">
        <f t="shared" si="25"/>
        <v>238</v>
      </c>
    </row>
    <row r="328" spans="1:26" x14ac:dyDescent="0.25">
      <c r="A328" s="17">
        <f t="shared" ca="1" si="26"/>
        <v>693546</v>
      </c>
      <c r="B328" s="26">
        <v>8</v>
      </c>
      <c r="C328" s="27">
        <v>6</v>
      </c>
      <c r="D328" s="27">
        <v>7</v>
      </c>
      <c r="E328" s="27">
        <v>9</v>
      </c>
      <c r="F328" s="27">
        <v>8</v>
      </c>
      <c r="G328" s="27">
        <v>7</v>
      </c>
      <c r="H328" s="27">
        <v>8</v>
      </c>
      <c r="I328" s="27">
        <v>11</v>
      </c>
      <c r="J328" s="27">
        <v>9</v>
      </c>
      <c r="K328" s="27">
        <v>8</v>
      </c>
      <c r="L328" s="27">
        <v>9</v>
      </c>
      <c r="M328" s="27">
        <v>8</v>
      </c>
      <c r="N328" s="26">
        <v>10</v>
      </c>
      <c r="O328" s="27">
        <v>11</v>
      </c>
      <c r="P328" s="27">
        <v>8</v>
      </c>
      <c r="Q328" s="27">
        <v>10</v>
      </c>
      <c r="R328" s="27">
        <v>10</v>
      </c>
      <c r="S328" s="27">
        <v>12</v>
      </c>
      <c r="T328" s="27">
        <v>10</v>
      </c>
      <c r="U328" s="27">
        <v>10</v>
      </c>
      <c r="V328" s="27">
        <v>8</v>
      </c>
      <c r="W328" s="27">
        <v>10</v>
      </c>
      <c r="X328" s="27">
        <v>8</v>
      </c>
      <c r="Y328" s="27">
        <v>9</v>
      </c>
      <c r="Z328" s="21">
        <f t="shared" si="25"/>
        <v>214</v>
      </c>
    </row>
    <row r="329" spans="1:26" x14ac:dyDescent="0.25">
      <c r="A329" s="17">
        <f t="shared" ca="1" si="26"/>
        <v>693547</v>
      </c>
      <c r="B329" s="26">
        <v>7</v>
      </c>
      <c r="C329" s="27">
        <v>7</v>
      </c>
      <c r="D329" s="27">
        <v>5</v>
      </c>
      <c r="E329" s="27">
        <v>5</v>
      </c>
      <c r="F329" s="27">
        <v>7</v>
      </c>
      <c r="G329" s="27">
        <v>6</v>
      </c>
      <c r="H329" s="27">
        <v>5</v>
      </c>
      <c r="I329" s="27">
        <v>7</v>
      </c>
      <c r="J329" s="27">
        <v>9</v>
      </c>
      <c r="K329" s="27">
        <v>8</v>
      </c>
      <c r="L329" s="27">
        <v>10</v>
      </c>
      <c r="M329" s="27">
        <v>11</v>
      </c>
      <c r="N329" s="26">
        <v>11</v>
      </c>
      <c r="O329" s="27">
        <v>11</v>
      </c>
      <c r="P329" s="27">
        <v>13</v>
      </c>
      <c r="Q329" s="27">
        <v>13</v>
      </c>
      <c r="R329" s="27">
        <v>13</v>
      </c>
      <c r="S329" s="27">
        <v>14</v>
      </c>
      <c r="T329" s="27">
        <v>11</v>
      </c>
      <c r="U329" s="27">
        <v>12</v>
      </c>
      <c r="V329" s="27">
        <v>13</v>
      </c>
      <c r="W329" s="27">
        <v>11</v>
      </c>
      <c r="X329" s="27">
        <v>9</v>
      </c>
      <c r="Y329" s="27">
        <v>7</v>
      </c>
      <c r="Z329" s="21">
        <f t="shared" si="25"/>
        <v>225</v>
      </c>
    </row>
    <row r="330" spans="1:26" x14ac:dyDescent="0.25">
      <c r="A330" s="17">
        <f t="shared" ca="1" si="26"/>
        <v>693548</v>
      </c>
      <c r="B330" s="26">
        <v>8</v>
      </c>
      <c r="C330" s="27">
        <v>6</v>
      </c>
      <c r="D330" s="27">
        <v>5</v>
      </c>
      <c r="E330" s="27">
        <v>4</v>
      </c>
      <c r="F330" s="27">
        <v>6</v>
      </c>
      <c r="G330" s="27">
        <v>6</v>
      </c>
      <c r="H330" s="27">
        <v>8</v>
      </c>
      <c r="I330" s="27">
        <v>11</v>
      </c>
      <c r="J330" s="27">
        <v>11</v>
      </c>
      <c r="K330" s="27">
        <v>11</v>
      </c>
      <c r="L330" s="27">
        <v>8</v>
      </c>
      <c r="M330" s="27">
        <v>12</v>
      </c>
      <c r="N330" s="26">
        <v>13</v>
      </c>
      <c r="O330" s="27">
        <v>13</v>
      </c>
      <c r="P330" s="27">
        <v>11</v>
      </c>
      <c r="Q330" s="27">
        <v>10</v>
      </c>
      <c r="R330" s="27">
        <v>9</v>
      </c>
      <c r="S330" s="27">
        <v>9</v>
      </c>
      <c r="T330" s="27">
        <v>11</v>
      </c>
      <c r="U330" s="27">
        <v>12</v>
      </c>
      <c r="V330" s="27">
        <v>10</v>
      </c>
      <c r="W330" s="27">
        <v>12</v>
      </c>
      <c r="X330" s="27">
        <v>11</v>
      </c>
      <c r="Y330" s="27">
        <v>12</v>
      </c>
      <c r="Z330" s="21">
        <f t="shared" si="25"/>
        <v>229</v>
      </c>
    </row>
    <row r="331" spans="1:26" x14ac:dyDescent="0.25">
      <c r="A331" s="17">
        <f t="shared" ca="1" si="26"/>
        <v>693549</v>
      </c>
      <c r="B331" s="26">
        <v>12</v>
      </c>
      <c r="C331" s="27">
        <v>10</v>
      </c>
      <c r="D331" s="27">
        <v>10</v>
      </c>
      <c r="E331" s="27">
        <v>10</v>
      </c>
      <c r="F331" s="27">
        <v>10</v>
      </c>
      <c r="G331" s="27">
        <v>10</v>
      </c>
      <c r="H331" s="27">
        <v>9</v>
      </c>
      <c r="I331" s="27">
        <v>13</v>
      </c>
      <c r="J331" s="27">
        <v>13</v>
      </c>
      <c r="K331" s="27">
        <v>15</v>
      </c>
      <c r="L331" s="27">
        <v>15</v>
      </c>
      <c r="M331" s="27">
        <v>16</v>
      </c>
      <c r="N331" s="26">
        <v>13</v>
      </c>
      <c r="O331" s="27">
        <v>16</v>
      </c>
      <c r="P331" s="27">
        <v>16</v>
      </c>
      <c r="Q331" s="27">
        <v>15</v>
      </c>
      <c r="R331" s="27">
        <v>15</v>
      </c>
      <c r="S331" s="27">
        <v>13</v>
      </c>
      <c r="T331" s="27">
        <v>13</v>
      </c>
      <c r="U331" s="27">
        <v>12</v>
      </c>
      <c r="V331" s="27">
        <v>14</v>
      </c>
      <c r="W331" s="27">
        <v>13</v>
      </c>
      <c r="X331" s="27">
        <v>13</v>
      </c>
      <c r="Y331" s="27">
        <v>13</v>
      </c>
      <c r="Z331" s="21">
        <f t="shared" si="25"/>
        <v>309</v>
      </c>
    </row>
    <row r="332" spans="1:26" x14ac:dyDescent="0.25">
      <c r="A332" s="17">
        <f t="shared" ca="1" si="26"/>
        <v>693550</v>
      </c>
      <c r="B332" s="26">
        <v>12</v>
      </c>
      <c r="C332" s="27">
        <v>13</v>
      </c>
      <c r="D332" s="27">
        <v>11</v>
      </c>
      <c r="E332" s="27">
        <v>12</v>
      </c>
      <c r="F332" s="27">
        <v>13</v>
      </c>
      <c r="G332" s="27">
        <v>12</v>
      </c>
      <c r="H332" s="27">
        <v>13</v>
      </c>
      <c r="I332" s="27">
        <v>14</v>
      </c>
      <c r="J332" s="27">
        <v>15</v>
      </c>
      <c r="K332" s="27">
        <v>15</v>
      </c>
      <c r="L332" s="27">
        <v>16</v>
      </c>
      <c r="M332" s="27">
        <v>16</v>
      </c>
      <c r="N332" s="26">
        <v>15</v>
      </c>
      <c r="O332" s="27">
        <v>15</v>
      </c>
      <c r="P332" s="27">
        <v>15</v>
      </c>
      <c r="Q332" s="27">
        <v>15</v>
      </c>
      <c r="R332" s="27">
        <v>16</v>
      </c>
      <c r="S332" s="27">
        <v>14</v>
      </c>
      <c r="T332" s="27">
        <v>12</v>
      </c>
      <c r="U332" s="27">
        <v>11</v>
      </c>
      <c r="V332" s="27">
        <v>10</v>
      </c>
      <c r="W332" s="27">
        <v>9</v>
      </c>
      <c r="X332" s="27">
        <v>8</v>
      </c>
      <c r="Y332" s="27">
        <v>8</v>
      </c>
      <c r="Z332" s="21">
        <f t="shared" si="25"/>
        <v>310</v>
      </c>
    </row>
    <row r="333" spans="1:26" x14ac:dyDescent="0.25">
      <c r="A333" s="17">
        <f t="shared" ca="1" si="26"/>
        <v>693551</v>
      </c>
      <c r="B333" s="26">
        <v>10</v>
      </c>
      <c r="C333" s="27">
        <v>10</v>
      </c>
      <c r="D333" s="27">
        <v>8</v>
      </c>
      <c r="E333" s="27">
        <v>9</v>
      </c>
      <c r="F333" s="27">
        <v>9</v>
      </c>
      <c r="G333" s="27">
        <v>11</v>
      </c>
      <c r="H333" s="27">
        <v>9</v>
      </c>
      <c r="I333" s="27">
        <v>11</v>
      </c>
      <c r="J333" s="27">
        <v>14</v>
      </c>
      <c r="K333" s="27">
        <v>14</v>
      </c>
      <c r="L333" s="27">
        <v>14</v>
      </c>
      <c r="M333" s="27">
        <v>15</v>
      </c>
      <c r="N333" s="26">
        <v>13</v>
      </c>
      <c r="O333" s="27">
        <v>13</v>
      </c>
      <c r="P333" s="27">
        <v>13</v>
      </c>
      <c r="Q333" s="27">
        <v>12</v>
      </c>
      <c r="R333" s="27">
        <v>12</v>
      </c>
      <c r="S333" s="27">
        <v>11</v>
      </c>
      <c r="T333" s="27">
        <v>13</v>
      </c>
      <c r="U333" s="27">
        <v>12</v>
      </c>
      <c r="V333" s="27">
        <v>12</v>
      </c>
      <c r="W333" s="27">
        <v>12</v>
      </c>
      <c r="X333" s="27">
        <v>11</v>
      </c>
      <c r="Y333" s="27">
        <v>11</v>
      </c>
      <c r="Z333" s="21">
        <f t="shared" si="25"/>
        <v>279</v>
      </c>
    </row>
    <row r="334" spans="1:26" x14ac:dyDescent="0.25">
      <c r="A334" s="17">
        <f t="shared" ca="1" si="26"/>
        <v>693552</v>
      </c>
      <c r="B334" s="26">
        <v>10</v>
      </c>
      <c r="C334" s="27">
        <v>9</v>
      </c>
      <c r="D334" s="27">
        <v>10</v>
      </c>
      <c r="E334" s="27">
        <v>11</v>
      </c>
      <c r="F334" s="27">
        <v>13</v>
      </c>
      <c r="G334" s="27">
        <v>13</v>
      </c>
      <c r="H334" s="27">
        <v>12</v>
      </c>
      <c r="I334" s="27">
        <v>14</v>
      </c>
      <c r="J334" s="27">
        <v>14</v>
      </c>
      <c r="K334" s="27">
        <v>13</v>
      </c>
      <c r="L334" s="27">
        <v>12</v>
      </c>
      <c r="M334" s="27">
        <v>13</v>
      </c>
      <c r="N334" s="26">
        <v>13</v>
      </c>
      <c r="O334" s="27">
        <v>11</v>
      </c>
      <c r="P334" s="27">
        <v>12</v>
      </c>
      <c r="Q334" s="27">
        <v>13</v>
      </c>
      <c r="R334" s="27">
        <v>13</v>
      </c>
      <c r="S334" s="27">
        <v>11</v>
      </c>
      <c r="T334" s="27">
        <v>11</v>
      </c>
      <c r="U334" s="27">
        <v>10</v>
      </c>
      <c r="V334" s="27">
        <v>12</v>
      </c>
      <c r="W334" s="27">
        <v>13</v>
      </c>
      <c r="X334" s="27">
        <v>12</v>
      </c>
      <c r="Y334" s="27">
        <v>11</v>
      </c>
      <c r="Z334" s="21">
        <f t="shared" si="25"/>
        <v>286</v>
      </c>
    </row>
    <row r="335" spans="1:26" x14ac:dyDescent="0.25">
      <c r="A335" s="17">
        <f t="shared" ca="1" si="26"/>
        <v>693553</v>
      </c>
      <c r="B335" s="26">
        <v>10</v>
      </c>
      <c r="C335" s="27">
        <v>11</v>
      </c>
      <c r="D335" s="27">
        <v>11</v>
      </c>
      <c r="E335" s="27">
        <v>10</v>
      </c>
      <c r="F335" s="27">
        <v>10</v>
      </c>
      <c r="G335" s="27">
        <v>10</v>
      </c>
      <c r="H335" s="27">
        <v>12</v>
      </c>
      <c r="I335" s="27">
        <v>13</v>
      </c>
      <c r="J335" s="27">
        <v>13</v>
      </c>
      <c r="K335" s="27">
        <v>13</v>
      </c>
      <c r="L335" s="27">
        <v>12</v>
      </c>
      <c r="M335" s="27">
        <v>13</v>
      </c>
      <c r="N335" s="26">
        <v>12</v>
      </c>
      <c r="O335" s="27">
        <v>13</v>
      </c>
      <c r="P335" s="27">
        <v>11</v>
      </c>
      <c r="Q335" s="27">
        <v>14</v>
      </c>
      <c r="R335" s="27">
        <v>12</v>
      </c>
      <c r="S335" s="27">
        <v>10</v>
      </c>
      <c r="T335" s="27">
        <v>11</v>
      </c>
      <c r="U335" s="27">
        <v>10</v>
      </c>
      <c r="V335" s="27">
        <v>10</v>
      </c>
      <c r="W335" s="27">
        <v>13</v>
      </c>
      <c r="X335" s="27">
        <v>11</v>
      </c>
      <c r="Y335" s="27">
        <v>7</v>
      </c>
      <c r="Z335" s="21">
        <f t="shared" si="25"/>
        <v>272</v>
      </c>
    </row>
    <row r="336" spans="1:26" x14ac:dyDescent="0.25">
      <c r="A336" s="17">
        <f t="shared" ca="1" si="26"/>
        <v>693554</v>
      </c>
      <c r="B336" s="26">
        <v>12</v>
      </c>
      <c r="C336" s="27">
        <v>11</v>
      </c>
      <c r="D336" s="27">
        <v>9</v>
      </c>
      <c r="E336" s="27">
        <v>10</v>
      </c>
      <c r="F336" s="27">
        <v>11</v>
      </c>
      <c r="G336" s="27">
        <v>10</v>
      </c>
      <c r="H336" s="27">
        <v>9</v>
      </c>
      <c r="I336" s="27">
        <v>12</v>
      </c>
      <c r="J336" s="27">
        <v>12</v>
      </c>
      <c r="K336" s="27">
        <v>13</v>
      </c>
      <c r="L336" s="27">
        <v>12</v>
      </c>
      <c r="M336" s="27">
        <v>13</v>
      </c>
      <c r="N336" s="26">
        <v>12</v>
      </c>
      <c r="O336" s="27">
        <v>12</v>
      </c>
      <c r="P336" s="27">
        <v>13</v>
      </c>
      <c r="Q336" s="27">
        <v>12</v>
      </c>
      <c r="R336" s="27">
        <v>11</v>
      </c>
      <c r="S336" s="27">
        <v>9</v>
      </c>
      <c r="T336" s="27">
        <v>9</v>
      </c>
      <c r="U336" s="27">
        <v>10</v>
      </c>
      <c r="V336" s="27">
        <v>10</v>
      </c>
      <c r="W336" s="27">
        <v>11</v>
      </c>
      <c r="X336" s="27">
        <v>9</v>
      </c>
      <c r="Y336" s="27">
        <v>8</v>
      </c>
      <c r="Z336" s="21">
        <f t="shared" si="25"/>
        <v>260</v>
      </c>
    </row>
    <row r="337" spans="1:26" x14ac:dyDescent="0.25">
      <c r="A337" s="17">
        <f t="shared" ca="1" si="26"/>
        <v>693555</v>
      </c>
      <c r="B337" s="26">
        <v>7</v>
      </c>
      <c r="C337" s="27">
        <v>6</v>
      </c>
      <c r="D337" s="27">
        <v>6</v>
      </c>
      <c r="E337" s="27">
        <v>7</v>
      </c>
      <c r="F337" s="27">
        <v>8</v>
      </c>
      <c r="G337" s="27">
        <v>9</v>
      </c>
      <c r="H337" s="27">
        <v>9</v>
      </c>
      <c r="I337" s="27">
        <v>10</v>
      </c>
      <c r="J337" s="27">
        <v>12</v>
      </c>
      <c r="K337" s="27">
        <v>11</v>
      </c>
      <c r="L337" s="27">
        <v>12</v>
      </c>
      <c r="M337" s="27">
        <v>13</v>
      </c>
      <c r="N337" s="26">
        <v>12</v>
      </c>
      <c r="O337" s="27">
        <v>11</v>
      </c>
      <c r="P337" s="27">
        <v>11</v>
      </c>
      <c r="Q337" s="27">
        <v>11</v>
      </c>
      <c r="R337" s="27">
        <v>10</v>
      </c>
      <c r="S337" s="27">
        <v>9</v>
      </c>
      <c r="T337" s="27">
        <v>9</v>
      </c>
      <c r="U337" s="27">
        <v>10</v>
      </c>
      <c r="V337" s="27">
        <v>8</v>
      </c>
      <c r="W337" s="27">
        <v>6</v>
      </c>
      <c r="X337" s="27">
        <v>6</v>
      </c>
      <c r="Y337" s="27">
        <v>6</v>
      </c>
      <c r="Z337" s="21">
        <f t="shared" si="25"/>
        <v>219</v>
      </c>
    </row>
    <row r="338" spans="1:26" x14ac:dyDescent="0.25">
      <c r="A338" s="17">
        <f t="shared" ca="1" si="26"/>
        <v>693556</v>
      </c>
      <c r="B338" s="26">
        <v>5</v>
      </c>
      <c r="C338" s="27">
        <v>4</v>
      </c>
      <c r="D338" s="27">
        <v>5</v>
      </c>
      <c r="E338" s="27">
        <v>4</v>
      </c>
      <c r="F338" s="27">
        <v>3</v>
      </c>
      <c r="G338" s="27">
        <v>6</v>
      </c>
      <c r="H338" s="27">
        <v>4</v>
      </c>
      <c r="I338" s="27">
        <v>8</v>
      </c>
      <c r="J338" s="27">
        <v>11</v>
      </c>
      <c r="K338" s="27">
        <v>10</v>
      </c>
      <c r="L338" s="27">
        <v>11</v>
      </c>
      <c r="M338" s="27">
        <v>11</v>
      </c>
      <c r="N338" s="26">
        <v>10</v>
      </c>
      <c r="O338" s="27">
        <v>10</v>
      </c>
      <c r="P338" s="27">
        <v>9</v>
      </c>
      <c r="Q338" s="27">
        <v>9</v>
      </c>
      <c r="R338" s="27">
        <v>8</v>
      </c>
      <c r="S338" s="27">
        <v>7</v>
      </c>
      <c r="T338" s="27">
        <v>6</v>
      </c>
      <c r="U338" s="27">
        <v>6</v>
      </c>
      <c r="V338" s="27">
        <v>8</v>
      </c>
      <c r="W338" s="27">
        <v>7</v>
      </c>
      <c r="X338" s="27">
        <v>6</v>
      </c>
      <c r="Y338" s="27">
        <v>7</v>
      </c>
      <c r="Z338" s="21">
        <f t="shared" si="25"/>
        <v>175</v>
      </c>
    </row>
    <row r="339" spans="1:26" x14ac:dyDescent="0.25">
      <c r="A339" s="17">
        <f t="shared" ca="1" si="26"/>
        <v>693557</v>
      </c>
      <c r="B339" s="26">
        <v>7</v>
      </c>
      <c r="C339" s="27">
        <v>4</v>
      </c>
      <c r="D339" s="27">
        <v>5</v>
      </c>
      <c r="E339" s="27">
        <v>5</v>
      </c>
      <c r="F339" s="27">
        <v>5</v>
      </c>
      <c r="G339" s="27">
        <v>5</v>
      </c>
      <c r="H339" s="27">
        <v>6</v>
      </c>
      <c r="I339" s="27">
        <v>9</v>
      </c>
      <c r="J339" s="27">
        <v>10</v>
      </c>
      <c r="K339" s="27">
        <v>10</v>
      </c>
      <c r="L339" s="27">
        <v>11</v>
      </c>
      <c r="M339" s="27">
        <v>13</v>
      </c>
      <c r="N339" s="26">
        <v>12</v>
      </c>
      <c r="O339" s="27">
        <v>12</v>
      </c>
      <c r="P339" s="27">
        <v>13</v>
      </c>
      <c r="Q339" s="27">
        <v>13</v>
      </c>
      <c r="R339" s="27">
        <v>12</v>
      </c>
      <c r="S339" s="27">
        <v>10</v>
      </c>
      <c r="T339" s="27">
        <v>9</v>
      </c>
      <c r="U339" s="27">
        <v>9</v>
      </c>
      <c r="V339" s="27">
        <v>9</v>
      </c>
      <c r="W339" s="27">
        <v>9</v>
      </c>
      <c r="X339" s="27">
        <v>8</v>
      </c>
      <c r="Y339" s="27">
        <v>8</v>
      </c>
      <c r="Z339" s="21">
        <f t="shared" si="25"/>
        <v>214</v>
      </c>
    </row>
    <row r="340" spans="1:26" x14ac:dyDescent="0.25">
      <c r="A340" s="17">
        <f t="shared" ca="1" si="26"/>
        <v>693558</v>
      </c>
      <c r="B340" s="26">
        <v>8</v>
      </c>
      <c r="C340" s="27">
        <v>9</v>
      </c>
      <c r="D340" s="27">
        <v>8</v>
      </c>
      <c r="E340" s="27">
        <v>7</v>
      </c>
      <c r="F340" s="27">
        <v>6</v>
      </c>
      <c r="G340" s="27">
        <v>5</v>
      </c>
      <c r="H340" s="27">
        <v>7</v>
      </c>
      <c r="I340" s="27">
        <v>11</v>
      </c>
      <c r="J340" s="27">
        <v>11</v>
      </c>
      <c r="K340" s="27">
        <v>13</v>
      </c>
      <c r="L340" s="27">
        <v>13</v>
      </c>
      <c r="M340" s="27">
        <v>15</v>
      </c>
      <c r="N340" s="26">
        <v>12</v>
      </c>
      <c r="O340" s="27">
        <v>12</v>
      </c>
      <c r="P340" s="27">
        <v>12</v>
      </c>
      <c r="Q340" s="27">
        <v>12</v>
      </c>
      <c r="R340" s="27">
        <v>9</v>
      </c>
      <c r="S340" s="27">
        <v>11</v>
      </c>
      <c r="T340" s="27">
        <v>11</v>
      </c>
      <c r="U340" s="27">
        <v>15</v>
      </c>
      <c r="V340" s="27">
        <v>15</v>
      </c>
      <c r="W340" s="27">
        <v>12</v>
      </c>
      <c r="X340" s="27">
        <v>9</v>
      </c>
      <c r="Y340" s="27">
        <v>2</v>
      </c>
      <c r="Z340" s="21">
        <f t="shared" si="25"/>
        <v>245</v>
      </c>
    </row>
    <row r="341" spans="1:26" x14ac:dyDescent="0.25">
      <c r="A341" s="17">
        <f t="shared" ca="1" si="26"/>
        <v>693559</v>
      </c>
      <c r="B341" s="26">
        <v>3</v>
      </c>
      <c r="C341" s="27">
        <v>4</v>
      </c>
      <c r="D341" s="27">
        <v>4</v>
      </c>
      <c r="E341" s="27">
        <v>5</v>
      </c>
      <c r="F341" s="27">
        <v>10</v>
      </c>
      <c r="G341" s="27">
        <v>12</v>
      </c>
      <c r="H341" s="27">
        <v>12</v>
      </c>
      <c r="I341" s="27">
        <v>10</v>
      </c>
      <c r="J341" s="27">
        <v>11</v>
      </c>
      <c r="K341" s="27">
        <v>11</v>
      </c>
      <c r="L341" s="27">
        <v>9</v>
      </c>
      <c r="M341" s="27">
        <v>11</v>
      </c>
      <c r="N341" s="26">
        <v>14</v>
      </c>
      <c r="O341" s="27">
        <v>15</v>
      </c>
      <c r="P341" s="27">
        <v>14</v>
      </c>
      <c r="Q341" s="27">
        <v>15</v>
      </c>
      <c r="R341" s="27">
        <v>11</v>
      </c>
      <c r="S341" s="27">
        <v>10</v>
      </c>
      <c r="T341" s="27">
        <v>10</v>
      </c>
      <c r="U341" s="27">
        <v>10</v>
      </c>
      <c r="V341" s="27">
        <v>10</v>
      </c>
      <c r="W341" s="27">
        <v>11</v>
      </c>
      <c r="X341" s="27">
        <v>10</v>
      </c>
      <c r="Y341" s="27">
        <v>9</v>
      </c>
      <c r="Z341" s="21">
        <f t="shared" si="25"/>
        <v>241</v>
      </c>
    </row>
    <row r="342" spans="1:26" x14ac:dyDescent="0.25">
      <c r="A342" s="17">
        <f t="shared" ca="1" si="26"/>
        <v>693560</v>
      </c>
      <c r="B342" s="26">
        <v>10</v>
      </c>
      <c r="C342" s="27">
        <v>7</v>
      </c>
      <c r="D342" s="27">
        <v>6</v>
      </c>
      <c r="E342" s="27">
        <v>7</v>
      </c>
      <c r="F342" s="27">
        <v>8</v>
      </c>
      <c r="G342" s="27">
        <v>7</v>
      </c>
      <c r="H342" s="27">
        <v>8</v>
      </c>
      <c r="I342" s="27">
        <v>11</v>
      </c>
      <c r="J342" s="27">
        <v>13</v>
      </c>
      <c r="K342" s="27">
        <v>13</v>
      </c>
      <c r="L342" s="27">
        <v>13</v>
      </c>
      <c r="M342" s="27">
        <v>13</v>
      </c>
      <c r="N342" s="26">
        <v>12</v>
      </c>
      <c r="O342" s="27">
        <v>12</v>
      </c>
      <c r="P342" s="27">
        <v>12</v>
      </c>
      <c r="Q342" s="27">
        <v>13</v>
      </c>
      <c r="R342" s="27">
        <v>12</v>
      </c>
      <c r="S342" s="27">
        <v>10</v>
      </c>
      <c r="T342" s="27">
        <v>10</v>
      </c>
      <c r="U342" s="27">
        <v>11</v>
      </c>
      <c r="V342" s="27">
        <v>10</v>
      </c>
      <c r="W342" s="27">
        <v>11</v>
      </c>
      <c r="X342" s="27">
        <v>11</v>
      </c>
      <c r="Y342" s="27">
        <v>11</v>
      </c>
      <c r="Z342" s="21">
        <f t="shared" si="25"/>
        <v>251</v>
      </c>
    </row>
    <row r="343" spans="1:26" x14ac:dyDescent="0.25">
      <c r="A343" s="17">
        <f t="shared" ca="1" si="26"/>
        <v>693561</v>
      </c>
      <c r="B343" s="26">
        <v>9</v>
      </c>
      <c r="C343" s="27">
        <v>10</v>
      </c>
      <c r="D343" s="27">
        <v>7</v>
      </c>
      <c r="E343" s="27">
        <v>8</v>
      </c>
      <c r="F343" s="27">
        <v>6</v>
      </c>
      <c r="G343" s="27">
        <v>8</v>
      </c>
      <c r="H343" s="27">
        <v>8</v>
      </c>
      <c r="I343" s="27">
        <v>11</v>
      </c>
      <c r="J343" s="27">
        <v>11</v>
      </c>
      <c r="K343" s="27">
        <v>11</v>
      </c>
      <c r="L343" s="27">
        <v>12</v>
      </c>
      <c r="M343" s="27">
        <v>14</v>
      </c>
      <c r="N343" s="26">
        <v>12</v>
      </c>
      <c r="O343" s="27">
        <v>14</v>
      </c>
      <c r="P343" s="27">
        <v>13</v>
      </c>
      <c r="Q343" s="27">
        <v>15</v>
      </c>
      <c r="R343" s="27">
        <v>15</v>
      </c>
      <c r="S343" s="27">
        <v>13</v>
      </c>
      <c r="T343" s="27">
        <v>14</v>
      </c>
      <c r="U343" s="27">
        <v>11</v>
      </c>
      <c r="V343" s="27">
        <v>11</v>
      </c>
      <c r="W343" s="27">
        <v>13</v>
      </c>
      <c r="X343" s="27">
        <v>12</v>
      </c>
      <c r="Y343" s="27">
        <v>13</v>
      </c>
      <c r="Z343" s="21">
        <f t="shared" si="25"/>
        <v>271</v>
      </c>
    </row>
    <row r="344" spans="1:26" x14ac:dyDescent="0.25">
      <c r="A344" s="17">
        <f t="shared" ca="1" si="26"/>
        <v>693562</v>
      </c>
      <c r="B344" s="26">
        <v>11</v>
      </c>
      <c r="C344" s="27">
        <v>10</v>
      </c>
      <c r="D344" s="27">
        <v>11</v>
      </c>
      <c r="E344" s="27">
        <v>10</v>
      </c>
      <c r="F344" s="27">
        <v>11</v>
      </c>
      <c r="G344" s="27">
        <v>9</v>
      </c>
      <c r="H344" s="27">
        <v>10</v>
      </c>
      <c r="I344" s="27">
        <v>15</v>
      </c>
      <c r="J344" s="27">
        <v>17</v>
      </c>
      <c r="K344" s="27">
        <v>15</v>
      </c>
      <c r="L344" s="27">
        <v>15</v>
      </c>
      <c r="M344" s="27">
        <v>18</v>
      </c>
      <c r="N344" s="26">
        <v>17</v>
      </c>
      <c r="O344" s="27">
        <v>16</v>
      </c>
      <c r="P344" s="27">
        <v>16</v>
      </c>
      <c r="Q344" s="27">
        <v>16</v>
      </c>
      <c r="R344" s="27">
        <v>13</v>
      </c>
      <c r="S344" s="27">
        <v>12</v>
      </c>
      <c r="T344" s="27">
        <v>10</v>
      </c>
      <c r="U344" s="27">
        <v>11</v>
      </c>
      <c r="V344" s="27">
        <v>11</v>
      </c>
      <c r="W344" s="27">
        <v>10</v>
      </c>
      <c r="X344" s="27">
        <v>9</v>
      </c>
      <c r="Y344" s="27">
        <v>9</v>
      </c>
      <c r="Z344" s="21">
        <f t="shared" si="25"/>
        <v>302</v>
      </c>
    </row>
    <row r="345" spans="1:26" x14ac:dyDescent="0.25">
      <c r="A345" s="17">
        <f t="shared" ca="1" si="26"/>
        <v>693563</v>
      </c>
      <c r="B345" s="26">
        <v>7</v>
      </c>
      <c r="C345" s="27">
        <v>8</v>
      </c>
      <c r="D345" s="27">
        <v>6</v>
      </c>
      <c r="E345" s="27">
        <v>6</v>
      </c>
      <c r="F345" s="27">
        <v>7</v>
      </c>
      <c r="G345" s="27">
        <v>8</v>
      </c>
      <c r="H345" s="27">
        <v>6</v>
      </c>
      <c r="I345" s="27">
        <v>10</v>
      </c>
      <c r="J345" s="27">
        <v>12</v>
      </c>
      <c r="K345" s="27">
        <v>14</v>
      </c>
      <c r="L345" s="27">
        <v>12</v>
      </c>
      <c r="M345" s="27">
        <v>14</v>
      </c>
      <c r="N345" s="26">
        <v>13</v>
      </c>
      <c r="O345" s="27">
        <v>13</v>
      </c>
      <c r="P345" s="27">
        <v>14</v>
      </c>
      <c r="Q345" s="27">
        <v>13</v>
      </c>
      <c r="R345" s="27">
        <v>12</v>
      </c>
      <c r="S345" s="27">
        <v>10</v>
      </c>
      <c r="T345" s="27">
        <v>9</v>
      </c>
      <c r="U345" s="27">
        <v>10</v>
      </c>
      <c r="V345" s="27">
        <v>10</v>
      </c>
      <c r="W345" s="27">
        <v>8</v>
      </c>
      <c r="X345" s="27">
        <v>8</v>
      </c>
      <c r="Y345" s="27">
        <v>8</v>
      </c>
      <c r="Z345" s="21">
        <f t="shared" si="25"/>
        <v>238</v>
      </c>
    </row>
    <row r="346" spans="1:26" x14ac:dyDescent="0.25">
      <c r="A346" s="17">
        <f t="shared" ca="1" si="26"/>
        <v>693564</v>
      </c>
      <c r="B346" s="26">
        <v>7</v>
      </c>
      <c r="C346" s="27">
        <v>7</v>
      </c>
      <c r="D346" s="27">
        <v>6</v>
      </c>
      <c r="E346" s="27">
        <v>7</v>
      </c>
      <c r="F346" s="27">
        <v>5</v>
      </c>
      <c r="G346" s="27">
        <v>7</v>
      </c>
      <c r="H346" s="27">
        <v>7</v>
      </c>
      <c r="I346" s="27">
        <v>11</v>
      </c>
      <c r="J346" s="27">
        <v>13</v>
      </c>
      <c r="K346" s="27">
        <v>12</v>
      </c>
      <c r="L346" s="27">
        <v>12</v>
      </c>
      <c r="M346" s="27">
        <v>13</v>
      </c>
      <c r="N346" s="26">
        <v>13</v>
      </c>
      <c r="O346" s="27">
        <v>13</v>
      </c>
      <c r="P346" s="27">
        <v>11</v>
      </c>
      <c r="Q346" s="27">
        <v>10</v>
      </c>
      <c r="R346" s="27">
        <v>9</v>
      </c>
      <c r="S346" s="27">
        <v>7</v>
      </c>
      <c r="T346" s="27">
        <v>6</v>
      </c>
      <c r="U346" s="27">
        <v>8</v>
      </c>
      <c r="V346" s="27">
        <v>8</v>
      </c>
      <c r="W346" s="27">
        <v>8</v>
      </c>
      <c r="X346" s="27">
        <v>8</v>
      </c>
      <c r="Y346" s="27">
        <v>7</v>
      </c>
      <c r="Z346" s="21">
        <f t="shared" si="25"/>
        <v>215</v>
      </c>
    </row>
    <row r="347" spans="1:26" x14ac:dyDescent="0.25">
      <c r="A347" s="17">
        <f t="shared" ca="1" si="26"/>
        <v>693565</v>
      </c>
      <c r="B347" s="26">
        <v>6</v>
      </c>
      <c r="C347" s="27">
        <v>5</v>
      </c>
      <c r="D347" s="27">
        <v>6</v>
      </c>
      <c r="E347" s="27">
        <v>5</v>
      </c>
      <c r="F347" s="27">
        <v>5</v>
      </c>
      <c r="G347" s="27">
        <v>6</v>
      </c>
      <c r="H347" s="27">
        <v>4</v>
      </c>
      <c r="I347" s="27">
        <v>9</v>
      </c>
      <c r="J347" s="27">
        <v>13</v>
      </c>
      <c r="K347" s="27">
        <v>12</v>
      </c>
      <c r="L347" s="27">
        <v>11</v>
      </c>
      <c r="M347" s="27">
        <v>12</v>
      </c>
      <c r="N347" s="26">
        <v>12</v>
      </c>
      <c r="O347" s="27">
        <v>12</v>
      </c>
      <c r="P347" s="27">
        <v>13</v>
      </c>
      <c r="Q347" s="27">
        <v>14</v>
      </c>
      <c r="R347" s="27">
        <v>13</v>
      </c>
      <c r="S347" s="27">
        <v>11</v>
      </c>
      <c r="T347" s="27">
        <v>12</v>
      </c>
      <c r="U347" s="27">
        <v>12</v>
      </c>
      <c r="V347" s="27">
        <v>12</v>
      </c>
      <c r="W347" s="27">
        <v>11</v>
      </c>
      <c r="X347" s="27">
        <v>11</v>
      </c>
      <c r="Y347" s="27">
        <v>10</v>
      </c>
      <c r="Z347" s="21">
        <f t="shared" si="25"/>
        <v>237</v>
      </c>
    </row>
    <row r="348" spans="1:26" x14ac:dyDescent="0.25">
      <c r="A348" s="17">
        <f t="shared" ca="1" si="26"/>
        <v>693566</v>
      </c>
      <c r="B348" s="26">
        <v>10</v>
      </c>
      <c r="C348" s="27">
        <v>11</v>
      </c>
      <c r="D348" s="27">
        <v>8</v>
      </c>
      <c r="E348" s="27">
        <v>10</v>
      </c>
      <c r="F348" s="27">
        <v>11</v>
      </c>
      <c r="G348" s="27">
        <v>9</v>
      </c>
      <c r="H348" s="27">
        <v>11</v>
      </c>
      <c r="I348" s="27">
        <v>14</v>
      </c>
      <c r="J348" s="27">
        <v>14</v>
      </c>
      <c r="K348" s="27">
        <v>16</v>
      </c>
      <c r="L348" s="27">
        <v>16</v>
      </c>
      <c r="M348" s="27">
        <v>16</v>
      </c>
      <c r="N348" s="26">
        <v>16</v>
      </c>
      <c r="O348" s="27">
        <v>16</v>
      </c>
      <c r="P348" s="27">
        <v>16</v>
      </c>
      <c r="Q348" s="27">
        <v>15</v>
      </c>
      <c r="R348" s="27">
        <v>14</v>
      </c>
      <c r="S348" s="27">
        <v>13</v>
      </c>
      <c r="T348" s="27">
        <v>11</v>
      </c>
      <c r="U348" s="27">
        <v>12</v>
      </c>
      <c r="V348" s="27">
        <v>10</v>
      </c>
      <c r="W348" s="27">
        <v>12</v>
      </c>
      <c r="X348" s="27">
        <v>11</v>
      </c>
      <c r="Y348" s="27">
        <v>11</v>
      </c>
      <c r="Z348" s="21">
        <f t="shared" si="25"/>
        <v>303</v>
      </c>
    </row>
    <row r="349" spans="1:26" x14ac:dyDescent="0.25">
      <c r="A349" s="17" t="str">
        <f t="shared" ca="1" si="26"/>
        <v>Totaal</v>
      </c>
      <c r="B349" s="18">
        <f t="shared" ref="B349:Y349" si="27">IF(COUNT(B319:B348)&gt;0,AVERAGE(B319:B348),"")</f>
        <v>7.833333333333333</v>
      </c>
      <c r="C349" s="19">
        <f t="shared" si="27"/>
        <v>7.2666666666666666</v>
      </c>
      <c r="D349" s="19">
        <f t="shared" si="27"/>
        <v>6.8</v>
      </c>
      <c r="E349" s="19">
        <f t="shared" si="27"/>
        <v>6.9</v>
      </c>
      <c r="F349" s="19">
        <f t="shared" si="27"/>
        <v>7.3</v>
      </c>
      <c r="G349" s="19">
        <f t="shared" si="27"/>
        <v>7.4333333333333336</v>
      </c>
      <c r="H349" s="19">
        <f t="shared" si="27"/>
        <v>7.6333333333333337</v>
      </c>
      <c r="I349" s="19">
        <f t="shared" si="27"/>
        <v>10.3</v>
      </c>
      <c r="J349" s="19">
        <f t="shared" si="27"/>
        <v>11.433333333333334</v>
      </c>
      <c r="K349" s="19">
        <f t="shared" si="27"/>
        <v>11.433333333333334</v>
      </c>
      <c r="L349" s="19">
        <f t="shared" si="27"/>
        <v>11.3</v>
      </c>
      <c r="M349" s="19">
        <f t="shared" si="27"/>
        <v>12.333333333333334</v>
      </c>
      <c r="N349" s="18">
        <f t="shared" si="27"/>
        <v>11.866666666666667</v>
      </c>
      <c r="O349" s="19">
        <f t="shared" si="27"/>
        <v>12.166666666666666</v>
      </c>
      <c r="P349" s="19">
        <f t="shared" si="27"/>
        <v>11.7</v>
      </c>
      <c r="Q349" s="19">
        <f t="shared" si="27"/>
        <v>12.1</v>
      </c>
      <c r="R349" s="19">
        <f t="shared" si="27"/>
        <v>11.233333333333333</v>
      </c>
      <c r="S349" s="19">
        <f t="shared" si="27"/>
        <v>10.233333333333333</v>
      </c>
      <c r="T349" s="19">
        <f t="shared" si="27"/>
        <v>9.8666666666666671</v>
      </c>
      <c r="U349" s="19">
        <f t="shared" si="27"/>
        <v>10.166666666666666</v>
      </c>
      <c r="V349" s="19">
        <f t="shared" si="27"/>
        <v>10.133333333333333</v>
      </c>
      <c r="W349" s="19">
        <f t="shared" si="27"/>
        <v>9.9333333333333336</v>
      </c>
      <c r="X349" s="19">
        <f t="shared" si="27"/>
        <v>8.9333333333333336</v>
      </c>
      <c r="Y349" s="19">
        <f t="shared" si="27"/>
        <v>8.3666666666666671</v>
      </c>
      <c r="Z349" s="20">
        <f>IF(COUNT(B349:Y349)&gt;0,AVERAGE(B349:Y349),"")</f>
        <v>9.7777777777777768</v>
      </c>
    </row>
    <row r="350" spans="1:26" x14ac:dyDescent="0.25">
      <c r="A350" s="17">
        <f t="shared" ca="1" si="26"/>
        <v>693567</v>
      </c>
      <c r="B350" s="26">
        <v>11</v>
      </c>
      <c r="C350" s="27">
        <v>10</v>
      </c>
      <c r="D350" s="27">
        <v>11</v>
      </c>
      <c r="E350" s="27">
        <v>12</v>
      </c>
      <c r="F350" s="27">
        <v>11</v>
      </c>
      <c r="G350" s="27">
        <v>12</v>
      </c>
      <c r="H350" s="27">
        <v>14</v>
      </c>
      <c r="I350" s="27">
        <v>16</v>
      </c>
      <c r="J350" s="27">
        <v>17</v>
      </c>
      <c r="K350" s="27">
        <v>17</v>
      </c>
      <c r="L350" s="27">
        <v>17</v>
      </c>
      <c r="M350" s="27">
        <v>16</v>
      </c>
      <c r="N350" s="26">
        <v>16</v>
      </c>
      <c r="O350" s="27">
        <v>17</v>
      </c>
      <c r="P350" s="27">
        <v>15</v>
      </c>
      <c r="Q350" s="27">
        <v>15</v>
      </c>
      <c r="R350" s="27">
        <v>14</v>
      </c>
      <c r="S350" s="27">
        <v>11</v>
      </c>
      <c r="T350" s="27">
        <v>12</v>
      </c>
      <c r="U350" s="27">
        <v>12</v>
      </c>
      <c r="V350" s="27">
        <v>12</v>
      </c>
      <c r="W350" s="27">
        <v>11</v>
      </c>
      <c r="X350" s="27">
        <v>10</v>
      </c>
      <c r="Y350" s="27">
        <v>12</v>
      </c>
      <c r="Z350" s="21">
        <f>IF(COUNT(B350:Y350)&gt;0,SUM(B350:Y350),"")</f>
        <v>321</v>
      </c>
    </row>
    <row r="351" spans="1:26" x14ac:dyDescent="0.25">
      <c r="A351" s="17">
        <f t="shared" ca="1" si="26"/>
        <v>693568</v>
      </c>
      <c r="B351" s="26">
        <v>10</v>
      </c>
      <c r="C351" s="27">
        <v>11</v>
      </c>
      <c r="D351" s="27">
        <v>10</v>
      </c>
      <c r="E351" s="27">
        <v>10</v>
      </c>
      <c r="F351" s="27">
        <v>11</v>
      </c>
      <c r="G351" s="27">
        <v>10</v>
      </c>
      <c r="H351" s="27">
        <v>11</v>
      </c>
      <c r="I351" s="27">
        <v>13</v>
      </c>
      <c r="J351" s="27">
        <v>14</v>
      </c>
      <c r="K351" s="27">
        <v>15</v>
      </c>
      <c r="L351" s="27">
        <v>16</v>
      </c>
      <c r="M351" s="27">
        <v>16</v>
      </c>
      <c r="N351" s="26">
        <v>16</v>
      </c>
      <c r="O351" s="27">
        <v>18</v>
      </c>
      <c r="P351" s="27">
        <v>17</v>
      </c>
      <c r="Q351" s="27">
        <v>15</v>
      </c>
      <c r="R351" s="27">
        <v>16</v>
      </c>
      <c r="S351" s="27">
        <v>14</v>
      </c>
      <c r="T351" s="27">
        <v>14</v>
      </c>
      <c r="U351" s="27">
        <v>15</v>
      </c>
      <c r="V351" s="27">
        <v>15</v>
      </c>
      <c r="W351" s="27">
        <v>12</v>
      </c>
      <c r="X351" s="27">
        <v>13</v>
      </c>
      <c r="Y351" s="27">
        <v>12</v>
      </c>
      <c r="Z351" s="21">
        <f t="shared" ref="Z351:Z380" si="28">IF(COUNT(B351:Y351)&gt;0,SUM(B351:Y351),"")</f>
        <v>324</v>
      </c>
    </row>
    <row r="352" spans="1:26" x14ac:dyDescent="0.25">
      <c r="A352" s="17">
        <f t="shared" ca="1" si="26"/>
        <v>693569</v>
      </c>
      <c r="B352" s="26">
        <v>11</v>
      </c>
      <c r="C352" s="27">
        <v>11</v>
      </c>
      <c r="D352" s="27">
        <v>11</v>
      </c>
      <c r="E352" s="27">
        <v>11</v>
      </c>
      <c r="F352" s="27">
        <v>10</v>
      </c>
      <c r="G352" s="27">
        <v>11</v>
      </c>
      <c r="H352" s="27">
        <v>10</v>
      </c>
      <c r="I352" s="27">
        <v>13</v>
      </c>
      <c r="J352" s="27">
        <v>14</v>
      </c>
      <c r="K352" s="27">
        <v>15</v>
      </c>
      <c r="L352" s="27">
        <v>17</v>
      </c>
      <c r="M352" s="27">
        <v>16</v>
      </c>
      <c r="N352" s="26">
        <v>17</v>
      </c>
      <c r="O352" s="27">
        <v>16</v>
      </c>
      <c r="P352" s="27">
        <v>15</v>
      </c>
      <c r="Q352" s="27">
        <v>14</v>
      </c>
      <c r="R352" s="27">
        <v>13</v>
      </c>
      <c r="S352" s="27">
        <v>11</v>
      </c>
      <c r="T352" s="27">
        <v>12</v>
      </c>
      <c r="U352" s="27">
        <v>12</v>
      </c>
      <c r="V352" s="27">
        <v>11</v>
      </c>
      <c r="W352" s="27">
        <v>11</v>
      </c>
      <c r="X352" s="27">
        <v>9</v>
      </c>
      <c r="Y352" s="27">
        <v>11</v>
      </c>
      <c r="Z352" s="21">
        <f t="shared" si="28"/>
        <v>302</v>
      </c>
    </row>
    <row r="353" spans="1:26" x14ac:dyDescent="0.25">
      <c r="A353" s="17">
        <f t="shared" ca="1" si="26"/>
        <v>693570</v>
      </c>
      <c r="B353" s="26">
        <v>11</v>
      </c>
      <c r="C353" s="27">
        <v>8</v>
      </c>
      <c r="D353" s="27">
        <v>10</v>
      </c>
      <c r="E353" s="27">
        <v>8</v>
      </c>
      <c r="F353" s="27">
        <v>8</v>
      </c>
      <c r="G353" s="27">
        <v>9</v>
      </c>
      <c r="H353" s="27">
        <v>10</v>
      </c>
      <c r="I353" s="27">
        <v>14</v>
      </c>
      <c r="J353" s="27">
        <v>14</v>
      </c>
      <c r="K353" s="27">
        <v>16</v>
      </c>
      <c r="L353" s="27">
        <v>14</v>
      </c>
      <c r="M353" s="27">
        <v>16</v>
      </c>
      <c r="N353" s="26">
        <v>15</v>
      </c>
      <c r="O353" s="27">
        <v>14</v>
      </c>
      <c r="P353" s="27">
        <v>16</v>
      </c>
      <c r="Q353" s="27">
        <v>14</v>
      </c>
      <c r="R353" s="27">
        <v>12</v>
      </c>
      <c r="S353" s="27">
        <v>11</v>
      </c>
      <c r="T353" s="27">
        <v>9</v>
      </c>
      <c r="U353" s="27">
        <v>9</v>
      </c>
      <c r="V353" s="27">
        <v>9</v>
      </c>
      <c r="W353" s="27">
        <v>6</v>
      </c>
      <c r="X353" s="27">
        <v>5</v>
      </c>
      <c r="Y353" s="27">
        <v>6</v>
      </c>
      <c r="Z353" s="21">
        <f t="shared" si="28"/>
        <v>264</v>
      </c>
    </row>
    <row r="354" spans="1:26" x14ac:dyDescent="0.25">
      <c r="A354" s="17">
        <f t="shared" ca="1" si="26"/>
        <v>693571</v>
      </c>
      <c r="B354" s="26">
        <v>5</v>
      </c>
      <c r="C354" s="27">
        <v>6</v>
      </c>
      <c r="D354" s="27">
        <v>6</v>
      </c>
      <c r="E354" s="27">
        <v>6</v>
      </c>
      <c r="F354" s="27">
        <v>7</v>
      </c>
      <c r="G354" s="27">
        <v>5</v>
      </c>
      <c r="H354" s="27">
        <v>8</v>
      </c>
      <c r="I354" s="27">
        <v>11</v>
      </c>
      <c r="J354" s="27">
        <v>13</v>
      </c>
      <c r="K354" s="27">
        <v>16</v>
      </c>
      <c r="L354" s="27">
        <v>16</v>
      </c>
      <c r="M354" s="27">
        <v>13</v>
      </c>
      <c r="N354" s="26">
        <v>16</v>
      </c>
      <c r="O354" s="27">
        <v>14</v>
      </c>
      <c r="P354" s="27">
        <v>14</v>
      </c>
      <c r="Q354" s="27">
        <v>14</v>
      </c>
      <c r="R354" s="27">
        <v>13</v>
      </c>
      <c r="S354" s="27">
        <v>10</v>
      </c>
      <c r="T354" s="27">
        <v>9</v>
      </c>
      <c r="U354" s="27">
        <v>10</v>
      </c>
      <c r="V354" s="27">
        <v>9</v>
      </c>
      <c r="W354" s="27">
        <v>7</v>
      </c>
      <c r="X354" s="27">
        <v>6</v>
      </c>
      <c r="Y354" s="27">
        <v>6</v>
      </c>
      <c r="Z354" s="21">
        <f t="shared" si="28"/>
        <v>240</v>
      </c>
    </row>
    <row r="355" spans="1:26" x14ac:dyDescent="0.25">
      <c r="A355" s="17">
        <f t="shared" ca="1" si="26"/>
        <v>693572</v>
      </c>
      <c r="B355" s="26">
        <v>6</v>
      </c>
      <c r="C355" s="27">
        <v>7</v>
      </c>
      <c r="D355" s="27">
        <v>9</v>
      </c>
      <c r="E355" s="27">
        <v>9</v>
      </c>
      <c r="F355" s="27">
        <v>11</v>
      </c>
      <c r="G355" s="27">
        <v>10</v>
      </c>
      <c r="H355" s="27">
        <v>8</v>
      </c>
      <c r="I355" s="27">
        <v>13</v>
      </c>
      <c r="J355" s="27">
        <v>14</v>
      </c>
      <c r="K355" s="27">
        <v>16</v>
      </c>
      <c r="L355" s="27">
        <v>15</v>
      </c>
      <c r="M355" s="27">
        <v>14</v>
      </c>
      <c r="N355" s="26">
        <v>15</v>
      </c>
      <c r="O355" s="27">
        <v>11</v>
      </c>
      <c r="P355" s="27">
        <v>13</v>
      </c>
      <c r="Q355" s="27">
        <v>13</v>
      </c>
      <c r="R355" s="27">
        <v>12</v>
      </c>
      <c r="S355" s="27">
        <v>9</v>
      </c>
      <c r="T355" s="27">
        <v>8</v>
      </c>
      <c r="U355" s="27">
        <v>8</v>
      </c>
      <c r="V355" s="27">
        <v>6</v>
      </c>
      <c r="W355" s="27">
        <v>6</v>
      </c>
      <c r="X355" s="27">
        <v>6</v>
      </c>
      <c r="Y355" s="27">
        <v>6</v>
      </c>
      <c r="Z355" s="21">
        <f t="shared" si="28"/>
        <v>245</v>
      </c>
    </row>
    <row r="356" spans="1:26" x14ac:dyDescent="0.25">
      <c r="A356" s="17">
        <f t="shared" ca="1" si="26"/>
        <v>693573</v>
      </c>
      <c r="B356" s="26">
        <v>5</v>
      </c>
      <c r="C356" s="27">
        <v>6</v>
      </c>
      <c r="D356" s="27">
        <v>9</v>
      </c>
      <c r="E356" s="27">
        <v>6</v>
      </c>
      <c r="F356" s="27">
        <v>6</v>
      </c>
      <c r="G356" s="27">
        <v>7</v>
      </c>
      <c r="H356" s="27">
        <v>8</v>
      </c>
      <c r="I356" s="27">
        <v>13</v>
      </c>
      <c r="J356" s="27">
        <v>14</v>
      </c>
      <c r="K356" s="27">
        <v>15</v>
      </c>
      <c r="L356" s="27">
        <v>15</v>
      </c>
      <c r="M356" s="27">
        <v>16</v>
      </c>
      <c r="N356" s="26">
        <v>16</v>
      </c>
      <c r="O356" s="27">
        <v>15</v>
      </c>
      <c r="P356" s="27">
        <v>15</v>
      </c>
      <c r="Q356" s="27">
        <v>15</v>
      </c>
      <c r="R356" s="27">
        <v>13</v>
      </c>
      <c r="S356" s="27">
        <v>13</v>
      </c>
      <c r="T356" s="27">
        <v>11</v>
      </c>
      <c r="U356" s="27">
        <v>10</v>
      </c>
      <c r="V356" s="27">
        <v>10</v>
      </c>
      <c r="W356" s="27">
        <v>10</v>
      </c>
      <c r="X356" s="27">
        <v>9</v>
      </c>
      <c r="Y356" s="27">
        <v>10</v>
      </c>
      <c r="Z356" s="21">
        <f t="shared" si="28"/>
        <v>267</v>
      </c>
    </row>
    <row r="357" spans="1:26" x14ac:dyDescent="0.25">
      <c r="A357" s="17">
        <f t="shared" ca="1" si="26"/>
        <v>693574</v>
      </c>
      <c r="B357" s="26">
        <v>11</v>
      </c>
      <c r="C357" s="27">
        <v>11</v>
      </c>
      <c r="D357" s="27">
        <v>13</v>
      </c>
      <c r="E357" s="27">
        <v>11</v>
      </c>
      <c r="F357" s="27">
        <v>11</v>
      </c>
      <c r="G357" s="27">
        <v>12</v>
      </c>
      <c r="H357" s="27">
        <v>11</v>
      </c>
      <c r="I357" s="27">
        <v>12</v>
      </c>
      <c r="J357" s="27">
        <v>15</v>
      </c>
      <c r="K357" s="27">
        <v>16</v>
      </c>
      <c r="L357" s="27">
        <v>16</v>
      </c>
      <c r="M357" s="27">
        <v>15</v>
      </c>
      <c r="N357" s="26">
        <v>14</v>
      </c>
      <c r="O357" s="27">
        <v>16</v>
      </c>
      <c r="P357" s="27">
        <v>17</v>
      </c>
      <c r="Q357" s="27">
        <v>14</v>
      </c>
      <c r="R357" s="27">
        <v>14</v>
      </c>
      <c r="S357" s="27">
        <v>10</v>
      </c>
      <c r="T357" s="27">
        <v>10</v>
      </c>
      <c r="U357" s="27">
        <v>10</v>
      </c>
      <c r="V357" s="27">
        <v>10</v>
      </c>
      <c r="W357" s="27">
        <v>9</v>
      </c>
      <c r="X357" s="27">
        <v>10</v>
      </c>
      <c r="Y357" s="27">
        <v>9</v>
      </c>
      <c r="Z357" s="21">
        <f t="shared" si="28"/>
        <v>297</v>
      </c>
    </row>
    <row r="358" spans="1:26" x14ac:dyDescent="0.25">
      <c r="A358" s="17">
        <f t="shared" ca="1" si="26"/>
        <v>693575</v>
      </c>
      <c r="B358" s="26">
        <v>8</v>
      </c>
      <c r="C358" s="27">
        <v>6</v>
      </c>
      <c r="D358" s="27">
        <v>5</v>
      </c>
      <c r="E358" s="27">
        <v>6</v>
      </c>
      <c r="F358" s="27">
        <v>5</v>
      </c>
      <c r="G358" s="27">
        <v>6</v>
      </c>
      <c r="H358" s="27">
        <v>6</v>
      </c>
      <c r="I358" s="27">
        <v>9</v>
      </c>
      <c r="J358" s="27">
        <v>12</v>
      </c>
      <c r="K358" s="27">
        <v>12</v>
      </c>
      <c r="L358" s="27">
        <v>15</v>
      </c>
      <c r="M358" s="27">
        <v>15</v>
      </c>
      <c r="N358" s="26">
        <v>14</v>
      </c>
      <c r="O358" s="27">
        <v>12</v>
      </c>
      <c r="P358" s="27">
        <v>11</v>
      </c>
      <c r="Q358" s="27">
        <v>9</v>
      </c>
      <c r="R358" s="27">
        <v>8</v>
      </c>
      <c r="S358" s="27">
        <v>9</v>
      </c>
      <c r="T358" s="27">
        <v>5</v>
      </c>
      <c r="U358" s="27">
        <v>6</v>
      </c>
      <c r="V358" s="27">
        <v>8</v>
      </c>
      <c r="W358" s="27">
        <v>9</v>
      </c>
      <c r="X358" s="27">
        <v>9</v>
      </c>
      <c r="Y358" s="27">
        <v>8</v>
      </c>
      <c r="Z358" s="21">
        <f t="shared" si="28"/>
        <v>213</v>
      </c>
    </row>
    <row r="359" spans="1:26" x14ac:dyDescent="0.25">
      <c r="A359" s="17">
        <f t="shared" ca="1" si="26"/>
        <v>693576</v>
      </c>
      <c r="B359" s="26">
        <v>8</v>
      </c>
      <c r="C359" s="27">
        <v>7</v>
      </c>
      <c r="D359" s="27">
        <v>7</v>
      </c>
      <c r="E359" s="27">
        <v>9</v>
      </c>
      <c r="F359" s="27">
        <v>8</v>
      </c>
      <c r="G359" s="27">
        <v>5</v>
      </c>
      <c r="H359" s="27">
        <v>7</v>
      </c>
      <c r="I359" s="27">
        <v>13</v>
      </c>
      <c r="J359" s="27">
        <v>15</v>
      </c>
      <c r="K359" s="27">
        <v>16</v>
      </c>
      <c r="L359" s="27">
        <v>14</v>
      </c>
      <c r="M359" s="27">
        <v>13</v>
      </c>
      <c r="N359" s="26">
        <v>13</v>
      </c>
      <c r="O359" s="27">
        <v>11</v>
      </c>
      <c r="P359" s="27">
        <v>11</v>
      </c>
      <c r="Q359" s="27">
        <v>12</v>
      </c>
      <c r="R359" s="27">
        <v>10</v>
      </c>
      <c r="S359" s="27">
        <v>7</v>
      </c>
      <c r="T359" s="27">
        <v>6</v>
      </c>
      <c r="U359" s="27">
        <v>6</v>
      </c>
      <c r="V359" s="27">
        <v>7</v>
      </c>
      <c r="W359" s="27">
        <v>6</v>
      </c>
      <c r="X359" s="27">
        <v>8</v>
      </c>
      <c r="Y359" s="27">
        <v>6</v>
      </c>
      <c r="Z359" s="21">
        <f t="shared" si="28"/>
        <v>225</v>
      </c>
    </row>
    <row r="360" spans="1:26" x14ac:dyDescent="0.25">
      <c r="A360" s="17">
        <f t="shared" ca="1" si="26"/>
        <v>693577</v>
      </c>
      <c r="B360" s="26">
        <v>7</v>
      </c>
      <c r="C360" s="27">
        <v>6</v>
      </c>
      <c r="D360" s="27">
        <v>6</v>
      </c>
      <c r="E360" s="27">
        <v>7</v>
      </c>
      <c r="F360" s="27">
        <v>6</v>
      </c>
      <c r="G360" s="27">
        <v>6</v>
      </c>
      <c r="H360" s="27">
        <v>7</v>
      </c>
      <c r="I360" s="27">
        <v>9</v>
      </c>
      <c r="J360" s="27">
        <v>11</v>
      </c>
      <c r="K360" s="27">
        <v>10</v>
      </c>
      <c r="L360" s="27">
        <v>11</v>
      </c>
      <c r="M360" s="27">
        <v>11</v>
      </c>
      <c r="N360" s="26">
        <v>11</v>
      </c>
      <c r="O360" s="27">
        <v>10</v>
      </c>
      <c r="P360" s="27">
        <v>11</v>
      </c>
      <c r="Q360" s="27">
        <v>13</v>
      </c>
      <c r="R360" s="27">
        <v>10</v>
      </c>
      <c r="S360" s="27">
        <v>9</v>
      </c>
      <c r="T360" s="27">
        <v>8</v>
      </c>
      <c r="U360" s="27">
        <v>7</v>
      </c>
      <c r="V360" s="27">
        <v>7</v>
      </c>
      <c r="W360" s="27">
        <v>6</v>
      </c>
      <c r="X360" s="27">
        <v>6</v>
      </c>
      <c r="Y360" s="27">
        <v>5</v>
      </c>
      <c r="Z360" s="21">
        <f t="shared" si="28"/>
        <v>200</v>
      </c>
    </row>
    <row r="361" spans="1:26" x14ac:dyDescent="0.25">
      <c r="A361" s="17">
        <f t="shared" ca="1" si="26"/>
        <v>693578</v>
      </c>
      <c r="B361" s="26">
        <v>7</v>
      </c>
      <c r="C361" s="27">
        <v>7</v>
      </c>
      <c r="D361" s="27">
        <v>6</v>
      </c>
      <c r="E361" s="27">
        <v>7</v>
      </c>
      <c r="F361" s="27">
        <v>6</v>
      </c>
      <c r="G361" s="27">
        <v>6</v>
      </c>
      <c r="H361" s="27">
        <v>6</v>
      </c>
      <c r="I361" s="27">
        <v>9</v>
      </c>
      <c r="J361" s="27">
        <v>10</v>
      </c>
      <c r="K361" s="27">
        <v>10</v>
      </c>
      <c r="L361" s="27">
        <v>14</v>
      </c>
      <c r="M361" s="27">
        <v>14</v>
      </c>
      <c r="N361" s="26">
        <v>14</v>
      </c>
      <c r="O361" s="27">
        <v>13</v>
      </c>
      <c r="P361" s="27">
        <v>12</v>
      </c>
      <c r="Q361" s="27">
        <v>12</v>
      </c>
      <c r="R361" s="27">
        <v>10</v>
      </c>
      <c r="S361" s="27">
        <v>9</v>
      </c>
      <c r="T361" s="27">
        <v>6</v>
      </c>
      <c r="U361" s="27">
        <v>8</v>
      </c>
      <c r="V361" s="27">
        <v>8</v>
      </c>
      <c r="W361" s="27">
        <v>6</v>
      </c>
      <c r="X361" s="27">
        <v>7</v>
      </c>
      <c r="Y361" s="27">
        <v>6</v>
      </c>
      <c r="Z361" s="21">
        <f t="shared" si="28"/>
        <v>213</v>
      </c>
    </row>
    <row r="362" spans="1:26" x14ac:dyDescent="0.25">
      <c r="A362" s="17">
        <f t="shared" ca="1" si="26"/>
        <v>693579</v>
      </c>
      <c r="B362" s="26">
        <v>7</v>
      </c>
      <c r="C362" s="27">
        <v>8</v>
      </c>
      <c r="D362" s="27">
        <v>9</v>
      </c>
      <c r="E362" s="27">
        <v>6</v>
      </c>
      <c r="F362" s="27">
        <v>7</v>
      </c>
      <c r="G362" s="27">
        <v>6</v>
      </c>
      <c r="H362" s="27">
        <v>8</v>
      </c>
      <c r="I362" s="27">
        <v>9</v>
      </c>
      <c r="J362" s="27">
        <v>15</v>
      </c>
      <c r="K362" s="27">
        <v>15</v>
      </c>
      <c r="L362" s="27">
        <v>16</v>
      </c>
      <c r="M362" s="27">
        <v>15</v>
      </c>
      <c r="N362" s="26">
        <v>14</v>
      </c>
      <c r="O362" s="27">
        <v>15</v>
      </c>
      <c r="P362" s="27">
        <v>13</v>
      </c>
      <c r="Q362" s="27">
        <v>12</v>
      </c>
      <c r="R362" s="27">
        <v>11</v>
      </c>
      <c r="S362" s="27">
        <v>9</v>
      </c>
      <c r="T362" s="27">
        <v>8</v>
      </c>
      <c r="U362" s="27">
        <v>8</v>
      </c>
      <c r="V362" s="27">
        <v>6</v>
      </c>
      <c r="W362" s="27">
        <v>6</v>
      </c>
      <c r="X362" s="27">
        <v>6</v>
      </c>
      <c r="Y362" s="27">
        <v>6</v>
      </c>
      <c r="Z362" s="21">
        <f t="shared" si="28"/>
        <v>235</v>
      </c>
    </row>
    <row r="363" spans="1:26" x14ac:dyDescent="0.25">
      <c r="A363" s="17">
        <f t="shared" ca="1" si="26"/>
        <v>693580</v>
      </c>
      <c r="B363" s="26">
        <v>7</v>
      </c>
      <c r="C363" s="27">
        <v>5</v>
      </c>
      <c r="D363" s="27">
        <v>8</v>
      </c>
      <c r="E363" s="27">
        <v>7</v>
      </c>
      <c r="F363" s="27">
        <v>5</v>
      </c>
      <c r="G363" s="27">
        <v>6</v>
      </c>
      <c r="H363" s="27">
        <v>5</v>
      </c>
      <c r="I363" s="27">
        <v>7</v>
      </c>
      <c r="J363" s="27">
        <v>8</v>
      </c>
      <c r="K363" s="27">
        <v>9</v>
      </c>
      <c r="L363" s="27">
        <v>12</v>
      </c>
      <c r="M363" s="27">
        <v>14</v>
      </c>
      <c r="N363" s="26">
        <v>13</v>
      </c>
      <c r="O363" s="27">
        <v>12</v>
      </c>
      <c r="P363" s="27">
        <v>13</v>
      </c>
      <c r="Q363" s="27">
        <v>10</v>
      </c>
      <c r="R363" s="27">
        <v>11</v>
      </c>
      <c r="S363" s="27">
        <v>7</v>
      </c>
      <c r="T363" s="27">
        <v>6</v>
      </c>
      <c r="U363" s="27">
        <v>6</v>
      </c>
      <c r="V363" s="27">
        <v>4</v>
      </c>
      <c r="W363" s="27">
        <v>3</v>
      </c>
      <c r="X363" s="27">
        <v>5</v>
      </c>
      <c r="Y363" s="27">
        <v>5</v>
      </c>
      <c r="Z363" s="21">
        <f t="shared" si="28"/>
        <v>188</v>
      </c>
    </row>
    <row r="364" spans="1:26" x14ac:dyDescent="0.25">
      <c r="A364" s="17">
        <f t="shared" ca="1" si="26"/>
        <v>693581</v>
      </c>
      <c r="B364" s="26">
        <v>6</v>
      </c>
      <c r="C364" s="27">
        <v>4</v>
      </c>
      <c r="D364" s="27">
        <v>5</v>
      </c>
      <c r="E364" s="27">
        <v>6</v>
      </c>
      <c r="F364" s="27">
        <v>6</v>
      </c>
      <c r="G364" s="27">
        <v>7</v>
      </c>
      <c r="H364" s="27">
        <v>11</v>
      </c>
      <c r="I364" s="27">
        <v>11</v>
      </c>
      <c r="J364" s="27">
        <v>12</v>
      </c>
      <c r="K364" s="27">
        <v>15</v>
      </c>
      <c r="L364" s="27">
        <v>15</v>
      </c>
      <c r="M364" s="27">
        <v>16</v>
      </c>
      <c r="N364" s="26">
        <v>15</v>
      </c>
      <c r="O364" s="27">
        <v>13</v>
      </c>
      <c r="P364" s="27">
        <v>13</v>
      </c>
      <c r="Q364" s="27">
        <v>12</v>
      </c>
      <c r="R364" s="27">
        <v>11</v>
      </c>
      <c r="S364" s="27">
        <v>8</v>
      </c>
      <c r="T364" s="27">
        <v>9</v>
      </c>
      <c r="U364" s="27">
        <v>9</v>
      </c>
      <c r="V364" s="27">
        <v>5</v>
      </c>
      <c r="W364" s="27">
        <v>7</v>
      </c>
      <c r="X364" s="27">
        <v>6</v>
      </c>
      <c r="Y364" s="27">
        <v>7</v>
      </c>
      <c r="Z364" s="21">
        <f t="shared" si="28"/>
        <v>229</v>
      </c>
    </row>
    <row r="365" spans="1:26" x14ac:dyDescent="0.25">
      <c r="A365" s="17">
        <f t="shared" ca="1" si="26"/>
        <v>693582</v>
      </c>
      <c r="B365" s="26">
        <v>8</v>
      </c>
      <c r="C365" s="27">
        <v>7</v>
      </c>
      <c r="D365" s="27">
        <v>7</v>
      </c>
      <c r="E365" s="27">
        <v>7</v>
      </c>
      <c r="F365" s="27">
        <v>10</v>
      </c>
      <c r="G365" s="27">
        <v>9</v>
      </c>
      <c r="H365" s="27">
        <v>9</v>
      </c>
      <c r="I365" s="27">
        <v>9</v>
      </c>
      <c r="J365" s="27">
        <v>11</v>
      </c>
      <c r="K365" s="27">
        <v>11</v>
      </c>
      <c r="L365" s="27">
        <v>11</v>
      </c>
      <c r="M365" s="27">
        <v>11</v>
      </c>
      <c r="N365" s="26">
        <v>11</v>
      </c>
      <c r="O365" s="27">
        <v>9</v>
      </c>
      <c r="P365" s="27">
        <v>10</v>
      </c>
      <c r="Q365" s="27">
        <v>9</v>
      </c>
      <c r="R365" s="27">
        <v>9</v>
      </c>
      <c r="S365" s="27">
        <v>4</v>
      </c>
      <c r="T365" s="27">
        <v>5</v>
      </c>
      <c r="U365" s="27">
        <v>6</v>
      </c>
      <c r="V365" s="27">
        <v>6</v>
      </c>
      <c r="W365" s="27">
        <v>7</v>
      </c>
      <c r="X365" s="27">
        <v>8</v>
      </c>
      <c r="Y365" s="27">
        <v>7</v>
      </c>
      <c r="Z365" s="21">
        <f t="shared" si="28"/>
        <v>201</v>
      </c>
    </row>
    <row r="366" spans="1:26" x14ac:dyDescent="0.25">
      <c r="A366" s="17">
        <f t="shared" ca="1" si="26"/>
        <v>693583</v>
      </c>
      <c r="B366" s="26">
        <v>8</v>
      </c>
      <c r="C366" s="27">
        <v>8</v>
      </c>
      <c r="D366" s="27">
        <v>8</v>
      </c>
      <c r="E366" s="27">
        <v>8</v>
      </c>
      <c r="F366" s="27">
        <v>11</v>
      </c>
      <c r="G366" s="27">
        <v>6</v>
      </c>
      <c r="H366" s="27">
        <v>6</v>
      </c>
      <c r="I366" s="27">
        <v>11</v>
      </c>
      <c r="J366" s="27">
        <v>9</v>
      </c>
      <c r="K366" s="27">
        <v>10</v>
      </c>
      <c r="L366" s="27">
        <v>10</v>
      </c>
      <c r="M366" s="27">
        <v>13</v>
      </c>
      <c r="N366" s="26">
        <v>11</v>
      </c>
      <c r="O366" s="27">
        <v>9</v>
      </c>
      <c r="P366" s="27">
        <v>9</v>
      </c>
      <c r="Q366" s="27">
        <v>9</v>
      </c>
      <c r="R366" s="27">
        <v>8</v>
      </c>
      <c r="S366" s="27">
        <v>5</v>
      </c>
      <c r="T366" s="27">
        <v>5</v>
      </c>
      <c r="U366" s="27">
        <v>4</v>
      </c>
      <c r="V366" s="27">
        <v>6</v>
      </c>
      <c r="W366" s="27">
        <v>5</v>
      </c>
      <c r="X366" s="27">
        <v>5</v>
      </c>
      <c r="Y366" s="27">
        <v>6</v>
      </c>
      <c r="Z366" s="21">
        <f t="shared" si="28"/>
        <v>190</v>
      </c>
    </row>
    <row r="367" spans="1:26" x14ac:dyDescent="0.25">
      <c r="A367" s="17">
        <f t="shared" ca="1" si="26"/>
        <v>693584</v>
      </c>
      <c r="B367" s="26">
        <v>6</v>
      </c>
      <c r="C367" s="27">
        <v>5</v>
      </c>
      <c r="D367" s="27">
        <v>5</v>
      </c>
      <c r="E367" s="27">
        <v>5</v>
      </c>
      <c r="F367" s="27">
        <v>5</v>
      </c>
      <c r="G367" s="27">
        <v>6</v>
      </c>
      <c r="H367" s="27">
        <v>5</v>
      </c>
      <c r="I367" s="27">
        <v>8</v>
      </c>
      <c r="J367" s="27">
        <v>11</v>
      </c>
      <c r="K367" s="27">
        <v>10</v>
      </c>
      <c r="L367" s="27">
        <v>11</v>
      </c>
      <c r="M367" s="27">
        <v>10</v>
      </c>
      <c r="N367" s="26">
        <v>10</v>
      </c>
      <c r="O367" s="27">
        <v>9</v>
      </c>
      <c r="P367" s="27">
        <v>4</v>
      </c>
      <c r="Q367" s="27">
        <v>7</v>
      </c>
      <c r="R367" s="27">
        <v>7</v>
      </c>
      <c r="S367" s="27">
        <v>5</v>
      </c>
      <c r="T367" s="27">
        <v>7</v>
      </c>
      <c r="U367" s="27">
        <v>6</v>
      </c>
      <c r="V367" s="27">
        <v>7</v>
      </c>
      <c r="W367" s="27">
        <v>7</v>
      </c>
      <c r="X367" s="27">
        <v>5</v>
      </c>
      <c r="Y367" s="27">
        <v>5</v>
      </c>
      <c r="Z367" s="21">
        <f t="shared" si="28"/>
        <v>166</v>
      </c>
    </row>
    <row r="368" spans="1:26" x14ac:dyDescent="0.25">
      <c r="A368" s="17">
        <f t="shared" ca="1" si="26"/>
        <v>693585</v>
      </c>
      <c r="B368" s="26">
        <v>7</v>
      </c>
      <c r="C368" s="27">
        <v>7</v>
      </c>
      <c r="D368" s="27">
        <v>7</v>
      </c>
      <c r="E368" s="27">
        <v>7</v>
      </c>
      <c r="F368" s="27">
        <v>5</v>
      </c>
      <c r="G368" s="27">
        <v>7</v>
      </c>
      <c r="H368" s="27">
        <v>7</v>
      </c>
      <c r="I368" s="27">
        <v>9</v>
      </c>
      <c r="J368" s="27">
        <v>10</v>
      </c>
      <c r="K368" s="27">
        <v>11</v>
      </c>
      <c r="L368" s="27">
        <v>8</v>
      </c>
      <c r="M368" s="27">
        <v>10</v>
      </c>
      <c r="N368" s="26">
        <v>10</v>
      </c>
      <c r="O368" s="27">
        <v>9</v>
      </c>
      <c r="P368" s="27">
        <v>8</v>
      </c>
      <c r="Q368" s="27">
        <v>7</v>
      </c>
      <c r="R368" s="27">
        <v>5</v>
      </c>
      <c r="S368" s="27">
        <v>7</v>
      </c>
      <c r="T368" s="27">
        <v>6</v>
      </c>
      <c r="U368" s="27">
        <v>7</v>
      </c>
      <c r="V368" s="27">
        <v>5</v>
      </c>
      <c r="W368" s="27">
        <v>4</v>
      </c>
      <c r="X368" s="27">
        <v>5</v>
      </c>
      <c r="Y368" s="27">
        <v>5</v>
      </c>
      <c r="Z368" s="21">
        <f t="shared" si="28"/>
        <v>173</v>
      </c>
    </row>
    <row r="369" spans="1:26" x14ac:dyDescent="0.25">
      <c r="A369" s="17">
        <f t="shared" ca="1" si="26"/>
        <v>693586</v>
      </c>
      <c r="B369" s="26">
        <v>6</v>
      </c>
      <c r="C369" s="27">
        <v>6</v>
      </c>
      <c r="D369" s="27">
        <v>4</v>
      </c>
      <c r="E369" s="27">
        <v>6</v>
      </c>
      <c r="F369" s="27">
        <v>4</v>
      </c>
      <c r="G369" s="27">
        <v>5</v>
      </c>
      <c r="H369" s="27">
        <v>5</v>
      </c>
      <c r="I369" s="27">
        <v>4</v>
      </c>
      <c r="J369" s="27">
        <v>9</v>
      </c>
      <c r="K369" s="27">
        <v>8</v>
      </c>
      <c r="L369" s="27">
        <v>10</v>
      </c>
      <c r="M369" s="27">
        <v>8</v>
      </c>
      <c r="N369" s="26">
        <v>9</v>
      </c>
      <c r="O369" s="27">
        <v>9</v>
      </c>
      <c r="P369" s="27">
        <v>9</v>
      </c>
      <c r="Q369" s="27">
        <v>8</v>
      </c>
      <c r="R369" s="27">
        <v>6</v>
      </c>
      <c r="S369" s="27">
        <v>6</v>
      </c>
      <c r="T369" s="27">
        <v>6</v>
      </c>
      <c r="U369" s="27">
        <v>5</v>
      </c>
      <c r="V369" s="27">
        <v>7</v>
      </c>
      <c r="W369" s="27">
        <v>5</v>
      </c>
      <c r="X369" s="27">
        <v>4</v>
      </c>
      <c r="Y369" s="27">
        <v>5</v>
      </c>
      <c r="Z369" s="21">
        <f t="shared" si="28"/>
        <v>154</v>
      </c>
    </row>
    <row r="370" spans="1:26" x14ac:dyDescent="0.25">
      <c r="A370" s="17">
        <f t="shared" ca="1" si="26"/>
        <v>693587</v>
      </c>
      <c r="B370" s="26">
        <v>5</v>
      </c>
      <c r="C370" s="27">
        <v>4</v>
      </c>
      <c r="D370" s="27">
        <v>5</v>
      </c>
      <c r="E370" s="27">
        <v>5</v>
      </c>
      <c r="F370" s="27">
        <v>6</v>
      </c>
      <c r="G370" s="27">
        <v>5</v>
      </c>
      <c r="H370" s="27">
        <v>5</v>
      </c>
      <c r="I370" s="27">
        <v>5</v>
      </c>
      <c r="J370" s="27">
        <v>8</v>
      </c>
      <c r="K370" s="27">
        <v>9</v>
      </c>
      <c r="L370" s="27">
        <v>8</v>
      </c>
      <c r="M370" s="27">
        <v>9</v>
      </c>
      <c r="N370" s="26">
        <v>8</v>
      </c>
      <c r="O370" s="27">
        <v>11</v>
      </c>
      <c r="P370" s="27">
        <v>12</v>
      </c>
      <c r="Q370" s="27">
        <v>10</v>
      </c>
      <c r="R370" s="27">
        <v>9</v>
      </c>
      <c r="S370" s="27">
        <v>8</v>
      </c>
      <c r="T370" s="27">
        <v>5</v>
      </c>
      <c r="U370" s="27">
        <v>5</v>
      </c>
      <c r="V370" s="27">
        <v>6</v>
      </c>
      <c r="W370" s="27">
        <v>5</v>
      </c>
      <c r="X370" s="27">
        <v>6</v>
      </c>
      <c r="Y370" s="27">
        <v>6</v>
      </c>
      <c r="Z370" s="21">
        <f t="shared" si="28"/>
        <v>165</v>
      </c>
    </row>
    <row r="371" spans="1:26" x14ac:dyDescent="0.25">
      <c r="A371" s="17">
        <f t="shared" ca="1" si="26"/>
        <v>693588</v>
      </c>
      <c r="B371" s="26">
        <v>6</v>
      </c>
      <c r="C371" s="27">
        <v>6</v>
      </c>
      <c r="D371" s="27">
        <v>6</v>
      </c>
      <c r="E371" s="27">
        <v>6</v>
      </c>
      <c r="F371" s="27">
        <v>6</v>
      </c>
      <c r="G371" s="27">
        <v>6</v>
      </c>
      <c r="H371" s="27">
        <v>6</v>
      </c>
      <c r="I371" s="27">
        <v>7</v>
      </c>
      <c r="J371" s="27">
        <v>10</v>
      </c>
      <c r="K371" s="27">
        <v>12</v>
      </c>
      <c r="L371" s="27">
        <v>12</v>
      </c>
      <c r="M371" s="27">
        <v>12</v>
      </c>
      <c r="N371" s="26">
        <v>12</v>
      </c>
      <c r="O371" s="27">
        <v>10</v>
      </c>
      <c r="P371" s="27">
        <v>11</v>
      </c>
      <c r="Q371" s="27">
        <v>14</v>
      </c>
      <c r="R371" s="27">
        <v>12</v>
      </c>
      <c r="S371" s="27">
        <v>10</v>
      </c>
      <c r="T371" s="27">
        <v>8</v>
      </c>
      <c r="U371" s="27">
        <v>10</v>
      </c>
      <c r="V371" s="27">
        <v>9</v>
      </c>
      <c r="W371" s="27">
        <v>8</v>
      </c>
      <c r="X371" s="27">
        <v>7</v>
      </c>
      <c r="Y371" s="27">
        <v>8</v>
      </c>
      <c r="Z371" s="21">
        <f t="shared" si="28"/>
        <v>214</v>
      </c>
    </row>
    <row r="372" spans="1:26" x14ac:dyDescent="0.25">
      <c r="A372" s="17">
        <f t="shared" ca="1" si="26"/>
        <v>693589</v>
      </c>
      <c r="B372" s="26">
        <v>8</v>
      </c>
      <c r="C372" s="27">
        <v>7</v>
      </c>
      <c r="D372" s="27">
        <v>7</v>
      </c>
      <c r="E372" s="27">
        <v>7</v>
      </c>
      <c r="F372" s="27">
        <v>7</v>
      </c>
      <c r="G372" s="27">
        <v>6</v>
      </c>
      <c r="H372" s="27">
        <v>8</v>
      </c>
      <c r="I372" s="27">
        <v>7</v>
      </c>
      <c r="J372" s="27">
        <v>11</v>
      </c>
      <c r="K372" s="27">
        <v>13</v>
      </c>
      <c r="L372" s="27">
        <v>14</v>
      </c>
      <c r="M372" s="27">
        <v>13</v>
      </c>
      <c r="N372" s="26">
        <v>10</v>
      </c>
      <c r="O372" s="27">
        <v>10</v>
      </c>
      <c r="P372" s="27">
        <v>12</v>
      </c>
      <c r="Q372" s="27">
        <v>11</v>
      </c>
      <c r="R372" s="27">
        <v>13</v>
      </c>
      <c r="S372" s="27">
        <v>11</v>
      </c>
      <c r="T372" s="27">
        <v>9</v>
      </c>
      <c r="U372" s="27">
        <v>9</v>
      </c>
      <c r="V372" s="27">
        <v>10</v>
      </c>
      <c r="W372" s="27">
        <v>8</v>
      </c>
      <c r="X372" s="27">
        <v>7</v>
      </c>
      <c r="Y372" s="27">
        <v>7</v>
      </c>
      <c r="Z372" s="21">
        <f t="shared" si="28"/>
        <v>225</v>
      </c>
    </row>
    <row r="373" spans="1:26" x14ac:dyDescent="0.25">
      <c r="A373" s="17">
        <f t="shared" ca="1" si="26"/>
        <v>693590</v>
      </c>
      <c r="B373" s="26">
        <v>8</v>
      </c>
      <c r="C373" s="27">
        <v>6</v>
      </c>
      <c r="D373" s="27">
        <v>6</v>
      </c>
      <c r="E373" s="27">
        <v>6</v>
      </c>
      <c r="F373" s="27">
        <v>6</v>
      </c>
      <c r="G373" s="27">
        <v>5</v>
      </c>
      <c r="H373" s="27">
        <v>7</v>
      </c>
      <c r="I373" s="27">
        <v>8</v>
      </c>
      <c r="J373" s="27">
        <v>12</v>
      </c>
      <c r="K373" s="27">
        <v>13</v>
      </c>
      <c r="L373" s="27">
        <v>13</v>
      </c>
      <c r="M373" s="27">
        <v>12</v>
      </c>
      <c r="N373" s="26">
        <v>13</v>
      </c>
      <c r="O373" s="27">
        <v>12</v>
      </c>
      <c r="P373" s="27">
        <v>12</v>
      </c>
      <c r="Q373" s="27">
        <v>13</v>
      </c>
      <c r="R373" s="27">
        <v>12</v>
      </c>
      <c r="S373" s="27">
        <v>11</v>
      </c>
      <c r="T373" s="27">
        <v>9</v>
      </c>
      <c r="U373" s="27">
        <v>11</v>
      </c>
      <c r="V373" s="27">
        <v>11</v>
      </c>
      <c r="W373" s="27">
        <v>9</v>
      </c>
      <c r="X373" s="27">
        <v>7</v>
      </c>
      <c r="Y373" s="27">
        <v>6</v>
      </c>
      <c r="Z373" s="21">
        <f t="shared" si="28"/>
        <v>228</v>
      </c>
    </row>
    <row r="374" spans="1:26" x14ac:dyDescent="0.25">
      <c r="A374" s="17">
        <f t="shared" ca="1" si="26"/>
        <v>693591</v>
      </c>
      <c r="B374" s="26">
        <v>6</v>
      </c>
      <c r="C374" s="27">
        <v>6</v>
      </c>
      <c r="D374" s="27">
        <v>6</v>
      </c>
      <c r="E374" s="27">
        <v>6</v>
      </c>
      <c r="F374" s="27">
        <v>6</v>
      </c>
      <c r="G374" s="27">
        <v>6</v>
      </c>
      <c r="H374" s="27">
        <v>6</v>
      </c>
      <c r="I374" s="27">
        <v>11</v>
      </c>
      <c r="J374" s="27">
        <v>11</v>
      </c>
      <c r="K374" s="27">
        <v>11</v>
      </c>
      <c r="L374" s="27">
        <v>11</v>
      </c>
      <c r="M374" s="27">
        <v>15</v>
      </c>
      <c r="N374" s="26">
        <v>12</v>
      </c>
      <c r="O374" s="27">
        <v>14</v>
      </c>
      <c r="P374" s="27">
        <v>13</v>
      </c>
      <c r="Q374" s="27">
        <v>10</v>
      </c>
      <c r="R374" s="27">
        <v>10</v>
      </c>
      <c r="S374" s="27">
        <v>10</v>
      </c>
      <c r="T374" s="27">
        <v>8</v>
      </c>
      <c r="U374" s="27">
        <v>7</v>
      </c>
      <c r="V374" s="27">
        <v>8</v>
      </c>
      <c r="W374" s="27">
        <v>7</v>
      </c>
      <c r="X374" s="27">
        <v>6</v>
      </c>
      <c r="Y374" s="27">
        <v>6</v>
      </c>
      <c r="Z374" s="21">
        <f t="shared" si="28"/>
        <v>212</v>
      </c>
    </row>
    <row r="375" spans="1:26" x14ac:dyDescent="0.25">
      <c r="A375" s="17">
        <f t="shared" ca="1" si="26"/>
        <v>693592</v>
      </c>
      <c r="B375" s="26">
        <v>5</v>
      </c>
      <c r="C375" s="27">
        <v>6</v>
      </c>
      <c r="D375" s="27">
        <v>5</v>
      </c>
      <c r="E375" s="27">
        <v>4</v>
      </c>
      <c r="F375" s="27">
        <v>5</v>
      </c>
      <c r="G375" s="27">
        <v>6</v>
      </c>
      <c r="H375" s="27">
        <v>6</v>
      </c>
      <c r="I375" s="27">
        <v>8</v>
      </c>
      <c r="J375" s="27">
        <v>11</v>
      </c>
      <c r="K375" s="27">
        <v>11</v>
      </c>
      <c r="L375" s="27">
        <v>11</v>
      </c>
      <c r="M375" s="27">
        <v>11</v>
      </c>
      <c r="N375" s="26">
        <v>11</v>
      </c>
      <c r="O375" s="27">
        <v>12</v>
      </c>
      <c r="P375" s="27">
        <v>11</v>
      </c>
      <c r="Q375" s="27">
        <v>10</v>
      </c>
      <c r="R375" s="27">
        <v>11</v>
      </c>
      <c r="S375" s="27">
        <v>9</v>
      </c>
      <c r="T375" s="27">
        <v>8</v>
      </c>
      <c r="U375" s="27">
        <v>8</v>
      </c>
      <c r="V375" s="27">
        <v>7</v>
      </c>
      <c r="W375" s="27">
        <v>7</v>
      </c>
      <c r="X375" s="27">
        <v>6</v>
      </c>
      <c r="Y375" s="27">
        <v>5</v>
      </c>
      <c r="Z375" s="21">
        <f t="shared" si="28"/>
        <v>194</v>
      </c>
    </row>
    <row r="376" spans="1:26" x14ac:dyDescent="0.25">
      <c r="A376" s="17">
        <f t="shared" ca="1" si="26"/>
        <v>693593</v>
      </c>
      <c r="B376" s="26">
        <v>6</v>
      </c>
      <c r="C376" s="27">
        <v>6</v>
      </c>
      <c r="D376" s="27">
        <v>5</v>
      </c>
      <c r="E376" s="27">
        <v>5</v>
      </c>
      <c r="F376" s="27">
        <v>7</v>
      </c>
      <c r="G376" s="27">
        <v>8</v>
      </c>
      <c r="H376" s="27">
        <v>5</v>
      </c>
      <c r="I376" s="27">
        <v>9</v>
      </c>
      <c r="J376" s="27">
        <v>8</v>
      </c>
      <c r="K376" s="27">
        <v>8</v>
      </c>
      <c r="L376" s="27">
        <v>11</v>
      </c>
      <c r="M376" s="27">
        <v>9</v>
      </c>
      <c r="N376" s="26">
        <v>11</v>
      </c>
      <c r="O376" s="27">
        <v>13</v>
      </c>
      <c r="P376" s="27">
        <v>13</v>
      </c>
      <c r="Q376" s="27">
        <v>13</v>
      </c>
      <c r="R376" s="27">
        <v>9</v>
      </c>
      <c r="S376" s="27">
        <v>9</v>
      </c>
      <c r="T376" s="27">
        <v>7</v>
      </c>
      <c r="U376" s="27">
        <v>11</v>
      </c>
      <c r="V376" s="27">
        <v>8</v>
      </c>
      <c r="W376" s="27">
        <v>5</v>
      </c>
      <c r="X376" s="27">
        <v>8</v>
      </c>
      <c r="Y376" s="27">
        <v>7</v>
      </c>
      <c r="Z376" s="21">
        <f t="shared" si="28"/>
        <v>201</v>
      </c>
    </row>
    <row r="377" spans="1:26" x14ac:dyDescent="0.25">
      <c r="A377" s="17">
        <f t="shared" ca="1" si="26"/>
        <v>693594</v>
      </c>
      <c r="B377" s="26">
        <v>9</v>
      </c>
      <c r="C377" s="27">
        <v>7</v>
      </c>
      <c r="D377" s="27">
        <v>7</v>
      </c>
      <c r="E377" s="27">
        <v>8</v>
      </c>
      <c r="F377" s="27">
        <v>8</v>
      </c>
      <c r="G377" s="27">
        <v>7</v>
      </c>
      <c r="H377" s="27">
        <v>10</v>
      </c>
      <c r="I377" s="27">
        <v>9</v>
      </c>
      <c r="J377" s="27">
        <v>11</v>
      </c>
      <c r="K377" s="27">
        <v>13</v>
      </c>
      <c r="L377" s="27">
        <v>12</v>
      </c>
      <c r="M377" s="27">
        <v>13</v>
      </c>
      <c r="N377" s="26">
        <v>12</v>
      </c>
      <c r="O377" s="27">
        <v>13</v>
      </c>
      <c r="P377" s="27">
        <v>13</v>
      </c>
      <c r="Q377" s="27">
        <v>11</v>
      </c>
      <c r="R377" s="27">
        <v>11</v>
      </c>
      <c r="S377" s="27">
        <v>9</v>
      </c>
      <c r="T377" s="27">
        <v>9</v>
      </c>
      <c r="U377" s="27">
        <v>8</v>
      </c>
      <c r="V377" s="27">
        <v>8</v>
      </c>
      <c r="W377" s="27">
        <v>8</v>
      </c>
      <c r="X377" s="27">
        <v>8</v>
      </c>
      <c r="Y377" s="27">
        <v>10</v>
      </c>
      <c r="Z377" s="21">
        <f t="shared" si="28"/>
        <v>234</v>
      </c>
    </row>
    <row r="378" spans="1:26" x14ac:dyDescent="0.25">
      <c r="A378" s="17">
        <f t="shared" ca="1" si="26"/>
        <v>693595</v>
      </c>
      <c r="B378" s="26">
        <v>7</v>
      </c>
      <c r="C378" s="27">
        <v>7</v>
      </c>
      <c r="D378" s="27">
        <v>8</v>
      </c>
      <c r="E378" s="27">
        <v>7</v>
      </c>
      <c r="F378" s="27">
        <v>5</v>
      </c>
      <c r="G378" s="27">
        <v>8</v>
      </c>
      <c r="H378" s="27">
        <v>8</v>
      </c>
      <c r="I378" s="27">
        <v>10</v>
      </c>
      <c r="J378" s="27">
        <v>12</v>
      </c>
      <c r="K378" s="27">
        <v>13</v>
      </c>
      <c r="L378" s="27">
        <v>15</v>
      </c>
      <c r="M378" s="27">
        <v>14</v>
      </c>
      <c r="N378" s="26">
        <v>14</v>
      </c>
      <c r="O378" s="27">
        <v>13</v>
      </c>
      <c r="P378" s="27">
        <v>12</v>
      </c>
      <c r="Q378" s="27">
        <v>13</v>
      </c>
      <c r="R378" s="27">
        <v>13</v>
      </c>
      <c r="S378" s="27">
        <v>11</v>
      </c>
      <c r="T378" s="27">
        <v>9</v>
      </c>
      <c r="U378" s="27">
        <v>12</v>
      </c>
      <c r="V378" s="27">
        <v>11</v>
      </c>
      <c r="W378" s="27">
        <v>12</v>
      </c>
      <c r="X378" s="27">
        <v>12</v>
      </c>
      <c r="Y378" s="27">
        <v>11</v>
      </c>
      <c r="Z378" s="21">
        <f t="shared" si="28"/>
        <v>257</v>
      </c>
    </row>
    <row r="379" spans="1:26" x14ac:dyDescent="0.25">
      <c r="A379" s="17">
        <f t="shared" ca="1" si="26"/>
        <v>693596</v>
      </c>
      <c r="B379" s="26">
        <v>11</v>
      </c>
      <c r="C379" s="27">
        <v>10</v>
      </c>
      <c r="D379" s="27">
        <v>12</v>
      </c>
      <c r="E379" s="27">
        <v>11</v>
      </c>
      <c r="F379" s="27">
        <v>10</v>
      </c>
      <c r="G379" s="27">
        <v>11</v>
      </c>
      <c r="H379" s="27">
        <v>10</v>
      </c>
      <c r="I379" s="27">
        <v>14</v>
      </c>
      <c r="J379" s="27">
        <v>14</v>
      </c>
      <c r="K379" s="27">
        <v>16</v>
      </c>
      <c r="L379" s="27">
        <v>17</v>
      </c>
      <c r="M379" s="27">
        <v>18</v>
      </c>
      <c r="N379" s="26">
        <v>18</v>
      </c>
      <c r="O379" s="27">
        <v>18</v>
      </c>
      <c r="P379" s="27">
        <v>20</v>
      </c>
      <c r="Q379" s="27">
        <v>19</v>
      </c>
      <c r="R379" s="27">
        <v>16</v>
      </c>
      <c r="S379" s="27">
        <v>14</v>
      </c>
      <c r="T379" s="27">
        <v>11</v>
      </c>
      <c r="U379" s="27">
        <v>11</v>
      </c>
      <c r="V379" s="27">
        <v>12</v>
      </c>
      <c r="W379" s="27">
        <v>11</v>
      </c>
      <c r="X379" s="27">
        <v>12</v>
      </c>
      <c r="Y379" s="27">
        <v>11</v>
      </c>
      <c r="Z379" s="21">
        <f t="shared" si="28"/>
        <v>327</v>
      </c>
    </row>
    <row r="380" spans="1:26" x14ac:dyDescent="0.25">
      <c r="A380" s="17">
        <f t="shared" ca="1" si="26"/>
        <v>693597</v>
      </c>
      <c r="B380" s="26">
        <v>9</v>
      </c>
      <c r="C380" s="27">
        <v>9</v>
      </c>
      <c r="D380" s="27">
        <v>9</v>
      </c>
      <c r="E380" s="27">
        <v>6</v>
      </c>
      <c r="F380" s="27">
        <v>6</v>
      </c>
      <c r="G380" s="27">
        <v>6</v>
      </c>
      <c r="H380" s="27">
        <v>7</v>
      </c>
      <c r="I380" s="27">
        <v>11</v>
      </c>
      <c r="J380" s="27">
        <v>13</v>
      </c>
      <c r="K380" s="27">
        <v>13</v>
      </c>
      <c r="L380" s="27">
        <v>16</v>
      </c>
      <c r="M380" s="27">
        <v>15</v>
      </c>
      <c r="N380" s="26">
        <v>16</v>
      </c>
      <c r="O380" s="27">
        <v>15</v>
      </c>
      <c r="P380" s="27">
        <v>16</v>
      </c>
      <c r="Q380" s="27">
        <v>16</v>
      </c>
      <c r="R380" s="27">
        <v>13</v>
      </c>
      <c r="S380" s="27">
        <v>13</v>
      </c>
      <c r="T380" s="27">
        <v>11</v>
      </c>
      <c r="U380" s="27">
        <v>14</v>
      </c>
      <c r="V380" s="27">
        <v>10</v>
      </c>
      <c r="W380" s="27">
        <v>9</v>
      </c>
      <c r="X380" s="27">
        <v>10</v>
      </c>
      <c r="Y380" s="27">
        <v>9</v>
      </c>
      <c r="Z380" s="21">
        <f t="shared" si="28"/>
        <v>272</v>
      </c>
    </row>
    <row r="381" spans="1:26" x14ac:dyDescent="0.25">
      <c r="A381" s="17" t="str">
        <f t="shared" ca="1" si="26"/>
        <v>Totaal</v>
      </c>
      <c r="B381" s="18">
        <f>IF(COUNT(B350:B380)&gt;0,AVERAGE(B350:B380),"")</f>
        <v>7.580645161290323</v>
      </c>
      <c r="C381" s="19">
        <f t="shared" ref="C381:Y381" si="29">IF(COUNT(C350:C380)&gt;0,AVERAGE(C350:C380),"")</f>
        <v>7.096774193548387</v>
      </c>
      <c r="D381" s="19">
        <f t="shared" si="29"/>
        <v>7.4838709677419351</v>
      </c>
      <c r="E381" s="19">
        <f t="shared" si="29"/>
        <v>7.258064516129032</v>
      </c>
      <c r="F381" s="19">
        <f t="shared" si="29"/>
        <v>7.258064516129032</v>
      </c>
      <c r="G381" s="19">
        <f t="shared" si="29"/>
        <v>7.258064516129032</v>
      </c>
      <c r="H381" s="19">
        <f t="shared" si="29"/>
        <v>7.741935483870968</v>
      </c>
      <c r="I381" s="19">
        <f t="shared" si="29"/>
        <v>10.064516129032258</v>
      </c>
      <c r="J381" s="19">
        <f t="shared" si="29"/>
        <v>11.903225806451612</v>
      </c>
      <c r="K381" s="19">
        <f t="shared" si="29"/>
        <v>12.741935483870968</v>
      </c>
      <c r="L381" s="19">
        <f t="shared" si="29"/>
        <v>13.32258064516129</v>
      </c>
      <c r="M381" s="19">
        <f t="shared" si="29"/>
        <v>13.32258064516129</v>
      </c>
      <c r="N381" s="18">
        <f t="shared" si="29"/>
        <v>13.129032258064516</v>
      </c>
      <c r="O381" s="19">
        <f t="shared" si="29"/>
        <v>12.67741935483871</v>
      </c>
      <c r="P381" s="19">
        <f t="shared" si="29"/>
        <v>12.612903225806452</v>
      </c>
      <c r="Q381" s="19">
        <f t="shared" si="29"/>
        <v>12.064516129032258</v>
      </c>
      <c r="R381" s="19">
        <f t="shared" si="29"/>
        <v>11.03225806451613</v>
      </c>
      <c r="S381" s="19">
        <f t="shared" si="29"/>
        <v>9.32258064516129</v>
      </c>
      <c r="T381" s="19">
        <f t="shared" si="29"/>
        <v>8.258064516129032</v>
      </c>
      <c r="U381" s="19">
        <f t="shared" si="29"/>
        <v>8.7096774193548381</v>
      </c>
      <c r="V381" s="19">
        <f t="shared" si="29"/>
        <v>8.32258064516129</v>
      </c>
      <c r="W381" s="19">
        <f t="shared" si="29"/>
        <v>7.4838709677419351</v>
      </c>
      <c r="X381" s="19">
        <f t="shared" si="29"/>
        <v>7.4516129032258061</v>
      </c>
      <c r="Y381" s="19">
        <f t="shared" si="29"/>
        <v>7.387096774193548</v>
      </c>
      <c r="Z381" s="20">
        <f>IF(COUNT(B381:Y381)&gt;0,AVERAGE(B381:Y381),"")</f>
        <v>9.6451612903225783</v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0" max="10" width="10.140625" bestFit="1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4" t="s">
        <v>0</v>
      </c>
      <c r="K3" s="46" t="s">
        <v>24</v>
      </c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5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8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  <c r="J5" s="36">
        <v>693458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6</v>
      </c>
      <c r="X5" s="4">
        <v>6</v>
      </c>
      <c r="Y5" s="4">
        <v>6</v>
      </c>
      <c r="Z5" s="4">
        <v>6</v>
      </c>
      <c r="AA5" s="4">
        <v>6</v>
      </c>
      <c r="AB5" s="4">
        <v>6</v>
      </c>
      <c r="AC5" s="4">
        <v>6</v>
      </c>
      <c r="AD5" s="4">
        <v>6</v>
      </c>
      <c r="AE5" s="4">
        <v>6</v>
      </c>
      <c r="AF5" s="4">
        <v>6</v>
      </c>
      <c r="AG5" s="4">
        <v>6</v>
      </c>
      <c r="AH5" s="4">
        <v>6</v>
      </c>
    </row>
    <row r="6" spans="1:34" ht="15.75" thickBot="1" x14ac:dyDescent="0.3">
      <c r="A6" s="28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  <c r="J6" s="37">
        <v>693459</v>
      </c>
      <c r="K6" s="6">
        <v>6</v>
      </c>
      <c r="L6" s="6">
        <v>6</v>
      </c>
      <c r="M6" s="6">
        <v>6</v>
      </c>
      <c r="N6" s="6">
        <v>6</v>
      </c>
      <c r="O6" s="6">
        <v>6</v>
      </c>
      <c r="P6" s="6">
        <v>6</v>
      </c>
      <c r="Q6" s="6">
        <v>6</v>
      </c>
      <c r="R6" s="6">
        <v>6</v>
      </c>
      <c r="S6" s="6">
        <v>6</v>
      </c>
      <c r="T6" s="6">
        <v>6</v>
      </c>
      <c r="U6" s="6">
        <v>6</v>
      </c>
      <c r="V6" s="6">
        <v>6</v>
      </c>
      <c r="W6" s="6">
        <v>6</v>
      </c>
      <c r="X6" s="6">
        <v>6</v>
      </c>
      <c r="Y6" s="6">
        <v>6</v>
      </c>
      <c r="Z6" s="6">
        <v>6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</v>
      </c>
      <c r="AG6" s="6">
        <v>0</v>
      </c>
      <c r="AH6" s="6">
        <v>0</v>
      </c>
    </row>
    <row r="7" spans="1:34" x14ac:dyDescent="0.25">
      <c r="A7" s="29">
        <v>2</v>
      </c>
      <c r="B7" s="14" t="s">
        <v>50</v>
      </c>
      <c r="D7" s="31" t="s">
        <v>78</v>
      </c>
      <c r="E7" s="31" t="s">
        <v>79</v>
      </c>
      <c r="G7" t="s">
        <v>13</v>
      </c>
      <c r="H7" s="4">
        <v>4</v>
      </c>
    </row>
    <row r="8" spans="1:34" x14ac:dyDescent="0.25">
      <c r="A8" s="29">
        <v>3</v>
      </c>
      <c r="B8" s="14" t="s">
        <v>51</v>
      </c>
      <c r="D8" s="31" t="s">
        <v>80</v>
      </c>
      <c r="E8" s="31" t="s">
        <v>81</v>
      </c>
      <c r="G8" t="s">
        <v>14</v>
      </c>
      <c r="H8" s="4">
        <v>6</v>
      </c>
    </row>
    <row r="9" spans="1:34" ht="15.75" thickBot="1" x14ac:dyDescent="0.3">
      <c r="A9" s="29">
        <v>4</v>
      </c>
      <c r="B9" t="s">
        <v>52</v>
      </c>
      <c r="D9" s="31" t="s">
        <v>82</v>
      </c>
      <c r="E9" s="31" t="s">
        <v>83</v>
      </c>
      <c r="G9" s="5" t="s">
        <v>15</v>
      </c>
      <c r="H9" s="6">
        <v>7</v>
      </c>
    </row>
    <row r="10" spans="1:34" x14ac:dyDescent="0.25">
      <c r="A10" s="29">
        <v>5</v>
      </c>
      <c r="B10" t="s">
        <v>53</v>
      </c>
      <c r="D10" s="31" t="s">
        <v>84</v>
      </c>
      <c r="E10" s="31" t="s">
        <v>85</v>
      </c>
    </row>
    <row r="11" spans="1:34" x14ac:dyDescent="0.25">
      <c r="A11" s="29">
        <v>6</v>
      </c>
      <c r="B11" t="s">
        <v>54</v>
      </c>
      <c r="D11" s="31" t="s">
        <v>86</v>
      </c>
      <c r="E11" s="31" t="s">
        <v>87</v>
      </c>
    </row>
    <row r="12" spans="1:34" x14ac:dyDescent="0.25">
      <c r="A12" s="29">
        <v>7</v>
      </c>
      <c r="B12" t="s">
        <v>55</v>
      </c>
      <c r="D12" s="31" t="s">
        <v>88</v>
      </c>
      <c r="E12" s="31" t="s">
        <v>89</v>
      </c>
    </row>
    <row r="13" spans="1:34" x14ac:dyDescent="0.25">
      <c r="A13" s="29">
        <v>8</v>
      </c>
      <c r="B13" t="s">
        <v>56</v>
      </c>
      <c r="D13" s="31" t="s">
        <v>90</v>
      </c>
      <c r="E13" s="31" t="s">
        <v>91</v>
      </c>
    </row>
    <row r="14" spans="1:34" x14ac:dyDescent="0.25">
      <c r="A14" s="29">
        <v>9</v>
      </c>
      <c r="B14" t="s">
        <v>75</v>
      </c>
      <c r="D14" s="31" t="s">
        <v>92</v>
      </c>
      <c r="E14" s="31" t="s">
        <v>93</v>
      </c>
    </row>
    <row r="15" spans="1:34" ht="15.75" thickBot="1" x14ac:dyDescent="0.3">
      <c r="A15" s="29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9">
        <v>11</v>
      </c>
      <c r="B16" t="s">
        <v>58</v>
      </c>
    </row>
    <row r="17" spans="1:2" x14ac:dyDescent="0.25">
      <c r="A17" s="29">
        <v>12</v>
      </c>
      <c r="B17" t="s">
        <v>59</v>
      </c>
    </row>
    <row r="18" spans="1:2" x14ac:dyDescent="0.25">
      <c r="A18" s="29">
        <v>13</v>
      </c>
      <c r="B18" t="s">
        <v>60</v>
      </c>
    </row>
    <row r="19" spans="1:2" x14ac:dyDescent="0.25">
      <c r="A19" s="29">
        <v>14</v>
      </c>
      <c r="B19" t="s">
        <v>61</v>
      </c>
    </row>
    <row r="20" spans="1:2" x14ac:dyDescent="0.25">
      <c r="A20" s="29">
        <v>15</v>
      </c>
      <c r="B20" t="s">
        <v>62</v>
      </c>
    </row>
    <row r="21" spans="1:2" x14ac:dyDescent="0.25">
      <c r="A21" s="29">
        <v>16</v>
      </c>
      <c r="B21" t="s">
        <v>63</v>
      </c>
    </row>
    <row r="22" spans="1:2" x14ac:dyDescent="0.25">
      <c r="A22" s="29">
        <v>17</v>
      </c>
      <c r="B22" t="s">
        <v>64</v>
      </c>
    </row>
    <row r="23" spans="1:2" x14ac:dyDescent="0.25">
      <c r="A23" s="29">
        <v>18</v>
      </c>
      <c r="B23" t="s">
        <v>65</v>
      </c>
    </row>
    <row r="24" spans="1:2" x14ac:dyDescent="0.25">
      <c r="A24" s="29">
        <v>19</v>
      </c>
      <c r="B24" t="s">
        <v>66</v>
      </c>
    </row>
    <row r="25" spans="1:2" x14ac:dyDescent="0.25">
      <c r="A25" s="29">
        <v>20</v>
      </c>
      <c r="B25" t="s">
        <v>67</v>
      </c>
    </row>
    <row r="26" spans="1:2" x14ac:dyDescent="0.25">
      <c r="A26" s="29">
        <v>21</v>
      </c>
      <c r="B26" t="s">
        <v>68</v>
      </c>
    </row>
    <row r="27" spans="1:2" x14ac:dyDescent="0.25">
      <c r="A27" s="29">
        <v>22</v>
      </c>
      <c r="B27" t="s">
        <v>69</v>
      </c>
    </row>
    <row r="28" spans="1:2" x14ac:dyDescent="0.25">
      <c r="A28" s="29">
        <v>23</v>
      </c>
      <c r="B28" t="s">
        <v>70</v>
      </c>
    </row>
    <row r="29" spans="1:2" x14ac:dyDescent="0.25">
      <c r="A29" s="29">
        <v>24</v>
      </c>
      <c r="B29" t="s">
        <v>71</v>
      </c>
    </row>
    <row r="30" spans="1:2" x14ac:dyDescent="0.25">
      <c r="A30" s="29">
        <v>25</v>
      </c>
      <c r="B30" t="s">
        <v>72</v>
      </c>
    </row>
    <row r="31" spans="1:2" ht="15.75" thickBot="1" x14ac:dyDescent="0.3">
      <c r="A31" s="30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TEXT(DATE(YEAR(Invoer!$A$5),1,1)+INT((ROWS(B$2:B2)-1)/24),"""18""jjmmdd")</f>
        <v>18980101</v>
      </c>
      <c r="C2" s="11" t="str">
        <f>INDEX(Data,2,2+MOD(ROWS(C$2:C2)-1,24))</f>
        <v>01.00</v>
      </c>
      <c r="D2" s="8" t="str">
        <f t="shared" ref="D2:D65" ca="1" si="1">IF(OR(ISBLANK(VLOOKUP(DATEVALUE("37"&amp;MID($B2,3,2)&amp;"-"&amp;MID($B2,5,2)&amp;"-"&amp;RIGHT($B2,2)),Data,MATCH(LEFT(VLOOKUP(D$1,Parameters,2,FALSE()),4)&amp;"*",OFFSET(Data,0,0,1),0)+MATCH($C2,OFFSET(Data,1,0,1),0)-2,FALSE())),ISTEXT(VLOOKUP(DATEVALUE("37"&amp;MID($B2,3,2)&amp;"-"&amp;MID($B2,5,2)&amp;"-"&amp;RIGHT($B2,2)),Data,MATCH(LEFT(VLOOKUP(D$1,Parameters,2,FALSE()),4)&amp;"*",OFFSET(Data,0,0,1),0)+MATCH($C2,OFFSET(Data,1,0,1),0)-2,FALSE()))),"—",VLOOKUP(DATEVALUE("37"&amp;MID($B2,3,2)&amp;"-"&amp;MID($B2,5,2)&amp;"-"&amp;RIGHT($B2,2)),Data,MATCH(LEFT(VLOOKUP(D$1,Parameters,2,FALSE()),4)&amp;"*",OFFSET(Data,0,0,1),0)+MATCH($C2,OFFSET(Data,1,0,1),0)-2,FALSE()))</f>
        <v>—</v>
      </c>
      <c r="E2" s="16">
        <f t="shared" ref="E2" ca="1" si="2">IF(OR(ISBLANK(VLOOKUP(DATEVALUE("37"&amp;MID($B2,3,2)&amp;"-"&amp;MID($B2,5,2)&amp;"-"&amp;RIGHT($B2,2)),Data,MATCH(LEFT(VLOOKUP(D$1,Parameters,2,FALSE()),4)&amp;"*",OFFSET(Data,0,0,1),0)+MATCH($C2,OFFSET(Data,1,0,1),0)-2,FALSE())),ISTEXT(VLOOKUP(DATEVALUE("37"&amp;MID($B2,3,2)&amp;"-"&amp;MID($B2,5,2)&amp;"-"&amp;RIGHT($B2,2)),Data,MATCH(LEFT(VLOOKUP(D$1,Parameters,2,FALSE()),4)&amp;"*",OFFSET(Data,0,0,1),0)+MATCH($C2,OFFSET(Data,1,0,1),0)-2,FALSE()))),Lacking,IF(ISNA(MATCH(DATEVALUE("37"&amp;MID($B2,3,2)&amp;"-"&amp;MID($B2,5,2)&amp;"-"&amp;RIGHT($B2,2)),OFFSET(Catalogus,0,0,,1),0)),Ok,VLOOKUP(DATEVALUE("37"&amp;MID($B2,3,2)&amp;"-"&amp;MID($B2,5,2)&amp;"-"&amp;RIGHT($B2,2)),Catalogus,MATCH(LEFT(VLOOKUP(MID(E$1,2,LEN(E$1)-1),Parameters,2,FALSE()),4)&amp;"*",OFFSET(Catalogus,0,0,1),0)+MATCH($C2,OFFSET(Catalogus,1,0,1),0)-2,FALSE())))</f>
        <v>7</v>
      </c>
    </row>
    <row r="3" spans="1:5" x14ac:dyDescent="0.25">
      <c r="A3" s="3">
        <f t="shared" si="0"/>
        <v>78989</v>
      </c>
      <c r="B3" t="str">
        <f ca="1">TEXT(DATE(YEAR(Invoer!$A$5),1,1)+INT((ROWS(B$2:B3)-1)/24),"""18""jjmmdd")</f>
        <v>18980101</v>
      </c>
      <c r="C3" s="11" t="str">
        <f>INDEX(Data,2,2+MOD(ROWS(C$2:C3)-1,24))</f>
        <v>02.00</v>
      </c>
      <c r="D3" s="8" t="str">
        <f t="shared" ca="1" si="1"/>
        <v>—</v>
      </c>
      <c r="E3" s="16">
        <f t="shared" ref="E3:E66" ca="1" si="3">IF(OR(ISBLANK(VLOOKUP(DATEVALUE("37"&amp;MID($B3,3,2)&amp;"-"&amp;MID($B3,5,2)&amp;"-"&amp;RIGHT($B3,2)),Data,MATCH(LEFT(VLOOKUP(D$1,Parameters,2,FALSE()),4)&amp;"*",OFFSET(Data,0,0,1),0)+MATCH($C3,OFFSET(Data,1,0,1),0)-2,FALSE())),ISTEXT(VLOOKUP(DATEVALUE("37"&amp;MID($B3,3,2)&amp;"-"&amp;MID($B3,5,2)&amp;"-"&amp;RIGHT($B3,2)),Data,MATCH(LEFT(VLOOKUP(D$1,Parameters,2,FALSE()),4)&amp;"*",OFFSET(Data,0,0,1),0)+MATCH($C3,OFFSET(Data,1,0,1),0)-2,FALSE()))),Lacking,IF(ISNA(MATCH(DATEVALUE("37"&amp;MID($B3,3,2)&amp;"-"&amp;MID($B3,5,2)&amp;"-"&amp;RIGHT($B3,2)),OFFSET(Catalogus,0,0,,1),0)),Ok,VLOOKUP(DATEVALUE("37"&amp;MID($B3,3,2)&amp;"-"&amp;MID($B3,5,2)&amp;"-"&amp;RIGHT($B3,2)),Catalogus,MATCH(LEFT(VLOOKUP(MID(E$1,2,LEN(E$1)-1),Parameters,2,FALSE()),4)&amp;"*",OFFSET(Catalogus,0,0,1),0)+MATCH($C3,OFFSET(Catalogus,1,0,1),0)-2,FALSE())))</f>
        <v>7</v>
      </c>
    </row>
    <row r="4" spans="1:5" x14ac:dyDescent="0.25">
      <c r="A4" s="3">
        <f t="shared" si="0"/>
        <v>78989</v>
      </c>
      <c r="B4" t="str">
        <f ca="1">TEXT(DATE(YEAR(Invoer!$A$5),1,1)+INT((ROWS(B$2:B4)-1)/24),"""18""jjmmdd")</f>
        <v>18980101</v>
      </c>
      <c r="C4" s="11" t="str">
        <f>INDEX(Data,2,2+MOD(ROWS(C$2:C4)-1,24))</f>
        <v>03.00</v>
      </c>
      <c r="D4" s="8" t="str">
        <f t="shared" ca="1" si="1"/>
        <v>—</v>
      </c>
      <c r="E4" s="16">
        <f t="shared" ca="1" si="3"/>
        <v>7</v>
      </c>
    </row>
    <row r="5" spans="1:5" x14ac:dyDescent="0.25">
      <c r="A5" s="3">
        <f t="shared" si="0"/>
        <v>78989</v>
      </c>
      <c r="B5" t="str">
        <f ca="1">TEXT(DATE(YEAR(Invoer!$A$5),1,1)+INT((ROWS(B$2:B5)-1)/24),"""18""jjmmdd")</f>
        <v>18980101</v>
      </c>
      <c r="C5" s="11" t="str">
        <f>INDEX(Data,2,2+MOD(ROWS(C$2:C5)-1,24))</f>
        <v>04.00</v>
      </c>
      <c r="D5" s="8" t="str">
        <f t="shared" ca="1" si="1"/>
        <v>—</v>
      </c>
      <c r="E5" s="16">
        <f t="shared" ca="1" si="3"/>
        <v>7</v>
      </c>
    </row>
    <row r="6" spans="1:5" x14ac:dyDescent="0.25">
      <c r="A6" s="3">
        <f t="shared" si="0"/>
        <v>78989</v>
      </c>
      <c r="B6" t="str">
        <f ca="1">TEXT(DATE(YEAR(Invoer!$A$5),1,1)+INT((ROWS(B$2:B6)-1)/24),"""18""jjmmdd")</f>
        <v>18980101</v>
      </c>
      <c r="C6" s="11" t="str">
        <f>INDEX(Data,2,2+MOD(ROWS(C$2:C6)-1,24))</f>
        <v>05.00</v>
      </c>
      <c r="D6" s="8" t="str">
        <f t="shared" ca="1" si="1"/>
        <v>—</v>
      </c>
      <c r="E6" s="16">
        <f t="shared" ca="1" si="3"/>
        <v>7</v>
      </c>
    </row>
    <row r="7" spans="1:5" x14ac:dyDescent="0.25">
      <c r="A7" s="3">
        <f t="shared" si="0"/>
        <v>78989</v>
      </c>
      <c r="B7" t="str">
        <f ca="1">TEXT(DATE(YEAR(Invoer!$A$5),1,1)+INT((ROWS(B$2:B7)-1)/24),"""18""jjmmdd")</f>
        <v>18980101</v>
      </c>
      <c r="C7" s="11" t="str">
        <f>INDEX(Data,2,2+MOD(ROWS(C$2:C7)-1,24))</f>
        <v>06.00</v>
      </c>
      <c r="D7" s="8" t="str">
        <f t="shared" ca="1" si="1"/>
        <v>—</v>
      </c>
      <c r="E7" s="16">
        <f t="shared" ca="1" si="3"/>
        <v>7</v>
      </c>
    </row>
    <row r="8" spans="1:5" x14ac:dyDescent="0.25">
      <c r="A8" s="3">
        <f t="shared" si="0"/>
        <v>78989</v>
      </c>
      <c r="B8" t="str">
        <f ca="1">TEXT(DATE(YEAR(Invoer!$A$5),1,1)+INT((ROWS(B$2:B8)-1)/24),"""18""jjmmdd")</f>
        <v>18980101</v>
      </c>
      <c r="C8" s="11" t="str">
        <f>INDEX(Data,2,2+MOD(ROWS(C$2:C8)-1,24))</f>
        <v>07.00</v>
      </c>
      <c r="D8" s="8" t="str">
        <f t="shared" ca="1" si="1"/>
        <v>—</v>
      </c>
      <c r="E8" s="16">
        <f t="shared" ca="1" si="3"/>
        <v>7</v>
      </c>
    </row>
    <row r="9" spans="1:5" x14ac:dyDescent="0.25">
      <c r="A9" s="3">
        <f t="shared" si="0"/>
        <v>78989</v>
      </c>
      <c r="B9" t="str">
        <f ca="1">TEXT(DATE(YEAR(Invoer!$A$5),1,1)+INT((ROWS(B$2:B9)-1)/24),"""18""jjmmdd")</f>
        <v>18980101</v>
      </c>
      <c r="C9" s="11" t="str">
        <f>INDEX(Data,2,2+MOD(ROWS(C$2:C9)-1,24))</f>
        <v>08.00</v>
      </c>
      <c r="D9" s="8" t="str">
        <f t="shared" ca="1" si="1"/>
        <v>—</v>
      </c>
      <c r="E9" s="16">
        <f t="shared" ca="1" si="3"/>
        <v>7</v>
      </c>
    </row>
    <row r="10" spans="1:5" x14ac:dyDescent="0.25">
      <c r="A10" s="3">
        <f t="shared" si="0"/>
        <v>78989</v>
      </c>
      <c r="B10" t="str">
        <f ca="1">TEXT(DATE(YEAR(Invoer!$A$5),1,1)+INT((ROWS(B$2:B10)-1)/24),"""18""jjmmdd")</f>
        <v>18980101</v>
      </c>
      <c r="C10" s="11" t="str">
        <f>INDEX(Data,2,2+MOD(ROWS(C$2:C10)-1,24))</f>
        <v>09.00</v>
      </c>
      <c r="D10" s="8" t="str">
        <f t="shared" ca="1" si="1"/>
        <v>—</v>
      </c>
      <c r="E10" s="16">
        <f t="shared" ca="1" si="3"/>
        <v>7</v>
      </c>
    </row>
    <row r="11" spans="1:5" x14ac:dyDescent="0.25">
      <c r="A11" s="3">
        <f t="shared" si="0"/>
        <v>78989</v>
      </c>
      <c r="B11" t="str">
        <f ca="1">TEXT(DATE(YEAR(Invoer!$A$5),1,1)+INT((ROWS(B$2:B11)-1)/24),"""18""jjmmdd")</f>
        <v>18980101</v>
      </c>
      <c r="C11" s="11" t="str">
        <f>INDEX(Data,2,2+MOD(ROWS(C$2:C11)-1,24))</f>
        <v>10.00</v>
      </c>
      <c r="D11" s="8" t="str">
        <f t="shared" ca="1" si="1"/>
        <v>—</v>
      </c>
      <c r="E11" s="16">
        <f t="shared" ca="1" si="3"/>
        <v>7</v>
      </c>
    </row>
    <row r="12" spans="1:5" x14ac:dyDescent="0.25">
      <c r="A12" s="3">
        <f t="shared" si="0"/>
        <v>78989</v>
      </c>
      <c r="B12" t="str">
        <f ca="1">TEXT(DATE(YEAR(Invoer!$A$5),1,1)+INT((ROWS(B$2:B12)-1)/24),"""18""jjmmdd")</f>
        <v>18980101</v>
      </c>
      <c r="C12" s="11" t="str">
        <f>INDEX(Data,2,2+MOD(ROWS(C$2:C12)-1,24))</f>
        <v>11.00</v>
      </c>
      <c r="D12" s="8" t="str">
        <f t="shared" ca="1" si="1"/>
        <v>—</v>
      </c>
      <c r="E12" s="16">
        <f t="shared" ca="1" si="3"/>
        <v>7</v>
      </c>
    </row>
    <row r="13" spans="1:5" x14ac:dyDescent="0.25">
      <c r="A13" s="3">
        <f t="shared" si="0"/>
        <v>78989</v>
      </c>
      <c r="B13" t="str">
        <f ca="1">TEXT(DATE(YEAR(Invoer!$A$5),1,1)+INT((ROWS(B$2:B13)-1)/24),"""18""jjmmdd")</f>
        <v>18980101</v>
      </c>
      <c r="C13" s="11" t="str">
        <f>INDEX(Data,2,2+MOD(ROWS(C$2:C13)-1,24))</f>
        <v>12.00</v>
      </c>
      <c r="D13" s="8" t="str">
        <f t="shared" ca="1" si="1"/>
        <v>—</v>
      </c>
      <c r="E13" s="16">
        <f t="shared" ca="1" si="3"/>
        <v>7</v>
      </c>
    </row>
    <row r="14" spans="1:5" x14ac:dyDescent="0.25">
      <c r="A14" s="3">
        <f t="shared" si="0"/>
        <v>78989</v>
      </c>
      <c r="B14" t="str">
        <f ca="1">TEXT(DATE(YEAR(Invoer!$A$5),1,1)+INT((ROWS(B$2:B14)-1)/24),"""18""jjmmdd")</f>
        <v>18980101</v>
      </c>
      <c r="C14" s="11" t="str">
        <f>INDEX(Data,2,2+MOD(ROWS(C$2:C14)-1,24))</f>
        <v>13.00</v>
      </c>
      <c r="D14" s="8" t="str">
        <f t="shared" ca="1" si="1"/>
        <v>—</v>
      </c>
      <c r="E14" s="16">
        <f t="shared" ca="1" si="3"/>
        <v>7</v>
      </c>
    </row>
    <row r="15" spans="1:5" x14ac:dyDescent="0.25">
      <c r="A15" s="3">
        <f t="shared" si="0"/>
        <v>78989</v>
      </c>
      <c r="B15" t="str">
        <f ca="1">TEXT(DATE(YEAR(Invoer!$A$5),1,1)+INT((ROWS(B$2:B15)-1)/24),"""18""jjmmdd")</f>
        <v>18980101</v>
      </c>
      <c r="C15" s="11" t="str">
        <f>INDEX(Data,2,2+MOD(ROWS(C$2:C15)-1,24))</f>
        <v>14.00</v>
      </c>
      <c r="D15" s="8" t="str">
        <f t="shared" ca="1" si="1"/>
        <v>—</v>
      </c>
      <c r="E15" s="16">
        <f t="shared" ca="1" si="3"/>
        <v>7</v>
      </c>
    </row>
    <row r="16" spans="1:5" x14ac:dyDescent="0.25">
      <c r="A16" s="3">
        <f t="shared" si="0"/>
        <v>78989</v>
      </c>
      <c r="B16" t="str">
        <f ca="1">TEXT(DATE(YEAR(Invoer!$A$5),1,1)+INT((ROWS(B$2:B16)-1)/24),"""18""jjmmdd")</f>
        <v>18980101</v>
      </c>
      <c r="C16" s="11" t="str">
        <f>INDEX(Data,2,2+MOD(ROWS(C$2:C16)-1,24))</f>
        <v>15.00</v>
      </c>
      <c r="D16" s="8" t="str">
        <f t="shared" ca="1" si="1"/>
        <v>—</v>
      </c>
      <c r="E16" s="16">
        <f t="shared" ca="1" si="3"/>
        <v>7</v>
      </c>
    </row>
    <row r="17" spans="1:5" x14ac:dyDescent="0.25">
      <c r="A17" s="3">
        <f t="shared" si="0"/>
        <v>78989</v>
      </c>
      <c r="B17" t="str">
        <f ca="1">TEXT(DATE(YEAR(Invoer!$A$5),1,1)+INT((ROWS(B$2:B17)-1)/24),"""18""jjmmdd")</f>
        <v>18980101</v>
      </c>
      <c r="C17" s="11" t="str">
        <f>INDEX(Data,2,2+MOD(ROWS(C$2:C17)-1,24))</f>
        <v>16.00</v>
      </c>
      <c r="D17" s="8" t="str">
        <f t="shared" ca="1" si="1"/>
        <v>—</v>
      </c>
      <c r="E17" s="16">
        <f t="shared" ca="1" si="3"/>
        <v>7</v>
      </c>
    </row>
    <row r="18" spans="1:5" x14ac:dyDescent="0.25">
      <c r="A18" s="3">
        <f t="shared" si="0"/>
        <v>78989</v>
      </c>
      <c r="B18" t="str">
        <f ca="1">TEXT(DATE(YEAR(Invoer!$A$5),1,1)+INT((ROWS(B$2:B18)-1)/24),"""18""jjmmdd")</f>
        <v>18980101</v>
      </c>
      <c r="C18" s="11" t="str">
        <f>INDEX(Data,2,2+MOD(ROWS(C$2:C18)-1,24))</f>
        <v>17.00</v>
      </c>
      <c r="D18" s="8" t="str">
        <f t="shared" ca="1" si="1"/>
        <v>—</v>
      </c>
      <c r="E18" s="16">
        <f t="shared" ca="1" si="3"/>
        <v>7</v>
      </c>
    </row>
    <row r="19" spans="1:5" x14ac:dyDescent="0.25">
      <c r="A19" s="3">
        <f t="shared" si="0"/>
        <v>78989</v>
      </c>
      <c r="B19" t="str">
        <f ca="1">TEXT(DATE(YEAR(Invoer!$A$5),1,1)+INT((ROWS(B$2:B19)-1)/24),"""18""jjmmdd")</f>
        <v>18980101</v>
      </c>
      <c r="C19" s="11" t="str">
        <f>INDEX(Data,2,2+MOD(ROWS(C$2:C19)-1,24))</f>
        <v>18.00</v>
      </c>
      <c r="D19" s="8" t="str">
        <f t="shared" ca="1" si="1"/>
        <v>—</v>
      </c>
      <c r="E19" s="16">
        <f t="shared" ca="1" si="3"/>
        <v>7</v>
      </c>
    </row>
    <row r="20" spans="1:5" x14ac:dyDescent="0.25">
      <c r="A20" s="3">
        <f t="shared" si="0"/>
        <v>78989</v>
      </c>
      <c r="B20" t="str">
        <f ca="1">TEXT(DATE(YEAR(Invoer!$A$5),1,1)+INT((ROWS(B$2:B20)-1)/24),"""18""jjmmdd")</f>
        <v>18980101</v>
      </c>
      <c r="C20" s="11" t="str">
        <f>INDEX(Data,2,2+MOD(ROWS(C$2:C20)-1,24))</f>
        <v>19.00</v>
      </c>
      <c r="D20" s="8" t="str">
        <f t="shared" ca="1" si="1"/>
        <v>—</v>
      </c>
      <c r="E20" s="16">
        <f t="shared" ca="1" si="3"/>
        <v>7</v>
      </c>
    </row>
    <row r="21" spans="1:5" x14ac:dyDescent="0.25">
      <c r="A21" s="3">
        <f t="shared" si="0"/>
        <v>78989</v>
      </c>
      <c r="B21" t="str">
        <f ca="1">TEXT(DATE(YEAR(Invoer!$A$5),1,1)+INT((ROWS(B$2:B21)-1)/24),"""18""jjmmdd")</f>
        <v>18980101</v>
      </c>
      <c r="C21" s="11" t="str">
        <f>INDEX(Data,2,2+MOD(ROWS(C$2:C21)-1,24))</f>
        <v>20.00</v>
      </c>
      <c r="D21" s="8" t="str">
        <f t="shared" ca="1" si="1"/>
        <v>—</v>
      </c>
      <c r="E21" s="16">
        <f t="shared" ca="1" si="3"/>
        <v>7</v>
      </c>
    </row>
    <row r="22" spans="1:5" x14ac:dyDescent="0.25">
      <c r="A22" s="3">
        <f t="shared" si="0"/>
        <v>78989</v>
      </c>
      <c r="B22" t="str">
        <f ca="1">TEXT(DATE(YEAR(Invoer!$A$5),1,1)+INT((ROWS(B$2:B22)-1)/24),"""18""jjmmdd")</f>
        <v>18980101</v>
      </c>
      <c r="C22" s="11" t="str">
        <f>INDEX(Data,2,2+MOD(ROWS(C$2:C22)-1,24))</f>
        <v>21.00</v>
      </c>
      <c r="D22" s="8" t="str">
        <f t="shared" ca="1" si="1"/>
        <v>—</v>
      </c>
      <c r="E22" s="16">
        <f t="shared" ca="1" si="3"/>
        <v>7</v>
      </c>
    </row>
    <row r="23" spans="1:5" x14ac:dyDescent="0.25">
      <c r="A23" s="3">
        <f t="shared" si="0"/>
        <v>78989</v>
      </c>
      <c r="B23" t="str">
        <f ca="1">TEXT(DATE(YEAR(Invoer!$A$5),1,1)+INT((ROWS(B$2:B23)-1)/24),"""18""jjmmdd")</f>
        <v>18980101</v>
      </c>
      <c r="C23" s="11" t="str">
        <f>INDEX(Data,2,2+MOD(ROWS(C$2:C23)-1,24))</f>
        <v>22.00</v>
      </c>
      <c r="D23" s="8" t="str">
        <f t="shared" ca="1" si="1"/>
        <v>—</v>
      </c>
      <c r="E23" s="16">
        <f t="shared" ca="1" si="3"/>
        <v>7</v>
      </c>
    </row>
    <row r="24" spans="1:5" x14ac:dyDescent="0.25">
      <c r="A24" s="3">
        <f t="shared" si="0"/>
        <v>78989</v>
      </c>
      <c r="B24" t="str">
        <f ca="1">TEXT(DATE(YEAR(Invoer!$A$5),1,1)+INT((ROWS(B$2:B24)-1)/24),"""18""jjmmdd")</f>
        <v>18980101</v>
      </c>
      <c r="C24" s="11" t="str">
        <f>INDEX(Data,2,2+MOD(ROWS(C$2:C24)-1,24))</f>
        <v>23.00</v>
      </c>
      <c r="D24" s="8" t="str">
        <f t="shared" ca="1" si="1"/>
        <v>—</v>
      </c>
      <c r="E24" s="16">
        <f t="shared" ca="1" si="3"/>
        <v>7</v>
      </c>
    </row>
    <row r="25" spans="1:5" x14ac:dyDescent="0.25">
      <c r="A25" s="3">
        <f t="shared" si="0"/>
        <v>78989</v>
      </c>
      <c r="B25" t="str">
        <f ca="1">TEXT(DATE(YEAR(Invoer!$A$5),1,1)+INT((ROWS(B$2:B25)-1)/24),"""18""jjmmdd")</f>
        <v>18980101</v>
      </c>
      <c r="C25" s="11" t="str">
        <f>INDEX(Data,2,2+MOD(ROWS(C$2:C25)-1,24))</f>
        <v>24.00</v>
      </c>
      <c r="D25" s="8" t="str">
        <f t="shared" ca="1" si="1"/>
        <v>—</v>
      </c>
      <c r="E25" s="16">
        <f t="shared" ca="1" si="3"/>
        <v>7</v>
      </c>
    </row>
    <row r="26" spans="1:5" x14ac:dyDescent="0.25">
      <c r="A26" s="3">
        <f t="shared" si="0"/>
        <v>78989</v>
      </c>
      <c r="B26" t="str">
        <f ca="1">TEXT(DATE(YEAR(Invoer!$A$5),1,1)+INT((ROWS(B$2:B26)-1)/24),"""18""jjmmdd")</f>
        <v>18980102</v>
      </c>
      <c r="C26" s="11" t="str">
        <f>INDEX(Data,2,2+MOD(ROWS(C$2:C26)-1,24))</f>
        <v>01.00</v>
      </c>
      <c r="D26" s="8" t="str">
        <f t="shared" ca="1" si="1"/>
        <v>—</v>
      </c>
      <c r="E26" s="16">
        <f t="shared" ca="1" si="3"/>
        <v>7</v>
      </c>
    </row>
    <row r="27" spans="1:5" x14ac:dyDescent="0.25">
      <c r="A27" s="3">
        <f t="shared" si="0"/>
        <v>78989</v>
      </c>
      <c r="B27" t="str">
        <f ca="1">TEXT(DATE(YEAR(Invoer!$A$5),1,1)+INT((ROWS(B$2:B27)-1)/24),"""18""jjmmdd")</f>
        <v>18980102</v>
      </c>
      <c r="C27" s="11" t="str">
        <f>INDEX(Data,2,2+MOD(ROWS(C$2:C27)-1,24))</f>
        <v>02.00</v>
      </c>
      <c r="D27" s="8" t="str">
        <f t="shared" ca="1" si="1"/>
        <v>—</v>
      </c>
      <c r="E27" s="16">
        <f t="shared" ca="1" si="3"/>
        <v>7</v>
      </c>
    </row>
    <row r="28" spans="1:5" x14ac:dyDescent="0.25">
      <c r="A28" s="3">
        <f t="shared" si="0"/>
        <v>78989</v>
      </c>
      <c r="B28" t="str">
        <f ca="1">TEXT(DATE(YEAR(Invoer!$A$5),1,1)+INT((ROWS(B$2:B28)-1)/24),"""18""jjmmdd")</f>
        <v>18980102</v>
      </c>
      <c r="C28" s="11" t="str">
        <f>INDEX(Data,2,2+MOD(ROWS(C$2:C28)-1,24))</f>
        <v>03.00</v>
      </c>
      <c r="D28" s="8" t="str">
        <f t="shared" ca="1" si="1"/>
        <v>—</v>
      </c>
      <c r="E28" s="16">
        <f t="shared" ca="1" si="3"/>
        <v>7</v>
      </c>
    </row>
    <row r="29" spans="1:5" x14ac:dyDescent="0.25">
      <c r="A29" s="3">
        <f t="shared" si="0"/>
        <v>78989</v>
      </c>
      <c r="B29" t="str">
        <f ca="1">TEXT(DATE(YEAR(Invoer!$A$5),1,1)+INT((ROWS(B$2:B29)-1)/24),"""18""jjmmdd")</f>
        <v>18980102</v>
      </c>
      <c r="C29" s="11" t="str">
        <f>INDEX(Data,2,2+MOD(ROWS(C$2:C29)-1,24))</f>
        <v>04.00</v>
      </c>
      <c r="D29" s="8" t="str">
        <f t="shared" ca="1" si="1"/>
        <v>—</v>
      </c>
      <c r="E29" s="16">
        <f t="shared" ca="1" si="3"/>
        <v>7</v>
      </c>
    </row>
    <row r="30" spans="1:5" x14ac:dyDescent="0.25">
      <c r="A30" s="3">
        <f t="shared" si="0"/>
        <v>78989</v>
      </c>
      <c r="B30" t="str">
        <f ca="1">TEXT(DATE(YEAR(Invoer!$A$5),1,1)+INT((ROWS(B$2:B30)-1)/24),"""18""jjmmdd")</f>
        <v>18980102</v>
      </c>
      <c r="C30" s="11" t="str">
        <f>INDEX(Data,2,2+MOD(ROWS(C$2:C30)-1,24))</f>
        <v>05.00</v>
      </c>
      <c r="D30" s="8" t="str">
        <f t="shared" ca="1" si="1"/>
        <v>—</v>
      </c>
      <c r="E30" s="16">
        <f t="shared" ca="1" si="3"/>
        <v>7</v>
      </c>
    </row>
    <row r="31" spans="1:5" x14ac:dyDescent="0.25">
      <c r="A31" s="3">
        <f t="shared" si="0"/>
        <v>78989</v>
      </c>
      <c r="B31" t="str">
        <f ca="1">TEXT(DATE(YEAR(Invoer!$A$5),1,1)+INT((ROWS(B$2:B31)-1)/24),"""18""jjmmdd")</f>
        <v>18980102</v>
      </c>
      <c r="C31" s="11" t="str">
        <f>INDEX(Data,2,2+MOD(ROWS(C$2:C31)-1,24))</f>
        <v>06.00</v>
      </c>
      <c r="D31" s="8" t="str">
        <f t="shared" ca="1" si="1"/>
        <v>—</v>
      </c>
      <c r="E31" s="16">
        <f t="shared" ca="1" si="3"/>
        <v>7</v>
      </c>
    </row>
    <row r="32" spans="1:5" x14ac:dyDescent="0.25">
      <c r="A32" s="3">
        <f t="shared" si="0"/>
        <v>78989</v>
      </c>
      <c r="B32" t="str">
        <f ca="1">TEXT(DATE(YEAR(Invoer!$A$5),1,1)+INT((ROWS(B$2:B32)-1)/24),"""18""jjmmdd")</f>
        <v>18980102</v>
      </c>
      <c r="C32" s="11" t="str">
        <f>INDEX(Data,2,2+MOD(ROWS(C$2:C32)-1,24))</f>
        <v>07.00</v>
      </c>
      <c r="D32" s="8" t="str">
        <f t="shared" ca="1" si="1"/>
        <v>—</v>
      </c>
      <c r="E32" s="16">
        <f t="shared" ca="1" si="3"/>
        <v>7</v>
      </c>
    </row>
    <row r="33" spans="1:5" x14ac:dyDescent="0.25">
      <c r="A33" s="3">
        <f t="shared" si="0"/>
        <v>78989</v>
      </c>
      <c r="B33" t="str">
        <f ca="1">TEXT(DATE(YEAR(Invoer!$A$5),1,1)+INT((ROWS(B$2:B33)-1)/24),"""18""jjmmdd")</f>
        <v>18980102</v>
      </c>
      <c r="C33" s="11" t="str">
        <f>INDEX(Data,2,2+MOD(ROWS(C$2:C33)-1,24))</f>
        <v>08.00</v>
      </c>
      <c r="D33" s="8" t="str">
        <f t="shared" ca="1" si="1"/>
        <v>—</v>
      </c>
      <c r="E33" s="16">
        <f t="shared" ca="1" si="3"/>
        <v>7</v>
      </c>
    </row>
    <row r="34" spans="1:5" x14ac:dyDescent="0.25">
      <c r="A34" s="3">
        <f t="shared" si="0"/>
        <v>78989</v>
      </c>
      <c r="B34" t="str">
        <f ca="1">TEXT(DATE(YEAR(Invoer!$A$5),1,1)+INT((ROWS(B$2:B34)-1)/24),"""18""jjmmdd")</f>
        <v>18980102</v>
      </c>
      <c r="C34" s="11" t="str">
        <f>INDEX(Data,2,2+MOD(ROWS(C$2:C34)-1,24))</f>
        <v>09.00</v>
      </c>
      <c r="D34" s="8" t="str">
        <f t="shared" ca="1" si="1"/>
        <v>—</v>
      </c>
      <c r="E34" s="16">
        <f t="shared" ca="1" si="3"/>
        <v>7</v>
      </c>
    </row>
    <row r="35" spans="1:5" x14ac:dyDescent="0.25">
      <c r="A35" s="3">
        <f t="shared" si="0"/>
        <v>78989</v>
      </c>
      <c r="B35" t="str">
        <f ca="1">TEXT(DATE(YEAR(Invoer!$A$5),1,1)+INT((ROWS(B$2:B35)-1)/24),"""18""jjmmdd")</f>
        <v>18980102</v>
      </c>
      <c r="C35" s="11" t="str">
        <f>INDEX(Data,2,2+MOD(ROWS(C$2:C35)-1,24))</f>
        <v>10.00</v>
      </c>
      <c r="D35" s="8" t="str">
        <f t="shared" ca="1" si="1"/>
        <v>—</v>
      </c>
      <c r="E35" s="16">
        <f t="shared" ca="1" si="3"/>
        <v>7</v>
      </c>
    </row>
    <row r="36" spans="1:5" x14ac:dyDescent="0.25">
      <c r="A36" s="3">
        <f t="shared" si="0"/>
        <v>78989</v>
      </c>
      <c r="B36" t="str">
        <f ca="1">TEXT(DATE(YEAR(Invoer!$A$5),1,1)+INT((ROWS(B$2:B36)-1)/24),"""18""jjmmdd")</f>
        <v>18980102</v>
      </c>
      <c r="C36" s="11" t="str">
        <f>INDEX(Data,2,2+MOD(ROWS(C$2:C36)-1,24))</f>
        <v>11.00</v>
      </c>
      <c r="D36" s="8" t="str">
        <f t="shared" ca="1" si="1"/>
        <v>—</v>
      </c>
      <c r="E36" s="16">
        <f t="shared" ca="1" si="3"/>
        <v>7</v>
      </c>
    </row>
    <row r="37" spans="1:5" x14ac:dyDescent="0.25">
      <c r="A37" s="3">
        <f t="shared" si="0"/>
        <v>78989</v>
      </c>
      <c r="B37" t="str">
        <f ca="1">TEXT(DATE(YEAR(Invoer!$A$5),1,1)+INT((ROWS(B$2:B37)-1)/24),"""18""jjmmdd")</f>
        <v>18980102</v>
      </c>
      <c r="C37" s="11" t="str">
        <f>INDEX(Data,2,2+MOD(ROWS(C$2:C37)-1,24))</f>
        <v>12.00</v>
      </c>
      <c r="D37" s="8" t="str">
        <f t="shared" ca="1" si="1"/>
        <v>—</v>
      </c>
      <c r="E37" s="16">
        <f t="shared" ca="1" si="3"/>
        <v>7</v>
      </c>
    </row>
    <row r="38" spans="1:5" x14ac:dyDescent="0.25">
      <c r="A38" s="3">
        <f t="shared" si="0"/>
        <v>78989</v>
      </c>
      <c r="B38" t="str">
        <f ca="1">TEXT(DATE(YEAR(Invoer!$A$5),1,1)+INT((ROWS(B$2:B38)-1)/24),"""18""jjmmdd")</f>
        <v>18980102</v>
      </c>
      <c r="C38" s="11" t="str">
        <f>INDEX(Data,2,2+MOD(ROWS(C$2:C38)-1,24))</f>
        <v>13.00</v>
      </c>
      <c r="D38" s="8" t="str">
        <f t="shared" ca="1" si="1"/>
        <v>—</v>
      </c>
      <c r="E38" s="16">
        <f t="shared" ca="1" si="3"/>
        <v>7</v>
      </c>
    </row>
    <row r="39" spans="1:5" x14ac:dyDescent="0.25">
      <c r="A39" s="3">
        <f t="shared" si="0"/>
        <v>78989</v>
      </c>
      <c r="B39" t="str">
        <f ca="1">TEXT(DATE(YEAR(Invoer!$A$5),1,1)+INT((ROWS(B$2:B39)-1)/24),"""18""jjmmdd")</f>
        <v>18980102</v>
      </c>
      <c r="C39" s="11" t="str">
        <f>INDEX(Data,2,2+MOD(ROWS(C$2:C39)-1,24))</f>
        <v>14.00</v>
      </c>
      <c r="D39" s="8" t="str">
        <f t="shared" ca="1" si="1"/>
        <v>—</v>
      </c>
      <c r="E39" s="16">
        <f t="shared" ca="1" si="3"/>
        <v>7</v>
      </c>
    </row>
    <row r="40" spans="1:5" x14ac:dyDescent="0.25">
      <c r="A40" s="3">
        <f t="shared" si="0"/>
        <v>78989</v>
      </c>
      <c r="B40" t="str">
        <f ca="1">TEXT(DATE(YEAR(Invoer!$A$5),1,1)+INT((ROWS(B$2:B40)-1)/24),"""18""jjmmdd")</f>
        <v>18980102</v>
      </c>
      <c r="C40" s="11" t="str">
        <f>INDEX(Data,2,2+MOD(ROWS(C$2:C40)-1,24))</f>
        <v>15.00</v>
      </c>
      <c r="D40" s="8" t="str">
        <f t="shared" ca="1" si="1"/>
        <v>—</v>
      </c>
      <c r="E40" s="16">
        <f t="shared" ca="1" si="3"/>
        <v>7</v>
      </c>
    </row>
    <row r="41" spans="1:5" x14ac:dyDescent="0.25">
      <c r="A41" s="3">
        <f t="shared" si="0"/>
        <v>78989</v>
      </c>
      <c r="B41" t="str">
        <f ca="1">TEXT(DATE(YEAR(Invoer!$A$5),1,1)+INT((ROWS(B$2:B41)-1)/24),"""18""jjmmdd")</f>
        <v>18980102</v>
      </c>
      <c r="C41" s="11" t="str">
        <f>INDEX(Data,2,2+MOD(ROWS(C$2:C41)-1,24))</f>
        <v>16.00</v>
      </c>
      <c r="D41" s="8" t="str">
        <f t="shared" ca="1" si="1"/>
        <v>—</v>
      </c>
      <c r="E41" s="16">
        <f t="shared" ca="1" si="3"/>
        <v>7</v>
      </c>
    </row>
    <row r="42" spans="1:5" x14ac:dyDescent="0.25">
      <c r="A42" s="3">
        <f t="shared" si="0"/>
        <v>78989</v>
      </c>
      <c r="B42" t="str">
        <f ca="1">TEXT(DATE(YEAR(Invoer!$A$5),1,1)+INT((ROWS(B$2:B42)-1)/24),"""18""jjmmdd")</f>
        <v>18980102</v>
      </c>
      <c r="C42" s="11" t="str">
        <f>INDEX(Data,2,2+MOD(ROWS(C$2:C42)-1,24))</f>
        <v>17.00</v>
      </c>
      <c r="D42" s="8" t="str">
        <f t="shared" ca="1" si="1"/>
        <v>—</v>
      </c>
      <c r="E42" s="16">
        <f t="shared" ca="1" si="3"/>
        <v>7</v>
      </c>
    </row>
    <row r="43" spans="1:5" x14ac:dyDescent="0.25">
      <c r="A43" s="3">
        <f t="shared" si="0"/>
        <v>78989</v>
      </c>
      <c r="B43" t="str">
        <f ca="1">TEXT(DATE(YEAR(Invoer!$A$5),1,1)+INT((ROWS(B$2:B43)-1)/24),"""18""jjmmdd")</f>
        <v>18980102</v>
      </c>
      <c r="C43" s="11" t="str">
        <f>INDEX(Data,2,2+MOD(ROWS(C$2:C43)-1,24))</f>
        <v>18.00</v>
      </c>
      <c r="D43" s="8" t="str">
        <f t="shared" ca="1" si="1"/>
        <v>—</v>
      </c>
      <c r="E43" s="16">
        <f t="shared" ca="1" si="3"/>
        <v>7</v>
      </c>
    </row>
    <row r="44" spans="1:5" x14ac:dyDescent="0.25">
      <c r="A44" s="3">
        <f t="shared" si="0"/>
        <v>78989</v>
      </c>
      <c r="B44" t="str">
        <f ca="1">TEXT(DATE(YEAR(Invoer!$A$5),1,1)+INT((ROWS(B$2:B44)-1)/24),"""18""jjmmdd")</f>
        <v>18980102</v>
      </c>
      <c r="C44" s="11" t="str">
        <f>INDEX(Data,2,2+MOD(ROWS(C$2:C44)-1,24))</f>
        <v>19.00</v>
      </c>
      <c r="D44" s="8" t="str">
        <f t="shared" ca="1" si="1"/>
        <v>—</v>
      </c>
      <c r="E44" s="16">
        <f t="shared" ca="1" si="3"/>
        <v>7</v>
      </c>
    </row>
    <row r="45" spans="1:5" x14ac:dyDescent="0.25">
      <c r="A45" s="3">
        <f t="shared" si="0"/>
        <v>78989</v>
      </c>
      <c r="B45" t="str">
        <f ca="1">TEXT(DATE(YEAR(Invoer!$A$5),1,1)+INT((ROWS(B$2:B45)-1)/24),"""18""jjmmdd")</f>
        <v>18980102</v>
      </c>
      <c r="C45" s="11" t="str">
        <f>INDEX(Data,2,2+MOD(ROWS(C$2:C45)-1,24))</f>
        <v>20.00</v>
      </c>
      <c r="D45" s="8" t="str">
        <f t="shared" ca="1" si="1"/>
        <v>—</v>
      </c>
      <c r="E45" s="16">
        <f t="shared" ca="1" si="3"/>
        <v>7</v>
      </c>
    </row>
    <row r="46" spans="1:5" x14ac:dyDescent="0.25">
      <c r="A46" s="3">
        <f t="shared" si="0"/>
        <v>78989</v>
      </c>
      <c r="B46" t="str">
        <f ca="1">TEXT(DATE(YEAR(Invoer!$A$5),1,1)+INT((ROWS(B$2:B46)-1)/24),"""18""jjmmdd")</f>
        <v>18980102</v>
      </c>
      <c r="C46" s="11" t="str">
        <f>INDEX(Data,2,2+MOD(ROWS(C$2:C46)-1,24))</f>
        <v>21.00</v>
      </c>
      <c r="D46" s="8" t="str">
        <f t="shared" ca="1" si="1"/>
        <v>—</v>
      </c>
      <c r="E46" s="16">
        <f t="shared" ca="1" si="3"/>
        <v>7</v>
      </c>
    </row>
    <row r="47" spans="1:5" x14ac:dyDescent="0.25">
      <c r="A47" s="3">
        <f t="shared" si="0"/>
        <v>78989</v>
      </c>
      <c r="B47" t="str">
        <f ca="1">TEXT(DATE(YEAR(Invoer!$A$5),1,1)+INT((ROWS(B$2:B47)-1)/24),"""18""jjmmdd")</f>
        <v>18980102</v>
      </c>
      <c r="C47" s="11" t="str">
        <f>INDEX(Data,2,2+MOD(ROWS(C$2:C47)-1,24))</f>
        <v>22.00</v>
      </c>
      <c r="D47" s="8" t="str">
        <f t="shared" ca="1" si="1"/>
        <v>—</v>
      </c>
      <c r="E47" s="16">
        <f t="shared" ca="1" si="3"/>
        <v>7</v>
      </c>
    </row>
    <row r="48" spans="1:5" x14ac:dyDescent="0.25">
      <c r="A48" s="3">
        <f t="shared" si="0"/>
        <v>78989</v>
      </c>
      <c r="B48" t="str">
        <f ca="1">TEXT(DATE(YEAR(Invoer!$A$5),1,1)+INT((ROWS(B$2:B48)-1)/24),"""18""jjmmdd")</f>
        <v>18980102</v>
      </c>
      <c r="C48" s="11" t="str">
        <f>INDEX(Data,2,2+MOD(ROWS(C$2:C48)-1,24))</f>
        <v>23.00</v>
      </c>
      <c r="D48" s="8" t="str">
        <f t="shared" ca="1" si="1"/>
        <v>—</v>
      </c>
      <c r="E48" s="16">
        <f t="shared" ca="1" si="3"/>
        <v>7</v>
      </c>
    </row>
    <row r="49" spans="1:5" x14ac:dyDescent="0.25">
      <c r="A49" s="3">
        <f t="shared" si="0"/>
        <v>78989</v>
      </c>
      <c r="B49" t="str">
        <f ca="1">TEXT(DATE(YEAR(Invoer!$A$5),1,1)+INT((ROWS(B$2:B49)-1)/24),"""18""jjmmdd")</f>
        <v>18980102</v>
      </c>
      <c r="C49" s="11" t="str">
        <f>INDEX(Data,2,2+MOD(ROWS(C$2:C49)-1,24))</f>
        <v>24.00</v>
      </c>
      <c r="D49" s="8" t="str">
        <f t="shared" ca="1" si="1"/>
        <v>—</v>
      </c>
      <c r="E49" s="16">
        <f t="shared" ca="1" si="3"/>
        <v>7</v>
      </c>
    </row>
    <row r="50" spans="1:5" x14ac:dyDescent="0.25">
      <c r="A50" s="3">
        <f t="shared" si="0"/>
        <v>78989</v>
      </c>
      <c r="B50" t="str">
        <f ca="1">TEXT(DATE(YEAR(Invoer!$A$5),1,1)+INT((ROWS(B$2:B50)-1)/24),"""18""jjmmdd")</f>
        <v>18980103</v>
      </c>
      <c r="C50" s="11" t="str">
        <f>INDEX(Data,2,2+MOD(ROWS(C$2:C50)-1,24))</f>
        <v>01.00</v>
      </c>
      <c r="D50" s="8" t="str">
        <f t="shared" ca="1" si="1"/>
        <v>—</v>
      </c>
      <c r="E50" s="16">
        <f t="shared" ca="1" si="3"/>
        <v>7</v>
      </c>
    </row>
    <row r="51" spans="1:5" x14ac:dyDescent="0.25">
      <c r="A51" s="3">
        <f t="shared" si="0"/>
        <v>78989</v>
      </c>
      <c r="B51" t="str">
        <f ca="1">TEXT(DATE(YEAR(Invoer!$A$5),1,1)+INT((ROWS(B$2:B51)-1)/24),"""18""jjmmdd")</f>
        <v>18980103</v>
      </c>
      <c r="C51" s="11" t="str">
        <f>INDEX(Data,2,2+MOD(ROWS(C$2:C51)-1,24))</f>
        <v>02.00</v>
      </c>
      <c r="D51" s="8" t="str">
        <f t="shared" ca="1" si="1"/>
        <v>—</v>
      </c>
      <c r="E51" s="16">
        <f t="shared" ca="1" si="3"/>
        <v>7</v>
      </c>
    </row>
    <row r="52" spans="1:5" x14ac:dyDescent="0.25">
      <c r="A52" s="3">
        <f t="shared" si="0"/>
        <v>78989</v>
      </c>
      <c r="B52" t="str">
        <f ca="1">TEXT(DATE(YEAR(Invoer!$A$5),1,1)+INT((ROWS(B$2:B52)-1)/24),"""18""jjmmdd")</f>
        <v>18980103</v>
      </c>
      <c r="C52" s="11" t="str">
        <f>INDEX(Data,2,2+MOD(ROWS(C$2:C52)-1,24))</f>
        <v>03.00</v>
      </c>
      <c r="D52" s="8" t="str">
        <f t="shared" ca="1" si="1"/>
        <v>—</v>
      </c>
      <c r="E52" s="16">
        <f t="shared" ca="1" si="3"/>
        <v>7</v>
      </c>
    </row>
    <row r="53" spans="1:5" x14ac:dyDescent="0.25">
      <c r="A53" s="3">
        <f t="shared" si="0"/>
        <v>78989</v>
      </c>
      <c r="B53" t="str">
        <f ca="1">TEXT(DATE(YEAR(Invoer!$A$5),1,1)+INT((ROWS(B$2:B53)-1)/24),"""18""jjmmdd")</f>
        <v>18980103</v>
      </c>
      <c r="C53" s="11" t="str">
        <f>INDEX(Data,2,2+MOD(ROWS(C$2:C53)-1,24))</f>
        <v>04.00</v>
      </c>
      <c r="D53" s="8" t="str">
        <f t="shared" ca="1" si="1"/>
        <v>—</v>
      </c>
      <c r="E53" s="16">
        <f t="shared" ca="1" si="3"/>
        <v>7</v>
      </c>
    </row>
    <row r="54" spans="1:5" x14ac:dyDescent="0.25">
      <c r="A54" s="3">
        <f t="shared" si="0"/>
        <v>78989</v>
      </c>
      <c r="B54" t="str">
        <f ca="1">TEXT(DATE(YEAR(Invoer!$A$5),1,1)+INT((ROWS(B$2:B54)-1)/24),"""18""jjmmdd")</f>
        <v>18980103</v>
      </c>
      <c r="C54" s="11" t="str">
        <f>INDEX(Data,2,2+MOD(ROWS(C$2:C54)-1,24))</f>
        <v>05.00</v>
      </c>
      <c r="D54" s="8" t="str">
        <f t="shared" ca="1" si="1"/>
        <v>—</v>
      </c>
      <c r="E54" s="16">
        <f t="shared" ca="1" si="3"/>
        <v>7</v>
      </c>
    </row>
    <row r="55" spans="1:5" x14ac:dyDescent="0.25">
      <c r="A55" s="3">
        <f t="shared" si="0"/>
        <v>78989</v>
      </c>
      <c r="B55" t="str">
        <f ca="1">TEXT(DATE(YEAR(Invoer!$A$5),1,1)+INT((ROWS(B$2:B55)-1)/24),"""18""jjmmdd")</f>
        <v>18980103</v>
      </c>
      <c r="C55" s="11" t="str">
        <f>INDEX(Data,2,2+MOD(ROWS(C$2:C55)-1,24))</f>
        <v>06.00</v>
      </c>
      <c r="D55" s="8" t="str">
        <f t="shared" ca="1" si="1"/>
        <v>—</v>
      </c>
      <c r="E55" s="16">
        <f t="shared" ca="1" si="3"/>
        <v>7</v>
      </c>
    </row>
    <row r="56" spans="1:5" x14ac:dyDescent="0.25">
      <c r="A56" s="3">
        <f t="shared" si="0"/>
        <v>78989</v>
      </c>
      <c r="B56" t="str">
        <f ca="1">TEXT(DATE(YEAR(Invoer!$A$5),1,1)+INT((ROWS(B$2:B56)-1)/24),"""18""jjmmdd")</f>
        <v>18980103</v>
      </c>
      <c r="C56" s="11" t="str">
        <f>INDEX(Data,2,2+MOD(ROWS(C$2:C56)-1,24))</f>
        <v>07.00</v>
      </c>
      <c r="D56" s="8" t="str">
        <f t="shared" ca="1" si="1"/>
        <v>—</v>
      </c>
      <c r="E56" s="16">
        <f t="shared" ca="1" si="3"/>
        <v>7</v>
      </c>
    </row>
    <row r="57" spans="1:5" x14ac:dyDescent="0.25">
      <c r="A57" s="3">
        <f t="shared" si="0"/>
        <v>78989</v>
      </c>
      <c r="B57" t="str">
        <f ca="1">TEXT(DATE(YEAR(Invoer!$A$5),1,1)+INT((ROWS(B$2:B57)-1)/24),"""18""jjmmdd")</f>
        <v>18980103</v>
      </c>
      <c r="C57" s="11" t="str">
        <f>INDEX(Data,2,2+MOD(ROWS(C$2:C57)-1,24))</f>
        <v>08.00</v>
      </c>
      <c r="D57" s="8" t="str">
        <f t="shared" ca="1" si="1"/>
        <v>—</v>
      </c>
      <c r="E57" s="16">
        <f t="shared" ca="1" si="3"/>
        <v>7</v>
      </c>
    </row>
    <row r="58" spans="1:5" x14ac:dyDescent="0.25">
      <c r="A58" s="3">
        <f t="shared" si="0"/>
        <v>78989</v>
      </c>
      <c r="B58" t="str">
        <f ca="1">TEXT(DATE(YEAR(Invoer!$A$5),1,1)+INT((ROWS(B$2:B58)-1)/24),"""18""jjmmdd")</f>
        <v>18980103</v>
      </c>
      <c r="C58" s="11" t="str">
        <f>INDEX(Data,2,2+MOD(ROWS(C$2:C58)-1,24))</f>
        <v>09.00</v>
      </c>
      <c r="D58" s="8" t="str">
        <f t="shared" ca="1" si="1"/>
        <v>—</v>
      </c>
      <c r="E58" s="16">
        <f t="shared" ca="1" si="3"/>
        <v>7</v>
      </c>
    </row>
    <row r="59" spans="1:5" x14ac:dyDescent="0.25">
      <c r="A59" s="3">
        <f t="shared" si="0"/>
        <v>78989</v>
      </c>
      <c r="B59" t="str">
        <f ca="1">TEXT(DATE(YEAR(Invoer!$A$5),1,1)+INT((ROWS(B$2:B59)-1)/24),"""18""jjmmdd")</f>
        <v>18980103</v>
      </c>
      <c r="C59" s="11" t="str">
        <f>INDEX(Data,2,2+MOD(ROWS(C$2:C59)-1,24))</f>
        <v>10.00</v>
      </c>
      <c r="D59" s="8" t="str">
        <f t="shared" ca="1" si="1"/>
        <v>—</v>
      </c>
      <c r="E59" s="16">
        <f t="shared" ca="1" si="3"/>
        <v>7</v>
      </c>
    </row>
    <row r="60" spans="1:5" x14ac:dyDescent="0.25">
      <c r="A60" s="3">
        <f t="shared" si="0"/>
        <v>78989</v>
      </c>
      <c r="B60" t="str">
        <f ca="1">TEXT(DATE(YEAR(Invoer!$A$5),1,1)+INT((ROWS(B$2:B60)-1)/24),"""18""jjmmdd")</f>
        <v>18980103</v>
      </c>
      <c r="C60" s="11" t="str">
        <f>INDEX(Data,2,2+MOD(ROWS(C$2:C60)-1,24))</f>
        <v>11.00</v>
      </c>
      <c r="D60" s="8" t="str">
        <f t="shared" ca="1" si="1"/>
        <v>—</v>
      </c>
      <c r="E60" s="16">
        <f t="shared" ca="1" si="3"/>
        <v>7</v>
      </c>
    </row>
    <row r="61" spans="1:5" x14ac:dyDescent="0.25">
      <c r="A61" s="3">
        <f t="shared" si="0"/>
        <v>78989</v>
      </c>
      <c r="B61" t="str">
        <f ca="1">TEXT(DATE(YEAR(Invoer!$A$5),1,1)+INT((ROWS(B$2:B61)-1)/24),"""18""jjmmdd")</f>
        <v>18980103</v>
      </c>
      <c r="C61" s="11" t="str">
        <f>INDEX(Data,2,2+MOD(ROWS(C$2:C61)-1,24))</f>
        <v>12.00</v>
      </c>
      <c r="D61" s="8" t="str">
        <f t="shared" ca="1" si="1"/>
        <v>—</v>
      </c>
      <c r="E61" s="16">
        <f t="shared" ca="1" si="3"/>
        <v>7</v>
      </c>
    </row>
    <row r="62" spans="1:5" x14ac:dyDescent="0.25">
      <c r="A62" s="3">
        <f t="shared" si="0"/>
        <v>78989</v>
      </c>
      <c r="B62" t="str">
        <f ca="1">TEXT(DATE(YEAR(Invoer!$A$5),1,1)+INT((ROWS(B$2:B62)-1)/24),"""18""jjmmdd")</f>
        <v>18980103</v>
      </c>
      <c r="C62" s="11" t="str">
        <f>INDEX(Data,2,2+MOD(ROWS(C$2:C62)-1,24))</f>
        <v>13.00</v>
      </c>
      <c r="D62" s="8" t="str">
        <f t="shared" ca="1" si="1"/>
        <v>—</v>
      </c>
      <c r="E62" s="16">
        <f t="shared" ca="1" si="3"/>
        <v>7</v>
      </c>
    </row>
    <row r="63" spans="1:5" x14ac:dyDescent="0.25">
      <c r="A63" s="3">
        <f t="shared" si="0"/>
        <v>78989</v>
      </c>
      <c r="B63" t="str">
        <f ca="1">TEXT(DATE(YEAR(Invoer!$A$5),1,1)+INT((ROWS(B$2:B63)-1)/24),"""18""jjmmdd")</f>
        <v>18980103</v>
      </c>
      <c r="C63" s="11" t="str">
        <f>INDEX(Data,2,2+MOD(ROWS(C$2:C63)-1,24))</f>
        <v>14.00</v>
      </c>
      <c r="D63" s="8" t="str">
        <f t="shared" ca="1" si="1"/>
        <v>—</v>
      </c>
      <c r="E63" s="16">
        <f t="shared" ca="1" si="3"/>
        <v>7</v>
      </c>
    </row>
    <row r="64" spans="1:5" x14ac:dyDescent="0.25">
      <c r="A64" s="3">
        <f t="shared" si="0"/>
        <v>78989</v>
      </c>
      <c r="B64" t="str">
        <f ca="1">TEXT(DATE(YEAR(Invoer!$A$5),1,1)+INT((ROWS(B$2:B64)-1)/24),"""18""jjmmdd")</f>
        <v>18980103</v>
      </c>
      <c r="C64" s="11" t="str">
        <f>INDEX(Data,2,2+MOD(ROWS(C$2:C64)-1,24))</f>
        <v>15.00</v>
      </c>
      <c r="D64" s="8" t="str">
        <f t="shared" ca="1" si="1"/>
        <v>—</v>
      </c>
      <c r="E64" s="16">
        <f t="shared" ca="1" si="3"/>
        <v>7</v>
      </c>
    </row>
    <row r="65" spans="1:5" x14ac:dyDescent="0.25">
      <c r="A65" s="3">
        <f t="shared" si="0"/>
        <v>78989</v>
      </c>
      <c r="B65" t="str">
        <f ca="1">TEXT(DATE(YEAR(Invoer!$A$5),1,1)+INT((ROWS(B$2:B65)-1)/24),"""18""jjmmdd")</f>
        <v>18980103</v>
      </c>
      <c r="C65" s="11" t="str">
        <f>INDEX(Data,2,2+MOD(ROWS(C$2:C65)-1,24))</f>
        <v>16.00</v>
      </c>
      <c r="D65" s="8" t="str">
        <f t="shared" ca="1" si="1"/>
        <v>—</v>
      </c>
      <c r="E65" s="16">
        <f t="shared" ca="1" si="3"/>
        <v>7</v>
      </c>
    </row>
    <row r="66" spans="1:5" x14ac:dyDescent="0.25">
      <c r="A66" s="3">
        <f t="shared" ref="A66:A129" si="4">INDEX(Stations,2,1)</f>
        <v>78989</v>
      </c>
      <c r="B66" t="str">
        <f ca="1">TEXT(DATE(YEAR(Invoer!$A$5),1,1)+INT((ROWS(B$2:B66)-1)/24),"""18""jjmmdd")</f>
        <v>18980103</v>
      </c>
      <c r="C66" s="11" t="str">
        <f>INDEX(Data,2,2+MOD(ROWS(C$2:C66)-1,24))</f>
        <v>17.00</v>
      </c>
      <c r="D66" s="8" t="str">
        <f t="shared" ref="D66:D129" ca="1" si="5">IF(OR(ISBLANK(VLOOKUP(DATEVALUE("37"&amp;MID($B66,3,2)&amp;"-"&amp;MID($B66,5,2)&amp;"-"&amp;RIGHT($B66,2)),Data,MATCH(LEFT(VLOOKUP(D$1,Parameters,2,FALSE()),4)&amp;"*",OFFSET(Data,0,0,1),0)+MATCH($C66,OFFSET(Data,1,0,1),0)-2,FALSE())),ISTEXT(VLOOKUP(DATEVALUE("37"&amp;MID($B66,3,2)&amp;"-"&amp;MID($B66,5,2)&amp;"-"&amp;RIGHT($B66,2)),Data,MATCH(LEFT(VLOOKUP(D$1,Parameters,2,FALSE()),4)&amp;"*",OFFSET(Data,0,0,1),0)+MATCH($C66,OFFSET(Data,1,0,1),0)-2,FALSE()))),"—",VLOOKUP(DATEVALUE("37"&amp;MID($B66,3,2)&amp;"-"&amp;MID($B66,5,2)&amp;"-"&amp;RIGHT($B66,2)),Data,MATCH(LEFT(VLOOKUP(D$1,Parameters,2,FALSE()),4)&amp;"*",OFFSET(Data,0,0,1),0)+MATCH($C66,OFFSET(Data,1,0,1),0)-2,FALSE()))</f>
        <v>—</v>
      </c>
      <c r="E66" s="16">
        <f t="shared" ca="1" si="3"/>
        <v>7</v>
      </c>
    </row>
    <row r="67" spans="1:5" x14ac:dyDescent="0.25">
      <c r="A67" s="3">
        <f t="shared" si="4"/>
        <v>78989</v>
      </c>
      <c r="B67" t="str">
        <f ca="1">TEXT(DATE(YEAR(Invoer!$A$5),1,1)+INT((ROWS(B$2:B67)-1)/24),"""18""jjmmdd")</f>
        <v>18980103</v>
      </c>
      <c r="C67" s="11" t="str">
        <f>INDEX(Data,2,2+MOD(ROWS(C$2:C67)-1,24))</f>
        <v>18.00</v>
      </c>
      <c r="D67" s="8" t="str">
        <f t="shared" ca="1" si="5"/>
        <v>—</v>
      </c>
      <c r="E67" s="16">
        <f t="shared" ref="E67:E130" ca="1" si="6">IF(OR(ISBLANK(VLOOKUP(DATEVALUE("37"&amp;MID($B67,3,2)&amp;"-"&amp;MID($B67,5,2)&amp;"-"&amp;RIGHT($B67,2)),Data,MATCH(LEFT(VLOOKUP(D$1,Parameters,2,FALSE()),4)&amp;"*",OFFSET(Data,0,0,1),0)+MATCH($C67,OFFSET(Data,1,0,1),0)-2,FALSE())),ISTEXT(VLOOKUP(DATEVALUE("37"&amp;MID($B67,3,2)&amp;"-"&amp;MID($B67,5,2)&amp;"-"&amp;RIGHT($B67,2)),Data,MATCH(LEFT(VLOOKUP(D$1,Parameters,2,FALSE()),4)&amp;"*",OFFSET(Data,0,0,1),0)+MATCH($C67,OFFSET(Data,1,0,1),0)-2,FALSE()))),Lacking,IF(ISNA(MATCH(DATEVALUE("37"&amp;MID($B67,3,2)&amp;"-"&amp;MID($B67,5,2)&amp;"-"&amp;RIGHT($B67,2)),OFFSET(Catalogus,0,0,,1),0)),Ok,VLOOKUP(DATEVALUE("37"&amp;MID($B67,3,2)&amp;"-"&amp;MID($B67,5,2)&amp;"-"&amp;RIGHT($B67,2)),Catalogus,MATCH(LEFT(VLOOKUP(MID(E$1,2,LEN(E$1)-1),Parameters,2,FALSE()),4)&amp;"*",OFFSET(Catalogus,0,0,1),0)+MATCH($C67,OFFSET(Catalogus,1,0,1),0)-2,FALSE())))</f>
        <v>7</v>
      </c>
    </row>
    <row r="68" spans="1:5" x14ac:dyDescent="0.25">
      <c r="A68" s="3">
        <f t="shared" si="4"/>
        <v>78989</v>
      </c>
      <c r="B68" t="str">
        <f ca="1">TEXT(DATE(YEAR(Invoer!$A$5),1,1)+INT((ROWS(B$2:B68)-1)/24),"""18""jjmmdd")</f>
        <v>18980103</v>
      </c>
      <c r="C68" s="11" t="str">
        <f>INDEX(Data,2,2+MOD(ROWS(C$2:C68)-1,24))</f>
        <v>19.00</v>
      </c>
      <c r="D68" s="8" t="str">
        <f t="shared" ca="1" si="5"/>
        <v>—</v>
      </c>
      <c r="E68" s="16">
        <f t="shared" ca="1" si="6"/>
        <v>7</v>
      </c>
    </row>
    <row r="69" spans="1:5" x14ac:dyDescent="0.25">
      <c r="A69" s="3">
        <f t="shared" si="4"/>
        <v>78989</v>
      </c>
      <c r="B69" t="str">
        <f ca="1">TEXT(DATE(YEAR(Invoer!$A$5),1,1)+INT((ROWS(B$2:B69)-1)/24),"""18""jjmmdd")</f>
        <v>18980103</v>
      </c>
      <c r="C69" s="11" t="str">
        <f>INDEX(Data,2,2+MOD(ROWS(C$2:C69)-1,24))</f>
        <v>20.00</v>
      </c>
      <c r="D69" s="8" t="str">
        <f t="shared" ca="1" si="5"/>
        <v>—</v>
      </c>
      <c r="E69" s="16">
        <f t="shared" ca="1" si="6"/>
        <v>7</v>
      </c>
    </row>
    <row r="70" spans="1:5" x14ac:dyDescent="0.25">
      <c r="A70" s="3">
        <f t="shared" si="4"/>
        <v>78989</v>
      </c>
      <c r="B70" t="str">
        <f ca="1">TEXT(DATE(YEAR(Invoer!$A$5),1,1)+INT((ROWS(B$2:B70)-1)/24),"""18""jjmmdd")</f>
        <v>18980103</v>
      </c>
      <c r="C70" s="11" t="str">
        <f>INDEX(Data,2,2+MOD(ROWS(C$2:C70)-1,24))</f>
        <v>21.00</v>
      </c>
      <c r="D70" s="8" t="str">
        <f t="shared" ca="1" si="5"/>
        <v>—</v>
      </c>
      <c r="E70" s="16">
        <f t="shared" ca="1" si="6"/>
        <v>7</v>
      </c>
    </row>
    <row r="71" spans="1:5" x14ac:dyDescent="0.25">
      <c r="A71" s="3">
        <f t="shared" si="4"/>
        <v>78989</v>
      </c>
      <c r="B71" t="str">
        <f ca="1">TEXT(DATE(YEAR(Invoer!$A$5),1,1)+INT((ROWS(B$2:B71)-1)/24),"""18""jjmmdd")</f>
        <v>18980103</v>
      </c>
      <c r="C71" s="11" t="str">
        <f>INDEX(Data,2,2+MOD(ROWS(C$2:C71)-1,24))</f>
        <v>22.00</v>
      </c>
      <c r="D71" s="8" t="str">
        <f t="shared" ca="1" si="5"/>
        <v>—</v>
      </c>
      <c r="E71" s="16">
        <f t="shared" ca="1" si="6"/>
        <v>7</v>
      </c>
    </row>
    <row r="72" spans="1:5" x14ac:dyDescent="0.25">
      <c r="A72" s="3">
        <f t="shared" si="4"/>
        <v>78989</v>
      </c>
      <c r="B72" t="str">
        <f ca="1">TEXT(DATE(YEAR(Invoer!$A$5),1,1)+INT((ROWS(B$2:B72)-1)/24),"""18""jjmmdd")</f>
        <v>18980103</v>
      </c>
      <c r="C72" s="11" t="str">
        <f>INDEX(Data,2,2+MOD(ROWS(C$2:C72)-1,24))</f>
        <v>23.00</v>
      </c>
      <c r="D72" s="8" t="str">
        <f t="shared" ca="1" si="5"/>
        <v>—</v>
      </c>
      <c r="E72" s="16">
        <f t="shared" ca="1" si="6"/>
        <v>7</v>
      </c>
    </row>
    <row r="73" spans="1:5" x14ac:dyDescent="0.25">
      <c r="A73" s="3">
        <f t="shared" si="4"/>
        <v>78989</v>
      </c>
      <c r="B73" t="str">
        <f ca="1">TEXT(DATE(YEAR(Invoer!$A$5),1,1)+INT((ROWS(B$2:B73)-1)/24),"""18""jjmmdd")</f>
        <v>18980103</v>
      </c>
      <c r="C73" s="11" t="str">
        <f>INDEX(Data,2,2+MOD(ROWS(C$2:C73)-1,24))</f>
        <v>24.00</v>
      </c>
      <c r="D73" s="8" t="str">
        <f t="shared" ca="1" si="5"/>
        <v>—</v>
      </c>
      <c r="E73" s="16">
        <f t="shared" ca="1" si="6"/>
        <v>7</v>
      </c>
    </row>
    <row r="74" spans="1:5" x14ac:dyDescent="0.25">
      <c r="A74" s="3">
        <f t="shared" si="4"/>
        <v>78989</v>
      </c>
      <c r="B74" t="str">
        <f ca="1">TEXT(DATE(YEAR(Invoer!$A$5),1,1)+INT((ROWS(B$2:B74)-1)/24),"""18""jjmmdd")</f>
        <v>18980104</v>
      </c>
      <c r="C74" s="11" t="str">
        <f>INDEX(Data,2,2+MOD(ROWS(C$2:C74)-1,24))</f>
        <v>01.00</v>
      </c>
      <c r="D74" s="8" t="str">
        <f t="shared" ca="1" si="5"/>
        <v>—</v>
      </c>
      <c r="E74" s="16">
        <f t="shared" ca="1" si="6"/>
        <v>7</v>
      </c>
    </row>
    <row r="75" spans="1:5" x14ac:dyDescent="0.25">
      <c r="A75" s="3">
        <f t="shared" si="4"/>
        <v>78989</v>
      </c>
      <c r="B75" t="str">
        <f ca="1">TEXT(DATE(YEAR(Invoer!$A$5),1,1)+INT((ROWS(B$2:B75)-1)/24),"""18""jjmmdd")</f>
        <v>18980104</v>
      </c>
      <c r="C75" s="11" t="str">
        <f>INDEX(Data,2,2+MOD(ROWS(C$2:C75)-1,24))</f>
        <v>02.00</v>
      </c>
      <c r="D75" s="8" t="str">
        <f t="shared" ca="1" si="5"/>
        <v>—</v>
      </c>
      <c r="E75" s="16">
        <f t="shared" ca="1" si="6"/>
        <v>7</v>
      </c>
    </row>
    <row r="76" spans="1:5" x14ac:dyDescent="0.25">
      <c r="A76" s="3">
        <f t="shared" si="4"/>
        <v>78989</v>
      </c>
      <c r="B76" t="str">
        <f ca="1">TEXT(DATE(YEAR(Invoer!$A$5),1,1)+INT((ROWS(B$2:B76)-1)/24),"""18""jjmmdd")</f>
        <v>18980104</v>
      </c>
      <c r="C76" s="11" t="str">
        <f>INDEX(Data,2,2+MOD(ROWS(C$2:C76)-1,24))</f>
        <v>03.00</v>
      </c>
      <c r="D76" s="8" t="str">
        <f t="shared" ca="1" si="5"/>
        <v>—</v>
      </c>
      <c r="E76" s="16">
        <f t="shared" ca="1" si="6"/>
        <v>7</v>
      </c>
    </row>
    <row r="77" spans="1:5" x14ac:dyDescent="0.25">
      <c r="A77" s="3">
        <f t="shared" si="4"/>
        <v>78989</v>
      </c>
      <c r="B77" t="str">
        <f ca="1">TEXT(DATE(YEAR(Invoer!$A$5),1,1)+INT((ROWS(B$2:B77)-1)/24),"""18""jjmmdd")</f>
        <v>18980104</v>
      </c>
      <c r="C77" s="11" t="str">
        <f>INDEX(Data,2,2+MOD(ROWS(C$2:C77)-1,24))</f>
        <v>04.00</v>
      </c>
      <c r="D77" s="8" t="str">
        <f t="shared" ca="1" si="5"/>
        <v>—</v>
      </c>
      <c r="E77" s="16">
        <f t="shared" ca="1" si="6"/>
        <v>7</v>
      </c>
    </row>
    <row r="78" spans="1:5" x14ac:dyDescent="0.25">
      <c r="A78" s="3">
        <f t="shared" si="4"/>
        <v>78989</v>
      </c>
      <c r="B78" t="str">
        <f ca="1">TEXT(DATE(YEAR(Invoer!$A$5),1,1)+INT((ROWS(B$2:B78)-1)/24),"""18""jjmmdd")</f>
        <v>18980104</v>
      </c>
      <c r="C78" s="11" t="str">
        <f>INDEX(Data,2,2+MOD(ROWS(C$2:C78)-1,24))</f>
        <v>05.00</v>
      </c>
      <c r="D78" s="8" t="str">
        <f t="shared" ca="1" si="5"/>
        <v>—</v>
      </c>
      <c r="E78" s="16">
        <f t="shared" ca="1" si="6"/>
        <v>7</v>
      </c>
    </row>
    <row r="79" spans="1:5" x14ac:dyDescent="0.25">
      <c r="A79" s="3">
        <f t="shared" si="4"/>
        <v>78989</v>
      </c>
      <c r="B79" t="str">
        <f ca="1">TEXT(DATE(YEAR(Invoer!$A$5),1,1)+INT((ROWS(B$2:B79)-1)/24),"""18""jjmmdd")</f>
        <v>18980104</v>
      </c>
      <c r="C79" s="11" t="str">
        <f>INDEX(Data,2,2+MOD(ROWS(C$2:C79)-1,24))</f>
        <v>06.00</v>
      </c>
      <c r="D79" s="8" t="str">
        <f t="shared" ca="1" si="5"/>
        <v>—</v>
      </c>
      <c r="E79" s="16">
        <f t="shared" ca="1" si="6"/>
        <v>7</v>
      </c>
    </row>
    <row r="80" spans="1:5" x14ac:dyDescent="0.25">
      <c r="A80" s="3">
        <f t="shared" si="4"/>
        <v>78989</v>
      </c>
      <c r="B80" t="str">
        <f ca="1">TEXT(DATE(YEAR(Invoer!$A$5),1,1)+INT((ROWS(B$2:B80)-1)/24),"""18""jjmmdd")</f>
        <v>18980104</v>
      </c>
      <c r="C80" s="11" t="str">
        <f>INDEX(Data,2,2+MOD(ROWS(C$2:C80)-1,24))</f>
        <v>07.00</v>
      </c>
      <c r="D80" s="8" t="str">
        <f t="shared" ca="1" si="5"/>
        <v>—</v>
      </c>
      <c r="E80" s="16">
        <f t="shared" ca="1" si="6"/>
        <v>7</v>
      </c>
    </row>
    <row r="81" spans="1:5" x14ac:dyDescent="0.25">
      <c r="A81" s="3">
        <f t="shared" si="4"/>
        <v>78989</v>
      </c>
      <c r="B81" t="str">
        <f ca="1">TEXT(DATE(YEAR(Invoer!$A$5),1,1)+INT((ROWS(B$2:B81)-1)/24),"""18""jjmmdd")</f>
        <v>18980104</v>
      </c>
      <c r="C81" s="11" t="str">
        <f>INDEX(Data,2,2+MOD(ROWS(C$2:C81)-1,24))</f>
        <v>08.00</v>
      </c>
      <c r="D81" s="8" t="str">
        <f t="shared" ca="1" si="5"/>
        <v>—</v>
      </c>
      <c r="E81" s="16">
        <f t="shared" ca="1" si="6"/>
        <v>7</v>
      </c>
    </row>
    <row r="82" spans="1:5" x14ac:dyDescent="0.25">
      <c r="A82" s="3">
        <f t="shared" si="4"/>
        <v>78989</v>
      </c>
      <c r="B82" t="str">
        <f ca="1">TEXT(DATE(YEAR(Invoer!$A$5),1,1)+INT((ROWS(B$2:B82)-1)/24),"""18""jjmmdd")</f>
        <v>18980104</v>
      </c>
      <c r="C82" s="11" t="str">
        <f>INDEX(Data,2,2+MOD(ROWS(C$2:C82)-1,24))</f>
        <v>09.00</v>
      </c>
      <c r="D82" s="8" t="str">
        <f t="shared" ca="1" si="5"/>
        <v>—</v>
      </c>
      <c r="E82" s="16">
        <f t="shared" ca="1" si="6"/>
        <v>7</v>
      </c>
    </row>
    <row r="83" spans="1:5" x14ac:dyDescent="0.25">
      <c r="A83" s="3">
        <f t="shared" si="4"/>
        <v>78989</v>
      </c>
      <c r="B83" t="str">
        <f ca="1">TEXT(DATE(YEAR(Invoer!$A$5),1,1)+INT((ROWS(B$2:B83)-1)/24),"""18""jjmmdd")</f>
        <v>18980104</v>
      </c>
      <c r="C83" s="11" t="str">
        <f>INDEX(Data,2,2+MOD(ROWS(C$2:C83)-1,24))</f>
        <v>10.00</v>
      </c>
      <c r="D83" s="8" t="str">
        <f t="shared" ca="1" si="5"/>
        <v>—</v>
      </c>
      <c r="E83" s="16">
        <f t="shared" ca="1" si="6"/>
        <v>7</v>
      </c>
    </row>
    <row r="84" spans="1:5" x14ac:dyDescent="0.25">
      <c r="A84" s="3">
        <f t="shared" si="4"/>
        <v>78989</v>
      </c>
      <c r="B84" t="str">
        <f ca="1">TEXT(DATE(YEAR(Invoer!$A$5),1,1)+INT((ROWS(B$2:B84)-1)/24),"""18""jjmmdd")</f>
        <v>18980104</v>
      </c>
      <c r="C84" s="11" t="str">
        <f>INDEX(Data,2,2+MOD(ROWS(C$2:C84)-1,24))</f>
        <v>11.00</v>
      </c>
      <c r="D84" s="8" t="str">
        <f t="shared" ca="1" si="5"/>
        <v>—</v>
      </c>
      <c r="E84" s="16">
        <f t="shared" ca="1" si="6"/>
        <v>7</v>
      </c>
    </row>
    <row r="85" spans="1:5" x14ac:dyDescent="0.25">
      <c r="A85" s="3">
        <f t="shared" si="4"/>
        <v>78989</v>
      </c>
      <c r="B85" t="str">
        <f ca="1">TEXT(DATE(YEAR(Invoer!$A$5),1,1)+INT((ROWS(B$2:B85)-1)/24),"""18""jjmmdd")</f>
        <v>18980104</v>
      </c>
      <c r="C85" s="11" t="str">
        <f>INDEX(Data,2,2+MOD(ROWS(C$2:C85)-1,24))</f>
        <v>12.00</v>
      </c>
      <c r="D85" s="8" t="str">
        <f t="shared" ca="1" si="5"/>
        <v>—</v>
      </c>
      <c r="E85" s="16">
        <f t="shared" ca="1" si="6"/>
        <v>7</v>
      </c>
    </row>
    <row r="86" spans="1:5" x14ac:dyDescent="0.25">
      <c r="A86" s="3">
        <f t="shared" si="4"/>
        <v>78989</v>
      </c>
      <c r="B86" t="str">
        <f ca="1">TEXT(DATE(YEAR(Invoer!$A$5),1,1)+INT((ROWS(B$2:B86)-1)/24),"""18""jjmmdd")</f>
        <v>18980104</v>
      </c>
      <c r="C86" s="11" t="str">
        <f>INDEX(Data,2,2+MOD(ROWS(C$2:C86)-1,24))</f>
        <v>13.00</v>
      </c>
      <c r="D86" s="8" t="str">
        <f t="shared" ca="1" si="5"/>
        <v>—</v>
      </c>
      <c r="E86" s="16">
        <f t="shared" ca="1" si="6"/>
        <v>7</v>
      </c>
    </row>
    <row r="87" spans="1:5" x14ac:dyDescent="0.25">
      <c r="A87" s="3">
        <f t="shared" si="4"/>
        <v>78989</v>
      </c>
      <c r="B87" t="str">
        <f ca="1">TEXT(DATE(YEAR(Invoer!$A$5),1,1)+INT((ROWS(B$2:B87)-1)/24),"""18""jjmmdd")</f>
        <v>18980104</v>
      </c>
      <c r="C87" s="11" t="str">
        <f>INDEX(Data,2,2+MOD(ROWS(C$2:C87)-1,24))</f>
        <v>14.00</v>
      </c>
      <c r="D87" s="8" t="str">
        <f t="shared" ca="1" si="5"/>
        <v>—</v>
      </c>
      <c r="E87" s="16">
        <f t="shared" ca="1" si="6"/>
        <v>7</v>
      </c>
    </row>
    <row r="88" spans="1:5" x14ac:dyDescent="0.25">
      <c r="A88" s="3">
        <f t="shared" si="4"/>
        <v>78989</v>
      </c>
      <c r="B88" t="str">
        <f ca="1">TEXT(DATE(YEAR(Invoer!$A$5),1,1)+INT((ROWS(B$2:B88)-1)/24),"""18""jjmmdd")</f>
        <v>18980104</v>
      </c>
      <c r="C88" s="11" t="str">
        <f>INDEX(Data,2,2+MOD(ROWS(C$2:C88)-1,24))</f>
        <v>15.00</v>
      </c>
      <c r="D88" s="8" t="str">
        <f t="shared" ca="1" si="5"/>
        <v>—</v>
      </c>
      <c r="E88" s="16">
        <f t="shared" ca="1" si="6"/>
        <v>7</v>
      </c>
    </row>
    <row r="89" spans="1:5" x14ac:dyDescent="0.25">
      <c r="A89" s="3">
        <f t="shared" si="4"/>
        <v>78989</v>
      </c>
      <c r="B89" t="str">
        <f ca="1">TEXT(DATE(YEAR(Invoer!$A$5),1,1)+INT((ROWS(B$2:B89)-1)/24),"""18""jjmmdd")</f>
        <v>18980104</v>
      </c>
      <c r="C89" s="11" t="str">
        <f>INDEX(Data,2,2+MOD(ROWS(C$2:C89)-1,24))</f>
        <v>16.00</v>
      </c>
      <c r="D89" s="8" t="str">
        <f t="shared" ca="1" si="5"/>
        <v>—</v>
      </c>
      <c r="E89" s="16">
        <f t="shared" ca="1" si="6"/>
        <v>7</v>
      </c>
    </row>
    <row r="90" spans="1:5" x14ac:dyDescent="0.25">
      <c r="A90" s="3">
        <f t="shared" si="4"/>
        <v>78989</v>
      </c>
      <c r="B90" t="str">
        <f ca="1">TEXT(DATE(YEAR(Invoer!$A$5),1,1)+INT((ROWS(B$2:B90)-1)/24),"""18""jjmmdd")</f>
        <v>18980104</v>
      </c>
      <c r="C90" s="11" t="str">
        <f>INDEX(Data,2,2+MOD(ROWS(C$2:C90)-1,24))</f>
        <v>17.00</v>
      </c>
      <c r="D90" s="8" t="str">
        <f t="shared" ca="1" si="5"/>
        <v>—</v>
      </c>
      <c r="E90" s="16">
        <f t="shared" ca="1" si="6"/>
        <v>7</v>
      </c>
    </row>
    <row r="91" spans="1:5" x14ac:dyDescent="0.25">
      <c r="A91" s="3">
        <f t="shared" si="4"/>
        <v>78989</v>
      </c>
      <c r="B91" t="str">
        <f ca="1">TEXT(DATE(YEAR(Invoer!$A$5),1,1)+INT((ROWS(B$2:B91)-1)/24),"""18""jjmmdd")</f>
        <v>18980104</v>
      </c>
      <c r="C91" s="11" t="str">
        <f>INDEX(Data,2,2+MOD(ROWS(C$2:C91)-1,24))</f>
        <v>18.00</v>
      </c>
      <c r="D91" s="8" t="str">
        <f t="shared" ca="1" si="5"/>
        <v>—</v>
      </c>
      <c r="E91" s="16">
        <f t="shared" ca="1" si="6"/>
        <v>7</v>
      </c>
    </row>
    <row r="92" spans="1:5" x14ac:dyDescent="0.25">
      <c r="A92" s="3">
        <f t="shared" si="4"/>
        <v>78989</v>
      </c>
      <c r="B92" t="str">
        <f ca="1">TEXT(DATE(YEAR(Invoer!$A$5),1,1)+INT((ROWS(B$2:B92)-1)/24),"""18""jjmmdd")</f>
        <v>18980104</v>
      </c>
      <c r="C92" s="11" t="str">
        <f>INDEX(Data,2,2+MOD(ROWS(C$2:C92)-1,24))</f>
        <v>19.00</v>
      </c>
      <c r="D92" s="8" t="str">
        <f t="shared" ca="1" si="5"/>
        <v>—</v>
      </c>
      <c r="E92" s="16">
        <f t="shared" ca="1" si="6"/>
        <v>7</v>
      </c>
    </row>
    <row r="93" spans="1:5" x14ac:dyDescent="0.25">
      <c r="A93" s="3">
        <f t="shared" si="4"/>
        <v>78989</v>
      </c>
      <c r="B93" t="str">
        <f ca="1">TEXT(DATE(YEAR(Invoer!$A$5),1,1)+INT((ROWS(B$2:B93)-1)/24),"""18""jjmmdd")</f>
        <v>18980104</v>
      </c>
      <c r="C93" s="11" t="str">
        <f>INDEX(Data,2,2+MOD(ROWS(C$2:C93)-1,24))</f>
        <v>20.00</v>
      </c>
      <c r="D93" s="8" t="str">
        <f t="shared" ca="1" si="5"/>
        <v>—</v>
      </c>
      <c r="E93" s="16">
        <f t="shared" ca="1" si="6"/>
        <v>7</v>
      </c>
    </row>
    <row r="94" spans="1:5" x14ac:dyDescent="0.25">
      <c r="A94" s="3">
        <f t="shared" si="4"/>
        <v>78989</v>
      </c>
      <c r="B94" t="str">
        <f ca="1">TEXT(DATE(YEAR(Invoer!$A$5),1,1)+INT((ROWS(B$2:B94)-1)/24),"""18""jjmmdd")</f>
        <v>18980104</v>
      </c>
      <c r="C94" s="11" t="str">
        <f>INDEX(Data,2,2+MOD(ROWS(C$2:C94)-1,24))</f>
        <v>21.00</v>
      </c>
      <c r="D94" s="8" t="str">
        <f t="shared" ca="1" si="5"/>
        <v>—</v>
      </c>
      <c r="E94" s="16">
        <f t="shared" ca="1" si="6"/>
        <v>7</v>
      </c>
    </row>
    <row r="95" spans="1:5" x14ac:dyDescent="0.25">
      <c r="A95" s="3">
        <f t="shared" si="4"/>
        <v>78989</v>
      </c>
      <c r="B95" t="str">
        <f ca="1">TEXT(DATE(YEAR(Invoer!$A$5),1,1)+INT((ROWS(B$2:B95)-1)/24),"""18""jjmmdd")</f>
        <v>18980104</v>
      </c>
      <c r="C95" s="11" t="str">
        <f>INDEX(Data,2,2+MOD(ROWS(C$2:C95)-1,24))</f>
        <v>22.00</v>
      </c>
      <c r="D95" s="8" t="str">
        <f t="shared" ca="1" si="5"/>
        <v>—</v>
      </c>
      <c r="E95" s="16">
        <f t="shared" ca="1" si="6"/>
        <v>7</v>
      </c>
    </row>
    <row r="96" spans="1:5" x14ac:dyDescent="0.25">
      <c r="A96" s="3">
        <f t="shared" si="4"/>
        <v>78989</v>
      </c>
      <c r="B96" t="str">
        <f ca="1">TEXT(DATE(YEAR(Invoer!$A$5),1,1)+INT((ROWS(B$2:B96)-1)/24),"""18""jjmmdd")</f>
        <v>18980104</v>
      </c>
      <c r="C96" s="11" t="str">
        <f>INDEX(Data,2,2+MOD(ROWS(C$2:C96)-1,24))</f>
        <v>23.00</v>
      </c>
      <c r="D96" s="8" t="str">
        <f t="shared" ca="1" si="5"/>
        <v>—</v>
      </c>
      <c r="E96" s="16">
        <f t="shared" ca="1" si="6"/>
        <v>7</v>
      </c>
    </row>
    <row r="97" spans="1:5" x14ac:dyDescent="0.25">
      <c r="A97" s="3">
        <f t="shared" si="4"/>
        <v>78989</v>
      </c>
      <c r="B97" t="str">
        <f ca="1">TEXT(DATE(YEAR(Invoer!$A$5),1,1)+INT((ROWS(B$2:B97)-1)/24),"""18""jjmmdd")</f>
        <v>18980104</v>
      </c>
      <c r="C97" s="11" t="str">
        <f>INDEX(Data,2,2+MOD(ROWS(C$2:C97)-1,24))</f>
        <v>24.00</v>
      </c>
      <c r="D97" s="8" t="str">
        <f t="shared" ca="1" si="5"/>
        <v>—</v>
      </c>
      <c r="E97" s="16">
        <f t="shared" ca="1" si="6"/>
        <v>7</v>
      </c>
    </row>
    <row r="98" spans="1:5" x14ac:dyDescent="0.25">
      <c r="A98" s="3">
        <f t="shared" si="4"/>
        <v>78989</v>
      </c>
      <c r="B98" t="str">
        <f ca="1">TEXT(DATE(YEAR(Invoer!$A$5),1,1)+INT((ROWS(B$2:B98)-1)/24),"""18""jjmmdd")</f>
        <v>18980105</v>
      </c>
      <c r="C98" s="11" t="str">
        <f>INDEX(Data,2,2+MOD(ROWS(C$2:C98)-1,24))</f>
        <v>01.00</v>
      </c>
      <c r="D98" s="8" t="str">
        <f t="shared" ca="1" si="5"/>
        <v>—</v>
      </c>
      <c r="E98" s="16">
        <f t="shared" ca="1" si="6"/>
        <v>7</v>
      </c>
    </row>
    <row r="99" spans="1:5" x14ac:dyDescent="0.25">
      <c r="A99" s="3">
        <f t="shared" si="4"/>
        <v>78989</v>
      </c>
      <c r="B99" t="str">
        <f ca="1">TEXT(DATE(YEAR(Invoer!$A$5),1,1)+INT((ROWS(B$2:B99)-1)/24),"""18""jjmmdd")</f>
        <v>18980105</v>
      </c>
      <c r="C99" s="11" t="str">
        <f>INDEX(Data,2,2+MOD(ROWS(C$2:C99)-1,24))</f>
        <v>02.00</v>
      </c>
      <c r="D99" s="8" t="str">
        <f t="shared" ca="1" si="5"/>
        <v>—</v>
      </c>
      <c r="E99" s="16">
        <f t="shared" ca="1" si="6"/>
        <v>7</v>
      </c>
    </row>
    <row r="100" spans="1:5" x14ac:dyDescent="0.25">
      <c r="A100" s="3">
        <f t="shared" si="4"/>
        <v>78989</v>
      </c>
      <c r="B100" t="str">
        <f ca="1">TEXT(DATE(YEAR(Invoer!$A$5),1,1)+INT((ROWS(B$2:B100)-1)/24),"""18""jjmmdd")</f>
        <v>18980105</v>
      </c>
      <c r="C100" s="11" t="str">
        <f>INDEX(Data,2,2+MOD(ROWS(C$2:C100)-1,24))</f>
        <v>03.00</v>
      </c>
      <c r="D100" s="8" t="str">
        <f t="shared" ca="1" si="5"/>
        <v>—</v>
      </c>
      <c r="E100" s="16">
        <f t="shared" ca="1" si="6"/>
        <v>7</v>
      </c>
    </row>
    <row r="101" spans="1:5" x14ac:dyDescent="0.25">
      <c r="A101" s="3">
        <f t="shared" si="4"/>
        <v>78989</v>
      </c>
      <c r="B101" t="str">
        <f ca="1">TEXT(DATE(YEAR(Invoer!$A$5),1,1)+INT((ROWS(B$2:B101)-1)/24),"""18""jjmmdd")</f>
        <v>18980105</v>
      </c>
      <c r="C101" s="11" t="str">
        <f>INDEX(Data,2,2+MOD(ROWS(C$2:C101)-1,24))</f>
        <v>04.00</v>
      </c>
      <c r="D101" s="8" t="str">
        <f t="shared" ca="1" si="5"/>
        <v>—</v>
      </c>
      <c r="E101" s="16">
        <f t="shared" ca="1" si="6"/>
        <v>7</v>
      </c>
    </row>
    <row r="102" spans="1:5" x14ac:dyDescent="0.25">
      <c r="A102" s="3">
        <f t="shared" si="4"/>
        <v>78989</v>
      </c>
      <c r="B102" t="str">
        <f ca="1">TEXT(DATE(YEAR(Invoer!$A$5),1,1)+INT((ROWS(B$2:B102)-1)/24),"""18""jjmmdd")</f>
        <v>18980105</v>
      </c>
      <c r="C102" s="11" t="str">
        <f>INDEX(Data,2,2+MOD(ROWS(C$2:C102)-1,24))</f>
        <v>05.00</v>
      </c>
      <c r="D102" s="8" t="str">
        <f t="shared" ca="1" si="5"/>
        <v>—</v>
      </c>
      <c r="E102" s="16">
        <f t="shared" ca="1" si="6"/>
        <v>7</v>
      </c>
    </row>
    <row r="103" spans="1:5" x14ac:dyDescent="0.25">
      <c r="A103" s="3">
        <f t="shared" si="4"/>
        <v>78989</v>
      </c>
      <c r="B103" t="str">
        <f ca="1">TEXT(DATE(YEAR(Invoer!$A$5),1,1)+INT((ROWS(B$2:B103)-1)/24),"""18""jjmmdd")</f>
        <v>18980105</v>
      </c>
      <c r="C103" s="11" t="str">
        <f>INDEX(Data,2,2+MOD(ROWS(C$2:C103)-1,24))</f>
        <v>06.00</v>
      </c>
      <c r="D103" s="8" t="str">
        <f t="shared" ca="1" si="5"/>
        <v>—</v>
      </c>
      <c r="E103" s="16">
        <f t="shared" ca="1" si="6"/>
        <v>7</v>
      </c>
    </row>
    <row r="104" spans="1:5" x14ac:dyDescent="0.25">
      <c r="A104" s="3">
        <f t="shared" si="4"/>
        <v>78989</v>
      </c>
      <c r="B104" t="str">
        <f ca="1">TEXT(DATE(YEAR(Invoer!$A$5),1,1)+INT((ROWS(B$2:B104)-1)/24),"""18""jjmmdd")</f>
        <v>18980105</v>
      </c>
      <c r="C104" s="11" t="str">
        <f>INDEX(Data,2,2+MOD(ROWS(C$2:C104)-1,24))</f>
        <v>07.00</v>
      </c>
      <c r="D104" s="8" t="str">
        <f t="shared" ca="1" si="5"/>
        <v>—</v>
      </c>
      <c r="E104" s="16">
        <f t="shared" ca="1" si="6"/>
        <v>7</v>
      </c>
    </row>
    <row r="105" spans="1:5" x14ac:dyDescent="0.25">
      <c r="A105" s="3">
        <f t="shared" si="4"/>
        <v>78989</v>
      </c>
      <c r="B105" t="str">
        <f ca="1">TEXT(DATE(YEAR(Invoer!$A$5),1,1)+INT((ROWS(B$2:B105)-1)/24),"""18""jjmmdd")</f>
        <v>18980105</v>
      </c>
      <c r="C105" s="11" t="str">
        <f>INDEX(Data,2,2+MOD(ROWS(C$2:C105)-1,24))</f>
        <v>08.00</v>
      </c>
      <c r="D105" s="8" t="str">
        <f t="shared" ca="1" si="5"/>
        <v>—</v>
      </c>
      <c r="E105" s="16">
        <f t="shared" ca="1" si="6"/>
        <v>7</v>
      </c>
    </row>
    <row r="106" spans="1:5" x14ac:dyDescent="0.25">
      <c r="A106" s="3">
        <f t="shared" si="4"/>
        <v>78989</v>
      </c>
      <c r="B106" t="str">
        <f ca="1">TEXT(DATE(YEAR(Invoer!$A$5),1,1)+INT((ROWS(B$2:B106)-1)/24),"""18""jjmmdd")</f>
        <v>18980105</v>
      </c>
      <c r="C106" s="11" t="str">
        <f>INDEX(Data,2,2+MOD(ROWS(C$2:C106)-1,24))</f>
        <v>09.00</v>
      </c>
      <c r="D106" s="8" t="str">
        <f t="shared" ca="1" si="5"/>
        <v>—</v>
      </c>
      <c r="E106" s="16">
        <f t="shared" ca="1" si="6"/>
        <v>7</v>
      </c>
    </row>
    <row r="107" spans="1:5" x14ac:dyDescent="0.25">
      <c r="A107" s="3">
        <f t="shared" si="4"/>
        <v>78989</v>
      </c>
      <c r="B107" t="str">
        <f ca="1">TEXT(DATE(YEAR(Invoer!$A$5),1,1)+INT((ROWS(B$2:B107)-1)/24),"""18""jjmmdd")</f>
        <v>18980105</v>
      </c>
      <c r="C107" s="11" t="str">
        <f>INDEX(Data,2,2+MOD(ROWS(C$2:C107)-1,24))</f>
        <v>10.00</v>
      </c>
      <c r="D107" s="8" t="str">
        <f t="shared" ca="1" si="5"/>
        <v>—</v>
      </c>
      <c r="E107" s="16">
        <f t="shared" ca="1" si="6"/>
        <v>7</v>
      </c>
    </row>
    <row r="108" spans="1:5" x14ac:dyDescent="0.25">
      <c r="A108" s="3">
        <f t="shared" si="4"/>
        <v>78989</v>
      </c>
      <c r="B108" t="str">
        <f ca="1">TEXT(DATE(YEAR(Invoer!$A$5),1,1)+INT((ROWS(B$2:B108)-1)/24),"""18""jjmmdd")</f>
        <v>18980105</v>
      </c>
      <c r="C108" s="11" t="str">
        <f>INDEX(Data,2,2+MOD(ROWS(C$2:C108)-1,24))</f>
        <v>11.00</v>
      </c>
      <c r="D108" s="8" t="str">
        <f t="shared" ca="1" si="5"/>
        <v>—</v>
      </c>
      <c r="E108" s="16">
        <f t="shared" ca="1" si="6"/>
        <v>7</v>
      </c>
    </row>
    <row r="109" spans="1:5" x14ac:dyDescent="0.25">
      <c r="A109" s="3">
        <f t="shared" si="4"/>
        <v>78989</v>
      </c>
      <c r="B109" t="str">
        <f ca="1">TEXT(DATE(YEAR(Invoer!$A$5),1,1)+INT((ROWS(B$2:B109)-1)/24),"""18""jjmmdd")</f>
        <v>18980105</v>
      </c>
      <c r="C109" s="11" t="str">
        <f>INDEX(Data,2,2+MOD(ROWS(C$2:C109)-1,24))</f>
        <v>12.00</v>
      </c>
      <c r="D109" s="8" t="str">
        <f t="shared" ca="1" si="5"/>
        <v>—</v>
      </c>
      <c r="E109" s="16">
        <f t="shared" ca="1" si="6"/>
        <v>7</v>
      </c>
    </row>
    <row r="110" spans="1:5" x14ac:dyDescent="0.25">
      <c r="A110" s="3">
        <f t="shared" si="4"/>
        <v>78989</v>
      </c>
      <c r="B110" t="str">
        <f ca="1">TEXT(DATE(YEAR(Invoer!$A$5),1,1)+INT((ROWS(B$2:B110)-1)/24),"""18""jjmmdd")</f>
        <v>18980105</v>
      </c>
      <c r="C110" s="11" t="str">
        <f>INDEX(Data,2,2+MOD(ROWS(C$2:C110)-1,24))</f>
        <v>13.00</v>
      </c>
      <c r="D110" s="8" t="str">
        <f t="shared" ca="1" si="5"/>
        <v>—</v>
      </c>
      <c r="E110" s="16">
        <f t="shared" ca="1" si="6"/>
        <v>7</v>
      </c>
    </row>
    <row r="111" spans="1:5" x14ac:dyDescent="0.25">
      <c r="A111" s="3">
        <f t="shared" si="4"/>
        <v>78989</v>
      </c>
      <c r="B111" t="str">
        <f ca="1">TEXT(DATE(YEAR(Invoer!$A$5),1,1)+INT((ROWS(B$2:B111)-1)/24),"""18""jjmmdd")</f>
        <v>18980105</v>
      </c>
      <c r="C111" s="11" t="str">
        <f>INDEX(Data,2,2+MOD(ROWS(C$2:C111)-1,24))</f>
        <v>14.00</v>
      </c>
      <c r="D111" s="8" t="str">
        <f t="shared" ca="1" si="5"/>
        <v>—</v>
      </c>
      <c r="E111" s="16">
        <f t="shared" ca="1" si="6"/>
        <v>7</v>
      </c>
    </row>
    <row r="112" spans="1:5" x14ac:dyDescent="0.25">
      <c r="A112" s="3">
        <f t="shared" si="4"/>
        <v>78989</v>
      </c>
      <c r="B112" t="str">
        <f ca="1">TEXT(DATE(YEAR(Invoer!$A$5),1,1)+INT((ROWS(B$2:B112)-1)/24),"""18""jjmmdd")</f>
        <v>18980105</v>
      </c>
      <c r="C112" s="11" t="str">
        <f>INDEX(Data,2,2+MOD(ROWS(C$2:C112)-1,24))</f>
        <v>15.00</v>
      </c>
      <c r="D112" s="8" t="str">
        <f t="shared" ca="1" si="5"/>
        <v>—</v>
      </c>
      <c r="E112" s="16">
        <f t="shared" ca="1" si="6"/>
        <v>7</v>
      </c>
    </row>
    <row r="113" spans="1:5" x14ac:dyDescent="0.25">
      <c r="A113" s="3">
        <f t="shared" si="4"/>
        <v>78989</v>
      </c>
      <c r="B113" t="str">
        <f ca="1">TEXT(DATE(YEAR(Invoer!$A$5),1,1)+INT((ROWS(B$2:B113)-1)/24),"""18""jjmmdd")</f>
        <v>18980105</v>
      </c>
      <c r="C113" s="11" t="str">
        <f>INDEX(Data,2,2+MOD(ROWS(C$2:C113)-1,24))</f>
        <v>16.00</v>
      </c>
      <c r="D113" s="8" t="str">
        <f t="shared" ca="1" si="5"/>
        <v>—</v>
      </c>
      <c r="E113" s="16">
        <f t="shared" ca="1" si="6"/>
        <v>7</v>
      </c>
    </row>
    <row r="114" spans="1:5" x14ac:dyDescent="0.25">
      <c r="A114" s="3">
        <f t="shared" si="4"/>
        <v>78989</v>
      </c>
      <c r="B114" t="str">
        <f ca="1">TEXT(DATE(YEAR(Invoer!$A$5),1,1)+INT((ROWS(B$2:B114)-1)/24),"""18""jjmmdd")</f>
        <v>18980105</v>
      </c>
      <c r="C114" s="11" t="str">
        <f>INDEX(Data,2,2+MOD(ROWS(C$2:C114)-1,24))</f>
        <v>17.00</v>
      </c>
      <c r="D114" s="8" t="str">
        <f t="shared" ca="1" si="5"/>
        <v>—</v>
      </c>
      <c r="E114" s="16">
        <f t="shared" ca="1" si="6"/>
        <v>7</v>
      </c>
    </row>
    <row r="115" spans="1:5" x14ac:dyDescent="0.25">
      <c r="A115" s="3">
        <f t="shared" si="4"/>
        <v>78989</v>
      </c>
      <c r="B115" t="str">
        <f ca="1">TEXT(DATE(YEAR(Invoer!$A$5),1,1)+INT((ROWS(B$2:B115)-1)/24),"""18""jjmmdd")</f>
        <v>18980105</v>
      </c>
      <c r="C115" s="11" t="str">
        <f>INDEX(Data,2,2+MOD(ROWS(C$2:C115)-1,24))</f>
        <v>18.00</v>
      </c>
      <c r="D115" s="8" t="str">
        <f t="shared" ca="1" si="5"/>
        <v>—</v>
      </c>
      <c r="E115" s="16">
        <f t="shared" ca="1" si="6"/>
        <v>7</v>
      </c>
    </row>
    <row r="116" spans="1:5" x14ac:dyDescent="0.25">
      <c r="A116" s="3">
        <f t="shared" si="4"/>
        <v>78989</v>
      </c>
      <c r="B116" t="str">
        <f ca="1">TEXT(DATE(YEAR(Invoer!$A$5),1,1)+INT((ROWS(B$2:B116)-1)/24),"""18""jjmmdd")</f>
        <v>18980105</v>
      </c>
      <c r="C116" s="11" t="str">
        <f>INDEX(Data,2,2+MOD(ROWS(C$2:C116)-1,24))</f>
        <v>19.00</v>
      </c>
      <c r="D116" s="8" t="str">
        <f t="shared" ca="1" si="5"/>
        <v>—</v>
      </c>
      <c r="E116" s="16">
        <f t="shared" ca="1" si="6"/>
        <v>7</v>
      </c>
    </row>
    <row r="117" spans="1:5" x14ac:dyDescent="0.25">
      <c r="A117" s="3">
        <f t="shared" si="4"/>
        <v>78989</v>
      </c>
      <c r="B117" t="str">
        <f ca="1">TEXT(DATE(YEAR(Invoer!$A$5),1,1)+INT((ROWS(B$2:B117)-1)/24),"""18""jjmmdd")</f>
        <v>18980105</v>
      </c>
      <c r="C117" s="11" t="str">
        <f>INDEX(Data,2,2+MOD(ROWS(C$2:C117)-1,24))</f>
        <v>20.00</v>
      </c>
      <c r="D117" s="8" t="str">
        <f t="shared" ca="1" si="5"/>
        <v>—</v>
      </c>
      <c r="E117" s="16">
        <f t="shared" ca="1" si="6"/>
        <v>7</v>
      </c>
    </row>
    <row r="118" spans="1:5" x14ac:dyDescent="0.25">
      <c r="A118" s="3">
        <f t="shared" si="4"/>
        <v>78989</v>
      </c>
      <c r="B118" t="str">
        <f ca="1">TEXT(DATE(YEAR(Invoer!$A$5),1,1)+INT((ROWS(B$2:B118)-1)/24),"""18""jjmmdd")</f>
        <v>18980105</v>
      </c>
      <c r="C118" s="11" t="str">
        <f>INDEX(Data,2,2+MOD(ROWS(C$2:C118)-1,24))</f>
        <v>21.00</v>
      </c>
      <c r="D118" s="8" t="str">
        <f t="shared" ca="1" si="5"/>
        <v>—</v>
      </c>
      <c r="E118" s="16">
        <f t="shared" ca="1" si="6"/>
        <v>7</v>
      </c>
    </row>
    <row r="119" spans="1:5" x14ac:dyDescent="0.25">
      <c r="A119" s="3">
        <f t="shared" si="4"/>
        <v>78989</v>
      </c>
      <c r="B119" t="str">
        <f ca="1">TEXT(DATE(YEAR(Invoer!$A$5),1,1)+INT((ROWS(B$2:B119)-1)/24),"""18""jjmmdd")</f>
        <v>18980105</v>
      </c>
      <c r="C119" s="11" t="str">
        <f>INDEX(Data,2,2+MOD(ROWS(C$2:C119)-1,24))</f>
        <v>22.00</v>
      </c>
      <c r="D119" s="8" t="str">
        <f t="shared" ca="1" si="5"/>
        <v>—</v>
      </c>
      <c r="E119" s="16">
        <f t="shared" ca="1" si="6"/>
        <v>7</v>
      </c>
    </row>
    <row r="120" spans="1:5" x14ac:dyDescent="0.25">
      <c r="A120" s="3">
        <f t="shared" si="4"/>
        <v>78989</v>
      </c>
      <c r="B120" t="str">
        <f ca="1">TEXT(DATE(YEAR(Invoer!$A$5),1,1)+INT((ROWS(B$2:B120)-1)/24),"""18""jjmmdd")</f>
        <v>18980105</v>
      </c>
      <c r="C120" s="11" t="str">
        <f>INDEX(Data,2,2+MOD(ROWS(C$2:C120)-1,24))</f>
        <v>23.00</v>
      </c>
      <c r="D120" s="8" t="str">
        <f t="shared" ca="1" si="5"/>
        <v>—</v>
      </c>
      <c r="E120" s="16">
        <f t="shared" ca="1" si="6"/>
        <v>7</v>
      </c>
    </row>
    <row r="121" spans="1:5" x14ac:dyDescent="0.25">
      <c r="A121" s="3">
        <f t="shared" si="4"/>
        <v>78989</v>
      </c>
      <c r="B121" t="str">
        <f ca="1">TEXT(DATE(YEAR(Invoer!$A$5),1,1)+INT((ROWS(B$2:B121)-1)/24),"""18""jjmmdd")</f>
        <v>18980105</v>
      </c>
      <c r="C121" s="11" t="str">
        <f>INDEX(Data,2,2+MOD(ROWS(C$2:C121)-1,24))</f>
        <v>24.00</v>
      </c>
      <c r="D121" s="8" t="str">
        <f t="shared" ca="1" si="5"/>
        <v>—</v>
      </c>
      <c r="E121" s="16">
        <f t="shared" ca="1" si="6"/>
        <v>7</v>
      </c>
    </row>
    <row r="122" spans="1:5" x14ac:dyDescent="0.25">
      <c r="A122" s="3">
        <f t="shared" si="4"/>
        <v>78989</v>
      </c>
      <c r="B122" t="str">
        <f ca="1">TEXT(DATE(YEAR(Invoer!$A$5),1,1)+INT((ROWS(B$2:B122)-1)/24),"""18""jjmmdd")</f>
        <v>18980106</v>
      </c>
      <c r="C122" s="11" t="str">
        <f>INDEX(Data,2,2+MOD(ROWS(C$2:C122)-1,24))</f>
        <v>01.00</v>
      </c>
      <c r="D122" s="8" t="str">
        <f t="shared" ca="1" si="5"/>
        <v>—</v>
      </c>
      <c r="E122" s="16">
        <f t="shared" ca="1" si="6"/>
        <v>7</v>
      </c>
    </row>
    <row r="123" spans="1:5" x14ac:dyDescent="0.25">
      <c r="A123" s="3">
        <f t="shared" si="4"/>
        <v>78989</v>
      </c>
      <c r="B123" t="str">
        <f ca="1">TEXT(DATE(YEAR(Invoer!$A$5),1,1)+INT((ROWS(B$2:B123)-1)/24),"""18""jjmmdd")</f>
        <v>18980106</v>
      </c>
      <c r="C123" s="11" t="str">
        <f>INDEX(Data,2,2+MOD(ROWS(C$2:C123)-1,24))</f>
        <v>02.00</v>
      </c>
      <c r="D123" s="8" t="str">
        <f t="shared" ca="1" si="5"/>
        <v>—</v>
      </c>
      <c r="E123" s="16">
        <f t="shared" ca="1" si="6"/>
        <v>7</v>
      </c>
    </row>
    <row r="124" spans="1:5" x14ac:dyDescent="0.25">
      <c r="A124" s="3">
        <f t="shared" si="4"/>
        <v>78989</v>
      </c>
      <c r="B124" t="str">
        <f ca="1">TEXT(DATE(YEAR(Invoer!$A$5),1,1)+INT((ROWS(B$2:B124)-1)/24),"""18""jjmmdd")</f>
        <v>18980106</v>
      </c>
      <c r="C124" s="11" t="str">
        <f>INDEX(Data,2,2+MOD(ROWS(C$2:C124)-1,24))</f>
        <v>03.00</v>
      </c>
      <c r="D124" s="8" t="str">
        <f t="shared" ca="1" si="5"/>
        <v>—</v>
      </c>
      <c r="E124" s="16">
        <f t="shared" ca="1" si="6"/>
        <v>7</v>
      </c>
    </row>
    <row r="125" spans="1:5" x14ac:dyDescent="0.25">
      <c r="A125" s="3">
        <f t="shared" si="4"/>
        <v>78989</v>
      </c>
      <c r="B125" t="str">
        <f ca="1">TEXT(DATE(YEAR(Invoer!$A$5),1,1)+INT((ROWS(B$2:B125)-1)/24),"""18""jjmmdd")</f>
        <v>18980106</v>
      </c>
      <c r="C125" s="11" t="str">
        <f>INDEX(Data,2,2+MOD(ROWS(C$2:C125)-1,24))</f>
        <v>04.00</v>
      </c>
      <c r="D125" s="8" t="str">
        <f t="shared" ca="1" si="5"/>
        <v>—</v>
      </c>
      <c r="E125" s="16">
        <f t="shared" ca="1" si="6"/>
        <v>7</v>
      </c>
    </row>
    <row r="126" spans="1:5" x14ac:dyDescent="0.25">
      <c r="A126" s="3">
        <f t="shared" si="4"/>
        <v>78989</v>
      </c>
      <c r="B126" t="str">
        <f ca="1">TEXT(DATE(YEAR(Invoer!$A$5),1,1)+INT((ROWS(B$2:B126)-1)/24),"""18""jjmmdd")</f>
        <v>18980106</v>
      </c>
      <c r="C126" s="11" t="str">
        <f>INDEX(Data,2,2+MOD(ROWS(C$2:C126)-1,24))</f>
        <v>05.00</v>
      </c>
      <c r="D126" s="8" t="str">
        <f t="shared" ca="1" si="5"/>
        <v>—</v>
      </c>
      <c r="E126" s="16">
        <f t="shared" ca="1" si="6"/>
        <v>7</v>
      </c>
    </row>
    <row r="127" spans="1:5" x14ac:dyDescent="0.25">
      <c r="A127" s="3">
        <f t="shared" si="4"/>
        <v>78989</v>
      </c>
      <c r="B127" t="str">
        <f ca="1">TEXT(DATE(YEAR(Invoer!$A$5),1,1)+INT((ROWS(B$2:B127)-1)/24),"""18""jjmmdd")</f>
        <v>18980106</v>
      </c>
      <c r="C127" s="11" t="str">
        <f>INDEX(Data,2,2+MOD(ROWS(C$2:C127)-1,24))</f>
        <v>06.00</v>
      </c>
      <c r="D127" s="8" t="str">
        <f t="shared" ca="1" si="5"/>
        <v>—</v>
      </c>
      <c r="E127" s="16">
        <f t="shared" ca="1" si="6"/>
        <v>7</v>
      </c>
    </row>
    <row r="128" spans="1:5" x14ac:dyDescent="0.25">
      <c r="A128" s="3">
        <f t="shared" si="4"/>
        <v>78989</v>
      </c>
      <c r="B128" t="str">
        <f ca="1">TEXT(DATE(YEAR(Invoer!$A$5),1,1)+INT((ROWS(B$2:B128)-1)/24),"""18""jjmmdd")</f>
        <v>18980106</v>
      </c>
      <c r="C128" s="11" t="str">
        <f>INDEX(Data,2,2+MOD(ROWS(C$2:C128)-1,24))</f>
        <v>07.00</v>
      </c>
      <c r="D128" s="8" t="str">
        <f t="shared" ca="1" si="5"/>
        <v>—</v>
      </c>
      <c r="E128" s="16">
        <f t="shared" ca="1" si="6"/>
        <v>7</v>
      </c>
    </row>
    <row r="129" spans="1:5" x14ac:dyDescent="0.25">
      <c r="A129" s="3">
        <f t="shared" si="4"/>
        <v>78989</v>
      </c>
      <c r="B129" t="str">
        <f ca="1">TEXT(DATE(YEAR(Invoer!$A$5),1,1)+INT((ROWS(B$2:B129)-1)/24),"""18""jjmmdd")</f>
        <v>18980106</v>
      </c>
      <c r="C129" s="11" t="str">
        <f>INDEX(Data,2,2+MOD(ROWS(C$2:C129)-1,24))</f>
        <v>08.00</v>
      </c>
      <c r="D129" s="8" t="str">
        <f t="shared" ca="1" si="5"/>
        <v>—</v>
      </c>
      <c r="E129" s="16">
        <f t="shared" ca="1" si="6"/>
        <v>7</v>
      </c>
    </row>
    <row r="130" spans="1:5" x14ac:dyDescent="0.25">
      <c r="A130" s="3">
        <f t="shared" ref="A130:A193" si="7">INDEX(Stations,2,1)</f>
        <v>78989</v>
      </c>
      <c r="B130" t="str">
        <f ca="1">TEXT(DATE(YEAR(Invoer!$A$5),1,1)+INT((ROWS(B$2:B130)-1)/24),"""18""jjmmdd")</f>
        <v>18980106</v>
      </c>
      <c r="C130" s="11" t="str">
        <f>INDEX(Data,2,2+MOD(ROWS(C$2:C130)-1,24))</f>
        <v>09.00</v>
      </c>
      <c r="D130" s="8" t="str">
        <f t="shared" ref="D130:D193" ca="1" si="8">IF(OR(ISBLANK(VLOOKUP(DATEVALUE("37"&amp;MID($B130,3,2)&amp;"-"&amp;MID($B130,5,2)&amp;"-"&amp;RIGHT($B130,2)),Data,MATCH(LEFT(VLOOKUP(D$1,Parameters,2,FALSE()),4)&amp;"*",OFFSET(Data,0,0,1),0)+MATCH($C130,OFFSET(Data,1,0,1),0)-2,FALSE())),ISTEXT(VLOOKUP(DATEVALUE("37"&amp;MID($B130,3,2)&amp;"-"&amp;MID($B130,5,2)&amp;"-"&amp;RIGHT($B130,2)),Data,MATCH(LEFT(VLOOKUP(D$1,Parameters,2,FALSE()),4)&amp;"*",OFFSET(Data,0,0,1),0)+MATCH($C130,OFFSET(Data,1,0,1),0)-2,FALSE()))),"—",VLOOKUP(DATEVALUE("37"&amp;MID($B130,3,2)&amp;"-"&amp;MID($B130,5,2)&amp;"-"&amp;RIGHT($B130,2)),Data,MATCH(LEFT(VLOOKUP(D$1,Parameters,2,FALSE()),4)&amp;"*",OFFSET(Data,0,0,1),0)+MATCH($C130,OFFSET(Data,1,0,1),0)-2,FALSE()))</f>
        <v>—</v>
      </c>
      <c r="E130" s="16">
        <f t="shared" ca="1" si="6"/>
        <v>7</v>
      </c>
    </row>
    <row r="131" spans="1:5" x14ac:dyDescent="0.25">
      <c r="A131" s="3">
        <f t="shared" si="7"/>
        <v>78989</v>
      </c>
      <c r="B131" t="str">
        <f ca="1">TEXT(DATE(YEAR(Invoer!$A$5),1,1)+INT((ROWS(B$2:B131)-1)/24),"""18""jjmmdd")</f>
        <v>18980106</v>
      </c>
      <c r="C131" s="11" t="str">
        <f>INDEX(Data,2,2+MOD(ROWS(C$2:C131)-1,24))</f>
        <v>10.00</v>
      </c>
      <c r="D131" s="8" t="str">
        <f t="shared" ca="1" si="8"/>
        <v>—</v>
      </c>
      <c r="E131" s="16">
        <f t="shared" ref="E131:E194" ca="1" si="9">IF(OR(ISBLANK(VLOOKUP(DATEVALUE("37"&amp;MID($B131,3,2)&amp;"-"&amp;MID($B131,5,2)&amp;"-"&amp;RIGHT($B131,2)),Data,MATCH(LEFT(VLOOKUP(D$1,Parameters,2,FALSE()),4)&amp;"*",OFFSET(Data,0,0,1),0)+MATCH($C131,OFFSET(Data,1,0,1),0)-2,FALSE())),ISTEXT(VLOOKUP(DATEVALUE("37"&amp;MID($B131,3,2)&amp;"-"&amp;MID($B131,5,2)&amp;"-"&amp;RIGHT($B131,2)),Data,MATCH(LEFT(VLOOKUP(D$1,Parameters,2,FALSE()),4)&amp;"*",OFFSET(Data,0,0,1),0)+MATCH($C131,OFFSET(Data,1,0,1),0)-2,FALSE()))),Lacking,IF(ISNA(MATCH(DATEVALUE("37"&amp;MID($B131,3,2)&amp;"-"&amp;MID($B131,5,2)&amp;"-"&amp;RIGHT($B131,2)),OFFSET(Catalogus,0,0,,1),0)),Ok,VLOOKUP(DATEVALUE("37"&amp;MID($B131,3,2)&amp;"-"&amp;MID($B131,5,2)&amp;"-"&amp;RIGHT($B131,2)),Catalogus,MATCH(LEFT(VLOOKUP(MID(E$1,2,LEN(E$1)-1),Parameters,2,FALSE()),4)&amp;"*",OFFSET(Catalogus,0,0,1),0)+MATCH($C131,OFFSET(Catalogus,1,0,1),0)-2,FALSE())))</f>
        <v>7</v>
      </c>
    </row>
    <row r="132" spans="1:5" x14ac:dyDescent="0.25">
      <c r="A132" s="3">
        <f t="shared" si="7"/>
        <v>78989</v>
      </c>
      <c r="B132" t="str">
        <f ca="1">TEXT(DATE(YEAR(Invoer!$A$5),1,1)+INT((ROWS(B$2:B132)-1)/24),"""18""jjmmdd")</f>
        <v>18980106</v>
      </c>
      <c r="C132" s="11" t="str">
        <f>INDEX(Data,2,2+MOD(ROWS(C$2:C132)-1,24))</f>
        <v>11.00</v>
      </c>
      <c r="D132" s="8" t="str">
        <f t="shared" ca="1" si="8"/>
        <v>—</v>
      </c>
      <c r="E132" s="16">
        <f t="shared" ca="1" si="9"/>
        <v>7</v>
      </c>
    </row>
    <row r="133" spans="1:5" x14ac:dyDescent="0.25">
      <c r="A133" s="3">
        <f t="shared" si="7"/>
        <v>78989</v>
      </c>
      <c r="B133" t="str">
        <f ca="1">TEXT(DATE(YEAR(Invoer!$A$5),1,1)+INT((ROWS(B$2:B133)-1)/24),"""18""jjmmdd")</f>
        <v>18980106</v>
      </c>
      <c r="C133" s="11" t="str">
        <f>INDEX(Data,2,2+MOD(ROWS(C$2:C133)-1,24))</f>
        <v>12.00</v>
      </c>
      <c r="D133" s="8" t="str">
        <f t="shared" ca="1" si="8"/>
        <v>—</v>
      </c>
      <c r="E133" s="16">
        <f t="shared" ca="1" si="9"/>
        <v>7</v>
      </c>
    </row>
    <row r="134" spans="1:5" x14ac:dyDescent="0.25">
      <c r="A134" s="3">
        <f t="shared" si="7"/>
        <v>78989</v>
      </c>
      <c r="B134" t="str">
        <f ca="1">TEXT(DATE(YEAR(Invoer!$A$5),1,1)+INT((ROWS(B$2:B134)-1)/24),"""18""jjmmdd")</f>
        <v>18980106</v>
      </c>
      <c r="C134" s="11" t="str">
        <f>INDEX(Data,2,2+MOD(ROWS(C$2:C134)-1,24))</f>
        <v>13.00</v>
      </c>
      <c r="D134" s="8" t="str">
        <f t="shared" ca="1" si="8"/>
        <v>—</v>
      </c>
      <c r="E134" s="16">
        <f t="shared" ca="1" si="9"/>
        <v>7</v>
      </c>
    </row>
    <row r="135" spans="1:5" x14ac:dyDescent="0.25">
      <c r="A135" s="3">
        <f t="shared" si="7"/>
        <v>78989</v>
      </c>
      <c r="B135" t="str">
        <f ca="1">TEXT(DATE(YEAR(Invoer!$A$5),1,1)+INT((ROWS(B$2:B135)-1)/24),"""18""jjmmdd")</f>
        <v>18980106</v>
      </c>
      <c r="C135" s="11" t="str">
        <f>INDEX(Data,2,2+MOD(ROWS(C$2:C135)-1,24))</f>
        <v>14.00</v>
      </c>
      <c r="D135" s="8" t="str">
        <f t="shared" ca="1" si="8"/>
        <v>—</v>
      </c>
      <c r="E135" s="16">
        <f t="shared" ca="1" si="9"/>
        <v>7</v>
      </c>
    </row>
    <row r="136" spans="1:5" x14ac:dyDescent="0.25">
      <c r="A136" s="3">
        <f t="shared" si="7"/>
        <v>78989</v>
      </c>
      <c r="B136" t="str">
        <f ca="1">TEXT(DATE(YEAR(Invoer!$A$5),1,1)+INT((ROWS(B$2:B136)-1)/24),"""18""jjmmdd")</f>
        <v>18980106</v>
      </c>
      <c r="C136" s="11" t="str">
        <f>INDEX(Data,2,2+MOD(ROWS(C$2:C136)-1,24))</f>
        <v>15.00</v>
      </c>
      <c r="D136" s="8" t="str">
        <f t="shared" ca="1" si="8"/>
        <v>—</v>
      </c>
      <c r="E136" s="16">
        <f t="shared" ca="1" si="9"/>
        <v>7</v>
      </c>
    </row>
    <row r="137" spans="1:5" x14ac:dyDescent="0.25">
      <c r="A137" s="3">
        <f t="shared" si="7"/>
        <v>78989</v>
      </c>
      <c r="B137" t="str">
        <f ca="1">TEXT(DATE(YEAR(Invoer!$A$5),1,1)+INT((ROWS(B$2:B137)-1)/24),"""18""jjmmdd")</f>
        <v>18980106</v>
      </c>
      <c r="C137" s="11" t="str">
        <f>INDEX(Data,2,2+MOD(ROWS(C$2:C137)-1,24))</f>
        <v>16.00</v>
      </c>
      <c r="D137" s="8" t="str">
        <f t="shared" ca="1" si="8"/>
        <v>—</v>
      </c>
      <c r="E137" s="16">
        <f t="shared" ca="1" si="9"/>
        <v>7</v>
      </c>
    </row>
    <row r="138" spans="1:5" x14ac:dyDescent="0.25">
      <c r="A138" s="3">
        <f t="shared" si="7"/>
        <v>78989</v>
      </c>
      <c r="B138" t="str">
        <f ca="1">TEXT(DATE(YEAR(Invoer!$A$5),1,1)+INT((ROWS(B$2:B138)-1)/24),"""18""jjmmdd")</f>
        <v>18980106</v>
      </c>
      <c r="C138" s="11" t="str">
        <f>INDEX(Data,2,2+MOD(ROWS(C$2:C138)-1,24))</f>
        <v>17.00</v>
      </c>
      <c r="D138" s="8" t="str">
        <f t="shared" ca="1" si="8"/>
        <v>—</v>
      </c>
      <c r="E138" s="16">
        <f t="shared" ca="1" si="9"/>
        <v>7</v>
      </c>
    </row>
    <row r="139" spans="1:5" x14ac:dyDescent="0.25">
      <c r="A139" s="3">
        <f t="shared" si="7"/>
        <v>78989</v>
      </c>
      <c r="B139" t="str">
        <f ca="1">TEXT(DATE(YEAR(Invoer!$A$5),1,1)+INT((ROWS(B$2:B139)-1)/24),"""18""jjmmdd")</f>
        <v>18980106</v>
      </c>
      <c r="C139" s="11" t="str">
        <f>INDEX(Data,2,2+MOD(ROWS(C$2:C139)-1,24))</f>
        <v>18.00</v>
      </c>
      <c r="D139" s="8" t="str">
        <f t="shared" ca="1" si="8"/>
        <v>—</v>
      </c>
      <c r="E139" s="16">
        <f t="shared" ca="1" si="9"/>
        <v>7</v>
      </c>
    </row>
    <row r="140" spans="1:5" x14ac:dyDescent="0.25">
      <c r="A140" s="3">
        <f t="shared" si="7"/>
        <v>78989</v>
      </c>
      <c r="B140" t="str">
        <f ca="1">TEXT(DATE(YEAR(Invoer!$A$5),1,1)+INT((ROWS(B$2:B140)-1)/24),"""18""jjmmdd")</f>
        <v>18980106</v>
      </c>
      <c r="C140" s="11" t="str">
        <f>INDEX(Data,2,2+MOD(ROWS(C$2:C140)-1,24))</f>
        <v>19.00</v>
      </c>
      <c r="D140" s="8" t="str">
        <f t="shared" ca="1" si="8"/>
        <v>—</v>
      </c>
      <c r="E140" s="16">
        <f t="shared" ca="1" si="9"/>
        <v>7</v>
      </c>
    </row>
    <row r="141" spans="1:5" x14ac:dyDescent="0.25">
      <c r="A141" s="3">
        <f t="shared" si="7"/>
        <v>78989</v>
      </c>
      <c r="B141" t="str">
        <f ca="1">TEXT(DATE(YEAR(Invoer!$A$5),1,1)+INT((ROWS(B$2:B141)-1)/24),"""18""jjmmdd")</f>
        <v>18980106</v>
      </c>
      <c r="C141" s="11" t="str">
        <f>INDEX(Data,2,2+MOD(ROWS(C$2:C141)-1,24))</f>
        <v>20.00</v>
      </c>
      <c r="D141" s="8" t="str">
        <f t="shared" ca="1" si="8"/>
        <v>—</v>
      </c>
      <c r="E141" s="16">
        <f t="shared" ca="1" si="9"/>
        <v>7</v>
      </c>
    </row>
    <row r="142" spans="1:5" x14ac:dyDescent="0.25">
      <c r="A142" s="3">
        <f t="shared" si="7"/>
        <v>78989</v>
      </c>
      <c r="B142" t="str">
        <f ca="1">TEXT(DATE(YEAR(Invoer!$A$5),1,1)+INT((ROWS(B$2:B142)-1)/24),"""18""jjmmdd")</f>
        <v>18980106</v>
      </c>
      <c r="C142" s="11" t="str">
        <f>INDEX(Data,2,2+MOD(ROWS(C$2:C142)-1,24))</f>
        <v>21.00</v>
      </c>
      <c r="D142" s="8" t="str">
        <f t="shared" ca="1" si="8"/>
        <v>—</v>
      </c>
      <c r="E142" s="16">
        <f t="shared" ca="1" si="9"/>
        <v>7</v>
      </c>
    </row>
    <row r="143" spans="1:5" x14ac:dyDescent="0.25">
      <c r="A143" s="3">
        <f t="shared" si="7"/>
        <v>78989</v>
      </c>
      <c r="B143" t="str">
        <f ca="1">TEXT(DATE(YEAR(Invoer!$A$5),1,1)+INT((ROWS(B$2:B143)-1)/24),"""18""jjmmdd")</f>
        <v>18980106</v>
      </c>
      <c r="C143" s="11" t="str">
        <f>INDEX(Data,2,2+MOD(ROWS(C$2:C143)-1,24))</f>
        <v>22.00</v>
      </c>
      <c r="D143" s="8" t="str">
        <f t="shared" ca="1" si="8"/>
        <v>—</v>
      </c>
      <c r="E143" s="16">
        <f t="shared" ca="1" si="9"/>
        <v>7</v>
      </c>
    </row>
    <row r="144" spans="1:5" x14ac:dyDescent="0.25">
      <c r="A144" s="3">
        <f t="shared" si="7"/>
        <v>78989</v>
      </c>
      <c r="B144" t="str">
        <f ca="1">TEXT(DATE(YEAR(Invoer!$A$5),1,1)+INT((ROWS(B$2:B144)-1)/24),"""18""jjmmdd")</f>
        <v>18980106</v>
      </c>
      <c r="C144" s="11" t="str">
        <f>INDEX(Data,2,2+MOD(ROWS(C$2:C144)-1,24))</f>
        <v>23.00</v>
      </c>
      <c r="D144" s="8" t="str">
        <f t="shared" ca="1" si="8"/>
        <v>—</v>
      </c>
      <c r="E144" s="16">
        <f t="shared" ca="1" si="9"/>
        <v>7</v>
      </c>
    </row>
    <row r="145" spans="1:5" x14ac:dyDescent="0.25">
      <c r="A145" s="3">
        <f t="shared" si="7"/>
        <v>78989</v>
      </c>
      <c r="B145" t="str">
        <f ca="1">TEXT(DATE(YEAR(Invoer!$A$5),1,1)+INT((ROWS(B$2:B145)-1)/24),"""18""jjmmdd")</f>
        <v>18980106</v>
      </c>
      <c r="C145" s="11" t="str">
        <f>INDEX(Data,2,2+MOD(ROWS(C$2:C145)-1,24))</f>
        <v>24.00</v>
      </c>
      <c r="D145" s="8" t="str">
        <f t="shared" ca="1" si="8"/>
        <v>—</v>
      </c>
      <c r="E145" s="16">
        <f t="shared" ca="1" si="9"/>
        <v>7</v>
      </c>
    </row>
    <row r="146" spans="1:5" x14ac:dyDescent="0.25">
      <c r="A146" s="3">
        <f t="shared" si="7"/>
        <v>78989</v>
      </c>
      <c r="B146" t="str">
        <f ca="1">TEXT(DATE(YEAR(Invoer!$A$5),1,1)+INT((ROWS(B$2:B146)-1)/24),"""18""jjmmdd")</f>
        <v>18980107</v>
      </c>
      <c r="C146" s="11" t="str">
        <f>INDEX(Data,2,2+MOD(ROWS(C$2:C146)-1,24))</f>
        <v>01.00</v>
      </c>
      <c r="D146" s="8" t="str">
        <f t="shared" ca="1" si="8"/>
        <v>—</v>
      </c>
      <c r="E146" s="16">
        <f t="shared" ca="1" si="9"/>
        <v>7</v>
      </c>
    </row>
    <row r="147" spans="1:5" x14ac:dyDescent="0.25">
      <c r="A147" s="3">
        <f t="shared" si="7"/>
        <v>78989</v>
      </c>
      <c r="B147" t="str">
        <f ca="1">TEXT(DATE(YEAR(Invoer!$A$5),1,1)+INT((ROWS(B$2:B147)-1)/24),"""18""jjmmdd")</f>
        <v>18980107</v>
      </c>
      <c r="C147" s="11" t="str">
        <f>INDEX(Data,2,2+MOD(ROWS(C$2:C147)-1,24))</f>
        <v>02.00</v>
      </c>
      <c r="D147" s="8" t="str">
        <f t="shared" ca="1" si="8"/>
        <v>—</v>
      </c>
      <c r="E147" s="16">
        <f t="shared" ca="1" si="9"/>
        <v>7</v>
      </c>
    </row>
    <row r="148" spans="1:5" x14ac:dyDescent="0.25">
      <c r="A148" s="3">
        <f t="shared" si="7"/>
        <v>78989</v>
      </c>
      <c r="B148" t="str">
        <f ca="1">TEXT(DATE(YEAR(Invoer!$A$5),1,1)+INT((ROWS(B$2:B148)-1)/24),"""18""jjmmdd")</f>
        <v>18980107</v>
      </c>
      <c r="C148" s="11" t="str">
        <f>INDEX(Data,2,2+MOD(ROWS(C$2:C148)-1,24))</f>
        <v>03.00</v>
      </c>
      <c r="D148" s="8" t="str">
        <f t="shared" ca="1" si="8"/>
        <v>—</v>
      </c>
      <c r="E148" s="16">
        <f t="shared" ca="1" si="9"/>
        <v>7</v>
      </c>
    </row>
    <row r="149" spans="1:5" x14ac:dyDescent="0.25">
      <c r="A149" s="3">
        <f t="shared" si="7"/>
        <v>78989</v>
      </c>
      <c r="B149" t="str">
        <f ca="1">TEXT(DATE(YEAR(Invoer!$A$5),1,1)+INT((ROWS(B$2:B149)-1)/24),"""18""jjmmdd")</f>
        <v>18980107</v>
      </c>
      <c r="C149" s="11" t="str">
        <f>INDEX(Data,2,2+MOD(ROWS(C$2:C149)-1,24))</f>
        <v>04.00</v>
      </c>
      <c r="D149" s="8" t="str">
        <f t="shared" ca="1" si="8"/>
        <v>—</v>
      </c>
      <c r="E149" s="16">
        <f t="shared" ca="1" si="9"/>
        <v>7</v>
      </c>
    </row>
    <row r="150" spans="1:5" x14ac:dyDescent="0.25">
      <c r="A150" s="3">
        <f t="shared" si="7"/>
        <v>78989</v>
      </c>
      <c r="B150" t="str">
        <f ca="1">TEXT(DATE(YEAR(Invoer!$A$5),1,1)+INT((ROWS(B$2:B150)-1)/24),"""18""jjmmdd")</f>
        <v>18980107</v>
      </c>
      <c r="C150" s="11" t="str">
        <f>INDEX(Data,2,2+MOD(ROWS(C$2:C150)-1,24))</f>
        <v>05.00</v>
      </c>
      <c r="D150" s="8" t="str">
        <f t="shared" ca="1" si="8"/>
        <v>—</v>
      </c>
      <c r="E150" s="16">
        <f t="shared" ca="1" si="9"/>
        <v>7</v>
      </c>
    </row>
    <row r="151" spans="1:5" x14ac:dyDescent="0.25">
      <c r="A151" s="3">
        <f t="shared" si="7"/>
        <v>78989</v>
      </c>
      <c r="B151" t="str">
        <f ca="1">TEXT(DATE(YEAR(Invoer!$A$5),1,1)+INT((ROWS(B$2:B151)-1)/24),"""18""jjmmdd")</f>
        <v>18980107</v>
      </c>
      <c r="C151" s="11" t="str">
        <f>INDEX(Data,2,2+MOD(ROWS(C$2:C151)-1,24))</f>
        <v>06.00</v>
      </c>
      <c r="D151" s="8" t="str">
        <f t="shared" ca="1" si="8"/>
        <v>—</v>
      </c>
      <c r="E151" s="16">
        <f t="shared" ca="1" si="9"/>
        <v>7</v>
      </c>
    </row>
    <row r="152" spans="1:5" x14ac:dyDescent="0.25">
      <c r="A152" s="3">
        <f t="shared" si="7"/>
        <v>78989</v>
      </c>
      <c r="B152" t="str">
        <f ca="1">TEXT(DATE(YEAR(Invoer!$A$5),1,1)+INT((ROWS(B$2:B152)-1)/24),"""18""jjmmdd")</f>
        <v>18980107</v>
      </c>
      <c r="C152" s="11" t="str">
        <f>INDEX(Data,2,2+MOD(ROWS(C$2:C152)-1,24))</f>
        <v>07.00</v>
      </c>
      <c r="D152" s="8" t="str">
        <f t="shared" ca="1" si="8"/>
        <v>—</v>
      </c>
      <c r="E152" s="16">
        <f t="shared" ca="1" si="9"/>
        <v>7</v>
      </c>
    </row>
    <row r="153" spans="1:5" x14ac:dyDescent="0.25">
      <c r="A153" s="3">
        <f t="shared" si="7"/>
        <v>78989</v>
      </c>
      <c r="B153" t="str">
        <f ca="1">TEXT(DATE(YEAR(Invoer!$A$5),1,1)+INT((ROWS(B$2:B153)-1)/24),"""18""jjmmdd")</f>
        <v>18980107</v>
      </c>
      <c r="C153" s="11" t="str">
        <f>INDEX(Data,2,2+MOD(ROWS(C$2:C153)-1,24))</f>
        <v>08.00</v>
      </c>
      <c r="D153" s="8" t="str">
        <f t="shared" ca="1" si="8"/>
        <v>—</v>
      </c>
      <c r="E153" s="16">
        <f t="shared" ca="1" si="9"/>
        <v>7</v>
      </c>
    </row>
    <row r="154" spans="1:5" x14ac:dyDescent="0.25">
      <c r="A154" s="3">
        <f t="shared" si="7"/>
        <v>78989</v>
      </c>
      <c r="B154" t="str">
        <f ca="1">TEXT(DATE(YEAR(Invoer!$A$5),1,1)+INT((ROWS(B$2:B154)-1)/24),"""18""jjmmdd")</f>
        <v>18980107</v>
      </c>
      <c r="C154" s="11" t="str">
        <f>INDEX(Data,2,2+MOD(ROWS(C$2:C154)-1,24))</f>
        <v>09.00</v>
      </c>
      <c r="D154" s="8" t="str">
        <f t="shared" ca="1" si="8"/>
        <v>—</v>
      </c>
      <c r="E154" s="16">
        <f t="shared" ca="1" si="9"/>
        <v>7</v>
      </c>
    </row>
    <row r="155" spans="1:5" x14ac:dyDescent="0.25">
      <c r="A155" s="3">
        <f t="shared" si="7"/>
        <v>78989</v>
      </c>
      <c r="B155" t="str">
        <f ca="1">TEXT(DATE(YEAR(Invoer!$A$5),1,1)+INT((ROWS(B$2:B155)-1)/24),"""18""jjmmdd")</f>
        <v>18980107</v>
      </c>
      <c r="C155" s="11" t="str">
        <f>INDEX(Data,2,2+MOD(ROWS(C$2:C155)-1,24))</f>
        <v>10.00</v>
      </c>
      <c r="D155" s="8" t="str">
        <f t="shared" ca="1" si="8"/>
        <v>—</v>
      </c>
      <c r="E155" s="16">
        <f t="shared" ca="1" si="9"/>
        <v>7</v>
      </c>
    </row>
    <row r="156" spans="1:5" x14ac:dyDescent="0.25">
      <c r="A156" s="3">
        <f t="shared" si="7"/>
        <v>78989</v>
      </c>
      <c r="B156" t="str">
        <f ca="1">TEXT(DATE(YEAR(Invoer!$A$5),1,1)+INT((ROWS(B$2:B156)-1)/24),"""18""jjmmdd")</f>
        <v>18980107</v>
      </c>
      <c r="C156" s="11" t="str">
        <f>INDEX(Data,2,2+MOD(ROWS(C$2:C156)-1,24))</f>
        <v>11.00</v>
      </c>
      <c r="D156" s="8" t="str">
        <f t="shared" ca="1" si="8"/>
        <v>—</v>
      </c>
      <c r="E156" s="16">
        <f t="shared" ca="1" si="9"/>
        <v>7</v>
      </c>
    </row>
    <row r="157" spans="1:5" x14ac:dyDescent="0.25">
      <c r="A157" s="3">
        <f t="shared" si="7"/>
        <v>78989</v>
      </c>
      <c r="B157" t="str">
        <f ca="1">TEXT(DATE(YEAR(Invoer!$A$5),1,1)+INT((ROWS(B$2:B157)-1)/24),"""18""jjmmdd")</f>
        <v>18980107</v>
      </c>
      <c r="C157" s="11" t="str">
        <f>INDEX(Data,2,2+MOD(ROWS(C$2:C157)-1,24))</f>
        <v>12.00</v>
      </c>
      <c r="D157" s="8" t="str">
        <f t="shared" ca="1" si="8"/>
        <v>—</v>
      </c>
      <c r="E157" s="16">
        <f t="shared" ca="1" si="9"/>
        <v>7</v>
      </c>
    </row>
    <row r="158" spans="1:5" x14ac:dyDescent="0.25">
      <c r="A158" s="3">
        <f t="shared" si="7"/>
        <v>78989</v>
      </c>
      <c r="B158" t="str">
        <f ca="1">TEXT(DATE(YEAR(Invoer!$A$5),1,1)+INT((ROWS(B$2:B158)-1)/24),"""18""jjmmdd")</f>
        <v>18980107</v>
      </c>
      <c r="C158" s="11" t="str">
        <f>INDEX(Data,2,2+MOD(ROWS(C$2:C158)-1,24))</f>
        <v>13.00</v>
      </c>
      <c r="D158" s="8" t="str">
        <f t="shared" ca="1" si="8"/>
        <v>—</v>
      </c>
      <c r="E158" s="16">
        <f t="shared" ca="1" si="9"/>
        <v>7</v>
      </c>
    </row>
    <row r="159" spans="1:5" x14ac:dyDescent="0.25">
      <c r="A159" s="3">
        <f t="shared" si="7"/>
        <v>78989</v>
      </c>
      <c r="B159" t="str">
        <f ca="1">TEXT(DATE(YEAR(Invoer!$A$5),1,1)+INT((ROWS(B$2:B159)-1)/24),"""18""jjmmdd")</f>
        <v>18980107</v>
      </c>
      <c r="C159" s="11" t="str">
        <f>INDEX(Data,2,2+MOD(ROWS(C$2:C159)-1,24))</f>
        <v>14.00</v>
      </c>
      <c r="D159" s="8" t="str">
        <f t="shared" ca="1" si="8"/>
        <v>—</v>
      </c>
      <c r="E159" s="16">
        <f t="shared" ca="1" si="9"/>
        <v>7</v>
      </c>
    </row>
    <row r="160" spans="1:5" x14ac:dyDescent="0.25">
      <c r="A160" s="3">
        <f t="shared" si="7"/>
        <v>78989</v>
      </c>
      <c r="B160" t="str">
        <f ca="1">TEXT(DATE(YEAR(Invoer!$A$5),1,1)+INT((ROWS(B$2:B160)-1)/24),"""18""jjmmdd")</f>
        <v>18980107</v>
      </c>
      <c r="C160" s="11" t="str">
        <f>INDEX(Data,2,2+MOD(ROWS(C$2:C160)-1,24))</f>
        <v>15.00</v>
      </c>
      <c r="D160" s="8" t="str">
        <f t="shared" ca="1" si="8"/>
        <v>—</v>
      </c>
      <c r="E160" s="16">
        <f t="shared" ca="1" si="9"/>
        <v>7</v>
      </c>
    </row>
    <row r="161" spans="1:5" x14ac:dyDescent="0.25">
      <c r="A161" s="3">
        <f t="shared" si="7"/>
        <v>78989</v>
      </c>
      <c r="B161" t="str">
        <f ca="1">TEXT(DATE(YEAR(Invoer!$A$5),1,1)+INT((ROWS(B$2:B161)-1)/24),"""18""jjmmdd")</f>
        <v>18980107</v>
      </c>
      <c r="C161" s="11" t="str">
        <f>INDEX(Data,2,2+MOD(ROWS(C$2:C161)-1,24))</f>
        <v>16.00</v>
      </c>
      <c r="D161" s="8" t="str">
        <f t="shared" ca="1" si="8"/>
        <v>—</v>
      </c>
      <c r="E161" s="16">
        <f t="shared" ca="1" si="9"/>
        <v>7</v>
      </c>
    </row>
    <row r="162" spans="1:5" x14ac:dyDescent="0.25">
      <c r="A162" s="3">
        <f t="shared" si="7"/>
        <v>78989</v>
      </c>
      <c r="B162" t="str">
        <f ca="1">TEXT(DATE(YEAR(Invoer!$A$5),1,1)+INT((ROWS(B$2:B162)-1)/24),"""18""jjmmdd")</f>
        <v>18980107</v>
      </c>
      <c r="C162" s="11" t="str">
        <f>INDEX(Data,2,2+MOD(ROWS(C$2:C162)-1,24))</f>
        <v>17.00</v>
      </c>
      <c r="D162" s="8" t="str">
        <f t="shared" ca="1" si="8"/>
        <v>—</v>
      </c>
      <c r="E162" s="16">
        <f t="shared" ca="1" si="9"/>
        <v>7</v>
      </c>
    </row>
    <row r="163" spans="1:5" x14ac:dyDescent="0.25">
      <c r="A163" s="3">
        <f t="shared" si="7"/>
        <v>78989</v>
      </c>
      <c r="B163" t="str">
        <f ca="1">TEXT(DATE(YEAR(Invoer!$A$5),1,1)+INT((ROWS(B$2:B163)-1)/24),"""18""jjmmdd")</f>
        <v>18980107</v>
      </c>
      <c r="C163" s="11" t="str">
        <f>INDEX(Data,2,2+MOD(ROWS(C$2:C163)-1,24))</f>
        <v>18.00</v>
      </c>
      <c r="D163" s="8" t="str">
        <f t="shared" ca="1" si="8"/>
        <v>—</v>
      </c>
      <c r="E163" s="16">
        <f t="shared" ca="1" si="9"/>
        <v>7</v>
      </c>
    </row>
    <row r="164" spans="1:5" x14ac:dyDescent="0.25">
      <c r="A164" s="3">
        <f t="shared" si="7"/>
        <v>78989</v>
      </c>
      <c r="B164" t="str">
        <f ca="1">TEXT(DATE(YEAR(Invoer!$A$5),1,1)+INT((ROWS(B$2:B164)-1)/24),"""18""jjmmdd")</f>
        <v>18980107</v>
      </c>
      <c r="C164" s="11" t="str">
        <f>INDEX(Data,2,2+MOD(ROWS(C$2:C164)-1,24))</f>
        <v>19.00</v>
      </c>
      <c r="D164" s="8" t="str">
        <f t="shared" ca="1" si="8"/>
        <v>—</v>
      </c>
      <c r="E164" s="16">
        <f t="shared" ca="1" si="9"/>
        <v>7</v>
      </c>
    </row>
    <row r="165" spans="1:5" x14ac:dyDescent="0.25">
      <c r="A165" s="3">
        <f t="shared" si="7"/>
        <v>78989</v>
      </c>
      <c r="B165" t="str">
        <f ca="1">TEXT(DATE(YEAR(Invoer!$A$5),1,1)+INT((ROWS(B$2:B165)-1)/24),"""18""jjmmdd")</f>
        <v>18980107</v>
      </c>
      <c r="C165" s="11" t="str">
        <f>INDEX(Data,2,2+MOD(ROWS(C$2:C165)-1,24))</f>
        <v>20.00</v>
      </c>
      <c r="D165" s="8" t="str">
        <f t="shared" ca="1" si="8"/>
        <v>—</v>
      </c>
      <c r="E165" s="16">
        <f t="shared" ca="1" si="9"/>
        <v>7</v>
      </c>
    </row>
    <row r="166" spans="1:5" x14ac:dyDescent="0.25">
      <c r="A166" s="3">
        <f t="shared" si="7"/>
        <v>78989</v>
      </c>
      <c r="B166" t="str">
        <f ca="1">TEXT(DATE(YEAR(Invoer!$A$5),1,1)+INT((ROWS(B$2:B166)-1)/24),"""18""jjmmdd")</f>
        <v>18980107</v>
      </c>
      <c r="C166" s="11" t="str">
        <f>INDEX(Data,2,2+MOD(ROWS(C$2:C166)-1,24))</f>
        <v>21.00</v>
      </c>
      <c r="D166" s="8" t="str">
        <f t="shared" ca="1" si="8"/>
        <v>—</v>
      </c>
      <c r="E166" s="16">
        <f t="shared" ca="1" si="9"/>
        <v>7</v>
      </c>
    </row>
    <row r="167" spans="1:5" x14ac:dyDescent="0.25">
      <c r="A167" s="3">
        <f t="shared" si="7"/>
        <v>78989</v>
      </c>
      <c r="B167" t="str">
        <f ca="1">TEXT(DATE(YEAR(Invoer!$A$5),1,1)+INT((ROWS(B$2:B167)-1)/24),"""18""jjmmdd")</f>
        <v>18980107</v>
      </c>
      <c r="C167" s="11" t="str">
        <f>INDEX(Data,2,2+MOD(ROWS(C$2:C167)-1,24))</f>
        <v>22.00</v>
      </c>
      <c r="D167" s="8" t="str">
        <f t="shared" ca="1" si="8"/>
        <v>—</v>
      </c>
      <c r="E167" s="16">
        <f t="shared" ca="1" si="9"/>
        <v>7</v>
      </c>
    </row>
    <row r="168" spans="1:5" x14ac:dyDescent="0.25">
      <c r="A168" s="3">
        <f t="shared" si="7"/>
        <v>78989</v>
      </c>
      <c r="B168" t="str">
        <f ca="1">TEXT(DATE(YEAR(Invoer!$A$5),1,1)+INT((ROWS(B$2:B168)-1)/24),"""18""jjmmdd")</f>
        <v>18980107</v>
      </c>
      <c r="C168" s="11" t="str">
        <f>INDEX(Data,2,2+MOD(ROWS(C$2:C168)-1,24))</f>
        <v>23.00</v>
      </c>
      <c r="D168" s="8" t="str">
        <f t="shared" ca="1" si="8"/>
        <v>—</v>
      </c>
      <c r="E168" s="16">
        <f t="shared" ca="1" si="9"/>
        <v>7</v>
      </c>
    </row>
    <row r="169" spans="1:5" x14ac:dyDescent="0.25">
      <c r="A169" s="3">
        <f t="shared" si="7"/>
        <v>78989</v>
      </c>
      <c r="B169" t="str">
        <f ca="1">TEXT(DATE(YEAR(Invoer!$A$5),1,1)+INT((ROWS(B$2:B169)-1)/24),"""18""jjmmdd")</f>
        <v>18980107</v>
      </c>
      <c r="C169" s="11" t="str">
        <f>INDEX(Data,2,2+MOD(ROWS(C$2:C169)-1,24))</f>
        <v>24.00</v>
      </c>
      <c r="D169" s="8" t="str">
        <f t="shared" ca="1" si="8"/>
        <v>—</v>
      </c>
      <c r="E169" s="16">
        <f t="shared" ca="1" si="9"/>
        <v>7</v>
      </c>
    </row>
    <row r="170" spans="1:5" x14ac:dyDescent="0.25">
      <c r="A170" s="3">
        <f t="shared" si="7"/>
        <v>78989</v>
      </c>
      <c r="B170" t="str">
        <f ca="1">TEXT(DATE(YEAR(Invoer!$A$5),1,1)+INT((ROWS(B$2:B170)-1)/24),"""18""jjmmdd")</f>
        <v>18980108</v>
      </c>
      <c r="C170" s="11" t="str">
        <f>INDEX(Data,2,2+MOD(ROWS(C$2:C170)-1,24))</f>
        <v>01.00</v>
      </c>
      <c r="D170" s="8" t="str">
        <f t="shared" ca="1" si="8"/>
        <v>—</v>
      </c>
      <c r="E170" s="16">
        <f t="shared" ca="1" si="9"/>
        <v>7</v>
      </c>
    </row>
    <row r="171" spans="1:5" x14ac:dyDescent="0.25">
      <c r="A171" s="3">
        <f t="shared" si="7"/>
        <v>78989</v>
      </c>
      <c r="B171" t="str">
        <f ca="1">TEXT(DATE(YEAR(Invoer!$A$5),1,1)+INT((ROWS(B$2:B171)-1)/24),"""18""jjmmdd")</f>
        <v>18980108</v>
      </c>
      <c r="C171" s="11" t="str">
        <f>INDEX(Data,2,2+MOD(ROWS(C$2:C171)-1,24))</f>
        <v>02.00</v>
      </c>
      <c r="D171" s="8" t="str">
        <f t="shared" ca="1" si="8"/>
        <v>—</v>
      </c>
      <c r="E171" s="16">
        <f t="shared" ca="1" si="9"/>
        <v>7</v>
      </c>
    </row>
    <row r="172" spans="1:5" x14ac:dyDescent="0.25">
      <c r="A172" s="3">
        <f t="shared" si="7"/>
        <v>78989</v>
      </c>
      <c r="B172" t="str">
        <f ca="1">TEXT(DATE(YEAR(Invoer!$A$5),1,1)+INT((ROWS(B$2:B172)-1)/24),"""18""jjmmdd")</f>
        <v>18980108</v>
      </c>
      <c r="C172" s="11" t="str">
        <f>INDEX(Data,2,2+MOD(ROWS(C$2:C172)-1,24))</f>
        <v>03.00</v>
      </c>
      <c r="D172" s="8" t="str">
        <f t="shared" ca="1" si="8"/>
        <v>—</v>
      </c>
      <c r="E172" s="16">
        <f t="shared" ca="1" si="9"/>
        <v>7</v>
      </c>
    </row>
    <row r="173" spans="1:5" x14ac:dyDescent="0.25">
      <c r="A173" s="3">
        <f t="shared" si="7"/>
        <v>78989</v>
      </c>
      <c r="B173" t="str">
        <f ca="1">TEXT(DATE(YEAR(Invoer!$A$5),1,1)+INT((ROWS(B$2:B173)-1)/24),"""18""jjmmdd")</f>
        <v>18980108</v>
      </c>
      <c r="C173" s="11" t="str">
        <f>INDEX(Data,2,2+MOD(ROWS(C$2:C173)-1,24))</f>
        <v>04.00</v>
      </c>
      <c r="D173" s="8" t="str">
        <f t="shared" ca="1" si="8"/>
        <v>—</v>
      </c>
      <c r="E173" s="16">
        <f t="shared" ca="1" si="9"/>
        <v>7</v>
      </c>
    </row>
    <row r="174" spans="1:5" x14ac:dyDescent="0.25">
      <c r="A174" s="3">
        <f t="shared" si="7"/>
        <v>78989</v>
      </c>
      <c r="B174" t="str">
        <f ca="1">TEXT(DATE(YEAR(Invoer!$A$5),1,1)+INT((ROWS(B$2:B174)-1)/24),"""18""jjmmdd")</f>
        <v>18980108</v>
      </c>
      <c r="C174" s="11" t="str">
        <f>INDEX(Data,2,2+MOD(ROWS(C$2:C174)-1,24))</f>
        <v>05.00</v>
      </c>
      <c r="D174" s="8" t="str">
        <f t="shared" ca="1" si="8"/>
        <v>—</v>
      </c>
      <c r="E174" s="16">
        <f t="shared" ca="1" si="9"/>
        <v>7</v>
      </c>
    </row>
    <row r="175" spans="1:5" x14ac:dyDescent="0.25">
      <c r="A175" s="3">
        <f t="shared" si="7"/>
        <v>78989</v>
      </c>
      <c r="B175" t="str">
        <f ca="1">TEXT(DATE(YEAR(Invoer!$A$5),1,1)+INT((ROWS(B$2:B175)-1)/24),"""18""jjmmdd")</f>
        <v>18980108</v>
      </c>
      <c r="C175" s="11" t="str">
        <f>INDEX(Data,2,2+MOD(ROWS(C$2:C175)-1,24))</f>
        <v>06.00</v>
      </c>
      <c r="D175" s="8" t="str">
        <f t="shared" ca="1" si="8"/>
        <v>—</v>
      </c>
      <c r="E175" s="16">
        <f t="shared" ca="1" si="9"/>
        <v>7</v>
      </c>
    </row>
    <row r="176" spans="1:5" x14ac:dyDescent="0.25">
      <c r="A176" s="3">
        <f t="shared" si="7"/>
        <v>78989</v>
      </c>
      <c r="B176" t="str">
        <f ca="1">TEXT(DATE(YEAR(Invoer!$A$5),1,1)+INT((ROWS(B$2:B176)-1)/24),"""18""jjmmdd")</f>
        <v>18980108</v>
      </c>
      <c r="C176" s="11" t="str">
        <f>INDEX(Data,2,2+MOD(ROWS(C$2:C176)-1,24))</f>
        <v>07.00</v>
      </c>
      <c r="D176" s="8" t="str">
        <f t="shared" ca="1" si="8"/>
        <v>—</v>
      </c>
      <c r="E176" s="16">
        <f t="shared" ca="1" si="9"/>
        <v>7</v>
      </c>
    </row>
    <row r="177" spans="1:5" x14ac:dyDescent="0.25">
      <c r="A177" s="3">
        <f t="shared" si="7"/>
        <v>78989</v>
      </c>
      <c r="B177" t="str">
        <f ca="1">TEXT(DATE(YEAR(Invoer!$A$5),1,1)+INT((ROWS(B$2:B177)-1)/24),"""18""jjmmdd")</f>
        <v>18980108</v>
      </c>
      <c r="C177" s="11" t="str">
        <f>INDEX(Data,2,2+MOD(ROWS(C$2:C177)-1,24))</f>
        <v>08.00</v>
      </c>
      <c r="D177" s="8" t="str">
        <f t="shared" ca="1" si="8"/>
        <v>—</v>
      </c>
      <c r="E177" s="16">
        <f t="shared" ca="1" si="9"/>
        <v>7</v>
      </c>
    </row>
    <row r="178" spans="1:5" x14ac:dyDescent="0.25">
      <c r="A178" s="3">
        <f t="shared" si="7"/>
        <v>78989</v>
      </c>
      <c r="B178" t="str">
        <f ca="1">TEXT(DATE(YEAR(Invoer!$A$5),1,1)+INT((ROWS(B$2:B178)-1)/24),"""18""jjmmdd")</f>
        <v>18980108</v>
      </c>
      <c r="C178" s="11" t="str">
        <f>INDEX(Data,2,2+MOD(ROWS(C$2:C178)-1,24))</f>
        <v>09.00</v>
      </c>
      <c r="D178" s="8" t="str">
        <f t="shared" ca="1" si="8"/>
        <v>—</v>
      </c>
      <c r="E178" s="16">
        <f t="shared" ca="1" si="9"/>
        <v>7</v>
      </c>
    </row>
    <row r="179" spans="1:5" x14ac:dyDescent="0.25">
      <c r="A179" s="3">
        <f t="shared" si="7"/>
        <v>78989</v>
      </c>
      <c r="B179" t="str">
        <f ca="1">TEXT(DATE(YEAR(Invoer!$A$5),1,1)+INT((ROWS(B$2:B179)-1)/24),"""18""jjmmdd")</f>
        <v>18980108</v>
      </c>
      <c r="C179" s="11" t="str">
        <f>INDEX(Data,2,2+MOD(ROWS(C$2:C179)-1,24))</f>
        <v>10.00</v>
      </c>
      <c r="D179" s="8" t="str">
        <f t="shared" ca="1" si="8"/>
        <v>—</v>
      </c>
      <c r="E179" s="16">
        <f t="shared" ca="1" si="9"/>
        <v>7</v>
      </c>
    </row>
    <row r="180" spans="1:5" x14ac:dyDescent="0.25">
      <c r="A180" s="3">
        <f t="shared" si="7"/>
        <v>78989</v>
      </c>
      <c r="B180" t="str">
        <f ca="1">TEXT(DATE(YEAR(Invoer!$A$5),1,1)+INT((ROWS(B$2:B180)-1)/24),"""18""jjmmdd")</f>
        <v>18980108</v>
      </c>
      <c r="C180" s="11" t="str">
        <f>INDEX(Data,2,2+MOD(ROWS(C$2:C180)-1,24))</f>
        <v>11.00</v>
      </c>
      <c r="D180" s="8" t="str">
        <f t="shared" ca="1" si="8"/>
        <v>—</v>
      </c>
      <c r="E180" s="16">
        <f t="shared" ca="1" si="9"/>
        <v>7</v>
      </c>
    </row>
    <row r="181" spans="1:5" x14ac:dyDescent="0.25">
      <c r="A181" s="3">
        <f t="shared" si="7"/>
        <v>78989</v>
      </c>
      <c r="B181" t="str">
        <f ca="1">TEXT(DATE(YEAR(Invoer!$A$5),1,1)+INT((ROWS(B$2:B181)-1)/24),"""18""jjmmdd")</f>
        <v>18980108</v>
      </c>
      <c r="C181" s="11" t="str">
        <f>INDEX(Data,2,2+MOD(ROWS(C$2:C181)-1,24))</f>
        <v>12.00</v>
      </c>
      <c r="D181" s="8" t="str">
        <f t="shared" ca="1" si="8"/>
        <v>—</v>
      </c>
      <c r="E181" s="16">
        <f t="shared" ca="1" si="9"/>
        <v>7</v>
      </c>
    </row>
    <row r="182" spans="1:5" x14ac:dyDescent="0.25">
      <c r="A182" s="3">
        <f t="shared" si="7"/>
        <v>78989</v>
      </c>
      <c r="B182" t="str">
        <f ca="1">TEXT(DATE(YEAR(Invoer!$A$5),1,1)+INT((ROWS(B$2:B182)-1)/24),"""18""jjmmdd")</f>
        <v>18980108</v>
      </c>
      <c r="C182" s="11" t="str">
        <f>INDEX(Data,2,2+MOD(ROWS(C$2:C182)-1,24))</f>
        <v>13.00</v>
      </c>
      <c r="D182" s="8" t="str">
        <f t="shared" ca="1" si="8"/>
        <v>—</v>
      </c>
      <c r="E182" s="16">
        <f t="shared" ca="1" si="9"/>
        <v>7</v>
      </c>
    </row>
    <row r="183" spans="1:5" x14ac:dyDescent="0.25">
      <c r="A183" s="3">
        <f t="shared" si="7"/>
        <v>78989</v>
      </c>
      <c r="B183" t="str">
        <f ca="1">TEXT(DATE(YEAR(Invoer!$A$5),1,1)+INT((ROWS(B$2:B183)-1)/24),"""18""jjmmdd")</f>
        <v>18980108</v>
      </c>
      <c r="C183" s="11" t="str">
        <f>INDEX(Data,2,2+MOD(ROWS(C$2:C183)-1,24))</f>
        <v>14.00</v>
      </c>
      <c r="D183" s="8" t="str">
        <f t="shared" ca="1" si="8"/>
        <v>—</v>
      </c>
      <c r="E183" s="16">
        <f t="shared" ca="1" si="9"/>
        <v>7</v>
      </c>
    </row>
    <row r="184" spans="1:5" x14ac:dyDescent="0.25">
      <c r="A184" s="3">
        <f t="shared" si="7"/>
        <v>78989</v>
      </c>
      <c r="B184" t="str">
        <f ca="1">TEXT(DATE(YEAR(Invoer!$A$5),1,1)+INT((ROWS(B$2:B184)-1)/24),"""18""jjmmdd")</f>
        <v>18980108</v>
      </c>
      <c r="C184" s="11" t="str">
        <f>INDEX(Data,2,2+MOD(ROWS(C$2:C184)-1,24))</f>
        <v>15.00</v>
      </c>
      <c r="D184" s="8" t="str">
        <f t="shared" ca="1" si="8"/>
        <v>—</v>
      </c>
      <c r="E184" s="16">
        <f t="shared" ca="1" si="9"/>
        <v>7</v>
      </c>
    </row>
    <row r="185" spans="1:5" x14ac:dyDescent="0.25">
      <c r="A185" s="3">
        <f t="shared" si="7"/>
        <v>78989</v>
      </c>
      <c r="B185" t="str">
        <f ca="1">TEXT(DATE(YEAR(Invoer!$A$5),1,1)+INT((ROWS(B$2:B185)-1)/24),"""18""jjmmdd")</f>
        <v>18980108</v>
      </c>
      <c r="C185" s="11" t="str">
        <f>INDEX(Data,2,2+MOD(ROWS(C$2:C185)-1,24))</f>
        <v>16.00</v>
      </c>
      <c r="D185" s="8" t="str">
        <f t="shared" ca="1" si="8"/>
        <v>—</v>
      </c>
      <c r="E185" s="16">
        <f t="shared" ca="1" si="9"/>
        <v>7</v>
      </c>
    </row>
    <row r="186" spans="1:5" x14ac:dyDescent="0.25">
      <c r="A186" s="3">
        <f t="shared" si="7"/>
        <v>78989</v>
      </c>
      <c r="B186" t="str">
        <f ca="1">TEXT(DATE(YEAR(Invoer!$A$5),1,1)+INT((ROWS(B$2:B186)-1)/24),"""18""jjmmdd")</f>
        <v>18980108</v>
      </c>
      <c r="C186" s="11" t="str">
        <f>INDEX(Data,2,2+MOD(ROWS(C$2:C186)-1,24))</f>
        <v>17.00</v>
      </c>
      <c r="D186" s="8" t="str">
        <f t="shared" ca="1" si="8"/>
        <v>—</v>
      </c>
      <c r="E186" s="16">
        <f t="shared" ca="1" si="9"/>
        <v>7</v>
      </c>
    </row>
    <row r="187" spans="1:5" x14ac:dyDescent="0.25">
      <c r="A187" s="3">
        <f t="shared" si="7"/>
        <v>78989</v>
      </c>
      <c r="B187" t="str">
        <f ca="1">TEXT(DATE(YEAR(Invoer!$A$5),1,1)+INT((ROWS(B$2:B187)-1)/24),"""18""jjmmdd")</f>
        <v>18980108</v>
      </c>
      <c r="C187" s="11" t="str">
        <f>INDEX(Data,2,2+MOD(ROWS(C$2:C187)-1,24))</f>
        <v>18.00</v>
      </c>
      <c r="D187" s="8" t="str">
        <f t="shared" ca="1" si="8"/>
        <v>—</v>
      </c>
      <c r="E187" s="16">
        <f t="shared" ca="1" si="9"/>
        <v>7</v>
      </c>
    </row>
    <row r="188" spans="1:5" x14ac:dyDescent="0.25">
      <c r="A188" s="3">
        <f t="shared" si="7"/>
        <v>78989</v>
      </c>
      <c r="B188" t="str">
        <f ca="1">TEXT(DATE(YEAR(Invoer!$A$5),1,1)+INT((ROWS(B$2:B188)-1)/24),"""18""jjmmdd")</f>
        <v>18980108</v>
      </c>
      <c r="C188" s="11" t="str">
        <f>INDEX(Data,2,2+MOD(ROWS(C$2:C188)-1,24))</f>
        <v>19.00</v>
      </c>
      <c r="D188" s="8" t="str">
        <f t="shared" ca="1" si="8"/>
        <v>—</v>
      </c>
      <c r="E188" s="16">
        <f t="shared" ca="1" si="9"/>
        <v>7</v>
      </c>
    </row>
    <row r="189" spans="1:5" x14ac:dyDescent="0.25">
      <c r="A189" s="3">
        <f t="shared" si="7"/>
        <v>78989</v>
      </c>
      <c r="B189" t="str">
        <f ca="1">TEXT(DATE(YEAR(Invoer!$A$5),1,1)+INT((ROWS(B$2:B189)-1)/24),"""18""jjmmdd")</f>
        <v>18980108</v>
      </c>
      <c r="C189" s="11" t="str">
        <f>INDEX(Data,2,2+MOD(ROWS(C$2:C189)-1,24))</f>
        <v>20.00</v>
      </c>
      <c r="D189" s="8" t="str">
        <f t="shared" ca="1" si="8"/>
        <v>—</v>
      </c>
      <c r="E189" s="16">
        <f t="shared" ca="1" si="9"/>
        <v>7</v>
      </c>
    </row>
    <row r="190" spans="1:5" x14ac:dyDescent="0.25">
      <c r="A190" s="3">
        <f t="shared" si="7"/>
        <v>78989</v>
      </c>
      <c r="B190" t="str">
        <f ca="1">TEXT(DATE(YEAR(Invoer!$A$5),1,1)+INT((ROWS(B$2:B190)-1)/24),"""18""jjmmdd")</f>
        <v>18980108</v>
      </c>
      <c r="C190" s="11" t="str">
        <f>INDEX(Data,2,2+MOD(ROWS(C$2:C190)-1,24))</f>
        <v>21.00</v>
      </c>
      <c r="D190" s="8" t="str">
        <f t="shared" ca="1" si="8"/>
        <v>—</v>
      </c>
      <c r="E190" s="16">
        <f t="shared" ca="1" si="9"/>
        <v>7</v>
      </c>
    </row>
    <row r="191" spans="1:5" x14ac:dyDescent="0.25">
      <c r="A191" s="3">
        <f t="shared" si="7"/>
        <v>78989</v>
      </c>
      <c r="B191" t="str">
        <f ca="1">TEXT(DATE(YEAR(Invoer!$A$5),1,1)+INT((ROWS(B$2:B191)-1)/24),"""18""jjmmdd")</f>
        <v>18980108</v>
      </c>
      <c r="C191" s="11" t="str">
        <f>INDEX(Data,2,2+MOD(ROWS(C$2:C191)-1,24))</f>
        <v>22.00</v>
      </c>
      <c r="D191" s="8" t="str">
        <f t="shared" ca="1" si="8"/>
        <v>—</v>
      </c>
      <c r="E191" s="16">
        <f t="shared" ca="1" si="9"/>
        <v>7</v>
      </c>
    </row>
    <row r="192" spans="1:5" x14ac:dyDescent="0.25">
      <c r="A192" s="3">
        <f t="shared" si="7"/>
        <v>78989</v>
      </c>
      <c r="B192" t="str">
        <f ca="1">TEXT(DATE(YEAR(Invoer!$A$5),1,1)+INT((ROWS(B$2:B192)-1)/24),"""18""jjmmdd")</f>
        <v>18980108</v>
      </c>
      <c r="C192" s="11" t="str">
        <f>INDEX(Data,2,2+MOD(ROWS(C$2:C192)-1,24))</f>
        <v>23.00</v>
      </c>
      <c r="D192" s="8" t="str">
        <f t="shared" ca="1" si="8"/>
        <v>—</v>
      </c>
      <c r="E192" s="16">
        <f t="shared" ca="1" si="9"/>
        <v>7</v>
      </c>
    </row>
    <row r="193" spans="1:5" x14ac:dyDescent="0.25">
      <c r="A193" s="3">
        <f t="shared" si="7"/>
        <v>78989</v>
      </c>
      <c r="B193" t="str">
        <f ca="1">TEXT(DATE(YEAR(Invoer!$A$5),1,1)+INT((ROWS(B$2:B193)-1)/24),"""18""jjmmdd")</f>
        <v>18980108</v>
      </c>
      <c r="C193" s="11" t="str">
        <f>INDEX(Data,2,2+MOD(ROWS(C$2:C193)-1,24))</f>
        <v>24.00</v>
      </c>
      <c r="D193" s="8" t="str">
        <f t="shared" ca="1" si="8"/>
        <v>—</v>
      </c>
      <c r="E193" s="16">
        <f t="shared" ca="1" si="9"/>
        <v>7</v>
      </c>
    </row>
    <row r="194" spans="1:5" x14ac:dyDescent="0.25">
      <c r="A194" s="3">
        <f t="shared" ref="A194:A257" si="10">INDEX(Stations,2,1)</f>
        <v>78989</v>
      </c>
      <c r="B194" t="str">
        <f ca="1">TEXT(DATE(YEAR(Invoer!$A$5),1,1)+INT((ROWS(B$2:B194)-1)/24),"""18""jjmmdd")</f>
        <v>18980109</v>
      </c>
      <c r="C194" s="11" t="str">
        <f>INDEX(Data,2,2+MOD(ROWS(C$2:C194)-1,24))</f>
        <v>01.00</v>
      </c>
      <c r="D194" s="8" t="str">
        <f t="shared" ref="D194:D257" ca="1" si="11">IF(OR(ISBLANK(VLOOKUP(DATEVALUE("37"&amp;MID($B194,3,2)&amp;"-"&amp;MID($B194,5,2)&amp;"-"&amp;RIGHT($B194,2)),Data,MATCH(LEFT(VLOOKUP(D$1,Parameters,2,FALSE()),4)&amp;"*",OFFSET(Data,0,0,1),0)+MATCH($C194,OFFSET(Data,1,0,1),0)-2,FALSE())),ISTEXT(VLOOKUP(DATEVALUE("37"&amp;MID($B194,3,2)&amp;"-"&amp;MID($B194,5,2)&amp;"-"&amp;RIGHT($B194,2)),Data,MATCH(LEFT(VLOOKUP(D$1,Parameters,2,FALSE()),4)&amp;"*",OFFSET(Data,0,0,1),0)+MATCH($C194,OFFSET(Data,1,0,1),0)-2,FALSE()))),"—",VLOOKUP(DATEVALUE("37"&amp;MID($B194,3,2)&amp;"-"&amp;MID($B194,5,2)&amp;"-"&amp;RIGHT($B194,2)),Data,MATCH(LEFT(VLOOKUP(D$1,Parameters,2,FALSE()),4)&amp;"*",OFFSET(Data,0,0,1),0)+MATCH($C194,OFFSET(Data,1,0,1),0)-2,FALSE()))</f>
        <v>—</v>
      </c>
      <c r="E194" s="16">
        <f t="shared" ca="1" si="9"/>
        <v>7</v>
      </c>
    </row>
    <row r="195" spans="1:5" x14ac:dyDescent="0.25">
      <c r="A195" s="3">
        <f t="shared" si="10"/>
        <v>78989</v>
      </c>
      <c r="B195" t="str">
        <f ca="1">TEXT(DATE(YEAR(Invoer!$A$5),1,1)+INT((ROWS(B$2:B195)-1)/24),"""18""jjmmdd")</f>
        <v>18980109</v>
      </c>
      <c r="C195" s="11" t="str">
        <f>INDEX(Data,2,2+MOD(ROWS(C$2:C195)-1,24))</f>
        <v>02.00</v>
      </c>
      <c r="D195" s="8" t="str">
        <f t="shared" ca="1" si="11"/>
        <v>—</v>
      </c>
      <c r="E195" s="16">
        <f t="shared" ref="E195:E258" ca="1" si="12">IF(OR(ISBLANK(VLOOKUP(DATEVALUE("37"&amp;MID($B195,3,2)&amp;"-"&amp;MID($B195,5,2)&amp;"-"&amp;RIGHT($B195,2)),Data,MATCH(LEFT(VLOOKUP(D$1,Parameters,2,FALSE()),4)&amp;"*",OFFSET(Data,0,0,1),0)+MATCH($C195,OFFSET(Data,1,0,1),0)-2,FALSE())),ISTEXT(VLOOKUP(DATEVALUE("37"&amp;MID($B195,3,2)&amp;"-"&amp;MID($B195,5,2)&amp;"-"&amp;RIGHT($B195,2)),Data,MATCH(LEFT(VLOOKUP(D$1,Parameters,2,FALSE()),4)&amp;"*",OFFSET(Data,0,0,1),0)+MATCH($C195,OFFSET(Data,1,0,1),0)-2,FALSE()))),Lacking,IF(ISNA(MATCH(DATEVALUE("37"&amp;MID($B195,3,2)&amp;"-"&amp;MID($B195,5,2)&amp;"-"&amp;RIGHT($B195,2)),OFFSET(Catalogus,0,0,,1),0)),Ok,VLOOKUP(DATEVALUE("37"&amp;MID($B195,3,2)&amp;"-"&amp;MID($B195,5,2)&amp;"-"&amp;RIGHT($B195,2)),Catalogus,MATCH(LEFT(VLOOKUP(MID(E$1,2,LEN(E$1)-1),Parameters,2,FALSE()),4)&amp;"*",OFFSET(Catalogus,0,0,1),0)+MATCH($C195,OFFSET(Catalogus,1,0,1),0)-2,FALSE())))</f>
        <v>7</v>
      </c>
    </row>
    <row r="196" spans="1:5" x14ac:dyDescent="0.25">
      <c r="A196" s="3">
        <f t="shared" si="10"/>
        <v>78989</v>
      </c>
      <c r="B196" t="str">
        <f ca="1">TEXT(DATE(YEAR(Invoer!$A$5),1,1)+INT((ROWS(B$2:B196)-1)/24),"""18""jjmmdd")</f>
        <v>18980109</v>
      </c>
      <c r="C196" s="11" t="str">
        <f>INDEX(Data,2,2+MOD(ROWS(C$2:C196)-1,24))</f>
        <v>03.00</v>
      </c>
      <c r="D196" s="8" t="str">
        <f t="shared" ca="1" si="11"/>
        <v>—</v>
      </c>
      <c r="E196" s="16">
        <f t="shared" ca="1" si="12"/>
        <v>7</v>
      </c>
    </row>
    <row r="197" spans="1:5" x14ac:dyDescent="0.25">
      <c r="A197" s="3">
        <f t="shared" si="10"/>
        <v>78989</v>
      </c>
      <c r="B197" t="str">
        <f ca="1">TEXT(DATE(YEAR(Invoer!$A$5),1,1)+INT((ROWS(B$2:B197)-1)/24),"""18""jjmmdd")</f>
        <v>18980109</v>
      </c>
      <c r="C197" s="11" t="str">
        <f>INDEX(Data,2,2+MOD(ROWS(C$2:C197)-1,24))</f>
        <v>04.00</v>
      </c>
      <c r="D197" s="8" t="str">
        <f t="shared" ca="1" si="11"/>
        <v>—</v>
      </c>
      <c r="E197" s="16">
        <f t="shared" ca="1" si="12"/>
        <v>7</v>
      </c>
    </row>
    <row r="198" spans="1:5" x14ac:dyDescent="0.25">
      <c r="A198" s="3">
        <f t="shared" si="10"/>
        <v>78989</v>
      </c>
      <c r="B198" t="str">
        <f ca="1">TEXT(DATE(YEAR(Invoer!$A$5),1,1)+INT((ROWS(B$2:B198)-1)/24),"""18""jjmmdd")</f>
        <v>18980109</v>
      </c>
      <c r="C198" s="11" t="str">
        <f>INDEX(Data,2,2+MOD(ROWS(C$2:C198)-1,24))</f>
        <v>05.00</v>
      </c>
      <c r="D198" s="8" t="str">
        <f t="shared" ca="1" si="11"/>
        <v>—</v>
      </c>
      <c r="E198" s="16">
        <f t="shared" ca="1" si="12"/>
        <v>7</v>
      </c>
    </row>
    <row r="199" spans="1:5" x14ac:dyDescent="0.25">
      <c r="A199" s="3">
        <f t="shared" si="10"/>
        <v>78989</v>
      </c>
      <c r="B199" t="str">
        <f ca="1">TEXT(DATE(YEAR(Invoer!$A$5),1,1)+INT((ROWS(B$2:B199)-1)/24),"""18""jjmmdd")</f>
        <v>18980109</v>
      </c>
      <c r="C199" s="11" t="str">
        <f>INDEX(Data,2,2+MOD(ROWS(C$2:C199)-1,24))</f>
        <v>06.00</v>
      </c>
      <c r="D199" s="8" t="str">
        <f t="shared" ca="1" si="11"/>
        <v>—</v>
      </c>
      <c r="E199" s="16">
        <f t="shared" ca="1" si="12"/>
        <v>7</v>
      </c>
    </row>
    <row r="200" spans="1:5" x14ac:dyDescent="0.25">
      <c r="A200" s="3">
        <f t="shared" si="10"/>
        <v>78989</v>
      </c>
      <c r="B200" t="str">
        <f ca="1">TEXT(DATE(YEAR(Invoer!$A$5),1,1)+INT((ROWS(B$2:B200)-1)/24),"""18""jjmmdd")</f>
        <v>18980109</v>
      </c>
      <c r="C200" s="11" t="str">
        <f>INDEX(Data,2,2+MOD(ROWS(C$2:C200)-1,24))</f>
        <v>07.00</v>
      </c>
      <c r="D200" s="8" t="str">
        <f t="shared" ca="1" si="11"/>
        <v>—</v>
      </c>
      <c r="E200" s="16">
        <f t="shared" ca="1" si="12"/>
        <v>7</v>
      </c>
    </row>
    <row r="201" spans="1:5" x14ac:dyDescent="0.25">
      <c r="A201" s="3">
        <f t="shared" si="10"/>
        <v>78989</v>
      </c>
      <c r="B201" t="str">
        <f ca="1">TEXT(DATE(YEAR(Invoer!$A$5),1,1)+INT((ROWS(B$2:B201)-1)/24),"""18""jjmmdd")</f>
        <v>18980109</v>
      </c>
      <c r="C201" s="11" t="str">
        <f>INDEX(Data,2,2+MOD(ROWS(C$2:C201)-1,24))</f>
        <v>08.00</v>
      </c>
      <c r="D201" s="8" t="str">
        <f t="shared" ca="1" si="11"/>
        <v>—</v>
      </c>
      <c r="E201" s="16">
        <f t="shared" ca="1" si="12"/>
        <v>7</v>
      </c>
    </row>
    <row r="202" spans="1:5" x14ac:dyDescent="0.25">
      <c r="A202" s="3">
        <f t="shared" si="10"/>
        <v>78989</v>
      </c>
      <c r="B202" t="str">
        <f ca="1">TEXT(DATE(YEAR(Invoer!$A$5),1,1)+INT((ROWS(B$2:B202)-1)/24),"""18""jjmmdd")</f>
        <v>18980109</v>
      </c>
      <c r="C202" s="11" t="str">
        <f>INDEX(Data,2,2+MOD(ROWS(C$2:C202)-1,24))</f>
        <v>09.00</v>
      </c>
      <c r="D202" s="8" t="str">
        <f t="shared" ca="1" si="11"/>
        <v>—</v>
      </c>
      <c r="E202" s="16">
        <f t="shared" ca="1" si="12"/>
        <v>7</v>
      </c>
    </row>
    <row r="203" spans="1:5" x14ac:dyDescent="0.25">
      <c r="A203" s="3">
        <f t="shared" si="10"/>
        <v>78989</v>
      </c>
      <c r="B203" t="str">
        <f ca="1">TEXT(DATE(YEAR(Invoer!$A$5),1,1)+INT((ROWS(B$2:B203)-1)/24),"""18""jjmmdd")</f>
        <v>18980109</v>
      </c>
      <c r="C203" s="11" t="str">
        <f>INDEX(Data,2,2+MOD(ROWS(C$2:C203)-1,24))</f>
        <v>10.00</v>
      </c>
      <c r="D203" s="8" t="str">
        <f t="shared" ca="1" si="11"/>
        <v>—</v>
      </c>
      <c r="E203" s="16">
        <f t="shared" ca="1" si="12"/>
        <v>7</v>
      </c>
    </row>
    <row r="204" spans="1:5" x14ac:dyDescent="0.25">
      <c r="A204" s="3">
        <f t="shared" si="10"/>
        <v>78989</v>
      </c>
      <c r="B204" t="str">
        <f ca="1">TEXT(DATE(YEAR(Invoer!$A$5),1,1)+INT((ROWS(B$2:B204)-1)/24),"""18""jjmmdd")</f>
        <v>18980109</v>
      </c>
      <c r="C204" s="11" t="str">
        <f>INDEX(Data,2,2+MOD(ROWS(C$2:C204)-1,24))</f>
        <v>11.00</v>
      </c>
      <c r="D204" s="8" t="str">
        <f t="shared" ca="1" si="11"/>
        <v>—</v>
      </c>
      <c r="E204" s="16">
        <f t="shared" ca="1" si="12"/>
        <v>7</v>
      </c>
    </row>
    <row r="205" spans="1:5" x14ac:dyDescent="0.25">
      <c r="A205" s="3">
        <f t="shared" si="10"/>
        <v>78989</v>
      </c>
      <c r="B205" t="str">
        <f ca="1">TEXT(DATE(YEAR(Invoer!$A$5),1,1)+INT((ROWS(B$2:B205)-1)/24),"""18""jjmmdd")</f>
        <v>18980109</v>
      </c>
      <c r="C205" s="11" t="str">
        <f>INDEX(Data,2,2+MOD(ROWS(C$2:C205)-1,24))</f>
        <v>12.00</v>
      </c>
      <c r="D205" s="8" t="str">
        <f t="shared" ca="1" si="11"/>
        <v>—</v>
      </c>
      <c r="E205" s="16">
        <f t="shared" ca="1" si="12"/>
        <v>7</v>
      </c>
    </row>
    <row r="206" spans="1:5" x14ac:dyDescent="0.25">
      <c r="A206" s="3">
        <f t="shared" si="10"/>
        <v>78989</v>
      </c>
      <c r="B206" t="str">
        <f ca="1">TEXT(DATE(YEAR(Invoer!$A$5),1,1)+INT((ROWS(B$2:B206)-1)/24),"""18""jjmmdd")</f>
        <v>18980109</v>
      </c>
      <c r="C206" s="11" t="str">
        <f>INDEX(Data,2,2+MOD(ROWS(C$2:C206)-1,24))</f>
        <v>13.00</v>
      </c>
      <c r="D206" s="8" t="str">
        <f t="shared" ca="1" si="11"/>
        <v>—</v>
      </c>
      <c r="E206" s="16">
        <f t="shared" ca="1" si="12"/>
        <v>7</v>
      </c>
    </row>
    <row r="207" spans="1:5" x14ac:dyDescent="0.25">
      <c r="A207" s="3">
        <f t="shared" si="10"/>
        <v>78989</v>
      </c>
      <c r="B207" t="str">
        <f ca="1">TEXT(DATE(YEAR(Invoer!$A$5),1,1)+INT((ROWS(B$2:B207)-1)/24),"""18""jjmmdd")</f>
        <v>18980109</v>
      </c>
      <c r="C207" s="11" t="str">
        <f>INDEX(Data,2,2+MOD(ROWS(C$2:C207)-1,24))</f>
        <v>14.00</v>
      </c>
      <c r="D207" s="8" t="str">
        <f t="shared" ca="1" si="11"/>
        <v>—</v>
      </c>
      <c r="E207" s="16">
        <f t="shared" ca="1" si="12"/>
        <v>7</v>
      </c>
    </row>
    <row r="208" spans="1:5" x14ac:dyDescent="0.25">
      <c r="A208" s="3">
        <f t="shared" si="10"/>
        <v>78989</v>
      </c>
      <c r="B208" t="str">
        <f ca="1">TEXT(DATE(YEAR(Invoer!$A$5),1,1)+INT((ROWS(B$2:B208)-1)/24),"""18""jjmmdd")</f>
        <v>18980109</v>
      </c>
      <c r="C208" s="11" t="str">
        <f>INDEX(Data,2,2+MOD(ROWS(C$2:C208)-1,24))</f>
        <v>15.00</v>
      </c>
      <c r="D208" s="8" t="str">
        <f t="shared" ca="1" si="11"/>
        <v>—</v>
      </c>
      <c r="E208" s="16">
        <f t="shared" ca="1" si="12"/>
        <v>7</v>
      </c>
    </row>
    <row r="209" spans="1:5" x14ac:dyDescent="0.25">
      <c r="A209" s="3">
        <f t="shared" si="10"/>
        <v>78989</v>
      </c>
      <c r="B209" t="str">
        <f ca="1">TEXT(DATE(YEAR(Invoer!$A$5),1,1)+INT((ROWS(B$2:B209)-1)/24),"""18""jjmmdd")</f>
        <v>18980109</v>
      </c>
      <c r="C209" s="11" t="str">
        <f>INDEX(Data,2,2+MOD(ROWS(C$2:C209)-1,24))</f>
        <v>16.00</v>
      </c>
      <c r="D209" s="8" t="str">
        <f t="shared" ca="1" si="11"/>
        <v>—</v>
      </c>
      <c r="E209" s="16">
        <f t="shared" ca="1" si="12"/>
        <v>7</v>
      </c>
    </row>
    <row r="210" spans="1:5" x14ac:dyDescent="0.25">
      <c r="A210" s="3">
        <f t="shared" si="10"/>
        <v>78989</v>
      </c>
      <c r="B210" t="str">
        <f ca="1">TEXT(DATE(YEAR(Invoer!$A$5),1,1)+INT((ROWS(B$2:B210)-1)/24),"""18""jjmmdd")</f>
        <v>18980109</v>
      </c>
      <c r="C210" s="11" t="str">
        <f>INDEX(Data,2,2+MOD(ROWS(C$2:C210)-1,24))</f>
        <v>17.00</v>
      </c>
      <c r="D210" s="8" t="str">
        <f t="shared" ca="1" si="11"/>
        <v>—</v>
      </c>
      <c r="E210" s="16">
        <f t="shared" ca="1" si="12"/>
        <v>7</v>
      </c>
    </row>
    <row r="211" spans="1:5" x14ac:dyDescent="0.25">
      <c r="A211" s="3">
        <f t="shared" si="10"/>
        <v>78989</v>
      </c>
      <c r="B211" t="str">
        <f ca="1">TEXT(DATE(YEAR(Invoer!$A$5),1,1)+INT((ROWS(B$2:B211)-1)/24),"""18""jjmmdd")</f>
        <v>18980109</v>
      </c>
      <c r="C211" s="11" t="str">
        <f>INDEX(Data,2,2+MOD(ROWS(C$2:C211)-1,24))</f>
        <v>18.00</v>
      </c>
      <c r="D211" s="8" t="str">
        <f t="shared" ca="1" si="11"/>
        <v>—</v>
      </c>
      <c r="E211" s="16">
        <f t="shared" ca="1" si="12"/>
        <v>7</v>
      </c>
    </row>
    <row r="212" spans="1:5" x14ac:dyDescent="0.25">
      <c r="A212" s="3">
        <f t="shared" si="10"/>
        <v>78989</v>
      </c>
      <c r="B212" t="str">
        <f ca="1">TEXT(DATE(YEAR(Invoer!$A$5),1,1)+INT((ROWS(B$2:B212)-1)/24),"""18""jjmmdd")</f>
        <v>18980109</v>
      </c>
      <c r="C212" s="11" t="str">
        <f>INDEX(Data,2,2+MOD(ROWS(C$2:C212)-1,24))</f>
        <v>19.00</v>
      </c>
      <c r="D212" s="8" t="str">
        <f t="shared" ca="1" si="11"/>
        <v>—</v>
      </c>
      <c r="E212" s="16">
        <f t="shared" ca="1" si="12"/>
        <v>7</v>
      </c>
    </row>
    <row r="213" spans="1:5" x14ac:dyDescent="0.25">
      <c r="A213" s="3">
        <f t="shared" si="10"/>
        <v>78989</v>
      </c>
      <c r="B213" t="str">
        <f ca="1">TEXT(DATE(YEAR(Invoer!$A$5),1,1)+INT((ROWS(B$2:B213)-1)/24),"""18""jjmmdd")</f>
        <v>18980109</v>
      </c>
      <c r="C213" s="11" t="str">
        <f>INDEX(Data,2,2+MOD(ROWS(C$2:C213)-1,24))</f>
        <v>20.00</v>
      </c>
      <c r="D213" s="8" t="str">
        <f t="shared" ca="1" si="11"/>
        <v>—</v>
      </c>
      <c r="E213" s="16">
        <f t="shared" ca="1" si="12"/>
        <v>7</v>
      </c>
    </row>
    <row r="214" spans="1:5" x14ac:dyDescent="0.25">
      <c r="A214" s="3">
        <f t="shared" si="10"/>
        <v>78989</v>
      </c>
      <c r="B214" t="str">
        <f ca="1">TEXT(DATE(YEAR(Invoer!$A$5),1,1)+INT((ROWS(B$2:B214)-1)/24),"""18""jjmmdd")</f>
        <v>18980109</v>
      </c>
      <c r="C214" s="11" t="str">
        <f>INDEX(Data,2,2+MOD(ROWS(C$2:C214)-1,24))</f>
        <v>21.00</v>
      </c>
      <c r="D214" s="8" t="str">
        <f t="shared" ca="1" si="11"/>
        <v>—</v>
      </c>
      <c r="E214" s="16">
        <f t="shared" ca="1" si="12"/>
        <v>7</v>
      </c>
    </row>
    <row r="215" spans="1:5" x14ac:dyDescent="0.25">
      <c r="A215" s="3">
        <f t="shared" si="10"/>
        <v>78989</v>
      </c>
      <c r="B215" t="str">
        <f ca="1">TEXT(DATE(YEAR(Invoer!$A$5),1,1)+INT((ROWS(B$2:B215)-1)/24),"""18""jjmmdd")</f>
        <v>18980109</v>
      </c>
      <c r="C215" s="11" t="str">
        <f>INDEX(Data,2,2+MOD(ROWS(C$2:C215)-1,24))</f>
        <v>22.00</v>
      </c>
      <c r="D215" s="8" t="str">
        <f t="shared" ca="1" si="11"/>
        <v>—</v>
      </c>
      <c r="E215" s="16">
        <f t="shared" ca="1" si="12"/>
        <v>7</v>
      </c>
    </row>
    <row r="216" spans="1:5" x14ac:dyDescent="0.25">
      <c r="A216" s="3">
        <f t="shared" si="10"/>
        <v>78989</v>
      </c>
      <c r="B216" t="str">
        <f ca="1">TEXT(DATE(YEAR(Invoer!$A$5),1,1)+INT((ROWS(B$2:B216)-1)/24),"""18""jjmmdd")</f>
        <v>18980109</v>
      </c>
      <c r="C216" s="11" t="str">
        <f>INDEX(Data,2,2+MOD(ROWS(C$2:C216)-1,24))</f>
        <v>23.00</v>
      </c>
      <c r="D216" s="8" t="str">
        <f t="shared" ca="1" si="11"/>
        <v>—</v>
      </c>
      <c r="E216" s="16">
        <f t="shared" ca="1" si="12"/>
        <v>7</v>
      </c>
    </row>
    <row r="217" spans="1:5" x14ac:dyDescent="0.25">
      <c r="A217" s="3">
        <f t="shared" si="10"/>
        <v>78989</v>
      </c>
      <c r="B217" t="str">
        <f ca="1">TEXT(DATE(YEAR(Invoer!$A$5),1,1)+INT((ROWS(B$2:B217)-1)/24),"""18""jjmmdd")</f>
        <v>18980109</v>
      </c>
      <c r="C217" s="11" t="str">
        <f>INDEX(Data,2,2+MOD(ROWS(C$2:C217)-1,24))</f>
        <v>24.00</v>
      </c>
      <c r="D217" s="8" t="str">
        <f t="shared" ca="1" si="11"/>
        <v>—</v>
      </c>
      <c r="E217" s="16">
        <f t="shared" ca="1" si="12"/>
        <v>7</v>
      </c>
    </row>
    <row r="218" spans="1:5" x14ac:dyDescent="0.25">
      <c r="A218" s="3">
        <f t="shared" si="10"/>
        <v>78989</v>
      </c>
      <c r="B218" t="str">
        <f ca="1">TEXT(DATE(YEAR(Invoer!$A$5),1,1)+INT((ROWS(B$2:B218)-1)/24),"""18""jjmmdd")</f>
        <v>18980110</v>
      </c>
      <c r="C218" s="11" t="str">
        <f>INDEX(Data,2,2+MOD(ROWS(C$2:C218)-1,24))</f>
        <v>01.00</v>
      </c>
      <c r="D218" s="8" t="str">
        <f t="shared" ca="1" si="11"/>
        <v>—</v>
      </c>
      <c r="E218" s="16">
        <f t="shared" ca="1" si="12"/>
        <v>7</v>
      </c>
    </row>
    <row r="219" spans="1:5" x14ac:dyDescent="0.25">
      <c r="A219" s="3">
        <f t="shared" si="10"/>
        <v>78989</v>
      </c>
      <c r="B219" t="str">
        <f ca="1">TEXT(DATE(YEAR(Invoer!$A$5),1,1)+INT((ROWS(B$2:B219)-1)/24),"""18""jjmmdd")</f>
        <v>18980110</v>
      </c>
      <c r="C219" s="11" t="str">
        <f>INDEX(Data,2,2+MOD(ROWS(C$2:C219)-1,24))</f>
        <v>02.00</v>
      </c>
      <c r="D219" s="8" t="str">
        <f t="shared" ca="1" si="11"/>
        <v>—</v>
      </c>
      <c r="E219" s="16">
        <f t="shared" ca="1" si="12"/>
        <v>7</v>
      </c>
    </row>
    <row r="220" spans="1:5" x14ac:dyDescent="0.25">
      <c r="A220" s="3">
        <f t="shared" si="10"/>
        <v>78989</v>
      </c>
      <c r="B220" t="str">
        <f ca="1">TEXT(DATE(YEAR(Invoer!$A$5),1,1)+INT((ROWS(B$2:B220)-1)/24),"""18""jjmmdd")</f>
        <v>18980110</v>
      </c>
      <c r="C220" s="11" t="str">
        <f>INDEX(Data,2,2+MOD(ROWS(C$2:C220)-1,24))</f>
        <v>03.00</v>
      </c>
      <c r="D220" s="8" t="str">
        <f t="shared" ca="1" si="11"/>
        <v>—</v>
      </c>
      <c r="E220" s="16">
        <f t="shared" ca="1" si="12"/>
        <v>7</v>
      </c>
    </row>
    <row r="221" spans="1:5" x14ac:dyDescent="0.25">
      <c r="A221" s="3">
        <f t="shared" si="10"/>
        <v>78989</v>
      </c>
      <c r="B221" t="str">
        <f ca="1">TEXT(DATE(YEAR(Invoer!$A$5),1,1)+INT((ROWS(B$2:B221)-1)/24),"""18""jjmmdd")</f>
        <v>18980110</v>
      </c>
      <c r="C221" s="11" t="str">
        <f>INDEX(Data,2,2+MOD(ROWS(C$2:C221)-1,24))</f>
        <v>04.00</v>
      </c>
      <c r="D221" s="8" t="str">
        <f t="shared" ca="1" si="11"/>
        <v>—</v>
      </c>
      <c r="E221" s="16">
        <f t="shared" ca="1" si="12"/>
        <v>7</v>
      </c>
    </row>
    <row r="222" spans="1:5" x14ac:dyDescent="0.25">
      <c r="A222" s="3">
        <f t="shared" si="10"/>
        <v>78989</v>
      </c>
      <c r="B222" t="str">
        <f ca="1">TEXT(DATE(YEAR(Invoer!$A$5),1,1)+INT((ROWS(B$2:B222)-1)/24),"""18""jjmmdd")</f>
        <v>18980110</v>
      </c>
      <c r="C222" s="11" t="str">
        <f>INDEX(Data,2,2+MOD(ROWS(C$2:C222)-1,24))</f>
        <v>05.00</v>
      </c>
      <c r="D222" s="8" t="str">
        <f t="shared" ca="1" si="11"/>
        <v>—</v>
      </c>
      <c r="E222" s="16">
        <f t="shared" ca="1" si="12"/>
        <v>7</v>
      </c>
    </row>
    <row r="223" spans="1:5" x14ac:dyDescent="0.25">
      <c r="A223" s="3">
        <f t="shared" si="10"/>
        <v>78989</v>
      </c>
      <c r="B223" t="str">
        <f ca="1">TEXT(DATE(YEAR(Invoer!$A$5),1,1)+INT((ROWS(B$2:B223)-1)/24),"""18""jjmmdd")</f>
        <v>18980110</v>
      </c>
      <c r="C223" s="11" t="str">
        <f>INDEX(Data,2,2+MOD(ROWS(C$2:C223)-1,24))</f>
        <v>06.00</v>
      </c>
      <c r="D223" s="8" t="str">
        <f t="shared" ca="1" si="11"/>
        <v>—</v>
      </c>
      <c r="E223" s="16">
        <f t="shared" ca="1" si="12"/>
        <v>7</v>
      </c>
    </row>
    <row r="224" spans="1:5" x14ac:dyDescent="0.25">
      <c r="A224" s="3">
        <f t="shared" si="10"/>
        <v>78989</v>
      </c>
      <c r="B224" t="str">
        <f ca="1">TEXT(DATE(YEAR(Invoer!$A$5),1,1)+INT((ROWS(B$2:B224)-1)/24),"""18""jjmmdd")</f>
        <v>18980110</v>
      </c>
      <c r="C224" s="11" t="str">
        <f>INDEX(Data,2,2+MOD(ROWS(C$2:C224)-1,24))</f>
        <v>07.00</v>
      </c>
      <c r="D224" s="8" t="str">
        <f t="shared" ca="1" si="11"/>
        <v>—</v>
      </c>
      <c r="E224" s="16">
        <f t="shared" ca="1" si="12"/>
        <v>7</v>
      </c>
    </row>
    <row r="225" spans="1:5" x14ac:dyDescent="0.25">
      <c r="A225" s="3">
        <f t="shared" si="10"/>
        <v>78989</v>
      </c>
      <c r="B225" t="str">
        <f ca="1">TEXT(DATE(YEAR(Invoer!$A$5),1,1)+INT((ROWS(B$2:B225)-1)/24),"""18""jjmmdd")</f>
        <v>18980110</v>
      </c>
      <c r="C225" s="11" t="str">
        <f>INDEX(Data,2,2+MOD(ROWS(C$2:C225)-1,24))</f>
        <v>08.00</v>
      </c>
      <c r="D225" s="8" t="str">
        <f t="shared" ca="1" si="11"/>
        <v>—</v>
      </c>
      <c r="E225" s="16">
        <f t="shared" ca="1" si="12"/>
        <v>7</v>
      </c>
    </row>
    <row r="226" spans="1:5" x14ac:dyDescent="0.25">
      <c r="A226" s="3">
        <f t="shared" si="10"/>
        <v>78989</v>
      </c>
      <c r="B226" t="str">
        <f ca="1">TEXT(DATE(YEAR(Invoer!$A$5),1,1)+INT((ROWS(B$2:B226)-1)/24),"""18""jjmmdd")</f>
        <v>18980110</v>
      </c>
      <c r="C226" s="11" t="str">
        <f>INDEX(Data,2,2+MOD(ROWS(C$2:C226)-1,24))</f>
        <v>09.00</v>
      </c>
      <c r="D226" s="8" t="str">
        <f t="shared" ca="1" si="11"/>
        <v>—</v>
      </c>
      <c r="E226" s="16">
        <f t="shared" ca="1" si="12"/>
        <v>7</v>
      </c>
    </row>
    <row r="227" spans="1:5" x14ac:dyDescent="0.25">
      <c r="A227" s="3">
        <f t="shared" si="10"/>
        <v>78989</v>
      </c>
      <c r="B227" t="str">
        <f ca="1">TEXT(DATE(YEAR(Invoer!$A$5),1,1)+INT((ROWS(B$2:B227)-1)/24),"""18""jjmmdd")</f>
        <v>18980110</v>
      </c>
      <c r="C227" s="11" t="str">
        <f>INDEX(Data,2,2+MOD(ROWS(C$2:C227)-1,24))</f>
        <v>10.00</v>
      </c>
      <c r="D227" s="8" t="str">
        <f t="shared" ca="1" si="11"/>
        <v>—</v>
      </c>
      <c r="E227" s="16">
        <f t="shared" ca="1" si="12"/>
        <v>7</v>
      </c>
    </row>
    <row r="228" spans="1:5" x14ac:dyDescent="0.25">
      <c r="A228" s="3">
        <f t="shared" si="10"/>
        <v>78989</v>
      </c>
      <c r="B228" t="str">
        <f ca="1">TEXT(DATE(YEAR(Invoer!$A$5),1,1)+INT((ROWS(B$2:B228)-1)/24),"""18""jjmmdd")</f>
        <v>18980110</v>
      </c>
      <c r="C228" s="11" t="str">
        <f>INDEX(Data,2,2+MOD(ROWS(C$2:C228)-1,24))</f>
        <v>11.00</v>
      </c>
      <c r="D228" s="8" t="str">
        <f t="shared" ca="1" si="11"/>
        <v>—</v>
      </c>
      <c r="E228" s="16">
        <f t="shared" ca="1" si="12"/>
        <v>7</v>
      </c>
    </row>
    <row r="229" spans="1:5" x14ac:dyDescent="0.25">
      <c r="A229" s="3">
        <f t="shared" si="10"/>
        <v>78989</v>
      </c>
      <c r="B229" t="str">
        <f ca="1">TEXT(DATE(YEAR(Invoer!$A$5),1,1)+INT((ROWS(B$2:B229)-1)/24),"""18""jjmmdd")</f>
        <v>18980110</v>
      </c>
      <c r="C229" s="11" t="str">
        <f>INDEX(Data,2,2+MOD(ROWS(C$2:C229)-1,24))</f>
        <v>12.00</v>
      </c>
      <c r="D229" s="8" t="str">
        <f t="shared" ca="1" si="11"/>
        <v>—</v>
      </c>
      <c r="E229" s="16">
        <f t="shared" ca="1" si="12"/>
        <v>7</v>
      </c>
    </row>
    <row r="230" spans="1:5" x14ac:dyDescent="0.25">
      <c r="A230" s="3">
        <f t="shared" si="10"/>
        <v>78989</v>
      </c>
      <c r="B230" t="str">
        <f ca="1">TEXT(DATE(YEAR(Invoer!$A$5),1,1)+INT((ROWS(B$2:B230)-1)/24),"""18""jjmmdd")</f>
        <v>18980110</v>
      </c>
      <c r="C230" s="11" t="str">
        <f>INDEX(Data,2,2+MOD(ROWS(C$2:C230)-1,24))</f>
        <v>13.00</v>
      </c>
      <c r="D230" s="8" t="str">
        <f t="shared" ca="1" si="11"/>
        <v>—</v>
      </c>
      <c r="E230" s="16">
        <f t="shared" ca="1" si="12"/>
        <v>7</v>
      </c>
    </row>
    <row r="231" spans="1:5" x14ac:dyDescent="0.25">
      <c r="A231" s="3">
        <f t="shared" si="10"/>
        <v>78989</v>
      </c>
      <c r="B231" t="str">
        <f ca="1">TEXT(DATE(YEAR(Invoer!$A$5),1,1)+INT((ROWS(B$2:B231)-1)/24),"""18""jjmmdd")</f>
        <v>18980110</v>
      </c>
      <c r="C231" s="11" t="str">
        <f>INDEX(Data,2,2+MOD(ROWS(C$2:C231)-1,24))</f>
        <v>14.00</v>
      </c>
      <c r="D231" s="8" t="str">
        <f t="shared" ca="1" si="11"/>
        <v>—</v>
      </c>
      <c r="E231" s="16">
        <f t="shared" ca="1" si="12"/>
        <v>7</v>
      </c>
    </row>
    <row r="232" spans="1:5" x14ac:dyDescent="0.25">
      <c r="A232" s="3">
        <f t="shared" si="10"/>
        <v>78989</v>
      </c>
      <c r="B232" t="str">
        <f ca="1">TEXT(DATE(YEAR(Invoer!$A$5),1,1)+INT((ROWS(B$2:B232)-1)/24),"""18""jjmmdd")</f>
        <v>18980110</v>
      </c>
      <c r="C232" s="11" t="str">
        <f>INDEX(Data,2,2+MOD(ROWS(C$2:C232)-1,24))</f>
        <v>15.00</v>
      </c>
      <c r="D232" s="8" t="str">
        <f t="shared" ca="1" si="11"/>
        <v>—</v>
      </c>
      <c r="E232" s="16">
        <f t="shared" ca="1" si="12"/>
        <v>7</v>
      </c>
    </row>
    <row r="233" spans="1:5" x14ac:dyDescent="0.25">
      <c r="A233" s="3">
        <f t="shared" si="10"/>
        <v>78989</v>
      </c>
      <c r="B233" t="str">
        <f ca="1">TEXT(DATE(YEAR(Invoer!$A$5),1,1)+INT((ROWS(B$2:B233)-1)/24),"""18""jjmmdd")</f>
        <v>18980110</v>
      </c>
      <c r="C233" s="11" t="str">
        <f>INDEX(Data,2,2+MOD(ROWS(C$2:C233)-1,24))</f>
        <v>16.00</v>
      </c>
      <c r="D233" s="8" t="str">
        <f t="shared" ca="1" si="11"/>
        <v>—</v>
      </c>
      <c r="E233" s="16">
        <f t="shared" ca="1" si="12"/>
        <v>7</v>
      </c>
    </row>
    <row r="234" spans="1:5" x14ac:dyDescent="0.25">
      <c r="A234" s="3">
        <f t="shared" si="10"/>
        <v>78989</v>
      </c>
      <c r="B234" t="str">
        <f ca="1">TEXT(DATE(YEAR(Invoer!$A$5),1,1)+INT((ROWS(B$2:B234)-1)/24),"""18""jjmmdd")</f>
        <v>18980110</v>
      </c>
      <c r="C234" s="11" t="str">
        <f>INDEX(Data,2,2+MOD(ROWS(C$2:C234)-1,24))</f>
        <v>17.00</v>
      </c>
      <c r="D234" s="8" t="str">
        <f t="shared" ca="1" si="11"/>
        <v>—</v>
      </c>
      <c r="E234" s="16">
        <f t="shared" ca="1" si="12"/>
        <v>7</v>
      </c>
    </row>
    <row r="235" spans="1:5" x14ac:dyDescent="0.25">
      <c r="A235" s="3">
        <f t="shared" si="10"/>
        <v>78989</v>
      </c>
      <c r="B235" t="str">
        <f ca="1">TEXT(DATE(YEAR(Invoer!$A$5),1,1)+INT((ROWS(B$2:B235)-1)/24),"""18""jjmmdd")</f>
        <v>18980110</v>
      </c>
      <c r="C235" s="11" t="str">
        <f>INDEX(Data,2,2+MOD(ROWS(C$2:C235)-1,24))</f>
        <v>18.00</v>
      </c>
      <c r="D235" s="8" t="str">
        <f t="shared" ca="1" si="11"/>
        <v>—</v>
      </c>
      <c r="E235" s="16">
        <f t="shared" ca="1" si="12"/>
        <v>7</v>
      </c>
    </row>
    <row r="236" spans="1:5" x14ac:dyDescent="0.25">
      <c r="A236" s="3">
        <f t="shared" si="10"/>
        <v>78989</v>
      </c>
      <c r="B236" t="str">
        <f ca="1">TEXT(DATE(YEAR(Invoer!$A$5),1,1)+INT((ROWS(B$2:B236)-1)/24),"""18""jjmmdd")</f>
        <v>18980110</v>
      </c>
      <c r="C236" s="11" t="str">
        <f>INDEX(Data,2,2+MOD(ROWS(C$2:C236)-1,24))</f>
        <v>19.00</v>
      </c>
      <c r="D236" s="8" t="str">
        <f t="shared" ca="1" si="11"/>
        <v>—</v>
      </c>
      <c r="E236" s="16">
        <f t="shared" ca="1" si="12"/>
        <v>7</v>
      </c>
    </row>
    <row r="237" spans="1:5" x14ac:dyDescent="0.25">
      <c r="A237" s="3">
        <f t="shared" si="10"/>
        <v>78989</v>
      </c>
      <c r="B237" t="str">
        <f ca="1">TEXT(DATE(YEAR(Invoer!$A$5),1,1)+INT((ROWS(B$2:B237)-1)/24),"""18""jjmmdd")</f>
        <v>18980110</v>
      </c>
      <c r="C237" s="11" t="str">
        <f>INDEX(Data,2,2+MOD(ROWS(C$2:C237)-1,24))</f>
        <v>20.00</v>
      </c>
      <c r="D237" s="8" t="str">
        <f t="shared" ca="1" si="11"/>
        <v>—</v>
      </c>
      <c r="E237" s="16">
        <f t="shared" ca="1" si="12"/>
        <v>7</v>
      </c>
    </row>
    <row r="238" spans="1:5" x14ac:dyDescent="0.25">
      <c r="A238" s="3">
        <f t="shared" si="10"/>
        <v>78989</v>
      </c>
      <c r="B238" t="str">
        <f ca="1">TEXT(DATE(YEAR(Invoer!$A$5),1,1)+INT((ROWS(B$2:B238)-1)/24),"""18""jjmmdd")</f>
        <v>18980110</v>
      </c>
      <c r="C238" s="11" t="str">
        <f>INDEX(Data,2,2+MOD(ROWS(C$2:C238)-1,24))</f>
        <v>21.00</v>
      </c>
      <c r="D238" s="8" t="str">
        <f t="shared" ca="1" si="11"/>
        <v>—</v>
      </c>
      <c r="E238" s="16">
        <f t="shared" ca="1" si="12"/>
        <v>7</v>
      </c>
    </row>
    <row r="239" spans="1:5" x14ac:dyDescent="0.25">
      <c r="A239" s="3">
        <f t="shared" si="10"/>
        <v>78989</v>
      </c>
      <c r="B239" t="str">
        <f ca="1">TEXT(DATE(YEAR(Invoer!$A$5),1,1)+INT((ROWS(B$2:B239)-1)/24),"""18""jjmmdd")</f>
        <v>18980110</v>
      </c>
      <c r="C239" s="11" t="str">
        <f>INDEX(Data,2,2+MOD(ROWS(C$2:C239)-1,24))</f>
        <v>22.00</v>
      </c>
      <c r="D239" s="8" t="str">
        <f t="shared" ca="1" si="11"/>
        <v>—</v>
      </c>
      <c r="E239" s="16">
        <f t="shared" ca="1" si="12"/>
        <v>7</v>
      </c>
    </row>
    <row r="240" spans="1:5" x14ac:dyDescent="0.25">
      <c r="A240" s="3">
        <f t="shared" si="10"/>
        <v>78989</v>
      </c>
      <c r="B240" t="str">
        <f ca="1">TEXT(DATE(YEAR(Invoer!$A$5),1,1)+INT((ROWS(B$2:B240)-1)/24),"""18""jjmmdd")</f>
        <v>18980110</v>
      </c>
      <c r="C240" s="11" t="str">
        <f>INDEX(Data,2,2+MOD(ROWS(C$2:C240)-1,24))</f>
        <v>23.00</v>
      </c>
      <c r="D240" s="8" t="str">
        <f t="shared" ca="1" si="11"/>
        <v>—</v>
      </c>
      <c r="E240" s="16">
        <f t="shared" ca="1" si="12"/>
        <v>7</v>
      </c>
    </row>
    <row r="241" spans="1:5" x14ac:dyDescent="0.25">
      <c r="A241" s="3">
        <f t="shared" si="10"/>
        <v>78989</v>
      </c>
      <c r="B241" t="str">
        <f ca="1">TEXT(DATE(YEAR(Invoer!$A$5),1,1)+INT((ROWS(B$2:B241)-1)/24),"""18""jjmmdd")</f>
        <v>18980110</v>
      </c>
      <c r="C241" s="11" t="str">
        <f>INDEX(Data,2,2+MOD(ROWS(C$2:C241)-1,24))</f>
        <v>24.00</v>
      </c>
      <c r="D241" s="8" t="str">
        <f t="shared" ca="1" si="11"/>
        <v>—</v>
      </c>
      <c r="E241" s="16">
        <f t="shared" ca="1" si="12"/>
        <v>7</v>
      </c>
    </row>
    <row r="242" spans="1:5" x14ac:dyDescent="0.25">
      <c r="A242" s="3">
        <f t="shared" si="10"/>
        <v>78989</v>
      </c>
      <c r="B242" t="str">
        <f ca="1">TEXT(DATE(YEAR(Invoer!$A$5),1,1)+INT((ROWS(B$2:B242)-1)/24),"""18""jjmmdd")</f>
        <v>18980111</v>
      </c>
      <c r="C242" s="11" t="str">
        <f>INDEX(Data,2,2+MOD(ROWS(C$2:C242)-1,24))</f>
        <v>01.00</v>
      </c>
      <c r="D242" s="8" t="str">
        <f t="shared" ca="1" si="11"/>
        <v>—</v>
      </c>
      <c r="E242" s="16">
        <f t="shared" ca="1" si="12"/>
        <v>7</v>
      </c>
    </row>
    <row r="243" spans="1:5" x14ac:dyDescent="0.25">
      <c r="A243" s="3">
        <f t="shared" si="10"/>
        <v>78989</v>
      </c>
      <c r="B243" t="str">
        <f ca="1">TEXT(DATE(YEAR(Invoer!$A$5),1,1)+INT((ROWS(B$2:B243)-1)/24),"""18""jjmmdd")</f>
        <v>18980111</v>
      </c>
      <c r="C243" s="11" t="str">
        <f>INDEX(Data,2,2+MOD(ROWS(C$2:C243)-1,24))</f>
        <v>02.00</v>
      </c>
      <c r="D243" s="8" t="str">
        <f t="shared" ca="1" si="11"/>
        <v>—</v>
      </c>
      <c r="E243" s="16">
        <f t="shared" ca="1" si="12"/>
        <v>7</v>
      </c>
    </row>
    <row r="244" spans="1:5" x14ac:dyDescent="0.25">
      <c r="A244" s="3">
        <f t="shared" si="10"/>
        <v>78989</v>
      </c>
      <c r="B244" t="str">
        <f ca="1">TEXT(DATE(YEAR(Invoer!$A$5),1,1)+INT((ROWS(B$2:B244)-1)/24),"""18""jjmmdd")</f>
        <v>18980111</v>
      </c>
      <c r="C244" s="11" t="str">
        <f>INDEX(Data,2,2+MOD(ROWS(C$2:C244)-1,24))</f>
        <v>03.00</v>
      </c>
      <c r="D244" s="8" t="str">
        <f t="shared" ca="1" si="11"/>
        <v>—</v>
      </c>
      <c r="E244" s="16">
        <f t="shared" ca="1" si="12"/>
        <v>7</v>
      </c>
    </row>
    <row r="245" spans="1:5" x14ac:dyDescent="0.25">
      <c r="A245" s="3">
        <f t="shared" si="10"/>
        <v>78989</v>
      </c>
      <c r="B245" t="str">
        <f ca="1">TEXT(DATE(YEAR(Invoer!$A$5),1,1)+INT((ROWS(B$2:B245)-1)/24),"""18""jjmmdd")</f>
        <v>18980111</v>
      </c>
      <c r="C245" s="11" t="str">
        <f>INDEX(Data,2,2+MOD(ROWS(C$2:C245)-1,24))</f>
        <v>04.00</v>
      </c>
      <c r="D245" s="8" t="str">
        <f t="shared" ca="1" si="11"/>
        <v>—</v>
      </c>
      <c r="E245" s="16">
        <f t="shared" ca="1" si="12"/>
        <v>7</v>
      </c>
    </row>
    <row r="246" spans="1:5" x14ac:dyDescent="0.25">
      <c r="A246" s="3">
        <f t="shared" si="10"/>
        <v>78989</v>
      </c>
      <c r="B246" t="str">
        <f ca="1">TEXT(DATE(YEAR(Invoer!$A$5),1,1)+INT((ROWS(B$2:B246)-1)/24),"""18""jjmmdd")</f>
        <v>18980111</v>
      </c>
      <c r="C246" s="11" t="str">
        <f>INDEX(Data,2,2+MOD(ROWS(C$2:C246)-1,24))</f>
        <v>05.00</v>
      </c>
      <c r="D246" s="8" t="str">
        <f t="shared" ca="1" si="11"/>
        <v>—</v>
      </c>
      <c r="E246" s="16">
        <f t="shared" ca="1" si="12"/>
        <v>7</v>
      </c>
    </row>
    <row r="247" spans="1:5" x14ac:dyDescent="0.25">
      <c r="A247" s="3">
        <f t="shared" si="10"/>
        <v>78989</v>
      </c>
      <c r="B247" t="str">
        <f ca="1">TEXT(DATE(YEAR(Invoer!$A$5),1,1)+INT((ROWS(B$2:B247)-1)/24),"""18""jjmmdd")</f>
        <v>18980111</v>
      </c>
      <c r="C247" s="11" t="str">
        <f>INDEX(Data,2,2+MOD(ROWS(C$2:C247)-1,24))</f>
        <v>06.00</v>
      </c>
      <c r="D247" s="8" t="str">
        <f t="shared" ca="1" si="11"/>
        <v>—</v>
      </c>
      <c r="E247" s="16">
        <f t="shared" ca="1" si="12"/>
        <v>7</v>
      </c>
    </row>
    <row r="248" spans="1:5" x14ac:dyDescent="0.25">
      <c r="A248" s="3">
        <f t="shared" si="10"/>
        <v>78989</v>
      </c>
      <c r="B248" t="str">
        <f ca="1">TEXT(DATE(YEAR(Invoer!$A$5),1,1)+INT((ROWS(B$2:B248)-1)/24),"""18""jjmmdd")</f>
        <v>18980111</v>
      </c>
      <c r="C248" s="11" t="str">
        <f>INDEX(Data,2,2+MOD(ROWS(C$2:C248)-1,24))</f>
        <v>07.00</v>
      </c>
      <c r="D248" s="8" t="str">
        <f t="shared" ca="1" si="11"/>
        <v>—</v>
      </c>
      <c r="E248" s="16">
        <f t="shared" ca="1" si="12"/>
        <v>7</v>
      </c>
    </row>
    <row r="249" spans="1:5" x14ac:dyDescent="0.25">
      <c r="A249" s="3">
        <f t="shared" si="10"/>
        <v>78989</v>
      </c>
      <c r="B249" t="str">
        <f ca="1">TEXT(DATE(YEAR(Invoer!$A$5),1,1)+INT((ROWS(B$2:B249)-1)/24),"""18""jjmmdd")</f>
        <v>18980111</v>
      </c>
      <c r="C249" s="11" t="str">
        <f>INDEX(Data,2,2+MOD(ROWS(C$2:C249)-1,24))</f>
        <v>08.00</v>
      </c>
      <c r="D249" s="8" t="str">
        <f t="shared" ca="1" si="11"/>
        <v>—</v>
      </c>
      <c r="E249" s="16">
        <f t="shared" ca="1" si="12"/>
        <v>7</v>
      </c>
    </row>
    <row r="250" spans="1:5" x14ac:dyDescent="0.25">
      <c r="A250" s="3">
        <f t="shared" si="10"/>
        <v>78989</v>
      </c>
      <c r="B250" t="str">
        <f ca="1">TEXT(DATE(YEAR(Invoer!$A$5),1,1)+INT((ROWS(B$2:B250)-1)/24),"""18""jjmmdd")</f>
        <v>18980111</v>
      </c>
      <c r="C250" s="11" t="str">
        <f>INDEX(Data,2,2+MOD(ROWS(C$2:C250)-1,24))</f>
        <v>09.00</v>
      </c>
      <c r="D250" s="8" t="str">
        <f t="shared" ca="1" si="11"/>
        <v>—</v>
      </c>
      <c r="E250" s="16">
        <f t="shared" ca="1" si="12"/>
        <v>7</v>
      </c>
    </row>
    <row r="251" spans="1:5" x14ac:dyDescent="0.25">
      <c r="A251" s="3">
        <f t="shared" si="10"/>
        <v>78989</v>
      </c>
      <c r="B251" t="str">
        <f ca="1">TEXT(DATE(YEAR(Invoer!$A$5),1,1)+INT((ROWS(B$2:B251)-1)/24),"""18""jjmmdd")</f>
        <v>18980111</v>
      </c>
      <c r="C251" s="11" t="str">
        <f>INDEX(Data,2,2+MOD(ROWS(C$2:C251)-1,24))</f>
        <v>10.00</v>
      </c>
      <c r="D251" s="8" t="str">
        <f t="shared" ca="1" si="11"/>
        <v>—</v>
      </c>
      <c r="E251" s="16">
        <f t="shared" ca="1" si="12"/>
        <v>7</v>
      </c>
    </row>
    <row r="252" spans="1:5" x14ac:dyDescent="0.25">
      <c r="A252" s="3">
        <f t="shared" si="10"/>
        <v>78989</v>
      </c>
      <c r="B252" t="str">
        <f ca="1">TEXT(DATE(YEAR(Invoer!$A$5),1,1)+INT((ROWS(B$2:B252)-1)/24),"""18""jjmmdd")</f>
        <v>18980111</v>
      </c>
      <c r="C252" s="11" t="str">
        <f>INDEX(Data,2,2+MOD(ROWS(C$2:C252)-1,24))</f>
        <v>11.00</v>
      </c>
      <c r="D252" s="8" t="str">
        <f t="shared" ca="1" si="11"/>
        <v>—</v>
      </c>
      <c r="E252" s="16">
        <f t="shared" ca="1" si="12"/>
        <v>7</v>
      </c>
    </row>
    <row r="253" spans="1:5" x14ac:dyDescent="0.25">
      <c r="A253" s="3">
        <f t="shared" si="10"/>
        <v>78989</v>
      </c>
      <c r="B253" t="str">
        <f ca="1">TEXT(DATE(YEAR(Invoer!$A$5),1,1)+INT((ROWS(B$2:B253)-1)/24),"""18""jjmmdd")</f>
        <v>18980111</v>
      </c>
      <c r="C253" s="11" t="str">
        <f>INDEX(Data,2,2+MOD(ROWS(C$2:C253)-1,24))</f>
        <v>12.00</v>
      </c>
      <c r="D253" s="8" t="str">
        <f t="shared" ca="1" si="11"/>
        <v>—</v>
      </c>
      <c r="E253" s="16">
        <f t="shared" ca="1" si="12"/>
        <v>7</v>
      </c>
    </row>
    <row r="254" spans="1:5" x14ac:dyDescent="0.25">
      <c r="A254" s="3">
        <f t="shared" si="10"/>
        <v>78989</v>
      </c>
      <c r="B254" t="str">
        <f ca="1">TEXT(DATE(YEAR(Invoer!$A$5),1,1)+INT((ROWS(B$2:B254)-1)/24),"""18""jjmmdd")</f>
        <v>18980111</v>
      </c>
      <c r="C254" s="11" t="str">
        <f>INDEX(Data,2,2+MOD(ROWS(C$2:C254)-1,24))</f>
        <v>13.00</v>
      </c>
      <c r="D254" s="8" t="str">
        <f t="shared" ca="1" si="11"/>
        <v>—</v>
      </c>
      <c r="E254" s="16">
        <f t="shared" ca="1" si="12"/>
        <v>7</v>
      </c>
    </row>
    <row r="255" spans="1:5" x14ac:dyDescent="0.25">
      <c r="A255" s="3">
        <f t="shared" si="10"/>
        <v>78989</v>
      </c>
      <c r="B255" t="str">
        <f ca="1">TEXT(DATE(YEAR(Invoer!$A$5),1,1)+INT((ROWS(B$2:B255)-1)/24),"""18""jjmmdd")</f>
        <v>18980111</v>
      </c>
      <c r="C255" s="11" t="str">
        <f>INDEX(Data,2,2+MOD(ROWS(C$2:C255)-1,24))</f>
        <v>14.00</v>
      </c>
      <c r="D255" s="8" t="str">
        <f t="shared" ca="1" si="11"/>
        <v>—</v>
      </c>
      <c r="E255" s="16">
        <f t="shared" ca="1" si="12"/>
        <v>7</v>
      </c>
    </row>
    <row r="256" spans="1:5" x14ac:dyDescent="0.25">
      <c r="A256" s="3">
        <f t="shared" si="10"/>
        <v>78989</v>
      </c>
      <c r="B256" t="str">
        <f ca="1">TEXT(DATE(YEAR(Invoer!$A$5),1,1)+INT((ROWS(B$2:B256)-1)/24),"""18""jjmmdd")</f>
        <v>18980111</v>
      </c>
      <c r="C256" s="11" t="str">
        <f>INDEX(Data,2,2+MOD(ROWS(C$2:C256)-1,24))</f>
        <v>15.00</v>
      </c>
      <c r="D256" s="8" t="str">
        <f t="shared" ca="1" si="11"/>
        <v>—</v>
      </c>
      <c r="E256" s="16">
        <f t="shared" ca="1" si="12"/>
        <v>7</v>
      </c>
    </row>
    <row r="257" spans="1:5" x14ac:dyDescent="0.25">
      <c r="A257" s="3">
        <f t="shared" si="10"/>
        <v>78989</v>
      </c>
      <c r="B257" t="str">
        <f ca="1">TEXT(DATE(YEAR(Invoer!$A$5),1,1)+INT((ROWS(B$2:B257)-1)/24),"""18""jjmmdd")</f>
        <v>18980111</v>
      </c>
      <c r="C257" s="11" t="str">
        <f>INDEX(Data,2,2+MOD(ROWS(C$2:C257)-1,24))</f>
        <v>16.00</v>
      </c>
      <c r="D257" s="8" t="str">
        <f t="shared" ca="1" si="11"/>
        <v>—</v>
      </c>
      <c r="E257" s="16">
        <f t="shared" ca="1" si="12"/>
        <v>7</v>
      </c>
    </row>
    <row r="258" spans="1:5" x14ac:dyDescent="0.25">
      <c r="A258" s="3">
        <f t="shared" ref="A258:A321" si="13">INDEX(Stations,2,1)</f>
        <v>78989</v>
      </c>
      <c r="B258" t="str">
        <f ca="1">TEXT(DATE(YEAR(Invoer!$A$5),1,1)+INT((ROWS(B$2:B258)-1)/24),"""18""jjmmdd")</f>
        <v>18980111</v>
      </c>
      <c r="C258" s="11" t="str">
        <f>INDEX(Data,2,2+MOD(ROWS(C$2:C258)-1,24))</f>
        <v>17.00</v>
      </c>
      <c r="D258" s="8" t="str">
        <f t="shared" ref="D258:D321" ca="1" si="14">IF(OR(ISBLANK(VLOOKUP(DATEVALUE("37"&amp;MID($B258,3,2)&amp;"-"&amp;MID($B258,5,2)&amp;"-"&amp;RIGHT($B258,2)),Data,MATCH(LEFT(VLOOKUP(D$1,Parameters,2,FALSE()),4)&amp;"*",OFFSET(Data,0,0,1),0)+MATCH($C258,OFFSET(Data,1,0,1),0)-2,FALSE())),ISTEXT(VLOOKUP(DATEVALUE("37"&amp;MID($B258,3,2)&amp;"-"&amp;MID($B258,5,2)&amp;"-"&amp;RIGHT($B258,2)),Data,MATCH(LEFT(VLOOKUP(D$1,Parameters,2,FALSE()),4)&amp;"*",OFFSET(Data,0,0,1),0)+MATCH($C258,OFFSET(Data,1,0,1),0)-2,FALSE()))),"—",VLOOKUP(DATEVALUE("37"&amp;MID($B258,3,2)&amp;"-"&amp;MID($B258,5,2)&amp;"-"&amp;RIGHT($B258,2)),Data,MATCH(LEFT(VLOOKUP(D$1,Parameters,2,FALSE()),4)&amp;"*",OFFSET(Data,0,0,1),0)+MATCH($C258,OFFSET(Data,1,0,1),0)-2,FALSE()))</f>
        <v>—</v>
      </c>
      <c r="E258" s="16">
        <f t="shared" ca="1" si="12"/>
        <v>7</v>
      </c>
    </row>
    <row r="259" spans="1:5" x14ac:dyDescent="0.25">
      <c r="A259" s="3">
        <f t="shared" si="13"/>
        <v>78989</v>
      </c>
      <c r="B259" t="str">
        <f ca="1">TEXT(DATE(YEAR(Invoer!$A$5),1,1)+INT((ROWS(B$2:B259)-1)/24),"""18""jjmmdd")</f>
        <v>18980111</v>
      </c>
      <c r="C259" s="11" t="str">
        <f>INDEX(Data,2,2+MOD(ROWS(C$2:C259)-1,24))</f>
        <v>18.00</v>
      </c>
      <c r="D259" s="8" t="str">
        <f t="shared" ca="1" si="14"/>
        <v>—</v>
      </c>
      <c r="E259" s="16">
        <f t="shared" ref="E259:E322" ca="1" si="15">IF(OR(ISBLANK(VLOOKUP(DATEVALUE("37"&amp;MID($B259,3,2)&amp;"-"&amp;MID($B259,5,2)&amp;"-"&amp;RIGHT($B259,2)),Data,MATCH(LEFT(VLOOKUP(D$1,Parameters,2,FALSE()),4)&amp;"*",OFFSET(Data,0,0,1),0)+MATCH($C259,OFFSET(Data,1,0,1),0)-2,FALSE())),ISTEXT(VLOOKUP(DATEVALUE("37"&amp;MID($B259,3,2)&amp;"-"&amp;MID($B259,5,2)&amp;"-"&amp;RIGHT($B259,2)),Data,MATCH(LEFT(VLOOKUP(D$1,Parameters,2,FALSE()),4)&amp;"*",OFFSET(Data,0,0,1),0)+MATCH($C259,OFFSET(Data,1,0,1),0)-2,FALSE()))),Lacking,IF(ISNA(MATCH(DATEVALUE("37"&amp;MID($B259,3,2)&amp;"-"&amp;MID($B259,5,2)&amp;"-"&amp;RIGHT($B259,2)),OFFSET(Catalogus,0,0,,1),0)),Ok,VLOOKUP(DATEVALUE("37"&amp;MID($B259,3,2)&amp;"-"&amp;MID($B259,5,2)&amp;"-"&amp;RIGHT($B259,2)),Catalogus,MATCH(LEFT(VLOOKUP(MID(E$1,2,LEN(E$1)-1),Parameters,2,FALSE()),4)&amp;"*",OFFSET(Catalogus,0,0,1),0)+MATCH($C259,OFFSET(Catalogus,1,0,1),0)-2,FALSE())))</f>
        <v>7</v>
      </c>
    </row>
    <row r="260" spans="1:5" x14ac:dyDescent="0.25">
      <c r="A260" s="3">
        <f t="shared" si="13"/>
        <v>78989</v>
      </c>
      <c r="B260" t="str">
        <f ca="1">TEXT(DATE(YEAR(Invoer!$A$5),1,1)+INT((ROWS(B$2:B260)-1)/24),"""18""jjmmdd")</f>
        <v>18980111</v>
      </c>
      <c r="C260" s="11" t="str">
        <f>INDEX(Data,2,2+MOD(ROWS(C$2:C260)-1,24))</f>
        <v>19.00</v>
      </c>
      <c r="D260" s="8" t="str">
        <f t="shared" ca="1" si="14"/>
        <v>—</v>
      </c>
      <c r="E260" s="16">
        <f t="shared" ca="1" si="15"/>
        <v>7</v>
      </c>
    </row>
    <row r="261" spans="1:5" x14ac:dyDescent="0.25">
      <c r="A261" s="3">
        <f t="shared" si="13"/>
        <v>78989</v>
      </c>
      <c r="B261" t="str">
        <f ca="1">TEXT(DATE(YEAR(Invoer!$A$5),1,1)+INT((ROWS(B$2:B261)-1)/24),"""18""jjmmdd")</f>
        <v>18980111</v>
      </c>
      <c r="C261" s="11" t="str">
        <f>INDEX(Data,2,2+MOD(ROWS(C$2:C261)-1,24))</f>
        <v>20.00</v>
      </c>
      <c r="D261" s="8" t="str">
        <f t="shared" ca="1" si="14"/>
        <v>—</v>
      </c>
      <c r="E261" s="16">
        <f t="shared" ca="1" si="15"/>
        <v>7</v>
      </c>
    </row>
    <row r="262" spans="1:5" x14ac:dyDescent="0.25">
      <c r="A262" s="3">
        <f t="shared" si="13"/>
        <v>78989</v>
      </c>
      <c r="B262" t="str">
        <f ca="1">TEXT(DATE(YEAR(Invoer!$A$5),1,1)+INT((ROWS(B$2:B262)-1)/24),"""18""jjmmdd")</f>
        <v>18980111</v>
      </c>
      <c r="C262" s="11" t="str">
        <f>INDEX(Data,2,2+MOD(ROWS(C$2:C262)-1,24))</f>
        <v>21.00</v>
      </c>
      <c r="D262" s="8" t="str">
        <f t="shared" ca="1" si="14"/>
        <v>—</v>
      </c>
      <c r="E262" s="16">
        <f t="shared" ca="1" si="15"/>
        <v>7</v>
      </c>
    </row>
    <row r="263" spans="1:5" x14ac:dyDescent="0.25">
      <c r="A263" s="3">
        <f t="shared" si="13"/>
        <v>78989</v>
      </c>
      <c r="B263" t="str">
        <f ca="1">TEXT(DATE(YEAR(Invoer!$A$5),1,1)+INT((ROWS(B$2:B263)-1)/24),"""18""jjmmdd")</f>
        <v>18980111</v>
      </c>
      <c r="C263" s="11" t="str">
        <f>INDEX(Data,2,2+MOD(ROWS(C$2:C263)-1,24))</f>
        <v>22.00</v>
      </c>
      <c r="D263" s="8" t="str">
        <f t="shared" ca="1" si="14"/>
        <v>—</v>
      </c>
      <c r="E263" s="16">
        <f t="shared" ca="1" si="15"/>
        <v>7</v>
      </c>
    </row>
    <row r="264" spans="1:5" x14ac:dyDescent="0.25">
      <c r="A264" s="3">
        <f t="shared" si="13"/>
        <v>78989</v>
      </c>
      <c r="B264" t="str">
        <f ca="1">TEXT(DATE(YEAR(Invoer!$A$5),1,1)+INT((ROWS(B$2:B264)-1)/24),"""18""jjmmdd")</f>
        <v>18980111</v>
      </c>
      <c r="C264" s="11" t="str">
        <f>INDEX(Data,2,2+MOD(ROWS(C$2:C264)-1,24))</f>
        <v>23.00</v>
      </c>
      <c r="D264" s="8" t="str">
        <f t="shared" ca="1" si="14"/>
        <v>—</v>
      </c>
      <c r="E264" s="16">
        <f t="shared" ca="1" si="15"/>
        <v>7</v>
      </c>
    </row>
    <row r="265" spans="1:5" x14ac:dyDescent="0.25">
      <c r="A265" s="3">
        <f t="shared" si="13"/>
        <v>78989</v>
      </c>
      <c r="B265" t="str">
        <f ca="1">TEXT(DATE(YEAR(Invoer!$A$5),1,1)+INT((ROWS(B$2:B265)-1)/24),"""18""jjmmdd")</f>
        <v>18980111</v>
      </c>
      <c r="C265" s="11" t="str">
        <f>INDEX(Data,2,2+MOD(ROWS(C$2:C265)-1,24))</f>
        <v>24.00</v>
      </c>
      <c r="D265" s="8" t="str">
        <f t="shared" ca="1" si="14"/>
        <v>—</v>
      </c>
      <c r="E265" s="16">
        <f t="shared" ca="1" si="15"/>
        <v>7</v>
      </c>
    </row>
    <row r="266" spans="1:5" x14ac:dyDescent="0.25">
      <c r="A266" s="3">
        <f t="shared" si="13"/>
        <v>78989</v>
      </c>
      <c r="B266" t="str">
        <f ca="1">TEXT(DATE(YEAR(Invoer!$A$5),1,1)+INT((ROWS(B$2:B266)-1)/24),"""18""jjmmdd")</f>
        <v>18980112</v>
      </c>
      <c r="C266" s="11" t="str">
        <f>INDEX(Data,2,2+MOD(ROWS(C$2:C266)-1,24))</f>
        <v>01.00</v>
      </c>
      <c r="D266" s="8" t="str">
        <f t="shared" ca="1" si="14"/>
        <v>—</v>
      </c>
      <c r="E266" s="16">
        <f t="shared" ca="1" si="15"/>
        <v>7</v>
      </c>
    </row>
    <row r="267" spans="1:5" x14ac:dyDescent="0.25">
      <c r="A267" s="3">
        <f t="shared" si="13"/>
        <v>78989</v>
      </c>
      <c r="B267" t="str">
        <f ca="1">TEXT(DATE(YEAR(Invoer!$A$5),1,1)+INT((ROWS(B$2:B267)-1)/24),"""18""jjmmdd")</f>
        <v>18980112</v>
      </c>
      <c r="C267" s="11" t="str">
        <f>INDEX(Data,2,2+MOD(ROWS(C$2:C267)-1,24))</f>
        <v>02.00</v>
      </c>
      <c r="D267" s="8" t="str">
        <f t="shared" ca="1" si="14"/>
        <v>—</v>
      </c>
      <c r="E267" s="16">
        <f t="shared" ca="1" si="15"/>
        <v>7</v>
      </c>
    </row>
    <row r="268" spans="1:5" x14ac:dyDescent="0.25">
      <c r="A268" s="3">
        <f t="shared" si="13"/>
        <v>78989</v>
      </c>
      <c r="B268" t="str">
        <f ca="1">TEXT(DATE(YEAR(Invoer!$A$5),1,1)+INT((ROWS(B$2:B268)-1)/24),"""18""jjmmdd")</f>
        <v>18980112</v>
      </c>
      <c r="C268" s="11" t="str">
        <f>INDEX(Data,2,2+MOD(ROWS(C$2:C268)-1,24))</f>
        <v>03.00</v>
      </c>
      <c r="D268" s="8" t="str">
        <f t="shared" ca="1" si="14"/>
        <v>—</v>
      </c>
      <c r="E268" s="16">
        <f t="shared" ca="1" si="15"/>
        <v>7</v>
      </c>
    </row>
    <row r="269" spans="1:5" x14ac:dyDescent="0.25">
      <c r="A269" s="3">
        <f t="shared" si="13"/>
        <v>78989</v>
      </c>
      <c r="B269" t="str">
        <f ca="1">TEXT(DATE(YEAR(Invoer!$A$5),1,1)+INT((ROWS(B$2:B269)-1)/24),"""18""jjmmdd")</f>
        <v>18980112</v>
      </c>
      <c r="C269" s="11" t="str">
        <f>INDEX(Data,2,2+MOD(ROWS(C$2:C269)-1,24))</f>
        <v>04.00</v>
      </c>
      <c r="D269" s="8" t="str">
        <f t="shared" ca="1" si="14"/>
        <v>—</v>
      </c>
      <c r="E269" s="16">
        <f t="shared" ca="1" si="15"/>
        <v>7</v>
      </c>
    </row>
    <row r="270" spans="1:5" x14ac:dyDescent="0.25">
      <c r="A270" s="3">
        <f t="shared" si="13"/>
        <v>78989</v>
      </c>
      <c r="B270" t="str">
        <f ca="1">TEXT(DATE(YEAR(Invoer!$A$5),1,1)+INT((ROWS(B$2:B270)-1)/24),"""18""jjmmdd")</f>
        <v>18980112</v>
      </c>
      <c r="C270" s="11" t="str">
        <f>INDEX(Data,2,2+MOD(ROWS(C$2:C270)-1,24))</f>
        <v>05.00</v>
      </c>
      <c r="D270" s="8" t="str">
        <f t="shared" ca="1" si="14"/>
        <v>—</v>
      </c>
      <c r="E270" s="16">
        <f t="shared" ca="1" si="15"/>
        <v>7</v>
      </c>
    </row>
    <row r="271" spans="1:5" x14ac:dyDescent="0.25">
      <c r="A271" s="3">
        <f t="shared" si="13"/>
        <v>78989</v>
      </c>
      <c r="B271" t="str">
        <f ca="1">TEXT(DATE(YEAR(Invoer!$A$5),1,1)+INT((ROWS(B$2:B271)-1)/24),"""18""jjmmdd")</f>
        <v>18980112</v>
      </c>
      <c r="C271" s="11" t="str">
        <f>INDEX(Data,2,2+MOD(ROWS(C$2:C271)-1,24))</f>
        <v>06.00</v>
      </c>
      <c r="D271" s="8" t="str">
        <f t="shared" ca="1" si="14"/>
        <v>—</v>
      </c>
      <c r="E271" s="16">
        <f t="shared" ca="1" si="15"/>
        <v>7</v>
      </c>
    </row>
    <row r="272" spans="1:5" x14ac:dyDescent="0.25">
      <c r="A272" s="3">
        <f t="shared" si="13"/>
        <v>78989</v>
      </c>
      <c r="B272" t="str">
        <f ca="1">TEXT(DATE(YEAR(Invoer!$A$5),1,1)+INT((ROWS(B$2:B272)-1)/24),"""18""jjmmdd")</f>
        <v>18980112</v>
      </c>
      <c r="C272" s="11" t="str">
        <f>INDEX(Data,2,2+MOD(ROWS(C$2:C272)-1,24))</f>
        <v>07.00</v>
      </c>
      <c r="D272" s="8" t="str">
        <f t="shared" ca="1" si="14"/>
        <v>—</v>
      </c>
      <c r="E272" s="16">
        <f t="shared" ca="1" si="15"/>
        <v>7</v>
      </c>
    </row>
    <row r="273" spans="1:5" x14ac:dyDescent="0.25">
      <c r="A273" s="3">
        <f t="shared" si="13"/>
        <v>78989</v>
      </c>
      <c r="B273" t="str">
        <f ca="1">TEXT(DATE(YEAR(Invoer!$A$5),1,1)+INT((ROWS(B$2:B273)-1)/24),"""18""jjmmdd")</f>
        <v>18980112</v>
      </c>
      <c r="C273" s="11" t="str">
        <f>INDEX(Data,2,2+MOD(ROWS(C$2:C273)-1,24))</f>
        <v>08.00</v>
      </c>
      <c r="D273" s="8" t="str">
        <f t="shared" ca="1" si="14"/>
        <v>—</v>
      </c>
      <c r="E273" s="16">
        <f t="shared" ca="1" si="15"/>
        <v>7</v>
      </c>
    </row>
    <row r="274" spans="1:5" x14ac:dyDescent="0.25">
      <c r="A274" s="3">
        <f t="shared" si="13"/>
        <v>78989</v>
      </c>
      <c r="B274" t="str">
        <f ca="1">TEXT(DATE(YEAR(Invoer!$A$5),1,1)+INT((ROWS(B$2:B274)-1)/24),"""18""jjmmdd")</f>
        <v>18980112</v>
      </c>
      <c r="C274" s="11" t="str">
        <f>INDEX(Data,2,2+MOD(ROWS(C$2:C274)-1,24))</f>
        <v>09.00</v>
      </c>
      <c r="D274" s="8" t="str">
        <f t="shared" ca="1" si="14"/>
        <v>—</v>
      </c>
      <c r="E274" s="16">
        <f t="shared" ca="1" si="15"/>
        <v>7</v>
      </c>
    </row>
    <row r="275" spans="1:5" x14ac:dyDescent="0.25">
      <c r="A275" s="3">
        <f t="shared" si="13"/>
        <v>78989</v>
      </c>
      <c r="B275" t="str">
        <f ca="1">TEXT(DATE(YEAR(Invoer!$A$5),1,1)+INT((ROWS(B$2:B275)-1)/24),"""18""jjmmdd")</f>
        <v>18980112</v>
      </c>
      <c r="C275" s="11" t="str">
        <f>INDEX(Data,2,2+MOD(ROWS(C$2:C275)-1,24))</f>
        <v>10.00</v>
      </c>
      <c r="D275" s="8" t="str">
        <f t="shared" ca="1" si="14"/>
        <v>—</v>
      </c>
      <c r="E275" s="16">
        <f t="shared" ca="1" si="15"/>
        <v>7</v>
      </c>
    </row>
    <row r="276" spans="1:5" x14ac:dyDescent="0.25">
      <c r="A276" s="3">
        <f t="shared" si="13"/>
        <v>78989</v>
      </c>
      <c r="B276" t="str">
        <f ca="1">TEXT(DATE(YEAR(Invoer!$A$5),1,1)+INT((ROWS(B$2:B276)-1)/24),"""18""jjmmdd")</f>
        <v>18980112</v>
      </c>
      <c r="C276" s="11" t="str">
        <f>INDEX(Data,2,2+MOD(ROWS(C$2:C276)-1,24))</f>
        <v>11.00</v>
      </c>
      <c r="D276" s="8" t="str">
        <f t="shared" ca="1" si="14"/>
        <v>—</v>
      </c>
      <c r="E276" s="16">
        <f t="shared" ca="1" si="15"/>
        <v>7</v>
      </c>
    </row>
    <row r="277" spans="1:5" x14ac:dyDescent="0.25">
      <c r="A277" s="3">
        <f t="shared" si="13"/>
        <v>78989</v>
      </c>
      <c r="B277" t="str">
        <f ca="1">TEXT(DATE(YEAR(Invoer!$A$5),1,1)+INT((ROWS(B$2:B277)-1)/24),"""18""jjmmdd")</f>
        <v>18980112</v>
      </c>
      <c r="C277" s="11" t="str">
        <f>INDEX(Data,2,2+MOD(ROWS(C$2:C277)-1,24))</f>
        <v>12.00</v>
      </c>
      <c r="D277" s="8" t="str">
        <f t="shared" ca="1" si="14"/>
        <v>—</v>
      </c>
      <c r="E277" s="16">
        <f t="shared" ca="1" si="15"/>
        <v>7</v>
      </c>
    </row>
    <row r="278" spans="1:5" x14ac:dyDescent="0.25">
      <c r="A278" s="3">
        <f t="shared" si="13"/>
        <v>78989</v>
      </c>
      <c r="B278" t="str">
        <f ca="1">TEXT(DATE(YEAR(Invoer!$A$5),1,1)+INT((ROWS(B$2:B278)-1)/24),"""18""jjmmdd")</f>
        <v>18980112</v>
      </c>
      <c r="C278" s="11" t="str">
        <f>INDEX(Data,2,2+MOD(ROWS(C$2:C278)-1,24))</f>
        <v>13.00</v>
      </c>
      <c r="D278" s="8" t="str">
        <f t="shared" ca="1" si="14"/>
        <v>—</v>
      </c>
      <c r="E278" s="16">
        <f t="shared" ca="1" si="15"/>
        <v>7</v>
      </c>
    </row>
    <row r="279" spans="1:5" x14ac:dyDescent="0.25">
      <c r="A279" s="3">
        <f t="shared" si="13"/>
        <v>78989</v>
      </c>
      <c r="B279" t="str">
        <f ca="1">TEXT(DATE(YEAR(Invoer!$A$5),1,1)+INT((ROWS(B$2:B279)-1)/24),"""18""jjmmdd")</f>
        <v>18980112</v>
      </c>
      <c r="C279" s="11" t="str">
        <f>INDEX(Data,2,2+MOD(ROWS(C$2:C279)-1,24))</f>
        <v>14.00</v>
      </c>
      <c r="D279" s="8" t="str">
        <f t="shared" ca="1" si="14"/>
        <v>—</v>
      </c>
      <c r="E279" s="16">
        <f t="shared" ca="1" si="15"/>
        <v>7</v>
      </c>
    </row>
    <row r="280" spans="1:5" x14ac:dyDescent="0.25">
      <c r="A280" s="3">
        <f t="shared" si="13"/>
        <v>78989</v>
      </c>
      <c r="B280" t="str">
        <f ca="1">TEXT(DATE(YEAR(Invoer!$A$5),1,1)+INT((ROWS(B$2:B280)-1)/24),"""18""jjmmdd")</f>
        <v>18980112</v>
      </c>
      <c r="C280" s="11" t="str">
        <f>INDEX(Data,2,2+MOD(ROWS(C$2:C280)-1,24))</f>
        <v>15.00</v>
      </c>
      <c r="D280" s="8" t="str">
        <f t="shared" ca="1" si="14"/>
        <v>—</v>
      </c>
      <c r="E280" s="16">
        <f t="shared" ca="1" si="15"/>
        <v>7</v>
      </c>
    </row>
    <row r="281" spans="1:5" x14ac:dyDescent="0.25">
      <c r="A281" s="3">
        <f t="shared" si="13"/>
        <v>78989</v>
      </c>
      <c r="B281" t="str">
        <f ca="1">TEXT(DATE(YEAR(Invoer!$A$5),1,1)+INT((ROWS(B$2:B281)-1)/24),"""18""jjmmdd")</f>
        <v>18980112</v>
      </c>
      <c r="C281" s="11" t="str">
        <f>INDEX(Data,2,2+MOD(ROWS(C$2:C281)-1,24))</f>
        <v>16.00</v>
      </c>
      <c r="D281" s="8" t="str">
        <f t="shared" ca="1" si="14"/>
        <v>—</v>
      </c>
      <c r="E281" s="16">
        <f t="shared" ca="1" si="15"/>
        <v>7</v>
      </c>
    </row>
    <row r="282" spans="1:5" x14ac:dyDescent="0.25">
      <c r="A282" s="3">
        <f t="shared" si="13"/>
        <v>78989</v>
      </c>
      <c r="B282" t="str">
        <f ca="1">TEXT(DATE(YEAR(Invoer!$A$5),1,1)+INT((ROWS(B$2:B282)-1)/24),"""18""jjmmdd")</f>
        <v>18980112</v>
      </c>
      <c r="C282" s="11" t="str">
        <f>INDEX(Data,2,2+MOD(ROWS(C$2:C282)-1,24))</f>
        <v>17.00</v>
      </c>
      <c r="D282" s="8" t="str">
        <f t="shared" ca="1" si="14"/>
        <v>—</v>
      </c>
      <c r="E282" s="16">
        <f t="shared" ca="1" si="15"/>
        <v>7</v>
      </c>
    </row>
    <row r="283" spans="1:5" x14ac:dyDescent="0.25">
      <c r="A283" s="3">
        <f t="shared" si="13"/>
        <v>78989</v>
      </c>
      <c r="B283" t="str">
        <f ca="1">TEXT(DATE(YEAR(Invoer!$A$5),1,1)+INT((ROWS(B$2:B283)-1)/24),"""18""jjmmdd")</f>
        <v>18980112</v>
      </c>
      <c r="C283" s="11" t="str">
        <f>INDEX(Data,2,2+MOD(ROWS(C$2:C283)-1,24))</f>
        <v>18.00</v>
      </c>
      <c r="D283" s="8" t="str">
        <f t="shared" ca="1" si="14"/>
        <v>—</v>
      </c>
      <c r="E283" s="16">
        <f t="shared" ca="1" si="15"/>
        <v>7</v>
      </c>
    </row>
    <row r="284" spans="1:5" x14ac:dyDescent="0.25">
      <c r="A284" s="3">
        <f t="shared" si="13"/>
        <v>78989</v>
      </c>
      <c r="B284" t="str">
        <f ca="1">TEXT(DATE(YEAR(Invoer!$A$5),1,1)+INT((ROWS(B$2:B284)-1)/24),"""18""jjmmdd")</f>
        <v>18980112</v>
      </c>
      <c r="C284" s="11" t="str">
        <f>INDEX(Data,2,2+MOD(ROWS(C$2:C284)-1,24))</f>
        <v>19.00</v>
      </c>
      <c r="D284" s="8" t="str">
        <f t="shared" ca="1" si="14"/>
        <v>—</v>
      </c>
      <c r="E284" s="16">
        <f t="shared" ca="1" si="15"/>
        <v>7</v>
      </c>
    </row>
    <row r="285" spans="1:5" x14ac:dyDescent="0.25">
      <c r="A285" s="3">
        <f t="shared" si="13"/>
        <v>78989</v>
      </c>
      <c r="B285" t="str">
        <f ca="1">TEXT(DATE(YEAR(Invoer!$A$5),1,1)+INT((ROWS(B$2:B285)-1)/24),"""18""jjmmdd")</f>
        <v>18980112</v>
      </c>
      <c r="C285" s="11" t="str">
        <f>INDEX(Data,2,2+MOD(ROWS(C$2:C285)-1,24))</f>
        <v>20.00</v>
      </c>
      <c r="D285" s="8" t="str">
        <f t="shared" ca="1" si="14"/>
        <v>—</v>
      </c>
      <c r="E285" s="16">
        <f t="shared" ca="1" si="15"/>
        <v>7</v>
      </c>
    </row>
    <row r="286" spans="1:5" x14ac:dyDescent="0.25">
      <c r="A286" s="3">
        <f t="shared" si="13"/>
        <v>78989</v>
      </c>
      <c r="B286" t="str">
        <f ca="1">TEXT(DATE(YEAR(Invoer!$A$5),1,1)+INT((ROWS(B$2:B286)-1)/24),"""18""jjmmdd")</f>
        <v>18980112</v>
      </c>
      <c r="C286" s="11" t="str">
        <f>INDEX(Data,2,2+MOD(ROWS(C$2:C286)-1,24))</f>
        <v>21.00</v>
      </c>
      <c r="D286" s="8" t="str">
        <f t="shared" ca="1" si="14"/>
        <v>—</v>
      </c>
      <c r="E286" s="16">
        <f t="shared" ca="1" si="15"/>
        <v>7</v>
      </c>
    </row>
    <row r="287" spans="1:5" x14ac:dyDescent="0.25">
      <c r="A287" s="3">
        <f t="shared" si="13"/>
        <v>78989</v>
      </c>
      <c r="B287" t="str">
        <f ca="1">TEXT(DATE(YEAR(Invoer!$A$5),1,1)+INT((ROWS(B$2:B287)-1)/24),"""18""jjmmdd")</f>
        <v>18980112</v>
      </c>
      <c r="C287" s="11" t="str">
        <f>INDEX(Data,2,2+MOD(ROWS(C$2:C287)-1,24))</f>
        <v>22.00</v>
      </c>
      <c r="D287" s="8" t="str">
        <f t="shared" ca="1" si="14"/>
        <v>—</v>
      </c>
      <c r="E287" s="16">
        <f t="shared" ca="1" si="15"/>
        <v>7</v>
      </c>
    </row>
    <row r="288" spans="1:5" x14ac:dyDescent="0.25">
      <c r="A288" s="3">
        <f t="shared" si="13"/>
        <v>78989</v>
      </c>
      <c r="B288" t="str">
        <f ca="1">TEXT(DATE(YEAR(Invoer!$A$5),1,1)+INT((ROWS(B$2:B288)-1)/24),"""18""jjmmdd")</f>
        <v>18980112</v>
      </c>
      <c r="C288" s="11" t="str">
        <f>INDEX(Data,2,2+MOD(ROWS(C$2:C288)-1,24))</f>
        <v>23.00</v>
      </c>
      <c r="D288" s="8" t="str">
        <f t="shared" ca="1" si="14"/>
        <v>—</v>
      </c>
      <c r="E288" s="16">
        <f t="shared" ca="1" si="15"/>
        <v>7</v>
      </c>
    </row>
    <row r="289" spans="1:5" x14ac:dyDescent="0.25">
      <c r="A289" s="3">
        <f t="shared" si="13"/>
        <v>78989</v>
      </c>
      <c r="B289" t="str">
        <f ca="1">TEXT(DATE(YEAR(Invoer!$A$5),1,1)+INT((ROWS(B$2:B289)-1)/24),"""18""jjmmdd")</f>
        <v>18980112</v>
      </c>
      <c r="C289" s="11" t="str">
        <f>INDEX(Data,2,2+MOD(ROWS(C$2:C289)-1,24))</f>
        <v>24.00</v>
      </c>
      <c r="D289" s="8" t="str">
        <f t="shared" ca="1" si="14"/>
        <v>—</v>
      </c>
      <c r="E289" s="16">
        <f t="shared" ca="1" si="15"/>
        <v>7</v>
      </c>
    </row>
    <row r="290" spans="1:5" x14ac:dyDescent="0.25">
      <c r="A290" s="3">
        <f t="shared" si="13"/>
        <v>78989</v>
      </c>
      <c r="B290" t="str">
        <f ca="1">TEXT(DATE(YEAR(Invoer!$A$5),1,1)+INT((ROWS(B$2:B290)-1)/24),"""18""jjmmdd")</f>
        <v>18980113</v>
      </c>
      <c r="C290" s="11" t="str">
        <f>INDEX(Data,2,2+MOD(ROWS(C$2:C290)-1,24))</f>
        <v>01.00</v>
      </c>
      <c r="D290" s="8" t="str">
        <f t="shared" ca="1" si="14"/>
        <v>—</v>
      </c>
      <c r="E290" s="16">
        <f t="shared" ca="1" si="15"/>
        <v>7</v>
      </c>
    </row>
    <row r="291" spans="1:5" x14ac:dyDescent="0.25">
      <c r="A291" s="3">
        <f t="shared" si="13"/>
        <v>78989</v>
      </c>
      <c r="B291" t="str">
        <f ca="1">TEXT(DATE(YEAR(Invoer!$A$5),1,1)+INT((ROWS(B$2:B291)-1)/24),"""18""jjmmdd")</f>
        <v>18980113</v>
      </c>
      <c r="C291" s="11" t="str">
        <f>INDEX(Data,2,2+MOD(ROWS(C$2:C291)-1,24))</f>
        <v>02.00</v>
      </c>
      <c r="D291" s="8" t="str">
        <f t="shared" ca="1" si="14"/>
        <v>—</v>
      </c>
      <c r="E291" s="16">
        <f t="shared" ca="1" si="15"/>
        <v>7</v>
      </c>
    </row>
    <row r="292" spans="1:5" x14ac:dyDescent="0.25">
      <c r="A292" s="3">
        <f t="shared" si="13"/>
        <v>78989</v>
      </c>
      <c r="B292" t="str">
        <f ca="1">TEXT(DATE(YEAR(Invoer!$A$5),1,1)+INT((ROWS(B$2:B292)-1)/24),"""18""jjmmdd")</f>
        <v>18980113</v>
      </c>
      <c r="C292" s="11" t="str">
        <f>INDEX(Data,2,2+MOD(ROWS(C$2:C292)-1,24))</f>
        <v>03.00</v>
      </c>
      <c r="D292" s="8" t="str">
        <f t="shared" ca="1" si="14"/>
        <v>—</v>
      </c>
      <c r="E292" s="16">
        <f t="shared" ca="1" si="15"/>
        <v>7</v>
      </c>
    </row>
    <row r="293" spans="1:5" x14ac:dyDescent="0.25">
      <c r="A293" s="3">
        <f t="shared" si="13"/>
        <v>78989</v>
      </c>
      <c r="B293" t="str">
        <f ca="1">TEXT(DATE(YEAR(Invoer!$A$5),1,1)+INT((ROWS(B$2:B293)-1)/24),"""18""jjmmdd")</f>
        <v>18980113</v>
      </c>
      <c r="C293" s="11" t="str">
        <f>INDEX(Data,2,2+MOD(ROWS(C$2:C293)-1,24))</f>
        <v>04.00</v>
      </c>
      <c r="D293" s="8" t="str">
        <f t="shared" ca="1" si="14"/>
        <v>—</v>
      </c>
      <c r="E293" s="16">
        <f t="shared" ca="1" si="15"/>
        <v>7</v>
      </c>
    </row>
    <row r="294" spans="1:5" x14ac:dyDescent="0.25">
      <c r="A294" s="3">
        <f t="shared" si="13"/>
        <v>78989</v>
      </c>
      <c r="B294" t="str">
        <f ca="1">TEXT(DATE(YEAR(Invoer!$A$5),1,1)+INT((ROWS(B$2:B294)-1)/24),"""18""jjmmdd")</f>
        <v>18980113</v>
      </c>
      <c r="C294" s="11" t="str">
        <f>INDEX(Data,2,2+MOD(ROWS(C$2:C294)-1,24))</f>
        <v>05.00</v>
      </c>
      <c r="D294" s="8" t="str">
        <f t="shared" ca="1" si="14"/>
        <v>—</v>
      </c>
      <c r="E294" s="16">
        <f t="shared" ca="1" si="15"/>
        <v>7</v>
      </c>
    </row>
    <row r="295" spans="1:5" x14ac:dyDescent="0.25">
      <c r="A295" s="3">
        <f t="shared" si="13"/>
        <v>78989</v>
      </c>
      <c r="B295" t="str">
        <f ca="1">TEXT(DATE(YEAR(Invoer!$A$5),1,1)+INT((ROWS(B$2:B295)-1)/24),"""18""jjmmdd")</f>
        <v>18980113</v>
      </c>
      <c r="C295" s="11" t="str">
        <f>INDEX(Data,2,2+MOD(ROWS(C$2:C295)-1,24))</f>
        <v>06.00</v>
      </c>
      <c r="D295" s="8" t="str">
        <f t="shared" ca="1" si="14"/>
        <v>—</v>
      </c>
      <c r="E295" s="16">
        <f t="shared" ca="1" si="15"/>
        <v>7</v>
      </c>
    </row>
    <row r="296" spans="1:5" x14ac:dyDescent="0.25">
      <c r="A296" s="3">
        <f t="shared" si="13"/>
        <v>78989</v>
      </c>
      <c r="B296" t="str">
        <f ca="1">TEXT(DATE(YEAR(Invoer!$A$5),1,1)+INT((ROWS(B$2:B296)-1)/24),"""18""jjmmdd")</f>
        <v>18980113</v>
      </c>
      <c r="C296" s="11" t="str">
        <f>INDEX(Data,2,2+MOD(ROWS(C$2:C296)-1,24))</f>
        <v>07.00</v>
      </c>
      <c r="D296" s="8" t="str">
        <f t="shared" ca="1" si="14"/>
        <v>—</v>
      </c>
      <c r="E296" s="16">
        <f t="shared" ca="1" si="15"/>
        <v>7</v>
      </c>
    </row>
    <row r="297" spans="1:5" x14ac:dyDescent="0.25">
      <c r="A297" s="3">
        <f t="shared" si="13"/>
        <v>78989</v>
      </c>
      <c r="B297" t="str">
        <f ca="1">TEXT(DATE(YEAR(Invoer!$A$5),1,1)+INT((ROWS(B$2:B297)-1)/24),"""18""jjmmdd")</f>
        <v>18980113</v>
      </c>
      <c r="C297" s="11" t="str">
        <f>INDEX(Data,2,2+MOD(ROWS(C$2:C297)-1,24))</f>
        <v>08.00</v>
      </c>
      <c r="D297" s="8" t="str">
        <f t="shared" ca="1" si="14"/>
        <v>—</v>
      </c>
      <c r="E297" s="16">
        <f t="shared" ca="1" si="15"/>
        <v>7</v>
      </c>
    </row>
    <row r="298" spans="1:5" x14ac:dyDescent="0.25">
      <c r="A298" s="3">
        <f t="shared" si="13"/>
        <v>78989</v>
      </c>
      <c r="B298" t="str">
        <f ca="1">TEXT(DATE(YEAR(Invoer!$A$5),1,1)+INT((ROWS(B$2:B298)-1)/24),"""18""jjmmdd")</f>
        <v>18980113</v>
      </c>
      <c r="C298" s="11" t="str">
        <f>INDEX(Data,2,2+MOD(ROWS(C$2:C298)-1,24))</f>
        <v>09.00</v>
      </c>
      <c r="D298" s="8" t="str">
        <f t="shared" ca="1" si="14"/>
        <v>—</v>
      </c>
      <c r="E298" s="16">
        <f t="shared" ca="1" si="15"/>
        <v>7</v>
      </c>
    </row>
    <row r="299" spans="1:5" x14ac:dyDescent="0.25">
      <c r="A299" s="3">
        <f t="shared" si="13"/>
        <v>78989</v>
      </c>
      <c r="B299" t="str">
        <f ca="1">TEXT(DATE(YEAR(Invoer!$A$5),1,1)+INT((ROWS(B$2:B299)-1)/24),"""18""jjmmdd")</f>
        <v>18980113</v>
      </c>
      <c r="C299" s="11" t="str">
        <f>INDEX(Data,2,2+MOD(ROWS(C$2:C299)-1,24))</f>
        <v>10.00</v>
      </c>
      <c r="D299" s="8" t="str">
        <f t="shared" ca="1" si="14"/>
        <v>—</v>
      </c>
      <c r="E299" s="16">
        <f t="shared" ca="1" si="15"/>
        <v>7</v>
      </c>
    </row>
    <row r="300" spans="1:5" x14ac:dyDescent="0.25">
      <c r="A300" s="3">
        <f t="shared" si="13"/>
        <v>78989</v>
      </c>
      <c r="B300" t="str">
        <f ca="1">TEXT(DATE(YEAR(Invoer!$A$5),1,1)+INT((ROWS(B$2:B300)-1)/24),"""18""jjmmdd")</f>
        <v>18980113</v>
      </c>
      <c r="C300" s="11" t="str">
        <f>INDEX(Data,2,2+MOD(ROWS(C$2:C300)-1,24))</f>
        <v>11.00</v>
      </c>
      <c r="D300" s="8" t="str">
        <f t="shared" ca="1" si="14"/>
        <v>—</v>
      </c>
      <c r="E300" s="16">
        <f t="shared" ca="1" si="15"/>
        <v>7</v>
      </c>
    </row>
    <row r="301" spans="1:5" x14ac:dyDescent="0.25">
      <c r="A301" s="3">
        <f t="shared" si="13"/>
        <v>78989</v>
      </c>
      <c r="B301" t="str">
        <f ca="1">TEXT(DATE(YEAR(Invoer!$A$5),1,1)+INT((ROWS(B$2:B301)-1)/24),"""18""jjmmdd")</f>
        <v>18980113</v>
      </c>
      <c r="C301" s="11" t="str">
        <f>INDEX(Data,2,2+MOD(ROWS(C$2:C301)-1,24))</f>
        <v>12.00</v>
      </c>
      <c r="D301" s="8" t="str">
        <f t="shared" ca="1" si="14"/>
        <v>—</v>
      </c>
      <c r="E301" s="16">
        <f t="shared" ca="1" si="15"/>
        <v>7</v>
      </c>
    </row>
    <row r="302" spans="1:5" x14ac:dyDescent="0.25">
      <c r="A302" s="3">
        <f t="shared" si="13"/>
        <v>78989</v>
      </c>
      <c r="B302" t="str">
        <f ca="1">TEXT(DATE(YEAR(Invoer!$A$5),1,1)+INT((ROWS(B$2:B302)-1)/24),"""18""jjmmdd")</f>
        <v>18980113</v>
      </c>
      <c r="C302" s="11" t="str">
        <f>INDEX(Data,2,2+MOD(ROWS(C$2:C302)-1,24))</f>
        <v>13.00</v>
      </c>
      <c r="D302" s="8" t="str">
        <f t="shared" ca="1" si="14"/>
        <v>—</v>
      </c>
      <c r="E302" s="16">
        <f t="shared" ca="1" si="15"/>
        <v>7</v>
      </c>
    </row>
    <row r="303" spans="1:5" x14ac:dyDescent="0.25">
      <c r="A303" s="3">
        <f t="shared" si="13"/>
        <v>78989</v>
      </c>
      <c r="B303" t="str">
        <f ca="1">TEXT(DATE(YEAR(Invoer!$A$5),1,1)+INT((ROWS(B$2:B303)-1)/24),"""18""jjmmdd")</f>
        <v>18980113</v>
      </c>
      <c r="C303" s="11" t="str">
        <f>INDEX(Data,2,2+MOD(ROWS(C$2:C303)-1,24))</f>
        <v>14.00</v>
      </c>
      <c r="D303" s="8" t="str">
        <f t="shared" ca="1" si="14"/>
        <v>—</v>
      </c>
      <c r="E303" s="16">
        <f t="shared" ca="1" si="15"/>
        <v>7</v>
      </c>
    </row>
    <row r="304" spans="1:5" x14ac:dyDescent="0.25">
      <c r="A304" s="3">
        <f t="shared" si="13"/>
        <v>78989</v>
      </c>
      <c r="B304" t="str">
        <f ca="1">TEXT(DATE(YEAR(Invoer!$A$5),1,1)+INT((ROWS(B$2:B304)-1)/24),"""18""jjmmdd")</f>
        <v>18980113</v>
      </c>
      <c r="C304" s="11" t="str">
        <f>INDEX(Data,2,2+MOD(ROWS(C$2:C304)-1,24))</f>
        <v>15.00</v>
      </c>
      <c r="D304" s="8" t="str">
        <f t="shared" ca="1" si="14"/>
        <v>—</v>
      </c>
      <c r="E304" s="16">
        <f t="shared" ca="1" si="15"/>
        <v>7</v>
      </c>
    </row>
    <row r="305" spans="1:5" x14ac:dyDescent="0.25">
      <c r="A305" s="3">
        <f t="shared" si="13"/>
        <v>78989</v>
      </c>
      <c r="B305" t="str">
        <f ca="1">TEXT(DATE(YEAR(Invoer!$A$5),1,1)+INT((ROWS(B$2:B305)-1)/24),"""18""jjmmdd")</f>
        <v>18980113</v>
      </c>
      <c r="C305" s="11" t="str">
        <f>INDEX(Data,2,2+MOD(ROWS(C$2:C305)-1,24))</f>
        <v>16.00</v>
      </c>
      <c r="D305" s="8" t="str">
        <f t="shared" ca="1" si="14"/>
        <v>—</v>
      </c>
      <c r="E305" s="16">
        <f t="shared" ca="1" si="15"/>
        <v>7</v>
      </c>
    </row>
    <row r="306" spans="1:5" x14ac:dyDescent="0.25">
      <c r="A306" s="3">
        <f t="shared" si="13"/>
        <v>78989</v>
      </c>
      <c r="B306" t="str">
        <f ca="1">TEXT(DATE(YEAR(Invoer!$A$5),1,1)+INT((ROWS(B$2:B306)-1)/24),"""18""jjmmdd")</f>
        <v>18980113</v>
      </c>
      <c r="C306" s="11" t="str">
        <f>INDEX(Data,2,2+MOD(ROWS(C$2:C306)-1,24))</f>
        <v>17.00</v>
      </c>
      <c r="D306" s="8" t="str">
        <f t="shared" ca="1" si="14"/>
        <v>—</v>
      </c>
      <c r="E306" s="16">
        <f t="shared" ca="1" si="15"/>
        <v>7</v>
      </c>
    </row>
    <row r="307" spans="1:5" x14ac:dyDescent="0.25">
      <c r="A307" s="3">
        <f t="shared" si="13"/>
        <v>78989</v>
      </c>
      <c r="B307" t="str">
        <f ca="1">TEXT(DATE(YEAR(Invoer!$A$5),1,1)+INT((ROWS(B$2:B307)-1)/24),"""18""jjmmdd")</f>
        <v>18980113</v>
      </c>
      <c r="C307" s="11" t="str">
        <f>INDEX(Data,2,2+MOD(ROWS(C$2:C307)-1,24))</f>
        <v>18.00</v>
      </c>
      <c r="D307" s="8" t="str">
        <f t="shared" ca="1" si="14"/>
        <v>—</v>
      </c>
      <c r="E307" s="16">
        <f t="shared" ca="1" si="15"/>
        <v>7</v>
      </c>
    </row>
    <row r="308" spans="1:5" x14ac:dyDescent="0.25">
      <c r="A308" s="3">
        <f t="shared" si="13"/>
        <v>78989</v>
      </c>
      <c r="B308" t="str">
        <f ca="1">TEXT(DATE(YEAR(Invoer!$A$5),1,1)+INT((ROWS(B$2:B308)-1)/24),"""18""jjmmdd")</f>
        <v>18980113</v>
      </c>
      <c r="C308" s="11" t="str">
        <f>INDEX(Data,2,2+MOD(ROWS(C$2:C308)-1,24))</f>
        <v>19.00</v>
      </c>
      <c r="D308" s="8" t="str">
        <f t="shared" ca="1" si="14"/>
        <v>—</v>
      </c>
      <c r="E308" s="16">
        <f t="shared" ca="1" si="15"/>
        <v>7</v>
      </c>
    </row>
    <row r="309" spans="1:5" x14ac:dyDescent="0.25">
      <c r="A309" s="3">
        <f t="shared" si="13"/>
        <v>78989</v>
      </c>
      <c r="B309" t="str">
        <f ca="1">TEXT(DATE(YEAR(Invoer!$A$5),1,1)+INT((ROWS(B$2:B309)-1)/24),"""18""jjmmdd")</f>
        <v>18980113</v>
      </c>
      <c r="C309" s="11" t="str">
        <f>INDEX(Data,2,2+MOD(ROWS(C$2:C309)-1,24))</f>
        <v>20.00</v>
      </c>
      <c r="D309" s="8" t="str">
        <f t="shared" ca="1" si="14"/>
        <v>—</v>
      </c>
      <c r="E309" s="16">
        <f t="shared" ca="1" si="15"/>
        <v>7</v>
      </c>
    </row>
    <row r="310" spans="1:5" x14ac:dyDescent="0.25">
      <c r="A310" s="3">
        <f t="shared" si="13"/>
        <v>78989</v>
      </c>
      <c r="B310" t="str">
        <f ca="1">TEXT(DATE(YEAR(Invoer!$A$5),1,1)+INT((ROWS(B$2:B310)-1)/24),"""18""jjmmdd")</f>
        <v>18980113</v>
      </c>
      <c r="C310" s="11" t="str">
        <f>INDEX(Data,2,2+MOD(ROWS(C$2:C310)-1,24))</f>
        <v>21.00</v>
      </c>
      <c r="D310" s="8" t="str">
        <f t="shared" ca="1" si="14"/>
        <v>—</v>
      </c>
      <c r="E310" s="16">
        <f t="shared" ca="1" si="15"/>
        <v>7</v>
      </c>
    </row>
    <row r="311" spans="1:5" x14ac:dyDescent="0.25">
      <c r="A311" s="3">
        <f t="shared" si="13"/>
        <v>78989</v>
      </c>
      <c r="B311" t="str">
        <f ca="1">TEXT(DATE(YEAR(Invoer!$A$5),1,1)+INT((ROWS(B$2:B311)-1)/24),"""18""jjmmdd")</f>
        <v>18980113</v>
      </c>
      <c r="C311" s="11" t="str">
        <f>INDEX(Data,2,2+MOD(ROWS(C$2:C311)-1,24))</f>
        <v>22.00</v>
      </c>
      <c r="D311" s="8" t="str">
        <f t="shared" ca="1" si="14"/>
        <v>—</v>
      </c>
      <c r="E311" s="16">
        <f t="shared" ca="1" si="15"/>
        <v>7</v>
      </c>
    </row>
    <row r="312" spans="1:5" x14ac:dyDescent="0.25">
      <c r="A312" s="3">
        <f t="shared" si="13"/>
        <v>78989</v>
      </c>
      <c r="B312" t="str">
        <f ca="1">TEXT(DATE(YEAR(Invoer!$A$5),1,1)+INT((ROWS(B$2:B312)-1)/24),"""18""jjmmdd")</f>
        <v>18980113</v>
      </c>
      <c r="C312" s="11" t="str">
        <f>INDEX(Data,2,2+MOD(ROWS(C$2:C312)-1,24))</f>
        <v>23.00</v>
      </c>
      <c r="D312" s="8" t="str">
        <f t="shared" ca="1" si="14"/>
        <v>—</v>
      </c>
      <c r="E312" s="16">
        <f t="shared" ca="1" si="15"/>
        <v>7</v>
      </c>
    </row>
    <row r="313" spans="1:5" x14ac:dyDescent="0.25">
      <c r="A313" s="3">
        <f t="shared" si="13"/>
        <v>78989</v>
      </c>
      <c r="B313" t="str">
        <f ca="1">TEXT(DATE(YEAR(Invoer!$A$5),1,1)+INT((ROWS(B$2:B313)-1)/24),"""18""jjmmdd")</f>
        <v>18980113</v>
      </c>
      <c r="C313" s="11" t="str">
        <f>INDEX(Data,2,2+MOD(ROWS(C$2:C313)-1,24))</f>
        <v>24.00</v>
      </c>
      <c r="D313" s="8" t="str">
        <f t="shared" ca="1" si="14"/>
        <v>—</v>
      </c>
      <c r="E313" s="16">
        <f t="shared" ca="1" si="15"/>
        <v>7</v>
      </c>
    </row>
    <row r="314" spans="1:5" x14ac:dyDescent="0.25">
      <c r="A314" s="3">
        <f t="shared" si="13"/>
        <v>78989</v>
      </c>
      <c r="B314" t="str">
        <f ca="1">TEXT(DATE(YEAR(Invoer!$A$5),1,1)+INT((ROWS(B$2:B314)-1)/24),"""18""jjmmdd")</f>
        <v>18980114</v>
      </c>
      <c r="C314" s="11" t="str">
        <f>INDEX(Data,2,2+MOD(ROWS(C$2:C314)-1,24))</f>
        <v>01.00</v>
      </c>
      <c r="D314" s="8" t="str">
        <f t="shared" ca="1" si="14"/>
        <v>—</v>
      </c>
      <c r="E314" s="16">
        <f t="shared" ca="1" si="15"/>
        <v>7</v>
      </c>
    </row>
    <row r="315" spans="1:5" x14ac:dyDescent="0.25">
      <c r="A315" s="3">
        <f t="shared" si="13"/>
        <v>78989</v>
      </c>
      <c r="B315" t="str">
        <f ca="1">TEXT(DATE(YEAR(Invoer!$A$5),1,1)+INT((ROWS(B$2:B315)-1)/24),"""18""jjmmdd")</f>
        <v>18980114</v>
      </c>
      <c r="C315" s="11" t="str">
        <f>INDEX(Data,2,2+MOD(ROWS(C$2:C315)-1,24))</f>
        <v>02.00</v>
      </c>
      <c r="D315" s="8" t="str">
        <f t="shared" ca="1" si="14"/>
        <v>—</v>
      </c>
      <c r="E315" s="16">
        <f t="shared" ca="1" si="15"/>
        <v>7</v>
      </c>
    </row>
    <row r="316" spans="1:5" x14ac:dyDescent="0.25">
      <c r="A316" s="3">
        <f t="shared" si="13"/>
        <v>78989</v>
      </c>
      <c r="B316" t="str">
        <f ca="1">TEXT(DATE(YEAR(Invoer!$A$5),1,1)+INT((ROWS(B$2:B316)-1)/24),"""18""jjmmdd")</f>
        <v>18980114</v>
      </c>
      <c r="C316" s="11" t="str">
        <f>INDEX(Data,2,2+MOD(ROWS(C$2:C316)-1,24))</f>
        <v>03.00</v>
      </c>
      <c r="D316" s="8" t="str">
        <f t="shared" ca="1" si="14"/>
        <v>—</v>
      </c>
      <c r="E316" s="16">
        <f t="shared" ca="1" si="15"/>
        <v>7</v>
      </c>
    </row>
    <row r="317" spans="1:5" x14ac:dyDescent="0.25">
      <c r="A317" s="3">
        <f t="shared" si="13"/>
        <v>78989</v>
      </c>
      <c r="B317" t="str">
        <f ca="1">TEXT(DATE(YEAR(Invoer!$A$5),1,1)+INT((ROWS(B$2:B317)-1)/24),"""18""jjmmdd")</f>
        <v>18980114</v>
      </c>
      <c r="C317" s="11" t="str">
        <f>INDEX(Data,2,2+MOD(ROWS(C$2:C317)-1,24))</f>
        <v>04.00</v>
      </c>
      <c r="D317" s="8" t="str">
        <f t="shared" ca="1" si="14"/>
        <v>—</v>
      </c>
      <c r="E317" s="16">
        <f t="shared" ca="1" si="15"/>
        <v>7</v>
      </c>
    </row>
    <row r="318" spans="1:5" x14ac:dyDescent="0.25">
      <c r="A318" s="3">
        <f t="shared" si="13"/>
        <v>78989</v>
      </c>
      <c r="B318" t="str">
        <f ca="1">TEXT(DATE(YEAR(Invoer!$A$5),1,1)+INT((ROWS(B$2:B318)-1)/24),"""18""jjmmdd")</f>
        <v>18980114</v>
      </c>
      <c r="C318" s="11" t="str">
        <f>INDEX(Data,2,2+MOD(ROWS(C$2:C318)-1,24))</f>
        <v>05.00</v>
      </c>
      <c r="D318" s="8" t="str">
        <f t="shared" ca="1" si="14"/>
        <v>—</v>
      </c>
      <c r="E318" s="16">
        <f t="shared" ca="1" si="15"/>
        <v>7</v>
      </c>
    </row>
    <row r="319" spans="1:5" x14ac:dyDescent="0.25">
      <c r="A319" s="3">
        <f t="shared" si="13"/>
        <v>78989</v>
      </c>
      <c r="B319" t="str">
        <f ca="1">TEXT(DATE(YEAR(Invoer!$A$5),1,1)+INT((ROWS(B$2:B319)-1)/24),"""18""jjmmdd")</f>
        <v>18980114</v>
      </c>
      <c r="C319" s="11" t="str">
        <f>INDEX(Data,2,2+MOD(ROWS(C$2:C319)-1,24))</f>
        <v>06.00</v>
      </c>
      <c r="D319" s="8" t="str">
        <f t="shared" ca="1" si="14"/>
        <v>—</v>
      </c>
      <c r="E319" s="16">
        <f t="shared" ca="1" si="15"/>
        <v>7</v>
      </c>
    </row>
    <row r="320" spans="1:5" x14ac:dyDescent="0.25">
      <c r="A320" s="3">
        <f t="shared" si="13"/>
        <v>78989</v>
      </c>
      <c r="B320" t="str">
        <f ca="1">TEXT(DATE(YEAR(Invoer!$A$5),1,1)+INT((ROWS(B$2:B320)-1)/24),"""18""jjmmdd")</f>
        <v>18980114</v>
      </c>
      <c r="C320" s="11" t="str">
        <f>INDEX(Data,2,2+MOD(ROWS(C$2:C320)-1,24))</f>
        <v>07.00</v>
      </c>
      <c r="D320" s="8" t="str">
        <f t="shared" ca="1" si="14"/>
        <v>—</v>
      </c>
      <c r="E320" s="16">
        <f t="shared" ca="1" si="15"/>
        <v>7</v>
      </c>
    </row>
    <row r="321" spans="1:5" x14ac:dyDescent="0.25">
      <c r="A321" s="3">
        <f t="shared" si="13"/>
        <v>78989</v>
      </c>
      <c r="B321" t="str">
        <f ca="1">TEXT(DATE(YEAR(Invoer!$A$5),1,1)+INT((ROWS(B$2:B321)-1)/24),"""18""jjmmdd")</f>
        <v>18980114</v>
      </c>
      <c r="C321" s="11" t="str">
        <f>INDEX(Data,2,2+MOD(ROWS(C$2:C321)-1,24))</f>
        <v>08.00</v>
      </c>
      <c r="D321" s="8" t="str">
        <f t="shared" ca="1" si="14"/>
        <v>—</v>
      </c>
      <c r="E321" s="16">
        <f t="shared" ca="1" si="15"/>
        <v>7</v>
      </c>
    </row>
    <row r="322" spans="1:5" x14ac:dyDescent="0.25">
      <c r="A322" s="3">
        <f t="shared" ref="A322:A385" si="16">INDEX(Stations,2,1)</f>
        <v>78989</v>
      </c>
      <c r="B322" t="str">
        <f ca="1">TEXT(DATE(YEAR(Invoer!$A$5),1,1)+INT((ROWS(B$2:B322)-1)/24),"""18""jjmmdd")</f>
        <v>18980114</v>
      </c>
      <c r="C322" s="11" t="str">
        <f>INDEX(Data,2,2+MOD(ROWS(C$2:C322)-1,24))</f>
        <v>09.00</v>
      </c>
      <c r="D322" s="8" t="str">
        <f t="shared" ref="D322:D385" ca="1" si="17">IF(OR(ISBLANK(VLOOKUP(DATEVALUE("37"&amp;MID($B322,3,2)&amp;"-"&amp;MID($B322,5,2)&amp;"-"&amp;RIGHT($B322,2)),Data,MATCH(LEFT(VLOOKUP(D$1,Parameters,2,FALSE()),4)&amp;"*",OFFSET(Data,0,0,1),0)+MATCH($C322,OFFSET(Data,1,0,1),0)-2,FALSE())),ISTEXT(VLOOKUP(DATEVALUE("37"&amp;MID($B322,3,2)&amp;"-"&amp;MID($B322,5,2)&amp;"-"&amp;RIGHT($B322,2)),Data,MATCH(LEFT(VLOOKUP(D$1,Parameters,2,FALSE()),4)&amp;"*",OFFSET(Data,0,0,1),0)+MATCH($C322,OFFSET(Data,1,0,1),0)-2,FALSE()))),"—",VLOOKUP(DATEVALUE("37"&amp;MID($B322,3,2)&amp;"-"&amp;MID($B322,5,2)&amp;"-"&amp;RIGHT($B322,2)),Data,MATCH(LEFT(VLOOKUP(D$1,Parameters,2,FALSE()),4)&amp;"*",OFFSET(Data,0,0,1),0)+MATCH($C322,OFFSET(Data,1,0,1),0)-2,FALSE()))</f>
        <v>—</v>
      </c>
      <c r="E322" s="16">
        <f t="shared" ca="1" si="15"/>
        <v>7</v>
      </c>
    </row>
    <row r="323" spans="1:5" x14ac:dyDescent="0.25">
      <c r="A323" s="3">
        <f t="shared" si="16"/>
        <v>78989</v>
      </c>
      <c r="B323" t="str">
        <f ca="1">TEXT(DATE(YEAR(Invoer!$A$5),1,1)+INT((ROWS(B$2:B323)-1)/24),"""18""jjmmdd")</f>
        <v>18980114</v>
      </c>
      <c r="C323" s="11" t="str">
        <f>INDEX(Data,2,2+MOD(ROWS(C$2:C323)-1,24))</f>
        <v>10.00</v>
      </c>
      <c r="D323" s="8" t="str">
        <f t="shared" ca="1" si="17"/>
        <v>—</v>
      </c>
      <c r="E323" s="16">
        <f t="shared" ref="E323:E386" ca="1" si="18">IF(OR(ISBLANK(VLOOKUP(DATEVALUE("37"&amp;MID($B323,3,2)&amp;"-"&amp;MID($B323,5,2)&amp;"-"&amp;RIGHT($B323,2)),Data,MATCH(LEFT(VLOOKUP(D$1,Parameters,2,FALSE()),4)&amp;"*",OFFSET(Data,0,0,1),0)+MATCH($C323,OFFSET(Data,1,0,1),0)-2,FALSE())),ISTEXT(VLOOKUP(DATEVALUE("37"&amp;MID($B323,3,2)&amp;"-"&amp;MID($B323,5,2)&amp;"-"&amp;RIGHT($B323,2)),Data,MATCH(LEFT(VLOOKUP(D$1,Parameters,2,FALSE()),4)&amp;"*",OFFSET(Data,0,0,1),0)+MATCH($C323,OFFSET(Data,1,0,1),0)-2,FALSE()))),Lacking,IF(ISNA(MATCH(DATEVALUE("37"&amp;MID($B323,3,2)&amp;"-"&amp;MID($B323,5,2)&amp;"-"&amp;RIGHT($B323,2)),OFFSET(Catalogus,0,0,,1),0)),Ok,VLOOKUP(DATEVALUE("37"&amp;MID($B323,3,2)&amp;"-"&amp;MID($B323,5,2)&amp;"-"&amp;RIGHT($B323,2)),Catalogus,MATCH(LEFT(VLOOKUP(MID(E$1,2,LEN(E$1)-1),Parameters,2,FALSE()),4)&amp;"*",OFFSET(Catalogus,0,0,1),0)+MATCH($C323,OFFSET(Catalogus,1,0,1),0)-2,FALSE())))</f>
        <v>7</v>
      </c>
    </row>
    <row r="324" spans="1:5" x14ac:dyDescent="0.25">
      <c r="A324" s="3">
        <f t="shared" si="16"/>
        <v>78989</v>
      </c>
      <c r="B324" t="str">
        <f ca="1">TEXT(DATE(YEAR(Invoer!$A$5),1,1)+INT((ROWS(B$2:B324)-1)/24),"""18""jjmmdd")</f>
        <v>18980114</v>
      </c>
      <c r="C324" s="11" t="str">
        <f>INDEX(Data,2,2+MOD(ROWS(C$2:C324)-1,24))</f>
        <v>11.00</v>
      </c>
      <c r="D324" s="8" t="str">
        <f t="shared" ca="1" si="17"/>
        <v>—</v>
      </c>
      <c r="E324" s="16">
        <f t="shared" ca="1" si="18"/>
        <v>7</v>
      </c>
    </row>
    <row r="325" spans="1:5" x14ac:dyDescent="0.25">
      <c r="A325" s="3">
        <f t="shared" si="16"/>
        <v>78989</v>
      </c>
      <c r="B325" t="str">
        <f ca="1">TEXT(DATE(YEAR(Invoer!$A$5),1,1)+INT((ROWS(B$2:B325)-1)/24),"""18""jjmmdd")</f>
        <v>18980114</v>
      </c>
      <c r="C325" s="11" t="str">
        <f>INDEX(Data,2,2+MOD(ROWS(C$2:C325)-1,24))</f>
        <v>12.00</v>
      </c>
      <c r="D325" s="8" t="str">
        <f t="shared" ca="1" si="17"/>
        <v>—</v>
      </c>
      <c r="E325" s="16">
        <f t="shared" ca="1" si="18"/>
        <v>7</v>
      </c>
    </row>
    <row r="326" spans="1:5" x14ac:dyDescent="0.25">
      <c r="A326" s="3">
        <f t="shared" si="16"/>
        <v>78989</v>
      </c>
      <c r="B326" t="str">
        <f ca="1">TEXT(DATE(YEAR(Invoer!$A$5),1,1)+INT((ROWS(B$2:B326)-1)/24),"""18""jjmmdd")</f>
        <v>18980114</v>
      </c>
      <c r="C326" s="11" t="str">
        <f>INDEX(Data,2,2+MOD(ROWS(C$2:C326)-1,24))</f>
        <v>13.00</v>
      </c>
      <c r="D326" s="8" t="str">
        <f t="shared" ca="1" si="17"/>
        <v>—</v>
      </c>
      <c r="E326" s="16">
        <f t="shared" ca="1" si="18"/>
        <v>7</v>
      </c>
    </row>
    <row r="327" spans="1:5" x14ac:dyDescent="0.25">
      <c r="A327" s="3">
        <f t="shared" si="16"/>
        <v>78989</v>
      </c>
      <c r="B327" t="str">
        <f ca="1">TEXT(DATE(YEAR(Invoer!$A$5),1,1)+INT((ROWS(B$2:B327)-1)/24),"""18""jjmmdd")</f>
        <v>18980114</v>
      </c>
      <c r="C327" s="11" t="str">
        <f>INDEX(Data,2,2+MOD(ROWS(C$2:C327)-1,24))</f>
        <v>14.00</v>
      </c>
      <c r="D327" s="8" t="str">
        <f t="shared" ca="1" si="17"/>
        <v>—</v>
      </c>
      <c r="E327" s="16">
        <f t="shared" ca="1" si="18"/>
        <v>7</v>
      </c>
    </row>
    <row r="328" spans="1:5" x14ac:dyDescent="0.25">
      <c r="A328" s="3">
        <f t="shared" si="16"/>
        <v>78989</v>
      </c>
      <c r="B328" t="str">
        <f ca="1">TEXT(DATE(YEAR(Invoer!$A$5),1,1)+INT((ROWS(B$2:B328)-1)/24),"""18""jjmmdd")</f>
        <v>18980114</v>
      </c>
      <c r="C328" s="11" t="str">
        <f>INDEX(Data,2,2+MOD(ROWS(C$2:C328)-1,24))</f>
        <v>15.00</v>
      </c>
      <c r="D328" s="8" t="str">
        <f t="shared" ca="1" si="17"/>
        <v>—</v>
      </c>
      <c r="E328" s="16">
        <f t="shared" ca="1" si="18"/>
        <v>7</v>
      </c>
    </row>
    <row r="329" spans="1:5" x14ac:dyDescent="0.25">
      <c r="A329" s="3">
        <f t="shared" si="16"/>
        <v>78989</v>
      </c>
      <c r="B329" t="str">
        <f ca="1">TEXT(DATE(YEAR(Invoer!$A$5),1,1)+INT((ROWS(B$2:B329)-1)/24),"""18""jjmmdd")</f>
        <v>18980114</v>
      </c>
      <c r="C329" s="11" t="str">
        <f>INDEX(Data,2,2+MOD(ROWS(C$2:C329)-1,24))</f>
        <v>16.00</v>
      </c>
      <c r="D329" s="8" t="str">
        <f t="shared" ca="1" si="17"/>
        <v>—</v>
      </c>
      <c r="E329" s="16">
        <f t="shared" ca="1" si="18"/>
        <v>7</v>
      </c>
    </row>
    <row r="330" spans="1:5" x14ac:dyDescent="0.25">
      <c r="A330" s="3">
        <f t="shared" si="16"/>
        <v>78989</v>
      </c>
      <c r="B330" t="str">
        <f ca="1">TEXT(DATE(YEAR(Invoer!$A$5),1,1)+INT((ROWS(B$2:B330)-1)/24),"""18""jjmmdd")</f>
        <v>18980114</v>
      </c>
      <c r="C330" s="11" t="str">
        <f>INDEX(Data,2,2+MOD(ROWS(C$2:C330)-1,24))</f>
        <v>17.00</v>
      </c>
      <c r="D330" s="8" t="str">
        <f t="shared" ca="1" si="17"/>
        <v>—</v>
      </c>
      <c r="E330" s="16">
        <f t="shared" ca="1" si="18"/>
        <v>7</v>
      </c>
    </row>
    <row r="331" spans="1:5" x14ac:dyDescent="0.25">
      <c r="A331" s="3">
        <f t="shared" si="16"/>
        <v>78989</v>
      </c>
      <c r="B331" t="str">
        <f ca="1">TEXT(DATE(YEAR(Invoer!$A$5),1,1)+INT((ROWS(B$2:B331)-1)/24),"""18""jjmmdd")</f>
        <v>18980114</v>
      </c>
      <c r="C331" s="11" t="str">
        <f>INDEX(Data,2,2+MOD(ROWS(C$2:C331)-1,24))</f>
        <v>18.00</v>
      </c>
      <c r="D331" s="8" t="str">
        <f t="shared" ca="1" si="17"/>
        <v>—</v>
      </c>
      <c r="E331" s="16">
        <f t="shared" ca="1" si="18"/>
        <v>7</v>
      </c>
    </row>
    <row r="332" spans="1:5" x14ac:dyDescent="0.25">
      <c r="A332" s="3">
        <f t="shared" si="16"/>
        <v>78989</v>
      </c>
      <c r="B332" t="str">
        <f ca="1">TEXT(DATE(YEAR(Invoer!$A$5),1,1)+INT((ROWS(B$2:B332)-1)/24),"""18""jjmmdd")</f>
        <v>18980114</v>
      </c>
      <c r="C332" s="11" t="str">
        <f>INDEX(Data,2,2+MOD(ROWS(C$2:C332)-1,24))</f>
        <v>19.00</v>
      </c>
      <c r="D332" s="8" t="str">
        <f t="shared" ca="1" si="17"/>
        <v>—</v>
      </c>
      <c r="E332" s="16">
        <f t="shared" ca="1" si="18"/>
        <v>7</v>
      </c>
    </row>
    <row r="333" spans="1:5" x14ac:dyDescent="0.25">
      <c r="A333" s="3">
        <f t="shared" si="16"/>
        <v>78989</v>
      </c>
      <c r="B333" t="str">
        <f ca="1">TEXT(DATE(YEAR(Invoer!$A$5),1,1)+INT((ROWS(B$2:B333)-1)/24),"""18""jjmmdd")</f>
        <v>18980114</v>
      </c>
      <c r="C333" s="11" t="str">
        <f>INDEX(Data,2,2+MOD(ROWS(C$2:C333)-1,24))</f>
        <v>20.00</v>
      </c>
      <c r="D333" s="8" t="str">
        <f t="shared" ca="1" si="17"/>
        <v>—</v>
      </c>
      <c r="E333" s="16">
        <f t="shared" ca="1" si="18"/>
        <v>7</v>
      </c>
    </row>
    <row r="334" spans="1:5" x14ac:dyDescent="0.25">
      <c r="A334" s="3">
        <f t="shared" si="16"/>
        <v>78989</v>
      </c>
      <c r="B334" t="str">
        <f ca="1">TEXT(DATE(YEAR(Invoer!$A$5),1,1)+INT((ROWS(B$2:B334)-1)/24),"""18""jjmmdd")</f>
        <v>18980114</v>
      </c>
      <c r="C334" s="11" t="str">
        <f>INDEX(Data,2,2+MOD(ROWS(C$2:C334)-1,24))</f>
        <v>21.00</v>
      </c>
      <c r="D334" s="8" t="str">
        <f t="shared" ca="1" si="17"/>
        <v>—</v>
      </c>
      <c r="E334" s="16">
        <f t="shared" ca="1" si="18"/>
        <v>7</v>
      </c>
    </row>
    <row r="335" spans="1:5" x14ac:dyDescent="0.25">
      <c r="A335" s="3">
        <f t="shared" si="16"/>
        <v>78989</v>
      </c>
      <c r="B335" t="str">
        <f ca="1">TEXT(DATE(YEAR(Invoer!$A$5),1,1)+INT((ROWS(B$2:B335)-1)/24),"""18""jjmmdd")</f>
        <v>18980114</v>
      </c>
      <c r="C335" s="11" t="str">
        <f>INDEX(Data,2,2+MOD(ROWS(C$2:C335)-1,24))</f>
        <v>22.00</v>
      </c>
      <c r="D335" s="8" t="str">
        <f t="shared" ca="1" si="17"/>
        <v>—</v>
      </c>
      <c r="E335" s="16">
        <f t="shared" ca="1" si="18"/>
        <v>7</v>
      </c>
    </row>
    <row r="336" spans="1:5" x14ac:dyDescent="0.25">
      <c r="A336" s="3">
        <f t="shared" si="16"/>
        <v>78989</v>
      </c>
      <c r="B336" t="str">
        <f ca="1">TEXT(DATE(YEAR(Invoer!$A$5),1,1)+INT((ROWS(B$2:B336)-1)/24),"""18""jjmmdd")</f>
        <v>18980114</v>
      </c>
      <c r="C336" s="11" t="str">
        <f>INDEX(Data,2,2+MOD(ROWS(C$2:C336)-1,24))</f>
        <v>23.00</v>
      </c>
      <c r="D336" s="8" t="str">
        <f t="shared" ca="1" si="17"/>
        <v>—</v>
      </c>
      <c r="E336" s="16">
        <f t="shared" ca="1" si="18"/>
        <v>7</v>
      </c>
    </row>
    <row r="337" spans="1:5" x14ac:dyDescent="0.25">
      <c r="A337" s="3">
        <f t="shared" si="16"/>
        <v>78989</v>
      </c>
      <c r="B337" t="str">
        <f ca="1">TEXT(DATE(YEAR(Invoer!$A$5),1,1)+INT((ROWS(B$2:B337)-1)/24),"""18""jjmmdd")</f>
        <v>18980114</v>
      </c>
      <c r="C337" s="11" t="str">
        <f>INDEX(Data,2,2+MOD(ROWS(C$2:C337)-1,24))</f>
        <v>24.00</v>
      </c>
      <c r="D337" s="8" t="str">
        <f t="shared" ca="1" si="17"/>
        <v>—</v>
      </c>
      <c r="E337" s="16">
        <f t="shared" ca="1" si="18"/>
        <v>7</v>
      </c>
    </row>
    <row r="338" spans="1:5" x14ac:dyDescent="0.25">
      <c r="A338" s="3">
        <f t="shared" si="16"/>
        <v>78989</v>
      </c>
      <c r="B338" t="str">
        <f ca="1">TEXT(DATE(YEAR(Invoer!$A$5),1,1)+INT((ROWS(B$2:B338)-1)/24),"""18""jjmmdd")</f>
        <v>18980115</v>
      </c>
      <c r="C338" s="11" t="str">
        <f>INDEX(Data,2,2+MOD(ROWS(C$2:C338)-1,24))</f>
        <v>01.00</v>
      </c>
      <c r="D338" s="8" t="str">
        <f t="shared" ca="1" si="17"/>
        <v>—</v>
      </c>
      <c r="E338" s="16">
        <f t="shared" ca="1" si="18"/>
        <v>7</v>
      </c>
    </row>
    <row r="339" spans="1:5" x14ac:dyDescent="0.25">
      <c r="A339" s="3">
        <f t="shared" si="16"/>
        <v>78989</v>
      </c>
      <c r="B339" t="str">
        <f ca="1">TEXT(DATE(YEAR(Invoer!$A$5),1,1)+INT((ROWS(B$2:B339)-1)/24),"""18""jjmmdd")</f>
        <v>18980115</v>
      </c>
      <c r="C339" s="11" t="str">
        <f>INDEX(Data,2,2+MOD(ROWS(C$2:C339)-1,24))</f>
        <v>02.00</v>
      </c>
      <c r="D339" s="8" t="str">
        <f t="shared" ca="1" si="17"/>
        <v>—</v>
      </c>
      <c r="E339" s="16">
        <f t="shared" ca="1" si="18"/>
        <v>7</v>
      </c>
    </row>
    <row r="340" spans="1:5" x14ac:dyDescent="0.25">
      <c r="A340" s="3">
        <f t="shared" si="16"/>
        <v>78989</v>
      </c>
      <c r="B340" t="str">
        <f ca="1">TEXT(DATE(YEAR(Invoer!$A$5),1,1)+INT((ROWS(B$2:B340)-1)/24),"""18""jjmmdd")</f>
        <v>18980115</v>
      </c>
      <c r="C340" s="11" t="str">
        <f>INDEX(Data,2,2+MOD(ROWS(C$2:C340)-1,24))</f>
        <v>03.00</v>
      </c>
      <c r="D340" s="8" t="str">
        <f t="shared" ca="1" si="17"/>
        <v>—</v>
      </c>
      <c r="E340" s="16">
        <f t="shared" ca="1" si="18"/>
        <v>7</v>
      </c>
    </row>
    <row r="341" spans="1:5" x14ac:dyDescent="0.25">
      <c r="A341" s="3">
        <f t="shared" si="16"/>
        <v>78989</v>
      </c>
      <c r="B341" t="str">
        <f ca="1">TEXT(DATE(YEAR(Invoer!$A$5),1,1)+INT((ROWS(B$2:B341)-1)/24),"""18""jjmmdd")</f>
        <v>18980115</v>
      </c>
      <c r="C341" s="11" t="str">
        <f>INDEX(Data,2,2+MOD(ROWS(C$2:C341)-1,24))</f>
        <v>04.00</v>
      </c>
      <c r="D341" s="8" t="str">
        <f t="shared" ca="1" si="17"/>
        <v>—</v>
      </c>
      <c r="E341" s="16">
        <f t="shared" ca="1" si="18"/>
        <v>7</v>
      </c>
    </row>
    <row r="342" spans="1:5" x14ac:dyDescent="0.25">
      <c r="A342" s="3">
        <f t="shared" si="16"/>
        <v>78989</v>
      </c>
      <c r="B342" t="str">
        <f ca="1">TEXT(DATE(YEAR(Invoer!$A$5),1,1)+INT((ROWS(B$2:B342)-1)/24),"""18""jjmmdd")</f>
        <v>18980115</v>
      </c>
      <c r="C342" s="11" t="str">
        <f>INDEX(Data,2,2+MOD(ROWS(C$2:C342)-1,24))</f>
        <v>05.00</v>
      </c>
      <c r="D342" s="8" t="str">
        <f t="shared" ca="1" si="17"/>
        <v>—</v>
      </c>
      <c r="E342" s="16">
        <f t="shared" ca="1" si="18"/>
        <v>7</v>
      </c>
    </row>
    <row r="343" spans="1:5" x14ac:dyDescent="0.25">
      <c r="A343" s="3">
        <f t="shared" si="16"/>
        <v>78989</v>
      </c>
      <c r="B343" t="str">
        <f ca="1">TEXT(DATE(YEAR(Invoer!$A$5),1,1)+INT((ROWS(B$2:B343)-1)/24),"""18""jjmmdd")</f>
        <v>18980115</v>
      </c>
      <c r="C343" s="11" t="str">
        <f>INDEX(Data,2,2+MOD(ROWS(C$2:C343)-1,24))</f>
        <v>06.00</v>
      </c>
      <c r="D343" s="8" t="str">
        <f t="shared" ca="1" si="17"/>
        <v>—</v>
      </c>
      <c r="E343" s="16">
        <f t="shared" ca="1" si="18"/>
        <v>7</v>
      </c>
    </row>
    <row r="344" spans="1:5" x14ac:dyDescent="0.25">
      <c r="A344" s="3">
        <f t="shared" si="16"/>
        <v>78989</v>
      </c>
      <c r="B344" t="str">
        <f ca="1">TEXT(DATE(YEAR(Invoer!$A$5),1,1)+INT((ROWS(B$2:B344)-1)/24),"""18""jjmmdd")</f>
        <v>18980115</v>
      </c>
      <c r="C344" s="11" t="str">
        <f>INDEX(Data,2,2+MOD(ROWS(C$2:C344)-1,24))</f>
        <v>07.00</v>
      </c>
      <c r="D344" s="8" t="str">
        <f t="shared" ca="1" si="17"/>
        <v>—</v>
      </c>
      <c r="E344" s="16">
        <f t="shared" ca="1" si="18"/>
        <v>7</v>
      </c>
    </row>
    <row r="345" spans="1:5" x14ac:dyDescent="0.25">
      <c r="A345" s="3">
        <f t="shared" si="16"/>
        <v>78989</v>
      </c>
      <c r="B345" t="str">
        <f ca="1">TEXT(DATE(YEAR(Invoer!$A$5),1,1)+INT((ROWS(B$2:B345)-1)/24),"""18""jjmmdd")</f>
        <v>18980115</v>
      </c>
      <c r="C345" s="11" t="str">
        <f>INDEX(Data,2,2+MOD(ROWS(C$2:C345)-1,24))</f>
        <v>08.00</v>
      </c>
      <c r="D345" s="8" t="str">
        <f t="shared" ca="1" si="17"/>
        <v>—</v>
      </c>
      <c r="E345" s="16">
        <f t="shared" ca="1" si="18"/>
        <v>7</v>
      </c>
    </row>
    <row r="346" spans="1:5" x14ac:dyDescent="0.25">
      <c r="A346" s="3">
        <f t="shared" si="16"/>
        <v>78989</v>
      </c>
      <c r="B346" t="str">
        <f ca="1">TEXT(DATE(YEAR(Invoer!$A$5),1,1)+INT((ROWS(B$2:B346)-1)/24),"""18""jjmmdd")</f>
        <v>18980115</v>
      </c>
      <c r="C346" s="11" t="str">
        <f>INDEX(Data,2,2+MOD(ROWS(C$2:C346)-1,24))</f>
        <v>09.00</v>
      </c>
      <c r="D346" s="8" t="str">
        <f t="shared" ca="1" si="17"/>
        <v>—</v>
      </c>
      <c r="E346" s="16">
        <f t="shared" ca="1" si="18"/>
        <v>7</v>
      </c>
    </row>
    <row r="347" spans="1:5" x14ac:dyDescent="0.25">
      <c r="A347" s="3">
        <f t="shared" si="16"/>
        <v>78989</v>
      </c>
      <c r="B347" t="str">
        <f ca="1">TEXT(DATE(YEAR(Invoer!$A$5),1,1)+INT((ROWS(B$2:B347)-1)/24),"""18""jjmmdd")</f>
        <v>18980115</v>
      </c>
      <c r="C347" s="11" t="str">
        <f>INDEX(Data,2,2+MOD(ROWS(C$2:C347)-1,24))</f>
        <v>10.00</v>
      </c>
      <c r="D347" s="8" t="str">
        <f t="shared" ca="1" si="17"/>
        <v>—</v>
      </c>
      <c r="E347" s="16">
        <f t="shared" ca="1" si="18"/>
        <v>7</v>
      </c>
    </row>
    <row r="348" spans="1:5" x14ac:dyDescent="0.25">
      <c r="A348" s="3">
        <f t="shared" si="16"/>
        <v>78989</v>
      </c>
      <c r="B348" t="str">
        <f ca="1">TEXT(DATE(YEAR(Invoer!$A$5),1,1)+INT((ROWS(B$2:B348)-1)/24),"""18""jjmmdd")</f>
        <v>18980115</v>
      </c>
      <c r="C348" s="11" t="str">
        <f>INDEX(Data,2,2+MOD(ROWS(C$2:C348)-1,24))</f>
        <v>11.00</v>
      </c>
      <c r="D348" s="8" t="str">
        <f t="shared" ca="1" si="17"/>
        <v>—</v>
      </c>
      <c r="E348" s="16">
        <f t="shared" ca="1" si="18"/>
        <v>7</v>
      </c>
    </row>
    <row r="349" spans="1:5" x14ac:dyDescent="0.25">
      <c r="A349" s="3">
        <f t="shared" si="16"/>
        <v>78989</v>
      </c>
      <c r="B349" t="str">
        <f ca="1">TEXT(DATE(YEAR(Invoer!$A$5),1,1)+INT((ROWS(B$2:B349)-1)/24),"""18""jjmmdd")</f>
        <v>18980115</v>
      </c>
      <c r="C349" s="11" t="str">
        <f>INDEX(Data,2,2+MOD(ROWS(C$2:C349)-1,24))</f>
        <v>12.00</v>
      </c>
      <c r="D349" s="8" t="str">
        <f t="shared" ca="1" si="17"/>
        <v>—</v>
      </c>
      <c r="E349" s="16">
        <f t="shared" ca="1" si="18"/>
        <v>7</v>
      </c>
    </row>
    <row r="350" spans="1:5" x14ac:dyDescent="0.25">
      <c r="A350" s="3">
        <f t="shared" si="16"/>
        <v>78989</v>
      </c>
      <c r="B350" t="str">
        <f ca="1">TEXT(DATE(YEAR(Invoer!$A$5),1,1)+INT((ROWS(B$2:B350)-1)/24),"""18""jjmmdd")</f>
        <v>18980115</v>
      </c>
      <c r="C350" s="11" t="str">
        <f>INDEX(Data,2,2+MOD(ROWS(C$2:C350)-1,24))</f>
        <v>13.00</v>
      </c>
      <c r="D350" s="8" t="str">
        <f t="shared" ca="1" si="17"/>
        <v>—</v>
      </c>
      <c r="E350" s="16">
        <f t="shared" ca="1" si="18"/>
        <v>7</v>
      </c>
    </row>
    <row r="351" spans="1:5" x14ac:dyDescent="0.25">
      <c r="A351" s="3">
        <f t="shared" si="16"/>
        <v>78989</v>
      </c>
      <c r="B351" t="str">
        <f ca="1">TEXT(DATE(YEAR(Invoer!$A$5),1,1)+INT((ROWS(B$2:B351)-1)/24),"""18""jjmmdd")</f>
        <v>18980115</v>
      </c>
      <c r="C351" s="11" t="str">
        <f>INDEX(Data,2,2+MOD(ROWS(C$2:C351)-1,24))</f>
        <v>14.00</v>
      </c>
      <c r="D351" s="8" t="str">
        <f t="shared" ca="1" si="17"/>
        <v>—</v>
      </c>
      <c r="E351" s="16">
        <f t="shared" ca="1" si="18"/>
        <v>7</v>
      </c>
    </row>
    <row r="352" spans="1:5" x14ac:dyDescent="0.25">
      <c r="A352" s="3">
        <f t="shared" si="16"/>
        <v>78989</v>
      </c>
      <c r="B352" t="str">
        <f ca="1">TEXT(DATE(YEAR(Invoer!$A$5),1,1)+INT((ROWS(B$2:B352)-1)/24),"""18""jjmmdd")</f>
        <v>18980115</v>
      </c>
      <c r="C352" s="11" t="str">
        <f>INDEX(Data,2,2+MOD(ROWS(C$2:C352)-1,24))</f>
        <v>15.00</v>
      </c>
      <c r="D352" s="8" t="str">
        <f t="shared" ca="1" si="17"/>
        <v>—</v>
      </c>
      <c r="E352" s="16">
        <f t="shared" ca="1" si="18"/>
        <v>7</v>
      </c>
    </row>
    <row r="353" spans="1:5" x14ac:dyDescent="0.25">
      <c r="A353" s="3">
        <f t="shared" si="16"/>
        <v>78989</v>
      </c>
      <c r="B353" t="str">
        <f ca="1">TEXT(DATE(YEAR(Invoer!$A$5),1,1)+INT((ROWS(B$2:B353)-1)/24),"""18""jjmmdd")</f>
        <v>18980115</v>
      </c>
      <c r="C353" s="11" t="str">
        <f>INDEX(Data,2,2+MOD(ROWS(C$2:C353)-1,24))</f>
        <v>16.00</v>
      </c>
      <c r="D353" s="8" t="str">
        <f t="shared" ca="1" si="17"/>
        <v>—</v>
      </c>
      <c r="E353" s="16">
        <f t="shared" ca="1" si="18"/>
        <v>7</v>
      </c>
    </row>
    <row r="354" spans="1:5" x14ac:dyDescent="0.25">
      <c r="A354" s="3">
        <f t="shared" si="16"/>
        <v>78989</v>
      </c>
      <c r="B354" t="str">
        <f ca="1">TEXT(DATE(YEAR(Invoer!$A$5),1,1)+INT((ROWS(B$2:B354)-1)/24),"""18""jjmmdd")</f>
        <v>18980115</v>
      </c>
      <c r="C354" s="11" t="str">
        <f>INDEX(Data,2,2+MOD(ROWS(C$2:C354)-1,24))</f>
        <v>17.00</v>
      </c>
      <c r="D354" s="8" t="str">
        <f t="shared" ca="1" si="17"/>
        <v>—</v>
      </c>
      <c r="E354" s="16">
        <f t="shared" ca="1" si="18"/>
        <v>7</v>
      </c>
    </row>
    <row r="355" spans="1:5" x14ac:dyDescent="0.25">
      <c r="A355" s="3">
        <f t="shared" si="16"/>
        <v>78989</v>
      </c>
      <c r="B355" t="str">
        <f ca="1">TEXT(DATE(YEAR(Invoer!$A$5),1,1)+INT((ROWS(B$2:B355)-1)/24),"""18""jjmmdd")</f>
        <v>18980115</v>
      </c>
      <c r="C355" s="11" t="str">
        <f>INDEX(Data,2,2+MOD(ROWS(C$2:C355)-1,24))</f>
        <v>18.00</v>
      </c>
      <c r="D355" s="8" t="str">
        <f t="shared" ca="1" si="17"/>
        <v>—</v>
      </c>
      <c r="E355" s="16">
        <f t="shared" ca="1" si="18"/>
        <v>7</v>
      </c>
    </row>
    <row r="356" spans="1:5" x14ac:dyDescent="0.25">
      <c r="A356" s="3">
        <f t="shared" si="16"/>
        <v>78989</v>
      </c>
      <c r="B356" t="str">
        <f ca="1">TEXT(DATE(YEAR(Invoer!$A$5),1,1)+INT((ROWS(B$2:B356)-1)/24),"""18""jjmmdd")</f>
        <v>18980115</v>
      </c>
      <c r="C356" s="11" t="str">
        <f>INDEX(Data,2,2+MOD(ROWS(C$2:C356)-1,24))</f>
        <v>19.00</v>
      </c>
      <c r="D356" s="8" t="str">
        <f t="shared" ca="1" si="17"/>
        <v>—</v>
      </c>
      <c r="E356" s="16">
        <f t="shared" ca="1" si="18"/>
        <v>7</v>
      </c>
    </row>
    <row r="357" spans="1:5" x14ac:dyDescent="0.25">
      <c r="A357" s="3">
        <f t="shared" si="16"/>
        <v>78989</v>
      </c>
      <c r="B357" t="str">
        <f ca="1">TEXT(DATE(YEAR(Invoer!$A$5),1,1)+INT((ROWS(B$2:B357)-1)/24),"""18""jjmmdd")</f>
        <v>18980115</v>
      </c>
      <c r="C357" s="11" t="str">
        <f>INDEX(Data,2,2+MOD(ROWS(C$2:C357)-1,24))</f>
        <v>20.00</v>
      </c>
      <c r="D357" s="8" t="str">
        <f t="shared" ca="1" si="17"/>
        <v>—</v>
      </c>
      <c r="E357" s="16">
        <f t="shared" ca="1" si="18"/>
        <v>7</v>
      </c>
    </row>
    <row r="358" spans="1:5" x14ac:dyDescent="0.25">
      <c r="A358" s="3">
        <f t="shared" si="16"/>
        <v>78989</v>
      </c>
      <c r="B358" t="str">
        <f ca="1">TEXT(DATE(YEAR(Invoer!$A$5),1,1)+INT((ROWS(B$2:B358)-1)/24),"""18""jjmmdd")</f>
        <v>18980115</v>
      </c>
      <c r="C358" s="11" t="str">
        <f>INDEX(Data,2,2+MOD(ROWS(C$2:C358)-1,24))</f>
        <v>21.00</v>
      </c>
      <c r="D358" s="8" t="str">
        <f t="shared" ca="1" si="17"/>
        <v>—</v>
      </c>
      <c r="E358" s="16">
        <f t="shared" ca="1" si="18"/>
        <v>7</v>
      </c>
    </row>
    <row r="359" spans="1:5" x14ac:dyDescent="0.25">
      <c r="A359" s="3">
        <f t="shared" si="16"/>
        <v>78989</v>
      </c>
      <c r="B359" t="str">
        <f ca="1">TEXT(DATE(YEAR(Invoer!$A$5),1,1)+INT((ROWS(B$2:B359)-1)/24),"""18""jjmmdd")</f>
        <v>18980115</v>
      </c>
      <c r="C359" s="11" t="str">
        <f>INDEX(Data,2,2+MOD(ROWS(C$2:C359)-1,24))</f>
        <v>22.00</v>
      </c>
      <c r="D359" s="8" t="str">
        <f t="shared" ca="1" si="17"/>
        <v>—</v>
      </c>
      <c r="E359" s="16">
        <f t="shared" ca="1" si="18"/>
        <v>7</v>
      </c>
    </row>
    <row r="360" spans="1:5" x14ac:dyDescent="0.25">
      <c r="A360" s="3">
        <f t="shared" si="16"/>
        <v>78989</v>
      </c>
      <c r="B360" t="str">
        <f ca="1">TEXT(DATE(YEAR(Invoer!$A$5),1,1)+INT((ROWS(B$2:B360)-1)/24),"""18""jjmmdd")</f>
        <v>18980115</v>
      </c>
      <c r="C360" s="11" t="str">
        <f>INDEX(Data,2,2+MOD(ROWS(C$2:C360)-1,24))</f>
        <v>23.00</v>
      </c>
      <c r="D360" s="8" t="str">
        <f t="shared" ca="1" si="17"/>
        <v>—</v>
      </c>
      <c r="E360" s="16">
        <f t="shared" ca="1" si="18"/>
        <v>7</v>
      </c>
    </row>
    <row r="361" spans="1:5" x14ac:dyDescent="0.25">
      <c r="A361" s="3">
        <f t="shared" si="16"/>
        <v>78989</v>
      </c>
      <c r="B361" t="str">
        <f ca="1">TEXT(DATE(YEAR(Invoer!$A$5),1,1)+INT((ROWS(B$2:B361)-1)/24),"""18""jjmmdd")</f>
        <v>18980115</v>
      </c>
      <c r="C361" s="11" t="str">
        <f>INDEX(Data,2,2+MOD(ROWS(C$2:C361)-1,24))</f>
        <v>24.00</v>
      </c>
      <c r="D361" s="8" t="str">
        <f t="shared" ca="1" si="17"/>
        <v>—</v>
      </c>
      <c r="E361" s="16">
        <f t="shared" ca="1" si="18"/>
        <v>7</v>
      </c>
    </row>
    <row r="362" spans="1:5" x14ac:dyDescent="0.25">
      <c r="A362" s="3">
        <f t="shared" si="16"/>
        <v>78989</v>
      </c>
      <c r="B362" t="str">
        <f ca="1">TEXT(DATE(YEAR(Invoer!$A$5),1,1)+INT((ROWS(B$2:B362)-1)/24),"""18""jjmmdd")</f>
        <v>18980116</v>
      </c>
      <c r="C362" s="11" t="str">
        <f>INDEX(Data,2,2+MOD(ROWS(C$2:C362)-1,24))</f>
        <v>01.00</v>
      </c>
      <c r="D362" s="8" t="str">
        <f t="shared" ca="1" si="17"/>
        <v>—</v>
      </c>
      <c r="E362" s="16">
        <f t="shared" ca="1" si="18"/>
        <v>7</v>
      </c>
    </row>
    <row r="363" spans="1:5" x14ac:dyDescent="0.25">
      <c r="A363" s="3">
        <f t="shared" si="16"/>
        <v>78989</v>
      </c>
      <c r="B363" t="str">
        <f ca="1">TEXT(DATE(YEAR(Invoer!$A$5),1,1)+INT((ROWS(B$2:B363)-1)/24),"""18""jjmmdd")</f>
        <v>18980116</v>
      </c>
      <c r="C363" s="11" t="str">
        <f>INDEX(Data,2,2+MOD(ROWS(C$2:C363)-1,24))</f>
        <v>02.00</v>
      </c>
      <c r="D363" s="8" t="str">
        <f t="shared" ca="1" si="17"/>
        <v>—</v>
      </c>
      <c r="E363" s="16">
        <f t="shared" ca="1" si="18"/>
        <v>7</v>
      </c>
    </row>
    <row r="364" spans="1:5" x14ac:dyDescent="0.25">
      <c r="A364" s="3">
        <f t="shared" si="16"/>
        <v>78989</v>
      </c>
      <c r="B364" t="str">
        <f ca="1">TEXT(DATE(YEAR(Invoer!$A$5),1,1)+INT((ROWS(B$2:B364)-1)/24),"""18""jjmmdd")</f>
        <v>18980116</v>
      </c>
      <c r="C364" s="11" t="str">
        <f>INDEX(Data,2,2+MOD(ROWS(C$2:C364)-1,24))</f>
        <v>03.00</v>
      </c>
      <c r="D364" s="8" t="str">
        <f t="shared" ca="1" si="17"/>
        <v>—</v>
      </c>
      <c r="E364" s="16">
        <f t="shared" ca="1" si="18"/>
        <v>7</v>
      </c>
    </row>
    <row r="365" spans="1:5" x14ac:dyDescent="0.25">
      <c r="A365" s="3">
        <f t="shared" si="16"/>
        <v>78989</v>
      </c>
      <c r="B365" t="str">
        <f ca="1">TEXT(DATE(YEAR(Invoer!$A$5),1,1)+INT((ROWS(B$2:B365)-1)/24),"""18""jjmmdd")</f>
        <v>18980116</v>
      </c>
      <c r="C365" s="11" t="str">
        <f>INDEX(Data,2,2+MOD(ROWS(C$2:C365)-1,24))</f>
        <v>04.00</v>
      </c>
      <c r="D365" s="8" t="str">
        <f t="shared" ca="1" si="17"/>
        <v>—</v>
      </c>
      <c r="E365" s="16">
        <f t="shared" ca="1" si="18"/>
        <v>7</v>
      </c>
    </row>
    <row r="366" spans="1:5" x14ac:dyDescent="0.25">
      <c r="A366" s="3">
        <f t="shared" si="16"/>
        <v>78989</v>
      </c>
      <c r="B366" t="str">
        <f ca="1">TEXT(DATE(YEAR(Invoer!$A$5),1,1)+INT((ROWS(B$2:B366)-1)/24),"""18""jjmmdd")</f>
        <v>18980116</v>
      </c>
      <c r="C366" s="11" t="str">
        <f>INDEX(Data,2,2+MOD(ROWS(C$2:C366)-1,24))</f>
        <v>05.00</v>
      </c>
      <c r="D366" s="8" t="str">
        <f t="shared" ca="1" si="17"/>
        <v>—</v>
      </c>
      <c r="E366" s="16">
        <f t="shared" ca="1" si="18"/>
        <v>7</v>
      </c>
    </row>
    <row r="367" spans="1:5" x14ac:dyDescent="0.25">
      <c r="A367" s="3">
        <f t="shared" si="16"/>
        <v>78989</v>
      </c>
      <c r="B367" t="str">
        <f ca="1">TEXT(DATE(YEAR(Invoer!$A$5),1,1)+INT((ROWS(B$2:B367)-1)/24),"""18""jjmmdd")</f>
        <v>18980116</v>
      </c>
      <c r="C367" s="11" t="str">
        <f>INDEX(Data,2,2+MOD(ROWS(C$2:C367)-1,24))</f>
        <v>06.00</v>
      </c>
      <c r="D367" s="8" t="str">
        <f t="shared" ca="1" si="17"/>
        <v>—</v>
      </c>
      <c r="E367" s="16">
        <f t="shared" ca="1" si="18"/>
        <v>7</v>
      </c>
    </row>
    <row r="368" spans="1:5" x14ac:dyDescent="0.25">
      <c r="A368" s="3">
        <f t="shared" si="16"/>
        <v>78989</v>
      </c>
      <c r="B368" t="str">
        <f ca="1">TEXT(DATE(YEAR(Invoer!$A$5),1,1)+INT((ROWS(B$2:B368)-1)/24),"""18""jjmmdd")</f>
        <v>18980116</v>
      </c>
      <c r="C368" s="11" t="str">
        <f>INDEX(Data,2,2+MOD(ROWS(C$2:C368)-1,24))</f>
        <v>07.00</v>
      </c>
      <c r="D368" s="8" t="str">
        <f t="shared" ca="1" si="17"/>
        <v>—</v>
      </c>
      <c r="E368" s="16">
        <f t="shared" ca="1" si="18"/>
        <v>7</v>
      </c>
    </row>
    <row r="369" spans="1:5" x14ac:dyDescent="0.25">
      <c r="A369" s="3">
        <f t="shared" si="16"/>
        <v>78989</v>
      </c>
      <c r="B369" t="str">
        <f ca="1">TEXT(DATE(YEAR(Invoer!$A$5),1,1)+INT((ROWS(B$2:B369)-1)/24),"""18""jjmmdd")</f>
        <v>18980116</v>
      </c>
      <c r="C369" s="11" t="str">
        <f>INDEX(Data,2,2+MOD(ROWS(C$2:C369)-1,24))</f>
        <v>08.00</v>
      </c>
      <c r="D369" s="8" t="str">
        <f t="shared" ca="1" si="17"/>
        <v>—</v>
      </c>
      <c r="E369" s="16">
        <f t="shared" ca="1" si="18"/>
        <v>7</v>
      </c>
    </row>
    <row r="370" spans="1:5" x14ac:dyDescent="0.25">
      <c r="A370" s="3">
        <f t="shared" si="16"/>
        <v>78989</v>
      </c>
      <c r="B370" t="str">
        <f ca="1">TEXT(DATE(YEAR(Invoer!$A$5),1,1)+INT((ROWS(B$2:B370)-1)/24),"""18""jjmmdd")</f>
        <v>18980116</v>
      </c>
      <c r="C370" s="11" t="str">
        <f>INDEX(Data,2,2+MOD(ROWS(C$2:C370)-1,24))</f>
        <v>09.00</v>
      </c>
      <c r="D370" s="8" t="str">
        <f t="shared" ca="1" si="17"/>
        <v>—</v>
      </c>
      <c r="E370" s="16">
        <f t="shared" ca="1" si="18"/>
        <v>7</v>
      </c>
    </row>
    <row r="371" spans="1:5" x14ac:dyDescent="0.25">
      <c r="A371" s="3">
        <f t="shared" si="16"/>
        <v>78989</v>
      </c>
      <c r="B371" t="str">
        <f ca="1">TEXT(DATE(YEAR(Invoer!$A$5),1,1)+INT((ROWS(B$2:B371)-1)/24),"""18""jjmmdd")</f>
        <v>18980116</v>
      </c>
      <c r="C371" s="11" t="str">
        <f>INDEX(Data,2,2+MOD(ROWS(C$2:C371)-1,24))</f>
        <v>10.00</v>
      </c>
      <c r="D371" s="8" t="str">
        <f t="shared" ca="1" si="17"/>
        <v>—</v>
      </c>
      <c r="E371" s="16">
        <f t="shared" ca="1" si="18"/>
        <v>7</v>
      </c>
    </row>
    <row r="372" spans="1:5" x14ac:dyDescent="0.25">
      <c r="A372" s="3">
        <f t="shared" si="16"/>
        <v>78989</v>
      </c>
      <c r="B372" t="str">
        <f ca="1">TEXT(DATE(YEAR(Invoer!$A$5),1,1)+INT((ROWS(B$2:B372)-1)/24),"""18""jjmmdd")</f>
        <v>18980116</v>
      </c>
      <c r="C372" s="11" t="str">
        <f>INDEX(Data,2,2+MOD(ROWS(C$2:C372)-1,24))</f>
        <v>11.00</v>
      </c>
      <c r="D372" s="8" t="str">
        <f t="shared" ca="1" si="17"/>
        <v>—</v>
      </c>
      <c r="E372" s="16">
        <f t="shared" ca="1" si="18"/>
        <v>7</v>
      </c>
    </row>
    <row r="373" spans="1:5" x14ac:dyDescent="0.25">
      <c r="A373" s="3">
        <f t="shared" si="16"/>
        <v>78989</v>
      </c>
      <c r="B373" t="str">
        <f ca="1">TEXT(DATE(YEAR(Invoer!$A$5),1,1)+INT((ROWS(B$2:B373)-1)/24),"""18""jjmmdd")</f>
        <v>18980116</v>
      </c>
      <c r="C373" s="11" t="str">
        <f>INDEX(Data,2,2+MOD(ROWS(C$2:C373)-1,24))</f>
        <v>12.00</v>
      </c>
      <c r="D373" s="8" t="str">
        <f t="shared" ca="1" si="17"/>
        <v>—</v>
      </c>
      <c r="E373" s="16">
        <f t="shared" ca="1" si="18"/>
        <v>7</v>
      </c>
    </row>
    <row r="374" spans="1:5" x14ac:dyDescent="0.25">
      <c r="A374" s="3">
        <f t="shared" si="16"/>
        <v>78989</v>
      </c>
      <c r="B374" t="str">
        <f ca="1">TEXT(DATE(YEAR(Invoer!$A$5),1,1)+INT((ROWS(B$2:B374)-1)/24),"""18""jjmmdd")</f>
        <v>18980116</v>
      </c>
      <c r="C374" s="11" t="str">
        <f>INDEX(Data,2,2+MOD(ROWS(C$2:C374)-1,24))</f>
        <v>13.00</v>
      </c>
      <c r="D374" s="8" t="str">
        <f t="shared" ca="1" si="17"/>
        <v>—</v>
      </c>
      <c r="E374" s="16">
        <f t="shared" ca="1" si="18"/>
        <v>7</v>
      </c>
    </row>
    <row r="375" spans="1:5" x14ac:dyDescent="0.25">
      <c r="A375" s="3">
        <f t="shared" si="16"/>
        <v>78989</v>
      </c>
      <c r="B375" t="str">
        <f ca="1">TEXT(DATE(YEAR(Invoer!$A$5),1,1)+INT((ROWS(B$2:B375)-1)/24),"""18""jjmmdd")</f>
        <v>18980116</v>
      </c>
      <c r="C375" s="11" t="str">
        <f>INDEX(Data,2,2+MOD(ROWS(C$2:C375)-1,24))</f>
        <v>14.00</v>
      </c>
      <c r="D375" s="8" t="str">
        <f t="shared" ca="1" si="17"/>
        <v>—</v>
      </c>
      <c r="E375" s="16">
        <f t="shared" ca="1" si="18"/>
        <v>7</v>
      </c>
    </row>
    <row r="376" spans="1:5" x14ac:dyDescent="0.25">
      <c r="A376" s="3">
        <f t="shared" si="16"/>
        <v>78989</v>
      </c>
      <c r="B376" t="str">
        <f ca="1">TEXT(DATE(YEAR(Invoer!$A$5),1,1)+INT((ROWS(B$2:B376)-1)/24),"""18""jjmmdd")</f>
        <v>18980116</v>
      </c>
      <c r="C376" s="11" t="str">
        <f>INDEX(Data,2,2+MOD(ROWS(C$2:C376)-1,24))</f>
        <v>15.00</v>
      </c>
      <c r="D376" s="8" t="str">
        <f t="shared" ca="1" si="17"/>
        <v>—</v>
      </c>
      <c r="E376" s="16">
        <f t="shared" ca="1" si="18"/>
        <v>7</v>
      </c>
    </row>
    <row r="377" spans="1:5" x14ac:dyDescent="0.25">
      <c r="A377" s="3">
        <f t="shared" si="16"/>
        <v>78989</v>
      </c>
      <c r="B377" t="str">
        <f ca="1">TEXT(DATE(YEAR(Invoer!$A$5),1,1)+INT((ROWS(B$2:B377)-1)/24),"""18""jjmmdd")</f>
        <v>18980116</v>
      </c>
      <c r="C377" s="11" t="str">
        <f>INDEX(Data,2,2+MOD(ROWS(C$2:C377)-1,24))</f>
        <v>16.00</v>
      </c>
      <c r="D377" s="8" t="str">
        <f t="shared" ca="1" si="17"/>
        <v>—</v>
      </c>
      <c r="E377" s="16">
        <f t="shared" ca="1" si="18"/>
        <v>7</v>
      </c>
    </row>
    <row r="378" spans="1:5" x14ac:dyDescent="0.25">
      <c r="A378" s="3">
        <f t="shared" si="16"/>
        <v>78989</v>
      </c>
      <c r="B378" t="str">
        <f ca="1">TEXT(DATE(YEAR(Invoer!$A$5),1,1)+INT((ROWS(B$2:B378)-1)/24),"""18""jjmmdd")</f>
        <v>18980116</v>
      </c>
      <c r="C378" s="11" t="str">
        <f>INDEX(Data,2,2+MOD(ROWS(C$2:C378)-1,24))</f>
        <v>17.00</v>
      </c>
      <c r="D378" s="8" t="str">
        <f t="shared" ca="1" si="17"/>
        <v>—</v>
      </c>
      <c r="E378" s="16">
        <f t="shared" ca="1" si="18"/>
        <v>7</v>
      </c>
    </row>
    <row r="379" spans="1:5" x14ac:dyDescent="0.25">
      <c r="A379" s="3">
        <f t="shared" si="16"/>
        <v>78989</v>
      </c>
      <c r="B379" t="str">
        <f ca="1">TEXT(DATE(YEAR(Invoer!$A$5),1,1)+INT((ROWS(B$2:B379)-1)/24),"""18""jjmmdd")</f>
        <v>18980116</v>
      </c>
      <c r="C379" s="11" t="str">
        <f>INDEX(Data,2,2+MOD(ROWS(C$2:C379)-1,24))</f>
        <v>18.00</v>
      </c>
      <c r="D379" s="8" t="str">
        <f t="shared" ca="1" si="17"/>
        <v>—</v>
      </c>
      <c r="E379" s="16">
        <f t="shared" ca="1" si="18"/>
        <v>7</v>
      </c>
    </row>
    <row r="380" spans="1:5" x14ac:dyDescent="0.25">
      <c r="A380" s="3">
        <f t="shared" si="16"/>
        <v>78989</v>
      </c>
      <c r="B380" t="str">
        <f ca="1">TEXT(DATE(YEAR(Invoer!$A$5),1,1)+INT((ROWS(B$2:B380)-1)/24),"""18""jjmmdd")</f>
        <v>18980116</v>
      </c>
      <c r="C380" s="11" t="str">
        <f>INDEX(Data,2,2+MOD(ROWS(C$2:C380)-1,24))</f>
        <v>19.00</v>
      </c>
      <c r="D380" s="8" t="str">
        <f t="shared" ca="1" si="17"/>
        <v>—</v>
      </c>
      <c r="E380" s="16">
        <f t="shared" ca="1" si="18"/>
        <v>7</v>
      </c>
    </row>
    <row r="381" spans="1:5" x14ac:dyDescent="0.25">
      <c r="A381" s="3">
        <f t="shared" si="16"/>
        <v>78989</v>
      </c>
      <c r="B381" t="str">
        <f ca="1">TEXT(DATE(YEAR(Invoer!$A$5),1,1)+INT((ROWS(B$2:B381)-1)/24),"""18""jjmmdd")</f>
        <v>18980116</v>
      </c>
      <c r="C381" s="11" t="str">
        <f>INDEX(Data,2,2+MOD(ROWS(C$2:C381)-1,24))</f>
        <v>20.00</v>
      </c>
      <c r="D381" s="8" t="str">
        <f t="shared" ca="1" si="17"/>
        <v>—</v>
      </c>
      <c r="E381" s="16">
        <f t="shared" ca="1" si="18"/>
        <v>7</v>
      </c>
    </row>
    <row r="382" spans="1:5" x14ac:dyDescent="0.25">
      <c r="A382" s="3">
        <f t="shared" si="16"/>
        <v>78989</v>
      </c>
      <c r="B382" t="str">
        <f ca="1">TEXT(DATE(YEAR(Invoer!$A$5),1,1)+INT((ROWS(B$2:B382)-1)/24),"""18""jjmmdd")</f>
        <v>18980116</v>
      </c>
      <c r="C382" s="11" t="str">
        <f>INDEX(Data,2,2+MOD(ROWS(C$2:C382)-1,24))</f>
        <v>21.00</v>
      </c>
      <c r="D382" s="8" t="str">
        <f t="shared" ca="1" si="17"/>
        <v>—</v>
      </c>
      <c r="E382" s="16">
        <f t="shared" ca="1" si="18"/>
        <v>7</v>
      </c>
    </row>
    <row r="383" spans="1:5" x14ac:dyDescent="0.25">
      <c r="A383" s="3">
        <f t="shared" si="16"/>
        <v>78989</v>
      </c>
      <c r="B383" t="str">
        <f ca="1">TEXT(DATE(YEAR(Invoer!$A$5),1,1)+INT((ROWS(B$2:B383)-1)/24),"""18""jjmmdd")</f>
        <v>18980116</v>
      </c>
      <c r="C383" s="11" t="str">
        <f>INDEX(Data,2,2+MOD(ROWS(C$2:C383)-1,24))</f>
        <v>22.00</v>
      </c>
      <c r="D383" s="8" t="str">
        <f t="shared" ca="1" si="17"/>
        <v>—</v>
      </c>
      <c r="E383" s="16">
        <f t="shared" ca="1" si="18"/>
        <v>7</v>
      </c>
    </row>
    <row r="384" spans="1:5" x14ac:dyDescent="0.25">
      <c r="A384" s="3">
        <f t="shared" si="16"/>
        <v>78989</v>
      </c>
      <c r="B384" t="str">
        <f ca="1">TEXT(DATE(YEAR(Invoer!$A$5),1,1)+INT((ROWS(B$2:B384)-1)/24),"""18""jjmmdd")</f>
        <v>18980116</v>
      </c>
      <c r="C384" s="11" t="str">
        <f>INDEX(Data,2,2+MOD(ROWS(C$2:C384)-1,24))</f>
        <v>23.00</v>
      </c>
      <c r="D384" s="8" t="str">
        <f t="shared" ca="1" si="17"/>
        <v>—</v>
      </c>
      <c r="E384" s="16">
        <f t="shared" ca="1" si="18"/>
        <v>7</v>
      </c>
    </row>
    <row r="385" spans="1:5" x14ac:dyDescent="0.25">
      <c r="A385" s="3">
        <f t="shared" si="16"/>
        <v>78989</v>
      </c>
      <c r="B385" t="str">
        <f ca="1">TEXT(DATE(YEAR(Invoer!$A$5),1,1)+INT((ROWS(B$2:B385)-1)/24),"""18""jjmmdd")</f>
        <v>18980116</v>
      </c>
      <c r="C385" s="11" t="str">
        <f>INDEX(Data,2,2+MOD(ROWS(C$2:C385)-1,24))</f>
        <v>24.00</v>
      </c>
      <c r="D385" s="8" t="str">
        <f t="shared" ca="1" si="17"/>
        <v>—</v>
      </c>
      <c r="E385" s="16">
        <f t="shared" ca="1" si="18"/>
        <v>7</v>
      </c>
    </row>
    <row r="386" spans="1:5" x14ac:dyDescent="0.25">
      <c r="A386" s="3">
        <f t="shared" ref="A386:A449" si="19">INDEX(Stations,2,1)</f>
        <v>78989</v>
      </c>
      <c r="B386" t="str">
        <f ca="1">TEXT(DATE(YEAR(Invoer!$A$5),1,1)+INT((ROWS(B$2:B386)-1)/24),"""18""jjmmdd")</f>
        <v>18980117</v>
      </c>
      <c r="C386" s="11" t="str">
        <f>INDEX(Data,2,2+MOD(ROWS(C$2:C386)-1,24))</f>
        <v>01.00</v>
      </c>
      <c r="D386" s="8" t="str">
        <f t="shared" ref="D386:D449" ca="1" si="20">IF(OR(ISBLANK(VLOOKUP(DATEVALUE("37"&amp;MID($B386,3,2)&amp;"-"&amp;MID($B386,5,2)&amp;"-"&amp;RIGHT($B386,2)),Data,MATCH(LEFT(VLOOKUP(D$1,Parameters,2,FALSE()),4)&amp;"*",OFFSET(Data,0,0,1),0)+MATCH($C386,OFFSET(Data,1,0,1),0)-2,FALSE())),ISTEXT(VLOOKUP(DATEVALUE("37"&amp;MID($B386,3,2)&amp;"-"&amp;MID($B386,5,2)&amp;"-"&amp;RIGHT($B386,2)),Data,MATCH(LEFT(VLOOKUP(D$1,Parameters,2,FALSE()),4)&amp;"*",OFFSET(Data,0,0,1),0)+MATCH($C386,OFFSET(Data,1,0,1),0)-2,FALSE()))),"—",VLOOKUP(DATEVALUE("37"&amp;MID($B386,3,2)&amp;"-"&amp;MID($B386,5,2)&amp;"-"&amp;RIGHT($B386,2)),Data,MATCH(LEFT(VLOOKUP(D$1,Parameters,2,FALSE()),4)&amp;"*",OFFSET(Data,0,0,1),0)+MATCH($C386,OFFSET(Data,1,0,1),0)-2,FALSE()))</f>
        <v>—</v>
      </c>
      <c r="E386" s="16">
        <f t="shared" ca="1" si="18"/>
        <v>7</v>
      </c>
    </row>
    <row r="387" spans="1:5" x14ac:dyDescent="0.25">
      <c r="A387" s="3">
        <f t="shared" si="19"/>
        <v>78989</v>
      </c>
      <c r="B387" t="str">
        <f ca="1">TEXT(DATE(YEAR(Invoer!$A$5),1,1)+INT((ROWS(B$2:B387)-1)/24),"""18""jjmmdd")</f>
        <v>18980117</v>
      </c>
      <c r="C387" s="11" t="str">
        <f>INDEX(Data,2,2+MOD(ROWS(C$2:C387)-1,24))</f>
        <v>02.00</v>
      </c>
      <c r="D387" s="8" t="str">
        <f t="shared" ca="1" si="20"/>
        <v>—</v>
      </c>
      <c r="E387" s="16">
        <f t="shared" ref="E387:E450" ca="1" si="21">IF(OR(ISBLANK(VLOOKUP(DATEVALUE("37"&amp;MID($B387,3,2)&amp;"-"&amp;MID($B387,5,2)&amp;"-"&amp;RIGHT($B387,2)),Data,MATCH(LEFT(VLOOKUP(D$1,Parameters,2,FALSE()),4)&amp;"*",OFFSET(Data,0,0,1),0)+MATCH($C387,OFFSET(Data,1,0,1),0)-2,FALSE())),ISTEXT(VLOOKUP(DATEVALUE("37"&amp;MID($B387,3,2)&amp;"-"&amp;MID($B387,5,2)&amp;"-"&amp;RIGHT($B387,2)),Data,MATCH(LEFT(VLOOKUP(D$1,Parameters,2,FALSE()),4)&amp;"*",OFFSET(Data,0,0,1),0)+MATCH($C387,OFFSET(Data,1,0,1),0)-2,FALSE()))),Lacking,IF(ISNA(MATCH(DATEVALUE("37"&amp;MID($B387,3,2)&amp;"-"&amp;MID($B387,5,2)&amp;"-"&amp;RIGHT($B387,2)),OFFSET(Catalogus,0,0,,1),0)),Ok,VLOOKUP(DATEVALUE("37"&amp;MID($B387,3,2)&amp;"-"&amp;MID($B387,5,2)&amp;"-"&amp;RIGHT($B387,2)),Catalogus,MATCH(LEFT(VLOOKUP(MID(E$1,2,LEN(E$1)-1),Parameters,2,FALSE()),4)&amp;"*",OFFSET(Catalogus,0,0,1),0)+MATCH($C387,OFFSET(Catalogus,1,0,1),0)-2,FALSE())))</f>
        <v>7</v>
      </c>
    </row>
    <row r="388" spans="1:5" x14ac:dyDescent="0.25">
      <c r="A388" s="3">
        <f t="shared" si="19"/>
        <v>78989</v>
      </c>
      <c r="B388" t="str">
        <f ca="1">TEXT(DATE(YEAR(Invoer!$A$5),1,1)+INT((ROWS(B$2:B388)-1)/24),"""18""jjmmdd")</f>
        <v>18980117</v>
      </c>
      <c r="C388" s="11" t="str">
        <f>INDEX(Data,2,2+MOD(ROWS(C$2:C388)-1,24))</f>
        <v>03.00</v>
      </c>
      <c r="D388" s="8" t="str">
        <f t="shared" ca="1" si="20"/>
        <v>—</v>
      </c>
      <c r="E388" s="16">
        <f t="shared" ca="1" si="21"/>
        <v>7</v>
      </c>
    </row>
    <row r="389" spans="1:5" x14ac:dyDescent="0.25">
      <c r="A389" s="3">
        <f t="shared" si="19"/>
        <v>78989</v>
      </c>
      <c r="B389" t="str">
        <f ca="1">TEXT(DATE(YEAR(Invoer!$A$5),1,1)+INT((ROWS(B$2:B389)-1)/24),"""18""jjmmdd")</f>
        <v>18980117</v>
      </c>
      <c r="C389" s="11" t="str">
        <f>INDEX(Data,2,2+MOD(ROWS(C$2:C389)-1,24))</f>
        <v>04.00</v>
      </c>
      <c r="D389" s="8" t="str">
        <f t="shared" ca="1" si="20"/>
        <v>—</v>
      </c>
      <c r="E389" s="16">
        <f t="shared" ca="1" si="21"/>
        <v>7</v>
      </c>
    </row>
    <row r="390" spans="1:5" x14ac:dyDescent="0.25">
      <c r="A390" s="3">
        <f t="shared" si="19"/>
        <v>78989</v>
      </c>
      <c r="B390" t="str">
        <f ca="1">TEXT(DATE(YEAR(Invoer!$A$5),1,1)+INT((ROWS(B$2:B390)-1)/24),"""18""jjmmdd")</f>
        <v>18980117</v>
      </c>
      <c r="C390" s="11" t="str">
        <f>INDEX(Data,2,2+MOD(ROWS(C$2:C390)-1,24))</f>
        <v>05.00</v>
      </c>
      <c r="D390" s="8" t="str">
        <f t="shared" ca="1" si="20"/>
        <v>—</v>
      </c>
      <c r="E390" s="16">
        <f t="shared" ca="1" si="21"/>
        <v>7</v>
      </c>
    </row>
    <row r="391" spans="1:5" x14ac:dyDescent="0.25">
      <c r="A391" s="3">
        <f t="shared" si="19"/>
        <v>78989</v>
      </c>
      <c r="B391" t="str">
        <f ca="1">TEXT(DATE(YEAR(Invoer!$A$5),1,1)+INT((ROWS(B$2:B391)-1)/24),"""18""jjmmdd")</f>
        <v>18980117</v>
      </c>
      <c r="C391" s="11" t="str">
        <f>INDEX(Data,2,2+MOD(ROWS(C$2:C391)-1,24))</f>
        <v>06.00</v>
      </c>
      <c r="D391" s="8" t="str">
        <f t="shared" ca="1" si="20"/>
        <v>—</v>
      </c>
      <c r="E391" s="16">
        <f t="shared" ca="1" si="21"/>
        <v>7</v>
      </c>
    </row>
    <row r="392" spans="1:5" x14ac:dyDescent="0.25">
      <c r="A392" s="3">
        <f t="shared" si="19"/>
        <v>78989</v>
      </c>
      <c r="B392" t="str">
        <f ca="1">TEXT(DATE(YEAR(Invoer!$A$5),1,1)+INT((ROWS(B$2:B392)-1)/24),"""18""jjmmdd")</f>
        <v>18980117</v>
      </c>
      <c r="C392" s="11" t="str">
        <f>INDEX(Data,2,2+MOD(ROWS(C$2:C392)-1,24))</f>
        <v>07.00</v>
      </c>
      <c r="D392" s="8" t="str">
        <f t="shared" ca="1" si="20"/>
        <v>—</v>
      </c>
      <c r="E392" s="16">
        <f t="shared" ca="1" si="21"/>
        <v>7</v>
      </c>
    </row>
    <row r="393" spans="1:5" x14ac:dyDescent="0.25">
      <c r="A393" s="3">
        <f t="shared" si="19"/>
        <v>78989</v>
      </c>
      <c r="B393" t="str">
        <f ca="1">TEXT(DATE(YEAR(Invoer!$A$5),1,1)+INT((ROWS(B$2:B393)-1)/24),"""18""jjmmdd")</f>
        <v>18980117</v>
      </c>
      <c r="C393" s="11" t="str">
        <f>INDEX(Data,2,2+MOD(ROWS(C$2:C393)-1,24))</f>
        <v>08.00</v>
      </c>
      <c r="D393" s="8" t="str">
        <f t="shared" ca="1" si="20"/>
        <v>—</v>
      </c>
      <c r="E393" s="16">
        <f t="shared" ca="1" si="21"/>
        <v>7</v>
      </c>
    </row>
    <row r="394" spans="1:5" x14ac:dyDescent="0.25">
      <c r="A394" s="3">
        <f t="shared" si="19"/>
        <v>78989</v>
      </c>
      <c r="B394" t="str">
        <f ca="1">TEXT(DATE(YEAR(Invoer!$A$5),1,1)+INT((ROWS(B$2:B394)-1)/24),"""18""jjmmdd")</f>
        <v>18980117</v>
      </c>
      <c r="C394" s="11" t="str">
        <f>INDEX(Data,2,2+MOD(ROWS(C$2:C394)-1,24))</f>
        <v>09.00</v>
      </c>
      <c r="D394" s="8" t="str">
        <f t="shared" ca="1" si="20"/>
        <v>—</v>
      </c>
      <c r="E394" s="16">
        <f t="shared" ca="1" si="21"/>
        <v>7</v>
      </c>
    </row>
    <row r="395" spans="1:5" x14ac:dyDescent="0.25">
      <c r="A395" s="3">
        <f t="shared" si="19"/>
        <v>78989</v>
      </c>
      <c r="B395" t="str">
        <f ca="1">TEXT(DATE(YEAR(Invoer!$A$5),1,1)+INT((ROWS(B$2:B395)-1)/24),"""18""jjmmdd")</f>
        <v>18980117</v>
      </c>
      <c r="C395" s="11" t="str">
        <f>INDEX(Data,2,2+MOD(ROWS(C$2:C395)-1,24))</f>
        <v>10.00</v>
      </c>
      <c r="D395" s="8" t="str">
        <f t="shared" ca="1" si="20"/>
        <v>—</v>
      </c>
      <c r="E395" s="16">
        <f t="shared" ca="1" si="21"/>
        <v>7</v>
      </c>
    </row>
    <row r="396" spans="1:5" x14ac:dyDescent="0.25">
      <c r="A396" s="3">
        <f t="shared" si="19"/>
        <v>78989</v>
      </c>
      <c r="B396" t="str">
        <f ca="1">TEXT(DATE(YEAR(Invoer!$A$5),1,1)+INT((ROWS(B$2:B396)-1)/24),"""18""jjmmdd")</f>
        <v>18980117</v>
      </c>
      <c r="C396" s="11" t="str">
        <f>INDEX(Data,2,2+MOD(ROWS(C$2:C396)-1,24))</f>
        <v>11.00</v>
      </c>
      <c r="D396" s="8" t="str">
        <f t="shared" ca="1" si="20"/>
        <v>—</v>
      </c>
      <c r="E396" s="16">
        <f t="shared" ca="1" si="21"/>
        <v>7</v>
      </c>
    </row>
    <row r="397" spans="1:5" x14ac:dyDescent="0.25">
      <c r="A397" s="3">
        <f t="shared" si="19"/>
        <v>78989</v>
      </c>
      <c r="B397" t="str">
        <f ca="1">TEXT(DATE(YEAR(Invoer!$A$5),1,1)+INT((ROWS(B$2:B397)-1)/24),"""18""jjmmdd")</f>
        <v>18980117</v>
      </c>
      <c r="C397" s="11" t="str">
        <f>INDEX(Data,2,2+MOD(ROWS(C$2:C397)-1,24))</f>
        <v>12.00</v>
      </c>
      <c r="D397" s="8" t="str">
        <f t="shared" ca="1" si="20"/>
        <v>—</v>
      </c>
      <c r="E397" s="16">
        <f t="shared" ca="1" si="21"/>
        <v>7</v>
      </c>
    </row>
    <row r="398" spans="1:5" x14ac:dyDescent="0.25">
      <c r="A398" s="3">
        <f t="shared" si="19"/>
        <v>78989</v>
      </c>
      <c r="B398" t="str">
        <f ca="1">TEXT(DATE(YEAR(Invoer!$A$5),1,1)+INT((ROWS(B$2:B398)-1)/24),"""18""jjmmdd")</f>
        <v>18980117</v>
      </c>
      <c r="C398" s="11" t="str">
        <f>INDEX(Data,2,2+MOD(ROWS(C$2:C398)-1,24))</f>
        <v>13.00</v>
      </c>
      <c r="D398" s="8" t="str">
        <f t="shared" ca="1" si="20"/>
        <v>—</v>
      </c>
      <c r="E398" s="16">
        <f t="shared" ca="1" si="21"/>
        <v>7</v>
      </c>
    </row>
    <row r="399" spans="1:5" x14ac:dyDescent="0.25">
      <c r="A399" s="3">
        <f t="shared" si="19"/>
        <v>78989</v>
      </c>
      <c r="B399" t="str">
        <f ca="1">TEXT(DATE(YEAR(Invoer!$A$5),1,1)+INT((ROWS(B$2:B399)-1)/24),"""18""jjmmdd")</f>
        <v>18980117</v>
      </c>
      <c r="C399" s="11" t="str">
        <f>INDEX(Data,2,2+MOD(ROWS(C$2:C399)-1,24))</f>
        <v>14.00</v>
      </c>
      <c r="D399" s="8" t="str">
        <f t="shared" ca="1" si="20"/>
        <v>—</v>
      </c>
      <c r="E399" s="16">
        <f t="shared" ca="1" si="21"/>
        <v>7</v>
      </c>
    </row>
    <row r="400" spans="1:5" x14ac:dyDescent="0.25">
      <c r="A400" s="3">
        <f t="shared" si="19"/>
        <v>78989</v>
      </c>
      <c r="B400" t="str">
        <f ca="1">TEXT(DATE(YEAR(Invoer!$A$5),1,1)+INT((ROWS(B$2:B400)-1)/24),"""18""jjmmdd")</f>
        <v>18980117</v>
      </c>
      <c r="C400" s="11" t="str">
        <f>INDEX(Data,2,2+MOD(ROWS(C$2:C400)-1,24))</f>
        <v>15.00</v>
      </c>
      <c r="D400" s="8" t="str">
        <f t="shared" ca="1" si="20"/>
        <v>—</v>
      </c>
      <c r="E400" s="16">
        <f t="shared" ca="1" si="21"/>
        <v>7</v>
      </c>
    </row>
    <row r="401" spans="1:5" x14ac:dyDescent="0.25">
      <c r="A401" s="3">
        <f t="shared" si="19"/>
        <v>78989</v>
      </c>
      <c r="B401" t="str">
        <f ca="1">TEXT(DATE(YEAR(Invoer!$A$5),1,1)+INT((ROWS(B$2:B401)-1)/24),"""18""jjmmdd")</f>
        <v>18980117</v>
      </c>
      <c r="C401" s="11" t="str">
        <f>INDEX(Data,2,2+MOD(ROWS(C$2:C401)-1,24))</f>
        <v>16.00</v>
      </c>
      <c r="D401" s="8" t="str">
        <f t="shared" ca="1" si="20"/>
        <v>—</v>
      </c>
      <c r="E401" s="16">
        <f t="shared" ca="1" si="21"/>
        <v>7</v>
      </c>
    </row>
    <row r="402" spans="1:5" x14ac:dyDescent="0.25">
      <c r="A402" s="3">
        <f t="shared" si="19"/>
        <v>78989</v>
      </c>
      <c r="B402" t="str">
        <f ca="1">TEXT(DATE(YEAR(Invoer!$A$5),1,1)+INT((ROWS(B$2:B402)-1)/24),"""18""jjmmdd")</f>
        <v>18980117</v>
      </c>
      <c r="C402" s="11" t="str">
        <f>INDEX(Data,2,2+MOD(ROWS(C$2:C402)-1,24))</f>
        <v>17.00</v>
      </c>
      <c r="D402" s="8" t="str">
        <f t="shared" ca="1" si="20"/>
        <v>—</v>
      </c>
      <c r="E402" s="16">
        <f t="shared" ca="1" si="21"/>
        <v>7</v>
      </c>
    </row>
    <row r="403" spans="1:5" x14ac:dyDescent="0.25">
      <c r="A403" s="3">
        <f t="shared" si="19"/>
        <v>78989</v>
      </c>
      <c r="B403" t="str">
        <f ca="1">TEXT(DATE(YEAR(Invoer!$A$5),1,1)+INT((ROWS(B$2:B403)-1)/24),"""18""jjmmdd")</f>
        <v>18980117</v>
      </c>
      <c r="C403" s="11" t="str">
        <f>INDEX(Data,2,2+MOD(ROWS(C$2:C403)-1,24))</f>
        <v>18.00</v>
      </c>
      <c r="D403" s="8" t="str">
        <f t="shared" ca="1" si="20"/>
        <v>—</v>
      </c>
      <c r="E403" s="16">
        <f t="shared" ca="1" si="21"/>
        <v>7</v>
      </c>
    </row>
    <row r="404" spans="1:5" x14ac:dyDescent="0.25">
      <c r="A404" s="3">
        <f t="shared" si="19"/>
        <v>78989</v>
      </c>
      <c r="B404" t="str">
        <f ca="1">TEXT(DATE(YEAR(Invoer!$A$5),1,1)+INT((ROWS(B$2:B404)-1)/24),"""18""jjmmdd")</f>
        <v>18980117</v>
      </c>
      <c r="C404" s="11" t="str">
        <f>INDEX(Data,2,2+MOD(ROWS(C$2:C404)-1,24))</f>
        <v>19.00</v>
      </c>
      <c r="D404" s="8" t="str">
        <f t="shared" ca="1" si="20"/>
        <v>—</v>
      </c>
      <c r="E404" s="16">
        <f t="shared" ca="1" si="21"/>
        <v>7</v>
      </c>
    </row>
    <row r="405" spans="1:5" x14ac:dyDescent="0.25">
      <c r="A405" s="3">
        <f t="shared" si="19"/>
        <v>78989</v>
      </c>
      <c r="B405" t="str">
        <f ca="1">TEXT(DATE(YEAR(Invoer!$A$5),1,1)+INT((ROWS(B$2:B405)-1)/24),"""18""jjmmdd")</f>
        <v>18980117</v>
      </c>
      <c r="C405" s="11" t="str">
        <f>INDEX(Data,2,2+MOD(ROWS(C$2:C405)-1,24))</f>
        <v>20.00</v>
      </c>
      <c r="D405" s="8" t="str">
        <f t="shared" ca="1" si="20"/>
        <v>—</v>
      </c>
      <c r="E405" s="16">
        <f t="shared" ca="1" si="21"/>
        <v>7</v>
      </c>
    </row>
    <row r="406" spans="1:5" x14ac:dyDescent="0.25">
      <c r="A406" s="3">
        <f t="shared" si="19"/>
        <v>78989</v>
      </c>
      <c r="B406" t="str">
        <f ca="1">TEXT(DATE(YEAR(Invoer!$A$5),1,1)+INT((ROWS(B$2:B406)-1)/24),"""18""jjmmdd")</f>
        <v>18980117</v>
      </c>
      <c r="C406" s="11" t="str">
        <f>INDEX(Data,2,2+MOD(ROWS(C$2:C406)-1,24))</f>
        <v>21.00</v>
      </c>
      <c r="D406" s="8" t="str">
        <f t="shared" ca="1" si="20"/>
        <v>—</v>
      </c>
      <c r="E406" s="16">
        <f t="shared" ca="1" si="21"/>
        <v>7</v>
      </c>
    </row>
    <row r="407" spans="1:5" x14ac:dyDescent="0.25">
      <c r="A407" s="3">
        <f t="shared" si="19"/>
        <v>78989</v>
      </c>
      <c r="B407" t="str">
        <f ca="1">TEXT(DATE(YEAR(Invoer!$A$5),1,1)+INT((ROWS(B$2:B407)-1)/24),"""18""jjmmdd")</f>
        <v>18980117</v>
      </c>
      <c r="C407" s="11" t="str">
        <f>INDEX(Data,2,2+MOD(ROWS(C$2:C407)-1,24))</f>
        <v>22.00</v>
      </c>
      <c r="D407" s="8" t="str">
        <f t="shared" ca="1" si="20"/>
        <v>—</v>
      </c>
      <c r="E407" s="16">
        <f t="shared" ca="1" si="21"/>
        <v>7</v>
      </c>
    </row>
    <row r="408" spans="1:5" x14ac:dyDescent="0.25">
      <c r="A408" s="3">
        <f t="shared" si="19"/>
        <v>78989</v>
      </c>
      <c r="B408" t="str">
        <f ca="1">TEXT(DATE(YEAR(Invoer!$A$5),1,1)+INT((ROWS(B$2:B408)-1)/24),"""18""jjmmdd")</f>
        <v>18980117</v>
      </c>
      <c r="C408" s="11" t="str">
        <f>INDEX(Data,2,2+MOD(ROWS(C$2:C408)-1,24))</f>
        <v>23.00</v>
      </c>
      <c r="D408" s="8" t="str">
        <f t="shared" ca="1" si="20"/>
        <v>—</v>
      </c>
      <c r="E408" s="16">
        <f t="shared" ca="1" si="21"/>
        <v>7</v>
      </c>
    </row>
    <row r="409" spans="1:5" x14ac:dyDescent="0.25">
      <c r="A409" s="3">
        <f t="shared" si="19"/>
        <v>78989</v>
      </c>
      <c r="B409" t="str">
        <f ca="1">TEXT(DATE(YEAR(Invoer!$A$5),1,1)+INT((ROWS(B$2:B409)-1)/24),"""18""jjmmdd")</f>
        <v>18980117</v>
      </c>
      <c r="C409" s="11" t="str">
        <f>INDEX(Data,2,2+MOD(ROWS(C$2:C409)-1,24))</f>
        <v>24.00</v>
      </c>
      <c r="D409" s="8" t="str">
        <f t="shared" ca="1" si="20"/>
        <v>—</v>
      </c>
      <c r="E409" s="16">
        <f t="shared" ca="1" si="21"/>
        <v>7</v>
      </c>
    </row>
    <row r="410" spans="1:5" x14ac:dyDescent="0.25">
      <c r="A410" s="3">
        <f t="shared" si="19"/>
        <v>78989</v>
      </c>
      <c r="B410" t="str">
        <f ca="1">TEXT(DATE(YEAR(Invoer!$A$5),1,1)+INT((ROWS(B$2:B410)-1)/24),"""18""jjmmdd")</f>
        <v>18980118</v>
      </c>
      <c r="C410" s="11" t="str">
        <f>INDEX(Data,2,2+MOD(ROWS(C$2:C410)-1,24))</f>
        <v>01.00</v>
      </c>
      <c r="D410" s="8" t="str">
        <f t="shared" ca="1" si="20"/>
        <v>—</v>
      </c>
      <c r="E410" s="16">
        <f t="shared" ca="1" si="21"/>
        <v>7</v>
      </c>
    </row>
    <row r="411" spans="1:5" x14ac:dyDescent="0.25">
      <c r="A411" s="3">
        <f t="shared" si="19"/>
        <v>78989</v>
      </c>
      <c r="B411" t="str">
        <f ca="1">TEXT(DATE(YEAR(Invoer!$A$5),1,1)+INT((ROWS(B$2:B411)-1)/24),"""18""jjmmdd")</f>
        <v>18980118</v>
      </c>
      <c r="C411" s="11" t="str">
        <f>INDEX(Data,2,2+MOD(ROWS(C$2:C411)-1,24))</f>
        <v>02.00</v>
      </c>
      <c r="D411" s="8" t="str">
        <f t="shared" ca="1" si="20"/>
        <v>—</v>
      </c>
      <c r="E411" s="16">
        <f t="shared" ca="1" si="21"/>
        <v>7</v>
      </c>
    </row>
    <row r="412" spans="1:5" x14ac:dyDescent="0.25">
      <c r="A412" s="3">
        <f t="shared" si="19"/>
        <v>78989</v>
      </c>
      <c r="B412" t="str">
        <f ca="1">TEXT(DATE(YEAR(Invoer!$A$5),1,1)+INT((ROWS(B$2:B412)-1)/24),"""18""jjmmdd")</f>
        <v>18980118</v>
      </c>
      <c r="C412" s="11" t="str">
        <f>INDEX(Data,2,2+MOD(ROWS(C$2:C412)-1,24))</f>
        <v>03.00</v>
      </c>
      <c r="D412" s="8" t="str">
        <f t="shared" ca="1" si="20"/>
        <v>—</v>
      </c>
      <c r="E412" s="16">
        <f t="shared" ca="1" si="21"/>
        <v>7</v>
      </c>
    </row>
    <row r="413" spans="1:5" x14ac:dyDescent="0.25">
      <c r="A413" s="3">
        <f t="shared" si="19"/>
        <v>78989</v>
      </c>
      <c r="B413" t="str">
        <f ca="1">TEXT(DATE(YEAR(Invoer!$A$5),1,1)+INT((ROWS(B$2:B413)-1)/24),"""18""jjmmdd")</f>
        <v>18980118</v>
      </c>
      <c r="C413" s="11" t="str">
        <f>INDEX(Data,2,2+MOD(ROWS(C$2:C413)-1,24))</f>
        <v>04.00</v>
      </c>
      <c r="D413" s="8" t="str">
        <f t="shared" ca="1" si="20"/>
        <v>—</v>
      </c>
      <c r="E413" s="16">
        <f t="shared" ca="1" si="21"/>
        <v>7</v>
      </c>
    </row>
    <row r="414" spans="1:5" x14ac:dyDescent="0.25">
      <c r="A414" s="3">
        <f t="shared" si="19"/>
        <v>78989</v>
      </c>
      <c r="B414" t="str">
        <f ca="1">TEXT(DATE(YEAR(Invoer!$A$5),1,1)+INT((ROWS(B$2:B414)-1)/24),"""18""jjmmdd")</f>
        <v>18980118</v>
      </c>
      <c r="C414" s="11" t="str">
        <f>INDEX(Data,2,2+MOD(ROWS(C$2:C414)-1,24))</f>
        <v>05.00</v>
      </c>
      <c r="D414" s="8" t="str">
        <f t="shared" ca="1" si="20"/>
        <v>—</v>
      </c>
      <c r="E414" s="16">
        <f t="shared" ca="1" si="21"/>
        <v>7</v>
      </c>
    </row>
    <row r="415" spans="1:5" x14ac:dyDescent="0.25">
      <c r="A415" s="3">
        <f t="shared" si="19"/>
        <v>78989</v>
      </c>
      <c r="B415" t="str">
        <f ca="1">TEXT(DATE(YEAR(Invoer!$A$5),1,1)+INT((ROWS(B$2:B415)-1)/24),"""18""jjmmdd")</f>
        <v>18980118</v>
      </c>
      <c r="C415" s="11" t="str">
        <f>INDEX(Data,2,2+MOD(ROWS(C$2:C415)-1,24))</f>
        <v>06.00</v>
      </c>
      <c r="D415" s="8" t="str">
        <f t="shared" ca="1" si="20"/>
        <v>—</v>
      </c>
      <c r="E415" s="16">
        <f t="shared" ca="1" si="21"/>
        <v>7</v>
      </c>
    </row>
    <row r="416" spans="1:5" x14ac:dyDescent="0.25">
      <c r="A416" s="3">
        <f t="shared" si="19"/>
        <v>78989</v>
      </c>
      <c r="B416" t="str">
        <f ca="1">TEXT(DATE(YEAR(Invoer!$A$5),1,1)+INT((ROWS(B$2:B416)-1)/24),"""18""jjmmdd")</f>
        <v>18980118</v>
      </c>
      <c r="C416" s="11" t="str">
        <f>INDEX(Data,2,2+MOD(ROWS(C$2:C416)-1,24))</f>
        <v>07.00</v>
      </c>
      <c r="D416" s="8" t="str">
        <f t="shared" ca="1" si="20"/>
        <v>—</v>
      </c>
      <c r="E416" s="16">
        <f t="shared" ca="1" si="21"/>
        <v>7</v>
      </c>
    </row>
    <row r="417" spans="1:5" x14ac:dyDescent="0.25">
      <c r="A417" s="3">
        <f t="shared" si="19"/>
        <v>78989</v>
      </c>
      <c r="B417" t="str">
        <f ca="1">TEXT(DATE(YEAR(Invoer!$A$5),1,1)+INT((ROWS(B$2:B417)-1)/24),"""18""jjmmdd")</f>
        <v>18980118</v>
      </c>
      <c r="C417" s="11" t="str">
        <f>INDEX(Data,2,2+MOD(ROWS(C$2:C417)-1,24))</f>
        <v>08.00</v>
      </c>
      <c r="D417" s="8" t="str">
        <f t="shared" ca="1" si="20"/>
        <v>—</v>
      </c>
      <c r="E417" s="16">
        <f t="shared" ca="1" si="21"/>
        <v>7</v>
      </c>
    </row>
    <row r="418" spans="1:5" x14ac:dyDescent="0.25">
      <c r="A418" s="3">
        <f t="shared" si="19"/>
        <v>78989</v>
      </c>
      <c r="B418" t="str">
        <f ca="1">TEXT(DATE(YEAR(Invoer!$A$5),1,1)+INT((ROWS(B$2:B418)-1)/24),"""18""jjmmdd")</f>
        <v>18980118</v>
      </c>
      <c r="C418" s="11" t="str">
        <f>INDEX(Data,2,2+MOD(ROWS(C$2:C418)-1,24))</f>
        <v>09.00</v>
      </c>
      <c r="D418" s="8" t="str">
        <f t="shared" ca="1" si="20"/>
        <v>—</v>
      </c>
      <c r="E418" s="16">
        <f t="shared" ca="1" si="21"/>
        <v>7</v>
      </c>
    </row>
    <row r="419" spans="1:5" x14ac:dyDescent="0.25">
      <c r="A419" s="3">
        <f t="shared" si="19"/>
        <v>78989</v>
      </c>
      <c r="B419" t="str">
        <f ca="1">TEXT(DATE(YEAR(Invoer!$A$5),1,1)+INT((ROWS(B$2:B419)-1)/24),"""18""jjmmdd")</f>
        <v>18980118</v>
      </c>
      <c r="C419" s="11" t="str">
        <f>INDEX(Data,2,2+MOD(ROWS(C$2:C419)-1,24))</f>
        <v>10.00</v>
      </c>
      <c r="D419" s="8" t="str">
        <f t="shared" ca="1" si="20"/>
        <v>—</v>
      </c>
      <c r="E419" s="16">
        <f t="shared" ca="1" si="21"/>
        <v>7</v>
      </c>
    </row>
    <row r="420" spans="1:5" x14ac:dyDescent="0.25">
      <c r="A420" s="3">
        <f t="shared" si="19"/>
        <v>78989</v>
      </c>
      <c r="B420" t="str">
        <f ca="1">TEXT(DATE(YEAR(Invoer!$A$5),1,1)+INT((ROWS(B$2:B420)-1)/24),"""18""jjmmdd")</f>
        <v>18980118</v>
      </c>
      <c r="C420" s="11" t="str">
        <f>INDEX(Data,2,2+MOD(ROWS(C$2:C420)-1,24))</f>
        <v>11.00</v>
      </c>
      <c r="D420" s="8" t="str">
        <f t="shared" ca="1" si="20"/>
        <v>—</v>
      </c>
      <c r="E420" s="16">
        <f t="shared" ca="1" si="21"/>
        <v>7</v>
      </c>
    </row>
    <row r="421" spans="1:5" x14ac:dyDescent="0.25">
      <c r="A421" s="3">
        <f t="shared" si="19"/>
        <v>78989</v>
      </c>
      <c r="B421" t="str">
        <f ca="1">TEXT(DATE(YEAR(Invoer!$A$5),1,1)+INT((ROWS(B$2:B421)-1)/24),"""18""jjmmdd")</f>
        <v>18980118</v>
      </c>
      <c r="C421" s="11" t="str">
        <f>INDEX(Data,2,2+MOD(ROWS(C$2:C421)-1,24))</f>
        <v>12.00</v>
      </c>
      <c r="D421" s="8" t="str">
        <f t="shared" ca="1" si="20"/>
        <v>—</v>
      </c>
      <c r="E421" s="16">
        <f t="shared" ca="1" si="21"/>
        <v>7</v>
      </c>
    </row>
    <row r="422" spans="1:5" x14ac:dyDescent="0.25">
      <c r="A422" s="3">
        <f t="shared" si="19"/>
        <v>78989</v>
      </c>
      <c r="B422" t="str">
        <f ca="1">TEXT(DATE(YEAR(Invoer!$A$5),1,1)+INT((ROWS(B$2:B422)-1)/24),"""18""jjmmdd")</f>
        <v>18980118</v>
      </c>
      <c r="C422" s="11" t="str">
        <f>INDEX(Data,2,2+MOD(ROWS(C$2:C422)-1,24))</f>
        <v>13.00</v>
      </c>
      <c r="D422" s="8" t="str">
        <f t="shared" ca="1" si="20"/>
        <v>—</v>
      </c>
      <c r="E422" s="16">
        <f t="shared" ca="1" si="21"/>
        <v>7</v>
      </c>
    </row>
    <row r="423" spans="1:5" x14ac:dyDescent="0.25">
      <c r="A423" s="3">
        <f t="shared" si="19"/>
        <v>78989</v>
      </c>
      <c r="B423" t="str">
        <f ca="1">TEXT(DATE(YEAR(Invoer!$A$5),1,1)+INT((ROWS(B$2:B423)-1)/24),"""18""jjmmdd")</f>
        <v>18980118</v>
      </c>
      <c r="C423" s="11" t="str">
        <f>INDEX(Data,2,2+MOD(ROWS(C$2:C423)-1,24))</f>
        <v>14.00</v>
      </c>
      <c r="D423" s="8" t="str">
        <f t="shared" ca="1" si="20"/>
        <v>—</v>
      </c>
      <c r="E423" s="16">
        <f t="shared" ca="1" si="21"/>
        <v>7</v>
      </c>
    </row>
    <row r="424" spans="1:5" x14ac:dyDescent="0.25">
      <c r="A424" s="3">
        <f t="shared" si="19"/>
        <v>78989</v>
      </c>
      <c r="B424" t="str">
        <f ca="1">TEXT(DATE(YEAR(Invoer!$A$5),1,1)+INT((ROWS(B$2:B424)-1)/24),"""18""jjmmdd")</f>
        <v>18980118</v>
      </c>
      <c r="C424" s="11" t="str">
        <f>INDEX(Data,2,2+MOD(ROWS(C$2:C424)-1,24))</f>
        <v>15.00</v>
      </c>
      <c r="D424" s="8" t="str">
        <f t="shared" ca="1" si="20"/>
        <v>—</v>
      </c>
      <c r="E424" s="16">
        <f t="shared" ca="1" si="21"/>
        <v>7</v>
      </c>
    </row>
    <row r="425" spans="1:5" x14ac:dyDescent="0.25">
      <c r="A425" s="3">
        <f t="shared" si="19"/>
        <v>78989</v>
      </c>
      <c r="B425" t="str">
        <f ca="1">TEXT(DATE(YEAR(Invoer!$A$5),1,1)+INT((ROWS(B$2:B425)-1)/24),"""18""jjmmdd")</f>
        <v>18980118</v>
      </c>
      <c r="C425" s="11" t="str">
        <f>INDEX(Data,2,2+MOD(ROWS(C$2:C425)-1,24))</f>
        <v>16.00</v>
      </c>
      <c r="D425" s="8" t="str">
        <f t="shared" ca="1" si="20"/>
        <v>—</v>
      </c>
      <c r="E425" s="16">
        <f t="shared" ca="1" si="21"/>
        <v>7</v>
      </c>
    </row>
    <row r="426" spans="1:5" x14ac:dyDescent="0.25">
      <c r="A426" s="3">
        <f t="shared" si="19"/>
        <v>78989</v>
      </c>
      <c r="B426" t="str">
        <f ca="1">TEXT(DATE(YEAR(Invoer!$A$5),1,1)+INT((ROWS(B$2:B426)-1)/24),"""18""jjmmdd")</f>
        <v>18980118</v>
      </c>
      <c r="C426" s="11" t="str">
        <f>INDEX(Data,2,2+MOD(ROWS(C$2:C426)-1,24))</f>
        <v>17.00</v>
      </c>
      <c r="D426" s="8" t="str">
        <f t="shared" ca="1" si="20"/>
        <v>—</v>
      </c>
      <c r="E426" s="16">
        <f t="shared" ca="1" si="21"/>
        <v>7</v>
      </c>
    </row>
    <row r="427" spans="1:5" x14ac:dyDescent="0.25">
      <c r="A427" s="3">
        <f t="shared" si="19"/>
        <v>78989</v>
      </c>
      <c r="B427" t="str">
        <f ca="1">TEXT(DATE(YEAR(Invoer!$A$5),1,1)+INT((ROWS(B$2:B427)-1)/24),"""18""jjmmdd")</f>
        <v>18980118</v>
      </c>
      <c r="C427" s="11" t="str">
        <f>INDEX(Data,2,2+MOD(ROWS(C$2:C427)-1,24))</f>
        <v>18.00</v>
      </c>
      <c r="D427" s="8" t="str">
        <f t="shared" ca="1" si="20"/>
        <v>—</v>
      </c>
      <c r="E427" s="16">
        <f t="shared" ca="1" si="21"/>
        <v>7</v>
      </c>
    </row>
    <row r="428" spans="1:5" x14ac:dyDescent="0.25">
      <c r="A428" s="3">
        <f t="shared" si="19"/>
        <v>78989</v>
      </c>
      <c r="B428" t="str">
        <f ca="1">TEXT(DATE(YEAR(Invoer!$A$5),1,1)+INT((ROWS(B$2:B428)-1)/24),"""18""jjmmdd")</f>
        <v>18980118</v>
      </c>
      <c r="C428" s="11" t="str">
        <f>INDEX(Data,2,2+MOD(ROWS(C$2:C428)-1,24))</f>
        <v>19.00</v>
      </c>
      <c r="D428" s="8" t="str">
        <f t="shared" ca="1" si="20"/>
        <v>—</v>
      </c>
      <c r="E428" s="16">
        <f t="shared" ca="1" si="21"/>
        <v>7</v>
      </c>
    </row>
    <row r="429" spans="1:5" x14ac:dyDescent="0.25">
      <c r="A429" s="3">
        <f t="shared" si="19"/>
        <v>78989</v>
      </c>
      <c r="B429" t="str">
        <f ca="1">TEXT(DATE(YEAR(Invoer!$A$5),1,1)+INT((ROWS(B$2:B429)-1)/24),"""18""jjmmdd")</f>
        <v>18980118</v>
      </c>
      <c r="C429" s="11" t="str">
        <f>INDEX(Data,2,2+MOD(ROWS(C$2:C429)-1,24))</f>
        <v>20.00</v>
      </c>
      <c r="D429" s="8" t="str">
        <f t="shared" ca="1" si="20"/>
        <v>—</v>
      </c>
      <c r="E429" s="16">
        <f t="shared" ca="1" si="21"/>
        <v>7</v>
      </c>
    </row>
    <row r="430" spans="1:5" x14ac:dyDescent="0.25">
      <c r="A430" s="3">
        <f t="shared" si="19"/>
        <v>78989</v>
      </c>
      <c r="B430" t="str">
        <f ca="1">TEXT(DATE(YEAR(Invoer!$A$5),1,1)+INT((ROWS(B$2:B430)-1)/24),"""18""jjmmdd")</f>
        <v>18980118</v>
      </c>
      <c r="C430" s="11" t="str">
        <f>INDEX(Data,2,2+MOD(ROWS(C$2:C430)-1,24))</f>
        <v>21.00</v>
      </c>
      <c r="D430" s="8" t="str">
        <f t="shared" ca="1" si="20"/>
        <v>—</v>
      </c>
      <c r="E430" s="16">
        <f t="shared" ca="1" si="21"/>
        <v>7</v>
      </c>
    </row>
    <row r="431" spans="1:5" x14ac:dyDescent="0.25">
      <c r="A431" s="3">
        <f t="shared" si="19"/>
        <v>78989</v>
      </c>
      <c r="B431" t="str">
        <f ca="1">TEXT(DATE(YEAR(Invoer!$A$5),1,1)+INT((ROWS(B$2:B431)-1)/24),"""18""jjmmdd")</f>
        <v>18980118</v>
      </c>
      <c r="C431" s="11" t="str">
        <f>INDEX(Data,2,2+MOD(ROWS(C$2:C431)-1,24))</f>
        <v>22.00</v>
      </c>
      <c r="D431" s="8" t="str">
        <f t="shared" ca="1" si="20"/>
        <v>—</v>
      </c>
      <c r="E431" s="16">
        <f t="shared" ca="1" si="21"/>
        <v>7</v>
      </c>
    </row>
    <row r="432" spans="1:5" x14ac:dyDescent="0.25">
      <c r="A432" s="3">
        <f t="shared" si="19"/>
        <v>78989</v>
      </c>
      <c r="B432" t="str">
        <f ca="1">TEXT(DATE(YEAR(Invoer!$A$5),1,1)+INT((ROWS(B$2:B432)-1)/24),"""18""jjmmdd")</f>
        <v>18980118</v>
      </c>
      <c r="C432" s="11" t="str">
        <f>INDEX(Data,2,2+MOD(ROWS(C$2:C432)-1,24))</f>
        <v>23.00</v>
      </c>
      <c r="D432" s="8" t="str">
        <f t="shared" ca="1" si="20"/>
        <v>—</v>
      </c>
      <c r="E432" s="16">
        <f t="shared" ca="1" si="21"/>
        <v>7</v>
      </c>
    </row>
    <row r="433" spans="1:5" x14ac:dyDescent="0.25">
      <c r="A433" s="3">
        <f t="shared" si="19"/>
        <v>78989</v>
      </c>
      <c r="B433" t="str">
        <f ca="1">TEXT(DATE(YEAR(Invoer!$A$5),1,1)+INT((ROWS(B$2:B433)-1)/24),"""18""jjmmdd")</f>
        <v>18980118</v>
      </c>
      <c r="C433" s="11" t="str">
        <f>INDEX(Data,2,2+MOD(ROWS(C$2:C433)-1,24))</f>
        <v>24.00</v>
      </c>
      <c r="D433" s="8" t="str">
        <f t="shared" ca="1" si="20"/>
        <v>—</v>
      </c>
      <c r="E433" s="16">
        <f t="shared" ca="1" si="21"/>
        <v>7</v>
      </c>
    </row>
    <row r="434" spans="1:5" x14ac:dyDescent="0.25">
      <c r="A434" s="3">
        <f t="shared" si="19"/>
        <v>78989</v>
      </c>
      <c r="B434" t="str">
        <f ca="1">TEXT(DATE(YEAR(Invoer!$A$5),1,1)+INT((ROWS(B$2:B434)-1)/24),"""18""jjmmdd")</f>
        <v>18980119</v>
      </c>
      <c r="C434" s="11" t="str">
        <f>INDEX(Data,2,2+MOD(ROWS(C$2:C434)-1,24))</f>
        <v>01.00</v>
      </c>
      <c r="D434" s="8" t="str">
        <f t="shared" ca="1" si="20"/>
        <v>—</v>
      </c>
      <c r="E434" s="16">
        <f t="shared" ca="1" si="21"/>
        <v>7</v>
      </c>
    </row>
    <row r="435" spans="1:5" x14ac:dyDescent="0.25">
      <c r="A435" s="3">
        <f t="shared" si="19"/>
        <v>78989</v>
      </c>
      <c r="B435" t="str">
        <f ca="1">TEXT(DATE(YEAR(Invoer!$A$5),1,1)+INT((ROWS(B$2:B435)-1)/24),"""18""jjmmdd")</f>
        <v>18980119</v>
      </c>
      <c r="C435" s="11" t="str">
        <f>INDEX(Data,2,2+MOD(ROWS(C$2:C435)-1,24))</f>
        <v>02.00</v>
      </c>
      <c r="D435" s="8" t="str">
        <f t="shared" ca="1" si="20"/>
        <v>—</v>
      </c>
      <c r="E435" s="16">
        <f t="shared" ca="1" si="21"/>
        <v>7</v>
      </c>
    </row>
    <row r="436" spans="1:5" x14ac:dyDescent="0.25">
      <c r="A436" s="3">
        <f t="shared" si="19"/>
        <v>78989</v>
      </c>
      <c r="B436" t="str">
        <f ca="1">TEXT(DATE(YEAR(Invoer!$A$5),1,1)+INT((ROWS(B$2:B436)-1)/24),"""18""jjmmdd")</f>
        <v>18980119</v>
      </c>
      <c r="C436" s="11" t="str">
        <f>INDEX(Data,2,2+MOD(ROWS(C$2:C436)-1,24))</f>
        <v>03.00</v>
      </c>
      <c r="D436" s="8" t="str">
        <f t="shared" ca="1" si="20"/>
        <v>—</v>
      </c>
      <c r="E436" s="16">
        <f t="shared" ca="1" si="21"/>
        <v>7</v>
      </c>
    </row>
    <row r="437" spans="1:5" x14ac:dyDescent="0.25">
      <c r="A437" s="3">
        <f t="shared" si="19"/>
        <v>78989</v>
      </c>
      <c r="B437" t="str">
        <f ca="1">TEXT(DATE(YEAR(Invoer!$A$5),1,1)+INT((ROWS(B$2:B437)-1)/24),"""18""jjmmdd")</f>
        <v>18980119</v>
      </c>
      <c r="C437" s="11" t="str">
        <f>INDEX(Data,2,2+MOD(ROWS(C$2:C437)-1,24))</f>
        <v>04.00</v>
      </c>
      <c r="D437" s="8" t="str">
        <f t="shared" ca="1" si="20"/>
        <v>—</v>
      </c>
      <c r="E437" s="16">
        <f t="shared" ca="1" si="21"/>
        <v>7</v>
      </c>
    </row>
    <row r="438" spans="1:5" x14ac:dyDescent="0.25">
      <c r="A438" s="3">
        <f t="shared" si="19"/>
        <v>78989</v>
      </c>
      <c r="B438" t="str">
        <f ca="1">TEXT(DATE(YEAR(Invoer!$A$5),1,1)+INT((ROWS(B$2:B438)-1)/24),"""18""jjmmdd")</f>
        <v>18980119</v>
      </c>
      <c r="C438" s="11" t="str">
        <f>INDEX(Data,2,2+MOD(ROWS(C$2:C438)-1,24))</f>
        <v>05.00</v>
      </c>
      <c r="D438" s="8" t="str">
        <f t="shared" ca="1" si="20"/>
        <v>—</v>
      </c>
      <c r="E438" s="16">
        <f t="shared" ca="1" si="21"/>
        <v>7</v>
      </c>
    </row>
    <row r="439" spans="1:5" x14ac:dyDescent="0.25">
      <c r="A439" s="3">
        <f t="shared" si="19"/>
        <v>78989</v>
      </c>
      <c r="B439" t="str">
        <f ca="1">TEXT(DATE(YEAR(Invoer!$A$5),1,1)+INT((ROWS(B$2:B439)-1)/24),"""18""jjmmdd")</f>
        <v>18980119</v>
      </c>
      <c r="C439" s="11" t="str">
        <f>INDEX(Data,2,2+MOD(ROWS(C$2:C439)-1,24))</f>
        <v>06.00</v>
      </c>
      <c r="D439" s="8" t="str">
        <f t="shared" ca="1" si="20"/>
        <v>—</v>
      </c>
      <c r="E439" s="16">
        <f t="shared" ca="1" si="21"/>
        <v>7</v>
      </c>
    </row>
    <row r="440" spans="1:5" x14ac:dyDescent="0.25">
      <c r="A440" s="3">
        <f t="shared" si="19"/>
        <v>78989</v>
      </c>
      <c r="B440" t="str">
        <f ca="1">TEXT(DATE(YEAR(Invoer!$A$5),1,1)+INT((ROWS(B$2:B440)-1)/24),"""18""jjmmdd")</f>
        <v>18980119</v>
      </c>
      <c r="C440" s="11" t="str">
        <f>INDEX(Data,2,2+MOD(ROWS(C$2:C440)-1,24))</f>
        <v>07.00</v>
      </c>
      <c r="D440" s="8" t="str">
        <f t="shared" ca="1" si="20"/>
        <v>—</v>
      </c>
      <c r="E440" s="16">
        <f t="shared" ca="1" si="21"/>
        <v>7</v>
      </c>
    </row>
    <row r="441" spans="1:5" x14ac:dyDescent="0.25">
      <c r="A441" s="3">
        <f t="shared" si="19"/>
        <v>78989</v>
      </c>
      <c r="B441" t="str">
        <f ca="1">TEXT(DATE(YEAR(Invoer!$A$5),1,1)+INT((ROWS(B$2:B441)-1)/24),"""18""jjmmdd")</f>
        <v>18980119</v>
      </c>
      <c r="C441" s="11" t="str">
        <f>INDEX(Data,2,2+MOD(ROWS(C$2:C441)-1,24))</f>
        <v>08.00</v>
      </c>
      <c r="D441" s="8" t="str">
        <f t="shared" ca="1" si="20"/>
        <v>—</v>
      </c>
      <c r="E441" s="16">
        <f t="shared" ca="1" si="21"/>
        <v>7</v>
      </c>
    </row>
    <row r="442" spans="1:5" x14ac:dyDescent="0.25">
      <c r="A442" s="3">
        <f t="shared" si="19"/>
        <v>78989</v>
      </c>
      <c r="B442" t="str">
        <f ca="1">TEXT(DATE(YEAR(Invoer!$A$5),1,1)+INT((ROWS(B$2:B442)-1)/24),"""18""jjmmdd")</f>
        <v>18980119</v>
      </c>
      <c r="C442" s="11" t="str">
        <f>INDEX(Data,2,2+MOD(ROWS(C$2:C442)-1,24))</f>
        <v>09.00</v>
      </c>
      <c r="D442" s="8" t="str">
        <f t="shared" ca="1" si="20"/>
        <v>—</v>
      </c>
      <c r="E442" s="16">
        <f t="shared" ca="1" si="21"/>
        <v>7</v>
      </c>
    </row>
    <row r="443" spans="1:5" x14ac:dyDescent="0.25">
      <c r="A443" s="3">
        <f t="shared" si="19"/>
        <v>78989</v>
      </c>
      <c r="B443" t="str">
        <f ca="1">TEXT(DATE(YEAR(Invoer!$A$5),1,1)+INT((ROWS(B$2:B443)-1)/24),"""18""jjmmdd")</f>
        <v>18980119</v>
      </c>
      <c r="C443" s="11" t="str">
        <f>INDEX(Data,2,2+MOD(ROWS(C$2:C443)-1,24))</f>
        <v>10.00</v>
      </c>
      <c r="D443" s="8" t="str">
        <f t="shared" ca="1" si="20"/>
        <v>—</v>
      </c>
      <c r="E443" s="16">
        <f t="shared" ca="1" si="21"/>
        <v>7</v>
      </c>
    </row>
    <row r="444" spans="1:5" x14ac:dyDescent="0.25">
      <c r="A444" s="3">
        <f t="shared" si="19"/>
        <v>78989</v>
      </c>
      <c r="B444" t="str">
        <f ca="1">TEXT(DATE(YEAR(Invoer!$A$5),1,1)+INT((ROWS(B$2:B444)-1)/24),"""18""jjmmdd")</f>
        <v>18980119</v>
      </c>
      <c r="C444" s="11" t="str">
        <f>INDEX(Data,2,2+MOD(ROWS(C$2:C444)-1,24))</f>
        <v>11.00</v>
      </c>
      <c r="D444" s="8" t="str">
        <f t="shared" ca="1" si="20"/>
        <v>—</v>
      </c>
      <c r="E444" s="16">
        <f t="shared" ca="1" si="21"/>
        <v>7</v>
      </c>
    </row>
    <row r="445" spans="1:5" x14ac:dyDescent="0.25">
      <c r="A445" s="3">
        <f t="shared" si="19"/>
        <v>78989</v>
      </c>
      <c r="B445" t="str">
        <f ca="1">TEXT(DATE(YEAR(Invoer!$A$5),1,1)+INT((ROWS(B$2:B445)-1)/24),"""18""jjmmdd")</f>
        <v>18980119</v>
      </c>
      <c r="C445" s="11" t="str">
        <f>INDEX(Data,2,2+MOD(ROWS(C$2:C445)-1,24))</f>
        <v>12.00</v>
      </c>
      <c r="D445" s="8" t="str">
        <f t="shared" ca="1" si="20"/>
        <v>—</v>
      </c>
      <c r="E445" s="16">
        <f t="shared" ca="1" si="21"/>
        <v>7</v>
      </c>
    </row>
    <row r="446" spans="1:5" x14ac:dyDescent="0.25">
      <c r="A446" s="3">
        <f t="shared" si="19"/>
        <v>78989</v>
      </c>
      <c r="B446" t="str">
        <f ca="1">TEXT(DATE(YEAR(Invoer!$A$5),1,1)+INT((ROWS(B$2:B446)-1)/24),"""18""jjmmdd")</f>
        <v>18980119</v>
      </c>
      <c r="C446" s="11" t="str">
        <f>INDEX(Data,2,2+MOD(ROWS(C$2:C446)-1,24))</f>
        <v>13.00</v>
      </c>
      <c r="D446" s="8" t="str">
        <f t="shared" ca="1" si="20"/>
        <v>—</v>
      </c>
      <c r="E446" s="16">
        <f t="shared" ca="1" si="21"/>
        <v>7</v>
      </c>
    </row>
    <row r="447" spans="1:5" x14ac:dyDescent="0.25">
      <c r="A447" s="3">
        <f t="shared" si="19"/>
        <v>78989</v>
      </c>
      <c r="B447" t="str">
        <f ca="1">TEXT(DATE(YEAR(Invoer!$A$5),1,1)+INT((ROWS(B$2:B447)-1)/24),"""18""jjmmdd")</f>
        <v>18980119</v>
      </c>
      <c r="C447" s="11" t="str">
        <f>INDEX(Data,2,2+MOD(ROWS(C$2:C447)-1,24))</f>
        <v>14.00</v>
      </c>
      <c r="D447" s="8" t="str">
        <f t="shared" ca="1" si="20"/>
        <v>—</v>
      </c>
      <c r="E447" s="16">
        <f t="shared" ca="1" si="21"/>
        <v>7</v>
      </c>
    </row>
    <row r="448" spans="1:5" x14ac:dyDescent="0.25">
      <c r="A448" s="3">
        <f t="shared" si="19"/>
        <v>78989</v>
      </c>
      <c r="B448" t="str">
        <f ca="1">TEXT(DATE(YEAR(Invoer!$A$5),1,1)+INT((ROWS(B$2:B448)-1)/24),"""18""jjmmdd")</f>
        <v>18980119</v>
      </c>
      <c r="C448" s="11" t="str">
        <f>INDEX(Data,2,2+MOD(ROWS(C$2:C448)-1,24))</f>
        <v>15.00</v>
      </c>
      <c r="D448" s="8" t="str">
        <f t="shared" ca="1" si="20"/>
        <v>—</v>
      </c>
      <c r="E448" s="16">
        <f t="shared" ca="1" si="21"/>
        <v>7</v>
      </c>
    </row>
    <row r="449" spans="1:5" x14ac:dyDescent="0.25">
      <c r="A449" s="3">
        <f t="shared" si="19"/>
        <v>78989</v>
      </c>
      <c r="B449" t="str">
        <f ca="1">TEXT(DATE(YEAR(Invoer!$A$5),1,1)+INT((ROWS(B$2:B449)-1)/24),"""18""jjmmdd")</f>
        <v>18980119</v>
      </c>
      <c r="C449" s="11" t="str">
        <f>INDEX(Data,2,2+MOD(ROWS(C$2:C449)-1,24))</f>
        <v>16.00</v>
      </c>
      <c r="D449" s="8" t="str">
        <f t="shared" ca="1" si="20"/>
        <v>—</v>
      </c>
      <c r="E449" s="16">
        <f t="shared" ca="1" si="21"/>
        <v>7</v>
      </c>
    </row>
    <row r="450" spans="1:5" x14ac:dyDescent="0.25">
      <c r="A450" s="3">
        <f t="shared" ref="A450:A513" si="22">INDEX(Stations,2,1)</f>
        <v>78989</v>
      </c>
      <c r="B450" t="str">
        <f ca="1">TEXT(DATE(YEAR(Invoer!$A$5),1,1)+INT((ROWS(B$2:B450)-1)/24),"""18""jjmmdd")</f>
        <v>18980119</v>
      </c>
      <c r="C450" s="11" t="str">
        <f>INDEX(Data,2,2+MOD(ROWS(C$2:C450)-1,24))</f>
        <v>17.00</v>
      </c>
      <c r="D450" s="8" t="str">
        <f t="shared" ref="D450:D513" ca="1" si="23">IF(OR(ISBLANK(VLOOKUP(DATEVALUE("37"&amp;MID($B450,3,2)&amp;"-"&amp;MID($B450,5,2)&amp;"-"&amp;RIGHT($B450,2)),Data,MATCH(LEFT(VLOOKUP(D$1,Parameters,2,FALSE()),4)&amp;"*",OFFSET(Data,0,0,1),0)+MATCH($C450,OFFSET(Data,1,0,1),0)-2,FALSE())),ISTEXT(VLOOKUP(DATEVALUE("37"&amp;MID($B450,3,2)&amp;"-"&amp;MID($B450,5,2)&amp;"-"&amp;RIGHT($B450,2)),Data,MATCH(LEFT(VLOOKUP(D$1,Parameters,2,FALSE()),4)&amp;"*",OFFSET(Data,0,0,1),0)+MATCH($C450,OFFSET(Data,1,0,1),0)-2,FALSE()))),"—",VLOOKUP(DATEVALUE("37"&amp;MID($B450,3,2)&amp;"-"&amp;MID($B450,5,2)&amp;"-"&amp;RIGHT($B450,2)),Data,MATCH(LEFT(VLOOKUP(D$1,Parameters,2,FALSE()),4)&amp;"*",OFFSET(Data,0,0,1),0)+MATCH($C450,OFFSET(Data,1,0,1),0)-2,FALSE()))</f>
        <v>—</v>
      </c>
      <c r="E450" s="16">
        <f t="shared" ca="1" si="21"/>
        <v>7</v>
      </c>
    </row>
    <row r="451" spans="1:5" x14ac:dyDescent="0.25">
      <c r="A451" s="3">
        <f t="shared" si="22"/>
        <v>78989</v>
      </c>
      <c r="B451" t="str">
        <f ca="1">TEXT(DATE(YEAR(Invoer!$A$5),1,1)+INT((ROWS(B$2:B451)-1)/24),"""18""jjmmdd")</f>
        <v>18980119</v>
      </c>
      <c r="C451" s="11" t="str">
        <f>INDEX(Data,2,2+MOD(ROWS(C$2:C451)-1,24))</f>
        <v>18.00</v>
      </c>
      <c r="D451" s="8" t="str">
        <f t="shared" ca="1" si="23"/>
        <v>—</v>
      </c>
      <c r="E451" s="16">
        <f t="shared" ref="E451:E514" ca="1" si="24">IF(OR(ISBLANK(VLOOKUP(DATEVALUE("37"&amp;MID($B451,3,2)&amp;"-"&amp;MID($B451,5,2)&amp;"-"&amp;RIGHT($B451,2)),Data,MATCH(LEFT(VLOOKUP(D$1,Parameters,2,FALSE()),4)&amp;"*",OFFSET(Data,0,0,1),0)+MATCH($C451,OFFSET(Data,1,0,1),0)-2,FALSE())),ISTEXT(VLOOKUP(DATEVALUE("37"&amp;MID($B451,3,2)&amp;"-"&amp;MID($B451,5,2)&amp;"-"&amp;RIGHT($B451,2)),Data,MATCH(LEFT(VLOOKUP(D$1,Parameters,2,FALSE()),4)&amp;"*",OFFSET(Data,0,0,1),0)+MATCH($C451,OFFSET(Data,1,0,1),0)-2,FALSE()))),Lacking,IF(ISNA(MATCH(DATEVALUE("37"&amp;MID($B451,3,2)&amp;"-"&amp;MID($B451,5,2)&amp;"-"&amp;RIGHT($B451,2)),OFFSET(Catalogus,0,0,,1),0)),Ok,VLOOKUP(DATEVALUE("37"&amp;MID($B451,3,2)&amp;"-"&amp;MID($B451,5,2)&amp;"-"&amp;RIGHT($B451,2)),Catalogus,MATCH(LEFT(VLOOKUP(MID(E$1,2,LEN(E$1)-1),Parameters,2,FALSE()),4)&amp;"*",OFFSET(Catalogus,0,0,1),0)+MATCH($C451,OFFSET(Catalogus,1,0,1),0)-2,FALSE())))</f>
        <v>7</v>
      </c>
    </row>
    <row r="452" spans="1:5" x14ac:dyDescent="0.25">
      <c r="A452" s="3">
        <f t="shared" si="22"/>
        <v>78989</v>
      </c>
      <c r="B452" t="str">
        <f ca="1">TEXT(DATE(YEAR(Invoer!$A$5),1,1)+INT((ROWS(B$2:B452)-1)/24),"""18""jjmmdd")</f>
        <v>18980119</v>
      </c>
      <c r="C452" s="11" t="str">
        <f>INDEX(Data,2,2+MOD(ROWS(C$2:C452)-1,24))</f>
        <v>19.00</v>
      </c>
      <c r="D452" s="8" t="str">
        <f t="shared" ca="1" si="23"/>
        <v>—</v>
      </c>
      <c r="E452" s="16">
        <f t="shared" ca="1" si="24"/>
        <v>7</v>
      </c>
    </row>
    <row r="453" spans="1:5" x14ac:dyDescent="0.25">
      <c r="A453" s="3">
        <f t="shared" si="22"/>
        <v>78989</v>
      </c>
      <c r="B453" t="str">
        <f ca="1">TEXT(DATE(YEAR(Invoer!$A$5),1,1)+INT((ROWS(B$2:B453)-1)/24),"""18""jjmmdd")</f>
        <v>18980119</v>
      </c>
      <c r="C453" s="11" t="str">
        <f>INDEX(Data,2,2+MOD(ROWS(C$2:C453)-1,24))</f>
        <v>20.00</v>
      </c>
      <c r="D453" s="8" t="str">
        <f t="shared" ca="1" si="23"/>
        <v>—</v>
      </c>
      <c r="E453" s="16">
        <f t="shared" ca="1" si="24"/>
        <v>7</v>
      </c>
    </row>
    <row r="454" spans="1:5" x14ac:dyDescent="0.25">
      <c r="A454" s="3">
        <f t="shared" si="22"/>
        <v>78989</v>
      </c>
      <c r="B454" t="str">
        <f ca="1">TEXT(DATE(YEAR(Invoer!$A$5),1,1)+INT((ROWS(B$2:B454)-1)/24),"""18""jjmmdd")</f>
        <v>18980119</v>
      </c>
      <c r="C454" s="11" t="str">
        <f>INDEX(Data,2,2+MOD(ROWS(C$2:C454)-1,24))</f>
        <v>21.00</v>
      </c>
      <c r="D454" s="8" t="str">
        <f t="shared" ca="1" si="23"/>
        <v>—</v>
      </c>
      <c r="E454" s="16">
        <f t="shared" ca="1" si="24"/>
        <v>7</v>
      </c>
    </row>
    <row r="455" spans="1:5" x14ac:dyDescent="0.25">
      <c r="A455" s="3">
        <f t="shared" si="22"/>
        <v>78989</v>
      </c>
      <c r="B455" t="str">
        <f ca="1">TEXT(DATE(YEAR(Invoer!$A$5),1,1)+INT((ROWS(B$2:B455)-1)/24),"""18""jjmmdd")</f>
        <v>18980119</v>
      </c>
      <c r="C455" s="11" t="str">
        <f>INDEX(Data,2,2+MOD(ROWS(C$2:C455)-1,24))</f>
        <v>22.00</v>
      </c>
      <c r="D455" s="8" t="str">
        <f t="shared" ca="1" si="23"/>
        <v>—</v>
      </c>
      <c r="E455" s="16">
        <f t="shared" ca="1" si="24"/>
        <v>7</v>
      </c>
    </row>
    <row r="456" spans="1:5" x14ac:dyDescent="0.25">
      <c r="A456" s="3">
        <f t="shared" si="22"/>
        <v>78989</v>
      </c>
      <c r="B456" t="str">
        <f ca="1">TEXT(DATE(YEAR(Invoer!$A$5),1,1)+INT((ROWS(B$2:B456)-1)/24),"""18""jjmmdd")</f>
        <v>18980119</v>
      </c>
      <c r="C456" s="11" t="str">
        <f>INDEX(Data,2,2+MOD(ROWS(C$2:C456)-1,24))</f>
        <v>23.00</v>
      </c>
      <c r="D456" s="8" t="str">
        <f t="shared" ca="1" si="23"/>
        <v>—</v>
      </c>
      <c r="E456" s="16">
        <f t="shared" ca="1" si="24"/>
        <v>7</v>
      </c>
    </row>
    <row r="457" spans="1:5" x14ac:dyDescent="0.25">
      <c r="A457" s="3">
        <f t="shared" si="22"/>
        <v>78989</v>
      </c>
      <c r="B457" t="str">
        <f ca="1">TEXT(DATE(YEAR(Invoer!$A$5),1,1)+INT((ROWS(B$2:B457)-1)/24),"""18""jjmmdd")</f>
        <v>18980119</v>
      </c>
      <c r="C457" s="11" t="str">
        <f>INDEX(Data,2,2+MOD(ROWS(C$2:C457)-1,24))</f>
        <v>24.00</v>
      </c>
      <c r="D457" s="8" t="str">
        <f t="shared" ca="1" si="23"/>
        <v>—</v>
      </c>
      <c r="E457" s="16">
        <f t="shared" ca="1" si="24"/>
        <v>7</v>
      </c>
    </row>
    <row r="458" spans="1:5" x14ac:dyDescent="0.25">
      <c r="A458" s="3">
        <f t="shared" si="22"/>
        <v>78989</v>
      </c>
      <c r="B458" t="str">
        <f ca="1">TEXT(DATE(YEAR(Invoer!$A$5),1,1)+INT((ROWS(B$2:B458)-1)/24),"""18""jjmmdd")</f>
        <v>18980120</v>
      </c>
      <c r="C458" s="11" t="str">
        <f>INDEX(Data,2,2+MOD(ROWS(C$2:C458)-1,24))</f>
        <v>01.00</v>
      </c>
      <c r="D458" s="8" t="str">
        <f t="shared" ca="1" si="23"/>
        <v>—</v>
      </c>
      <c r="E458" s="16">
        <f t="shared" ca="1" si="24"/>
        <v>7</v>
      </c>
    </row>
    <row r="459" spans="1:5" x14ac:dyDescent="0.25">
      <c r="A459" s="3">
        <f t="shared" si="22"/>
        <v>78989</v>
      </c>
      <c r="B459" t="str">
        <f ca="1">TEXT(DATE(YEAR(Invoer!$A$5),1,1)+INT((ROWS(B$2:B459)-1)/24),"""18""jjmmdd")</f>
        <v>18980120</v>
      </c>
      <c r="C459" s="11" t="str">
        <f>INDEX(Data,2,2+MOD(ROWS(C$2:C459)-1,24))</f>
        <v>02.00</v>
      </c>
      <c r="D459" s="8" t="str">
        <f t="shared" ca="1" si="23"/>
        <v>—</v>
      </c>
      <c r="E459" s="16">
        <f t="shared" ca="1" si="24"/>
        <v>7</v>
      </c>
    </row>
    <row r="460" spans="1:5" x14ac:dyDescent="0.25">
      <c r="A460" s="3">
        <f t="shared" si="22"/>
        <v>78989</v>
      </c>
      <c r="B460" t="str">
        <f ca="1">TEXT(DATE(YEAR(Invoer!$A$5),1,1)+INT((ROWS(B$2:B460)-1)/24),"""18""jjmmdd")</f>
        <v>18980120</v>
      </c>
      <c r="C460" s="11" t="str">
        <f>INDEX(Data,2,2+MOD(ROWS(C$2:C460)-1,24))</f>
        <v>03.00</v>
      </c>
      <c r="D460" s="8" t="str">
        <f t="shared" ca="1" si="23"/>
        <v>—</v>
      </c>
      <c r="E460" s="16">
        <f t="shared" ca="1" si="24"/>
        <v>7</v>
      </c>
    </row>
    <row r="461" spans="1:5" x14ac:dyDescent="0.25">
      <c r="A461" s="3">
        <f t="shared" si="22"/>
        <v>78989</v>
      </c>
      <c r="B461" t="str">
        <f ca="1">TEXT(DATE(YEAR(Invoer!$A$5),1,1)+INT((ROWS(B$2:B461)-1)/24),"""18""jjmmdd")</f>
        <v>18980120</v>
      </c>
      <c r="C461" s="11" t="str">
        <f>INDEX(Data,2,2+MOD(ROWS(C$2:C461)-1,24))</f>
        <v>04.00</v>
      </c>
      <c r="D461" s="8" t="str">
        <f t="shared" ca="1" si="23"/>
        <v>—</v>
      </c>
      <c r="E461" s="16">
        <f t="shared" ca="1" si="24"/>
        <v>7</v>
      </c>
    </row>
    <row r="462" spans="1:5" x14ac:dyDescent="0.25">
      <c r="A462" s="3">
        <f t="shared" si="22"/>
        <v>78989</v>
      </c>
      <c r="B462" t="str">
        <f ca="1">TEXT(DATE(YEAR(Invoer!$A$5),1,1)+INT((ROWS(B$2:B462)-1)/24),"""18""jjmmdd")</f>
        <v>18980120</v>
      </c>
      <c r="C462" s="11" t="str">
        <f>INDEX(Data,2,2+MOD(ROWS(C$2:C462)-1,24))</f>
        <v>05.00</v>
      </c>
      <c r="D462" s="8" t="str">
        <f t="shared" ca="1" si="23"/>
        <v>—</v>
      </c>
      <c r="E462" s="16">
        <f t="shared" ca="1" si="24"/>
        <v>7</v>
      </c>
    </row>
    <row r="463" spans="1:5" x14ac:dyDescent="0.25">
      <c r="A463" s="3">
        <f t="shared" si="22"/>
        <v>78989</v>
      </c>
      <c r="B463" t="str">
        <f ca="1">TEXT(DATE(YEAR(Invoer!$A$5),1,1)+INT((ROWS(B$2:B463)-1)/24),"""18""jjmmdd")</f>
        <v>18980120</v>
      </c>
      <c r="C463" s="11" t="str">
        <f>INDEX(Data,2,2+MOD(ROWS(C$2:C463)-1,24))</f>
        <v>06.00</v>
      </c>
      <c r="D463" s="8" t="str">
        <f t="shared" ca="1" si="23"/>
        <v>—</v>
      </c>
      <c r="E463" s="16">
        <f t="shared" ca="1" si="24"/>
        <v>7</v>
      </c>
    </row>
    <row r="464" spans="1:5" x14ac:dyDescent="0.25">
      <c r="A464" s="3">
        <f t="shared" si="22"/>
        <v>78989</v>
      </c>
      <c r="B464" t="str">
        <f ca="1">TEXT(DATE(YEAR(Invoer!$A$5),1,1)+INT((ROWS(B$2:B464)-1)/24),"""18""jjmmdd")</f>
        <v>18980120</v>
      </c>
      <c r="C464" s="11" t="str">
        <f>INDEX(Data,2,2+MOD(ROWS(C$2:C464)-1,24))</f>
        <v>07.00</v>
      </c>
      <c r="D464" s="8" t="str">
        <f t="shared" ca="1" si="23"/>
        <v>—</v>
      </c>
      <c r="E464" s="16">
        <f t="shared" ca="1" si="24"/>
        <v>7</v>
      </c>
    </row>
    <row r="465" spans="1:5" x14ac:dyDescent="0.25">
      <c r="A465" s="3">
        <f t="shared" si="22"/>
        <v>78989</v>
      </c>
      <c r="B465" t="str">
        <f ca="1">TEXT(DATE(YEAR(Invoer!$A$5),1,1)+INT((ROWS(B$2:B465)-1)/24),"""18""jjmmdd")</f>
        <v>18980120</v>
      </c>
      <c r="C465" s="11" t="str">
        <f>INDEX(Data,2,2+MOD(ROWS(C$2:C465)-1,24))</f>
        <v>08.00</v>
      </c>
      <c r="D465" s="8" t="str">
        <f t="shared" ca="1" si="23"/>
        <v>—</v>
      </c>
      <c r="E465" s="16">
        <f t="shared" ca="1" si="24"/>
        <v>7</v>
      </c>
    </row>
    <row r="466" spans="1:5" x14ac:dyDescent="0.25">
      <c r="A466" s="3">
        <f t="shared" si="22"/>
        <v>78989</v>
      </c>
      <c r="B466" t="str">
        <f ca="1">TEXT(DATE(YEAR(Invoer!$A$5),1,1)+INT((ROWS(B$2:B466)-1)/24),"""18""jjmmdd")</f>
        <v>18980120</v>
      </c>
      <c r="C466" s="11" t="str">
        <f>INDEX(Data,2,2+MOD(ROWS(C$2:C466)-1,24))</f>
        <v>09.00</v>
      </c>
      <c r="D466" s="8" t="str">
        <f t="shared" ca="1" si="23"/>
        <v>—</v>
      </c>
      <c r="E466" s="16">
        <f t="shared" ca="1" si="24"/>
        <v>7</v>
      </c>
    </row>
    <row r="467" spans="1:5" x14ac:dyDescent="0.25">
      <c r="A467" s="3">
        <f t="shared" si="22"/>
        <v>78989</v>
      </c>
      <c r="B467" t="str">
        <f ca="1">TEXT(DATE(YEAR(Invoer!$A$5),1,1)+INT((ROWS(B$2:B467)-1)/24),"""18""jjmmdd")</f>
        <v>18980120</v>
      </c>
      <c r="C467" s="11" t="str">
        <f>INDEX(Data,2,2+MOD(ROWS(C$2:C467)-1,24))</f>
        <v>10.00</v>
      </c>
      <c r="D467" s="8" t="str">
        <f t="shared" ca="1" si="23"/>
        <v>—</v>
      </c>
      <c r="E467" s="16">
        <f t="shared" ca="1" si="24"/>
        <v>7</v>
      </c>
    </row>
    <row r="468" spans="1:5" x14ac:dyDescent="0.25">
      <c r="A468" s="3">
        <f t="shared" si="22"/>
        <v>78989</v>
      </c>
      <c r="B468" t="str">
        <f ca="1">TEXT(DATE(YEAR(Invoer!$A$5),1,1)+INT((ROWS(B$2:B468)-1)/24),"""18""jjmmdd")</f>
        <v>18980120</v>
      </c>
      <c r="C468" s="11" t="str">
        <f>INDEX(Data,2,2+MOD(ROWS(C$2:C468)-1,24))</f>
        <v>11.00</v>
      </c>
      <c r="D468" s="8" t="str">
        <f t="shared" ca="1" si="23"/>
        <v>—</v>
      </c>
      <c r="E468" s="16">
        <f t="shared" ca="1" si="24"/>
        <v>7</v>
      </c>
    </row>
    <row r="469" spans="1:5" x14ac:dyDescent="0.25">
      <c r="A469" s="3">
        <f t="shared" si="22"/>
        <v>78989</v>
      </c>
      <c r="B469" t="str">
        <f ca="1">TEXT(DATE(YEAR(Invoer!$A$5),1,1)+INT((ROWS(B$2:B469)-1)/24),"""18""jjmmdd")</f>
        <v>18980120</v>
      </c>
      <c r="C469" s="11" t="str">
        <f>INDEX(Data,2,2+MOD(ROWS(C$2:C469)-1,24))</f>
        <v>12.00</v>
      </c>
      <c r="D469" s="8" t="str">
        <f t="shared" ca="1" si="23"/>
        <v>—</v>
      </c>
      <c r="E469" s="16">
        <f t="shared" ca="1" si="24"/>
        <v>7</v>
      </c>
    </row>
    <row r="470" spans="1:5" x14ac:dyDescent="0.25">
      <c r="A470" s="3">
        <f t="shared" si="22"/>
        <v>78989</v>
      </c>
      <c r="B470" t="str">
        <f ca="1">TEXT(DATE(YEAR(Invoer!$A$5),1,1)+INT((ROWS(B$2:B470)-1)/24),"""18""jjmmdd")</f>
        <v>18980120</v>
      </c>
      <c r="C470" s="11" t="str">
        <f>INDEX(Data,2,2+MOD(ROWS(C$2:C470)-1,24))</f>
        <v>13.00</v>
      </c>
      <c r="D470" s="8" t="str">
        <f t="shared" ca="1" si="23"/>
        <v>—</v>
      </c>
      <c r="E470" s="16">
        <f t="shared" ca="1" si="24"/>
        <v>7</v>
      </c>
    </row>
    <row r="471" spans="1:5" x14ac:dyDescent="0.25">
      <c r="A471" s="3">
        <f t="shared" si="22"/>
        <v>78989</v>
      </c>
      <c r="B471" t="str">
        <f ca="1">TEXT(DATE(YEAR(Invoer!$A$5),1,1)+INT((ROWS(B$2:B471)-1)/24),"""18""jjmmdd")</f>
        <v>18980120</v>
      </c>
      <c r="C471" s="11" t="str">
        <f>INDEX(Data,2,2+MOD(ROWS(C$2:C471)-1,24))</f>
        <v>14.00</v>
      </c>
      <c r="D471" s="8" t="str">
        <f t="shared" ca="1" si="23"/>
        <v>—</v>
      </c>
      <c r="E471" s="16">
        <f t="shared" ca="1" si="24"/>
        <v>7</v>
      </c>
    </row>
    <row r="472" spans="1:5" x14ac:dyDescent="0.25">
      <c r="A472" s="3">
        <f t="shared" si="22"/>
        <v>78989</v>
      </c>
      <c r="B472" t="str">
        <f ca="1">TEXT(DATE(YEAR(Invoer!$A$5),1,1)+INT((ROWS(B$2:B472)-1)/24),"""18""jjmmdd")</f>
        <v>18980120</v>
      </c>
      <c r="C472" s="11" t="str">
        <f>INDEX(Data,2,2+MOD(ROWS(C$2:C472)-1,24))</f>
        <v>15.00</v>
      </c>
      <c r="D472" s="8" t="str">
        <f t="shared" ca="1" si="23"/>
        <v>—</v>
      </c>
      <c r="E472" s="16">
        <f t="shared" ca="1" si="24"/>
        <v>7</v>
      </c>
    </row>
    <row r="473" spans="1:5" x14ac:dyDescent="0.25">
      <c r="A473" s="3">
        <f t="shared" si="22"/>
        <v>78989</v>
      </c>
      <c r="B473" t="str">
        <f ca="1">TEXT(DATE(YEAR(Invoer!$A$5),1,1)+INT((ROWS(B$2:B473)-1)/24),"""18""jjmmdd")</f>
        <v>18980120</v>
      </c>
      <c r="C473" s="11" t="str">
        <f>INDEX(Data,2,2+MOD(ROWS(C$2:C473)-1,24))</f>
        <v>16.00</v>
      </c>
      <c r="D473" s="8" t="str">
        <f t="shared" ca="1" si="23"/>
        <v>—</v>
      </c>
      <c r="E473" s="16">
        <f t="shared" ca="1" si="24"/>
        <v>7</v>
      </c>
    </row>
    <row r="474" spans="1:5" x14ac:dyDescent="0.25">
      <c r="A474" s="3">
        <f t="shared" si="22"/>
        <v>78989</v>
      </c>
      <c r="B474" t="str">
        <f ca="1">TEXT(DATE(YEAR(Invoer!$A$5),1,1)+INT((ROWS(B$2:B474)-1)/24),"""18""jjmmdd")</f>
        <v>18980120</v>
      </c>
      <c r="C474" s="11" t="str">
        <f>INDEX(Data,2,2+MOD(ROWS(C$2:C474)-1,24))</f>
        <v>17.00</v>
      </c>
      <c r="D474" s="8" t="str">
        <f t="shared" ca="1" si="23"/>
        <v>—</v>
      </c>
      <c r="E474" s="16">
        <f t="shared" ca="1" si="24"/>
        <v>7</v>
      </c>
    </row>
    <row r="475" spans="1:5" x14ac:dyDescent="0.25">
      <c r="A475" s="3">
        <f t="shared" si="22"/>
        <v>78989</v>
      </c>
      <c r="B475" t="str">
        <f ca="1">TEXT(DATE(YEAR(Invoer!$A$5),1,1)+INT((ROWS(B$2:B475)-1)/24),"""18""jjmmdd")</f>
        <v>18980120</v>
      </c>
      <c r="C475" s="11" t="str">
        <f>INDEX(Data,2,2+MOD(ROWS(C$2:C475)-1,24))</f>
        <v>18.00</v>
      </c>
      <c r="D475" s="8" t="str">
        <f t="shared" ca="1" si="23"/>
        <v>—</v>
      </c>
      <c r="E475" s="16">
        <f t="shared" ca="1" si="24"/>
        <v>7</v>
      </c>
    </row>
    <row r="476" spans="1:5" x14ac:dyDescent="0.25">
      <c r="A476" s="3">
        <f t="shared" si="22"/>
        <v>78989</v>
      </c>
      <c r="B476" t="str">
        <f ca="1">TEXT(DATE(YEAR(Invoer!$A$5),1,1)+INT((ROWS(B$2:B476)-1)/24),"""18""jjmmdd")</f>
        <v>18980120</v>
      </c>
      <c r="C476" s="11" t="str">
        <f>INDEX(Data,2,2+MOD(ROWS(C$2:C476)-1,24))</f>
        <v>19.00</v>
      </c>
      <c r="D476" s="8" t="str">
        <f t="shared" ca="1" si="23"/>
        <v>—</v>
      </c>
      <c r="E476" s="16">
        <f t="shared" ca="1" si="24"/>
        <v>7</v>
      </c>
    </row>
    <row r="477" spans="1:5" x14ac:dyDescent="0.25">
      <c r="A477" s="3">
        <f t="shared" si="22"/>
        <v>78989</v>
      </c>
      <c r="B477" t="str">
        <f ca="1">TEXT(DATE(YEAR(Invoer!$A$5),1,1)+INT((ROWS(B$2:B477)-1)/24),"""18""jjmmdd")</f>
        <v>18980120</v>
      </c>
      <c r="C477" s="11" t="str">
        <f>INDEX(Data,2,2+MOD(ROWS(C$2:C477)-1,24))</f>
        <v>20.00</v>
      </c>
      <c r="D477" s="8" t="str">
        <f t="shared" ca="1" si="23"/>
        <v>—</v>
      </c>
      <c r="E477" s="16">
        <f t="shared" ca="1" si="24"/>
        <v>7</v>
      </c>
    </row>
    <row r="478" spans="1:5" x14ac:dyDescent="0.25">
      <c r="A478" s="3">
        <f t="shared" si="22"/>
        <v>78989</v>
      </c>
      <c r="B478" t="str">
        <f ca="1">TEXT(DATE(YEAR(Invoer!$A$5),1,1)+INT((ROWS(B$2:B478)-1)/24),"""18""jjmmdd")</f>
        <v>18980120</v>
      </c>
      <c r="C478" s="11" t="str">
        <f>INDEX(Data,2,2+MOD(ROWS(C$2:C478)-1,24))</f>
        <v>21.00</v>
      </c>
      <c r="D478" s="8" t="str">
        <f t="shared" ca="1" si="23"/>
        <v>—</v>
      </c>
      <c r="E478" s="16">
        <f t="shared" ca="1" si="24"/>
        <v>7</v>
      </c>
    </row>
    <row r="479" spans="1:5" x14ac:dyDescent="0.25">
      <c r="A479" s="3">
        <f t="shared" si="22"/>
        <v>78989</v>
      </c>
      <c r="B479" t="str">
        <f ca="1">TEXT(DATE(YEAR(Invoer!$A$5),1,1)+INT((ROWS(B$2:B479)-1)/24),"""18""jjmmdd")</f>
        <v>18980120</v>
      </c>
      <c r="C479" s="11" t="str">
        <f>INDEX(Data,2,2+MOD(ROWS(C$2:C479)-1,24))</f>
        <v>22.00</v>
      </c>
      <c r="D479" s="8" t="str">
        <f t="shared" ca="1" si="23"/>
        <v>—</v>
      </c>
      <c r="E479" s="16">
        <f t="shared" ca="1" si="24"/>
        <v>7</v>
      </c>
    </row>
    <row r="480" spans="1:5" x14ac:dyDescent="0.25">
      <c r="A480" s="3">
        <f t="shared" si="22"/>
        <v>78989</v>
      </c>
      <c r="B480" t="str">
        <f ca="1">TEXT(DATE(YEAR(Invoer!$A$5),1,1)+INT((ROWS(B$2:B480)-1)/24),"""18""jjmmdd")</f>
        <v>18980120</v>
      </c>
      <c r="C480" s="11" t="str">
        <f>INDEX(Data,2,2+MOD(ROWS(C$2:C480)-1,24))</f>
        <v>23.00</v>
      </c>
      <c r="D480" s="8" t="str">
        <f t="shared" ca="1" si="23"/>
        <v>—</v>
      </c>
      <c r="E480" s="16">
        <f t="shared" ca="1" si="24"/>
        <v>7</v>
      </c>
    </row>
    <row r="481" spans="1:5" x14ac:dyDescent="0.25">
      <c r="A481" s="3">
        <f t="shared" si="22"/>
        <v>78989</v>
      </c>
      <c r="B481" t="str">
        <f ca="1">TEXT(DATE(YEAR(Invoer!$A$5),1,1)+INT((ROWS(B$2:B481)-1)/24),"""18""jjmmdd")</f>
        <v>18980120</v>
      </c>
      <c r="C481" s="11" t="str">
        <f>INDEX(Data,2,2+MOD(ROWS(C$2:C481)-1,24))</f>
        <v>24.00</v>
      </c>
      <c r="D481" s="8" t="str">
        <f t="shared" ca="1" si="23"/>
        <v>—</v>
      </c>
      <c r="E481" s="16">
        <f t="shared" ca="1" si="24"/>
        <v>7</v>
      </c>
    </row>
    <row r="482" spans="1:5" x14ac:dyDescent="0.25">
      <c r="A482" s="3">
        <f t="shared" si="22"/>
        <v>78989</v>
      </c>
      <c r="B482" t="str">
        <f ca="1">TEXT(DATE(YEAR(Invoer!$A$5),1,1)+INT((ROWS(B$2:B482)-1)/24),"""18""jjmmdd")</f>
        <v>18980121</v>
      </c>
      <c r="C482" s="11" t="str">
        <f>INDEX(Data,2,2+MOD(ROWS(C$2:C482)-1,24))</f>
        <v>01.00</v>
      </c>
      <c r="D482" s="8" t="str">
        <f t="shared" ca="1" si="23"/>
        <v>—</v>
      </c>
      <c r="E482" s="16">
        <f t="shared" ca="1" si="24"/>
        <v>7</v>
      </c>
    </row>
    <row r="483" spans="1:5" x14ac:dyDescent="0.25">
      <c r="A483" s="3">
        <f t="shared" si="22"/>
        <v>78989</v>
      </c>
      <c r="B483" t="str">
        <f ca="1">TEXT(DATE(YEAR(Invoer!$A$5),1,1)+INT((ROWS(B$2:B483)-1)/24),"""18""jjmmdd")</f>
        <v>18980121</v>
      </c>
      <c r="C483" s="11" t="str">
        <f>INDEX(Data,2,2+MOD(ROWS(C$2:C483)-1,24))</f>
        <v>02.00</v>
      </c>
      <c r="D483" s="8" t="str">
        <f t="shared" ca="1" si="23"/>
        <v>—</v>
      </c>
      <c r="E483" s="16">
        <f t="shared" ca="1" si="24"/>
        <v>7</v>
      </c>
    </row>
    <row r="484" spans="1:5" x14ac:dyDescent="0.25">
      <c r="A484" s="3">
        <f t="shared" si="22"/>
        <v>78989</v>
      </c>
      <c r="B484" t="str">
        <f ca="1">TEXT(DATE(YEAR(Invoer!$A$5),1,1)+INT((ROWS(B$2:B484)-1)/24),"""18""jjmmdd")</f>
        <v>18980121</v>
      </c>
      <c r="C484" s="11" t="str">
        <f>INDEX(Data,2,2+MOD(ROWS(C$2:C484)-1,24))</f>
        <v>03.00</v>
      </c>
      <c r="D484" s="8" t="str">
        <f t="shared" ca="1" si="23"/>
        <v>—</v>
      </c>
      <c r="E484" s="16">
        <f t="shared" ca="1" si="24"/>
        <v>7</v>
      </c>
    </row>
    <row r="485" spans="1:5" x14ac:dyDescent="0.25">
      <c r="A485" s="3">
        <f t="shared" si="22"/>
        <v>78989</v>
      </c>
      <c r="B485" t="str">
        <f ca="1">TEXT(DATE(YEAR(Invoer!$A$5),1,1)+INT((ROWS(B$2:B485)-1)/24),"""18""jjmmdd")</f>
        <v>18980121</v>
      </c>
      <c r="C485" s="11" t="str">
        <f>INDEX(Data,2,2+MOD(ROWS(C$2:C485)-1,24))</f>
        <v>04.00</v>
      </c>
      <c r="D485" s="8" t="str">
        <f t="shared" ca="1" si="23"/>
        <v>—</v>
      </c>
      <c r="E485" s="16">
        <f t="shared" ca="1" si="24"/>
        <v>7</v>
      </c>
    </row>
    <row r="486" spans="1:5" x14ac:dyDescent="0.25">
      <c r="A486" s="3">
        <f t="shared" si="22"/>
        <v>78989</v>
      </c>
      <c r="B486" t="str">
        <f ca="1">TEXT(DATE(YEAR(Invoer!$A$5),1,1)+INT((ROWS(B$2:B486)-1)/24),"""18""jjmmdd")</f>
        <v>18980121</v>
      </c>
      <c r="C486" s="11" t="str">
        <f>INDEX(Data,2,2+MOD(ROWS(C$2:C486)-1,24))</f>
        <v>05.00</v>
      </c>
      <c r="D486" s="8" t="str">
        <f t="shared" ca="1" si="23"/>
        <v>—</v>
      </c>
      <c r="E486" s="16">
        <f t="shared" ca="1" si="24"/>
        <v>7</v>
      </c>
    </row>
    <row r="487" spans="1:5" x14ac:dyDescent="0.25">
      <c r="A487" s="3">
        <f t="shared" si="22"/>
        <v>78989</v>
      </c>
      <c r="B487" t="str">
        <f ca="1">TEXT(DATE(YEAR(Invoer!$A$5),1,1)+INT((ROWS(B$2:B487)-1)/24),"""18""jjmmdd")</f>
        <v>18980121</v>
      </c>
      <c r="C487" s="11" t="str">
        <f>INDEX(Data,2,2+MOD(ROWS(C$2:C487)-1,24))</f>
        <v>06.00</v>
      </c>
      <c r="D487" s="8" t="str">
        <f t="shared" ca="1" si="23"/>
        <v>—</v>
      </c>
      <c r="E487" s="16">
        <f t="shared" ca="1" si="24"/>
        <v>7</v>
      </c>
    </row>
    <row r="488" spans="1:5" x14ac:dyDescent="0.25">
      <c r="A488" s="3">
        <f t="shared" si="22"/>
        <v>78989</v>
      </c>
      <c r="B488" t="str">
        <f ca="1">TEXT(DATE(YEAR(Invoer!$A$5),1,1)+INT((ROWS(B$2:B488)-1)/24),"""18""jjmmdd")</f>
        <v>18980121</v>
      </c>
      <c r="C488" s="11" t="str">
        <f>INDEX(Data,2,2+MOD(ROWS(C$2:C488)-1,24))</f>
        <v>07.00</v>
      </c>
      <c r="D488" s="8" t="str">
        <f t="shared" ca="1" si="23"/>
        <v>—</v>
      </c>
      <c r="E488" s="16">
        <f t="shared" ca="1" si="24"/>
        <v>7</v>
      </c>
    </row>
    <row r="489" spans="1:5" x14ac:dyDescent="0.25">
      <c r="A489" s="3">
        <f t="shared" si="22"/>
        <v>78989</v>
      </c>
      <c r="B489" t="str">
        <f ca="1">TEXT(DATE(YEAR(Invoer!$A$5),1,1)+INT((ROWS(B$2:B489)-1)/24),"""18""jjmmdd")</f>
        <v>18980121</v>
      </c>
      <c r="C489" s="11" t="str">
        <f>INDEX(Data,2,2+MOD(ROWS(C$2:C489)-1,24))</f>
        <v>08.00</v>
      </c>
      <c r="D489" s="8" t="str">
        <f t="shared" ca="1" si="23"/>
        <v>—</v>
      </c>
      <c r="E489" s="16">
        <f t="shared" ca="1" si="24"/>
        <v>7</v>
      </c>
    </row>
    <row r="490" spans="1:5" x14ac:dyDescent="0.25">
      <c r="A490" s="3">
        <f t="shared" si="22"/>
        <v>78989</v>
      </c>
      <c r="B490" t="str">
        <f ca="1">TEXT(DATE(YEAR(Invoer!$A$5),1,1)+INT((ROWS(B$2:B490)-1)/24),"""18""jjmmdd")</f>
        <v>18980121</v>
      </c>
      <c r="C490" s="11" t="str">
        <f>INDEX(Data,2,2+MOD(ROWS(C$2:C490)-1,24))</f>
        <v>09.00</v>
      </c>
      <c r="D490" s="8" t="str">
        <f t="shared" ca="1" si="23"/>
        <v>—</v>
      </c>
      <c r="E490" s="16">
        <f t="shared" ca="1" si="24"/>
        <v>7</v>
      </c>
    </row>
    <row r="491" spans="1:5" x14ac:dyDescent="0.25">
      <c r="A491" s="3">
        <f t="shared" si="22"/>
        <v>78989</v>
      </c>
      <c r="B491" t="str">
        <f ca="1">TEXT(DATE(YEAR(Invoer!$A$5),1,1)+INT((ROWS(B$2:B491)-1)/24),"""18""jjmmdd")</f>
        <v>18980121</v>
      </c>
      <c r="C491" s="11" t="str">
        <f>INDEX(Data,2,2+MOD(ROWS(C$2:C491)-1,24))</f>
        <v>10.00</v>
      </c>
      <c r="D491" s="8" t="str">
        <f t="shared" ca="1" si="23"/>
        <v>—</v>
      </c>
      <c r="E491" s="16">
        <f t="shared" ca="1" si="24"/>
        <v>7</v>
      </c>
    </row>
    <row r="492" spans="1:5" x14ac:dyDescent="0.25">
      <c r="A492" s="3">
        <f t="shared" si="22"/>
        <v>78989</v>
      </c>
      <c r="B492" t="str">
        <f ca="1">TEXT(DATE(YEAR(Invoer!$A$5),1,1)+INT((ROWS(B$2:B492)-1)/24),"""18""jjmmdd")</f>
        <v>18980121</v>
      </c>
      <c r="C492" s="11" t="str">
        <f>INDEX(Data,2,2+MOD(ROWS(C$2:C492)-1,24))</f>
        <v>11.00</v>
      </c>
      <c r="D492" s="8" t="str">
        <f t="shared" ca="1" si="23"/>
        <v>—</v>
      </c>
      <c r="E492" s="16">
        <f t="shared" ca="1" si="24"/>
        <v>7</v>
      </c>
    </row>
    <row r="493" spans="1:5" x14ac:dyDescent="0.25">
      <c r="A493" s="3">
        <f t="shared" si="22"/>
        <v>78989</v>
      </c>
      <c r="B493" t="str">
        <f ca="1">TEXT(DATE(YEAR(Invoer!$A$5),1,1)+INT((ROWS(B$2:B493)-1)/24),"""18""jjmmdd")</f>
        <v>18980121</v>
      </c>
      <c r="C493" s="11" t="str">
        <f>INDEX(Data,2,2+MOD(ROWS(C$2:C493)-1,24))</f>
        <v>12.00</v>
      </c>
      <c r="D493" s="8" t="str">
        <f t="shared" ca="1" si="23"/>
        <v>—</v>
      </c>
      <c r="E493" s="16">
        <f t="shared" ca="1" si="24"/>
        <v>7</v>
      </c>
    </row>
    <row r="494" spans="1:5" x14ac:dyDescent="0.25">
      <c r="A494" s="3">
        <f t="shared" si="22"/>
        <v>78989</v>
      </c>
      <c r="B494" t="str">
        <f ca="1">TEXT(DATE(YEAR(Invoer!$A$5),1,1)+INT((ROWS(B$2:B494)-1)/24),"""18""jjmmdd")</f>
        <v>18980121</v>
      </c>
      <c r="C494" s="11" t="str">
        <f>INDEX(Data,2,2+MOD(ROWS(C$2:C494)-1,24))</f>
        <v>13.00</v>
      </c>
      <c r="D494" s="8" t="str">
        <f t="shared" ca="1" si="23"/>
        <v>—</v>
      </c>
      <c r="E494" s="16">
        <f t="shared" ca="1" si="24"/>
        <v>7</v>
      </c>
    </row>
    <row r="495" spans="1:5" x14ac:dyDescent="0.25">
      <c r="A495" s="3">
        <f t="shared" si="22"/>
        <v>78989</v>
      </c>
      <c r="B495" t="str">
        <f ca="1">TEXT(DATE(YEAR(Invoer!$A$5),1,1)+INT((ROWS(B$2:B495)-1)/24),"""18""jjmmdd")</f>
        <v>18980121</v>
      </c>
      <c r="C495" s="11" t="str">
        <f>INDEX(Data,2,2+MOD(ROWS(C$2:C495)-1,24))</f>
        <v>14.00</v>
      </c>
      <c r="D495" s="8" t="str">
        <f t="shared" ca="1" si="23"/>
        <v>—</v>
      </c>
      <c r="E495" s="16">
        <f t="shared" ca="1" si="24"/>
        <v>7</v>
      </c>
    </row>
    <row r="496" spans="1:5" x14ac:dyDescent="0.25">
      <c r="A496" s="3">
        <f t="shared" si="22"/>
        <v>78989</v>
      </c>
      <c r="B496" t="str">
        <f ca="1">TEXT(DATE(YEAR(Invoer!$A$5),1,1)+INT((ROWS(B$2:B496)-1)/24),"""18""jjmmdd")</f>
        <v>18980121</v>
      </c>
      <c r="C496" s="11" t="str">
        <f>INDEX(Data,2,2+MOD(ROWS(C$2:C496)-1,24))</f>
        <v>15.00</v>
      </c>
      <c r="D496" s="8" t="str">
        <f t="shared" ca="1" si="23"/>
        <v>—</v>
      </c>
      <c r="E496" s="16">
        <f t="shared" ca="1" si="24"/>
        <v>7</v>
      </c>
    </row>
    <row r="497" spans="1:5" x14ac:dyDescent="0.25">
      <c r="A497" s="3">
        <f t="shared" si="22"/>
        <v>78989</v>
      </c>
      <c r="B497" t="str">
        <f ca="1">TEXT(DATE(YEAR(Invoer!$A$5),1,1)+INT((ROWS(B$2:B497)-1)/24),"""18""jjmmdd")</f>
        <v>18980121</v>
      </c>
      <c r="C497" s="11" t="str">
        <f>INDEX(Data,2,2+MOD(ROWS(C$2:C497)-1,24))</f>
        <v>16.00</v>
      </c>
      <c r="D497" s="8" t="str">
        <f t="shared" ca="1" si="23"/>
        <v>—</v>
      </c>
      <c r="E497" s="16">
        <f t="shared" ca="1" si="24"/>
        <v>7</v>
      </c>
    </row>
    <row r="498" spans="1:5" x14ac:dyDescent="0.25">
      <c r="A498" s="3">
        <f t="shared" si="22"/>
        <v>78989</v>
      </c>
      <c r="B498" t="str">
        <f ca="1">TEXT(DATE(YEAR(Invoer!$A$5),1,1)+INT((ROWS(B$2:B498)-1)/24),"""18""jjmmdd")</f>
        <v>18980121</v>
      </c>
      <c r="C498" s="11" t="str">
        <f>INDEX(Data,2,2+MOD(ROWS(C$2:C498)-1,24))</f>
        <v>17.00</v>
      </c>
      <c r="D498" s="8" t="str">
        <f t="shared" ca="1" si="23"/>
        <v>—</v>
      </c>
      <c r="E498" s="16">
        <f t="shared" ca="1" si="24"/>
        <v>7</v>
      </c>
    </row>
    <row r="499" spans="1:5" x14ac:dyDescent="0.25">
      <c r="A499" s="3">
        <f t="shared" si="22"/>
        <v>78989</v>
      </c>
      <c r="B499" t="str">
        <f ca="1">TEXT(DATE(YEAR(Invoer!$A$5),1,1)+INT((ROWS(B$2:B499)-1)/24),"""18""jjmmdd")</f>
        <v>18980121</v>
      </c>
      <c r="C499" s="11" t="str">
        <f>INDEX(Data,2,2+MOD(ROWS(C$2:C499)-1,24))</f>
        <v>18.00</v>
      </c>
      <c r="D499" s="8" t="str">
        <f t="shared" ca="1" si="23"/>
        <v>—</v>
      </c>
      <c r="E499" s="16">
        <f t="shared" ca="1" si="24"/>
        <v>7</v>
      </c>
    </row>
    <row r="500" spans="1:5" x14ac:dyDescent="0.25">
      <c r="A500" s="3">
        <f t="shared" si="22"/>
        <v>78989</v>
      </c>
      <c r="B500" t="str">
        <f ca="1">TEXT(DATE(YEAR(Invoer!$A$5),1,1)+INT((ROWS(B$2:B500)-1)/24),"""18""jjmmdd")</f>
        <v>18980121</v>
      </c>
      <c r="C500" s="11" t="str">
        <f>INDEX(Data,2,2+MOD(ROWS(C$2:C500)-1,24))</f>
        <v>19.00</v>
      </c>
      <c r="D500" s="8" t="str">
        <f t="shared" ca="1" si="23"/>
        <v>—</v>
      </c>
      <c r="E500" s="16">
        <f t="shared" ca="1" si="24"/>
        <v>7</v>
      </c>
    </row>
    <row r="501" spans="1:5" x14ac:dyDescent="0.25">
      <c r="A501" s="3">
        <f t="shared" si="22"/>
        <v>78989</v>
      </c>
      <c r="B501" t="str">
        <f ca="1">TEXT(DATE(YEAR(Invoer!$A$5),1,1)+INT((ROWS(B$2:B501)-1)/24),"""18""jjmmdd")</f>
        <v>18980121</v>
      </c>
      <c r="C501" s="11" t="str">
        <f>INDEX(Data,2,2+MOD(ROWS(C$2:C501)-1,24))</f>
        <v>20.00</v>
      </c>
      <c r="D501" s="8" t="str">
        <f t="shared" ca="1" si="23"/>
        <v>—</v>
      </c>
      <c r="E501" s="16">
        <f t="shared" ca="1" si="24"/>
        <v>7</v>
      </c>
    </row>
    <row r="502" spans="1:5" x14ac:dyDescent="0.25">
      <c r="A502" s="3">
        <f t="shared" si="22"/>
        <v>78989</v>
      </c>
      <c r="B502" t="str">
        <f ca="1">TEXT(DATE(YEAR(Invoer!$A$5),1,1)+INT((ROWS(B$2:B502)-1)/24),"""18""jjmmdd")</f>
        <v>18980121</v>
      </c>
      <c r="C502" s="11" t="str">
        <f>INDEX(Data,2,2+MOD(ROWS(C$2:C502)-1,24))</f>
        <v>21.00</v>
      </c>
      <c r="D502" s="8" t="str">
        <f t="shared" ca="1" si="23"/>
        <v>—</v>
      </c>
      <c r="E502" s="16">
        <f t="shared" ca="1" si="24"/>
        <v>7</v>
      </c>
    </row>
    <row r="503" spans="1:5" x14ac:dyDescent="0.25">
      <c r="A503" s="3">
        <f t="shared" si="22"/>
        <v>78989</v>
      </c>
      <c r="B503" t="str">
        <f ca="1">TEXT(DATE(YEAR(Invoer!$A$5),1,1)+INT((ROWS(B$2:B503)-1)/24),"""18""jjmmdd")</f>
        <v>18980121</v>
      </c>
      <c r="C503" s="11" t="str">
        <f>INDEX(Data,2,2+MOD(ROWS(C$2:C503)-1,24))</f>
        <v>22.00</v>
      </c>
      <c r="D503" s="8" t="str">
        <f t="shared" ca="1" si="23"/>
        <v>—</v>
      </c>
      <c r="E503" s="16">
        <f t="shared" ca="1" si="24"/>
        <v>7</v>
      </c>
    </row>
    <row r="504" spans="1:5" x14ac:dyDescent="0.25">
      <c r="A504" s="3">
        <f t="shared" si="22"/>
        <v>78989</v>
      </c>
      <c r="B504" t="str">
        <f ca="1">TEXT(DATE(YEAR(Invoer!$A$5),1,1)+INT((ROWS(B$2:B504)-1)/24),"""18""jjmmdd")</f>
        <v>18980121</v>
      </c>
      <c r="C504" s="11" t="str">
        <f>INDEX(Data,2,2+MOD(ROWS(C$2:C504)-1,24))</f>
        <v>23.00</v>
      </c>
      <c r="D504" s="8" t="str">
        <f t="shared" ca="1" si="23"/>
        <v>—</v>
      </c>
      <c r="E504" s="16">
        <f t="shared" ca="1" si="24"/>
        <v>7</v>
      </c>
    </row>
    <row r="505" spans="1:5" x14ac:dyDescent="0.25">
      <c r="A505" s="3">
        <f t="shared" si="22"/>
        <v>78989</v>
      </c>
      <c r="B505" t="str">
        <f ca="1">TEXT(DATE(YEAR(Invoer!$A$5),1,1)+INT((ROWS(B$2:B505)-1)/24),"""18""jjmmdd")</f>
        <v>18980121</v>
      </c>
      <c r="C505" s="11" t="str">
        <f>INDEX(Data,2,2+MOD(ROWS(C$2:C505)-1,24))</f>
        <v>24.00</v>
      </c>
      <c r="D505" s="8" t="str">
        <f t="shared" ca="1" si="23"/>
        <v>—</v>
      </c>
      <c r="E505" s="16">
        <f t="shared" ca="1" si="24"/>
        <v>7</v>
      </c>
    </row>
    <row r="506" spans="1:5" x14ac:dyDescent="0.25">
      <c r="A506" s="3">
        <f t="shared" si="22"/>
        <v>78989</v>
      </c>
      <c r="B506" t="str">
        <f ca="1">TEXT(DATE(YEAR(Invoer!$A$5),1,1)+INT((ROWS(B$2:B506)-1)/24),"""18""jjmmdd")</f>
        <v>18980122</v>
      </c>
      <c r="C506" s="11" t="str">
        <f>INDEX(Data,2,2+MOD(ROWS(C$2:C506)-1,24))</f>
        <v>01.00</v>
      </c>
      <c r="D506" s="8" t="str">
        <f t="shared" ca="1" si="23"/>
        <v>—</v>
      </c>
      <c r="E506" s="16">
        <f t="shared" ca="1" si="24"/>
        <v>7</v>
      </c>
    </row>
    <row r="507" spans="1:5" x14ac:dyDescent="0.25">
      <c r="A507" s="3">
        <f t="shared" si="22"/>
        <v>78989</v>
      </c>
      <c r="B507" t="str">
        <f ca="1">TEXT(DATE(YEAR(Invoer!$A$5),1,1)+INT((ROWS(B$2:B507)-1)/24),"""18""jjmmdd")</f>
        <v>18980122</v>
      </c>
      <c r="C507" s="11" t="str">
        <f>INDEX(Data,2,2+MOD(ROWS(C$2:C507)-1,24))</f>
        <v>02.00</v>
      </c>
      <c r="D507" s="8" t="str">
        <f t="shared" ca="1" si="23"/>
        <v>—</v>
      </c>
      <c r="E507" s="16">
        <f t="shared" ca="1" si="24"/>
        <v>7</v>
      </c>
    </row>
    <row r="508" spans="1:5" x14ac:dyDescent="0.25">
      <c r="A508" s="3">
        <f t="shared" si="22"/>
        <v>78989</v>
      </c>
      <c r="B508" t="str">
        <f ca="1">TEXT(DATE(YEAR(Invoer!$A$5),1,1)+INT((ROWS(B$2:B508)-1)/24),"""18""jjmmdd")</f>
        <v>18980122</v>
      </c>
      <c r="C508" s="11" t="str">
        <f>INDEX(Data,2,2+MOD(ROWS(C$2:C508)-1,24))</f>
        <v>03.00</v>
      </c>
      <c r="D508" s="8" t="str">
        <f t="shared" ca="1" si="23"/>
        <v>—</v>
      </c>
      <c r="E508" s="16">
        <f t="shared" ca="1" si="24"/>
        <v>7</v>
      </c>
    </row>
    <row r="509" spans="1:5" x14ac:dyDescent="0.25">
      <c r="A509" s="3">
        <f t="shared" si="22"/>
        <v>78989</v>
      </c>
      <c r="B509" t="str">
        <f ca="1">TEXT(DATE(YEAR(Invoer!$A$5),1,1)+INT((ROWS(B$2:B509)-1)/24),"""18""jjmmdd")</f>
        <v>18980122</v>
      </c>
      <c r="C509" s="11" t="str">
        <f>INDEX(Data,2,2+MOD(ROWS(C$2:C509)-1,24))</f>
        <v>04.00</v>
      </c>
      <c r="D509" s="8" t="str">
        <f t="shared" ca="1" si="23"/>
        <v>—</v>
      </c>
      <c r="E509" s="16">
        <f t="shared" ca="1" si="24"/>
        <v>7</v>
      </c>
    </row>
    <row r="510" spans="1:5" x14ac:dyDescent="0.25">
      <c r="A510" s="3">
        <f t="shared" si="22"/>
        <v>78989</v>
      </c>
      <c r="B510" t="str">
        <f ca="1">TEXT(DATE(YEAR(Invoer!$A$5),1,1)+INT((ROWS(B$2:B510)-1)/24),"""18""jjmmdd")</f>
        <v>18980122</v>
      </c>
      <c r="C510" s="11" t="str">
        <f>INDEX(Data,2,2+MOD(ROWS(C$2:C510)-1,24))</f>
        <v>05.00</v>
      </c>
      <c r="D510" s="8" t="str">
        <f t="shared" ca="1" si="23"/>
        <v>—</v>
      </c>
      <c r="E510" s="16">
        <f t="shared" ca="1" si="24"/>
        <v>7</v>
      </c>
    </row>
    <row r="511" spans="1:5" x14ac:dyDescent="0.25">
      <c r="A511" s="3">
        <f t="shared" si="22"/>
        <v>78989</v>
      </c>
      <c r="B511" t="str">
        <f ca="1">TEXT(DATE(YEAR(Invoer!$A$5),1,1)+INT((ROWS(B$2:B511)-1)/24),"""18""jjmmdd")</f>
        <v>18980122</v>
      </c>
      <c r="C511" s="11" t="str">
        <f>INDEX(Data,2,2+MOD(ROWS(C$2:C511)-1,24))</f>
        <v>06.00</v>
      </c>
      <c r="D511" s="8" t="str">
        <f t="shared" ca="1" si="23"/>
        <v>—</v>
      </c>
      <c r="E511" s="16">
        <f t="shared" ca="1" si="24"/>
        <v>7</v>
      </c>
    </row>
    <row r="512" spans="1:5" x14ac:dyDescent="0.25">
      <c r="A512" s="3">
        <f t="shared" si="22"/>
        <v>78989</v>
      </c>
      <c r="B512" t="str">
        <f ca="1">TEXT(DATE(YEAR(Invoer!$A$5),1,1)+INT((ROWS(B$2:B512)-1)/24),"""18""jjmmdd")</f>
        <v>18980122</v>
      </c>
      <c r="C512" s="11" t="str">
        <f>INDEX(Data,2,2+MOD(ROWS(C$2:C512)-1,24))</f>
        <v>07.00</v>
      </c>
      <c r="D512" s="8" t="str">
        <f t="shared" ca="1" si="23"/>
        <v>—</v>
      </c>
      <c r="E512" s="16">
        <f t="shared" ca="1" si="24"/>
        <v>7</v>
      </c>
    </row>
    <row r="513" spans="1:5" x14ac:dyDescent="0.25">
      <c r="A513" s="3">
        <f t="shared" si="22"/>
        <v>78989</v>
      </c>
      <c r="B513" t="str">
        <f ca="1">TEXT(DATE(YEAR(Invoer!$A$5),1,1)+INT((ROWS(B$2:B513)-1)/24),"""18""jjmmdd")</f>
        <v>18980122</v>
      </c>
      <c r="C513" s="11" t="str">
        <f>INDEX(Data,2,2+MOD(ROWS(C$2:C513)-1,24))</f>
        <v>08.00</v>
      </c>
      <c r="D513" s="8" t="str">
        <f t="shared" ca="1" si="23"/>
        <v>—</v>
      </c>
      <c r="E513" s="16">
        <f t="shared" ca="1" si="24"/>
        <v>7</v>
      </c>
    </row>
    <row r="514" spans="1:5" x14ac:dyDescent="0.25">
      <c r="A514" s="3">
        <f t="shared" ref="A514:A577" si="25">INDEX(Stations,2,1)</f>
        <v>78989</v>
      </c>
      <c r="B514" t="str">
        <f ca="1">TEXT(DATE(YEAR(Invoer!$A$5),1,1)+INT((ROWS(B$2:B514)-1)/24),"""18""jjmmdd")</f>
        <v>18980122</v>
      </c>
      <c r="C514" s="11" t="str">
        <f>INDEX(Data,2,2+MOD(ROWS(C$2:C514)-1,24))</f>
        <v>09.00</v>
      </c>
      <c r="D514" s="8" t="str">
        <f t="shared" ref="D514:D577" ca="1" si="26">IF(OR(ISBLANK(VLOOKUP(DATEVALUE("37"&amp;MID($B514,3,2)&amp;"-"&amp;MID($B514,5,2)&amp;"-"&amp;RIGHT($B514,2)),Data,MATCH(LEFT(VLOOKUP(D$1,Parameters,2,FALSE()),4)&amp;"*",OFFSET(Data,0,0,1),0)+MATCH($C514,OFFSET(Data,1,0,1),0)-2,FALSE())),ISTEXT(VLOOKUP(DATEVALUE("37"&amp;MID($B514,3,2)&amp;"-"&amp;MID($B514,5,2)&amp;"-"&amp;RIGHT($B514,2)),Data,MATCH(LEFT(VLOOKUP(D$1,Parameters,2,FALSE()),4)&amp;"*",OFFSET(Data,0,0,1),0)+MATCH($C514,OFFSET(Data,1,0,1),0)-2,FALSE()))),"—",VLOOKUP(DATEVALUE("37"&amp;MID($B514,3,2)&amp;"-"&amp;MID($B514,5,2)&amp;"-"&amp;RIGHT($B514,2)),Data,MATCH(LEFT(VLOOKUP(D$1,Parameters,2,FALSE()),4)&amp;"*",OFFSET(Data,0,0,1),0)+MATCH($C514,OFFSET(Data,1,0,1),0)-2,FALSE()))</f>
        <v>—</v>
      </c>
      <c r="E514" s="16">
        <f t="shared" ca="1" si="24"/>
        <v>7</v>
      </c>
    </row>
    <row r="515" spans="1:5" x14ac:dyDescent="0.25">
      <c r="A515" s="3">
        <f t="shared" si="25"/>
        <v>78989</v>
      </c>
      <c r="B515" t="str">
        <f ca="1">TEXT(DATE(YEAR(Invoer!$A$5),1,1)+INT((ROWS(B$2:B515)-1)/24),"""18""jjmmdd")</f>
        <v>18980122</v>
      </c>
      <c r="C515" s="11" t="str">
        <f>INDEX(Data,2,2+MOD(ROWS(C$2:C515)-1,24))</f>
        <v>10.00</v>
      </c>
      <c r="D515" s="8" t="str">
        <f t="shared" ca="1" si="26"/>
        <v>—</v>
      </c>
      <c r="E515" s="16">
        <f t="shared" ref="E515:E578" ca="1" si="27">IF(OR(ISBLANK(VLOOKUP(DATEVALUE("37"&amp;MID($B515,3,2)&amp;"-"&amp;MID($B515,5,2)&amp;"-"&amp;RIGHT($B515,2)),Data,MATCH(LEFT(VLOOKUP(D$1,Parameters,2,FALSE()),4)&amp;"*",OFFSET(Data,0,0,1),0)+MATCH($C515,OFFSET(Data,1,0,1),0)-2,FALSE())),ISTEXT(VLOOKUP(DATEVALUE("37"&amp;MID($B515,3,2)&amp;"-"&amp;MID($B515,5,2)&amp;"-"&amp;RIGHT($B515,2)),Data,MATCH(LEFT(VLOOKUP(D$1,Parameters,2,FALSE()),4)&amp;"*",OFFSET(Data,0,0,1),0)+MATCH($C515,OFFSET(Data,1,0,1),0)-2,FALSE()))),Lacking,IF(ISNA(MATCH(DATEVALUE("37"&amp;MID($B515,3,2)&amp;"-"&amp;MID($B515,5,2)&amp;"-"&amp;RIGHT($B515,2)),OFFSET(Catalogus,0,0,,1),0)),Ok,VLOOKUP(DATEVALUE("37"&amp;MID($B515,3,2)&amp;"-"&amp;MID($B515,5,2)&amp;"-"&amp;RIGHT($B515,2)),Catalogus,MATCH(LEFT(VLOOKUP(MID(E$1,2,LEN(E$1)-1),Parameters,2,FALSE()),4)&amp;"*",OFFSET(Catalogus,0,0,1),0)+MATCH($C515,OFFSET(Catalogus,1,0,1),0)-2,FALSE())))</f>
        <v>7</v>
      </c>
    </row>
    <row r="516" spans="1:5" x14ac:dyDescent="0.25">
      <c r="A516" s="3">
        <f t="shared" si="25"/>
        <v>78989</v>
      </c>
      <c r="B516" t="str">
        <f ca="1">TEXT(DATE(YEAR(Invoer!$A$5),1,1)+INT((ROWS(B$2:B516)-1)/24),"""18""jjmmdd")</f>
        <v>18980122</v>
      </c>
      <c r="C516" s="11" t="str">
        <f>INDEX(Data,2,2+MOD(ROWS(C$2:C516)-1,24))</f>
        <v>11.00</v>
      </c>
      <c r="D516" s="8" t="str">
        <f t="shared" ca="1" si="26"/>
        <v>—</v>
      </c>
      <c r="E516" s="16">
        <f t="shared" ca="1" si="27"/>
        <v>7</v>
      </c>
    </row>
    <row r="517" spans="1:5" x14ac:dyDescent="0.25">
      <c r="A517" s="3">
        <f t="shared" si="25"/>
        <v>78989</v>
      </c>
      <c r="B517" t="str">
        <f ca="1">TEXT(DATE(YEAR(Invoer!$A$5),1,1)+INT((ROWS(B$2:B517)-1)/24),"""18""jjmmdd")</f>
        <v>18980122</v>
      </c>
      <c r="C517" s="11" t="str">
        <f>INDEX(Data,2,2+MOD(ROWS(C$2:C517)-1,24))</f>
        <v>12.00</v>
      </c>
      <c r="D517" s="8" t="str">
        <f t="shared" ca="1" si="26"/>
        <v>—</v>
      </c>
      <c r="E517" s="16">
        <f t="shared" ca="1" si="27"/>
        <v>7</v>
      </c>
    </row>
    <row r="518" spans="1:5" x14ac:dyDescent="0.25">
      <c r="A518" s="3">
        <f t="shared" si="25"/>
        <v>78989</v>
      </c>
      <c r="B518" t="str">
        <f ca="1">TEXT(DATE(YEAR(Invoer!$A$5),1,1)+INT((ROWS(B$2:B518)-1)/24),"""18""jjmmdd")</f>
        <v>18980122</v>
      </c>
      <c r="C518" s="11" t="str">
        <f>INDEX(Data,2,2+MOD(ROWS(C$2:C518)-1,24))</f>
        <v>13.00</v>
      </c>
      <c r="D518" s="8" t="str">
        <f t="shared" ca="1" si="26"/>
        <v>—</v>
      </c>
      <c r="E518" s="16">
        <f t="shared" ca="1" si="27"/>
        <v>7</v>
      </c>
    </row>
    <row r="519" spans="1:5" x14ac:dyDescent="0.25">
      <c r="A519" s="3">
        <f t="shared" si="25"/>
        <v>78989</v>
      </c>
      <c r="B519" t="str">
        <f ca="1">TEXT(DATE(YEAR(Invoer!$A$5),1,1)+INT((ROWS(B$2:B519)-1)/24),"""18""jjmmdd")</f>
        <v>18980122</v>
      </c>
      <c r="C519" s="11" t="str">
        <f>INDEX(Data,2,2+MOD(ROWS(C$2:C519)-1,24))</f>
        <v>14.00</v>
      </c>
      <c r="D519" s="8" t="str">
        <f t="shared" ca="1" si="26"/>
        <v>—</v>
      </c>
      <c r="E519" s="16">
        <f t="shared" ca="1" si="27"/>
        <v>7</v>
      </c>
    </row>
    <row r="520" spans="1:5" x14ac:dyDescent="0.25">
      <c r="A520" s="3">
        <f t="shared" si="25"/>
        <v>78989</v>
      </c>
      <c r="B520" t="str">
        <f ca="1">TEXT(DATE(YEAR(Invoer!$A$5),1,1)+INT((ROWS(B$2:B520)-1)/24),"""18""jjmmdd")</f>
        <v>18980122</v>
      </c>
      <c r="C520" s="11" t="str">
        <f>INDEX(Data,2,2+MOD(ROWS(C$2:C520)-1,24))</f>
        <v>15.00</v>
      </c>
      <c r="D520" s="8" t="str">
        <f t="shared" ca="1" si="26"/>
        <v>—</v>
      </c>
      <c r="E520" s="16">
        <f t="shared" ca="1" si="27"/>
        <v>7</v>
      </c>
    </row>
    <row r="521" spans="1:5" x14ac:dyDescent="0.25">
      <c r="A521" s="3">
        <f t="shared" si="25"/>
        <v>78989</v>
      </c>
      <c r="B521" t="str">
        <f ca="1">TEXT(DATE(YEAR(Invoer!$A$5),1,1)+INT((ROWS(B$2:B521)-1)/24),"""18""jjmmdd")</f>
        <v>18980122</v>
      </c>
      <c r="C521" s="11" t="str">
        <f>INDEX(Data,2,2+MOD(ROWS(C$2:C521)-1,24))</f>
        <v>16.00</v>
      </c>
      <c r="D521" s="8" t="str">
        <f t="shared" ca="1" si="26"/>
        <v>—</v>
      </c>
      <c r="E521" s="16">
        <f t="shared" ca="1" si="27"/>
        <v>7</v>
      </c>
    </row>
    <row r="522" spans="1:5" x14ac:dyDescent="0.25">
      <c r="A522" s="3">
        <f t="shared" si="25"/>
        <v>78989</v>
      </c>
      <c r="B522" t="str">
        <f ca="1">TEXT(DATE(YEAR(Invoer!$A$5),1,1)+INT((ROWS(B$2:B522)-1)/24),"""18""jjmmdd")</f>
        <v>18980122</v>
      </c>
      <c r="C522" s="11" t="str">
        <f>INDEX(Data,2,2+MOD(ROWS(C$2:C522)-1,24))</f>
        <v>17.00</v>
      </c>
      <c r="D522" s="8" t="str">
        <f t="shared" ca="1" si="26"/>
        <v>—</v>
      </c>
      <c r="E522" s="16">
        <f t="shared" ca="1" si="27"/>
        <v>7</v>
      </c>
    </row>
    <row r="523" spans="1:5" x14ac:dyDescent="0.25">
      <c r="A523" s="3">
        <f t="shared" si="25"/>
        <v>78989</v>
      </c>
      <c r="B523" t="str">
        <f ca="1">TEXT(DATE(YEAR(Invoer!$A$5),1,1)+INT((ROWS(B$2:B523)-1)/24),"""18""jjmmdd")</f>
        <v>18980122</v>
      </c>
      <c r="C523" s="11" t="str">
        <f>INDEX(Data,2,2+MOD(ROWS(C$2:C523)-1,24))</f>
        <v>18.00</v>
      </c>
      <c r="D523" s="8" t="str">
        <f t="shared" ca="1" si="26"/>
        <v>—</v>
      </c>
      <c r="E523" s="16">
        <f t="shared" ca="1" si="27"/>
        <v>7</v>
      </c>
    </row>
    <row r="524" spans="1:5" x14ac:dyDescent="0.25">
      <c r="A524" s="3">
        <f t="shared" si="25"/>
        <v>78989</v>
      </c>
      <c r="B524" t="str">
        <f ca="1">TEXT(DATE(YEAR(Invoer!$A$5),1,1)+INT((ROWS(B$2:B524)-1)/24),"""18""jjmmdd")</f>
        <v>18980122</v>
      </c>
      <c r="C524" s="11" t="str">
        <f>INDEX(Data,2,2+MOD(ROWS(C$2:C524)-1,24))</f>
        <v>19.00</v>
      </c>
      <c r="D524" s="8" t="str">
        <f t="shared" ca="1" si="26"/>
        <v>—</v>
      </c>
      <c r="E524" s="16">
        <f t="shared" ca="1" si="27"/>
        <v>7</v>
      </c>
    </row>
    <row r="525" spans="1:5" x14ac:dyDescent="0.25">
      <c r="A525" s="3">
        <f t="shared" si="25"/>
        <v>78989</v>
      </c>
      <c r="B525" t="str">
        <f ca="1">TEXT(DATE(YEAR(Invoer!$A$5),1,1)+INT((ROWS(B$2:B525)-1)/24),"""18""jjmmdd")</f>
        <v>18980122</v>
      </c>
      <c r="C525" s="11" t="str">
        <f>INDEX(Data,2,2+MOD(ROWS(C$2:C525)-1,24))</f>
        <v>20.00</v>
      </c>
      <c r="D525" s="8" t="str">
        <f t="shared" ca="1" si="26"/>
        <v>—</v>
      </c>
      <c r="E525" s="16">
        <f t="shared" ca="1" si="27"/>
        <v>7</v>
      </c>
    </row>
    <row r="526" spans="1:5" x14ac:dyDescent="0.25">
      <c r="A526" s="3">
        <f t="shared" si="25"/>
        <v>78989</v>
      </c>
      <c r="B526" t="str">
        <f ca="1">TEXT(DATE(YEAR(Invoer!$A$5),1,1)+INT((ROWS(B$2:B526)-1)/24),"""18""jjmmdd")</f>
        <v>18980122</v>
      </c>
      <c r="C526" s="11" t="str">
        <f>INDEX(Data,2,2+MOD(ROWS(C$2:C526)-1,24))</f>
        <v>21.00</v>
      </c>
      <c r="D526" s="8" t="str">
        <f t="shared" ca="1" si="26"/>
        <v>—</v>
      </c>
      <c r="E526" s="16">
        <f t="shared" ca="1" si="27"/>
        <v>7</v>
      </c>
    </row>
    <row r="527" spans="1:5" x14ac:dyDescent="0.25">
      <c r="A527" s="3">
        <f t="shared" si="25"/>
        <v>78989</v>
      </c>
      <c r="B527" t="str">
        <f ca="1">TEXT(DATE(YEAR(Invoer!$A$5),1,1)+INT((ROWS(B$2:B527)-1)/24),"""18""jjmmdd")</f>
        <v>18980122</v>
      </c>
      <c r="C527" s="11" t="str">
        <f>INDEX(Data,2,2+MOD(ROWS(C$2:C527)-1,24))</f>
        <v>22.00</v>
      </c>
      <c r="D527" s="8" t="str">
        <f t="shared" ca="1" si="26"/>
        <v>—</v>
      </c>
      <c r="E527" s="16">
        <f t="shared" ca="1" si="27"/>
        <v>7</v>
      </c>
    </row>
    <row r="528" spans="1:5" x14ac:dyDescent="0.25">
      <c r="A528" s="3">
        <f t="shared" si="25"/>
        <v>78989</v>
      </c>
      <c r="B528" t="str">
        <f ca="1">TEXT(DATE(YEAR(Invoer!$A$5),1,1)+INT((ROWS(B$2:B528)-1)/24),"""18""jjmmdd")</f>
        <v>18980122</v>
      </c>
      <c r="C528" s="11" t="str">
        <f>INDEX(Data,2,2+MOD(ROWS(C$2:C528)-1,24))</f>
        <v>23.00</v>
      </c>
      <c r="D528" s="8" t="str">
        <f t="shared" ca="1" si="26"/>
        <v>—</v>
      </c>
      <c r="E528" s="16">
        <f t="shared" ca="1" si="27"/>
        <v>7</v>
      </c>
    </row>
    <row r="529" spans="1:5" x14ac:dyDescent="0.25">
      <c r="A529" s="3">
        <f t="shared" si="25"/>
        <v>78989</v>
      </c>
      <c r="B529" t="str">
        <f ca="1">TEXT(DATE(YEAR(Invoer!$A$5),1,1)+INT((ROWS(B$2:B529)-1)/24),"""18""jjmmdd")</f>
        <v>18980122</v>
      </c>
      <c r="C529" s="11" t="str">
        <f>INDEX(Data,2,2+MOD(ROWS(C$2:C529)-1,24))</f>
        <v>24.00</v>
      </c>
      <c r="D529" s="8" t="str">
        <f t="shared" ca="1" si="26"/>
        <v>—</v>
      </c>
      <c r="E529" s="16">
        <f t="shared" ca="1" si="27"/>
        <v>7</v>
      </c>
    </row>
    <row r="530" spans="1:5" x14ac:dyDescent="0.25">
      <c r="A530" s="3">
        <f t="shared" si="25"/>
        <v>78989</v>
      </c>
      <c r="B530" t="str">
        <f ca="1">TEXT(DATE(YEAR(Invoer!$A$5),1,1)+INT((ROWS(B$2:B530)-1)/24),"""18""jjmmdd")</f>
        <v>18980123</v>
      </c>
      <c r="C530" s="11" t="str">
        <f>INDEX(Data,2,2+MOD(ROWS(C$2:C530)-1,24))</f>
        <v>01.00</v>
      </c>
      <c r="D530" s="8" t="str">
        <f t="shared" ca="1" si="26"/>
        <v>—</v>
      </c>
      <c r="E530" s="16">
        <f t="shared" ca="1" si="27"/>
        <v>7</v>
      </c>
    </row>
    <row r="531" spans="1:5" x14ac:dyDescent="0.25">
      <c r="A531" s="3">
        <f t="shared" si="25"/>
        <v>78989</v>
      </c>
      <c r="B531" t="str">
        <f ca="1">TEXT(DATE(YEAR(Invoer!$A$5),1,1)+INT((ROWS(B$2:B531)-1)/24),"""18""jjmmdd")</f>
        <v>18980123</v>
      </c>
      <c r="C531" s="11" t="str">
        <f>INDEX(Data,2,2+MOD(ROWS(C$2:C531)-1,24))</f>
        <v>02.00</v>
      </c>
      <c r="D531" s="8" t="str">
        <f t="shared" ca="1" si="26"/>
        <v>—</v>
      </c>
      <c r="E531" s="16">
        <f t="shared" ca="1" si="27"/>
        <v>7</v>
      </c>
    </row>
    <row r="532" spans="1:5" x14ac:dyDescent="0.25">
      <c r="A532" s="3">
        <f t="shared" si="25"/>
        <v>78989</v>
      </c>
      <c r="B532" t="str">
        <f ca="1">TEXT(DATE(YEAR(Invoer!$A$5),1,1)+INT((ROWS(B$2:B532)-1)/24),"""18""jjmmdd")</f>
        <v>18980123</v>
      </c>
      <c r="C532" s="11" t="str">
        <f>INDEX(Data,2,2+MOD(ROWS(C$2:C532)-1,24))</f>
        <v>03.00</v>
      </c>
      <c r="D532" s="8" t="str">
        <f t="shared" ca="1" si="26"/>
        <v>—</v>
      </c>
      <c r="E532" s="16">
        <f t="shared" ca="1" si="27"/>
        <v>7</v>
      </c>
    </row>
    <row r="533" spans="1:5" x14ac:dyDescent="0.25">
      <c r="A533" s="3">
        <f t="shared" si="25"/>
        <v>78989</v>
      </c>
      <c r="B533" t="str">
        <f ca="1">TEXT(DATE(YEAR(Invoer!$A$5),1,1)+INT((ROWS(B$2:B533)-1)/24),"""18""jjmmdd")</f>
        <v>18980123</v>
      </c>
      <c r="C533" s="11" t="str">
        <f>INDEX(Data,2,2+MOD(ROWS(C$2:C533)-1,24))</f>
        <v>04.00</v>
      </c>
      <c r="D533" s="8" t="str">
        <f t="shared" ca="1" si="26"/>
        <v>—</v>
      </c>
      <c r="E533" s="16">
        <f t="shared" ca="1" si="27"/>
        <v>7</v>
      </c>
    </row>
    <row r="534" spans="1:5" x14ac:dyDescent="0.25">
      <c r="A534" s="3">
        <f t="shared" si="25"/>
        <v>78989</v>
      </c>
      <c r="B534" t="str">
        <f ca="1">TEXT(DATE(YEAR(Invoer!$A$5),1,1)+INT((ROWS(B$2:B534)-1)/24),"""18""jjmmdd")</f>
        <v>18980123</v>
      </c>
      <c r="C534" s="11" t="str">
        <f>INDEX(Data,2,2+MOD(ROWS(C$2:C534)-1,24))</f>
        <v>05.00</v>
      </c>
      <c r="D534" s="8" t="str">
        <f t="shared" ca="1" si="26"/>
        <v>—</v>
      </c>
      <c r="E534" s="16">
        <f t="shared" ca="1" si="27"/>
        <v>7</v>
      </c>
    </row>
    <row r="535" spans="1:5" x14ac:dyDescent="0.25">
      <c r="A535" s="3">
        <f t="shared" si="25"/>
        <v>78989</v>
      </c>
      <c r="B535" t="str">
        <f ca="1">TEXT(DATE(YEAR(Invoer!$A$5),1,1)+INT((ROWS(B$2:B535)-1)/24),"""18""jjmmdd")</f>
        <v>18980123</v>
      </c>
      <c r="C535" s="11" t="str">
        <f>INDEX(Data,2,2+MOD(ROWS(C$2:C535)-1,24))</f>
        <v>06.00</v>
      </c>
      <c r="D535" s="8" t="str">
        <f t="shared" ca="1" si="26"/>
        <v>—</v>
      </c>
      <c r="E535" s="16">
        <f t="shared" ca="1" si="27"/>
        <v>7</v>
      </c>
    </row>
    <row r="536" spans="1:5" x14ac:dyDescent="0.25">
      <c r="A536" s="3">
        <f t="shared" si="25"/>
        <v>78989</v>
      </c>
      <c r="B536" t="str">
        <f ca="1">TEXT(DATE(YEAR(Invoer!$A$5),1,1)+INT((ROWS(B$2:B536)-1)/24),"""18""jjmmdd")</f>
        <v>18980123</v>
      </c>
      <c r="C536" s="11" t="str">
        <f>INDEX(Data,2,2+MOD(ROWS(C$2:C536)-1,24))</f>
        <v>07.00</v>
      </c>
      <c r="D536" s="8" t="str">
        <f t="shared" ca="1" si="26"/>
        <v>—</v>
      </c>
      <c r="E536" s="16">
        <f t="shared" ca="1" si="27"/>
        <v>7</v>
      </c>
    </row>
    <row r="537" spans="1:5" x14ac:dyDescent="0.25">
      <c r="A537" s="3">
        <f t="shared" si="25"/>
        <v>78989</v>
      </c>
      <c r="B537" t="str">
        <f ca="1">TEXT(DATE(YEAR(Invoer!$A$5),1,1)+INT((ROWS(B$2:B537)-1)/24),"""18""jjmmdd")</f>
        <v>18980123</v>
      </c>
      <c r="C537" s="11" t="str">
        <f>INDEX(Data,2,2+MOD(ROWS(C$2:C537)-1,24))</f>
        <v>08.00</v>
      </c>
      <c r="D537" s="8" t="str">
        <f t="shared" ca="1" si="26"/>
        <v>—</v>
      </c>
      <c r="E537" s="16">
        <f t="shared" ca="1" si="27"/>
        <v>7</v>
      </c>
    </row>
    <row r="538" spans="1:5" x14ac:dyDescent="0.25">
      <c r="A538" s="3">
        <f t="shared" si="25"/>
        <v>78989</v>
      </c>
      <c r="B538" t="str">
        <f ca="1">TEXT(DATE(YEAR(Invoer!$A$5),1,1)+INT((ROWS(B$2:B538)-1)/24),"""18""jjmmdd")</f>
        <v>18980123</v>
      </c>
      <c r="C538" s="11" t="str">
        <f>INDEX(Data,2,2+MOD(ROWS(C$2:C538)-1,24))</f>
        <v>09.00</v>
      </c>
      <c r="D538" s="8" t="str">
        <f t="shared" ca="1" si="26"/>
        <v>—</v>
      </c>
      <c r="E538" s="16">
        <f t="shared" ca="1" si="27"/>
        <v>7</v>
      </c>
    </row>
    <row r="539" spans="1:5" x14ac:dyDescent="0.25">
      <c r="A539" s="3">
        <f t="shared" si="25"/>
        <v>78989</v>
      </c>
      <c r="B539" t="str">
        <f ca="1">TEXT(DATE(YEAR(Invoer!$A$5),1,1)+INT((ROWS(B$2:B539)-1)/24),"""18""jjmmdd")</f>
        <v>18980123</v>
      </c>
      <c r="C539" s="11" t="str">
        <f>INDEX(Data,2,2+MOD(ROWS(C$2:C539)-1,24))</f>
        <v>10.00</v>
      </c>
      <c r="D539" s="8" t="str">
        <f t="shared" ca="1" si="26"/>
        <v>—</v>
      </c>
      <c r="E539" s="16">
        <f t="shared" ca="1" si="27"/>
        <v>7</v>
      </c>
    </row>
    <row r="540" spans="1:5" x14ac:dyDescent="0.25">
      <c r="A540" s="3">
        <f t="shared" si="25"/>
        <v>78989</v>
      </c>
      <c r="B540" t="str">
        <f ca="1">TEXT(DATE(YEAR(Invoer!$A$5),1,1)+INT((ROWS(B$2:B540)-1)/24),"""18""jjmmdd")</f>
        <v>18980123</v>
      </c>
      <c r="C540" s="11" t="str">
        <f>INDEX(Data,2,2+MOD(ROWS(C$2:C540)-1,24))</f>
        <v>11.00</v>
      </c>
      <c r="D540" s="8" t="str">
        <f t="shared" ca="1" si="26"/>
        <v>—</v>
      </c>
      <c r="E540" s="16">
        <f t="shared" ca="1" si="27"/>
        <v>7</v>
      </c>
    </row>
    <row r="541" spans="1:5" x14ac:dyDescent="0.25">
      <c r="A541" s="3">
        <f t="shared" si="25"/>
        <v>78989</v>
      </c>
      <c r="B541" t="str">
        <f ca="1">TEXT(DATE(YEAR(Invoer!$A$5),1,1)+INT((ROWS(B$2:B541)-1)/24),"""18""jjmmdd")</f>
        <v>18980123</v>
      </c>
      <c r="C541" s="11" t="str">
        <f>INDEX(Data,2,2+MOD(ROWS(C$2:C541)-1,24))</f>
        <v>12.00</v>
      </c>
      <c r="D541" s="8" t="str">
        <f t="shared" ca="1" si="26"/>
        <v>—</v>
      </c>
      <c r="E541" s="16">
        <f t="shared" ca="1" si="27"/>
        <v>7</v>
      </c>
    </row>
    <row r="542" spans="1:5" x14ac:dyDescent="0.25">
      <c r="A542" s="3">
        <f t="shared" si="25"/>
        <v>78989</v>
      </c>
      <c r="B542" t="str">
        <f ca="1">TEXT(DATE(YEAR(Invoer!$A$5),1,1)+INT((ROWS(B$2:B542)-1)/24),"""18""jjmmdd")</f>
        <v>18980123</v>
      </c>
      <c r="C542" s="11" t="str">
        <f>INDEX(Data,2,2+MOD(ROWS(C$2:C542)-1,24))</f>
        <v>13.00</v>
      </c>
      <c r="D542" s="8" t="str">
        <f t="shared" ca="1" si="26"/>
        <v>—</v>
      </c>
      <c r="E542" s="16">
        <f t="shared" ca="1" si="27"/>
        <v>7</v>
      </c>
    </row>
    <row r="543" spans="1:5" x14ac:dyDescent="0.25">
      <c r="A543" s="3">
        <f t="shared" si="25"/>
        <v>78989</v>
      </c>
      <c r="B543" t="str">
        <f ca="1">TEXT(DATE(YEAR(Invoer!$A$5),1,1)+INT((ROWS(B$2:B543)-1)/24),"""18""jjmmdd")</f>
        <v>18980123</v>
      </c>
      <c r="C543" s="11" t="str">
        <f>INDEX(Data,2,2+MOD(ROWS(C$2:C543)-1,24))</f>
        <v>14.00</v>
      </c>
      <c r="D543" s="8" t="str">
        <f t="shared" ca="1" si="26"/>
        <v>—</v>
      </c>
      <c r="E543" s="16">
        <f t="shared" ca="1" si="27"/>
        <v>7</v>
      </c>
    </row>
    <row r="544" spans="1:5" x14ac:dyDescent="0.25">
      <c r="A544" s="3">
        <f t="shared" si="25"/>
        <v>78989</v>
      </c>
      <c r="B544" t="str">
        <f ca="1">TEXT(DATE(YEAR(Invoer!$A$5),1,1)+INT((ROWS(B$2:B544)-1)/24),"""18""jjmmdd")</f>
        <v>18980123</v>
      </c>
      <c r="C544" s="11" t="str">
        <f>INDEX(Data,2,2+MOD(ROWS(C$2:C544)-1,24))</f>
        <v>15.00</v>
      </c>
      <c r="D544" s="8" t="str">
        <f t="shared" ca="1" si="26"/>
        <v>—</v>
      </c>
      <c r="E544" s="16">
        <f t="shared" ca="1" si="27"/>
        <v>7</v>
      </c>
    </row>
    <row r="545" spans="1:5" x14ac:dyDescent="0.25">
      <c r="A545" s="3">
        <f t="shared" si="25"/>
        <v>78989</v>
      </c>
      <c r="B545" t="str">
        <f ca="1">TEXT(DATE(YEAR(Invoer!$A$5),1,1)+INT((ROWS(B$2:B545)-1)/24),"""18""jjmmdd")</f>
        <v>18980123</v>
      </c>
      <c r="C545" s="11" t="str">
        <f>INDEX(Data,2,2+MOD(ROWS(C$2:C545)-1,24))</f>
        <v>16.00</v>
      </c>
      <c r="D545" s="8" t="str">
        <f t="shared" ca="1" si="26"/>
        <v>—</v>
      </c>
      <c r="E545" s="16">
        <f t="shared" ca="1" si="27"/>
        <v>7</v>
      </c>
    </row>
    <row r="546" spans="1:5" x14ac:dyDescent="0.25">
      <c r="A546" s="3">
        <f t="shared" si="25"/>
        <v>78989</v>
      </c>
      <c r="B546" t="str">
        <f ca="1">TEXT(DATE(YEAR(Invoer!$A$5),1,1)+INT((ROWS(B$2:B546)-1)/24),"""18""jjmmdd")</f>
        <v>18980123</v>
      </c>
      <c r="C546" s="11" t="str">
        <f>INDEX(Data,2,2+MOD(ROWS(C$2:C546)-1,24))</f>
        <v>17.00</v>
      </c>
      <c r="D546" s="8" t="str">
        <f t="shared" ca="1" si="26"/>
        <v>—</v>
      </c>
      <c r="E546" s="16">
        <f t="shared" ca="1" si="27"/>
        <v>7</v>
      </c>
    </row>
    <row r="547" spans="1:5" x14ac:dyDescent="0.25">
      <c r="A547" s="3">
        <f t="shared" si="25"/>
        <v>78989</v>
      </c>
      <c r="B547" t="str">
        <f ca="1">TEXT(DATE(YEAR(Invoer!$A$5),1,1)+INT((ROWS(B$2:B547)-1)/24),"""18""jjmmdd")</f>
        <v>18980123</v>
      </c>
      <c r="C547" s="11" t="str">
        <f>INDEX(Data,2,2+MOD(ROWS(C$2:C547)-1,24))</f>
        <v>18.00</v>
      </c>
      <c r="D547" s="8" t="str">
        <f t="shared" ca="1" si="26"/>
        <v>—</v>
      </c>
      <c r="E547" s="16">
        <f t="shared" ca="1" si="27"/>
        <v>7</v>
      </c>
    </row>
    <row r="548" spans="1:5" x14ac:dyDescent="0.25">
      <c r="A548" s="3">
        <f t="shared" si="25"/>
        <v>78989</v>
      </c>
      <c r="B548" t="str">
        <f ca="1">TEXT(DATE(YEAR(Invoer!$A$5),1,1)+INT((ROWS(B$2:B548)-1)/24),"""18""jjmmdd")</f>
        <v>18980123</v>
      </c>
      <c r="C548" s="11" t="str">
        <f>INDEX(Data,2,2+MOD(ROWS(C$2:C548)-1,24))</f>
        <v>19.00</v>
      </c>
      <c r="D548" s="8" t="str">
        <f t="shared" ca="1" si="26"/>
        <v>—</v>
      </c>
      <c r="E548" s="16">
        <f t="shared" ca="1" si="27"/>
        <v>7</v>
      </c>
    </row>
    <row r="549" spans="1:5" x14ac:dyDescent="0.25">
      <c r="A549" s="3">
        <f t="shared" si="25"/>
        <v>78989</v>
      </c>
      <c r="B549" t="str">
        <f ca="1">TEXT(DATE(YEAR(Invoer!$A$5),1,1)+INT((ROWS(B$2:B549)-1)/24),"""18""jjmmdd")</f>
        <v>18980123</v>
      </c>
      <c r="C549" s="11" t="str">
        <f>INDEX(Data,2,2+MOD(ROWS(C$2:C549)-1,24))</f>
        <v>20.00</v>
      </c>
      <c r="D549" s="8" t="str">
        <f t="shared" ca="1" si="26"/>
        <v>—</v>
      </c>
      <c r="E549" s="16">
        <f t="shared" ca="1" si="27"/>
        <v>7</v>
      </c>
    </row>
    <row r="550" spans="1:5" x14ac:dyDescent="0.25">
      <c r="A550" s="3">
        <f t="shared" si="25"/>
        <v>78989</v>
      </c>
      <c r="B550" t="str">
        <f ca="1">TEXT(DATE(YEAR(Invoer!$A$5),1,1)+INT((ROWS(B$2:B550)-1)/24),"""18""jjmmdd")</f>
        <v>18980123</v>
      </c>
      <c r="C550" s="11" t="str">
        <f>INDEX(Data,2,2+MOD(ROWS(C$2:C550)-1,24))</f>
        <v>21.00</v>
      </c>
      <c r="D550" s="8" t="str">
        <f t="shared" ca="1" si="26"/>
        <v>—</v>
      </c>
      <c r="E550" s="16">
        <f t="shared" ca="1" si="27"/>
        <v>7</v>
      </c>
    </row>
    <row r="551" spans="1:5" x14ac:dyDescent="0.25">
      <c r="A551" s="3">
        <f t="shared" si="25"/>
        <v>78989</v>
      </c>
      <c r="B551" t="str">
        <f ca="1">TEXT(DATE(YEAR(Invoer!$A$5),1,1)+INT((ROWS(B$2:B551)-1)/24),"""18""jjmmdd")</f>
        <v>18980123</v>
      </c>
      <c r="C551" s="11" t="str">
        <f>INDEX(Data,2,2+MOD(ROWS(C$2:C551)-1,24))</f>
        <v>22.00</v>
      </c>
      <c r="D551" s="8" t="str">
        <f t="shared" ca="1" si="26"/>
        <v>—</v>
      </c>
      <c r="E551" s="16">
        <f t="shared" ca="1" si="27"/>
        <v>7</v>
      </c>
    </row>
    <row r="552" spans="1:5" x14ac:dyDescent="0.25">
      <c r="A552" s="3">
        <f t="shared" si="25"/>
        <v>78989</v>
      </c>
      <c r="B552" t="str">
        <f ca="1">TEXT(DATE(YEAR(Invoer!$A$5),1,1)+INT((ROWS(B$2:B552)-1)/24),"""18""jjmmdd")</f>
        <v>18980123</v>
      </c>
      <c r="C552" s="11" t="str">
        <f>INDEX(Data,2,2+MOD(ROWS(C$2:C552)-1,24))</f>
        <v>23.00</v>
      </c>
      <c r="D552" s="8" t="str">
        <f t="shared" ca="1" si="26"/>
        <v>—</v>
      </c>
      <c r="E552" s="16">
        <f t="shared" ca="1" si="27"/>
        <v>7</v>
      </c>
    </row>
    <row r="553" spans="1:5" x14ac:dyDescent="0.25">
      <c r="A553" s="3">
        <f t="shared" si="25"/>
        <v>78989</v>
      </c>
      <c r="B553" t="str">
        <f ca="1">TEXT(DATE(YEAR(Invoer!$A$5),1,1)+INT((ROWS(B$2:B553)-1)/24),"""18""jjmmdd")</f>
        <v>18980123</v>
      </c>
      <c r="C553" s="11" t="str">
        <f>INDEX(Data,2,2+MOD(ROWS(C$2:C553)-1,24))</f>
        <v>24.00</v>
      </c>
      <c r="D553" s="8" t="str">
        <f t="shared" ca="1" si="26"/>
        <v>—</v>
      </c>
      <c r="E553" s="16">
        <f t="shared" ca="1" si="27"/>
        <v>7</v>
      </c>
    </row>
    <row r="554" spans="1:5" x14ac:dyDescent="0.25">
      <c r="A554" s="3">
        <f t="shared" si="25"/>
        <v>78989</v>
      </c>
      <c r="B554" t="str">
        <f ca="1">TEXT(DATE(YEAR(Invoer!$A$5),1,1)+INT((ROWS(B$2:B554)-1)/24),"""18""jjmmdd")</f>
        <v>18980124</v>
      </c>
      <c r="C554" s="11" t="str">
        <f>INDEX(Data,2,2+MOD(ROWS(C$2:C554)-1,24))</f>
        <v>01.00</v>
      </c>
      <c r="D554" s="8" t="str">
        <f t="shared" ca="1" si="26"/>
        <v>—</v>
      </c>
      <c r="E554" s="16">
        <f t="shared" ca="1" si="27"/>
        <v>7</v>
      </c>
    </row>
    <row r="555" spans="1:5" x14ac:dyDescent="0.25">
      <c r="A555" s="3">
        <f t="shared" si="25"/>
        <v>78989</v>
      </c>
      <c r="B555" t="str">
        <f ca="1">TEXT(DATE(YEAR(Invoer!$A$5),1,1)+INT((ROWS(B$2:B555)-1)/24),"""18""jjmmdd")</f>
        <v>18980124</v>
      </c>
      <c r="C555" s="11" t="str">
        <f>INDEX(Data,2,2+MOD(ROWS(C$2:C555)-1,24))</f>
        <v>02.00</v>
      </c>
      <c r="D555" s="8" t="str">
        <f t="shared" ca="1" si="26"/>
        <v>—</v>
      </c>
      <c r="E555" s="16">
        <f t="shared" ca="1" si="27"/>
        <v>7</v>
      </c>
    </row>
    <row r="556" spans="1:5" x14ac:dyDescent="0.25">
      <c r="A556" s="3">
        <f t="shared" si="25"/>
        <v>78989</v>
      </c>
      <c r="B556" t="str">
        <f ca="1">TEXT(DATE(YEAR(Invoer!$A$5),1,1)+INT((ROWS(B$2:B556)-1)/24),"""18""jjmmdd")</f>
        <v>18980124</v>
      </c>
      <c r="C556" s="11" t="str">
        <f>INDEX(Data,2,2+MOD(ROWS(C$2:C556)-1,24))</f>
        <v>03.00</v>
      </c>
      <c r="D556" s="8" t="str">
        <f t="shared" ca="1" si="26"/>
        <v>—</v>
      </c>
      <c r="E556" s="16">
        <f t="shared" ca="1" si="27"/>
        <v>7</v>
      </c>
    </row>
    <row r="557" spans="1:5" x14ac:dyDescent="0.25">
      <c r="A557" s="3">
        <f t="shared" si="25"/>
        <v>78989</v>
      </c>
      <c r="B557" t="str">
        <f ca="1">TEXT(DATE(YEAR(Invoer!$A$5),1,1)+INT((ROWS(B$2:B557)-1)/24),"""18""jjmmdd")</f>
        <v>18980124</v>
      </c>
      <c r="C557" s="11" t="str">
        <f>INDEX(Data,2,2+MOD(ROWS(C$2:C557)-1,24))</f>
        <v>04.00</v>
      </c>
      <c r="D557" s="8" t="str">
        <f t="shared" ca="1" si="26"/>
        <v>—</v>
      </c>
      <c r="E557" s="16">
        <f t="shared" ca="1" si="27"/>
        <v>7</v>
      </c>
    </row>
    <row r="558" spans="1:5" x14ac:dyDescent="0.25">
      <c r="A558" s="3">
        <f t="shared" si="25"/>
        <v>78989</v>
      </c>
      <c r="B558" t="str">
        <f ca="1">TEXT(DATE(YEAR(Invoer!$A$5),1,1)+INT((ROWS(B$2:B558)-1)/24),"""18""jjmmdd")</f>
        <v>18980124</v>
      </c>
      <c r="C558" s="11" t="str">
        <f>INDEX(Data,2,2+MOD(ROWS(C$2:C558)-1,24))</f>
        <v>05.00</v>
      </c>
      <c r="D558" s="8" t="str">
        <f t="shared" ca="1" si="26"/>
        <v>—</v>
      </c>
      <c r="E558" s="16">
        <f t="shared" ca="1" si="27"/>
        <v>7</v>
      </c>
    </row>
    <row r="559" spans="1:5" x14ac:dyDescent="0.25">
      <c r="A559" s="3">
        <f t="shared" si="25"/>
        <v>78989</v>
      </c>
      <c r="B559" t="str">
        <f ca="1">TEXT(DATE(YEAR(Invoer!$A$5),1,1)+INT((ROWS(B$2:B559)-1)/24),"""18""jjmmdd")</f>
        <v>18980124</v>
      </c>
      <c r="C559" s="11" t="str">
        <f>INDEX(Data,2,2+MOD(ROWS(C$2:C559)-1,24))</f>
        <v>06.00</v>
      </c>
      <c r="D559" s="8" t="str">
        <f t="shared" ca="1" si="26"/>
        <v>—</v>
      </c>
      <c r="E559" s="16">
        <f t="shared" ca="1" si="27"/>
        <v>7</v>
      </c>
    </row>
    <row r="560" spans="1:5" x14ac:dyDescent="0.25">
      <c r="A560" s="3">
        <f t="shared" si="25"/>
        <v>78989</v>
      </c>
      <c r="B560" t="str">
        <f ca="1">TEXT(DATE(YEAR(Invoer!$A$5),1,1)+INT((ROWS(B$2:B560)-1)/24),"""18""jjmmdd")</f>
        <v>18980124</v>
      </c>
      <c r="C560" s="11" t="str">
        <f>INDEX(Data,2,2+MOD(ROWS(C$2:C560)-1,24))</f>
        <v>07.00</v>
      </c>
      <c r="D560" s="8" t="str">
        <f t="shared" ca="1" si="26"/>
        <v>—</v>
      </c>
      <c r="E560" s="16">
        <f t="shared" ca="1" si="27"/>
        <v>7</v>
      </c>
    </row>
    <row r="561" spans="1:5" x14ac:dyDescent="0.25">
      <c r="A561" s="3">
        <f t="shared" si="25"/>
        <v>78989</v>
      </c>
      <c r="B561" t="str">
        <f ca="1">TEXT(DATE(YEAR(Invoer!$A$5),1,1)+INT((ROWS(B$2:B561)-1)/24),"""18""jjmmdd")</f>
        <v>18980124</v>
      </c>
      <c r="C561" s="11" t="str">
        <f>INDEX(Data,2,2+MOD(ROWS(C$2:C561)-1,24))</f>
        <v>08.00</v>
      </c>
      <c r="D561" s="8" t="str">
        <f t="shared" ca="1" si="26"/>
        <v>—</v>
      </c>
      <c r="E561" s="16">
        <f t="shared" ca="1" si="27"/>
        <v>7</v>
      </c>
    </row>
    <row r="562" spans="1:5" x14ac:dyDescent="0.25">
      <c r="A562" s="3">
        <f t="shared" si="25"/>
        <v>78989</v>
      </c>
      <c r="B562" t="str">
        <f ca="1">TEXT(DATE(YEAR(Invoer!$A$5),1,1)+INT((ROWS(B$2:B562)-1)/24),"""18""jjmmdd")</f>
        <v>18980124</v>
      </c>
      <c r="C562" s="11" t="str">
        <f>INDEX(Data,2,2+MOD(ROWS(C$2:C562)-1,24))</f>
        <v>09.00</v>
      </c>
      <c r="D562" s="8" t="str">
        <f t="shared" ca="1" si="26"/>
        <v>—</v>
      </c>
      <c r="E562" s="16">
        <f t="shared" ca="1" si="27"/>
        <v>7</v>
      </c>
    </row>
    <row r="563" spans="1:5" x14ac:dyDescent="0.25">
      <c r="A563" s="3">
        <f t="shared" si="25"/>
        <v>78989</v>
      </c>
      <c r="B563" t="str">
        <f ca="1">TEXT(DATE(YEAR(Invoer!$A$5),1,1)+INT((ROWS(B$2:B563)-1)/24),"""18""jjmmdd")</f>
        <v>18980124</v>
      </c>
      <c r="C563" s="11" t="str">
        <f>INDEX(Data,2,2+MOD(ROWS(C$2:C563)-1,24))</f>
        <v>10.00</v>
      </c>
      <c r="D563" s="8" t="str">
        <f t="shared" ca="1" si="26"/>
        <v>—</v>
      </c>
      <c r="E563" s="16">
        <f t="shared" ca="1" si="27"/>
        <v>7</v>
      </c>
    </row>
    <row r="564" spans="1:5" x14ac:dyDescent="0.25">
      <c r="A564" s="3">
        <f t="shared" si="25"/>
        <v>78989</v>
      </c>
      <c r="B564" t="str">
        <f ca="1">TEXT(DATE(YEAR(Invoer!$A$5),1,1)+INT((ROWS(B$2:B564)-1)/24),"""18""jjmmdd")</f>
        <v>18980124</v>
      </c>
      <c r="C564" s="11" t="str">
        <f>INDEX(Data,2,2+MOD(ROWS(C$2:C564)-1,24))</f>
        <v>11.00</v>
      </c>
      <c r="D564" s="8" t="str">
        <f t="shared" ca="1" si="26"/>
        <v>—</v>
      </c>
      <c r="E564" s="16">
        <f t="shared" ca="1" si="27"/>
        <v>7</v>
      </c>
    </row>
    <row r="565" spans="1:5" x14ac:dyDescent="0.25">
      <c r="A565" s="3">
        <f t="shared" si="25"/>
        <v>78989</v>
      </c>
      <c r="B565" t="str">
        <f ca="1">TEXT(DATE(YEAR(Invoer!$A$5),1,1)+INT((ROWS(B$2:B565)-1)/24),"""18""jjmmdd")</f>
        <v>18980124</v>
      </c>
      <c r="C565" s="11" t="str">
        <f>INDEX(Data,2,2+MOD(ROWS(C$2:C565)-1,24))</f>
        <v>12.00</v>
      </c>
      <c r="D565" s="8" t="str">
        <f t="shared" ca="1" si="26"/>
        <v>—</v>
      </c>
      <c r="E565" s="16">
        <f t="shared" ca="1" si="27"/>
        <v>7</v>
      </c>
    </row>
    <row r="566" spans="1:5" x14ac:dyDescent="0.25">
      <c r="A566" s="3">
        <f t="shared" si="25"/>
        <v>78989</v>
      </c>
      <c r="B566" t="str">
        <f ca="1">TEXT(DATE(YEAR(Invoer!$A$5),1,1)+INT((ROWS(B$2:B566)-1)/24),"""18""jjmmdd")</f>
        <v>18980124</v>
      </c>
      <c r="C566" s="11" t="str">
        <f>INDEX(Data,2,2+MOD(ROWS(C$2:C566)-1,24))</f>
        <v>13.00</v>
      </c>
      <c r="D566" s="8" t="str">
        <f t="shared" ca="1" si="26"/>
        <v>—</v>
      </c>
      <c r="E566" s="16">
        <f t="shared" ca="1" si="27"/>
        <v>7</v>
      </c>
    </row>
    <row r="567" spans="1:5" x14ac:dyDescent="0.25">
      <c r="A567" s="3">
        <f t="shared" si="25"/>
        <v>78989</v>
      </c>
      <c r="B567" t="str">
        <f ca="1">TEXT(DATE(YEAR(Invoer!$A$5),1,1)+INT((ROWS(B$2:B567)-1)/24),"""18""jjmmdd")</f>
        <v>18980124</v>
      </c>
      <c r="C567" s="11" t="str">
        <f>INDEX(Data,2,2+MOD(ROWS(C$2:C567)-1,24))</f>
        <v>14.00</v>
      </c>
      <c r="D567" s="8" t="str">
        <f t="shared" ca="1" si="26"/>
        <v>—</v>
      </c>
      <c r="E567" s="16">
        <f t="shared" ca="1" si="27"/>
        <v>7</v>
      </c>
    </row>
    <row r="568" spans="1:5" x14ac:dyDescent="0.25">
      <c r="A568" s="3">
        <f t="shared" si="25"/>
        <v>78989</v>
      </c>
      <c r="B568" t="str">
        <f ca="1">TEXT(DATE(YEAR(Invoer!$A$5),1,1)+INT((ROWS(B$2:B568)-1)/24),"""18""jjmmdd")</f>
        <v>18980124</v>
      </c>
      <c r="C568" s="11" t="str">
        <f>INDEX(Data,2,2+MOD(ROWS(C$2:C568)-1,24))</f>
        <v>15.00</v>
      </c>
      <c r="D568" s="8" t="str">
        <f t="shared" ca="1" si="26"/>
        <v>—</v>
      </c>
      <c r="E568" s="16">
        <f t="shared" ca="1" si="27"/>
        <v>7</v>
      </c>
    </row>
    <row r="569" spans="1:5" x14ac:dyDescent="0.25">
      <c r="A569" s="3">
        <f t="shared" si="25"/>
        <v>78989</v>
      </c>
      <c r="B569" t="str">
        <f ca="1">TEXT(DATE(YEAR(Invoer!$A$5),1,1)+INT((ROWS(B$2:B569)-1)/24),"""18""jjmmdd")</f>
        <v>18980124</v>
      </c>
      <c r="C569" s="11" t="str">
        <f>INDEX(Data,2,2+MOD(ROWS(C$2:C569)-1,24))</f>
        <v>16.00</v>
      </c>
      <c r="D569" s="8" t="str">
        <f t="shared" ca="1" si="26"/>
        <v>—</v>
      </c>
      <c r="E569" s="16">
        <f t="shared" ca="1" si="27"/>
        <v>7</v>
      </c>
    </row>
    <row r="570" spans="1:5" x14ac:dyDescent="0.25">
      <c r="A570" s="3">
        <f t="shared" si="25"/>
        <v>78989</v>
      </c>
      <c r="B570" t="str">
        <f ca="1">TEXT(DATE(YEAR(Invoer!$A$5),1,1)+INT((ROWS(B$2:B570)-1)/24),"""18""jjmmdd")</f>
        <v>18980124</v>
      </c>
      <c r="C570" s="11" t="str">
        <f>INDEX(Data,2,2+MOD(ROWS(C$2:C570)-1,24))</f>
        <v>17.00</v>
      </c>
      <c r="D570" s="8" t="str">
        <f t="shared" ca="1" si="26"/>
        <v>—</v>
      </c>
      <c r="E570" s="16">
        <f t="shared" ca="1" si="27"/>
        <v>7</v>
      </c>
    </row>
    <row r="571" spans="1:5" x14ac:dyDescent="0.25">
      <c r="A571" s="3">
        <f t="shared" si="25"/>
        <v>78989</v>
      </c>
      <c r="B571" t="str">
        <f ca="1">TEXT(DATE(YEAR(Invoer!$A$5),1,1)+INT((ROWS(B$2:B571)-1)/24),"""18""jjmmdd")</f>
        <v>18980124</v>
      </c>
      <c r="C571" s="11" t="str">
        <f>INDEX(Data,2,2+MOD(ROWS(C$2:C571)-1,24))</f>
        <v>18.00</v>
      </c>
      <c r="D571" s="8" t="str">
        <f t="shared" ca="1" si="26"/>
        <v>—</v>
      </c>
      <c r="E571" s="16">
        <f t="shared" ca="1" si="27"/>
        <v>7</v>
      </c>
    </row>
    <row r="572" spans="1:5" x14ac:dyDescent="0.25">
      <c r="A572" s="3">
        <f t="shared" si="25"/>
        <v>78989</v>
      </c>
      <c r="B572" t="str">
        <f ca="1">TEXT(DATE(YEAR(Invoer!$A$5),1,1)+INT((ROWS(B$2:B572)-1)/24),"""18""jjmmdd")</f>
        <v>18980124</v>
      </c>
      <c r="C572" s="11" t="str">
        <f>INDEX(Data,2,2+MOD(ROWS(C$2:C572)-1,24))</f>
        <v>19.00</v>
      </c>
      <c r="D572" s="8" t="str">
        <f t="shared" ca="1" si="26"/>
        <v>—</v>
      </c>
      <c r="E572" s="16">
        <f t="shared" ca="1" si="27"/>
        <v>7</v>
      </c>
    </row>
    <row r="573" spans="1:5" x14ac:dyDescent="0.25">
      <c r="A573" s="3">
        <f t="shared" si="25"/>
        <v>78989</v>
      </c>
      <c r="B573" t="str">
        <f ca="1">TEXT(DATE(YEAR(Invoer!$A$5),1,1)+INT((ROWS(B$2:B573)-1)/24),"""18""jjmmdd")</f>
        <v>18980124</v>
      </c>
      <c r="C573" s="11" t="str">
        <f>INDEX(Data,2,2+MOD(ROWS(C$2:C573)-1,24))</f>
        <v>20.00</v>
      </c>
      <c r="D573" s="8" t="str">
        <f t="shared" ca="1" si="26"/>
        <v>—</v>
      </c>
      <c r="E573" s="16">
        <f t="shared" ca="1" si="27"/>
        <v>7</v>
      </c>
    </row>
    <row r="574" spans="1:5" x14ac:dyDescent="0.25">
      <c r="A574" s="3">
        <f t="shared" si="25"/>
        <v>78989</v>
      </c>
      <c r="B574" t="str">
        <f ca="1">TEXT(DATE(YEAR(Invoer!$A$5),1,1)+INT((ROWS(B$2:B574)-1)/24),"""18""jjmmdd")</f>
        <v>18980124</v>
      </c>
      <c r="C574" s="11" t="str">
        <f>INDEX(Data,2,2+MOD(ROWS(C$2:C574)-1,24))</f>
        <v>21.00</v>
      </c>
      <c r="D574" s="8" t="str">
        <f t="shared" ca="1" si="26"/>
        <v>—</v>
      </c>
      <c r="E574" s="16">
        <f t="shared" ca="1" si="27"/>
        <v>7</v>
      </c>
    </row>
    <row r="575" spans="1:5" x14ac:dyDescent="0.25">
      <c r="A575" s="3">
        <f t="shared" si="25"/>
        <v>78989</v>
      </c>
      <c r="B575" t="str">
        <f ca="1">TEXT(DATE(YEAR(Invoer!$A$5),1,1)+INT((ROWS(B$2:B575)-1)/24),"""18""jjmmdd")</f>
        <v>18980124</v>
      </c>
      <c r="C575" s="11" t="str">
        <f>INDEX(Data,2,2+MOD(ROWS(C$2:C575)-1,24))</f>
        <v>22.00</v>
      </c>
      <c r="D575" s="8" t="str">
        <f t="shared" ca="1" si="26"/>
        <v>—</v>
      </c>
      <c r="E575" s="16">
        <f t="shared" ca="1" si="27"/>
        <v>7</v>
      </c>
    </row>
    <row r="576" spans="1:5" x14ac:dyDescent="0.25">
      <c r="A576" s="3">
        <f t="shared" si="25"/>
        <v>78989</v>
      </c>
      <c r="B576" t="str">
        <f ca="1">TEXT(DATE(YEAR(Invoer!$A$5),1,1)+INT((ROWS(B$2:B576)-1)/24),"""18""jjmmdd")</f>
        <v>18980124</v>
      </c>
      <c r="C576" s="11" t="str">
        <f>INDEX(Data,2,2+MOD(ROWS(C$2:C576)-1,24))</f>
        <v>23.00</v>
      </c>
      <c r="D576" s="8" t="str">
        <f t="shared" ca="1" si="26"/>
        <v>—</v>
      </c>
      <c r="E576" s="16">
        <f t="shared" ca="1" si="27"/>
        <v>7</v>
      </c>
    </row>
    <row r="577" spans="1:5" x14ac:dyDescent="0.25">
      <c r="A577" s="3">
        <f t="shared" si="25"/>
        <v>78989</v>
      </c>
      <c r="B577" t="str">
        <f ca="1">TEXT(DATE(YEAR(Invoer!$A$5),1,1)+INT((ROWS(B$2:B577)-1)/24),"""18""jjmmdd")</f>
        <v>18980124</v>
      </c>
      <c r="C577" s="11" t="str">
        <f>INDEX(Data,2,2+MOD(ROWS(C$2:C577)-1,24))</f>
        <v>24.00</v>
      </c>
      <c r="D577" s="8" t="str">
        <f t="shared" ca="1" si="26"/>
        <v>—</v>
      </c>
      <c r="E577" s="16">
        <f t="shared" ca="1" si="27"/>
        <v>7</v>
      </c>
    </row>
    <row r="578" spans="1:5" x14ac:dyDescent="0.25">
      <c r="A578" s="3">
        <f t="shared" ref="A578:A641" si="28">INDEX(Stations,2,1)</f>
        <v>78989</v>
      </c>
      <c r="B578" t="str">
        <f ca="1">TEXT(DATE(YEAR(Invoer!$A$5),1,1)+INT((ROWS(B$2:B578)-1)/24),"""18""jjmmdd")</f>
        <v>18980125</v>
      </c>
      <c r="C578" s="11" t="str">
        <f>INDEX(Data,2,2+MOD(ROWS(C$2:C578)-1,24))</f>
        <v>01.00</v>
      </c>
      <c r="D578" s="8" t="str">
        <f t="shared" ref="D578:D641" ca="1" si="29">IF(OR(ISBLANK(VLOOKUP(DATEVALUE("37"&amp;MID($B578,3,2)&amp;"-"&amp;MID($B578,5,2)&amp;"-"&amp;RIGHT($B578,2)),Data,MATCH(LEFT(VLOOKUP(D$1,Parameters,2,FALSE()),4)&amp;"*",OFFSET(Data,0,0,1),0)+MATCH($C578,OFFSET(Data,1,0,1),0)-2,FALSE())),ISTEXT(VLOOKUP(DATEVALUE("37"&amp;MID($B578,3,2)&amp;"-"&amp;MID($B578,5,2)&amp;"-"&amp;RIGHT($B578,2)),Data,MATCH(LEFT(VLOOKUP(D$1,Parameters,2,FALSE()),4)&amp;"*",OFFSET(Data,0,0,1),0)+MATCH($C578,OFFSET(Data,1,0,1),0)-2,FALSE()))),"—",VLOOKUP(DATEVALUE("37"&amp;MID($B578,3,2)&amp;"-"&amp;MID($B578,5,2)&amp;"-"&amp;RIGHT($B578,2)),Data,MATCH(LEFT(VLOOKUP(D$1,Parameters,2,FALSE()),4)&amp;"*",OFFSET(Data,0,0,1),0)+MATCH($C578,OFFSET(Data,1,0,1),0)-2,FALSE()))</f>
        <v>—</v>
      </c>
      <c r="E578" s="16">
        <f t="shared" ca="1" si="27"/>
        <v>7</v>
      </c>
    </row>
    <row r="579" spans="1:5" x14ac:dyDescent="0.25">
      <c r="A579" s="3">
        <f t="shared" si="28"/>
        <v>78989</v>
      </c>
      <c r="B579" t="str">
        <f ca="1">TEXT(DATE(YEAR(Invoer!$A$5),1,1)+INT((ROWS(B$2:B579)-1)/24),"""18""jjmmdd")</f>
        <v>18980125</v>
      </c>
      <c r="C579" s="11" t="str">
        <f>INDEX(Data,2,2+MOD(ROWS(C$2:C579)-1,24))</f>
        <v>02.00</v>
      </c>
      <c r="D579" s="8" t="str">
        <f t="shared" ca="1" si="29"/>
        <v>—</v>
      </c>
      <c r="E579" s="16">
        <f t="shared" ref="E579:E642" ca="1" si="30">IF(OR(ISBLANK(VLOOKUP(DATEVALUE("37"&amp;MID($B579,3,2)&amp;"-"&amp;MID($B579,5,2)&amp;"-"&amp;RIGHT($B579,2)),Data,MATCH(LEFT(VLOOKUP(D$1,Parameters,2,FALSE()),4)&amp;"*",OFFSET(Data,0,0,1),0)+MATCH($C579,OFFSET(Data,1,0,1),0)-2,FALSE())),ISTEXT(VLOOKUP(DATEVALUE("37"&amp;MID($B579,3,2)&amp;"-"&amp;MID($B579,5,2)&amp;"-"&amp;RIGHT($B579,2)),Data,MATCH(LEFT(VLOOKUP(D$1,Parameters,2,FALSE()),4)&amp;"*",OFFSET(Data,0,0,1),0)+MATCH($C579,OFFSET(Data,1,0,1),0)-2,FALSE()))),Lacking,IF(ISNA(MATCH(DATEVALUE("37"&amp;MID($B579,3,2)&amp;"-"&amp;MID($B579,5,2)&amp;"-"&amp;RIGHT($B579,2)),OFFSET(Catalogus,0,0,,1),0)),Ok,VLOOKUP(DATEVALUE("37"&amp;MID($B579,3,2)&amp;"-"&amp;MID($B579,5,2)&amp;"-"&amp;RIGHT($B579,2)),Catalogus,MATCH(LEFT(VLOOKUP(MID(E$1,2,LEN(E$1)-1),Parameters,2,FALSE()),4)&amp;"*",OFFSET(Catalogus,0,0,1),0)+MATCH($C579,OFFSET(Catalogus,1,0,1),0)-2,FALSE())))</f>
        <v>7</v>
      </c>
    </row>
    <row r="580" spans="1:5" x14ac:dyDescent="0.25">
      <c r="A580" s="3">
        <f t="shared" si="28"/>
        <v>78989</v>
      </c>
      <c r="B580" t="str">
        <f ca="1">TEXT(DATE(YEAR(Invoer!$A$5),1,1)+INT((ROWS(B$2:B580)-1)/24),"""18""jjmmdd")</f>
        <v>18980125</v>
      </c>
      <c r="C580" s="11" t="str">
        <f>INDEX(Data,2,2+MOD(ROWS(C$2:C580)-1,24))</f>
        <v>03.00</v>
      </c>
      <c r="D580" s="8" t="str">
        <f t="shared" ca="1" si="29"/>
        <v>—</v>
      </c>
      <c r="E580" s="16">
        <f t="shared" ca="1" si="30"/>
        <v>7</v>
      </c>
    </row>
    <row r="581" spans="1:5" x14ac:dyDescent="0.25">
      <c r="A581" s="3">
        <f t="shared" si="28"/>
        <v>78989</v>
      </c>
      <c r="B581" t="str">
        <f ca="1">TEXT(DATE(YEAR(Invoer!$A$5),1,1)+INT((ROWS(B$2:B581)-1)/24),"""18""jjmmdd")</f>
        <v>18980125</v>
      </c>
      <c r="C581" s="11" t="str">
        <f>INDEX(Data,2,2+MOD(ROWS(C$2:C581)-1,24))</f>
        <v>04.00</v>
      </c>
      <c r="D581" s="8" t="str">
        <f t="shared" ca="1" si="29"/>
        <v>—</v>
      </c>
      <c r="E581" s="16">
        <f t="shared" ca="1" si="30"/>
        <v>7</v>
      </c>
    </row>
    <row r="582" spans="1:5" x14ac:dyDescent="0.25">
      <c r="A582" s="3">
        <f t="shared" si="28"/>
        <v>78989</v>
      </c>
      <c r="B582" t="str">
        <f ca="1">TEXT(DATE(YEAR(Invoer!$A$5),1,1)+INT((ROWS(B$2:B582)-1)/24),"""18""jjmmdd")</f>
        <v>18980125</v>
      </c>
      <c r="C582" s="11" t="str">
        <f>INDEX(Data,2,2+MOD(ROWS(C$2:C582)-1,24))</f>
        <v>05.00</v>
      </c>
      <c r="D582" s="8" t="str">
        <f t="shared" ca="1" si="29"/>
        <v>—</v>
      </c>
      <c r="E582" s="16">
        <f t="shared" ca="1" si="30"/>
        <v>7</v>
      </c>
    </row>
    <row r="583" spans="1:5" x14ac:dyDescent="0.25">
      <c r="A583" s="3">
        <f t="shared" si="28"/>
        <v>78989</v>
      </c>
      <c r="B583" t="str">
        <f ca="1">TEXT(DATE(YEAR(Invoer!$A$5),1,1)+INT((ROWS(B$2:B583)-1)/24),"""18""jjmmdd")</f>
        <v>18980125</v>
      </c>
      <c r="C583" s="11" t="str">
        <f>INDEX(Data,2,2+MOD(ROWS(C$2:C583)-1,24))</f>
        <v>06.00</v>
      </c>
      <c r="D583" s="8" t="str">
        <f t="shared" ca="1" si="29"/>
        <v>—</v>
      </c>
      <c r="E583" s="16">
        <f t="shared" ca="1" si="30"/>
        <v>7</v>
      </c>
    </row>
    <row r="584" spans="1:5" x14ac:dyDescent="0.25">
      <c r="A584" s="3">
        <f t="shared" si="28"/>
        <v>78989</v>
      </c>
      <c r="B584" t="str">
        <f ca="1">TEXT(DATE(YEAR(Invoer!$A$5),1,1)+INT((ROWS(B$2:B584)-1)/24),"""18""jjmmdd")</f>
        <v>18980125</v>
      </c>
      <c r="C584" s="11" t="str">
        <f>INDEX(Data,2,2+MOD(ROWS(C$2:C584)-1,24))</f>
        <v>07.00</v>
      </c>
      <c r="D584" s="8" t="str">
        <f t="shared" ca="1" si="29"/>
        <v>—</v>
      </c>
      <c r="E584" s="16">
        <f t="shared" ca="1" si="30"/>
        <v>7</v>
      </c>
    </row>
    <row r="585" spans="1:5" x14ac:dyDescent="0.25">
      <c r="A585" s="3">
        <f t="shared" si="28"/>
        <v>78989</v>
      </c>
      <c r="B585" t="str">
        <f ca="1">TEXT(DATE(YEAR(Invoer!$A$5),1,1)+INT((ROWS(B$2:B585)-1)/24),"""18""jjmmdd")</f>
        <v>18980125</v>
      </c>
      <c r="C585" s="11" t="str">
        <f>INDEX(Data,2,2+MOD(ROWS(C$2:C585)-1,24))</f>
        <v>08.00</v>
      </c>
      <c r="D585" s="8" t="str">
        <f t="shared" ca="1" si="29"/>
        <v>—</v>
      </c>
      <c r="E585" s="16">
        <f t="shared" ca="1" si="30"/>
        <v>7</v>
      </c>
    </row>
    <row r="586" spans="1:5" x14ac:dyDescent="0.25">
      <c r="A586" s="3">
        <f t="shared" si="28"/>
        <v>78989</v>
      </c>
      <c r="B586" t="str">
        <f ca="1">TEXT(DATE(YEAR(Invoer!$A$5),1,1)+INT((ROWS(B$2:B586)-1)/24),"""18""jjmmdd")</f>
        <v>18980125</v>
      </c>
      <c r="C586" s="11" t="str">
        <f>INDEX(Data,2,2+MOD(ROWS(C$2:C586)-1,24))</f>
        <v>09.00</v>
      </c>
      <c r="D586" s="8" t="str">
        <f t="shared" ca="1" si="29"/>
        <v>—</v>
      </c>
      <c r="E586" s="16">
        <f t="shared" ca="1" si="30"/>
        <v>7</v>
      </c>
    </row>
    <row r="587" spans="1:5" x14ac:dyDescent="0.25">
      <c r="A587" s="3">
        <f t="shared" si="28"/>
        <v>78989</v>
      </c>
      <c r="B587" t="str">
        <f ca="1">TEXT(DATE(YEAR(Invoer!$A$5),1,1)+INT((ROWS(B$2:B587)-1)/24),"""18""jjmmdd")</f>
        <v>18980125</v>
      </c>
      <c r="C587" s="11" t="str">
        <f>INDEX(Data,2,2+MOD(ROWS(C$2:C587)-1,24))</f>
        <v>10.00</v>
      </c>
      <c r="D587" s="8" t="str">
        <f t="shared" ca="1" si="29"/>
        <v>—</v>
      </c>
      <c r="E587" s="16">
        <f t="shared" ca="1" si="30"/>
        <v>7</v>
      </c>
    </row>
    <row r="588" spans="1:5" x14ac:dyDescent="0.25">
      <c r="A588" s="3">
        <f t="shared" si="28"/>
        <v>78989</v>
      </c>
      <c r="B588" t="str">
        <f ca="1">TEXT(DATE(YEAR(Invoer!$A$5),1,1)+INT((ROWS(B$2:B588)-1)/24),"""18""jjmmdd")</f>
        <v>18980125</v>
      </c>
      <c r="C588" s="11" t="str">
        <f>INDEX(Data,2,2+MOD(ROWS(C$2:C588)-1,24))</f>
        <v>11.00</v>
      </c>
      <c r="D588" s="8" t="str">
        <f t="shared" ca="1" si="29"/>
        <v>—</v>
      </c>
      <c r="E588" s="16">
        <f t="shared" ca="1" si="30"/>
        <v>7</v>
      </c>
    </row>
    <row r="589" spans="1:5" x14ac:dyDescent="0.25">
      <c r="A589" s="3">
        <f t="shared" si="28"/>
        <v>78989</v>
      </c>
      <c r="B589" t="str">
        <f ca="1">TEXT(DATE(YEAR(Invoer!$A$5),1,1)+INT((ROWS(B$2:B589)-1)/24),"""18""jjmmdd")</f>
        <v>18980125</v>
      </c>
      <c r="C589" s="11" t="str">
        <f>INDEX(Data,2,2+MOD(ROWS(C$2:C589)-1,24))</f>
        <v>12.00</v>
      </c>
      <c r="D589" s="8" t="str">
        <f t="shared" ca="1" si="29"/>
        <v>—</v>
      </c>
      <c r="E589" s="16">
        <f t="shared" ca="1" si="30"/>
        <v>7</v>
      </c>
    </row>
    <row r="590" spans="1:5" x14ac:dyDescent="0.25">
      <c r="A590" s="3">
        <f t="shared" si="28"/>
        <v>78989</v>
      </c>
      <c r="B590" t="str">
        <f ca="1">TEXT(DATE(YEAR(Invoer!$A$5),1,1)+INT((ROWS(B$2:B590)-1)/24),"""18""jjmmdd")</f>
        <v>18980125</v>
      </c>
      <c r="C590" s="11" t="str">
        <f>INDEX(Data,2,2+MOD(ROWS(C$2:C590)-1,24))</f>
        <v>13.00</v>
      </c>
      <c r="D590" s="8" t="str">
        <f t="shared" ca="1" si="29"/>
        <v>—</v>
      </c>
      <c r="E590" s="16">
        <f t="shared" ca="1" si="30"/>
        <v>7</v>
      </c>
    </row>
    <row r="591" spans="1:5" x14ac:dyDescent="0.25">
      <c r="A591" s="3">
        <f t="shared" si="28"/>
        <v>78989</v>
      </c>
      <c r="B591" t="str">
        <f ca="1">TEXT(DATE(YEAR(Invoer!$A$5),1,1)+INT((ROWS(B$2:B591)-1)/24),"""18""jjmmdd")</f>
        <v>18980125</v>
      </c>
      <c r="C591" s="11" t="str">
        <f>INDEX(Data,2,2+MOD(ROWS(C$2:C591)-1,24))</f>
        <v>14.00</v>
      </c>
      <c r="D591" s="8" t="str">
        <f t="shared" ca="1" si="29"/>
        <v>—</v>
      </c>
      <c r="E591" s="16">
        <f t="shared" ca="1" si="30"/>
        <v>7</v>
      </c>
    </row>
    <row r="592" spans="1:5" x14ac:dyDescent="0.25">
      <c r="A592" s="3">
        <f t="shared" si="28"/>
        <v>78989</v>
      </c>
      <c r="B592" t="str">
        <f ca="1">TEXT(DATE(YEAR(Invoer!$A$5),1,1)+INT((ROWS(B$2:B592)-1)/24),"""18""jjmmdd")</f>
        <v>18980125</v>
      </c>
      <c r="C592" s="11" t="str">
        <f>INDEX(Data,2,2+MOD(ROWS(C$2:C592)-1,24))</f>
        <v>15.00</v>
      </c>
      <c r="D592" s="8" t="str">
        <f t="shared" ca="1" si="29"/>
        <v>—</v>
      </c>
      <c r="E592" s="16">
        <f t="shared" ca="1" si="30"/>
        <v>7</v>
      </c>
    </row>
    <row r="593" spans="1:5" x14ac:dyDescent="0.25">
      <c r="A593" s="3">
        <f t="shared" si="28"/>
        <v>78989</v>
      </c>
      <c r="B593" t="str">
        <f ca="1">TEXT(DATE(YEAR(Invoer!$A$5),1,1)+INT((ROWS(B$2:B593)-1)/24),"""18""jjmmdd")</f>
        <v>18980125</v>
      </c>
      <c r="C593" s="11" t="str">
        <f>INDEX(Data,2,2+MOD(ROWS(C$2:C593)-1,24))</f>
        <v>16.00</v>
      </c>
      <c r="D593" s="8" t="str">
        <f t="shared" ca="1" si="29"/>
        <v>—</v>
      </c>
      <c r="E593" s="16">
        <f t="shared" ca="1" si="30"/>
        <v>7</v>
      </c>
    </row>
    <row r="594" spans="1:5" x14ac:dyDescent="0.25">
      <c r="A594" s="3">
        <f t="shared" si="28"/>
        <v>78989</v>
      </c>
      <c r="B594" t="str">
        <f ca="1">TEXT(DATE(YEAR(Invoer!$A$5),1,1)+INT((ROWS(B$2:B594)-1)/24),"""18""jjmmdd")</f>
        <v>18980125</v>
      </c>
      <c r="C594" s="11" t="str">
        <f>INDEX(Data,2,2+MOD(ROWS(C$2:C594)-1,24))</f>
        <v>17.00</v>
      </c>
      <c r="D594" s="8" t="str">
        <f t="shared" ca="1" si="29"/>
        <v>—</v>
      </c>
      <c r="E594" s="16">
        <f t="shared" ca="1" si="30"/>
        <v>7</v>
      </c>
    </row>
    <row r="595" spans="1:5" x14ac:dyDescent="0.25">
      <c r="A595" s="3">
        <f t="shared" si="28"/>
        <v>78989</v>
      </c>
      <c r="B595" t="str">
        <f ca="1">TEXT(DATE(YEAR(Invoer!$A$5),1,1)+INT((ROWS(B$2:B595)-1)/24),"""18""jjmmdd")</f>
        <v>18980125</v>
      </c>
      <c r="C595" s="11" t="str">
        <f>INDEX(Data,2,2+MOD(ROWS(C$2:C595)-1,24))</f>
        <v>18.00</v>
      </c>
      <c r="D595" s="8" t="str">
        <f t="shared" ca="1" si="29"/>
        <v>—</v>
      </c>
      <c r="E595" s="16">
        <f t="shared" ca="1" si="30"/>
        <v>7</v>
      </c>
    </row>
    <row r="596" spans="1:5" x14ac:dyDescent="0.25">
      <c r="A596" s="3">
        <f t="shared" si="28"/>
        <v>78989</v>
      </c>
      <c r="B596" t="str">
        <f ca="1">TEXT(DATE(YEAR(Invoer!$A$5),1,1)+INT((ROWS(B$2:B596)-1)/24),"""18""jjmmdd")</f>
        <v>18980125</v>
      </c>
      <c r="C596" s="11" t="str">
        <f>INDEX(Data,2,2+MOD(ROWS(C$2:C596)-1,24))</f>
        <v>19.00</v>
      </c>
      <c r="D596" s="8" t="str">
        <f t="shared" ca="1" si="29"/>
        <v>—</v>
      </c>
      <c r="E596" s="16">
        <f t="shared" ca="1" si="30"/>
        <v>7</v>
      </c>
    </row>
    <row r="597" spans="1:5" x14ac:dyDescent="0.25">
      <c r="A597" s="3">
        <f t="shared" si="28"/>
        <v>78989</v>
      </c>
      <c r="B597" t="str">
        <f ca="1">TEXT(DATE(YEAR(Invoer!$A$5),1,1)+INT((ROWS(B$2:B597)-1)/24),"""18""jjmmdd")</f>
        <v>18980125</v>
      </c>
      <c r="C597" s="11" t="str">
        <f>INDEX(Data,2,2+MOD(ROWS(C$2:C597)-1,24))</f>
        <v>20.00</v>
      </c>
      <c r="D597" s="8" t="str">
        <f t="shared" ca="1" si="29"/>
        <v>—</v>
      </c>
      <c r="E597" s="16">
        <f t="shared" ca="1" si="30"/>
        <v>7</v>
      </c>
    </row>
    <row r="598" spans="1:5" x14ac:dyDescent="0.25">
      <c r="A598" s="3">
        <f t="shared" si="28"/>
        <v>78989</v>
      </c>
      <c r="B598" t="str">
        <f ca="1">TEXT(DATE(YEAR(Invoer!$A$5),1,1)+INT((ROWS(B$2:B598)-1)/24),"""18""jjmmdd")</f>
        <v>18980125</v>
      </c>
      <c r="C598" s="11" t="str">
        <f>INDEX(Data,2,2+MOD(ROWS(C$2:C598)-1,24))</f>
        <v>21.00</v>
      </c>
      <c r="D598" s="8" t="str">
        <f t="shared" ca="1" si="29"/>
        <v>—</v>
      </c>
      <c r="E598" s="16">
        <f t="shared" ca="1" si="30"/>
        <v>7</v>
      </c>
    </row>
    <row r="599" spans="1:5" x14ac:dyDescent="0.25">
      <c r="A599" s="3">
        <f t="shared" si="28"/>
        <v>78989</v>
      </c>
      <c r="B599" t="str">
        <f ca="1">TEXT(DATE(YEAR(Invoer!$A$5),1,1)+INT((ROWS(B$2:B599)-1)/24),"""18""jjmmdd")</f>
        <v>18980125</v>
      </c>
      <c r="C599" s="11" t="str">
        <f>INDEX(Data,2,2+MOD(ROWS(C$2:C599)-1,24))</f>
        <v>22.00</v>
      </c>
      <c r="D599" s="8" t="str">
        <f t="shared" ca="1" si="29"/>
        <v>—</v>
      </c>
      <c r="E599" s="16">
        <f t="shared" ca="1" si="30"/>
        <v>7</v>
      </c>
    </row>
    <row r="600" spans="1:5" x14ac:dyDescent="0.25">
      <c r="A600" s="3">
        <f t="shared" si="28"/>
        <v>78989</v>
      </c>
      <c r="B600" t="str">
        <f ca="1">TEXT(DATE(YEAR(Invoer!$A$5),1,1)+INT((ROWS(B$2:B600)-1)/24),"""18""jjmmdd")</f>
        <v>18980125</v>
      </c>
      <c r="C600" s="11" t="str">
        <f>INDEX(Data,2,2+MOD(ROWS(C$2:C600)-1,24))</f>
        <v>23.00</v>
      </c>
      <c r="D600" s="8" t="str">
        <f t="shared" ca="1" si="29"/>
        <v>—</v>
      </c>
      <c r="E600" s="16">
        <f t="shared" ca="1" si="30"/>
        <v>7</v>
      </c>
    </row>
    <row r="601" spans="1:5" x14ac:dyDescent="0.25">
      <c r="A601" s="3">
        <f t="shared" si="28"/>
        <v>78989</v>
      </c>
      <c r="B601" t="str">
        <f ca="1">TEXT(DATE(YEAR(Invoer!$A$5),1,1)+INT((ROWS(B$2:B601)-1)/24),"""18""jjmmdd")</f>
        <v>18980125</v>
      </c>
      <c r="C601" s="11" t="str">
        <f>INDEX(Data,2,2+MOD(ROWS(C$2:C601)-1,24))</f>
        <v>24.00</v>
      </c>
      <c r="D601" s="8" t="str">
        <f t="shared" ca="1" si="29"/>
        <v>—</v>
      </c>
      <c r="E601" s="16">
        <f t="shared" ca="1" si="30"/>
        <v>7</v>
      </c>
    </row>
    <row r="602" spans="1:5" x14ac:dyDescent="0.25">
      <c r="A602" s="3">
        <f t="shared" si="28"/>
        <v>78989</v>
      </c>
      <c r="B602" t="str">
        <f ca="1">TEXT(DATE(YEAR(Invoer!$A$5),1,1)+INT((ROWS(B$2:B602)-1)/24),"""18""jjmmdd")</f>
        <v>18980126</v>
      </c>
      <c r="C602" s="11" t="str">
        <f>INDEX(Data,2,2+MOD(ROWS(C$2:C602)-1,24))</f>
        <v>01.00</v>
      </c>
      <c r="D602" s="8" t="str">
        <f t="shared" ca="1" si="29"/>
        <v>—</v>
      </c>
      <c r="E602" s="16">
        <f t="shared" ca="1" si="30"/>
        <v>7</v>
      </c>
    </row>
    <row r="603" spans="1:5" x14ac:dyDescent="0.25">
      <c r="A603" s="3">
        <f t="shared" si="28"/>
        <v>78989</v>
      </c>
      <c r="B603" t="str">
        <f ca="1">TEXT(DATE(YEAR(Invoer!$A$5),1,1)+INT((ROWS(B$2:B603)-1)/24),"""18""jjmmdd")</f>
        <v>18980126</v>
      </c>
      <c r="C603" s="11" t="str">
        <f>INDEX(Data,2,2+MOD(ROWS(C$2:C603)-1,24))</f>
        <v>02.00</v>
      </c>
      <c r="D603" s="8" t="str">
        <f t="shared" ca="1" si="29"/>
        <v>—</v>
      </c>
      <c r="E603" s="16">
        <f t="shared" ca="1" si="30"/>
        <v>7</v>
      </c>
    </row>
    <row r="604" spans="1:5" x14ac:dyDescent="0.25">
      <c r="A604" s="3">
        <f t="shared" si="28"/>
        <v>78989</v>
      </c>
      <c r="B604" t="str">
        <f ca="1">TEXT(DATE(YEAR(Invoer!$A$5),1,1)+INT((ROWS(B$2:B604)-1)/24),"""18""jjmmdd")</f>
        <v>18980126</v>
      </c>
      <c r="C604" s="11" t="str">
        <f>INDEX(Data,2,2+MOD(ROWS(C$2:C604)-1,24))</f>
        <v>03.00</v>
      </c>
      <c r="D604" s="8" t="str">
        <f t="shared" ca="1" si="29"/>
        <v>—</v>
      </c>
      <c r="E604" s="16">
        <f t="shared" ca="1" si="30"/>
        <v>7</v>
      </c>
    </row>
    <row r="605" spans="1:5" x14ac:dyDescent="0.25">
      <c r="A605" s="3">
        <f t="shared" si="28"/>
        <v>78989</v>
      </c>
      <c r="B605" t="str">
        <f ca="1">TEXT(DATE(YEAR(Invoer!$A$5),1,1)+INT((ROWS(B$2:B605)-1)/24),"""18""jjmmdd")</f>
        <v>18980126</v>
      </c>
      <c r="C605" s="11" t="str">
        <f>INDEX(Data,2,2+MOD(ROWS(C$2:C605)-1,24))</f>
        <v>04.00</v>
      </c>
      <c r="D605" s="8" t="str">
        <f t="shared" ca="1" si="29"/>
        <v>—</v>
      </c>
      <c r="E605" s="16">
        <f t="shared" ca="1" si="30"/>
        <v>7</v>
      </c>
    </row>
    <row r="606" spans="1:5" x14ac:dyDescent="0.25">
      <c r="A606" s="3">
        <f t="shared" si="28"/>
        <v>78989</v>
      </c>
      <c r="B606" t="str">
        <f ca="1">TEXT(DATE(YEAR(Invoer!$A$5),1,1)+INT((ROWS(B$2:B606)-1)/24),"""18""jjmmdd")</f>
        <v>18980126</v>
      </c>
      <c r="C606" s="11" t="str">
        <f>INDEX(Data,2,2+MOD(ROWS(C$2:C606)-1,24))</f>
        <v>05.00</v>
      </c>
      <c r="D606" s="8" t="str">
        <f t="shared" ca="1" si="29"/>
        <v>—</v>
      </c>
      <c r="E606" s="16">
        <f t="shared" ca="1" si="30"/>
        <v>7</v>
      </c>
    </row>
    <row r="607" spans="1:5" x14ac:dyDescent="0.25">
      <c r="A607" s="3">
        <f t="shared" si="28"/>
        <v>78989</v>
      </c>
      <c r="B607" t="str">
        <f ca="1">TEXT(DATE(YEAR(Invoer!$A$5),1,1)+INT((ROWS(B$2:B607)-1)/24),"""18""jjmmdd")</f>
        <v>18980126</v>
      </c>
      <c r="C607" s="11" t="str">
        <f>INDEX(Data,2,2+MOD(ROWS(C$2:C607)-1,24))</f>
        <v>06.00</v>
      </c>
      <c r="D607" s="8" t="str">
        <f t="shared" ca="1" si="29"/>
        <v>—</v>
      </c>
      <c r="E607" s="16">
        <f t="shared" ca="1" si="30"/>
        <v>7</v>
      </c>
    </row>
    <row r="608" spans="1:5" x14ac:dyDescent="0.25">
      <c r="A608" s="3">
        <f t="shared" si="28"/>
        <v>78989</v>
      </c>
      <c r="B608" t="str">
        <f ca="1">TEXT(DATE(YEAR(Invoer!$A$5),1,1)+INT((ROWS(B$2:B608)-1)/24),"""18""jjmmdd")</f>
        <v>18980126</v>
      </c>
      <c r="C608" s="11" t="str">
        <f>INDEX(Data,2,2+MOD(ROWS(C$2:C608)-1,24))</f>
        <v>07.00</v>
      </c>
      <c r="D608" s="8" t="str">
        <f t="shared" ca="1" si="29"/>
        <v>—</v>
      </c>
      <c r="E608" s="16">
        <f t="shared" ca="1" si="30"/>
        <v>7</v>
      </c>
    </row>
    <row r="609" spans="1:5" x14ac:dyDescent="0.25">
      <c r="A609" s="3">
        <f t="shared" si="28"/>
        <v>78989</v>
      </c>
      <c r="B609" t="str">
        <f ca="1">TEXT(DATE(YEAR(Invoer!$A$5),1,1)+INT((ROWS(B$2:B609)-1)/24),"""18""jjmmdd")</f>
        <v>18980126</v>
      </c>
      <c r="C609" s="11" t="str">
        <f>INDEX(Data,2,2+MOD(ROWS(C$2:C609)-1,24))</f>
        <v>08.00</v>
      </c>
      <c r="D609" s="8" t="str">
        <f t="shared" ca="1" si="29"/>
        <v>—</v>
      </c>
      <c r="E609" s="16">
        <f t="shared" ca="1" si="30"/>
        <v>7</v>
      </c>
    </row>
    <row r="610" spans="1:5" x14ac:dyDescent="0.25">
      <c r="A610" s="3">
        <f t="shared" si="28"/>
        <v>78989</v>
      </c>
      <c r="B610" t="str">
        <f ca="1">TEXT(DATE(YEAR(Invoer!$A$5),1,1)+INT((ROWS(B$2:B610)-1)/24),"""18""jjmmdd")</f>
        <v>18980126</v>
      </c>
      <c r="C610" s="11" t="str">
        <f>INDEX(Data,2,2+MOD(ROWS(C$2:C610)-1,24))</f>
        <v>09.00</v>
      </c>
      <c r="D610" s="8" t="str">
        <f t="shared" ca="1" si="29"/>
        <v>—</v>
      </c>
      <c r="E610" s="16">
        <f t="shared" ca="1" si="30"/>
        <v>7</v>
      </c>
    </row>
    <row r="611" spans="1:5" x14ac:dyDescent="0.25">
      <c r="A611" s="3">
        <f t="shared" si="28"/>
        <v>78989</v>
      </c>
      <c r="B611" t="str">
        <f ca="1">TEXT(DATE(YEAR(Invoer!$A$5),1,1)+INT((ROWS(B$2:B611)-1)/24),"""18""jjmmdd")</f>
        <v>18980126</v>
      </c>
      <c r="C611" s="11" t="str">
        <f>INDEX(Data,2,2+MOD(ROWS(C$2:C611)-1,24))</f>
        <v>10.00</v>
      </c>
      <c r="D611" s="8" t="str">
        <f t="shared" ca="1" si="29"/>
        <v>—</v>
      </c>
      <c r="E611" s="16">
        <f t="shared" ca="1" si="30"/>
        <v>7</v>
      </c>
    </row>
    <row r="612" spans="1:5" x14ac:dyDescent="0.25">
      <c r="A612" s="3">
        <f t="shared" si="28"/>
        <v>78989</v>
      </c>
      <c r="B612" t="str">
        <f ca="1">TEXT(DATE(YEAR(Invoer!$A$5),1,1)+INT((ROWS(B$2:B612)-1)/24),"""18""jjmmdd")</f>
        <v>18980126</v>
      </c>
      <c r="C612" s="11" t="str">
        <f>INDEX(Data,2,2+MOD(ROWS(C$2:C612)-1,24))</f>
        <v>11.00</v>
      </c>
      <c r="D612" s="8" t="str">
        <f t="shared" ca="1" si="29"/>
        <v>—</v>
      </c>
      <c r="E612" s="16">
        <f t="shared" ca="1" si="30"/>
        <v>7</v>
      </c>
    </row>
    <row r="613" spans="1:5" x14ac:dyDescent="0.25">
      <c r="A613" s="3">
        <f t="shared" si="28"/>
        <v>78989</v>
      </c>
      <c r="B613" t="str">
        <f ca="1">TEXT(DATE(YEAR(Invoer!$A$5),1,1)+INT((ROWS(B$2:B613)-1)/24),"""18""jjmmdd")</f>
        <v>18980126</v>
      </c>
      <c r="C613" s="11" t="str">
        <f>INDEX(Data,2,2+MOD(ROWS(C$2:C613)-1,24))</f>
        <v>12.00</v>
      </c>
      <c r="D613" s="8" t="str">
        <f t="shared" ca="1" si="29"/>
        <v>—</v>
      </c>
      <c r="E613" s="16">
        <f t="shared" ca="1" si="30"/>
        <v>7</v>
      </c>
    </row>
    <row r="614" spans="1:5" x14ac:dyDescent="0.25">
      <c r="A614" s="3">
        <f t="shared" si="28"/>
        <v>78989</v>
      </c>
      <c r="B614" t="str">
        <f ca="1">TEXT(DATE(YEAR(Invoer!$A$5),1,1)+INT((ROWS(B$2:B614)-1)/24),"""18""jjmmdd")</f>
        <v>18980126</v>
      </c>
      <c r="C614" s="11" t="str">
        <f>INDEX(Data,2,2+MOD(ROWS(C$2:C614)-1,24))</f>
        <v>13.00</v>
      </c>
      <c r="D614" s="8" t="str">
        <f t="shared" ca="1" si="29"/>
        <v>—</v>
      </c>
      <c r="E614" s="16">
        <f t="shared" ca="1" si="30"/>
        <v>7</v>
      </c>
    </row>
    <row r="615" spans="1:5" x14ac:dyDescent="0.25">
      <c r="A615" s="3">
        <f t="shared" si="28"/>
        <v>78989</v>
      </c>
      <c r="B615" t="str">
        <f ca="1">TEXT(DATE(YEAR(Invoer!$A$5),1,1)+INT((ROWS(B$2:B615)-1)/24),"""18""jjmmdd")</f>
        <v>18980126</v>
      </c>
      <c r="C615" s="11" t="str">
        <f>INDEX(Data,2,2+MOD(ROWS(C$2:C615)-1,24))</f>
        <v>14.00</v>
      </c>
      <c r="D615" s="8" t="str">
        <f t="shared" ca="1" si="29"/>
        <v>—</v>
      </c>
      <c r="E615" s="16">
        <f t="shared" ca="1" si="30"/>
        <v>7</v>
      </c>
    </row>
    <row r="616" spans="1:5" x14ac:dyDescent="0.25">
      <c r="A616" s="3">
        <f t="shared" si="28"/>
        <v>78989</v>
      </c>
      <c r="B616" t="str">
        <f ca="1">TEXT(DATE(YEAR(Invoer!$A$5),1,1)+INT((ROWS(B$2:B616)-1)/24),"""18""jjmmdd")</f>
        <v>18980126</v>
      </c>
      <c r="C616" s="11" t="str">
        <f>INDEX(Data,2,2+MOD(ROWS(C$2:C616)-1,24))</f>
        <v>15.00</v>
      </c>
      <c r="D616" s="8" t="str">
        <f t="shared" ca="1" si="29"/>
        <v>—</v>
      </c>
      <c r="E616" s="16">
        <f t="shared" ca="1" si="30"/>
        <v>7</v>
      </c>
    </row>
    <row r="617" spans="1:5" x14ac:dyDescent="0.25">
      <c r="A617" s="3">
        <f t="shared" si="28"/>
        <v>78989</v>
      </c>
      <c r="B617" t="str">
        <f ca="1">TEXT(DATE(YEAR(Invoer!$A$5),1,1)+INT((ROWS(B$2:B617)-1)/24),"""18""jjmmdd")</f>
        <v>18980126</v>
      </c>
      <c r="C617" s="11" t="str">
        <f>INDEX(Data,2,2+MOD(ROWS(C$2:C617)-1,24))</f>
        <v>16.00</v>
      </c>
      <c r="D617" s="8" t="str">
        <f t="shared" ca="1" si="29"/>
        <v>—</v>
      </c>
      <c r="E617" s="16">
        <f t="shared" ca="1" si="30"/>
        <v>7</v>
      </c>
    </row>
    <row r="618" spans="1:5" x14ac:dyDescent="0.25">
      <c r="A618" s="3">
        <f t="shared" si="28"/>
        <v>78989</v>
      </c>
      <c r="B618" t="str">
        <f ca="1">TEXT(DATE(YEAR(Invoer!$A$5),1,1)+INT((ROWS(B$2:B618)-1)/24),"""18""jjmmdd")</f>
        <v>18980126</v>
      </c>
      <c r="C618" s="11" t="str">
        <f>INDEX(Data,2,2+MOD(ROWS(C$2:C618)-1,24))</f>
        <v>17.00</v>
      </c>
      <c r="D618" s="8" t="str">
        <f t="shared" ca="1" si="29"/>
        <v>—</v>
      </c>
      <c r="E618" s="16">
        <f t="shared" ca="1" si="30"/>
        <v>7</v>
      </c>
    </row>
    <row r="619" spans="1:5" x14ac:dyDescent="0.25">
      <c r="A619" s="3">
        <f t="shared" si="28"/>
        <v>78989</v>
      </c>
      <c r="B619" t="str">
        <f ca="1">TEXT(DATE(YEAR(Invoer!$A$5),1,1)+INT((ROWS(B$2:B619)-1)/24),"""18""jjmmdd")</f>
        <v>18980126</v>
      </c>
      <c r="C619" s="11" t="str">
        <f>INDEX(Data,2,2+MOD(ROWS(C$2:C619)-1,24))</f>
        <v>18.00</v>
      </c>
      <c r="D619" s="8" t="str">
        <f t="shared" ca="1" si="29"/>
        <v>—</v>
      </c>
      <c r="E619" s="16">
        <f t="shared" ca="1" si="30"/>
        <v>7</v>
      </c>
    </row>
    <row r="620" spans="1:5" x14ac:dyDescent="0.25">
      <c r="A620" s="3">
        <f t="shared" si="28"/>
        <v>78989</v>
      </c>
      <c r="B620" t="str">
        <f ca="1">TEXT(DATE(YEAR(Invoer!$A$5),1,1)+INT((ROWS(B$2:B620)-1)/24),"""18""jjmmdd")</f>
        <v>18980126</v>
      </c>
      <c r="C620" s="11" t="str">
        <f>INDEX(Data,2,2+MOD(ROWS(C$2:C620)-1,24))</f>
        <v>19.00</v>
      </c>
      <c r="D620" s="8" t="str">
        <f t="shared" ca="1" si="29"/>
        <v>—</v>
      </c>
      <c r="E620" s="16">
        <f t="shared" ca="1" si="30"/>
        <v>7</v>
      </c>
    </row>
    <row r="621" spans="1:5" x14ac:dyDescent="0.25">
      <c r="A621" s="3">
        <f t="shared" si="28"/>
        <v>78989</v>
      </c>
      <c r="B621" t="str">
        <f ca="1">TEXT(DATE(YEAR(Invoer!$A$5),1,1)+INT((ROWS(B$2:B621)-1)/24),"""18""jjmmdd")</f>
        <v>18980126</v>
      </c>
      <c r="C621" s="11" t="str">
        <f>INDEX(Data,2,2+MOD(ROWS(C$2:C621)-1,24))</f>
        <v>20.00</v>
      </c>
      <c r="D621" s="8" t="str">
        <f t="shared" ca="1" si="29"/>
        <v>—</v>
      </c>
      <c r="E621" s="16">
        <f t="shared" ca="1" si="30"/>
        <v>7</v>
      </c>
    </row>
    <row r="622" spans="1:5" x14ac:dyDescent="0.25">
      <c r="A622" s="3">
        <f t="shared" si="28"/>
        <v>78989</v>
      </c>
      <c r="B622" t="str">
        <f ca="1">TEXT(DATE(YEAR(Invoer!$A$5),1,1)+INT((ROWS(B$2:B622)-1)/24),"""18""jjmmdd")</f>
        <v>18980126</v>
      </c>
      <c r="C622" s="11" t="str">
        <f>INDEX(Data,2,2+MOD(ROWS(C$2:C622)-1,24))</f>
        <v>21.00</v>
      </c>
      <c r="D622" s="8" t="str">
        <f t="shared" ca="1" si="29"/>
        <v>—</v>
      </c>
      <c r="E622" s="16">
        <f t="shared" ca="1" si="30"/>
        <v>7</v>
      </c>
    </row>
    <row r="623" spans="1:5" x14ac:dyDescent="0.25">
      <c r="A623" s="3">
        <f t="shared" si="28"/>
        <v>78989</v>
      </c>
      <c r="B623" t="str">
        <f ca="1">TEXT(DATE(YEAR(Invoer!$A$5),1,1)+INT((ROWS(B$2:B623)-1)/24),"""18""jjmmdd")</f>
        <v>18980126</v>
      </c>
      <c r="C623" s="11" t="str">
        <f>INDEX(Data,2,2+MOD(ROWS(C$2:C623)-1,24))</f>
        <v>22.00</v>
      </c>
      <c r="D623" s="8" t="str">
        <f t="shared" ca="1" si="29"/>
        <v>—</v>
      </c>
      <c r="E623" s="16">
        <f t="shared" ca="1" si="30"/>
        <v>7</v>
      </c>
    </row>
    <row r="624" spans="1:5" x14ac:dyDescent="0.25">
      <c r="A624" s="3">
        <f t="shared" si="28"/>
        <v>78989</v>
      </c>
      <c r="B624" t="str">
        <f ca="1">TEXT(DATE(YEAR(Invoer!$A$5),1,1)+INT((ROWS(B$2:B624)-1)/24),"""18""jjmmdd")</f>
        <v>18980126</v>
      </c>
      <c r="C624" s="11" t="str">
        <f>INDEX(Data,2,2+MOD(ROWS(C$2:C624)-1,24))</f>
        <v>23.00</v>
      </c>
      <c r="D624" s="8" t="str">
        <f t="shared" ca="1" si="29"/>
        <v>—</v>
      </c>
      <c r="E624" s="16">
        <f t="shared" ca="1" si="30"/>
        <v>7</v>
      </c>
    </row>
    <row r="625" spans="1:5" x14ac:dyDescent="0.25">
      <c r="A625" s="3">
        <f t="shared" si="28"/>
        <v>78989</v>
      </c>
      <c r="B625" t="str">
        <f ca="1">TEXT(DATE(YEAR(Invoer!$A$5),1,1)+INT((ROWS(B$2:B625)-1)/24),"""18""jjmmdd")</f>
        <v>18980126</v>
      </c>
      <c r="C625" s="11" t="str">
        <f>INDEX(Data,2,2+MOD(ROWS(C$2:C625)-1,24))</f>
        <v>24.00</v>
      </c>
      <c r="D625" s="8" t="str">
        <f t="shared" ca="1" si="29"/>
        <v>—</v>
      </c>
      <c r="E625" s="16">
        <f t="shared" ca="1" si="30"/>
        <v>7</v>
      </c>
    </row>
    <row r="626" spans="1:5" x14ac:dyDescent="0.25">
      <c r="A626" s="3">
        <f t="shared" si="28"/>
        <v>78989</v>
      </c>
      <c r="B626" t="str">
        <f ca="1">TEXT(DATE(YEAR(Invoer!$A$5),1,1)+INT((ROWS(B$2:B626)-1)/24),"""18""jjmmdd")</f>
        <v>18980127</v>
      </c>
      <c r="C626" s="11" t="str">
        <f>INDEX(Data,2,2+MOD(ROWS(C$2:C626)-1,24))</f>
        <v>01.00</v>
      </c>
      <c r="D626" s="8" t="str">
        <f t="shared" ca="1" si="29"/>
        <v>—</v>
      </c>
      <c r="E626" s="16">
        <f t="shared" ca="1" si="30"/>
        <v>7</v>
      </c>
    </row>
    <row r="627" spans="1:5" x14ac:dyDescent="0.25">
      <c r="A627" s="3">
        <f t="shared" si="28"/>
        <v>78989</v>
      </c>
      <c r="B627" t="str">
        <f ca="1">TEXT(DATE(YEAR(Invoer!$A$5),1,1)+INT((ROWS(B$2:B627)-1)/24),"""18""jjmmdd")</f>
        <v>18980127</v>
      </c>
      <c r="C627" s="11" t="str">
        <f>INDEX(Data,2,2+MOD(ROWS(C$2:C627)-1,24))</f>
        <v>02.00</v>
      </c>
      <c r="D627" s="8" t="str">
        <f t="shared" ca="1" si="29"/>
        <v>—</v>
      </c>
      <c r="E627" s="16">
        <f t="shared" ca="1" si="30"/>
        <v>7</v>
      </c>
    </row>
    <row r="628" spans="1:5" x14ac:dyDescent="0.25">
      <c r="A628" s="3">
        <f t="shared" si="28"/>
        <v>78989</v>
      </c>
      <c r="B628" t="str">
        <f ca="1">TEXT(DATE(YEAR(Invoer!$A$5),1,1)+INT((ROWS(B$2:B628)-1)/24),"""18""jjmmdd")</f>
        <v>18980127</v>
      </c>
      <c r="C628" s="11" t="str">
        <f>INDEX(Data,2,2+MOD(ROWS(C$2:C628)-1,24))</f>
        <v>03.00</v>
      </c>
      <c r="D628" s="8" t="str">
        <f t="shared" ca="1" si="29"/>
        <v>—</v>
      </c>
      <c r="E628" s="16">
        <f t="shared" ca="1" si="30"/>
        <v>7</v>
      </c>
    </row>
    <row r="629" spans="1:5" x14ac:dyDescent="0.25">
      <c r="A629" s="3">
        <f t="shared" si="28"/>
        <v>78989</v>
      </c>
      <c r="B629" t="str">
        <f ca="1">TEXT(DATE(YEAR(Invoer!$A$5),1,1)+INT((ROWS(B$2:B629)-1)/24),"""18""jjmmdd")</f>
        <v>18980127</v>
      </c>
      <c r="C629" s="11" t="str">
        <f>INDEX(Data,2,2+MOD(ROWS(C$2:C629)-1,24))</f>
        <v>04.00</v>
      </c>
      <c r="D629" s="8" t="str">
        <f t="shared" ca="1" si="29"/>
        <v>—</v>
      </c>
      <c r="E629" s="16">
        <f t="shared" ca="1" si="30"/>
        <v>7</v>
      </c>
    </row>
    <row r="630" spans="1:5" x14ac:dyDescent="0.25">
      <c r="A630" s="3">
        <f t="shared" si="28"/>
        <v>78989</v>
      </c>
      <c r="B630" t="str">
        <f ca="1">TEXT(DATE(YEAR(Invoer!$A$5),1,1)+INT((ROWS(B$2:B630)-1)/24),"""18""jjmmdd")</f>
        <v>18980127</v>
      </c>
      <c r="C630" s="11" t="str">
        <f>INDEX(Data,2,2+MOD(ROWS(C$2:C630)-1,24))</f>
        <v>05.00</v>
      </c>
      <c r="D630" s="8" t="str">
        <f t="shared" ca="1" si="29"/>
        <v>—</v>
      </c>
      <c r="E630" s="16">
        <f t="shared" ca="1" si="30"/>
        <v>7</v>
      </c>
    </row>
    <row r="631" spans="1:5" x14ac:dyDescent="0.25">
      <c r="A631" s="3">
        <f t="shared" si="28"/>
        <v>78989</v>
      </c>
      <c r="B631" t="str">
        <f ca="1">TEXT(DATE(YEAR(Invoer!$A$5),1,1)+INT((ROWS(B$2:B631)-1)/24),"""18""jjmmdd")</f>
        <v>18980127</v>
      </c>
      <c r="C631" s="11" t="str">
        <f>INDEX(Data,2,2+MOD(ROWS(C$2:C631)-1,24))</f>
        <v>06.00</v>
      </c>
      <c r="D631" s="8" t="str">
        <f t="shared" ca="1" si="29"/>
        <v>—</v>
      </c>
      <c r="E631" s="16">
        <f t="shared" ca="1" si="30"/>
        <v>7</v>
      </c>
    </row>
    <row r="632" spans="1:5" x14ac:dyDescent="0.25">
      <c r="A632" s="3">
        <f t="shared" si="28"/>
        <v>78989</v>
      </c>
      <c r="B632" t="str">
        <f ca="1">TEXT(DATE(YEAR(Invoer!$A$5),1,1)+INT((ROWS(B$2:B632)-1)/24),"""18""jjmmdd")</f>
        <v>18980127</v>
      </c>
      <c r="C632" s="11" t="str">
        <f>INDEX(Data,2,2+MOD(ROWS(C$2:C632)-1,24))</f>
        <v>07.00</v>
      </c>
      <c r="D632" s="8" t="str">
        <f t="shared" ca="1" si="29"/>
        <v>—</v>
      </c>
      <c r="E632" s="16">
        <f t="shared" ca="1" si="30"/>
        <v>7</v>
      </c>
    </row>
    <row r="633" spans="1:5" x14ac:dyDescent="0.25">
      <c r="A633" s="3">
        <f t="shared" si="28"/>
        <v>78989</v>
      </c>
      <c r="B633" t="str">
        <f ca="1">TEXT(DATE(YEAR(Invoer!$A$5),1,1)+INT((ROWS(B$2:B633)-1)/24),"""18""jjmmdd")</f>
        <v>18980127</v>
      </c>
      <c r="C633" s="11" t="str">
        <f>INDEX(Data,2,2+MOD(ROWS(C$2:C633)-1,24))</f>
        <v>08.00</v>
      </c>
      <c r="D633" s="8" t="str">
        <f t="shared" ca="1" si="29"/>
        <v>—</v>
      </c>
      <c r="E633" s="16">
        <f t="shared" ca="1" si="30"/>
        <v>7</v>
      </c>
    </row>
    <row r="634" spans="1:5" x14ac:dyDescent="0.25">
      <c r="A634" s="3">
        <f t="shared" si="28"/>
        <v>78989</v>
      </c>
      <c r="B634" t="str">
        <f ca="1">TEXT(DATE(YEAR(Invoer!$A$5),1,1)+INT((ROWS(B$2:B634)-1)/24),"""18""jjmmdd")</f>
        <v>18980127</v>
      </c>
      <c r="C634" s="11" t="str">
        <f>INDEX(Data,2,2+MOD(ROWS(C$2:C634)-1,24))</f>
        <v>09.00</v>
      </c>
      <c r="D634" s="8" t="str">
        <f t="shared" ca="1" si="29"/>
        <v>—</v>
      </c>
      <c r="E634" s="16">
        <f t="shared" ca="1" si="30"/>
        <v>7</v>
      </c>
    </row>
    <row r="635" spans="1:5" x14ac:dyDescent="0.25">
      <c r="A635" s="3">
        <f t="shared" si="28"/>
        <v>78989</v>
      </c>
      <c r="B635" t="str">
        <f ca="1">TEXT(DATE(YEAR(Invoer!$A$5),1,1)+INT((ROWS(B$2:B635)-1)/24),"""18""jjmmdd")</f>
        <v>18980127</v>
      </c>
      <c r="C635" s="11" t="str">
        <f>INDEX(Data,2,2+MOD(ROWS(C$2:C635)-1,24))</f>
        <v>10.00</v>
      </c>
      <c r="D635" s="8" t="str">
        <f t="shared" ca="1" si="29"/>
        <v>—</v>
      </c>
      <c r="E635" s="16">
        <f t="shared" ca="1" si="30"/>
        <v>7</v>
      </c>
    </row>
    <row r="636" spans="1:5" x14ac:dyDescent="0.25">
      <c r="A636" s="3">
        <f t="shared" si="28"/>
        <v>78989</v>
      </c>
      <c r="B636" t="str">
        <f ca="1">TEXT(DATE(YEAR(Invoer!$A$5),1,1)+INT((ROWS(B$2:B636)-1)/24),"""18""jjmmdd")</f>
        <v>18980127</v>
      </c>
      <c r="C636" s="11" t="str">
        <f>INDEX(Data,2,2+MOD(ROWS(C$2:C636)-1,24))</f>
        <v>11.00</v>
      </c>
      <c r="D636" s="8" t="str">
        <f t="shared" ca="1" si="29"/>
        <v>—</v>
      </c>
      <c r="E636" s="16">
        <f t="shared" ca="1" si="30"/>
        <v>7</v>
      </c>
    </row>
    <row r="637" spans="1:5" x14ac:dyDescent="0.25">
      <c r="A637" s="3">
        <f t="shared" si="28"/>
        <v>78989</v>
      </c>
      <c r="B637" t="str">
        <f ca="1">TEXT(DATE(YEAR(Invoer!$A$5),1,1)+INT((ROWS(B$2:B637)-1)/24),"""18""jjmmdd")</f>
        <v>18980127</v>
      </c>
      <c r="C637" s="11" t="str">
        <f>INDEX(Data,2,2+MOD(ROWS(C$2:C637)-1,24))</f>
        <v>12.00</v>
      </c>
      <c r="D637" s="8" t="str">
        <f t="shared" ca="1" si="29"/>
        <v>—</v>
      </c>
      <c r="E637" s="16">
        <f t="shared" ca="1" si="30"/>
        <v>7</v>
      </c>
    </row>
    <row r="638" spans="1:5" x14ac:dyDescent="0.25">
      <c r="A638" s="3">
        <f t="shared" si="28"/>
        <v>78989</v>
      </c>
      <c r="B638" t="str">
        <f ca="1">TEXT(DATE(YEAR(Invoer!$A$5),1,1)+INT((ROWS(B$2:B638)-1)/24),"""18""jjmmdd")</f>
        <v>18980127</v>
      </c>
      <c r="C638" s="11" t="str">
        <f>INDEX(Data,2,2+MOD(ROWS(C$2:C638)-1,24))</f>
        <v>13.00</v>
      </c>
      <c r="D638" s="8" t="str">
        <f t="shared" ca="1" si="29"/>
        <v>—</v>
      </c>
      <c r="E638" s="16">
        <f t="shared" ca="1" si="30"/>
        <v>7</v>
      </c>
    </row>
    <row r="639" spans="1:5" x14ac:dyDescent="0.25">
      <c r="A639" s="3">
        <f t="shared" si="28"/>
        <v>78989</v>
      </c>
      <c r="B639" t="str">
        <f ca="1">TEXT(DATE(YEAR(Invoer!$A$5),1,1)+INT((ROWS(B$2:B639)-1)/24),"""18""jjmmdd")</f>
        <v>18980127</v>
      </c>
      <c r="C639" s="11" t="str">
        <f>INDEX(Data,2,2+MOD(ROWS(C$2:C639)-1,24))</f>
        <v>14.00</v>
      </c>
      <c r="D639" s="8" t="str">
        <f t="shared" ca="1" si="29"/>
        <v>—</v>
      </c>
      <c r="E639" s="16">
        <f t="shared" ca="1" si="30"/>
        <v>7</v>
      </c>
    </row>
    <row r="640" spans="1:5" x14ac:dyDescent="0.25">
      <c r="A640" s="3">
        <f t="shared" si="28"/>
        <v>78989</v>
      </c>
      <c r="B640" t="str">
        <f ca="1">TEXT(DATE(YEAR(Invoer!$A$5),1,1)+INT((ROWS(B$2:B640)-1)/24),"""18""jjmmdd")</f>
        <v>18980127</v>
      </c>
      <c r="C640" s="11" t="str">
        <f>INDEX(Data,2,2+MOD(ROWS(C$2:C640)-1,24))</f>
        <v>15.00</v>
      </c>
      <c r="D640" s="8" t="str">
        <f t="shared" ca="1" si="29"/>
        <v>—</v>
      </c>
      <c r="E640" s="16">
        <f t="shared" ca="1" si="30"/>
        <v>7</v>
      </c>
    </row>
    <row r="641" spans="1:5" x14ac:dyDescent="0.25">
      <c r="A641" s="3">
        <f t="shared" si="28"/>
        <v>78989</v>
      </c>
      <c r="B641" t="str">
        <f ca="1">TEXT(DATE(YEAR(Invoer!$A$5),1,1)+INT((ROWS(B$2:B641)-1)/24),"""18""jjmmdd")</f>
        <v>18980127</v>
      </c>
      <c r="C641" s="11" t="str">
        <f>INDEX(Data,2,2+MOD(ROWS(C$2:C641)-1,24))</f>
        <v>16.00</v>
      </c>
      <c r="D641" s="8" t="str">
        <f t="shared" ca="1" si="29"/>
        <v>—</v>
      </c>
      <c r="E641" s="16">
        <f t="shared" ca="1" si="30"/>
        <v>7</v>
      </c>
    </row>
    <row r="642" spans="1:5" x14ac:dyDescent="0.25">
      <c r="A642" s="3">
        <f t="shared" ref="A642:A705" si="31">INDEX(Stations,2,1)</f>
        <v>78989</v>
      </c>
      <c r="B642" t="str">
        <f ca="1">TEXT(DATE(YEAR(Invoer!$A$5),1,1)+INT((ROWS(B$2:B642)-1)/24),"""18""jjmmdd")</f>
        <v>18980127</v>
      </c>
      <c r="C642" s="11" t="str">
        <f>INDEX(Data,2,2+MOD(ROWS(C$2:C642)-1,24))</f>
        <v>17.00</v>
      </c>
      <c r="D642" s="8" t="str">
        <f t="shared" ref="D642:D705" ca="1" si="32">IF(OR(ISBLANK(VLOOKUP(DATEVALUE("37"&amp;MID($B642,3,2)&amp;"-"&amp;MID($B642,5,2)&amp;"-"&amp;RIGHT($B642,2)),Data,MATCH(LEFT(VLOOKUP(D$1,Parameters,2,FALSE()),4)&amp;"*",OFFSET(Data,0,0,1),0)+MATCH($C642,OFFSET(Data,1,0,1),0)-2,FALSE())),ISTEXT(VLOOKUP(DATEVALUE("37"&amp;MID($B642,3,2)&amp;"-"&amp;MID($B642,5,2)&amp;"-"&amp;RIGHT($B642,2)),Data,MATCH(LEFT(VLOOKUP(D$1,Parameters,2,FALSE()),4)&amp;"*",OFFSET(Data,0,0,1),0)+MATCH($C642,OFFSET(Data,1,0,1),0)-2,FALSE()))),"—",VLOOKUP(DATEVALUE("37"&amp;MID($B642,3,2)&amp;"-"&amp;MID($B642,5,2)&amp;"-"&amp;RIGHT($B642,2)),Data,MATCH(LEFT(VLOOKUP(D$1,Parameters,2,FALSE()),4)&amp;"*",OFFSET(Data,0,0,1),0)+MATCH($C642,OFFSET(Data,1,0,1),0)-2,FALSE()))</f>
        <v>—</v>
      </c>
      <c r="E642" s="16">
        <f t="shared" ca="1" si="30"/>
        <v>7</v>
      </c>
    </row>
    <row r="643" spans="1:5" x14ac:dyDescent="0.25">
      <c r="A643" s="3">
        <f t="shared" si="31"/>
        <v>78989</v>
      </c>
      <c r="B643" t="str">
        <f ca="1">TEXT(DATE(YEAR(Invoer!$A$5),1,1)+INT((ROWS(B$2:B643)-1)/24),"""18""jjmmdd")</f>
        <v>18980127</v>
      </c>
      <c r="C643" s="11" t="str">
        <f>INDEX(Data,2,2+MOD(ROWS(C$2:C643)-1,24))</f>
        <v>18.00</v>
      </c>
      <c r="D643" s="8" t="str">
        <f t="shared" ca="1" si="32"/>
        <v>—</v>
      </c>
      <c r="E643" s="16">
        <f t="shared" ref="E643:E706" ca="1" si="33">IF(OR(ISBLANK(VLOOKUP(DATEVALUE("37"&amp;MID($B643,3,2)&amp;"-"&amp;MID($B643,5,2)&amp;"-"&amp;RIGHT($B643,2)),Data,MATCH(LEFT(VLOOKUP(D$1,Parameters,2,FALSE()),4)&amp;"*",OFFSET(Data,0,0,1),0)+MATCH($C643,OFFSET(Data,1,0,1),0)-2,FALSE())),ISTEXT(VLOOKUP(DATEVALUE("37"&amp;MID($B643,3,2)&amp;"-"&amp;MID($B643,5,2)&amp;"-"&amp;RIGHT($B643,2)),Data,MATCH(LEFT(VLOOKUP(D$1,Parameters,2,FALSE()),4)&amp;"*",OFFSET(Data,0,0,1),0)+MATCH($C643,OFFSET(Data,1,0,1),0)-2,FALSE()))),Lacking,IF(ISNA(MATCH(DATEVALUE("37"&amp;MID($B643,3,2)&amp;"-"&amp;MID($B643,5,2)&amp;"-"&amp;RIGHT($B643,2)),OFFSET(Catalogus,0,0,,1),0)),Ok,VLOOKUP(DATEVALUE("37"&amp;MID($B643,3,2)&amp;"-"&amp;MID($B643,5,2)&amp;"-"&amp;RIGHT($B643,2)),Catalogus,MATCH(LEFT(VLOOKUP(MID(E$1,2,LEN(E$1)-1),Parameters,2,FALSE()),4)&amp;"*",OFFSET(Catalogus,0,0,1),0)+MATCH($C643,OFFSET(Catalogus,1,0,1),0)-2,FALSE())))</f>
        <v>7</v>
      </c>
    </row>
    <row r="644" spans="1:5" x14ac:dyDescent="0.25">
      <c r="A644" s="3">
        <f t="shared" si="31"/>
        <v>78989</v>
      </c>
      <c r="B644" t="str">
        <f ca="1">TEXT(DATE(YEAR(Invoer!$A$5),1,1)+INT((ROWS(B$2:B644)-1)/24),"""18""jjmmdd")</f>
        <v>18980127</v>
      </c>
      <c r="C644" s="11" t="str">
        <f>INDEX(Data,2,2+MOD(ROWS(C$2:C644)-1,24))</f>
        <v>19.00</v>
      </c>
      <c r="D644" s="8" t="str">
        <f t="shared" ca="1" si="32"/>
        <v>—</v>
      </c>
      <c r="E644" s="16">
        <f t="shared" ca="1" si="33"/>
        <v>7</v>
      </c>
    </row>
    <row r="645" spans="1:5" x14ac:dyDescent="0.25">
      <c r="A645" s="3">
        <f t="shared" si="31"/>
        <v>78989</v>
      </c>
      <c r="B645" t="str">
        <f ca="1">TEXT(DATE(YEAR(Invoer!$A$5),1,1)+INT((ROWS(B$2:B645)-1)/24),"""18""jjmmdd")</f>
        <v>18980127</v>
      </c>
      <c r="C645" s="11" t="str">
        <f>INDEX(Data,2,2+MOD(ROWS(C$2:C645)-1,24))</f>
        <v>20.00</v>
      </c>
      <c r="D645" s="8" t="str">
        <f t="shared" ca="1" si="32"/>
        <v>—</v>
      </c>
      <c r="E645" s="16">
        <f t="shared" ca="1" si="33"/>
        <v>7</v>
      </c>
    </row>
    <row r="646" spans="1:5" x14ac:dyDescent="0.25">
      <c r="A646" s="3">
        <f t="shared" si="31"/>
        <v>78989</v>
      </c>
      <c r="B646" t="str">
        <f ca="1">TEXT(DATE(YEAR(Invoer!$A$5),1,1)+INT((ROWS(B$2:B646)-1)/24),"""18""jjmmdd")</f>
        <v>18980127</v>
      </c>
      <c r="C646" s="11" t="str">
        <f>INDEX(Data,2,2+MOD(ROWS(C$2:C646)-1,24))</f>
        <v>21.00</v>
      </c>
      <c r="D646" s="8" t="str">
        <f t="shared" ca="1" si="32"/>
        <v>—</v>
      </c>
      <c r="E646" s="16">
        <f t="shared" ca="1" si="33"/>
        <v>7</v>
      </c>
    </row>
    <row r="647" spans="1:5" x14ac:dyDescent="0.25">
      <c r="A647" s="3">
        <f t="shared" si="31"/>
        <v>78989</v>
      </c>
      <c r="B647" t="str">
        <f ca="1">TEXT(DATE(YEAR(Invoer!$A$5),1,1)+INT((ROWS(B$2:B647)-1)/24),"""18""jjmmdd")</f>
        <v>18980127</v>
      </c>
      <c r="C647" s="11" t="str">
        <f>INDEX(Data,2,2+MOD(ROWS(C$2:C647)-1,24))</f>
        <v>22.00</v>
      </c>
      <c r="D647" s="8" t="str">
        <f t="shared" ca="1" si="32"/>
        <v>—</v>
      </c>
      <c r="E647" s="16">
        <f t="shared" ca="1" si="33"/>
        <v>7</v>
      </c>
    </row>
    <row r="648" spans="1:5" x14ac:dyDescent="0.25">
      <c r="A648" s="3">
        <f t="shared" si="31"/>
        <v>78989</v>
      </c>
      <c r="B648" t="str">
        <f ca="1">TEXT(DATE(YEAR(Invoer!$A$5),1,1)+INT((ROWS(B$2:B648)-1)/24),"""18""jjmmdd")</f>
        <v>18980127</v>
      </c>
      <c r="C648" s="11" t="str">
        <f>INDEX(Data,2,2+MOD(ROWS(C$2:C648)-1,24))</f>
        <v>23.00</v>
      </c>
      <c r="D648" s="8" t="str">
        <f t="shared" ca="1" si="32"/>
        <v>—</v>
      </c>
      <c r="E648" s="16">
        <f t="shared" ca="1" si="33"/>
        <v>7</v>
      </c>
    </row>
    <row r="649" spans="1:5" x14ac:dyDescent="0.25">
      <c r="A649" s="3">
        <f t="shared" si="31"/>
        <v>78989</v>
      </c>
      <c r="B649" t="str">
        <f ca="1">TEXT(DATE(YEAR(Invoer!$A$5),1,1)+INT((ROWS(B$2:B649)-1)/24),"""18""jjmmdd")</f>
        <v>18980127</v>
      </c>
      <c r="C649" s="11" t="str">
        <f>INDEX(Data,2,2+MOD(ROWS(C$2:C649)-1,24))</f>
        <v>24.00</v>
      </c>
      <c r="D649" s="8" t="str">
        <f t="shared" ca="1" si="32"/>
        <v>—</v>
      </c>
      <c r="E649" s="16">
        <f t="shared" ca="1" si="33"/>
        <v>7</v>
      </c>
    </row>
    <row r="650" spans="1:5" x14ac:dyDescent="0.25">
      <c r="A650" s="3">
        <f t="shared" si="31"/>
        <v>78989</v>
      </c>
      <c r="B650" t="str">
        <f ca="1">TEXT(DATE(YEAR(Invoer!$A$5),1,1)+INT((ROWS(B$2:B650)-1)/24),"""18""jjmmdd")</f>
        <v>18980128</v>
      </c>
      <c r="C650" s="11" t="str">
        <f>INDEX(Data,2,2+MOD(ROWS(C$2:C650)-1,24))</f>
        <v>01.00</v>
      </c>
      <c r="D650" s="8" t="str">
        <f t="shared" ca="1" si="32"/>
        <v>—</v>
      </c>
      <c r="E650" s="16">
        <f t="shared" ca="1" si="33"/>
        <v>7</v>
      </c>
    </row>
    <row r="651" spans="1:5" x14ac:dyDescent="0.25">
      <c r="A651" s="3">
        <f t="shared" si="31"/>
        <v>78989</v>
      </c>
      <c r="B651" t="str">
        <f ca="1">TEXT(DATE(YEAR(Invoer!$A$5),1,1)+INT((ROWS(B$2:B651)-1)/24),"""18""jjmmdd")</f>
        <v>18980128</v>
      </c>
      <c r="C651" s="11" t="str">
        <f>INDEX(Data,2,2+MOD(ROWS(C$2:C651)-1,24))</f>
        <v>02.00</v>
      </c>
      <c r="D651" s="8" t="str">
        <f t="shared" ca="1" si="32"/>
        <v>—</v>
      </c>
      <c r="E651" s="16">
        <f t="shared" ca="1" si="33"/>
        <v>7</v>
      </c>
    </row>
    <row r="652" spans="1:5" x14ac:dyDescent="0.25">
      <c r="A652" s="3">
        <f t="shared" si="31"/>
        <v>78989</v>
      </c>
      <c r="B652" t="str">
        <f ca="1">TEXT(DATE(YEAR(Invoer!$A$5),1,1)+INT((ROWS(B$2:B652)-1)/24),"""18""jjmmdd")</f>
        <v>18980128</v>
      </c>
      <c r="C652" s="11" t="str">
        <f>INDEX(Data,2,2+MOD(ROWS(C$2:C652)-1,24))</f>
        <v>03.00</v>
      </c>
      <c r="D652" s="8" t="str">
        <f t="shared" ca="1" si="32"/>
        <v>—</v>
      </c>
      <c r="E652" s="16">
        <f t="shared" ca="1" si="33"/>
        <v>7</v>
      </c>
    </row>
    <row r="653" spans="1:5" x14ac:dyDescent="0.25">
      <c r="A653" s="3">
        <f t="shared" si="31"/>
        <v>78989</v>
      </c>
      <c r="B653" t="str">
        <f ca="1">TEXT(DATE(YEAR(Invoer!$A$5),1,1)+INT((ROWS(B$2:B653)-1)/24),"""18""jjmmdd")</f>
        <v>18980128</v>
      </c>
      <c r="C653" s="11" t="str">
        <f>INDEX(Data,2,2+MOD(ROWS(C$2:C653)-1,24))</f>
        <v>04.00</v>
      </c>
      <c r="D653" s="8" t="str">
        <f t="shared" ca="1" si="32"/>
        <v>—</v>
      </c>
      <c r="E653" s="16">
        <f t="shared" ca="1" si="33"/>
        <v>7</v>
      </c>
    </row>
    <row r="654" spans="1:5" x14ac:dyDescent="0.25">
      <c r="A654" s="3">
        <f t="shared" si="31"/>
        <v>78989</v>
      </c>
      <c r="B654" t="str">
        <f ca="1">TEXT(DATE(YEAR(Invoer!$A$5),1,1)+INT((ROWS(B$2:B654)-1)/24),"""18""jjmmdd")</f>
        <v>18980128</v>
      </c>
      <c r="C654" s="11" t="str">
        <f>INDEX(Data,2,2+MOD(ROWS(C$2:C654)-1,24))</f>
        <v>05.00</v>
      </c>
      <c r="D654" s="8" t="str">
        <f t="shared" ca="1" si="32"/>
        <v>—</v>
      </c>
      <c r="E654" s="16">
        <f t="shared" ca="1" si="33"/>
        <v>7</v>
      </c>
    </row>
    <row r="655" spans="1:5" x14ac:dyDescent="0.25">
      <c r="A655" s="3">
        <f t="shared" si="31"/>
        <v>78989</v>
      </c>
      <c r="B655" t="str">
        <f ca="1">TEXT(DATE(YEAR(Invoer!$A$5),1,1)+INT((ROWS(B$2:B655)-1)/24),"""18""jjmmdd")</f>
        <v>18980128</v>
      </c>
      <c r="C655" s="11" t="str">
        <f>INDEX(Data,2,2+MOD(ROWS(C$2:C655)-1,24))</f>
        <v>06.00</v>
      </c>
      <c r="D655" s="8" t="str">
        <f t="shared" ca="1" si="32"/>
        <v>—</v>
      </c>
      <c r="E655" s="16">
        <f t="shared" ca="1" si="33"/>
        <v>7</v>
      </c>
    </row>
    <row r="656" spans="1:5" x14ac:dyDescent="0.25">
      <c r="A656" s="3">
        <f t="shared" si="31"/>
        <v>78989</v>
      </c>
      <c r="B656" t="str">
        <f ca="1">TEXT(DATE(YEAR(Invoer!$A$5),1,1)+INT((ROWS(B$2:B656)-1)/24),"""18""jjmmdd")</f>
        <v>18980128</v>
      </c>
      <c r="C656" s="11" t="str">
        <f>INDEX(Data,2,2+MOD(ROWS(C$2:C656)-1,24))</f>
        <v>07.00</v>
      </c>
      <c r="D656" s="8" t="str">
        <f t="shared" ca="1" si="32"/>
        <v>—</v>
      </c>
      <c r="E656" s="16">
        <f t="shared" ca="1" si="33"/>
        <v>7</v>
      </c>
    </row>
    <row r="657" spans="1:5" x14ac:dyDescent="0.25">
      <c r="A657" s="3">
        <f t="shared" si="31"/>
        <v>78989</v>
      </c>
      <c r="B657" t="str">
        <f ca="1">TEXT(DATE(YEAR(Invoer!$A$5),1,1)+INT((ROWS(B$2:B657)-1)/24),"""18""jjmmdd")</f>
        <v>18980128</v>
      </c>
      <c r="C657" s="11" t="str">
        <f>INDEX(Data,2,2+MOD(ROWS(C$2:C657)-1,24))</f>
        <v>08.00</v>
      </c>
      <c r="D657" s="8" t="str">
        <f t="shared" ca="1" si="32"/>
        <v>—</v>
      </c>
      <c r="E657" s="16">
        <f t="shared" ca="1" si="33"/>
        <v>7</v>
      </c>
    </row>
    <row r="658" spans="1:5" x14ac:dyDescent="0.25">
      <c r="A658" s="3">
        <f t="shared" si="31"/>
        <v>78989</v>
      </c>
      <c r="B658" t="str">
        <f ca="1">TEXT(DATE(YEAR(Invoer!$A$5),1,1)+INT((ROWS(B$2:B658)-1)/24),"""18""jjmmdd")</f>
        <v>18980128</v>
      </c>
      <c r="C658" s="11" t="str">
        <f>INDEX(Data,2,2+MOD(ROWS(C$2:C658)-1,24))</f>
        <v>09.00</v>
      </c>
      <c r="D658" s="8" t="str">
        <f t="shared" ca="1" si="32"/>
        <v>—</v>
      </c>
      <c r="E658" s="16">
        <f t="shared" ca="1" si="33"/>
        <v>7</v>
      </c>
    </row>
    <row r="659" spans="1:5" x14ac:dyDescent="0.25">
      <c r="A659" s="3">
        <f t="shared" si="31"/>
        <v>78989</v>
      </c>
      <c r="B659" t="str">
        <f ca="1">TEXT(DATE(YEAR(Invoer!$A$5),1,1)+INT((ROWS(B$2:B659)-1)/24),"""18""jjmmdd")</f>
        <v>18980128</v>
      </c>
      <c r="C659" s="11" t="str">
        <f>INDEX(Data,2,2+MOD(ROWS(C$2:C659)-1,24))</f>
        <v>10.00</v>
      </c>
      <c r="D659" s="8" t="str">
        <f t="shared" ca="1" si="32"/>
        <v>—</v>
      </c>
      <c r="E659" s="16">
        <f t="shared" ca="1" si="33"/>
        <v>7</v>
      </c>
    </row>
    <row r="660" spans="1:5" x14ac:dyDescent="0.25">
      <c r="A660" s="3">
        <f t="shared" si="31"/>
        <v>78989</v>
      </c>
      <c r="B660" t="str">
        <f ca="1">TEXT(DATE(YEAR(Invoer!$A$5),1,1)+INT((ROWS(B$2:B660)-1)/24),"""18""jjmmdd")</f>
        <v>18980128</v>
      </c>
      <c r="C660" s="11" t="str">
        <f>INDEX(Data,2,2+MOD(ROWS(C$2:C660)-1,24))</f>
        <v>11.00</v>
      </c>
      <c r="D660" s="8" t="str">
        <f t="shared" ca="1" si="32"/>
        <v>—</v>
      </c>
      <c r="E660" s="16">
        <f t="shared" ca="1" si="33"/>
        <v>7</v>
      </c>
    </row>
    <row r="661" spans="1:5" x14ac:dyDescent="0.25">
      <c r="A661" s="3">
        <f t="shared" si="31"/>
        <v>78989</v>
      </c>
      <c r="B661" t="str">
        <f ca="1">TEXT(DATE(YEAR(Invoer!$A$5),1,1)+INT((ROWS(B$2:B661)-1)/24),"""18""jjmmdd")</f>
        <v>18980128</v>
      </c>
      <c r="C661" s="11" t="str">
        <f>INDEX(Data,2,2+MOD(ROWS(C$2:C661)-1,24))</f>
        <v>12.00</v>
      </c>
      <c r="D661" s="8" t="str">
        <f t="shared" ca="1" si="32"/>
        <v>—</v>
      </c>
      <c r="E661" s="16">
        <f t="shared" ca="1" si="33"/>
        <v>7</v>
      </c>
    </row>
    <row r="662" spans="1:5" x14ac:dyDescent="0.25">
      <c r="A662" s="3">
        <f t="shared" si="31"/>
        <v>78989</v>
      </c>
      <c r="B662" t="str">
        <f ca="1">TEXT(DATE(YEAR(Invoer!$A$5),1,1)+INT((ROWS(B$2:B662)-1)/24),"""18""jjmmdd")</f>
        <v>18980128</v>
      </c>
      <c r="C662" s="11" t="str">
        <f>INDEX(Data,2,2+MOD(ROWS(C$2:C662)-1,24))</f>
        <v>13.00</v>
      </c>
      <c r="D662" s="8" t="str">
        <f t="shared" ca="1" si="32"/>
        <v>—</v>
      </c>
      <c r="E662" s="16">
        <f t="shared" ca="1" si="33"/>
        <v>7</v>
      </c>
    </row>
    <row r="663" spans="1:5" x14ac:dyDescent="0.25">
      <c r="A663" s="3">
        <f t="shared" si="31"/>
        <v>78989</v>
      </c>
      <c r="B663" t="str">
        <f ca="1">TEXT(DATE(YEAR(Invoer!$A$5),1,1)+INT((ROWS(B$2:B663)-1)/24),"""18""jjmmdd")</f>
        <v>18980128</v>
      </c>
      <c r="C663" s="11" t="str">
        <f>INDEX(Data,2,2+MOD(ROWS(C$2:C663)-1,24))</f>
        <v>14.00</v>
      </c>
      <c r="D663" s="8" t="str">
        <f t="shared" ca="1" si="32"/>
        <v>—</v>
      </c>
      <c r="E663" s="16">
        <f t="shared" ca="1" si="33"/>
        <v>7</v>
      </c>
    </row>
    <row r="664" spans="1:5" x14ac:dyDescent="0.25">
      <c r="A664" s="3">
        <f t="shared" si="31"/>
        <v>78989</v>
      </c>
      <c r="B664" t="str">
        <f ca="1">TEXT(DATE(YEAR(Invoer!$A$5),1,1)+INT((ROWS(B$2:B664)-1)/24),"""18""jjmmdd")</f>
        <v>18980128</v>
      </c>
      <c r="C664" s="11" t="str">
        <f>INDEX(Data,2,2+MOD(ROWS(C$2:C664)-1,24))</f>
        <v>15.00</v>
      </c>
      <c r="D664" s="8" t="str">
        <f t="shared" ca="1" si="32"/>
        <v>—</v>
      </c>
      <c r="E664" s="16">
        <f t="shared" ca="1" si="33"/>
        <v>7</v>
      </c>
    </row>
    <row r="665" spans="1:5" x14ac:dyDescent="0.25">
      <c r="A665" s="3">
        <f t="shared" si="31"/>
        <v>78989</v>
      </c>
      <c r="B665" t="str">
        <f ca="1">TEXT(DATE(YEAR(Invoer!$A$5),1,1)+INT((ROWS(B$2:B665)-1)/24),"""18""jjmmdd")</f>
        <v>18980128</v>
      </c>
      <c r="C665" s="11" t="str">
        <f>INDEX(Data,2,2+MOD(ROWS(C$2:C665)-1,24))</f>
        <v>16.00</v>
      </c>
      <c r="D665" s="8" t="str">
        <f t="shared" ca="1" si="32"/>
        <v>—</v>
      </c>
      <c r="E665" s="16">
        <f t="shared" ca="1" si="33"/>
        <v>7</v>
      </c>
    </row>
    <row r="666" spans="1:5" x14ac:dyDescent="0.25">
      <c r="A666" s="3">
        <f t="shared" si="31"/>
        <v>78989</v>
      </c>
      <c r="B666" t="str">
        <f ca="1">TEXT(DATE(YEAR(Invoer!$A$5),1,1)+INT((ROWS(B$2:B666)-1)/24),"""18""jjmmdd")</f>
        <v>18980128</v>
      </c>
      <c r="C666" s="11" t="str">
        <f>INDEX(Data,2,2+MOD(ROWS(C$2:C666)-1,24))</f>
        <v>17.00</v>
      </c>
      <c r="D666" s="8" t="str">
        <f t="shared" ca="1" si="32"/>
        <v>—</v>
      </c>
      <c r="E666" s="16">
        <f t="shared" ca="1" si="33"/>
        <v>7</v>
      </c>
    </row>
    <row r="667" spans="1:5" x14ac:dyDescent="0.25">
      <c r="A667" s="3">
        <f t="shared" si="31"/>
        <v>78989</v>
      </c>
      <c r="B667" t="str">
        <f ca="1">TEXT(DATE(YEAR(Invoer!$A$5),1,1)+INT((ROWS(B$2:B667)-1)/24),"""18""jjmmdd")</f>
        <v>18980128</v>
      </c>
      <c r="C667" s="11" t="str">
        <f>INDEX(Data,2,2+MOD(ROWS(C$2:C667)-1,24))</f>
        <v>18.00</v>
      </c>
      <c r="D667" s="8" t="str">
        <f t="shared" ca="1" si="32"/>
        <v>—</v>
      </c>
      <c r="E667" s="16">
        <f t="shared" ca="1" si="33"/>
        <v>7</v>
      </c>
    </row>
    <row r="668" spans="1:5" x14ac:dyDescent="0.25">
      <c r="A668" s="3">
        <f t="shared" si="31"/>
        <v>78989</v>
      </c>
      <c r="B668" t="str">
        <f ca="1">TEXT(DATE(YEAR(Invoer!$A$5),1,1)+INT((ROWS(B$2:B668)-1)/24),"""18""jjmmdd")</f>
        <v>18980128</v>
      </c>
      <c r="C668" s="11" t="str">
        <f>INDEX(Data,2,2+MOD(ROWS(C$2:C668)-1,24))</f>
        <v>19.00</v>
      </c>
      <c r="D668" s="8" t="str">
        <f t="shared" ca="1" si="32"/>
        <v>—</v>
      </c>
      <c r="E668" s="16">
        <f t="shared" ca="1" si="33"/>
        <v>7</v>
      </c>
    </row>
    <row r="669" spans="1:5" x14ac:dyDescent="0.25">
      <c r="A669" s="3">
        <f t="shared" si="31"/>
        <v>78989</v>
      </c>
      <c r="B669" t="str">
        <f ca="1">TEXT(DATE(YEAR(Invoer!$A$5),1,1)+INT((ROWS(B$2:B669)-1)/24),"""18""jjmmdd")</f>
        <v>18980128</v>
      </c>
      <c r="C669" s="11" t="str">
        <f>INDEX(Data,2,2+MOD(ROWS(C$2:C669)-1,24))</f>
        <v>20.00</v>
      </c>
      <c r="D669" s="8" t="str">
        <f t="shared" ca="1" si="32"/>
        <v>—</v>
      </c>
      <c r="E669" s="16">
        <f t="shared" ca="1" si="33"/>
        <v>7</v>
      </c>
    </row>
    <row r="670" spans="1:5" x14ac:dyDescent="0.25">
      <c r="A670" s="3">
        <f t="shared" si="31"/>
        <v>78989</v>
      </c>
      <c r="B670" t="str">
        <f ca="1">TEXT(DATE(YEAR(Invoer!$A$5),1,1)+INT((ROWS(B$2:B670)-1)/24),"""18""jjmmdd")</f>
        <v>18980128</v>
      </c>
      <c r="C670" s="11" t="str">
        <f>INDEX(Data,2,2+MOD(ROWS(C$2:C670)-1,24))</f>
        <v>21.00</v>
      </c>
      <c r="D670" s="8" t="str">
        <f t="shared" ca="1" si="32"/>
        <v>—</v>
      </c>
      <c r="E670" s="16">
        <f t="shared" ca="1" si="33"/>
        <v>7</v>
      </c>
    </row>
    <row r="671" spans="1:5" x14ac:dyDescent="0.25">
      <c r="A671" s="3">
        <f t="shared" si="31"/>
        <v>78989</v>
      </c>
      <c r="B671" t="str">
        <f ca="1">TEXT(DATE(YEAR(Invoer!$A$5),1,1)+INT((ROWS(B$2:B671)-1)/24),"""18""jjmmdd")</f>
        <v>18980128</v>
      </c>
      <c r="C671" s="11" t="str">
        <f>INDEX(Data,2,2+MOD(ROWS(C$2:C671)-1,24))</f>
        <v>22.00</v>
      </c>
      <c r="D671" s="8" t="str">
        <f t="shared" ca="1" si="32"/>
        <v>—</v>
      </c>
      <c r="E671" s="16">
        <f t="shared" ca="1" si="33"/>
        <v>7</v>
      </c>
    </row>
    <row r="672" spans="1:5" x14ac:dyDescent="0.25">
      <c r="A672" s="3">
        <f t="shared" si="31"/>
        <v>78989</v>
      </c>
      <c r="B672" t="str">
        <f ca="1">TEXT(DATE(YEAR(Invoer!$A$5),1,1)+INT((ROWS(B$2:B672)-1)/24),"""18""jjmmdd")</f>
        <v>18980128</v>
      </c>
      <c r="C672" s="11" t="str">
        <f>INDEX(Data,2,2+MOD(ROWS(C$2:C672)-1,24))</f>
        <v>23.00</v>
      </c>
      <c r="D672" s="8" t="str">
        <f t="shared" ca="1" si="32"/>
        <v>—</v>
      </c>
      <c r="E672" s="16">
        <f t="shared" ca="1" si="33"/>
        <v>7</v>
      </c>
    </row>
    <row r="673" spans="1:5" x14ac:dyDescent="0.25">
      <c r="A673" s="3">
        <f t="shared" si="31"/>
        <v>78989</v>
      </c>
      <c r="B673" t="str">
        <f ca="1">TEXT(DATE(YEAR(Invoer!$A$5),1,1)+INT((ROWS(B$2:B673)-1)/24),"""18""jjmmdd")</f>
        <v>18980128</v>
      </c>
      <c r="C673" s="11" t="str">
        <f>INDEX(Data,2,2+MOD(ROWS(C$2:C673)-1,24))</f>
        <v>24.00</v>
      </c>
      <c r="D673" s="8" t="str">
        <f t="shared" ca="1" si="32"/>
        <v>—</v>
      </c>
      <c r="E673" s="16">
        <f t="shared" ca="1" si="33"/>
        <v>7</v>
      </c>
    </row>
    <row r="674" spans="1:5" x14ac:dyDescent="0.25">
      <c r="A674" s="3">
        <f t="shared" si="31"/>
        <v>78989</v>
      </c>
      <c r="B674" t="str">
        <f ca="1">TEXT(DATE(YEAR(Invoer!$A$5),1,1)+INT((ROWS(B$2:B674)-1)/24),"""18""jjmmdd")</f>
        <v>18980129</v>
      </c>
      <c r="C674" s="11" t="str">
        <f>INDEX(Data,2,2+MOD(ROWS(C$2:C674)-1,24))</f>
        <v>01.00</v>
      </c>
      <c r="D674" s="8" t="str">
        <f t="shared" ca="1" si="32"/>
        <v>—</v>
      </c>
      <c r="E674" s="16">
        <f t="shared" ca="1" si="33"/>
        <v>7</v>
      </c>
    </row>
    <row r="675" spans="1:5" x14ac:dyDescent="0.25">
      <c r="A675" s="3">
        <f t="shared" si="31"/>
        <v>78989</v>
      </c>
      <c r="B675" t="str">
        <f ca="1">TEXT(DATE(YEAR(Invoer!$A$5),1,1)+INT((ROWS(B$2:B675)-1)/24),"""18""jjmmdd")</f>
        <v>18980129</v>
      </c>
      <c r="C675" s="11" t="str">
        <f>INDEX(Data,2,2+MOD(ROWS(C$2:C675)-1,24))</f>
        <v>02.00</v>
      </c>
      <c r="D675" s="8" t="str">
        <f t="shared" ca="1" si="32"/>
        <v>—</v>
      </c>
      <c r="E675" s="16">
        <f t="shared" ca="1" si="33"/>
        <v>7</v>
      </c>
    </row>
    <row r="676" spans="1:5" x14ac:dyDescent="0.25">
      <c r="A676" s="3">
        <f t="shared" si="31"/>
        <v>78989</v>
      </c>
      <c r="B676" t="str">
        <f ca="1">TEXT(DATE(YEAR(Invoer!$A$5),1,1)+INT((ROWS(B$2:B676)-1)/24),"""18""jjmmdd")</f>
        <v>18980129</v>
      </c>
      <c r="C676" s="11" t="str">
        <f>INDEX(Data,2,2+MOD(ROWS(C$2:C676)-1,24))</f>
        <v>03.00</v>
      </c>
      <c r="D676" s="8" t="str">
        <f t="shared" ca="1" si="32"/>
        <v>—</v>
      </c>
      <c r="E676" s="16">
        <f t="shared" ca="1" si="33"/>
        <v>7</v>
      </c>
    </row>
    <row r="677" spans="1:5" x14ac:dyDescent="0.25">
      <c r="A677" s="3">
        <f t="shared" si="31"/>
        <v>78989</v>
      </c>
      <c r="B677" t="str">
        <f ca="1">TEXT(DATE(YEAR(Invoer!$A$5),1,1)+INT((ROWS(B$2:B677)-1)/24),"""18""jjmmdd")</f>
        <v>18980129</v>
      </c>
      <c r="C677" s="11" t="str">
        <f>INDEX(Data,2,2+MOD(ROWS(C$2:C677)-1,24))</f>
        <v>04.00</v>
      </c>
      <c r="D677" s="8" t="str">
        <f t="shared" ca="1" si="32"/>
        <v>—</v>
      </c>
      <c r="E677" s="16">
        <f t="shared" ca="1" si="33"/>
        <v>7</v>
      </c>
    </row>
    <row r="678" spans="1:5" x14ac:dyDescent="0.25">
      <c r="A678" s="3">
        <f t="shared" si="31"/>
        <v>78989</v>
      </c>
      <c r="B678" t="str">
        <f ca="1">TEXT(DATE(YEAR(Invoer!$A$5),1,1)+INT((ROWS(B$2:B678)-1)/24),"""18""jjmmdd")</f>
        <v>18980129</v>
      </c>
      <c r="C678" s="11" t="str">
        <f>INDEX(Data,2,2+MOD(ROWS(C$2:C678)-1,24))</f>
        <v>05.00</v>
      </c>
      <c r="D678" s="8" t="str">
        <f t="shared" ca="1" si="32"/>
        <v>—</v>
      </c>
      <c r="E678" s="16">
        <f t="shared" ca="1" si="33"/>
        <v>7</v>
      </c>
    </row>
    <row r="679" spans="1:5" x14ac:dyDescent="0.25">
      <c r="A679" s="3">
        <f t="shared" si="31"/>
        <v>78989</v>
      </c>
      <c r="B679" t="str">
        <f ca="1">TEXT(DATE(YEAR(Invoer!$A$5),1,1)+INT((ROWS(B$2:B679)-1)/24),"""18""jjmmdd")</f>
        <v>18980129</v>
      </c>
      <c r="C679" s="11" t="str">
        <f>INDEX(Data,2,2+MOD(ROWS(C$2:C679)-1,24))</f>
        <v>06.00</v>
      </c>
      <c r="D679" s="8" t="str">
        <f t="shared" ca="1" si="32"/>
        <v>—</v>
      </c>
      <c r="E679" s="16">
        <f t="shared" ca="1" si="33"/>
        <v>7</v>
      </c>
    </row>
    <row r="680" spans="1:5" x14ac:dyDescent="0.25">
      <c r="A680" s="3">
        <f t="shared" si="31"/>
        <v>78989</v>
      </c>
      <c r="B680" t="str">
        <f ca="1">TEXT(DATE(YEAR(Invoer!$A$5),1,1)+INT((ROWS(B$2:B680)-1)/24),"""18""jjmmdd")</f>
        <v>18980129</v>
      </c>
      <c r="C680" s="11" t="str">
        <f>INDEX(Data,2,2+MOD(ROWS(C$2:C680)-1,24))</f>
        <v>07.00</v>
      </c>
      <c r="D680" s="8" t="str">
        <f t="shared" ca="1" si="32"/>
        <v>—</v>
      </c>
      <c r="E680" s="16">
        <f t="shared" ca="1" si="33"/>
        <v>7</v>
      </c>
    </row>
    <row r="681" spans="1:5" x14ac:dyDescent="0.25">
      <c r="A681" s="3">
        <f t="shared" si="31"/>
        <v>78989</v>
      </c>
      <c r="B681" t="str">
        <f ca="1">TEXT(DATE(YEAR(Invoer!$A$5),1,1)+INT((ROWS(B$2:B681)-1)/24),"""18""jjmmdd")</f>
        <v>18980129</v>
      </c>
      <c r="C681" s="11" t="str">
        <f>INDEX(Data,2,2+MOD(ROWS(C$2:C681)-1,24))</f>
        <v>08.00</v>
      </c>
      <c r="D681" s="8" t="str">
        <f t="shared" ca="1" si="32"/>
        <v>—</v>
      </c>
      <c r="E681" s="16">
        <f t="shared" ca="1" si="33"/>
        <v>7</v>
      </c>
    </row>
    <row r="682" spans="1:5" x14ac:dyDescent="0.25">
      <c r="A682" s="3">
        <f t="shared" si="31"/>
        <v>78989</v>
      </c>
      <c r="B682" t="str">
        <f ca="1">TEXT(DATE(YEAR(Invoer!$A$5),1,1)+INT((ROWS(B$2:B682)-1)/24),"""18""jjmmdd")</f>
        <v>18980129</v>
      </c>
      <c r="C682" s="11" t="str">
        <f>INDEX(Data,2,2+MOD(ROWS(C$2:C682)-1,24))</f>
        <v>09.00</v>
      </c>
      <c r="D682" s="8" t="str">
        <f t="shared" ca="1" si="32"/>
        <v>—</v>
      </c>
      <c r="E682" s="16">
        <f t="shared" ca="1" si="33"/>
        <v>7</v>
      </c>
    </row>
    <row r="683" spans="1:5" x14ac:dyDescent="0.25">
      <c r="A683" s="3">
        <f t="shared" si="31"/>
        <v>78989</v>
      </c>
      <c r="B683" t="str">
        <f ca="1">TEXT(DATE(YEAR(Invoer!$A$5),1,1)+INT((ROWS(B$2:B683)-1)/24),"""18""jjmmdd")</f>
        <v>18980129</v>
      </c>
      <c r="C683" s="11" t="str">
        <f>INDEX(Data,2,2+MOD(ROWS(C$2:C683)-1,24))</f>
        <v>10.00</v>
      </c>
      <c r="D683" s="8" t="str">
        <f t="shared" ca="1" si="32"/>
        <v>—</v>
      </c>
      <c r="E683" s="16">
        <f t="shared" ca="1" si="33"/>
        <v>7</v>
      </c>
    </row>
    <row r="684" spans="1:5" x14ac:dyDescent="0.25">
      <c r="A684" s="3">
        <f t="shared" si="31"/>
        <v>78989</v>
      </c>
      <c r="B684" t="str">
        <f ca="1">TEXT(DATE(YEAR(Invoer!$A$5),1,1)+INT((ROWS(B$2:B684)-1)/24),"""18""jjmmdd")</f>
        <v>18980129</v>
      </c>
      <c r="C684" s="11" t="str">
        <f>INDEX(Data,2,2+MOD(ROWS(C$2:C684)-1,24))</f>
        <v>11.00</v>
      </c>
      <c r="D684" s="8" t="str">
        <f t="shared" ca="1" si="32"/>
        <v>—</v>
      </c>
      <c r="E684" s="16">
        <f t="shared" ca="1" si="33"/>
        <v>7</v>
      </c>
    </row>
    <row r="685" spans="1:5" x14ac:dyDescent="0.25">
      <c r="A685" s="3">
        <f t="shared" si="31"/>
        <v>78989</v>
      </c>
      <c r="B685" t="str">
        <f ca="1">TEXT(DATE(YEAR(Invoer!$A$5),1,1)+INT((ROWS(B$2:B685)-1)/24),"""18""jjmmdd")</f>
        <v>18980129</v>
      </c>
      <c r="C685" s="11" t="str">
        <f>INDEX(Data,2,2+MOD(ROWS(C$2:C685)-1,24))</f>
        <v>12.00</v>
      </c>
      <c r="D685" s="8" t="str">
        <f t="shared" ca="1" si="32"/>
        <v>—</v>
      </c>
      <c r="E685" s="16">
        <f t="shared" ca="1" si="33"/>
        <v>7</v>
      </c>
    </row>
    <row r="686" spans="1:5" x14ac:dyDescent="0.25">
      <c r="A686" s="3">
        <f t="shared" si="31"/>
        <v>78989</v>
      </c>
      <c r="B686" t="str">
        <f ca="1">TEXT(DATE(YEAR(Invoer!$A$5),1,1)+INT((ROWS(B$2:B686)-1)/24),"""18""jjmmdd")</f>
        <v>18980129</v>
      </c>
      <c r="C686" s="11" t="str">
        <f>INDEX(Data,2,2+MOD(ROWS(C$2:C686)-1,24))</f>
        <v>13.00</v>
      </c>
      <c r="D686" s="8" t="str">
        <f t="shared" ca="1" si="32"/>
        <v>—</v>
      </c>
      <c r="E686" s="16">
        <f t="shared" ca="1" si="33"/>
        <v>7</v>
      </c>
    </row>
    <row r="687" spans="1:5" x14ac:dyDescent="0.25">
      <c r="A687" s="3">
        <f t="shared" si="31"/>
        <v>78989</v>
      </c>
      <c r="B687" t="str">
        <f ca="1">TEXT(DATE(YEAR(Invoer!$A$5),1,1)+INT((ROWS(B$2:B687)-1)/24),"""18""jjmmdd")</f>
        <v>18980129</v>
      </c>
      <c r="C687" s="11" t="str">
        <f>INDEX(Data,2,2+MOD(ROWS(C$2:C687)-1,24))</f>
        <v>14.00</v>
      </c>
      <c r="D687" s="8" t="str">
        <f t="shared" ca="1" si="32"/>
        <v>—</v>
      </c>
      <c r="E687" s="16">
        <f t="shared" ca="1" si="33"/>
        <v>7</v>
      </c>
    </row>
    <row r="688" spans="1:5" x14ac:dyDescent="0.25">
      <c r="A688" s="3">
        <f t="shared" si="31"/>
        <v>78989</v>
      </c>
      <c r="B688" t="str">
        <f ca="1">TEXT(DATE(YEAR(Invoer!$A$5),1,1)+INT((ROWS(B$2:B688)-1)/24),"""18""jjmmdd")</f>
        <v>18980129</v>
      </c>
      <c r="C688" s="11" t="str">
        <f>INDEX(Data,2,2+MOD(ROWS(C$2:C688)-1,24))</f>
        <v>15.00</v>
      </c>
      <c r="D688" s="8" t="str">
        <f t="shared" ca="1" si="32"/>
        <v>—</v>
      </c>
      <c r="E688" s="16">
        <f t="shared" ca="1" si="33"/>
        <v>7</v>
      </c>
    </row>
    <row r="689" spans="1:5" x14ac:dyDescent="0.25">
      <c r="A689" s="3">
        <f t="shared" si="31"/>
        <v>78989</v>
      </c>
      <c r="B689" t="str">
        <f ca="1">TEXT(DATE(YEAR(Invoer!$A$5),1,1)+INT((ROWS(B$2:B689)-1)/24),"""18""jjmmdd")</f>
        <v>18980129</v>
      </c>
      <c r="C689" s="11" t="str">
        <f>INDEX(Data,2,2+MOD(ROWS(C$2:C689)-1,24))</f>
        <v>16.00</v>
      </c>
      <c r="D689" s="8" t="str">
        <f t="shared" ca="1" si="32"/>
        <v>—</v>
      </c>
      <c r="E689" s="16">
        <f t="shared" ca="1" si="33"/>
        <v>7</v>
      </c>
    </row>
    <row r="690" spans="1:5" x14ac:dyDescent="0.25">
      <c r="A690" s="3">
        <f t="shared" si="31"/>
        <v>78989</v>
      </c>
      <c r="B690" t="str">
        <f ca="1">TEXT(DATE(YEAR(Invoer!$A$5),1,1)+INT((ROWS(B$2:B690)-1)/24),"""18""jjmmdd")</f>
        <v>18980129</v>
      </c>
      <c r="C690" s="11" t="str">
        <f>INDEX(Data,2,2+MOD(ROWS(C$2:C690)-1,24))</f>
        <v>17.00</v>
      </c>
      <c r="D690" s="8" t="str">
        <f t="shared" ca="1" si="32"/>
        <v>—</v>
      </c>
      <c r="E690" s="16">
        <f t="shared" ca="1" si="33"/>
        <v>7</v>
      </c>
    </row>
    <row r="691" spans="1:5" x14ac:dyDescent="0.25">
      <c r="A691" s="3">
        <f t="shared" si="31"/>
        <v>78989</v>
      </c>
      <c r="B691" t="str">
        <f ca="1">TEXT(DATE(YEAR(Invoer!$A$5),1,1)+INT((ROWS(B$2:B691)-1)/24),"""18""jjmmdd")</f>
        <v>18980129</v>
      </c>
      <c r="C691" s="11" t="str">
        <f>INDEX(Data,2,2+MOD(ROWS(C$2:C691)-1,24))</f>
        <v>18.00</v>
      </c>
      <c r="D691" s="8" t="str">
        <f t="shared" ca="1" si="32"/>
        <v>—</v>
      </c>
      <c r="E691" s="16">
        <f t="shared" ca="1" si="33"/>
        <v>7</v>
      </c>
    </row>
    <row r="692" spans="1:5" x14ac:dyDescent="0.25">
      <c r="A692" s="3">
        <f t="shared" si="31"/>
        <v>78989</v>
      </c>
      <c r="B692" t="str">
        <f ca="1">TEXT(DATE(YEAR(Invoer!$A$5),1,1)+INT((ROWS(B$2:B692)-1)/24),"""18""jjmmdd")</f>
        <v>18980129</v>
      </c>
      <c r="C692" s="11" t="str">
        <f>INDEX(Data,2,2+MOD(ROWS(C$2:C692)-1,24))</f>
        <v>19.00</v>
      </c>
      <c r="D692" s="8" t="str">
        <f t="shared" ca="1" si="32"/>
        <v>—</v>
      </c>
      <c r="E692" s="16">
        <f t="shared" ca="1" si="33"/>
        <v>7</v>
      </c>
    </row>
    <row r="693" spans="1:5" x14ac:dyDescent="0.25">
      <c r="A693" s="3">
        <f t="shared" si="31"/>
        <v>78989</v>
      </c>
      <c r="B693" t="str">
        <f ca="1">TEXT(DATE(YEAR(Invoer!$A$5),1,1)+INT((ROWS(B$2:B693)-1)/24),"""18""jjmmdd")</f>
        <v>18980129</v>
      </c>
      <c r="C693" s="11" t="str">
        <f>INDEX(Data,2,2+MOD(ROWS(C$2:C693)-1,24))</f>
        <v>20.00</v>
      </c>
      <c r="D693" s="8" t="str">
        <f t="shared" ca="1" si="32"/>
        <v>—</v>
      </c>
      <c r="E693" s="16">
        <f t="shared" ca="1" si="33"/>
        <v>7</v>
      </c>
    </row>
    <row r="694" spans="1:5" x14ac:dyDescent="0.25">
      <c r="A694" s="3">
        <f t="shared" si="31"/>
        <v>78989</v>
      </c>
      <c r="B694" t="str">
        <f ca="1">TEXT(DATE(YEAR(Invoer!$A$5),1,1)+INT((ROWS(B$2:B694)-1)/24),"""18""jjmmdd")</f>
        <v>18980129</v>
      </c>
      <c r="C694" s="11" t="str">
        <f>INDEX(Data,2,2+MOD(ROWS(C$2:C694)-1,24))</f>
        <v>21.00</v>
      </c>
      <c r="D694" s="8" t="str">
        <f t="shared" ca="1" si="32"/>
        <v>—</v>
      </c>
      <c r="E694" s="16">
        <f t="shared" ca="1" si="33"/>
        <v>7</v>
      </c>
    </row>
    <row r="695" spans="1:5" x14ac:dyDescent="0.25">
      <c r="A695" s="3">
        <f t="shared" si="31"/>
        <v>78989</v>
      </c>
      <c r="B695" t="str">
        <f ca="1">TEXT(DATE(YEAR(Invoer!$A$5),1,1)+INT((ROWS(B$2:B695)-1)/24),"""18""jjmmdd")</f>
        <v>18980129</v>
      </c>
      <c r="C695" s="11" t="str">
        <f>INDEX(Data,2,2+MOD(ROWS(C$2:C695)-1,24))</f>
        <v>22.00</v>
      </c>
      <c r="D695" s="8" t="str">
        <f t="shared" ca="1" si="32"/>
        <v>—</v>
      </c>
      <c r="E695" s="16">
        <f t="shared" ca="1" si="33"/>
        <v>7</v>
      </c>
    </row>
    <row r="696" spans="1:5" x14ac:dyDescent="0.25">
      <c r="A696" s="3">
        <f t="shared" si="31"/>
        <v>78989</v>
      </c>
      <c r="B696" t="str">
        <f ca="1">TEXT(DATE(YEAR(Invoer!$A$5),1,1)+INT((ROWS(B$2:B696)-1)/24),"""18""jjmmdd")</f>
        <v>18980129</v>
      </c>
      <c r="C696" s="11" t="str">
        <f>INDEX(Data,2,2+MOD(ROWS(C$2:C696)-1,24))</f>
        <v>23.00</v>
      </c>
      <c r="D696" s="8" t="str">
        <f t="shared" ca="1" si="32"/>
        <v>—</v>
      </c>
      <c r="E696" s="16">
        <f t="shared" ca="1" si="33"/>
        <v>7</v>
      </c>
    </row>
    <row r="697" spans="1:5" x14ac:dyDescent="0.25">
      <c r="A697" s="3">
        <f t="shared" si="31"/>
        <v>78989</v>
      </c>
      <c r="B697" t="str">
        <f ca="1">TEXT(DATE(YEAR(Invoer!$A$5),1,1)+INT((ROWS(B$2:B697)-1)/24),"""18""jjmmdd")</f>
        <v>18980129</v>
      </c>
      <c r="C697" s="11" t="str">
        <f>INDEX(Data,2,2+MOD(ROWS(C$2:C697)-1,24))</f>
        <v>24.00</v>
      </c>
      <c r="D697" s="8" t="str">
        <f t="shared" ca="1" si="32"/>
        <v>—</v>
      </c>
      <c r="E697" s="16">
        <f t="shared" ca="1" si="33"/>
        <v>7</v>
      </c>
    </row>
    <row r="698" spans="1:5" x14ac:dyDescent="0.25">
      <c r="A698" s="3">
        <f t="shared" si="31"/>
        <v>78989</v>
      </c>
      <c r="B698" t="str">
        <f ca="1">TEXT(DATE(YEAR(Invoer!$A$5),1,1)+INT((ROWS(B$2:B698)-1)/24),"""18""jjmmdd")</f>
        <v>18980130</v>
      </c>
      <c r="C698" s="11" t="str">
        <f>INDEX(Data,2,2+MOD(ROWS(C$2:C698)-1,24))</f>
        <v>01.00</v>
      </c>
      <c r="D698" s="8" t="str">
        <f t="shared" ca="1" si="32"/>
        <v>—</v>
      </c>
      <c r="E698" s="16">
        <f t="shared" ca="1" si="33"/>
        <v>7</v>
      </c>
    </row>
    <row r="699" spans="1:5" x14ac:dyDescent="0.25">
      <c r="A699" s="3">
        <f t="shared" si="31"/>
        <v>78989</v>
      </c>
      <c r="B699" t="str">
        <f ca="1">TEXT(DATE(YEAR(Invoer!$A$5),1,1)+INT((ROWS(B$2:B699)-1)/24),"""18""jjmmdd")</f>
        <v>18980130</v>
      </c>
      <c r="C699" s="11" t="str">
        <f>INDEX(Data,2,2+MOD(ROWS(C$2:C699)-1,24))</f>
        <v>02.00</v>
      </c>
      <c r="D699" s="8" t="str">
        <f t="shared" ca="1" si="32"/>
        <v>—</v>
      </c>
      <c r="E699" s="16">
        <f t="shared" ca="1" si="33"/>
        <v>7</v>
      </c>
    </row>
    <row r="700" spans="1:5" x14ac:dyDescent="0.25">
      <c r="A700" s="3">
        <f t="shared" si="31"/>
        <v>78989</v>
      </c>
      <c r="B700" t="str">
        <f ca="1">TEXT(DATE(YEAR(Invoer!$A$5),1,1)+INT((ROWS(B$2:B700)-1)/24),"""18""jjmmdd")</f>
        <v>18980130</v>
      </c>
      <c r="C700" s="11" t="str">
        <f>INDEX(Data,2,2+MOD(ROWS(C$2:C700)-1,24))</f>
        <v>03.00</v>
      </c>
      <c r="D700" s="8" t="str">
        <f t="shared" ca="1" si="32"/>
        <v>—</v>
      </c>
      <c r="E700" s="16">
        <f t="shared" ca="1" si="33"/>
        <v>7</v>
      </c>
    </row>
    <row r="701" spans="1:5" x14ac:dyDescent="0.25">
      <c r="A701" s="3">
        <f t="shared" si="31"/>
        <v>78989</v>
      </c>
      <c r="B701" t="str">
        <f ca="1">TEXT(DATE(YEAR(Invoer!$A$5),1,1)+INT((ROWS(B$2:B701)-1)/24),"""18""jjmmdd")</f>
        <v>18980130</v>
      </c>
      <c r="C701" s="11" t="str">
        <f>INDEX(Data,2,2+MOD(ROWS(C$2:C701)-1,24))</f>
        <v>04.00</v>
      </c>
      <c r="D701" s="8" t="str">
        <f t="shared" ca="1" si="32"/>
        <v>—</v>
      </c>
      <c r="E701" s="16">
        <f t="shared" ca="1" si="33"/>
        <v>7</v>
      </c>
    </row>
    <row r="702" spans="1:5" x14ac:dyDescent="0.25">
      <c r="A702" s="3">
        <f t="shared" si="31"/>
        <v>78989</v>
      </c>
      <c r="B702" t="str">
        <f ca="1">TEXT(DATE(YEAR(Invoer!$A$5),1,1)+INT((ROWS(B$2:B702)-1)/24),"""18""jjmmdd")</f>
        <v>18980130</v>
      </c>
      <c r="C702" s="11" t="str">
        <f>INDEX(Data,2,2+MOD(ROWS(C$2:C702)-1,24))</f>
        <v>05.00</v>
      </c>
      <c r="D702" s="8" t="str">
        <f t="shared" ca="1" si="32"/>
        <v>—</v>
      </c>
      <c r="E702" s="16">
        <f t="shared" ca="1" si="33"/>
        <v>7</v>
      </c>
    </row>
    <row r="703" spans="1:5" x14ac:dyDescent="0.25">
      <c r="A703" s="3">
        <f t="shared" si="31"/>
        <v>78989</v>
      </c>
      <c r="B703" t="str">
        <f ca="1">TEXT(DATE(YEAR(Invoer!$A$5),1,1)+INT((ROWS(B$2:B703)-1)/24),"""18""jjmmdd")</f>
        <v>18980130</v>
      </c>
      <c r="C703" s="11" t="str">
        <f>INDEX(Data,2,2+MOD(ROWS(C$2:C703)-1,24))</f>
        <v>06.00</v>
      </c>
      <c r="D703" s="8" t="str">
        <f t="shared" ca="1" si="32"/>
        <v>—</v>
      </c>
      <c r="E703" s="16">
        <f t="shared" ca="1" si="33"/>
        <v>7</v>
      </c>
    </row>
    <row r="704" spans="1:5" x14ac:dyDescent="0.25">
      <c r="A704" s="3">
        <f t="shared" si="31"/>
        <v>78989</v>
      </c>
      <c r="B704" t="str">
        <f ca="1">TEXT(DATE(YEAR(Invoer!$A$5),1,1)+INT((ROWS(B$2:B704)-1)/24),"""18""jjmmdd")</f>
        <v>18980130</v>
      </c>
      <c r="C704" s="11" t="str">
        <f>INDEX(Data,2,2+MOD(ROWS(C$2:C704)-1,24))</f>
        <v>07.00</v>
      </c>
      <c r="D704" s="8" t="str">
        <f t="shared" ca="1" si="32"/>
        <v>—</v>
      </c>
      <c r="E704" s="16">
        <f t="shared" ca="1" si="33"/>
        <v>7</v>
      </c>
    </row>
    <row r="705" spans="1:5" x14ac:dyDescent="0.25">
      <c r="A705" s="3">
        <f t="shared" si="31"/>
        <v>78989</v>
      </c>
      <c r="B705" t="str">
        <f ca="1">TEXT(DATE(YEAR(Invoer!$A$5),1,1)+INT((ROWS(B$2:B705)-1)/24),"""18""jjmmdd")</f>
        <v>18980130</v>
      </c>
      <c r="C705" s="11" t="str">
        <f>INDEX(Data,2,2+MOD(ROWS(C$2:C705)-1,24))</f>
        <v>08.00</v>
      </c>
      <c r="D705" s="8" t="str">
        <f t="shared" ca="1" si="32"/>
        <v>—</v>
      </c>
      <c r="E705" s="16">
        <f t="shared" ca="1" si="33"/>
        <v>7</v>
      </c>
    </row>
    <row r="706" spans="1:5" x14ac:dyDescent="0.25">
      <c r="A706" s="3">
        <f t="shared" ref="A706:A769" si="34">INDEX(Stations,2,1)</f>
        <v>78989</v>
      </c>
      <c r="B706" t="str">
        <f ca="1">TEXT(DATE(YEAR(Invoer!$A$5),1,1)+INT((ROWS(B$2:B706)-1)/24),"""18""jjmmdd")</f>
        <v>18980130</v>
      </c>
      <c r="C706" s="11" t="str">
        <f>INDEX(Data,2,2+MOD(ROWS(C$2:C706)-1,24))</f>
        <v>09.00</v>
      </c>
      <c r="D706" s="8" t="str">
        <f t="shared" ref="D706:D769" ca="1" si="35">IF(OR(ISBLANK(VLOOKUP(DATEVALUE("37"&amp;MID($B706,3,2)&amp;"-"&amp;MID($B706,5,2)&amp;"-"&amp;RIGHT($B706,2)),Data,MATCH(LEFT(VLOOKUP(D$1,Parameters,2,FALSE()),4)&amp;"*",OFFSET(Data,0,0,1),0)+MATCH($C706,OFFSET(Data,1,0,1),0)-2,FALSE())),ISTEXT(VLOOKUP(DATEVALUE("37"&amp;MID($B706,3,2)&amp;"-"&amp;MID($B706,5,2)&amp;"-"&amp;RIGHT($B706,2)),Data,MATCH(LEFT(VLOOKUP(D$1,Parameters,2,FALSE()),4)&amp;"*",OFFSET(Data,0,0,1),0)+MATCH($C706,OFFSET(Data,1,0,1),0)-2,FALSE()))),"—",VLOOKUP(DATEVALUE("37"&amp;MID($B706,3,2)&amp;"-"&amp;MID($B706,5,2)&amp;"-"&amp;RIGHT($B706,2)),Data,MATCH(LEFT(VLOOKUP(D$1,Parameters,2,FALSE()),4)&amp;"*",OFFSET(Data,0,0,1),0)+MATCH($C706,OFFSET(Data,1,0,1),0)-2,FALSE()))</f>
        <v>—</v>
      </c>
      <c r="E706" s="16">
        <f t="shared" ca="1" si="33"/>
        <v>7</v>
      </c>
    </row>
    <row r="707" spans="1:5" x14ac:dyDescent="0.25">
      <c r="A707" s="3">
        <f t="shared" si="34"/>
        <v>78989</v>
      </c>
      <c r="B707" t="str">
        <f ca="1">TEXT(DATE(YEAR(Invoer!$A$5),1,1)+INT((ROWS(B$2:B707)-1)/24),"""18""jjmmdd")</f>
        <v>18980130</v>
      </c>
      <c r="C707" s="11" t="str">
        <f>INDEX(Data,2,2+MOD(ROWS(C$2:C707)-1,24))</f>
        <v>10.00</v>
      </c>
      <c r="D707" s="8" t="str">
        <f t="shared" ca="1" si="35"/>
        <v>—</v>
      </c>
      <c r="E707" s="16">
        <f t="shared" ref="E707:E770" ca="1" si="36">IF(OR(ISBLANK(VLOOKUP(DATEVALUE("37"&amp;MID($B707,3,2)&amp;"-"&amp;MID($B707,5,2)&amp;"-"&amp;RIGHT($B707,2)),Data,MATCH(LEFT(VLOOKUP(D$1,Parameters,2,FALSE()),4)&amp;"*",OFFSET(Data,0,0,1),0)+MATCH($C707,OFFSET(Data,1,0,1),0)-2,FALSE())),ISTEXT(VLOOKUP(DATEVALUE("37"&amp;MID($B707,3,2)&amp;"-"&amp;MID($B707,5,2)&amp;"-"&amp;RIGHT($B707,2)),Data,MATCH(LEFT(VLOOKUP(D$1,Parameters,2,FALSE()),4)&amp;"*",OFFSET(Data,0,0,1),0)+MATCH($C707,OFFSET(Data,1,0,1),0)-2,FALSE()))),Lacking,IF(ISNA(MATCH(DATEVALUE("37"&amp;MID($B707,3,2)&amp;"-"&amp;MID($B707,5,2)&amp;"-"&amp;RIGHT($B707,2)),OFFSET(Catalogus,0,0,,1),0)),Ok,VLOOKUP(DATEVALUE("37"&amp;MID($B707,3,2)&amp;"-"&amp;MID($B707,5,2)&amp;"-"&amp;RIGHT($B707,2)),Catalogus,MATCH(LEFT(VLOOKUP(MID(E$1,2,LEN(E$1)-1),Parameters,2,FALSE()),4)&amp;"*",OFFSET(Catalogus,0,0,1),0)+MATCH($C707,OFFSET(Catalogus,1,0,1),0)-2,FALSE())))</f>
        <v>7</v>
      </c>
    </row>
    <row r="708" spans="1:5" x14ac:dyDescent="0.25">
      <c r="A708" s="3">
        <f t="shared" si="34"/>
        <v>78989</v>
      </c>
      <c r="B708" t="str">
        <f ca="1">TEXT(DATE(YEAR(Invoer!$A$5),1,1)+INT((ROWS(B$2:B708)-1)/24),"""18""jjmmdd")</f>
        <v>18980130</v>
      </c>
      <c r="C708" s="11" t="str">
        <f>INDEX(Data,2,2+MOD(ROWS(C$2:C708)-1,24))</f>
        <v>11.00</v>
      </c>
      <c r="D708" s="8" t="str">
        <f t="shared" ca="1" si="35"/>
        <v>—</v>
      </c>
      <c r="E708" s="16">
        <f t="shared" ca="1" si="36"/>
        <v>7</v>
      </c>
    </row>
    <row r="709" spans="1:5" x14ac:dyDescent="0.25">
      <c r="A709" s="3">
        <f t="shared" si="34"/>
        <v>78989</v>
      </c>
      <c r="B709" t="str">
        <f ca="1">TEXT(DATE(YEAR(Invoer!$A$5),1,1)+INT((ROWS(B$2:B709)-1)/24),"""18""jjmmdd")</f>
        <v>18980130</v>
      </c>
      <c r="C709" s="11" t="str">
        <f>INDEX(Data,2,2+MOD(ROWS(C$2:C709)-1,24))</f>
        <v>12.00</v>
      </c>
      <c r="D709" s="8" t="str">
        <f t="shared" ca="1" si="35"/>
        <v>—</v>
      </c>
      <c r="E709" s="16">
        <f t="shared" ca="1" si="36"/>
        <v>7</v>
      </c>
    </row>
    <row r="710" spans="1:5" x14ac:dyDescent="0.25">
      <c r="A710" s="3">
        <f t="shared" si="34"/>
        <v>78989</v>
      </c>
      <c r="B710" t="str">
        <f ca="1">TEXT(DATE(YEAR(Invoer!$A$5),1,1)+INT((ROWS(B$2:B710)-1)/24),"""18""jjmmdd")</f>
        <v>18980130</v>
      </c>
      <c r="C710" s="11" t="str">
        <f>INDEX(Data,2,2+MOD(ROWS(C$2:C710)-1,24))</f>
        <v>13.00</v>
      </c>
      <c r="D710" s="8" t="str">
        <f t="shared" ca="1" si="35"/>
        <v>—</v>
      </c>
      <c r="E710" s="16">
        <f t="shared" ca="1" si="36"/>
        <v>7</v>
      </c>
    </row>
    <row r="711" spans="1:5" x14ac:dyDescent="0.25">
      <c r="A711" s="3">
        <f t="shared" si="34"/>
        <v>78989</v>
      </c>
      <c r="B711" t="str">
        <f ca="1">TEXT(DATE(YEAR(Invoer!$A$5),1,1)+INT((ROWS(B$2:B711)-1)/24),"""18""jjmmdd")</f>
        <v>18980130</v>
      </c>
      <c r="C711" s="11" t="str">
        <f>INDEX(Data,2,2+MOD(ROWS(C$2:C711)-1,24))</f>
        <v>14.00</v>
      </c>
      <c r="D711" s="8" t="str">
        <f t="shared" ca="1" si="35"/>
        <v>—</v>
      </c>
      <c r="E711" s="16">
        <f t="shared" ca="1" si="36"/>
        <v>7</v>
      </c>
    </row>
    <row r="712" spans="1:5" x14ac:dyDescent="0.25">
      <c r="A712" s="3">
        <f t="shared" si="34"/>
        <v>78989</v>
      </c>
      <c r="B712" t="str">
        <f ca="1">TEXT(DATE(YEAR(Invoer!$A$5),1,1)+INT((ROWS(B$2:B712)-1)/24),"""18""jjmmdd")</f>
        <v>18980130</v>
      </c>
      <c r="C712" s="11" t="str">
        <f>INDEX(Data,2,2+MOD(ROWS(C$2:C712)-1,24))</f>
        <v>15.00</v>
      </c>
      <c r="D712" s="8" t="str">
        <f t="shared" ca="1" si="35"/>
        <v>—</v>
      </c>
      <c r="E712" s="16">
        <f t="shared" ca="1" si="36"/>
        <v>7</v>
      </c>
    </row>
    <row r="713" spans="1:5" x14ac:dyDescent="0.25">
      <c r="A713" s="3">
        <f t="shared" si="34"/>
        <v>78989</v>
      </c>
      <c r="B713" t="str">
        <f ca="1">TEXT(DATE(YEAR(Invoer!$A$5),1,1)+INT((ROWS(B$2:B713)-1)/24),"""18""jjmmdd")</f>
        <v>18980130</v>
      </c>
      <c r="C713" s="11" t="str">
        <f>INDEX(Data,2,2+MOD(ROWS(C$2:C713)-1,24))</f>
        <v>16.00</v>
      </c>
      <c r="D713" s="8" t="str">
        <f t="shared" ca="1" si="35"/>
        <v>—</v>
      </c>
      <c r="E713" s="16">
        <f t="shared" ca="1" si="36"/>
        <v>7</v>
      </c>
    </row>
    <row r="714" spans="1:5" x14ac:dyDescent="0.25">
      <c r="A714" s="3">
        <f t="shared" si="34"/>
        <v>78989</v>
      </c>
      <c r="B714" t="str">
        <f ca="1">TEXT(DATE(YEAR(Invoer!$A$5),1,1)+INT((ROWS(B$2:B714)-1)/24),"""18""jjmmdd")</f>
        <v>18980130</v>
      </c>
      <c r="C714" s="11" t="str">
        <f>INDEX(Data,2,2+MOD(ROWS(C$2:C714)-1,24))</f>
        <v>17.00</v>
      </c>
      <c r="D714" s="8" t="str">
        <f t="shared" ca="1" si="35"/>
        <v>—</v>
      </c>
      <c r="E714" s="16">
        <f t="shared" ca="1" si="36"/>
        <v>7</v>
      </c>
    </row>
    <row r="715" spans="1:5" x14ac:dyDescent="0.25">
      <c r="A715" s="3">
        <f t="shared" si="34"/>
        <v>78989</v>
      </c>
      <c r="B715" t="str">
        <f ca="1">TEXT(DATE(YEAR(Invoer!$A$5),1,1)+INT((ROWS(B$2:B715)-1)/24),"""18""jjmmdd")</f>
        <v>18980130</v>
      </c>
      <c r="C715" s="11" t="str">
        <f>INDEX(Data,2,2+MOD(ROWS(C$2:C715)-1,24))</f>
        <v>18.00</v>
      </c>
      <c r="D715" s="8" t="str">
        <f t="shared" ca="1" si="35"/>
        <v>—</v>
      </c>
      <c r="E715" s="16">
        <f t="shared" ca="1" si="36"/>
        <v>7</v>
      </c>
    </row>
    <row r="716" spans="1:5" x14ac:dyDescent="0.25">
      <c r="A716" s="3">
        <f t="shared" si="34"/>
        <v>78989</v>
      </c>
      <c r="B716" t="str">
        <f ca="1">TEXT(DATE(YEAR(Invoer!$A$5),1,1)+INT((ROWS(B$2:B716)-1)/24),"""18""jjmmdd")</f>
        <v>18980130</v>
      </c>
      <c r="C716" s="11" t="str">
        <f>INDEX(Data,2,2+MOD(ROWS(C$2:C716)-1,24))</f>
        <v>19.00</v>
      </c>
      <c r="D716" s="8" t="str">
        <f t="shared" ca="1" si="35"/>
        <v>—</v>
      </c>
      <c r="E716" s="16">
        <f t="shared" ca="1" si="36"/>
        <v>7</v>
      </c>
    </row>
    <row r="717" spans="1:5" x14ac:dyDescent="0.25">
      <c r="A717" s="3">
        <f t="shared" si="34"/>
        <v>78989</v>
      </c>
      <c r="B717" t="str">
        <f ca="1">TEXT(DATE(YEAR(Invoer!$A$5),1,1)+INT((ROWS(B$2:B717)-1)/24),"""18""jjmmdd")</f>
        <v>18980130</v>
      </c>
      <c r="C717" s="11" t="str">
        <f>INDEX(Data,2,2+MOD(ROWS(C$2:C717)-1,24))</f>
        <v>20.00</v>
      </c>
      <c r="D717" s="8" t="str">
        <f t="shared" ca="1" si="35"/>
        <v>—</v>
      </c>
      <c r="E717" s="16">
        <f t="shared" ca="1" si="36"/>
        <v>7</v>
      </c>
    </row>
    <row r="718" spans="1:5" x14ac:dyDescent="0.25">
      <c r="A718" s="3">
        <f t="shared" si="34"/>
        <v>78989</v>
      </c>
      <c r="B718" t="str">
        <f ca="1">TEXT(DATE(YEAR(Invoer!$A$5),1,1)+INT((ROWS(B$2:B718)-1)/24),"""18""jjmmdd")</f>
        <v>18980130</v>
      </c>
      <c r="C718" s="11" t="str">
        <f>INDEX(Data,2,2+MOD(ROWS(C$2:C718)-1,24))</f>
        <v>21.00</v>
      </c>
      <c r="D718" s="8" t="str">
        <f t="shared" ca="1" si="35"/>
        <v>—</v>
      </c>
      <c r="E718" s="16">
        <f t="shared" ca="1" si="36"/>
        <v>7</v>
      </c>
    </row>
    <row r="719" spans="1:5" x14ac:dyDescent="0.25">
      <c r="A719" s="3">
        <f t="shared" si="34"/>
        <v>78989</v>
      </c>
      <c r="B719" t="str">
        <f ca="1">TEXT(DATE(YEAR(Invoer!$A$5),1,1)+INT((ROWS(B$2:B719)-1)/24),"""18""jjmmdd")</f>
        <v>18980130</v>
      </c>
      <c r="C719" s="11" t="str">
        <f>INDEX(Data,2,2+MOD(ROWS(C$2:C719)-1,24))</f>
        <v>22.00</v>
      </c>
      <c r="D719" s="8" t="str">
        <f t="shared" ca="1" si="35"/>
        <v>—</v>
      </c>
      <c r="E719" s="16">
        <f t="shared" ca="1" si="36"/>
        <v>7</v>
      </c>
    </row>
    <row r="720" spans="1:5" x14ac:dyDescent="0.25">
      <c r="A720" s="3">
        <f t="shared" si="34"/>
        <v>78989</v>
      </c>
      <c r="B720" t="str">
        <f ca="1">TEXT(DATE(YEAR(Invoer!$A$5),1,1)+INT((ROWS(B$2:B720)-1)/24),"""18""jjmmdd")</f>
        <v>18980130</v>
      </c>
      <c r="C720" s="11" t="str">
        <f>INDEX(Data,2,2+MOD(ROWS(C$2:C720)-1,24))</f>
        <v>23.00</v>
      </c>
      <c r="D720" s="8" t="str">
        <f t="shared" ca="1" si="35"/>
        <v>—</v>
      </c>
      <c r="E720" s="16">
        <f t="shared" ca="1" si="36"/>
        <v>7</v>
      </c>
    </row>
    <row r="721" spans="1:5" x14ac:dyDescent="0.25">
      <c r="A721" s="3">
        <f t="shared" si="34"/>
        <v>78989</v>
      </c>
      <c r="B721" t="str">
        <f ca="1">TEXT(DATE(YEAR(Invoer!$A$5),1,1)+INT((ROWS(B$2:B721)-1)/24),"""18""jjmmdd")</f>
        <v>18980130</v>
      </c>
      <c r="C721" s="11" t="str">
        <f>INDEX(Data,2,2+MOD(ROWS(C$2:C721)-1,24))</f>
        <v>24.00</v>
      </c>
      <c r="D721" s="8" t="str">
        <f t="shared" ca="1" si="35"/>
        <v>—</v>
      </c>
      <c r="E721" s="16">
        <f t="shared" ca="1" si="36"/>
        <v>7</v>
      </c>
    </row>
    <row r="722" spans="1:5" x14ac:dyDescent="0.25">
      <c r="A722" s="3">
        <f t="shared" si="34"/>
        <v>78989</v>
      </c>
      <c r="B722" t="str">
        <f ca="1">TEXT(DATE(YEAR(Invoer!$A$5),1,1)+INT((ROWS(B$2:B722)-1)/24),"""18""jjmmdd")</f>
        <v>18980131</v>
      </c>
      <c r="C722" s="11" t="str">
        <f>INDEX(Data,2,2+MOD(ROWS(C$2:C722)-1,24))</f>
        <v>01.00</v>
      </c>
      <c r="D722" s="8" t="str">
        <f t="shared" ca="1" si="35"/>
        <v>—</v>
      </c>
      <c r="E722" s="16">
        <f t="shared" ca="1" si="36"/>
        <v>7</v>
      </c>
    </row>
    <row r="723" spans="1:5" x14ac:dyDescent="0.25">
      <c r="A723" s="3">
        <f t="shared" si="34"/>
        <v>78989</v>
      </c>
      <c r="B723" t="str">
        <f ca="1">TEXT(DATE(YEAR(Invoer!$A$5),1,1)+INT((ROWS(B$2:B723)-1)/24),"""18""jjmmdd")</f>
        <v>18980131</v>
      </c>
      <c r="C723" s="11" t="str">
        <f>INDEX(Data,2,2+MOD(ROWS(C$2:C723)-1,24))</f>
        <v>02.00</v>
      </c>
      <c r="D723" s="8" t="str">
        <f t="shared" ca="1" si="35"/>
        <v>—</v>
      </c>
      <c r="E723" s="16">
        <f t="shared" ca="1" si="36"/>
        <v>7</v>
      </c>
    </row>
    <row r="724" spans="1:5" x14ac:dyDescent="0.25">
      <c r="A724" s="3">
        <f t="shared" si="34"/>
        <v>78989</v>
      </c>
      <c r="B724" t="str">
        <f ca="1">TEXT(DATE(YEAR(Invoer!$A$5),1,1)+INT((ROWS(B$2:B724)-1)/24),"""18""jjmmdd")</f>
        <v>18980131</v>
      </c>
      <c r="C724" s="11" t="str">
        <f>INDEX(Data,2,2+MOD(ROWS(C$2:C724)-1,24))</f>
        <v>03.00</v>
      </c>
      <c r="D724" s="8" t="str">
        <f t="shared" ca="1" si="35"/>
        <v>—</v>
      </c>
      <c r="E724" s="16">
        <f t="shared" ca="1" si="36"/>
        <v>7</v>
      </c>
    </row>
    <row r="725" spans="1:5" x14ac:dyDescent="0.25">
      <c r="A725" s="3">
        <f t="shared" si="34"/>
        <v>78989</v>
      </c>
      <c r="B725" t="str">
        <f ca="1">TEXT(DATE(YEAR(Invoer!$A$5),1,1)+INT((ROWS(B$2:B725)-1)/24),"""18""jjmmdd")</f>
        <v>18980131</v>
      </c>
      <c r="C725" s="11" t="str">
        <f>INDEX(Data,2,2+MOD(ROWS(C$2:C725)-1,24))</f>
        <v>04.00</v>
      </c>
      <c r="D725" s="8" t="str">
        <f t="shared" ca="1" si="35"/>
        <v>—</v>
      </c>
      <c r="E725" s="16">
        <f t="shared" ca="1" si="36"/>
        <v>7</v>
      </c>
    </row>
    <row r="726" spans="1:5" x14ac:dyDescent="0.25">
      <c r="A726" s="3">
        <f t="shared" si="34"/>
        <v>78989</v>
      </c>
      <c r="B726" t="str">
        <f ca="1">TEXT(DATE(YEAR(Invoer!$A$5),1,1)+INT((ROWS(B$2:B726)-1)/24),"""18""jjmmdd")</f>
        <v>18980131</v>
      </c>
      <c r="C726" s="11" t="str">
        <f>INDEX(Data,2,2+MOD(ROWS(C$2:C726)-1,24))</f>
        <v>05.00</v>
      </c>
      <c r="D726" s="8" t="str">
        <f t="shared" ca="1" si="35"/>
        <v>—</v>
      </c>
      <c r="E726" s="16">
        <f t="shared" ca="1" si="36"/>
        <v>7</v>
      </c>
    </row>
    <row r="727" spans="1:5" x14ac:dyDescent="0.25">
      <c r="A727" s="3">
        <f t="shared" si="34"/>
        <v>78989</v>
      </c>
      <c r="B727" t="str">
        <f ca="1">TEXT(DATE(YEAR(Invoer!$A$5),1,1)+INT((ROWS(B$2:B727)-1)/24),"""18""jjmmdd")</f>
        <v>18980131</v>
      </c>
      <c r="C727" s="11" t="str">
        <f>INDEX(Data,2,2+MOD(ROWS(C$2:C727)-1,24))</f>
        <v>06.00</v>
      </c>
      <c r="D727" s="8" t="str">
        <f t="shared" ca="1" si="35"/>
        <v>—</v>
      </c>
      <c r="E727" s="16">
        <f t="shared" ca="1" si="36"/>
        <v>7</v>
      </c>
    </row>
    <row r="728" spans="1:5" x14ac:dyDescent="0.25">
      <c r="A728" s="3">
        <f t="shared" si="34"/>
        <v>78989</v>
      </c>
      <c r="B728" t="str">
        <f ca="1">TEXT(DATE(YEAR(Invoer!$A$5),1,1)+INT((ROWS(B$2:B728)-1)/24),"""18""jjmmdd")</f>
        <v>18980131</v>
      </c>
      <c r="C728" s="11" t="str">
        <f>INDEX(Data,2,2+MOD(ROWS(C$2:C728)-1,24))</f>
        <v>07.00</v>
      </c>
      <c r="D728" s="8" t="str">
        <f t="shared" ca="1" si="35"/>
        <v>—</v>
      </c>
      <c r="E728" s="16">
        <f t="shared" ca="1" si="36"/>
        <v>7</v>
      </c>
    </row>
    <row r="729" spans="1:5" x14ac:dyDescent="0.25">
      <c r="A729" s="3">
        <f t="shared" si="34"/>
        <v>78989</v>
      </c>
      <c r="B729" t="str">
        <f ca="1">TEXT(DATE(YEAR(Invoer!$A$5),1,1)+INT((ROWS(B$2:B729)-1)/24),"""18""jjmmdd")</f>
        <v>18980131</v>
      </c>
      <c r="C729" s="11" t="str">
        <f>INDEX(Data,2,2+MOD(ROWS(C$2:C729)-1,24))</f>
        <v>08.00</v>
      </c>
      <c r="D729" s="8" t="str">
        <f t="shared" ca="1" si="35"/>
        <v>—</v>
      </c>
      <c r="E729" s="16">
        <f t="shared" ca="1" si="36"/>
        <v>7</v>
      </c>
    </row>
    <row r="730" spans="1:5" x14ac:dyDescent="0.25">
      <c r="A730" s="3">
        <f t="shared" si="34"/>
        <v>78989</v>
      </c>
      <c r="B730" t="str">
        <f ca="1">TEXT(DATE(YEAR(Invoer!$A$5),1,1)+INT((ROWS(B$2:B730)-1)/24),"""18""jjmmdd")</f>
        <v>18980131</v>
      </c>
      <c r="C730" s="11" t="str">
        <f>INDEX(Data,2,2+MOD(ROWS(C$2:C730)-1,24))</f>
        <v>09.00</v>
      </c>
      <c r="D730" s="8" t="str">
        <f t="shared" ca="1" si="35"/>
        <v>—</v>
      </c>
      <c r="E730" s="16">
        <f t="shared" ca="1" si="36"/>
        <v>7</v>
      </c>
    </row>
    <row r="731" spans="1:5" x14ac:dyDescent="0.25">
      <c r="A731" s="3">
        <f t="shared" si="34"/>
        <v>78989</v>
      </c>
      <c r="B731" t="str">
        <f ca="1">TEXT(DATE(YEAR(Invoer!$A$5),1,1)+INT((ROWS(B$2:B731)-1)/24),"""18""jjmmdd")</f>
        <v>18980131</v>
      </c>
      <c r="C731" s="11" t="str">
        <f>INDEX(Data,2,2+MOD(ROWS(C$2:C731)-1,24))</f>
        <v>10.00</v>
      </c>
      <c r="D731" s="8" t="str">
        <f t="shared" ca="1" si="35"/>
        <v>—</v>
      </c>
      <c r="E731" s="16">
        <f t="shared" ca="1" si="36"/>
        <v>7</v>
      </c>
    </row>
    <row r="732" spans="1:5" x14ac:dyDescent="0.25">
      <c r="A732" s="3">
        <f t="shared" si="34"/>
        <v>78989</v>
      </c>
      <c r="B732" t="str">
        <f ca="1">TEXT(DATE(YEAR(Invoer!$A$5),1,1)+INT((ROWS(B$2:B732)-1)/24),"""18""jjmmdd")</f>
        <v>18980131</v>
      </c>
      <c r="C732" s="11" t="str">
        <f>INDEX(Data,2,2+MOD(ROWS(C$2:C732)-1,24))</f>
        <v>11.00</v>
      </c>
      <c r="D732" s="8" t="str">
        <f t="shared" ca="1" si="35"/>
        <v>—</v>
      </c>
      <c r="E732" s="16">
        <f t="shared" ca="1" si="36"/>
        <v>7</v>
      </c>
    </row>
    <row r="733" spans="1:5" x14ac:dyDescent="0.25">
      <c r="A733" s="3">
        <f t="shared" si="34"/>
        <v>78989</v>
      </c>
      <c r="B733" t="str">
        <f ca="1">TEXT(DATE(YEAR(Invoer!$A$5),1,1)+INT((ROWS(B$2:B733)-1)/24),"""18""jjmmdd")</f>
        <v>18980131</v>
      </c>
      <c r="C733" s="11" t="str">
        <f>INDEX(Data,2,2+MOD(ROWS(C$2:C733)-1,24))</f>
        <v>12.00</v>
      </c>
      <c r="D733" s="8" t="str">
        <f t="shared" ca="1" si="35"/>
        <v>—</v>
      </c>
      <c r="E733" s="16">
        <f t="shared" ca="1" si="36"/>
        <v>7</v>
      </c>
    </row>
    <row r="734" spans="1:5" x14ac:dyDescent="0.25">
      <c r="A734" s="3">
        <f t="shared" si="34"/>
        <v>78989</v>
      </c>
      <c r="B734" t="str">
        <f ca="1">TEXT(DATE(YEAR(Invoer!$A$5),1,1)+INT((ROWS(B$2:B734)-1)/24),"""18""jjmmdd")</f>
        <v>18980131</v>
      </c>
      <c r="C734" s="11" t="str">
        <f>INDEX(Data,2,2+MOD(ROWS(C$2:C734)-1,24))</f>
        <v>13.00</v>
      </c>
      <c r="D734" s="8" t="str">
        <f t="shared" ca="1" si="35"/>
        <v>—</v>
      </c>
      <c r="E734" s="16">
        <f t="shared" ca="1" si="36"/>
        <v>7</v>
      </c>
    </row>
    <row r="735" spans="1:5" x14ac:dyDescent="0.25">
      <c r="A735" s="3">
        <f t="shared" si="34"/>
        <v>78989</v>
      </c>
      <c r="B735" t="str">
        <f ca="1">TEXT(DATE(YEAR(Invoer!$A$5),1,1)+INT((ROWS(B$2:B735)-1)/24),"""18""jjmmdd")</f>
        <v>18980131</v>
      </c>
      <c r="C735" s="11" t="str">
        <f>INDEX(Data,2,2+MOD(ROWS(C$2:C735)-1,24))</f>
        <v>14.00</v>
      </c>
      <c r="D735" s="8" t="str">
        <f t="shared" ca="1" si="35"/>
        <v>—</v>
      </c>
      <c r="E735" s="16">
        <f t="shared" ca="1" si="36"/>
        <v>7</v>
      </c>
    </row>
    <row r="736" spans="1:5" x14ac:dyDescent="0.25">
      <c r="A736" s="3">
        <f t="shared" si="34"/>
        <v>78989</v>
      </c>
      <c r="B736" t="str">
        <f ca="1">TEXT(DATE(YEAR(Invoer!$A$5),1,1)+INT((ROWS(B$2:B736)-1)/24),"""18""jjmmdd")</f>
        <v>18980131</v>
      </c>
      <c r="C736" s="11" t="str">
        <f>INDEX(Data,2,2+MOD(ROWS(C$2:C736)-1,24))</f>
        <v>15.00</v>
      </c>
      <c r="D736" s="8" t="str">
        <f t="shared" ca="1" si="35"/>
        <v>—</v>
      </c>
      <c r="E736" s="16">
        <f t="shared" ca="1" si="36"/>
        <v>7</v>
      </c>
    </row>
    <row r="737" spans="1:5" x14ac:dyDescent="0.25">
      <c r="A737" s="3">
        <f t="shared" si="34"/>
        <v>78989</v>
      </c>
      <c r="B737" t="str">
        <f ca="1">TEXT(DATE(YEAR(Invoer!$A$5),1,1)+INT((ROWS(B$2:B737)-1)/24),"""18""jjmmdd")</f>
        <v>18980131</v>
      </c>
      <c r="C737" s="11" t="str">
        <f>INDEX(Data,2,2+MOD(ROWS(C$2:C737)-1,24))</f>
        <v>16.00</v>
      </c>
      <c r="D737" s="8" t="str">
        <f t="shared" ca="1" si="35"/>
        <v>—</v>
      </c>
      <c r="E737" s="16">
        <f t="shared" ca="1" si="36"/>
        <v>7</v>
      </c>
    </row>
    <row r="738" spans="1:5" x14ac:dyDescent="0.25">
      <c r="A738" s="3">
        <f t="shared" si="34"/>
        <v>78989</v>
      </c>
      <c r="B738" t="str">
        <f ca="1">TEXT(DATE(YEAR(Invoer!$A$5),1,1)+INT((ROWS(B$2:B738)-1)/24),"""18""jjmmdd")</f>
        <v>18980131</v>
      </c>
      <c r="C738" s="11" t="str">
        <f>INDEX(Data,2,2+MOD(ROWS(C$2:C738)-1,24))</f>
        <v>17.00</v>
      </c>
      <c r="D738" s="8" t="str">
        <f t="shared" ca="1" si="35"/>
        <v>—</v>
      </c>
      <c r="E738" s="16">
        <f t="shared" ca="1" si="36"/>
        <v>7</v>
      </c>
    </row>
    <row r="739" spans="1:5" x14ac:dyDescent="0.25">
      <c r="A739" s="3">
        <f t="shared" si="34"/>
        <v>78989</v>
      </c>
      <c r="B739" t="str">
        <f ca="1">TEXT(DATE(YEAR(Invoer!$A$5),1,1)+INT((ROWS(B$2:B739)-1)/24),"""18""jjmmdd")</f>
        <v>18980131</v>
      </c>
      <c r="C739" s="11" t="str">
        <f>INDEX(Data,2,2+MOD(ROWS(C$2:C739)-1,24))</f>
        <v>18.00</v>
      </c>
      <c r="D739" s="8" t="str">
        <f t="shared" ca="1" si="35"/>
        <v>—</v>
      </c>
      <c r="E739" s="16">
        <f t="shared" ca="1" si="36"/>
        <v>7</v>
      </c>
    </row>
    <row r="740" spans="1:5" x14ac:dyDescent="0.25">
      <c r="A740" s="3">
        <f t="shared" si="34"/>
        <v>78989</v>
      </c>
      <c r="B740" t="str">
        <f ca="1">TEXT(DATE(YEAR(Invoer!$A$5),1,1)+INT((ROWS(B$2:B740)-1)/24),"""18""jjmmdd")</f>
        <v>18980131</v>
      </c>
      <c r="C740" s="11" t="str">
        <f>INDEX(Data,2,2+MOD(ROWS(C$2:C740)-1,24))</f>
        <v>19.00</v>
      </c>
      <c r="D740" s="8" t="str">
        <f t="shared" ca="1" si="35"/>
        <v>—</v>
      </c>
      <c r="E740" s="16">
        <f t="shared" ca="1" si="36"/>
        <v>7</v>
      </c>
    </row>
    <row r="741" spans="1:5" x14ac:dyDescent="0.25">
      <c r="A741" s="3">
        <f t="shared" si="34"/>
        <v>78989</v>
      </c>
      <c r="B741" t="str">
        <f ca="1">TEXT(DATE(YEAR(Invoer!$A$5),1,1)+INT((ROWS(B$2:B741)-1)/24),"""18""jjmmdd")</f>
        <v>18980131</v>
      </c>
      <c r="C741" s="11" t="str">
        <f>INDEX(Data,2,2+MOD(ROWS(C$2:C741)-1,24))</f>
        <v>20.00</v>
      </c>
      <c r="D741" s="8" t="str">
        <f t="shared" ca="1" si="35"/>
        <v>—</v>
      </c>
      <c r="E741" s="16">
        <f t="shared" ca="1" si="36"/>
        <v>7</v>
      </c>
    </row>
    <row r="742" spans="1:5" x14ac:dyDescent="0.25">
      <c r="A742" s="3">
        <f t="shared" si="34"/>
        <v>78989</v>
      </c>
      <c r="B742" t="str">
        <f ca="1">TEXT(DATE(YEAR(Invoer!$A$5),1,1)+INT((ROWS(B$2:B742)-1)/24),"""18""jjmmdd")</f>
        <v>18980131</v>
      </c>
      <c r="C742" s="11" t="str">
        <f>INDEX(Data,2,2+MOD(ROWS(C$2:C742)-1,24))</f>
        <v>21.00</v>
      </c>
      <c r="D742" s="8" t="str">
        <f t="shared" ca="1" si="35"/>
        <v>—</v>
      </c>
      <c r="E742" s="16">
        <f t="shared" ca="1" si="36"/>
        <v>7</v>
      </c>
    </row>
    <row r="743" spans="1:5" x14ac:dyDescent="0.25">
      <c r="A743" s="3">
        <f t="shared" si="34"/>
        <v>78989</v>
      </c>
      <c r="B743" t="str">
        <f ca="1">TEXT(DATE(YEAR(Invoer!$A$5),1,1)+INT((ROWS(B$2:B743)-1)/24),"""18""jjmmdd")</f>
        <v>18980131</v>
      </c>
      <c r="C743" s="11" t="str">
        <f>INDEX(Data,2,2+MOD(ROWS(C$2:C743)-1,24))</f>
        <v>22.00</v>
      </c>
      <c r="D743" s="8" t="str">
        <f t="shared" ca="1" si="35"/>
        <v>—</v>
      </c>
      <c r="E743" s="16">
        <f t="shared" ca="1" si="36"/>
        <v>7</v>
      </c>
    </row>
    <row r="744" spans="1:5" x14ac:dyDescent="0.25">
      <c r="A744" s="3">
        <f t="shared" si="34"/>
        <v>78989</v>
      </c>
      <c r="B744" t="str">
        <f ca="1">TEXT(DATE(YEAR(Invoer!$A$5),1,1)+INT((ROWS(B$2:B744)-1)/24),"""18""jjmmdd")</f>
        <v>18980131</v>
      </c>
      <c r="C744" s="11" t="str">
        <f>INDEX(Data,2,2+MOD(ROWS(C$2:C744)-1,24))</f>
        <v>23.00</v>
      </c>
      <c r="D744" s="8" t="str">
        <f t="shared" ca="1" si="35"/>
        <v>—</v>
      </c>
      <c r="E744" s="16">
        <f t="shared" ca="1" si="36"/>
        <v>7</v>
      </c>
    </row>
    <row r="745" spans="1:5" x14ac:dyDescent="0.25">
      <c r="A745" s="3">
        <f t="shared" si="34"/>
        <v>78989</v>
      </c>
      <c r="B745" t="str">
        <f ca="1">TEXT(DATE(YEAR(Invoer!$A$5),1,1)+INT((ROWS(B$2:B745)-1)/24),"""18""jjmmdd")</f>
        <v>18980131</v>
      </c>
      <c r="C745" s="11" t="str">
        <f>INDEX(Data,2,2+MOD(ROWS(C$2:C745)-1,24))</f>
        <v>24.00</v>
      </c>
      <c r="D745" s="8" t="str">
        <f t="shared" ca="1" si="35"/>
        <v>—</v>
      </c>
      <c r="E745" s="16">
        <f t="shared" ca="1" si="36"/>
        <v>7</v>
      </c>
    </row>
    <row r="746" spans="1:5" x14ac:dyDescent="0.25">
      <c r="A746" s="3">
        <f t="shared" si="34"/>
        <v>78989</v>
      </c>
      <c r="B746" t="str">
        <f ca="1">TEXT(DATE(YEAR(Invoer!$A$5),1,1)+INT((ROWS(B$2:B746)-1)/24),"""18""jjmmdd")</f>
        <v>18980201</v>
      </c>
      <c r="C746" s="11" t="str">
        <f>INDEX(Data,2,2+MOD(ROWS(C$2:C746)-1,24))</f>
        <v>01.00</v>
      </c>
      <c r="D746" s="8" t="str">
        <f t="shared" ca="1" si="35"/>
        <v>—</v>
      </c>
      <c r="E746" s="16">
        <f t="shared" ca="1" si="36"/>
        <v>7</v>
      </c>
    </row>
    <row r="747" spans="1:5" x14ac:dyDescent="0.25">
      <c r="A747" s="3">
        <f t="shared" si="34"/>
        <v>78989</v>
      </c>
      <c r="B747" t="str">
        <f ca="1">TEXT(DATE(YEAR(Invoer!$A$5),1,1)+INT((ROWS(B$2:B747)-1)/24),"""18""jjmmdd")</f>
        <v>18980201</v>
      </c>
      <c r="C747" s="11" t="str">
        <f>INDEX(Data,2,2+MOD(ROWS(C$2:C747)-1,24))</f>
        <v>02.00</v>
      </c>
      <c r="D747" s="8" t="str">
        <f t="shared" ca="1" si="35"/>
        <v>—</v>
      </c>
      <c r="E747" s="16">
        <f t="shared" ca="1" si="36"/>
        <v>7</v>
      </c>
    </row>
    <row r="748" spans="1:5" x14ac:dyDescent="0.25">
      <c r="A748" s="3">
        <f t="shared" si="34"/>
        <v>78989</v>
      </c>
      <c r="B748" t="str">
        <f ca="1">TEXT(DATE(YEAR(Invoer!$A$5),1,1)+INT((ROWS(B$2:B748)-1)/24),"""18""jjmmdd")</f>
        <v>18980201</v>
      </c>
      <c r="C748" s="11" t="str">
        <f>INDEX(Data,2,2+MOD(ROWS(C$2:C748)-1,24))</f>
        <v>03.00</v>
      </c>
      <c r="D748" s="8" t="str">
        <f t="shared" ca="1" si="35"/>
        <v>—</v>
      </c>
      <c r="E748" s="16">
        <f t="shared" ca="1" si="36"/>
        <v>7</v>
      </c>
    </row>
    <row r="749" spans="1:5" x14ac:dyDescent="0.25">
      <c r="A749" s="3">
        <f t="shared" si="34"/>
        <v>78989</v>
      </c>
      <c r="B749" t="str">
        <f ca="1">TEXT(DATE(YEAR(Invoer!$A$5),1,1)+INT((ROWS(B$2:B749)-1)/24),"""18""jjmmdd")</f>
        <v>18980201</v>
      </c>
      <c r="C749" s="11" t="str">
        <f>INDEX(Data,2,2+MOD(ROWS(C$2:C749)-1,24))</f>
        <v>04.00</v>
      </c>
      <c r="D749" s="8" t="str">
        <f t="shared" ca="1" si="35"/>
        <v>—</v>
      </c>
      <c r="E749" s="16">
        <f t="shared" ca="1" si="36"/>
        <v>7</v>
      </c>
    </row>
    <row r="750" spans="1:5" x14ac:dyDescent="0.25">
      <c r="A750" s="3">
        <f t="shared" si="34"/>
        <v>78989</v>
      </c>
      <c r="B750" t="str">
        <f ca="1">TEXT(DATE(YEAR(Invoer!$A$5),1,1)+INT((ROWS(B$2:B750)-1)/24),"""18""jjmmdd")</f>
        <v>18980201</v>
      </c>
      <c r="C750" s="11" t="str">
        <f>INDEX(Data,2,2+MOD(ROWS(C$2:C750)-1,24))</f>
        <v>05.00</v>
      </c>
      <c r="D750" s="8" t="str">
        <f t="shared" ca="1" si="35"/>
        <v>—</v>
      </c>
      <c r="E750" s="16">
        <f t="shared" ca="1" si="36"/>
        <v>7</v>
      </c>
    </row>
    <row r="751" spans="1:5" x14ac:dyDescent="0.25">
      <c r="A751" s="3">
        <f t="shared" si="34"/>
        <v>78989</v>
      </c>
      <c r="B751" t="str">
        <f ca="1">TEXT(DATE(YEAR(Invoer!$A$5),1,1)+INT((ROWS(B$2:B751)-1)/24),"""18""jjmmdd")</f>
        <v>18980201</v>
      </c>
      <c r="C751" s="11" t="str">
        <f>INDEX(Data,2,2+MOD(ROWS(C$2:C751)-1,24))</f>
        <v>06.00</v>
      </c>
      <c r="D751" s="8" t="str">
        <f t="shared" ca="1" si="35"/>
        <v>—</v>
      </c>
      <c r="E751" s="16">
        <f t="shared" ca="1" si="36"/>
        <v>7</v>
      </c>
    </row>
    <row r="752" spans="1:5" x14ac:dyDescent="0.25">
      <c r="A752" s="3">
        <f t="shared" si="34"/>
        <v>78989</v>
      </c>
      <c r="B752" t="str">
        <f ca="1">TEXT(DATE(YEAR(Invoer!$A$5),1,1)+INT((ROWS(B$2:B752)-1)/24),"""18""jjmmdd")</f>
        <v>18980201</v>
      </c>
      <c r="C752" s="11" t="str">
        <f>INDEX(Data,2,2+MOD(ROWS(C$2:C752)-1,24))</f>
        <v>07.00</v>
      </c>
      <c r="D752" s="8" t="str">
        <f t="shared" ca="1" si="35"/>
        <v>—</v>
      </c>
      <c r="E752" s="16">
        <f t="shared" ca="1" si="36"/>
        <v>7</v>
      </c>
    </row>
    <row r="753" spans="1:5" x14ac:dyDescent="0.25">
      <c r="A753" s="3">
        <f t="shared" si="34"/>
        <v>78989</v>
      </c>
      <c r="B753" t="str">
        <f ca="1">TEXT(DATE(YEAR(Invoer!$A$5),1,1)+INT((ROWS(B$2:B753)-1)/24),"""18""jjmmdd")</f>
        <v>18980201</v>
      </c>
      <c r="C753" s="11" t="str">
        <f>INDEX(Data,2,2+MOD(ROWS(C$2:C753)-1,24))</f>
        <v>08.00</v>
      </c>
      <c r="D753" s="8" t="str">
        <f t="shared" ca="1" si="35"/>
        <v>—</v>
      </c>
      <c r="E753" s="16">
        <f t="shared" ca="1" si="36"/>
        <v>7</v>
      </c>
    </row>
    <row r="754" spans="1:5" x14ac:dyDescent="0.25">
      <c r="A754" s="3">
        <f t="shared" si="34"/>
        <v>78989</v>
      </c>
      <c r="B754" t="str">
        <f ca="1">TEXT(DATE(YEAR(Invoer!$A$5),1,1)+INT((ROWS(B$2:B754)-1)/24),"""18""jjmmdd")</f>
        <v>18980201</v>
      </c>
      <c r="C754" s="11" t="str">
        <f>INDEX(Data,2,2+MOD(ROWS(C$2:C754)-1,24))</f>
        <v>09.00</v>
      </c>
      <c r="D754" s="8" t="str">
        <f t="shared" ca="1" si="35"/>
        <v>—</v>
      </c>
      <c r="E754" s="16">
        <f t="shared" ca="1" si="36"/>
        <v>7</v>
      </c>
    </row>
    <row r="755" spans="1:5" x14ac:dyDescent="0.25">
      <c r="A755" s="3">
        <f t="shared" si="34"/>
        <v>78989</v>
      </c>
      <c r="B755" t="str">
        <f ca="1">TEXT(DATE(YEAR(Invoer!$A$5),1,1)+INT((ROWS(B$2:B755)-1)/24),"""18""jjmmdd")</f>
        <v>18980201</v>
      </c>
      <c r="C755" s="11" t="str">
        <f>INDEX(Data,2,2+MOD(ROWS(C$2:C755)-1,24))</f>
        <v>10.00</v>
      </c>
      <c r="D755" s="8" t="str">
        <f t="shared" ca="1" si="35"/>
        <v>—</v>
      </c>
      <c r="E755" s="16">
        <f t="shared" ca="1" si="36"/>
        <v>7</v>
      </c>
    </row>
    <row r="756" spans="1:5" x14ac:dyDescent="0.25">
      <c r="A756" s="3">
        <f t="shared" si="34"/>
        <v>78989</v>
      </c>
      <c r="B756" t="str">
        <f ca="1">TEXT(DATE(YEAR(Invoer!$A$5),1,1)+INT((ROWS(B$2:B756)-1)/24),"""18""jjmmdd")</f>
        <v>18980201</v>
      </c>
      <c r="C756" s="11" t="str">
        <f>INDEX(Data,2,2+MOD(ROWS(C$2:C756)-1,24))</f>
        <v>11.00</v>
      </c>
      <c r="D756" s="8" t="str">
        <f t="shared" ca="1" si="35"/>
        <v>—</v>
      </c>
      <c r="E756" s="16">
        <f t="shared" ca="1" si="36"/>
        <v>7</v>
      </c>
    </row>
    <row r="757" spans="1:5" x14ac:dyDescent="0.25">
      <c r="A757" s="3">
        <f t="shared" si="34"/>
        <v>78989</v>
      </c>
      <c r="B757" t="str">
        <f ca="1">TEXT(DATE(YEAR(Invoer!$A$5),1,1)+INT((ROWS(B$2:B757)-1)/24),"""18""jjmmdd")</f>
        <v>18980201</v>
      </c>
      <c r="C757" s="11" t="str">
        <f>INDEX(Data,2,2+MOD(ROWS(C$2:C757)-1,24))</f>
        <v>12.00</v>
      </c>
      <c r="D757" s="8" t="str">
        <f t="shared" ca="1" si="35"/>
        <v>—</v>
      </c>
      <c r="E757" s="16">
        <f t="shared" ca="1" si="36"/>
        <v>7</v>
      </c>
    </row>
    <row r="758" spans="1:5" x14ac:dyDescent="0.25">
      <c r="A758" s="3">
        <f t="shared" si="34"/>
        <v>78989</v>
      </c>
      <c r="B758" t="str">
        <f ca="1">TEXT(DATE(YEAR(Invoer!$A$5),1,1)+INT((ROWS(B$2:B758)-1)/24),"""18""jjmmdd")</f>
        <v>18980201</v>
      </c>
      <c r="C758" s="11" t="str">
        <f>INDEX(Data,2,2+MOD(ROWS(C$2:C758)-1,24))</f>
        <v>13.00</v>
      </c>
      <c r="D758" s="8" t="str">
        <f t="shared" ca="1" si="35"/>
        <v>—</v>
      </c>
      <c r="E758" s="16">
        <f t="shared" ca="1" si="36"/>
        <v>7</v>
      </c>
    </row>
    <row r="759" spans="1:5" x14ac:dyDescent="0.25">
      <c r="A759" s="3">
        <f t="shared" si="34"/>
        <v>78989</v>
      </c>
      <c r="B759" t="str">
        <f ca="1">TEXT(DATE(YEAR(Invoer!$A$5),1,1)+INT((ROWS(B$2:B759)-1)/24),"""18""jjmmdd")</f>
        <v>18980201</v>
      </c>
      <c r="C759" s="11" t="str">
        <f>INDEX(Data,2,2+MOD(ROWS(C$2:C759)-1,24))</f>
        <v>14.00</v>
      </c>
      <c r="D759" s="8" t="str">
        <f t="shared" ca="1" si="35"/>
        <v>—</v>
      </c>
      <c r="E759" s="16">
        <f t="shared" ca="1" si="36"/>
        <v>7</v>
      </c>
    </row>
    <row r="760" spans="1:5" x14ac:dyDescent="0.25">
      <c r="A760" s="3">
        <f t="shared" si="34"/>
        <v>78989</v>
      </c>
      <c r="B760" t="str">
        <f ca="1">TEXT(DATE(YEAR(Invoer!$A$5),1,1)+INT((ROWS(B$2:B760)-1)/24),"""18""jjmmdd")</f>
        <v>18980201</v>
      </c>
      <c r="C760" s="11" t="str">
        <f>INDEX(Data,2,2+MOD(ROWS(C$2:C760)-1,24))</f>
        <v>15.00</v>
      </c>
      <c r="D760" s="8" t="str">
        <f t="shared" ca="1" si="35"/>
        <v>—</v>
      </c>
      <c r="E760" s="16">
        <f t="shared" ca="1" si="36"/>
        <v>7</v>
      </c>
    </row>
    <row r="761" spans="1:5" x14ac:dyDescent="0.25">
      <c r="A761" s="3">
        <f t="shared" si="34"/>
        <v>78989</v>
      </c>
      <c r="B761" t="str">
        <f ca="1">TEXT(DATE(YEAR(Invoer!$A$5),1,1)+INT((ROWS(B$2:B761)-1)/24),"""18""jjmmdd")</f>
        <v>18980201</v>
      </c>
      <c r="C761" s="11" t="str">
        <f>INDEX(Data,2,2+MOD(ROWS(C$2:C761)-1,24))</f>
        <v>16.00</v>
      </c>
      <c r="D761" s="8" t="str">
        <f t="shared" ca="1" si="35"/>
        <v>—</v>
      </c>
      <c r="E761" s="16">
        <f t="shared" ca="1" si="36"/>
        <v>7</v>
      </c>
    </row>
    <row r="762" spans="1:5" x14ac:dyDescent="0.25">
      <c r="A762" s="3">
        <f t="shared" si="34"/>
        <v>78989</v>
      </c>
      <c r="B762" t="str">
        <f ca="1">TEXT(DATE(YEAR(Invoer!$A$5),1,1)+INT((ROWS(B$2:B762)-1)/24),"""18""jjmmdd")</f>
        <v>18980201</v>
      </c>
      <c r="C762" s="11" t="str">
        <f>INDEX(Data,2,2+MOD(ROWS(C$2:C762)-1,24))</f>
        <v>17.00</v>
      </c>
      <c r="D762" s="8" t="str">
        <f t="shared" ca="1" si="35"/>
        <v>—</v>
      </c>
      <c r="E762" s="16">
        <f t="shared" ca="1" si="36"/>
        <v>7</v>
      </c>
    </row>
    <row r="763" spans="1:5" x14ac:dyDescent="0.25">
      <c r="A763" s="3">
        <f t="shared" si="34"/>
        <v>78989</v>
      </c>
      <c r="B763" t="str">
        <f ca="1">TEXT(DATE(YEAR(Invoer!$A$5),1,1)+INT((ROWS(B$2:B763)-1)/24),"""18""jjmmdd")</f>
        <v>18980201</v>
      </c>
      <c r="C763" s="11" t="str">
        <f>INDEX(Data,2,2+MOD(ROWS(C$2:C763)-1,24))</f>
        <v>18.00</v>
      </c>
      <c r="D763" s="8" t="str">
        <f t="shared" ca="1" si="35"/>
        <v>—</v>
      </c>
      <c r="E763" s="16">
        <f t="shared" ca="1" si="36"/>
        <v>7</v>
      </c>
    </row>
    <row r="764" spans="1:5" x14ac:dyDescent="0.25">
      <c r="A764" s="3">
        <f t="shared" si="34"/>
        <v>78989</v>
      </c>
      <c r="B764" t="str">
        <f ca="1">TEXT(DATE(YEAR(Invoer!$A$5),1,1)+INT((ROWS(B$2:B764)-1)/24),"""18""jjmmdd")</f>
        <v>18980201</v>
      </c>
      <c r="C764" s="11" t="str">
        <f>INDEX(Data,2,2+MOD(ROWS(C$2:C764)-1,24))</f>
        <v>19.00</v>
      </c>
      <c r="D764" s="8" t="str">
        <f t="shared" ca="1" si="35"/>
        <v>—</v>
      </c>
      <c r="E764" s="16">
        <f t="shared" ca="1" si="36"/>
        <v>7</v>
      </c>
    </row>
    <row r="765" spans="1:5" x14ac:dyDescent="0.25">
      <c r="A765" s="3">
        <f t="shared" si="34"/>
        <v>78989</v>
      </c>
      <c r="B765" t="str">
        <f ca="1">TEXT(DATE(YEAR(Invoer!$A$5),1,1)+INT((ROWS(B$2:B765)-1)/24),"""18""jjmmdd")</f>
        <v>18980201</v>
      </c>
      <c r="C765" s="11" t="str">
        <f>INDEX(Data,2,2+MOD(ROWS(C$2:C765)-1,24))</f>
        <v>20.00</v>
      </c>
      <c r="D765" s="8" t="str">
        <f t="shared" ca="1" si="35"/>
        <v>—</v>
      </c>
      <c r="E765" s="16">
        <f t="shared" ca="1" si="36"/>
        <v>7</v>
      </c>
    </row>
    <row r="766" spans="1:5" x14ac:dyDescent="0.25">
      <c r="A766" s="3">
        <f t="shared" si="34"/>
        <v>78989</v>
      </c>
      <c r="B766" t="str">
        <f ca="1">TEXT(DATE(YEAR(Invoer!$A$5),1,1)+INT((ROWS(B$2:B766)-1)/24),"""18""jjmmdd")</f>
        <v>18980201</v>
      </c>
      <c r="C766" s="11" t="str">
        <f>INDEX(Data,2,2+MOD(ROWS(C$2:C766)-1,24))</f>
        <v>21.00</v>
      </c>
      <c r="D766" s="8" t="str">
        <f t="shared" ca="1" si="35"/>
        <v>—</v>
      </c>
      <c r="E766" s="16">
        <f t="shared" ca="1" si="36"/>
        <v>7</v>
      </c>
    </row>
    <row r="767" spans="1:5" x14ac:dyDescent="0.25">
      <c r="A767" s="3">
        <f t="shared" si="34"/>
        <v>78989</v>
      </c>
      <c r="B767" t="str">
        <f ca="1">TEXT(DATE(YEAR(Invoer!$A$5),1,1)+INT((ROWS(B$2:B767)-1)/24),"""18""jjmmdd")</f>
        <v>18980201</v>
      </c>
      <c r="C767" s="11" t="str">
        <f>INDEX(Data,2,2+MOD(ROWS(C$2:C767)-1,24))</f>
        <v>22.00</v>
      </c>
      <c r="D767" s="8" t="str">
        <f t="shared" ca="1" si="35"/>
        <v>—</v>
      </c>
      <c r="E767" s="16">
        <f t="shared" ca="1" si="36"/>
        <v>7</v>
      </c>
    </row>
    <row r="768" spans="1:5" x14ac:dyDescent="0.25">
      <c r="A768" s="3">
        <f t="shared" si="34"/>
        <v>78989</v>
      </c>
      <c r="B768" t="str">
        <f ca="1">TEXT(DATE(YEAR(Invoer!$A$5),1,1)+INT((ROWS(B$2:B768)-1)/24),"""18""jjmmdd")</f>
        <v>18980201</v>
      </c>
      <c r="C768" s="11" t="str">
        <f>INDEX(Data,2,2+MOD(ROWS(C$2:C768)-1,24))</f>
        <v>23.00</v>
      </c>
      <c r="D768" s="8" t="str">
        <f t="shared" ca="1" si="35"/>
        <v>—</v>
      </c>
      <c r="E768" s="16">
        <f t="shared" ca="1" si="36"/>
        <v>7</v>
      </c>
    </row>
    <row r="769" spans="1:5" x14ac:dyDescent="0.25">
      <c r="A769" s="3">
        <f t="shared" si="34"/>
        <v>78989</v>
      </c>
      <c r="B769" t="str">
        <f ca="1">TEXT(DATE(YEAR(Invoer!$A$5),1,1)+INT((ROWS(B$2:B769)-1)/24),"""18""jjmmdd")</f>
        <v>18980201</v>
      </c>
      <c r="C769" s="11" t="str">
        <f>INDEX(Data,2,2+MOD(ROWS(C$2:C769)-1,24))</f>
        <v>24.00</v>
      </c>
      <c r="D769" s="8" t="str">
        <f t="shared" ca="1" si="35"/>
        <v>—</v>
      </c>
      <c r="E769" s="16">
        <f t="shared" ca="1" si="36"/>
        <v>7</v>
      </c>
    </row>
    <row r="770" spans="1:5" x14ac:dyDescent="0.25">
      <c r="A770" s="3">
        <f t="shared" ref="A770:A833" si="37">INDEX(Stations,2,1)</f>
        <v>78989</v>
      </c>
      <c r="B770" t="str">
        <f ca="1">TEXT(DATE(YEAR(Invoer!$A$5),1,1)+INT((ROWS(B$2:B770)-1)/24),"""18""jjmmdd")</f>
        <v>18980202</v>
      </c>
      <c r="C770" s="11" t="str">
        <f>INDEX(Data,2,2+MOD(ROWS(C$2:C770)-1,24))</f>
        <v>01.00</v>
      </c>
      <c r="D770" s="8" t="str">
        <f t="shared" ref="D770:D833" ca="1" si="38">IF(OR(ISBLANK(VLOOKUP(DATEVALUE("37"&amp;MID($B770,3,2)&amp;"-"&amp;MID($B770,5,2)&amp;"-"&amp;RIGHT($B770,2)),Data,MATCH(LEFT(VLOOKUP(D$1,Parameters,2,FALSE()),4)&amp;"*",OFFSET(Data,0,0,1),0)+MATCH($C770,OFFSET(Data,1,0,1),0)-2,FALSE())),ISTEXT(VLOOKUP(DATEVALUE("37"&amp;MID($B770,3,2)&amp;"-"&amp;MID($B770,5,2)&amp;"-"&amp;RIGHT($B770,2)),Data,MATCH(LEFT(VLOOKUP(D$1,Parameters,2,FALSE()),4)&amp;"*",OFFSET(Data,0,0,1),0)+MATCH($C770,OFFSET(Data,1,0,1),0)-2,FALSE()))),"—",VLOOKUP(DATEVALUE("37"&amp;MID($B770,3,2)&amp;"-"&amp;MID($B770,5,2)&amp;"-"&amp;RIGHT($B770,2)),Data,MATCH(LEFT(VLOOKUP(D$1,Parameters,2,FALSE()),4)&amp;"*",OFFSET(Data,0,0,1),0)+MATCH($C770,OFFSET(Data,1,0,1),0)-2,FALSE()))</f>
        <v>—</v>
      </c>
      <c r="E770" s="16">
        <f t="shared" ca="1" si="36"/>
        <v>7</v>
      </c>
    </row>
    <row r="771" spans="1:5" x14ac:dyDescent="0.25">
      <c r="A771" s="3">
        <f t="shared" si="37"/>
        <v>78989</v>
      </c>
      <c r="B771" t="str">
        <f ca="1">TEXT(DATE(YEAR(Invoer!$A$5),1,1)+INT((ROWS(B$2:B771)-1)/24),"""18""jjmmdd")</f>
        <v>18980202</v>
      </c>
      <c r="C771" s="11" t="str">
        <f>INDEX(Data,2,2+MOD(ROWS(C$2:C771)-1,24))</f>
        <v>02.00</v>
      </c>
      <c r="D771" s="8" t="str">
        <f t="shared" ca="1" si="38"/>
        <v>—</v>
      </c>
      <c r="E771" s="16">
        <f t="shared" ref="E771:E834" ca="1" si="39">IF(OR(ISBLANK(VLOOKUP(DATEVALUE("37"&amp;MID($B771,3,2)&amp;"-"&amp;MID($B771,5,2)&amp;"-"&amp;RIGHT($B771,2)),Data,MATCH(LEFT(VLOOKUP(D$1,Parameters,2,FALSE()),4)&amp;"*",OFFSET(Data,0,0,1),0)+MATCH($C771,OFFSET(Data,1,0,1),0)-2,FALSE())),ISTEXT(VLOOKUP(DATEVALUE("37"&amp;MID($B771,3,2)&amp;"-"&amp;MID($B771,5,2)&amp;"-"&amp;RIGHT($B771,2)),Data,MATCH(LEFT(VLOOKUP(D$1,Parameters,2,FALSE()),4)&amp;"*",OFFSET(Data,0,0,1),0)+MATCH($C771,OFFSET(Data,1,0,1),0)-2,FALSE()))),Lacking,IF(ISNA(MATCH(DATEVALUE("37"&amp;MID($B771,3,2)&amp;"-"&amp;MID($B771,5,2)&amp;"-"&amp;RIGHT($B771,2)),OFFSET(Catalogus,0,0,,1),0)),Ok,VLOOKUP(DATEVALUE("37"&amp;MID($B771,3,2)&amp;"-"&amp;MID($B771,5,2)&amp;"-"&amp;RIGHT($B771,2)),Catalogus,MATCH(LEFT(VLOOKUP(MID(E$1,2,LEN(E$1)-1),Parameters,2,FALSE()),4)&amp;"*",OFFSET(Catalogus,0,0,1),0)+MATCH($C771,OFFSET(Catalogus,1,0,1),0)-2,FALSE())))</f>
        <v>7</v>
      </c>
    </row>
    <row r="772" spans="1:5" x14ac:dyDescent="0.25">
      <c r="A772" s="3">
        <f t="shared" si="37"/>
        <v>78989</v>
      </c>
      <c r="B772" t="str">
        <f ca="1">TEXT(DATE(YEAR(Invoer!$A$5),1,1)+INT((ROWS(B$2:B772)-1)/24),"""18""jjmmdd")</f>
        <v>18980202</v>
      </c>
      <c r="C772" s="11" t="str">
        <f>INDEX(Data,2,2+MOD(ROWS(C$2:C772)-1,24))</f>
        <v>03.00</v>
      </c>
      <c r="D772" s="8" t="str">
        <f t="shared" ca="1" si="38"/>
        <v>—</v>
      </c>
      <c r="E772" s="16">
        <f t="shared" ca="1" si="39"/>
        <v>7</v>
      </c>
    </row>
    <row r="773" spans="1:5" x14ac:dyDescent="0.25">
      <c r="A773" s="3">
        <f t="shared" si="37"/>
        <v>78989</v>
      </c>
      <c r="B773" t="str">
        <f ca="1">TEXT(DATE(YEAR(Invoer!$A$5),1,1)+INT((ROWS(B$2:B773)-1)/24),"""18""jjmmdd")</f>
        <v>18980202</v>
      </c>
      <c r="C773" s="11" t="str">
        <f>INDEX(Data,2,2+MOD(ROWS(C$2:C773)-1,24))</f>
        <v>04.00</v>
      </c>
      <c r="D773" s="8" t="str">
        <f t="shared" ca="1" si="38"/>
        <v>—</v>
      </c>
      <c r="E773" s="16">
        <f t="shared" ca="1" si="39"/>
        <v>7</v>
      </c>
    </row>
    <row r="774" spans="1:5" x14ac:dyDescent="0.25">
      <c r="A774" s="3">
        <f t="shared" si="37"/>
        <v>78989</v>
      </c>
      <c r="B774" t="str">
        <f ca="1">TEXT(DATE(YEAR(Invoer!$A$5),1,1)+INT((ROWS(B$2:B774)-1)/24),"""18""jjmmdd")</f>
        <v>18980202</v>
      </c>
      <c r="C774" s="11" t="str">
        <f>INDEX(Data,2,2+MOD(ROWS(C$2:C774)-1,24))</f>
        <v>05.00</v>
      </c>
      <c r="D774" s="8" t="str">
        <f t="shared" ca="1" si="38"/>
        <v>—</v>
      </c>
      <c r="E774" s="16">
        <f t="shared" ca="1" si="39"/>
        <v>7</v>
      </c>
    </row>
    <row r="775" spans="1:5" x14ac:dyDescent="0.25">
      <c r="A775" s="3">
        <f t="shared" si="37"/>
        <v>78989</v>
      </c>
      <c r="B775" t="str">
        <f ca="1">TEXT(DATE(YEAR(Invoer!$A$5),1,1)+INT((ROWS(B$2:B775)-1)/24),"""18""jjmmdd")</f>
        <v>18980202</v>
      </c>
      <c r="C775" s="11" t="str">
        <f>INDEX(Data,2,2+MOD(ROWS(C$2:C775)-1,24))</f>
        <v>06.00</v>
      </c>
      <c r="D775" s="8" t="str">
        <f t="shared" ca="1" si="38"/>
        <v>—</v>
      </c>
      <c r="E775" s="16">
        <f t="shared" ca="1" si="39"/>
        <v>7</v>
      </c>
    </row>
    <row r="776" spans="1:5" x14ac:dyDescent="0.25">
      <c r="A776" s="3">
        <f t="shared" si="37"/>
        <v>78989</v>
      </c>
      <c r="B776" t="str">
        <f ca="1">TEXT(DATE(YEAR(Invoer!$A$5),1,1)+INT((ROWS(B$2:B776)-1)/24),"""18""jjmmdd")</f>
        <v>18980202</v>
      </c>
      <c r="C776" s="11" t="str">
        <f>INDEX(Data,2,2+MOD(ROWS(C$2:C776)-1,24))</f>
        <v>07.00</v>
      </c>
      <c r="D776" s="8" t="str">
        <f t="shared" ca="1" si="38"/>
        <v>—</v>
      </c>
      <c r="E776" s="16">
        <f t="shared" ca="1" si="39"/>
        <v>7</v>
      </c>
    </row>
    <row r="777" spans="1:5" x14ac:dyDescent="0.25">
      <c r="A777" s="3">
        <f t="shared" si="37"/>
        <v>78989</v>
      </c>
      <c r="B777" t="str">
        <f ca="1">TEXT(DATE(YEAR(Invoer!$A$5),1,1)+INT((ROWS(B$2:B777)-1)/24),"""18""jjmmdd")</f>
        <v>18980202</v>
      </c>
      <c r="C777" s="11" t="str">
        <f>INDEX(Data,2,2+MOD(ROWS(C$2:C777)-1,24))</f>
        <v>08.00</v>
      </c>
      <c r="D777" s="8" t="str">
        <f t="shared" ca="1" si="38"/>
        <v>—</v>
      </c>
      <c r="E777" s="16">
        <f t="shared" ca="1" si="39"/>
        <v>7</v>
      </c>
    </row>
    <row r="778" spans="1:5" x14ac:dyDescent="0.25">
      <c r="A778" s="3">
        <f t="shared" si="37"/>
        <v>78989</v>
      </c>
      <c r="B778" t="str">
        <f ca="1">TEXT(DATE(YEAR(Invoer!$A$5),1,1)+INT((ROWS(B$2:B778)-1)/24),"""18""jjmmdd")</f>
        <v>18980202</v>
      </c>
      <c r="C778" s="11" t="str">
        <f>INDEX(Data,2,2+MOD(ROWS(C$2:C778)-1,24))</f>
        <v>09.00</v>
      </c>
      <c r="D778" s="8" t="str">
        <f t="shared" ca="1" si="38"/>
        <v>—</v>
      </c>
      <c r="E778" s="16">
        <f t="shared" ca="1" si="39"/>
        <v>7</v>
      </c>
    </row>
    <row r="779" spans="1:5" x14ac:dyDescent="0.25">
      <c r="A779" s="3">
        <f t="shared" si="37"/>
        <v>78989</v>
      </c>
      <c r="B779" t="str">
        <f ca="1">TEXT(DATE(YEAR(Invoer!$A$5),1,1)+INT((ROWS(B$2:B779)-1)/24),"""18""jjmmdd")</f>
        <v>18980202</v>
      </c>
      <c r="C779" s="11" t="str">
        <f>INDEX(Data,2,2+MOD(ROWS(C$2:C779)-1,24))</f>
        <v>10.00</v>
      </c>
      <c r="D779" s="8" t="str">
        <f t="shared" ca="1" si="38"/>
        <v>—</v>
      </c>
      <c r="E779" s="16">
        <f t="shared" ca="1" si="39"/>
        <v>7</v>
      </c>
    </row>
    <row r="780" spans="1:5" x14ac:dyDescent="0.25">
      <c r="A780" s="3">
        <f t="shared" si="37"/>
        <v>78989</v>
      </c>
      <c r="B780" t="str">
        <f ca="1">TEXT(DATE(YEAR(Invoer!$A$5),1,1)+INT((ROWS(B$2:B780)-1)/24),"""18""jjmmdd")</f>
        <v>18980202</v>
      </c>
      <c r="C780" s="11" t="str">
        <f>INDEX(Data,2,2+MOD(ROWS(C$2:C780)-1,24))</f>
        <v>11.00</v>
      </c>
      <c r="D780" s="8" t="str">
        <f t="shared" ca="1" si="38"/>
        <v>—</v>
      </c>
      <c r="E780" s="16">
        <f t="shared" ca="1" si="39"/>
        <v>7</v>
      </c>
    </row>
    <row r="781" spans="1:5" x14ac:dyDescent="0.25">
      <c r="A781" s="3">
        <f t="shared" si="37"/>
        <v>78989</v>
      </c>
      <c r="B781" t="str">
        <f ca="1">TEXT(DATE(YEAR(Invoer!$A$5),1,1)+INT((ROWS(B$2:B781)-1)/24),"""18""jjmmdd")</f>
        <v>18980202</v>
      </c>
      <c r="C781" s="11" t="str">
        <f>INDEX(Data,2,2+MOD(ROWS(C$2:C781)-1,24))</f>
        <v>12.00</v>
      </c>
      <c r="D781" s="8" t="str">
        <f t="shared" ca="1" si="38"/>
        <v>—</v>
      </c>
      <c r="E781" s="16">
        <f t="shared" ca="1" si="39"/>
        <v>7</v>
      </c>
    </row>
    <row r="782" spans="1:5" x14ac:dyDescent="0.25">
      <c r="A782" s="3">
        <f t="shared" si="37"/>
        <v>78989</v>
      </c>
      <c r="B782" t="str">
        <f ca="1">TEXT(DATE(YEAR(Invoer!$A$5),1,1)+INT((ROWS(B$2:B782)-1)/24),"""18""jjmmdd")</f>
        <v>18980202</v>
      </c>
      <c r="C782" s="11" t="str">
        <f>INDEX(Data,2,2+MOD(ROWS(C$2:C782)-1,24))</f>
        <v>13.00</v>
      </c>
      <c r="D782" s="8" t="str">
        <f t="shared" ca="1" si="38"/>
        <v>—</v>
      </c>
      <c r="E782" s="16">
        <f t="shared" ca="1" si="39"/>
        <v>7</v>
      </c>
    </row>
    <row r="783" spans="1:5" x14ac:dyDescent="0.25">
      <c r="A783" s="3">
        <f t="shared" si="37"/>
        <v>78989</v>
      </c>
      <c r="B783" t="str">
        <f ca="1">TEXT(DATE(YEAR(Invoer!$A$5),1,1)+INT((ROWS(B$2:B783)-1)/24),"""18""jjmmdd")</f>
        <v>18980202</v>
      </c>
      <c r="C783" s="11" t="str">
        <f>INDEX(Data,2,2+MOD(ROWS(C$2:C783)-1,24))</f>
        <v>14.00</v>
      </c>
      <c r="D783" s="8" t="str">
        <f t="shared" ca="1" si="38"/>
        <v>—</v>
      </c>
      <c r="E783" s="16">
        <f t="shared" ca="1" si="39"/>
        <v>7</v>
      </c>
    </row>
    <row r="784" spans="1:5" x14ac:dyDescent="0.25">
      <c r="A784" s="3">
        <f t="shared" si="37"/>
        <v>78989</v>
      </c>
      <c r="B784" t="str">
        <f ca="1">TEXT(DATE(YEAR(Invoer!$A$5),1,1)+INT((ROWS(B$2:B784)-1)/24),"""18""jjmmdd")</f>
        <v>18980202</v>
      </c>
      <c r="C784" s="11" t="str">
        <f>INDEX(Data,2,2+MOD(ROWS(C$2:C784)-1,24))</f>
        <v>15.00</v>
      </c>
      <c r="D784" s="8" t="str">
        <f t="shared" ca="1" si="38"/>
        <v>—</v>
      </c>
      <c r="E784" s="16">
        <f t="shared" ca="1" si="39"/>
        <v>7</v>
      </c>
    </row>
    <row r="785" spans="1:5" x14ac:dyDescent="0.25">
      <c r="A785" s="3">
        <f t="shared" si="37"/>
        <v>78989</v>
      </c>
      <c r="B785" t="str">
        <f ca="1">TEXT(DATE(YEAR(Invoer!$A$5),1,1)+INT((ROWS(B$2:B785)-1)/24),"""18""jjmmdd")</f>
        <v>18980202</v>
      </c>
      <c r="C785" s="11" t="str">
        <f>INDEX(Data,2,2+MOD(ROWS(C$2:C785)-1,24))</f>
        <v>16.00</v>
      </c>
      <c r="D785" s="8" t="str">
        <f t="shared" ca="1" si="38"/>
        <v>—</v>
      </c>
      <c r="E785" s="16">
        <f t="shared" ca="1" si="39"/>
        <v>7</v>
      </c>
    </row>
    <row r="786" spans="1:5" x14ac:dyDescent="0.25">
      <c r="A786" s="3">
        <f t="shared" si="37"/>
        <v>78989</v>
      </c>
      <c r="B786" t="str">
        <f ca="1">TEXT(DATE(YEAR(Invoer!$A$5),1,1)+INT((ROWS(B$2:B786)-1)/24),"""18""jjmmdd")</f>
        <v>18980202</v>
      </c>
      <c r="C786" s="11" t="str">
        <f>INDEX(Data,2,2+MOD(ROWS(C$2:C786)-1,24))</f>
        <v>17.00</v>
      </c>
      <c r="D786" s="8" t="str">
        <f t="shared" ca="1" si="38"/>
        <v>—</v>
      </c>
      <c r="E786" s="16">
        <f t="shared" ca="1" si="39"/>
        <v>7</v>
      </c>
    </row>
    <row r="787" spans="1:5" x14ac:dyDescent="0.25">
      <c r="A787" s="3">
        <f t="shared" si="37"/>
        <v>78989</v>
      </c>
      <c r="B787" t="str">
        <f ca="1">TEXT(DATE(YEAR(Invoer!$A$5),1,1)+INT((ROWS(B$2:B787)-1)/24),"""18""jjmmdd")</f>
        <v>18980202</v>
      </c>
      <c r="C787" s="11" t="str">
        <f>INDEX(Data,2,2+MOD(ROWS(C$2:C787)-1,24))</f>
        <v>18.00</v>
      </c>
      <c r="D787" s="8" t="str">
        <f t="shared" ca="1" si="38"/>
        <v>—</v>
      </c>
      <c r="E787" s="16">
        <f t="shared" ca="1" si="39"/>
        <v>7</v>
      </c>
    </row>
    <row r="788" spans="1:5" x14ac:dyDescent="0.25">
      <c r="A788" s="3">
        <f t="shared" si="37"/>
        <v>78989</v>
      </c>
      <c r="B788" t="str">
        <f ca="1">TEXT(DATE(YEAR(Invoer!$A$5),1,1)+INT((ROWS(B$2:B788)-1)/24),"""18""jjmmdd")</f>
        <v>18980202</v>
      </c>
      <c r="C788" s="11" t="str">
        <f>INDEX(Data,2,2+MOD(ROWS(C$2:C788)-1,24))</f>
        <v>19.00</v>
      </c>
      <c r="D788" s="8" t="str">
        <f t="shared" ca="1" si="38"/>
        <v>—</v>
      </c>
      <c r="E788" s="16">
        <f t="shared" ca="1" si="39"/>
        <v>7</v>
      </c>
    </row>
    <row r="789" spans="1:5" x14ac:dyDescent="0.25">
      <c r="A789" s="3">
        <f t="shared" si="37"/>
        <v>78989</v>
      </c>
      <c r="B789" t="str">
        <f ca="1">TEXT(DATE(YEAR(Invoer!$A$5),1,1)+INT((ROWS(B$2:B789)-1)/24),"""18""jjmmdd")</f>
        <v>18980202</v>
      </c>
      <c r="C789" s="11" t="str">
        <f>INDEX(Data,2,2+MOD(ROWS(C$2:C789)-1,24))</f>
        <v>20.00</v>
      </c>
      <c r="D789" s="8" t="str">
        <f t="shared" ca="1" si="38"/>
        <v>—</v>
      </c>
      <c r="E789" s="16">
        <f t="shared" ca="1" si="39"/>
        <v>7</v>
      </c>
    </row>
    <row r="790" spans="1:5" x14ac:dyDescent="0.25">
      <c r="A790" s="3">
        <f t="shared" si="37"/>
        <v>78989</v>
      </c>
      <c r="B790" t="str">
        <f ca="1">TEXT(DATE(YEAR(Invoer!$A$5),1,1)+INT((ROWS(B$2:B790)-1)/24),"""18""jjmmdd")</f>
        <v>18980202</v>
      </c>
      <c r="C790" s="11" t="str">
        <f>INDEX(Data,2,2+MOD(ROWS(C$2:C790)-1,24))</f>
        <v>21.00</v>
      </c>
      <c r="D790" s="8" t="str">
        <f t="shared" ca="1" si="38"/>
        <v>—</v>
      </c>
      <c r="E790" s="16">
        <f t="shared" ca="1" si="39"/>
        <v>7</v>
      </c>
    </row>
    <row r="791" spans="1:5" x14ac:dyDescent="0.25">
      <c r="A791" s="3">
        <f t="shared" si="37"/>
        <v>78989</v>
      </c>
      <c r="B791" t="str">
        <f ca="1">TEXT(DATE(YEAR(Invoer!$A$5),1,1)+INT((ROWS(B$2:B791)-1)/24),"""18""jjmmdd")</f>
        <v>18980202</v>
      </c>
      <c r="C791" s="11" t="str">
        <f>INDEX(Data,2,2+MOD(ROWS(C$2:C791)-1,24))</f>
        <v>22.00</v>
      </c>
      <c r="D791" s="8" t="str">
        <f t="shared" ca="1" si="38"/>
        <v>—</v>
      </c>
      <c r="E791" s="16">
        <f t="shared" ca="1" si="39"/>
        <v>7</v>
      </c>
    </row>
    <row r="792" spans="1:5" x14ac:dyDescent="0.25">
      <c r="A792" s="3">
        <f t="shared" si="37"/>
        <v>78989</v>
      </c>
      <c r="B792" t="str">
        <f ca="1">TEXT(DATE(YEAR(Invoer!$A$5),1,1)+INT((ROWS(B$2:B792)-1)/24),"""18""jjmmdd")</f>
        <v>18980202</v>
      </c>
      <c r="C792" s="11" t="str">
        <f>INDEX(Data,2,2+MOD(ROWS(C$2:C792)-1,24))</f>
        <v>23.00</v>
      </c>
      <c r="D792" s="8" t="str">
        <f t="shared" ca="1" si="38"/>
        <v>—</v>
      </c>
      <c r="E792" s="16">
        <f t="shared" ca="1" si="39"/>
        <v>7</v>
      </c>
    </row>
    <row r="793" spans="1:5" x14ac:dyDescent="0.25">
      <c r="A793" s="3">
        <f t="shared" si="37"/>
        <v>78989</v>
      </c>
      <c r="B793" t="str">
        <f ca="1">TEXT(DATE(YEAR(Invoer!$A$5),1,1)+INT((ROWS(B$2:B793)-1)/24),"""18""jjmmdd")</f>
        <v>18980202</v>
      </c>
      <c r="C793" s="11" t="str">
        <f>INDEX(Data,2,2+MOD(ROWS(C$2:C793)-1,24))</f>
        <v>24.00</v>
      </c>
      <c r="D793" s="8" t="str">
        <f t="shared" ca="1" si="38"/>
        <v>—</v>
      </c>
      <c r="E793" s="16">
        <f t="shared" ca="1" si="39"/>
        <v>7</v>
      </c>
    </row>
    <row r="794" spans="1:5" x14ac:dyDescent="0.25">
      <c r="A794" s="3">
        <f t="shared" si="37"/>
        <v>78989</v>
      </c>
      <c r="B794" t="str">
        <f ca="1">TEXT(DATE(YEAR(Invoer!$A$5),1,1)+INT((ROWS(B$2:B794)-1)/24),"""18""jjmmdd")</f>
        <v>18980203</v>
      </c>
      <c r="C794" s="11" t="str">
        <f>INDEX(Data,2,2+MOD(ROWS(C$2:C794)-1,24))</f>
        <v>01.00</v>
      </c>
      <c r="D794" s="8" t="str">
        <f t="shared" ca="1" si="38"/>
        <v>—</v>
      </c>
      <c r="E794" s="16">
        <f t="shared" ca="1" si="39"/>
        <v>7</v>
      </c>
    </row>
    <row r="795" spans="1:5" x14ac:dyDescent="0.25">
      <c r="A795" s="3">
        <f t="shared" si="37"/>
        <v>78989</v>
      </c>
      <c r="B795" t="str">
        <f ca="1">TEXT(DATE(YEAR(Invoer!$A$5),1,1)+INT((ROWS(B$2:B795)-1)/24),"""18""jjmmdd")</f>
        <v>18980203</v>
      </c>
      <c r="C795" s="11" t="str">
        <f>INDEX(Data,2,2+MOD(ROWS(C$2:C795)-1,24))</f>
        <v>02.00</v>
      </c>
      <c r="D795" s="8" t="str">
        <f t="shared" ca="1" si="38"/>
        <v>—</v>
      </c>
      <c r="E795" s="16">
        <f t="shared" ca="1" si="39"/>
        <v>7</v>
      </c>
    </row>
    <row r="796" spans="1:5" x14ac:dyDescent="0.25">
      <c r="A796" s="3">
        <f t="shared" si="37"/>
        <v>78989</v>
      </c>
      <c r="B796" t="str">
        <f ca="1">TEXT(DATE(YEAR(Invoer!$A$5),1,1)+INT((ROWS(B$2:B796)-1)/24),"""18""jjmmdd")</f>
        <v>18980203</v>
      </c>
      <c r="C796" s="11" t="str">
        <f>INDEX(Data,2,2+MOD(ROWS(C$2:C796)-1,24))</f>
        <v>03.00</v>
      </c>
      <c r="D796" s="8" t="str">
        <f t="shared" ca="1" si="38"/>
        <v>—</v>
      </c>
      <c r="E796" s="16">
        <f t="shared" ca="1" si="39"/>
        <v>7</v>
      </c>
    </row>
    <row r="797" spans="1:5" x14ac:dyDescent="0.25">
      <c r="A797" s="3">
        <f t="shared" si="37"/>
        <v>78989</v>
      </c>
      <c r="B797" t="str">
        <f ca="1">TEXT(DATE(YEAR(Invoer!$A$5),1,1)+INT((ROWS(B$2:B797)-1)/24),"""18""jjmmdd")</f>
        <v>18980203</v>
      </c>
      <c r="C797" s="11" t="str">
        <f>INDEX(Data,2,2+MOD(ROWS(C$2:C797)-1,24))</f>
        <v>04.00</v>
      </c>
      <c r="D797" s="8" t="str">
        <f t="shared" ca="1" si="38"/>
        <v>—</v>
      </c>
      <c r="E797" s="16">
        <f t="shared" ca="1" si="39"/>
        <v>7</v>
      </c>
    </row>
    <row r="798" spans="1:5" x14ac:dyDescent="0.25">
      <c r="A798" s="3">
        <f t="shared" si="37"/>
        <v>78989</v>
      </c>
      <c r="B798" t="str">
        <f ca="1">TEXT(DATE(YEAR(Invoer!$A$5),1,1)+INT((ROWS(B$2:B798)-1)/24),"""18""jjmmdd")</f>
        <v>18980203</v>
      </c>
      <c r="C798" s="11" t="str">
        <f>INDEX(Data,2,2+MOD(ROWS(C$2:C798)-1,24))</f>
        <v>05.00</v>
      </c>
      <c r="D798" s="8" t="str">
        <f t="shared" ca="1" si="38"/>
        <v>—</v>
      </c>
      <c r="E798" s="16">
        <f t="shared" ca="1" si="39"/>
        <v>7</v>
      </c>
    </row>
    <row r="799" spans="1:5" x14ac:dyDescent="0.25">
      <c r="A799" s="3">
        <f t="shared" si="37"/>
        <v>78989</v>
      </c>
      <c r="B799" t="str">
        <f ca="1">TEXT(DATE(YEAR(Invoer!$A$5),1,1)+INT((ROWS(B$2:B799)-1)/24),"""18""jjmmdd")</f>
        <v>18980203</v>
      </c>
      <c r="C799" s="11" t="str">
        <f>INDEX(Data,2,2+MOD(ROWS(C$2:C799)-1,24))</f>
        <v>06.00</v>
      </c>
      <c r="D799" s="8" t="str">
        <f t="shared" ca="1" si="38"/>
        <v>—</v>
      </c>
      <c r="E799" s="16">
        <f t="shared" ca="1" si="39"/>
        <v>7</v>
      </c>
    </row>
    <row r="800" spans="1:5" x14ac:dyDescent="0.25">
      <c r="A800" s="3">
        <f t="shared" si="37"/>
        <v>78989</v>
      </c>
      <c r="B800" t="str">
        <f ca="1">TEXT(DATE(YEAR(Invoer!$A$5),1,1)+INT((ROWS(B$2:B800)-1)/24),"""18""jjmmdd")</f>
        <v>18980203</v>
      </c>
      <c r="C800" s="11" t="str">
        <f>INDEX(Data,2,2+MOD(ROWS(C$2:C800)-1,24))</f>
        <v>07.00</v>
      </c>
      <c r="D800" s="8" t="str">
        <f t="shared" ca="1" si="38"/>
        <v>—</v>
      </c>
      <c r="E800" s="16">
        <f t="shared" ca="1" si="39"/>
        <v>7</v>
      </c>
    </row>
    <row r="801" spans="1:5" x14ac:dyDescent="0.25">
      <c r="A801" s="3">
        <f t="shared" si="37"/>
        <v>78989</v>
      </c>
      <c r="B801" t="str">
        <f ca="1">TEXT(DATE(YEAR(Invoer!$A$5),1,1)+INT((ROWS(B$2:B801)-1)/24),"""18""jjmmdd")</f>
        <v>18980203</v>
      </c>
      <c r="C801" s="11" t="str">
        <f>INDEX(Data,2,2+MOD(ROWS(C$2:C801)-1,24))</f>
        <v>08.00</v>
      </c>
      <c r="D801" s="8" t="str">
        <f t="shared" ca="1" si="38"/>
        <v>—</v>
      </c>
      <c r="E801" s="16">
        <f t="shared" ca="1" si="39"/>
        <v>7</v>
      </c>
    </row>
    <row r="802" spans="1:5" x14ac:dyDescent="0.25">
      <c r="A802" s="3">
        <f t="shared" si="37"/>
        <v>78989</v>
      </c>
      <c r="B802" t="str">
        <f ca="1">TEXT(DATE(YEAR(Invoer!$A$5),1,1)+INT((ROWS(B$2:B802)-1)/24),"""18""jjmmdd")</f>
        <v>18980203</v>
      </c>
      <c r="C802" s="11" t="str">
        <f>INDEX(Data,2,2+MOD(ROWS(C$2:C802)-1,24))</f>
        <v>09.00</v>
      </c>
      <c r="D802" s="8" t="str">
        <f t="shared" ca="1" si="38"/>
        <v>—</v>
      </c>
      <c r="E802" s="16">
        <f t="shared" ca="1" si="39"/>
        <v>7</v>
      </c>
    </row>
    <row r="803" spans="1:5" x14ac:dyDescent="0.25">
      <c r="A803" s="3">
        <f t="shared" si="37"/>
        <v>78989</v>
      </c>
      <c r="B803" t="str">
        <f ca="1">TEXT(DATE(YEAR(Invoer!$A$5),1,1)+INT((ROWS(B$2:B803)-1)/24),"""18""jjmmdd")</f>
        <v>18980203</v>
      </c>
      <c r="C803" s="11" t="str">
        <f>INDEX(Data,2,2+MOD(ROWS(C$2:C803)-1,24))</f>
        <v>10.00</v>
      </c>
      <c r="D803" s="8" t="str">
        <f t="shared" ca="1" si="38"/>
        <v>—</v>
      </c>
      <c r="E803" s="16">
        <f t="shared" ca="1" si="39"/>
        <v>7</v>
      </c>
    </row>
    <row r="804" spans="1:5" x14ac:dyDescent="0.25">
      <c r="A804" s="3">
        <f t="shared" si="37"/>
        <v>78989</v>
      </c>
      <c r="B804" t="str">
        <f ca="1">TEXT(DATE(YEAR(Invoer!$A$5),1,1)+INT((ROWS(B$2:B804)-1)/24),"""18""jjmmdd")</f>
        <v>18980203</v>
      </c>
      <c r="C804" s="11" t="str">
        <f>INDEX(Data,2,2+MOD(ROWS(C$2:C804)-1,24))</f>
        <v>11.00</v>
      </c>
      <c r="D804" s="8" t="str">
        <f t="shared" ca="1" si="38"/>
        <v>—</v>
      </c>
      <c r="E804" s="16">
        <f t="shared" ca="1" si="39"/>
        <v>7</v>
      </c>
    </row>
    <row r="805" spans="1:5" x14ac:dyDescent="0.25">
      <c r="A805" s="3">
        <f t="shared" si="37"/>
        <v>78989</v>
      </c>
      <c r="B805" t="str">
        <f ca="1">TEXT(DATE(YEAR(Invoer!$A$5),1,1)+INT((ROWS(B$2:B805)-1)/24),"""18""jjmmdd")</f>
        <v>18980203</v>
      </c>
      <c r="C805" s="11" t="str">
        <f>INDEX(Data,2,2+MOD(ROWS(C$2:C805)-1,24))</f>
        <v>12.00</v>
      </c>
      <c r="D805" s="8" t="str">
        <f t="shared" ca="1" si="38"/>
        <v>—</v>
      </c>
      <c r="E805" s="16">
        <f t="shared" ca="1" si="39"/>
        <v>7</v>
      </c>
    </row>
    <row r="806" spans="1:5" x14ac:dyDescent="0.25">
      <c r="A806" s="3">
        <f t="shared" si="37"/>
        <v>78989</v>
      </c>
      <c r="B806" t="str">
        <f ca="1">TEXT(DATE(YEAR(Invoer!$A$5),1,1)+INT((ROWS(B$2:B806)-1)/24),"""18""jjmmdd")</f>
        <v>18980203</v>
      </c>
      <c r="C806" s="11" t="str">
        <f>INDEX(Data,2,2+MOD(ROWS(C$2:C806)-1,24))</f>
        <v>13.00</v>
      </c>
      <c r="D806" s="8" t="str">
        <f t="shared" ca="1" si="38"/>
        <v>—</v>
      </c>
      <c r="E806" s="16">
        <f t="shared" ca="1" si="39"/>
        <v>7</v>
      </c>
    </row>
    <row r="807" spans="1:5" x14ac:dyDescent="0.25">
      <c r="A807" s="3">
        <f t="shared" si="37"/>
        <v>78989</v>
      </c>
      <c r="B807" t="str">
        <f ca="1">TEXT(DATE(YEAR(Invoer!$A$5),1,1)+INT((ROWS(B$2:B807)-1)/24),"""18""jjmmdd")</f>
        <v>18980203</v>
      </c>
      <c r="C807" s="11" t="str">
        <f>INDEX(Data,2,2+MOD(ROWS(C$2:C807)-1,24))</f>
        <v>14.00</v>
      </c>
      <c r="D807" s="8" t="str">
        <f t="shared" ca="1" si="38"/>
        <v>—</v>
      </c>
      <c r="E807" s="16">
        <f t="shared" ca="1" si="39"/>
        <v>7</v>
      </c>
    </row>
    <row r="808" spans="1:5" x14ac:dyDescent="0.25">
      <c r="A808" s="3">
        <f t="shared" si="37"/>
        <v>78989</v>
      </c>
      <c r="B808" t="str">
        <f ca="1">TEXT(DATE(YEAR(Invoer!$A$5),1,1)+INT((ROWS(B$2:B808)-1)/24),"""18""jjmmdd")</f>
        <v>18980203</v>
      </c>
      <c r="C808" s="11" t="str">
        <f>INDEX(Data,2,2+MOD(ROWS(C$2:C808)-1,24))</f>
        <v>15.00</v>
      </c>
      <c r="D808" s="8" t="str">
        <f t="shared" ca="1" si="38"/>
        <v>—</v>
      </c>
      <c r="E808" s="16">
        <f t="shared" ca="1" si="39"/>
        <v>7</v>
      </c>
    </row>
    <row r="809" spans="1:5" x14ac:dyDescent="0.25">
      <c r="A809" s="3">
        <f t="shared" si="37"/>
        <v>78989</v>
      </c>
      <c r="B809" t="str">
        <f ca="1">TEXT(DATE(YEAR(Invoer!$A$5),1,1)+INT((ROWS(B$2:B809)-1)/24),"""18""jjmmdd")</f>
        <v>18980203</v>
      </c>
      <c r="C809" s="11" t="str">
        <f>INDEX(Data,2,2+MOD(ROWS(C$2:C809)-1,24))</f>
        <v>16.00</v>
      </c>
      <c r="D809" s="8" t="str">
        <f t="shared" ca="1" si="38"/>
        <v>—</v>
      </c>
      <c r="E809" s="16">
        <f t="shared" ca="1" si="39"/>
        <v>7</v>
      </c>
    </row>
    <row r="810" spans="1:5" x14ac:dyDescent="0.25">
      <c r="A810" s="3">
        <f t="shared" si="37"/>
        <v>78989</v>
      </c>
      <c r="B810" t="str">
        <f ca="1">TEXT(DATE(YEAR(Invoer!$A$5),1,1)+INT((ROWS(B$2:B810)-1)/24),"""18""jjmmdd")</f>
        <v>18980203</v>
      </c>
      <c r="C810" s="11" t="str">
        <f>INDEX(Data,2,2+MOD(ROWS(C$2:C810)-1,24))</f>
        <v>17.00</v>
      </c>
      <c r="D810" s="8" t="str">
        <f t="shared" ca="1" si="38"/>
        <v>—</v>
      </c>
      <c r="E810" s="16">
        <f t="shared" ca="1" si="39"/>
        <v>7</v>
      </c>
    </row>
    <row r="811" spans="1:5" x14ac:dyDescent="0.25">
      <c r="A811" s="3">
        <f t="shared" si="37"/>
        <v>78989</v>
      </c>
      <c r="B811" t="str">
        <f ca="1">TEXT(DATE(YEAR(Invoer!$A$5),1,1)+INT((ROWS(B$2:B811)-1)/24),"""18""jjmmdd")</f>
        <v>18980203</v>
      </c>
      <c r="C811" s="11" t="str">
        <f>INDEX(Data,2,2+MOD(ROWS(C$2:C811)-1,24))</f>
        <v>18.00</v>
      </c>
      <c r="D811" s="8" t="str">
        <f t="shared" ca="1" si="38"/>
        <v>—</v>
      </c>
      <c r="E811" s="16">
        <f t="shared" ca="1" si="39"/>
        <v>7</v>
      </c>
    </row>
    <row r="812" spans="1:5" x14ac:dyDescent="0.25">
      <c r="A812" s="3">
        <f t="shared" si="37"/>
        <v>78989</v>
      </c>
      <c r="B812" t="str">
        <f ca="1">TEXT(DATE(YEAR(Invoer!$A$5),1,1)+INT((ROWS(B$2:B812)-1)/24),"""18""jjmmdd")</f>
        <v>18980203</v>
      </c>
      <c r="C812" s="11" t="str">
        <f>INDEX(Data,2,2+MOD(ROWS(C$2:C812)-1,24))</f>
        <v>19.00</v>
      </c>
      <c r="D812" s="8" t="str">
        <f t="shared" ca="1" si="38"/>
        <v>—</v>
      </c>
      <c r="E812" s="16">
        <f t="shared" ca="1" si="39"/>
        <v>7</v>
      </c>
    </row>
    <row r="813" spans="1:5" x14ac:dyDescent="0.25">
      <c r="A813" s="3">
        <f t="shared" si="37"/>
        <v>78989</v>
      </c>
      <c r="B813" t="str">
        <f ca="1">TEXT(DATE(YEAR(Invoer!$A$5),1,1)+INT((ROWS(B$2:B813)-1)/24),"""18""jjmmdd")</f>
        <v>18980203</v>
      </c>
      <c r="C813" s="11" t="str">
        <f>INDEX(Data,2,2+MOD(ROWS(C$2:C813)-1,24))</f>
        <v>20.00</v>
      </c>
      <c r="D813" s="8" t="str">
        <f t="shared" ca="1" si="38"/>
        <v>—</v>
      </c>
      <c r="E813" s="16">
        <f t="shared" ca="1" si="39"/>
        <v>7</v>
      </c>
    </row>
    <row r="814" spans="1:5" x14ac:dyDescent="0.25">
      <c r="A814" s="3">
        <f t="shared" si="37"/>
        <v>78989</v>
      </c>
      <c r="B814" t="str">
        <f ca="1">TEXT(DATE(YEAR(Invoer!$A$5),1,1)+INT((ROWS(B$2:B814)-1)/24),"""18""jjmmdd")</f>
        <v>18980203</v>
      </c>
      <c r="C814" s="11" t="str">
        <f>INDEX(Data,2,2+MOD(ROWS(C$2:C814)-1,24))</f>
        <v>21.00</v>
      </c>
      <c r="D814" s="8" t="str">
        <f t="shared" ca="1" si="38"/>
        <v>—</v>
      </c>
      <c r="E814" s="16">
        <f t="shared" ca="1" si="39"/>
        <v>7</v>
      </c>
    </row>
    <row r="815" spans="1:5" x14ac:dyDescent="0.25">
      <c r="A815" s="3">
        <f t="shared" si="37"/>
        <v>78989</v>
      </c>
      <c r="B815" t="str">
        <f ca="1">TEXT(DATE(YEAR(Invoer!$A$5),1,1)+INT((ROWS(B$2:B815)-1)/24),"""18""jjmmdd")</f>
        <v>18980203</v>
      </c>
      <c r="C815" s="11" t="str">
        <f>INDEX(Data,2,2+MOD(ROWS(C$2:C815)-1,24))</f>
        <v>22.00</v>
      </c>
      <c r="D815" s="8" t="str">
        <f t="shared" ca="1" si="38"/>
        <v>—</v>
      </c>
      <c r="E815" s="16">
        <f t="shared" ca="1" si="39"/>
        <v>7</v>
      </c>
    </row>
    <row r="816" spans="1:5" x14ac:dyDescent="0.25">
      <c r="A816" s="3">
        <f t="shared" si="37"/>
        <v>78989</v>
      </c>
      <c r="B816" t="str">
        <f ca="1">TEXT(DATE(YEAR(Invoer!$A$5),1,1)+INT((ROWS(B$2:B816)-1)/24),"""18""jjmmdd")</f>
        <v>18980203</v>
      </c>
      <c r="C816" s="11" t="str">
        <f>INDEX(Data,2,2+MOD(ROWS(C$2:C816)-1,24))</f>
        <v>23.00</v>
      </c>
      <c r="D816" s="8" t="str">
        <f t="shared" ca="1" si="38"/>
        <v>—</v>
      </c>
      <c r="E816" s="16">
        <f t="shared" ca="1" si="39"/>
        <v>7</v>
      </c>
    </row>
    <row r="817" spans="1:5" x14ac:dyDescent="0.25">
      <c r="A817" s="3">
        <f t="shared" si="37"/>
        <v>78989</v>
      </c>
      <c r="B817" t="str">
        <f ca="1">TEXT(DATE(YEAR(Invoer!$A$5),1,1)+INT((ROWS(B$2:B817)-1)/24),"""18""jjmmdd")</f>
        <v>18980203</v>
      </c>
      <c r="C817" s="11" t="str">
        <f>INDEX(Data,2,2+MOD(ROWS(C$2:C817)-1,24))</f>
        <v>24.00</v>
      </c>
      <c r="D817" s="8" t="str">
        <f t="shared" ca="1" si="38"/>
        <v>—</v>
      </c>
      <c r="E817" s="16">
        <f t="shared" ca="1" si="39"/>
        <v>7</v>
      </c>
    </row>
    <row r="818" spans="1:5" x14ac:dyDescent="0.25">
      <c r="A818" s="3">
        <f t="shared" si="37"/>
        <v>78989</v>
      </c>
      <c r="B818" t="str">
        <f ca="1">TEXT(DATE(YEAR(Invoer!$A$5),1,1)+INT((ROWS(B$2:B818)-1)/24),"""18""jjmmdd")</f>
        <v>18980204</v>
      </c>
      <c r="C818" s="11" t="str">
        <f>INDEX(Data,2,2+MOD(ROWS(C$2:C818)-1,24))</f>
        <v>01.00</v>
      </c>
      <c r="D818" s="8" t="str">
        <f t="shared" ca="1" si="38"/>
        <v>—</v>
      </c>
      <c r="E818" s="16">
        <f t="shared" ca="1" si="39"/>
        <v>7</v>
      </c>
    </row>
    <row r="819" spans="1:5" x14ac:dyDescent="0.25">
      <c r="A819" s="3">
        <f t="shared" si="37"/>
        <v>78989</v>
      </c>
      <c r="B819" t="str">
        <f ca="1">TEXT(DATE(YEAR(Invoer!$A$5),1,1)+INT((ROWS(B$2:B819)-1)/24),"""18""jjmmdd")</f>
        <v>18980204</v>
      </c>
      <c r="C819" s="11" t="str">
        <f>INDEX(Data,2,2+MOD(ROWS(C$2:C819)-1,24))</f>
        <v>02.00</v>
      </c>
      <c r="D819" s="8" t="str">
        <f t="shared" ca="1" si="38"/>
        <v>—</v>
      </c>
      <c r="E819" s="16">
        <f t="shared" ca="1" si="39"/>
        <v>7</v>
      </c>
    </row>
    <row r="820" spans="1:5" x14ac:dyDescent="0.25">
      <c r="A820" s="3">
        <f t="shared" si="37"/>
        <v>78989</v>
      </c>
      <c r="B820" t="str">
        <f ca="1">TEXT(DATE(YEAR(Invoer!$A$5),1,1)+INT((ROWS(B$2:B820)-1)/24),"""18""jjmmdd")</f>
        <v>18980204</v>
      </c>
      <c r="C820" s="11" t="str">
        <f>INDEX(Data,2,2+MOD(ROWS(C$2:C820)-1,24))</f>
        <v>03.00</v>
      </c>
      <c r="D820" s="8" t="str">
        <f t="shared" ca="1" si="38"/>
        <v>—</v>
      </c>
      <c r="E820" s="16">
        <f t="shared" ca="1" si="39"/>
        <v>7</v>
      </c>
    </row>
    <row r="821" spans="1:5" x14ac:dyDescent="0.25">
      <c r="A821" s="3">
        <f t="shared" si="37"/>
        <v>78989</v>
      </c>
      <c r="B821" t="str">
        <f ca="1">TEXT(DATE(YEAR(Invoer!$A$5),1,1)+INT((ROWS(B$2:B821)-1)/24),"""18""jjmmdd")</f>
        <v>18980204</v>
      </c>
      <c r="C821" s="11" t="str">
        <f>INDEX(Data,2,2+MOD(ROWS(C$2:C821)-1,24))</f>
        <v>04.00</v>
      </c>
      <c r="D821" s="8" t="str">
        <f t="shared" ca="1" si="38"/>
        <v>—</v>
      </c>
      <c r="E821" s="16">
        <f t="shared" ca="1" si="39"/>
        <v>7</v>
      </c>
    </row>
    <row r="822" spans="1:5" x14ac:dyDescent="0.25">
      <c r="A822" s="3">
        <f t="shared" si="37"/>
        <v>78989</v>
      </c>
      <c r="B822" t="str">
        <f ca="1">TEXT(DATE(YEAR(Invoer!$A$5),1,1)+INT((ROWS(B$2:B822)-1)/24),"""18""jjmmdd")</f>
        <v>18980204</v>
      </c>
      <c r="C822" s="11" t="str">
        <f>INDEX(Data,2,2+MOD(ROWS(C$2:C822)-1,24))</f>
        <v>05.00</v>
      </c>
      <c r="D822" s="8" t="str">
        <f t="shared" ca="1" si="38"/>
        <v>—</v>
      </c>
      <c r="E822" s="16">
        <f t="shared" ca="1" si="39"/>
        <v>7</v>
      </c>
    </row>
    <row r="823" spans="1:5" x14ac:dyDescent="0.25">
      <c r="A823" s="3">
        <f t="shared" si="37"/>
        <v>78989</v>
      </c>
      <c r="B823" t="str">
        <f ca="1">TEXT(DATE(YEAR(Invoer!$A$5),1,1)+INT((ROWS(B$2:B823)-1)/24),"""18""jjmmdd")</f>
        <v>18980204</v>
      </c>
      <c r="C823" s="11" t="str">
        <f>INDEX(Data,2,2+MOD(ROWS(C$2:C823)-1,24))</f>
        <v>06.00</v>
      </c>
      <c r="D823" s="8" t="str">
        <f t="shared" ca="1" si="38"/>
        <v>—</v>
      </c>
      <c r="E823" s="16">
        <f t="shared" ca="1" si="39"/>
        <v>7</v>
      </c>
    </row>
    <row r="824" spans="1:5" x14ac:dyDescent="0.25">
      <c r="A824" s="3">
        <f t="shared" si="37"/>
        <v>78989</v>
      </c>
      <c r="B824" t="str">
        <f ca="1">TEXT(DATE(YEAR(Invoer!$A$5),1,1)+INT((ROWS(B$2:B824)-1)/24),"""18""jjmmdd")</f>
        <v>18980204</v>
      </c>
      <c r="C824" s="11" t="str">
        <f>INDEX(Data,2,2+MOD(ROWS(C$2:C824)-1,24))</f>
        <v>07.00</v>
      </c>
      <c r="D824" s="8" t="str">
        <f t="shared" ca="1" si="38"/>
        <v>—</v>
      </c>
      <c r="E824" s="16">
        <f t="shared" ca="1" si="39"/>
        <v>7</v>
      </c>
    </row>
    <row r="825" spans="1:5" x14ac:dyDescent="0.25">
      <c r="A825" s="3">
        <f t="shared" si="37"/>
        <v>78989</v>
      </c>
      <c r="B825" t="str">
        <f ca="1">TEXT(DATE(YEAR(Invoer!$A$5),1,1)+INT((ROWS(B$2:B825)-1)/24),"""18""jjmmdd")</f>
        <v>18980204</v>
      </c>
      <c r="C825" s="11" t="str">
        <f>INDEX(Data,2,2+MOD(ROWS(C$2:C825)-1,24))</f>
        <v>08.00</v>
      </c>
      <c r="D825" s="8" t="str">
        <f t="shared" ca="1" si="38"/>
        <v>—</v>
      </c>
      <c r="E825" s="16">
        <f t="shared" ca="1" si="39"/>
        <v>7</v>
      </c>
    </row>
    <row r="826" spans="1:5" x14ac:dyDescent="0.25">
      <c r="A826" s="3">
        <f t="shared" si="37"/>
        <v>78989</v>
      </c>
      <c r="B826" t="str">
        <f ca="1">TEXT(DATE(YEAR(Invoer!$A$5),1,1)+INT((ROWS(B$2:B826)-1)/24),"""18""jjmmdd")</f>
        <v>18980204</v>
      </c>
      <c r="C826" s="11" t="str">
        <f>INDEX(Data,2,2+MOD(ROWS(C$2:C826)-1,24))</f>
        <v>09.00</v>
      </c>
      <c r="D826" s="8" t="str">
        <f t="shared" ca="1" si="38"/>
        <v>—</v>
      </c>
      <c r="E826" s="16">
        <f t="shared" ca="1" si="39"/>
        <v>7</v>
      </c>
    </row>
    <row r="827" spans="1:5" x14ac:dyDescent="0.25">
      <c r="A827" s="3">
        <f t="shared" si="37"/>
        <v>78989</v>
      </c>
      <c r="B827" t="str">
        <f ca="1">TEXT(DATE(YEAR(Invoer!$A$5),1,1)+INT((ROWS(B$2:B827)-1)/24),"""18""jjmmdd")</f>
        <v>18980204</v>
      </c>
      <c r="C827" s="11" t="str">
        <f>INDEX(Data,2,2+MOD(ROWS(C$2:C827)-1,24))</f>
        <v>10.00</v>
      </c>
      <c r="D827" s="8" t="str">
        <f t="shared" ca="1" si="38"/>
        <v>—</v>
      </c>
      <c r="E827" s="16">
        <f t="shared" ca="1" si="39"/>
        <v>7</v>
      </c>
    </row>
    <row r="828" spans="1:5" x14ac:dyDescent="0.25">
      <c r="A828" s="3">
        <f t="shared" si="37"/>
        <v>78989</v>
      </c>
      <c r="B828" t="str">
        <f ca="1">TEXT(DATE(YEAR(Invoer!$A$5),1,1)+INT((ROWS(B$2:B828)-1)/24),"""18""jjmmdd")</f>
        <v>18980204</v>
      </c>
      <c r="C828" s="11" t="str">
        <f>INDEX(Data,2,2+MOD(ROWS(C$2:C828)-1,24))</f>
        <v>11.00</v>
      </c>
      <c r="D828" s="8" t="str">
        <f t="shared" ca="1" si="38"/>
        <v>—</v>
      </c>
      <c r="E828" s="16">
        <f t="shared" ca="1" si="39"/>
        <v>7</v>
      </c>
    </row>
    <row r="829" spans="1:5" x14ac:dyDescent="0.25">
      <c r="A829" s="3">
        <f t="shared" si="37"/>
        <v>78989</v>
      </c>
      <c r="B829" t="str">
        <f ca="1">TEXT(DATE(YEAR(Invoer!$A$5),1,1)+INT((ROWS(B$2:B829)-1)/24),"""18""jjmmdd")</f>
        <v>18980204</v>
      </c>
      <c r="C829" s="11" t="str">
        <f>INDEX(Data,2,2+MOD(ROWS(C$2:C829)-1,24))</f>
        <v>12.00</v>
      </c>
      <c r="D829" s="8" t="str">
        <f t="shared" ca="1" si="38"/>
        <v>—</v>
      </c>
      <c r="E829" s="16">
        <f t="shared" ca="1" si="39"/>
        <v>7</v>
      </c>
    </row>
    <row r="830" spans="1:5" x14ac:dyDescent="0.25">
      <c r="A830" s="3">
        <f t="shared" si="37"/>
        <v>78989</v>
      </c>
      <c r="B830" t="str">
        <f ca="1">TEXT(DATE(YEAR(Invoer!$A$5),1,1)+INT((ROWS(B$2:B830)-1)/24),"""18""jjmmdd")</f>
        <v>18980204</v>
      </c>
      <c r="C830" s="11" t="str">
        <f>INDEX(Data,2,2+MOD(ROWS(C$2:C830)-1,24))</f>
        <v>13.00</v>
      </c>
      <c r="D830" s="8" t="str">
        <f t="shared" ca="1" si="38"/>
        <v>—</v>
      </c>
      <c r="E830" s="16">
        <f t="shared" ca="1" si="39"/>
        <v>7</v>
      </c>
    </row>
    <row r="831" spans="1:5" x14ac:dyDescent="0.25">
      <c r="A831" s="3">
        <f t="shared" si="37"/>
        <v>78989</v>
      </c>
      <c r="B831" t="str">
        <f ca="1">TEXT(DATE(YEAR(Invoer!$A$5),1,1)+INT((ROWS(B$2:B831)-1)/24),"""18""jjmmdd")</f>
        <v>18980204</v>
      </c>
      <c r="C831" s="11" t="str">
        <f>INDEX(Data,2,2+MOD(ROWS(C$2:C831)-1,24))</f>
        <v>14.00</v>
      </c>
      <c r="D831" s="8" t="str">
        <f t="shared" ca="1" si="38"/>
        <v>—</v>
      </c>
      <c r="E831" s="16">
        <f t="shared" ca="1" si="39"/>
        <v>7</v>
      </c>
    </row>
    <row r="832" spans="1:5" x14ac:dyDescent="0.25">
      <c r="A832" s="3">
        <f t="shared" si="37"/>
        <v>78989</v>
      </c>
      <c r="B832" t="str">
        <f ca="1">TEXT(DATE(YEAR(Invoer!$A$5),1,1)+INT((ROWS(B$2:B832)-1)/24),"""18""jjmmdd")</f>
        <v>18980204</v>
      </c>
      <c r="C832" s="11" t="str">
        <f>INDEX(Data,2,2+MOD(ROWS(C$2:C832)-1,24))</f>
        <v>15.00</v>
      </c>
      <c r="D832" s="8" t="str">
        <f t="shared" ca="1" si="38"/>
        <v>—</v>
      </c>
      <c r="E832" s="16">
        <f t="shared" ca="1" si="39"/>
        <v>7</v>
      </c>
    </row>
    <row r="833" spans="1:5" x14ac:dyDescent="0.25">
      <c r="A833" s="3">
        <f t="shared" si="37"/>
        <v>78989</v>
      </c>
      <c r="B833" t="str">
        <f ca="1">TEXT(DATE(YEAR(Invoer!$A$5),1,1)+INT((ROWS(B$2:B833)-1)/24),"""18""jjmmdd")</f>
        <v>18980204</v>
      </c>
      <c r="C833" s="11" t="str">
        <f>INDEX(Data,2,2+MOD(ROWS(C$2:C833)-1,24))</f>
        <v>16.00</v>
      </c>
      <c r="D833" s="8" t="str">
        <f t="shared" ca="1" si="38"/>
        <v>—</v>
      </c>
      <c r="E833" s="16">
        <f t="shared" ca="1" si="39"/>
        <v>7</v>
      </c>
    </row>
    <row r="834" spans="1:5" x14ac:dyDescent="0.25">
      <c r="A834" s="3">
        <f t="shared" ref="A834:A897" si="40">INDEX(Stations,2,1)</f>
        <v>78989</v>
      </c>
      <c r="B834" t="str">
        <f ca="1">TEXT(DATE(YEAR(Invoer!$A$5),1,1)+INT((ROWS(B$2:B834)-1)/24),"""18""jjmmdd")</f>
        <v>18980204</v>
      </c>
      <c r="C834" s="11" t="str">
        <f>INDEX(Data,2,2+MOD(ROWS(C$2:C834)-1,24))</f>
        <v>17.00</v>
      </c>
      <c r="D834" s="8" t="str">
        <f t="shared" ref="D834:D897" ca="1" si="41">IF(OR(ISBLANK(VLOOKUP(DATEVALUE("37"&amp;MID($B834,3,2)&amp;"-"&amp;MID($B834,5,2)&amp;"-"&amp;RIGHT($B834,2)),Data,MATCH(LEFT(VLOOKUP(D$1,Parameters,2,FALSE()),4)&amp;"*",OFFSET(Data,0,0,1),0)+MATCH($C834,OFFSET(Data,1,0,1),0)-2,FALSE())),ISTEXT(VLOOKUP(DATEVALUE("37"&amp;MID($B834,3,2)&amp;"-"&amp;MID($B834,5,2)&amp;"-"&amp;RIGHT($B834,2)),Data,MATCH(LEFT(VLOOKUP(D$1,Parameters,2,FALSE()),4)&amp;"*",OFFSET(Data,0,0,1),0)+MATCH($C834,OFFSET(Data,1,0,1),0)-2,FALSE()))),"—",VLOOKUP(DATEVALUE("37"&amp;MID($B834,3,2)&amp;"-"&amp;MID($B834,5,2)&amp;"-"&amp;RIGHT($B834,2)),Data,MATCH(LEFT(VLOOKUP(D$1,Parameters,2,FALSE()),4)&amp;"*",OFFSET(Data,0,0,1),0)+MATCH($C834,OFFSET(Data,1,0,1),0)-2,FALSE()))</f>
        <v>—</v>
      </c>
      <c r="E834" s="16">
        <f t="shared" ca="1" si="39"/>
        <v>7</v>
      </c>
    </row>
    <row r="835" spans="1:5" x14ac:dyDescent="0.25">
      <c r="A835" s="3">
        <f t="shared" si="40"/>
        <v>78989</v>
      </c>
      <c r="B835" t="str">
        <f ca="1">TEXT(DATE(YEAR(Invoer!$A$5),1,1)+INT((ROWS(B$2:B835)-1)/24),"""18""jjmmdd")</f>
        <v>18980204</v>
      </c>
      <c r="C835" s="11" t="str">
        <f>INDEX(Data,2,2+MOD(ROWS(C$2:C835)-1,24))</f>
        <v>18.00</v>
      </c>
      <c r="D835" s="8" t="str">
        <f t="shared" ca="1" si="41"/>
        <v>—</v>
      </c>
      <c r="E835" s="16">
        <f t="shared" ref="E835:E898" ca="1" si="42">IF(OR(ISBLANK(VLOOKUP(DATEVALUE("37"&amp;MID($B835,3,2)&amp;"-"&amp;MID($B835,5,2)&amp;"-"&amp;RIGHT($B835,2)),Data,MATCH(LEFT(VLOOKUP(D$1,Parameters,2,FALSE()),4)&amp;"*",OFFSET(Data,0,0,1),0)+MATCH($C835,OFFSET(Data,1,0,1),0)-2,FALSE())),ISTEXT(VLOOKUP(DATEVALUE("37"&amp;MID($B835,3,2)&amp;"-"&amp;MID($B835,5,2)&amp;"-"&amp;RIGHT($B835,2)),Data,MATCH(LEFT(VLOOKUP(D$1,Parameters,2,FALSE()),4)&amp;"*",OFFSET(Data,0,0,1),0)+MATCH($C835,OFFSET(Data,1,0,1),0)-2,FALSE()))),Lacking,IF(ISNA(MATCH(DATEVALUE("37"&amp;MID($B835,3,2)&amp;"-"&amp;MID($B835,5,2)&amp;"-"&amp;RIGHT($B835,2)),OFFSET(Catalogus,0,0,,1),0)),Ok,VLOOKUP(DATEVALUE("37"&amp;MID($B835,3,2)&amp;"-"&amp;MID($B835,5,2)&amp;"-"&amp;RIGHT($B835,2)),Catalogus,MATCH(LEFT(VLOOKUP(MID(E$1,2,LEN(E$1)-1),Parameters,2,FALSE()),4)&amp;"*",OFFSET(Catalogus,0,0,1),0)+MATCH($C835,OFFSET(Catalogus,1,0,1),0)-2,FALSE())))</f>
        <v>7</v>
      </c>
    </row>
    <row r="836" spans="1:5" x14ac:dyDescent="0.25">
      <c r="A836" s="3">
        <f t="shared" si="40"/>
        <v>78989</v>
      </c>
      <c r="B836" t="str">
        <f ca="1">TEXT(DATE(YEAR(Invoer!$A$5),1,1)+INT((ROWS(B$2:B836)-1)/24),"""18""jjmmdd")</f>
        <v>18980204</v>
      </c>
      <c r="C836" s="11" t="str">
        <f>INDEX(Data,2,2+MOD(ROWS(C$2:C836)-1,24))</f>
        <v>19.00</v>
      </c>
      <c r="D836" s="8" t="str">
        <f t="shared" ca="1" si="41"/>
        <v>—</v>
      </c>
      <c r="E836" s="16">
        <f t="shared" ca="1" si="42"/>
        <v>7</v>
      </c>
    </row>
    <row r="837" spans="1:5" x14ac:dyDescent="0.25">
      <c r="A837" s="3">
        <f t="shared" si="40"/>
        <v>78989</v>
      </c>
      <c r="B837" t="str">
        <f ca="1">TEXT(DATE(YEAR(Invoer!$A$5),1,1)+INT((ROWS(B$2:B837)-1)/24),"""18""jjmmdd")</f>
        <v>18980204</v>
      </c>
      <c r="C837" s="11" t="str">
        <f>INDEX(Data,2,2+MOD(ROWS(C$2:C837)-1,24))</f>
        <v>20.00</v>
      </c>
      <c r="D837" s="8" t="str">
        <f t="shared" ca="1" si="41"/>
        <v>—</v>
      </c>
      <c r="E837" s="16">
        <f t="shared" ca="1" si="42"/>
        <v>7</v>
      </c>
    </row>
    <row r="838" spans="1:5" x14ac:dyDescent="0.25">
      <c r="A838" s="3">
        <f t="shared" si="40"/>
        <v>78989</v>
      </c>
      <c r="B838" t="str">
        <f ca="1">TEXT(DATE(YEAR(Invoer!$A$5),1,1)+INT((ROWS(B$2:B838)-1)/24),"""18""jjmmdd")</f>
        <v>18980204</v>
      </c>
      <c r="C838" s="11" t="str">
        <f>INDEX(Data,2,2+MOD(ROWS(C$2:C838)-1,24))</f>
        <v>21.00</v>
      </c>
      <c r="D838" s="8" t="str">
        <f t="shared" ca="1" si="41"/>
        <v>—</v>
      </c>
      <c r="E838" s="16">
        <f t="shared" ca="1" si="42"/>
        <v>7</v>
      </c>
    </row>
    <row r="839" spans="1:5" x14ac:dyDescent="0.25">
      <c r="A839" s="3">
        <f t="shared" si="40"/>
        <v>78989</v>
      </c>
      <c r="B839" t="str">
        <f ca="1">TEXT(DATE(YEAR(Invoer!$A$5),1,1)+INT((ROWS(B$2:B839)-1)/24),"""18""jjmmdd")</f>
        <v>18980204</v>
      </c>
      <c r="C839" s="11" t="str">
        <f>INDEX(Data,2,2+MOD(ROWS(C$2:C839)-1,24))</f>
        <v>22.00</v>
      </c>
      <c r="D839" s="8" t="str">
        <f t="shared" ca="1" si="41"/>
        <v>—</v>
      </c>
      <c r="E839" s="16">
        <f t="shared" ca="1" si="42"/>
        <v>7</v>
      </c>
    </row>
    <row r="840" spans="1:5" x14ac:dyDescent="0.25">
      <c r="A840" s="3">
        <f t="shared" si="40"/>
        <v>78989</v>
      </c>
      <c r="B840" t="str">
        <f ca="1">TEXT(DATE(YEAR(Invoer!$A$5),1,1)+INT((ROWS(B$2:B840)-1)/24),"""18""jjmmdd")</f>
        <v>18980204</v>
      </c>
      <c r="C840" s="11" t="str">
        <f>INDEX(Data,2,2+MOD(ROWS(C$2:C840)-1,24))</f>
        <v>23.00</v>
      </c>
      <c r="D840" s="8" t="str">
        <f t="shared" ca="1" si="41"/>
        <v>—</v>
      </c>
      <c r="E840" s="16">
        <f t="shared" ca="1" si="42"/>
        <v>7</v>
      </c>
    </row>
    <row r="841" spans="1:5" x14ac:dyDescent="0.25">
      <c r="A841" s="3">
        <f t="shared" si="40"/>
        <v>78989</v>
      </c>
      <c r="B841" t="str">
        <f ca="1">TEXT(DATE(YEAR(Invoer!$A$5),1,1)+INT((ROWS(B$2:B841)-1)/24),"""18""jjmmdd")</f>
        <v>18980204</v>
      </c>
      <c r="C841" s="11" t="str">
        <f>INDEX(Data,2,2+MOD(ROWS(C$2:C841)-1,24))</f>
        <v>24.00</v>
      </c>
      <c r="D841" s="8" t="str">
        <f t="shared" ca="1" si="41"/>
        <v>—</v>
      </c>
      <c r="E841" s="16">
        <f t="shared" ca="1" si="42"/>
        <v>7</v>
      </c>
    </row>
    <row r="842" spans="1:5" x14ac:dyDescent="0.25">
      <c r="A842" s="3">
        <f t="shared" si="40"/>
        <v>78989</v>
      </c>
      <c r="B842" t="str">
        <f ca="1">TEXT(DATE(YEAR(Invoer!$A$5),1,1)+INT((ROWS(B$2:B842)-1)/24),"""18""jjmmdd")</f>
        <v>18980205</v>
      </c>
      <c r="C842" s="11" t="str">
        <f>INDEX(Data,2,2+MOD(ROWS(C$2:C842)-1,24))</f>
        <v>01.00</v>
      </c>
      <c r="D842" s="8" t="str">
        <f t="shared" ca="1" si="41"/>
        <v>—</v>
      </c>
      <c r="E842" s="16">
        <f t="shared" ca="1" si="42"/>
        <v>7</v>
      </c>
    </row>
    <row r="843" spans="1:5" x14ac:dyDescent="0.25">
      <c r="A843" s="3">
        <f t="shared" si="40"/>
        <v>78989</v>
      </c>
      <c r="B843" t="str">
        <f ca="1">TEXT(DATE(YEAR(Invoer!$A$5),1,1)+INT((ROWS(B$2:B843)-1)/24),"""18""jjmmdd")</f>
        <v>18980205</v>
      </c>
      <c r="C843" s="11" t="str">
        <f>INDEX(Data,2,2+MOD(ROWS(C$2:C843)-1,24))</f>
        <v>02.00</v>
      </c>
      <c r="D843" s="8" t="str">
        <f t="shared" ca="1" si="41"/>
        <v>—</v>
      </c>
      <c r="E843" s="16">
        <f t="shared" ca="1" si="42"/>
        <v>7</v>
      </c>
    </row>
    <row r="844" spans="1:5" x14ac:dyDescent="0.25">
      <c r="A844" s="3">
        <f t="shared" si="40"/>
        <v>78989</v>
      </c>
      <c r="B844" t="str">
        <f ca="1">TEXT(DATE(YEAR(Invoer!$A$5),1,1)+INT((ROWS(B$2:B844)-1)/24),"""18""jjmmdd")</f>
        <v>18980205</v>
      </c>
      <c r="C844" s="11" t="str">
        <f>INDEX(Data,2,2+MOD(ROWS(C$2:C844)-1,24))</f>
        <v>03.00</v>
      </c>
      <c r="D844" s="8" t="str">
        <f t="shared" ca="1" si="41"/>
        <v>—</v>
      </c>
      <c r="E844" s="16">
        <f t="shared" ca="1" si="42"/>
        <v>7</v>
      </c>
    </row>
    <row r="845" spans="1:5" x14ac:dyDescent="0.25">
      <c r="A845" s="3">
        <f t="shared" si="40"/>
        <v>78989</v>
      </c>
      <c r="B845" t="str">
        <f ca="1">TEXT(DATE(YEAR(Invoer!$A$5),1,1)+INT((ROWS(B$2:B845)-1)/24),"""18""jjmmdd")</f>
        <v>18980205</v>
      </c>
      <c r="C845" s="11" t="str">
        <f>INDEX(Data,2,2+MOD(ROWS(C$2:C845)-1,24))</f>
        <v>04.00</v>
      </c>
      <c r="D845" s="8" t="str">
        <f t="shared" ca="1" si="41"/>
        <v>—</v>
      </c>
      <c r="E845" s="16">
        <f t="shared" ca="1" si="42"/>
        <v>7</v>
      </c>
    </row>
    <row r="846" spans="1:5" x14ac:dyDescent="0.25">
      <c r="A846" s="3">
        <f t="shared" si="40"/>
        <v>78989</v>
      </c>
      <c r="B846" t="str">
        <f ca="1">TEXT(DATE(YEAR(Invoer!$A$5),1,1)+INT((ROWS(B$2:B846)-1)/24),"""18""jjmmdd")</f>
        <v>18980205</v>
      </c>
      <c r="C846" s="11" t="str">
        <f>INDEX(Data,2,2+MOD(ROWS(C$2:C846)-1,24))</f>
        <v>05.00</v>
      </c>
      <c r="D846" s="8" t="str">
        <f t="shared" ca="1" si="41"/>
        <v>—</v>
      </c>
      <c r="E846" s="16">
        <f t="shared" ca="1" si="42"/>
        <v>7</v>
      </c>
    </row>
    <row r="847" spans="1:5" x14ac:dyDescent="0.25">
      <c r="A847" s="3">
        <f t="shared" si="40"/>
        <v>78989</v>
      </c>
      <c r="B847" t="str">
        <f ca="1">TEXT(DATE(YEAR(Invoer!$A$5),1,1)+INT((ROWS(B$2:B847)-1)/24),"""18""jjmmdd")</f>
        <v>18980205</v>
      </c>
      <c r="C847" s="11" t="str">
        <f>INDEX(Data,2,2+MOD(ROWS(C$2:C847)-1,24))</f>
        <v>06.00</v>
      </c>
      <c r="D847" s="8" t="str">
        <f t="shared" ca="1" si="41"/>
        <v>—</v>
      </c>
      <c r="E847" s="16">
        <f t="shared" ca="1" si="42"/>
        <v>7</v>
      </c>
    </row>
    <row r="848" spans="1:5" x14ac:dyDescent="0.25">
      <c r="A848" s="3">
        <f t="shared" si="40"/>
        <v>78989</v>
      </c>
      <c r="B848" t="str">
        <f ca="1">TEXT(DATE(YEAR(Invoer!$A$5),1,1)+INT((ROWS(B$2:B848)-1)/24),"""18""jjmmdd")</f>
        <v>18980205</v>
      </c>
      <c r="C848" s="11" t="str">
        <f>INDEX(Data,2,2+MOD(ROWS(C$2:C848)-1,24))</f>
        <v>07.00</v>
      </c>
      <c r="D848" s="8" t="str">
        <f t="shared" ca="1" si="41"/>
        <v>—</v>
      </c>
      <c r="E848" s="16">
        <f t="shared" ca="1" si="42"/>
        <v>7</v>
      </c>
    </row>
    <row r="849" spans="1:5" x14ac:dyDescent="0.25">
      <c r="A849" s="3">
        <f t="shared" si="40"/>
        <v>78989</v>
      </c>
      <c r="B849" t="str">
        <f ca="1">TEXT(DATE(YEAR(Invoer!$A$5),1,1)+INT((ROWS(B$2:B849)-1)/24),"""18""jjmmdd")</f>
        <v>18980205</v>
      </c>
      <c r="C849" s="11" t="str">
        <f>INDEX(Data,2,2+MOD(ROWS(C$2:C849)-1,24))</f>
        <v>08.00</v>
      </c>
      <c r="D849" s="8" t="str">
        <f t="shared" ca="1" si="41"/>
        <v>—</v>
      </c>
      <c r="E849" s="16">
        <f t="shared" ca="1" si="42"/>
        <v>7</v>
      </c>
    </row>
    <row r="850" spans="1:5" x14ac:dyDescent="0.25">
      <c r="A850" s="3">
        <f t="shared" si="40"/>
        <v>78989</v>
      </c>
      <c r="B850" t="str">
        <f ca="1">TEXT(DATE(YEAR(Invoer!$A$5),1,1)+INT((ROWS(B$2:B850)-1)/24),"""18""jjmmdd")</f>
        <v>18980205</v>
      </c>
      <c r="C850" s="11" t="str">
        <f>INDEX(Data,2,2+MOD(ROWS(C$2:C850)-1,24))</f>
        <v>09.00</v>
      </c>
      <c r="D850" s="8" t="str">
        <f t="shared" ca="1" si="41"/>
        <v>—</v>
      </c>
      <c r="E850" s="16">
        <f t="shared" ca="1" si="42"/>
        <v>7</v>
      </c>
    </row>
    <row r="851" spans="1:5" x14ac:dyDescent="0.25">
      <c r="A851" s="3">
        <f t="shared" si="40"/>
        <v>78989</v>
      </c>
      <c r="B851" t="str">
        <f ca="1">TEXT(DATE(YEAR(Invoer!$A$5),1,1)+INT((ROWS(B$2:B851)-1)/24),"""18""jjmmdd")</f>
        <v>18980205</v>
      </c>
      <c r="C851" s="11" t="str">
        <f>INDEX(Data,2,2+MOD(ROWS(C$2:C851)-1,24))</f>
        <v>10.00</v>
      </c>
      <c r="D851" s="8" t="str">
        <f t="shared" ca="1" si="41"/>
        <v>—</v>
      </c>
      <c r="E851" s="16">
        <f t="shared" ca="1" si="42"/>
        <v>7</v>
      </c>
    </row>
    <row r="852" spans="1:5" x14ac:dyDescent="0.25">
      <c r="A852" s="3">
        <f t="shared" si="40"/>
        <v>78989</v>
      </c>
      <c r="B852" t="str">
        <f ca="1">TEXT(DATE(YEAR(Invoer!$A$5),1,1)+INT((ROWS(B$2:B852)-1)/24),"""18""jjmmdd")</f>
        <v>18980205</v>
      </c>
      <c r="C852" s="11" t="str">
        <f>INDEX(Data,2,2+MOD(ROWS(C$2:C852)-1,24))</f>
        <v>11.00</v>
      </c>
      <c r="D852" s="8" t="str">
        <f t="shared" ca="1" si="41"/>
        <v>—</v>
      </c>
      <c r="E852" s="16">
        <f t="shared" ca="1" si="42"/>
        <v>7</v>
      </c>
    </row>
    <row r="853" spans="1:5" x14ac:dyDescent="0.25">
      <c r="A853" s="3">
        <f t="shared" si="40"/>
        <v>78989</v>
      </c>
      <c r="B853" t="str">
        <f ca="1">TEXT(DATE(YEAR(Invoer!$A$5),1,1)+INT((ROWS(B$2:B853)-1)/24),"""18""jjmmdd")</f>
        <v>18980205</v>
      </c>
      <c r="C853" s="11" t="str">
        <f>INDEX(Data,2,2+MOD(ROWS(C$2:C853)-1,24))</f>
        <v>12.00</v>
      </c>
      <c r="D853" s="8" t="str">
        <f t="shared" ca="1" si="41"/>
        <v>—</v>
      </c>
      <c r="E853" s="16">
        <f t="shared" ca="1" si="42"/>
        <v>7</v>
      </c>
    </row>
    <row r="854" spans="1:5" x14ac:dyDescent="0.25">
      <c r="A854" s="3">
        <f t="shared" si="40"/>
        <v>78989</v>
      </c>
      <c r="B854" t="str">
        <f ca="1">TEXT(DATE(YEAR(Invoer!$A$5),1,1)+INT((ROWS(B$2:B854)-1)/24),"""18""jjmmdd")</f>
        <v>18980205</v>
      </c>
      <c r="C854" s="11" t="str">
        <f>INDEX(Data,2,2+MOD(ROWS(C$2:C854)-1,24))</f>
        <v>13.00</v>
      </c>
      <c r="D854" s="8" t="str">
        <f t="shared" ca="1" si="41"/>
        <v>—</v>
      </c>
      <c r="E854" s="16">
        <f t="shared" ca="1" si="42"/>
        <v>7</v>
      </c>
    </row>
    <row r="855" spans="1:5" x14ac:dyDescent="0.25">
      <c r="A855" s="3">
        <f t="shared" si="40"/>
        <v>78989</v>
      </c>
      <c r="B855" t="str">
        <f ca="1">TEXT(DATE(YEAR(Invoer!$A$5),1,1)+INT((ROWS(B$2:B855)-1)/24),"""18""jjmmdd")</f>
        <v>18980205</v>
      </c>
      <c r="C855" s="11" t="str">
        <f>INDEX(Data,2,2+MOD(ROWS(C$2:C855)-1,24))</f>
        <v>14.00</v>
      </c>
      <c r="D855" s="8" t="str">
        <f t="shared" ca="1" si="41"/>
        <v>—</v>
      </c>
      <c r="E855" s="16">
        <f t="shared" ca="1" si="42"/>
        <v>7</v>
      </c>
    </row>
    <row r="856" spans="1:5" x14ac:dyDescent="0.25">
      <c r="A856" s="3">
        <f t="shared" si="40"/>
        <v>78989</v>
      </c>
      <c r="B856" t="str">
        <f ca="1">TEXT(DATE(YEAR(Invoer!$A$5),1,1)+INT((ROWS(B$2:B856)-1)/24),"""18""jjmmdd")</f>
        <v>18980205</v>
      </c>
      <c r="C856" s="11" t="str">
        <f>INDEX(Data,2,2+MOD(ROWS(C$2:C856)-1,24))</f>
        <v>15.00</v>
      </c>
      <c r="D856" s="8" t="str">
        <f t="shared" ca="1" si="41"/>
        <v>—</v>
      </c>
      <c r="E856" s="16">
        <f t="shared" ca="1" si="42"/>
        <v>7</v>
      </c>
    </row>
    <row r="857" spans="1:5" x14ac:dyDescent="0.25">
      <c r="A857" s="3">
        <f t="shared" si="40"/>
        <v>78989</v>
      </c>
      <c r="B857" t="str">
        <f ca="1">TEXT(DATE(YEAR(Invoer!$A$5),1,1)+INT((ROWS(B$2:B857)-1)/24),"""18""jjmmdd")</f>
        <v>18980205</v>
      </c>
      <c r="C857" s="11" t="str">
        <f>INDEX(Data,2,2+MOD(ROWS(C$2:C857)-1,24))</f>
        <v>16.00</v>
      </c>
      <c r="D857" s="8" t="str">
        <f t="shared" ca="1" si="41"/>
        <v>—</v>
      </c>
      <c r="E857" s="16">
        <f t="shared" ca="1" si="42"/>
        <v>7</v>
      </c>
    </row>
    <row r="858" spans="1:5" x14ac:dyDescent="0.25">
      <c r="A858" s="3">
        <f t="shared" si="40"/>
        <v>78989</v>
      </c>
      <c r="B858" t="str">
        <f ca="1">TEXT(DATE(YEAR(Invoer!$A$5),1,1)+INT((ROWS(B$2:B858)-1)/24),"""18""jjmmdd")</f>
        <v>18980205</v>
      </c>
      <c r="C858" s="11" t="str">
        <f>INDEX(Data,2,2+MOD(ROWS(C$2:C858)-1,24))</f>
        <v>17.00</v>
      </c>
      <c r="D858" s="8" t="str">
        <f t="shared" ca="1" si="41"/>
        <v>—</v>
      </c>
      <c r="E858" s="16">
        <f t="shared" ca="1" si="42"/>
        <v>7</v>
      </c>
    </row>
    <row r="859" spans="1:5" x14ac:dyDescent="0.25">
      <c r="A859" s="3">
        <f t="shared" si="40"/>
        <v>78989</v>
      </c>
      <c r="B859" t="str">
        <f ca="1">TEXT(DATE(YEAR(Invoer!$A$5),1,1)+INT((ROWS(B$2:B859)-1)/24),"""18""jjmmdd")</f>
        <v>18980205</v>
      </c>
      <c r="C859" s="11" t="str">
        <f>INDEX(Data,2,2+MOD(ROWS(C$2:C859)-1,24))</f>
        <v>18.00</v>
      </c>
      <c r="D859" s="8" t="str">
        <f t="shared" ca="1" si="41"/>
        <v>—</v>
      </c>
      <c r="E859" s="16">
        <f t="shared" ca="1" si="42"/>
        <v>7</v>
      </c>
    </row>
    <row r="860" spans="1:5" x14ac:dyDescent="0.25">
      <c r="A860" s="3">
        <f t="shared" si="40"/>
        <v>78989</v>
      </c>
      <c r="B860" t="str">
        <f ca="1">TEXT(DATE(YEAR(Invoer!$A$5),1,1)+INT((ROWS(B$2:B860)-1)/24),"""18""jjmmdd")</f>
        <v>18980205</v>
      </c>
      <c r="C860" s="11" t="str">
        <f>INDEX(Data,2,2+MOD(ROWS(C$2:C860)-1,24))</f>
        <v>19.00</v>
      </c>
      <c r="D860" s="8" t="str">
        <f t="shared" ca="1" si="41"/>
        <v>—</v>
      </c>
      <c r="E860" s="16">
        <f t="shared" ca="1" si="42"/>
        <v>7</v>
      </c>
    </row>
    <row r="861" spans="1:5" x14ac:dyDescent="0.25">
      <c r="A861" s="3">
        <f t="shared" si="40"/>
        <v>78989</v>
      </c>
      <c r="B861" t="str">
        <f ca="1">TEXT(DATE(YEAR(Invoer!$A$5),1,1)+INT((ROWS(B$2:B861)-1)/24),"""18""jjmmdd")</f>
        <v>18980205</v>
      </c>
      <c r="C861" s="11" t="str">
        <f>INDEX(Data,2,2+MOD(ROWS(C$2:C861)-1,24))</f>
        <v>20.00</v>
      </c>
      <c r="D861" s="8" t="str">
        <f t="shared" ca="1" si="41"/>
        <v>—</v>
      </c>
      <c r="E861" s="16">
        <f t="shared" ca="1" si="42"/>
        <v>7</v>
      </c>
    </row>
    <row r="862" spans="1:5" x14ac:dyDescent="0.25">
      <c r="A862" s="3">
        <f t="shared" si="40"/>
        <v>78989</v>
      </c>
      <c r="B862" t="str">
        <f ca="1">TEXT(DATE(YEAR(Invoer!$A$5),1,1)+INT((ROWS(B$2:B862)-1)/24),"""18""jjmmdd")</f>
        <v>18980205</v>
      </c>
      <c r="C862" s="11" t="str">
        <f>INDEX(Data,2,2+MOD(ROWS(C$2:C862)-1,24))</f>
        <v>21.00</v>
      </c>
      <c r="D862" s="8" t="str">
        <f t="shared" ca="1" si="41"/>
        <v>—</v>
      </c>
      <c r="E862" s="16">
        <f t="shared" ca="1" si="42"/>
        <v>7</v>
      </c>
    </row>
    <row r="863" spans="1:5" x14ac:dyDescent="0.25">
      <c r="A863" s="3">
        <f t="shared" si="40"/>
        <v>78989</v>
      </c>
      <c r="B863" t="str">
        <f ca="1">TEXT(DATE(YEAR(Invoer!$A$5),1,1)+INT((ROWS(B$2:B863)-1)/24),"""18""jjmmdd")</f>
        <v>18980205</v>
      </c>
      <c r="C863" s="11" t="str">
        <f>INDEX(Data,2,2+MOD(ROWS(C$2:C863)-1,24))</f>
        <v>22.00</v>
      </c>
      <c r="D863" s="8" t="str">
        <f t="shared" ca="1" si="41"/>
        <v>—</v>
      </c>
      <c r="E863" s="16">
        <f t="shared" ca="1" si="42"/>
        <v>7</v>
      </c>
    </row>
    <row r="864" spans="1:5" x14ac:dyDescent="0.25">
      <c r="A864" s="3">
        <f t="shared" si="40"/>
        <v>78989</v>
      </c>
      <c r="B864" t="str">
        <f ca="1">TEXT(DATE(YEAR(Invoer!$A$5),1,1)+INT((ROWS(B$2:B864)-1)/24),"""18""jjmmdd")</f>
        <v>18980205</v>
      </c>
      <c r="C864" s="11" t="str">
        <f>INDEX(Data,2,2+MOD(ROWS(C$2:C864)-1,24))</f>
        <v>23.00</v>
      </c>
      <c r="D864" s="8" t="str">
        <f t="shared" ca="1" si="41"/>
        <v>—</v>
      </c>
      <c r="E864" s="16">
        <f t="shared" ca="1" si="42"/>
        <v>7</v>
      </c>
    </row>
    <row r="865" spans="1:5" x14ac:dyDescent="0.25">
      <c r="A865" s="3">
        <f t="shared" si="40"/>
        <v>78989</v>
      </c>
      <c r="B865" t="str">
        <f ca="1">TEXT(DATE(YEAR(Invoer!$A$5),1,1)+INT((ROWS(B$2:B865)-1)/24),"""18""jjmmdd")</f>
        <v>18980205</v>
      </c>
      <c r="C865" s="11" t="str">
        <f>INDEX(Data,2,2+MOD(ROWS(C$2:C865)-1,24))</f>
        <v>24.00</v>
      </c>
      <c r="D865" s="8" t="str">
        <f t="shared" ca="1" si="41"/>
        <v>—</v>
      </c>
      <c r="E865" s="16">
        <f t="shared" ca="1" si="42"/>
        <v>7</v>
      </c>
    </row>
    <row r="866" spans="1:5" x14ac:dyDescent="0.25">
      <c r="A866" s="3">
        <f t="shared" si="40"/>
        <v>78989</v>
      </c>
      <c r="B866" t="str">
        <f ca="1">TEXT(DATE(YEAR(Invoer!$A$5),1,1)+INT((ROWS(B$2:B866)-1)/24),"""18""jjmmdd")</f>
        <v>18980206</v>
      </c>
      <c r="C866" s="11" t="str">
        <f>INDEX(Data,2,2+MOD(ROWS(C$2:C866)-1,24))</f>
        <v>01.00</v>
      </c>
      <c r="D866" s="8" t="str">
        <f t="shared" ca="1" si="41"/>
        <v>—</v>
      </c>
      <c r="E866" s="16">
        <f t="shared" ca="1" si="42"/>
        <v>7</v>
      </c>
    </row>
    <row r="867" spans="1:5" x14ac:dyDescent="0.25">
      <c r="A867" s="3">
        <f t="shared" si="40"/>
        <v>78989</v>
      </c>
      <c r="B867" t="str">
        <f ca="1">TEXT(DATE(YEAR(Invoer!$A$5),1,1)+INT((ROWS(B$2:B867)-1)/24),"""18""jjmmdd")</f>
        <v>18980206</v>
      </c>
      <c r="C867" s="11" t="str">
        <f>INDEX(Data,2,2+MOD(ROWS(C$2:C867)-1,24))</f>
        <v>02.00</v>
      </c>
      <c r="D867" s="8" t="str">
        <f t="shared" ca="1" si="41"/>
        <v>—</v>
      </c>
      <c r="E867" s="16">
        <f t="shared" ca="1" si="42"/>
        <v>7</v>
      </c>
    </row>
    <row r="868" spans="1:5" x14ac:dyDescent="0.25">
      <c r="A868" s="3">
        <f t="shared" si="40"/>
        <v>78989</v>
      </c>
      <c r="B868" t="str">
        <f ca="1">TEXT(DATE(YEAR(Invoer!$A$5),1,1)+INT((ROWS(B$2:B868)-1)/24),"""18""jjmmdd")</f>
        <v>18980206</v>
      </c>
      <c r="C868" s="11" t="str">
        <f>INDEX(Data,2,2+MOD(ROWS(C$2:C868)-1,24))</f>
        <v>03.00</v>
      </c>
      <c r="D868" s="8" t="str">
        <f t="shared" ca="1" si="41"/>
        <v>—</v>
      </c>
      <c r="E868" s="16">
        <f t="shared" ca="1" si="42"/>
        <v>7</v>
      </c>
    </row>
    <row r="869" spans="1:5" x14ac:dyDescent="0.25">
      <c r="A869" s="3">
        <f t="shared" si="40"/>
        <v>78989</v>
      </c>
      <c r="B869" t="str">
        <f ca="1">TEXT(DATE(YEAR(Invoer!$A$5),1,1)+INT((ROWS(B$2:B869)-1)/24),"""18""jjmmdd")</f>
        <v>18980206</v>
      </c>
      <c r="C869" s="11" t="str">
        <f>INDEX(Data,2,2+MOD(ROWS(C$2:C869)-1,24))</f>
        <v>04.00</v>
      </c>
      <c r="D869" s="8" t="str">
        <f t="shared" ca="1" si="41"/>
        <v>—</v>
      </c>
      <c r="E869" s="16">
        <f t="shared" ca="1" si="42"/>
        <v>7</v>
      </c>
    </row>
    <row r="870" spans="1:5" x14ac:dyDescent="0.25">
      <c r="A870" s="3">
        <f t="shared" si="40"/>
        <v>78989</v>
      </c>
      <c r="B870" t="str">
        <f ca="1">TEXT(DATE(YEAR(Invoer!$A$5),1,1)+INT((ROWS(B$2:B870)-1)/24),"""18""jjmmdd")</f>
        <v>18980206</v>
      </c>
      <c r="C870" s="11" t="str">
        <f>INDEX(Data,2,2+MOD(ROWS(C$2:C870)-1,24))</f>
        <v>05.00</v>
      </c>
      <c r="D870" s="8" t="str">
        <f t="shared" ca="1" si="41"/>
        <v>—</v>
      </c>
      <c r="E870" s="16">
        <f t="shared" ca="1" si="42"/>
        <v>7</v>
      </c>
    </row>
    <row r="871" spans="1:5" x14ac:dyDescent="0.25">
      <c r="A871" s="3">
        <f t="shared" si="40"/>
        <v>78989</v>
      </c>
      <c r="B871" t="str">
        <f ca="1">TEXT(DATE(YEAR(Invoer!$A$5),1,1)+INT((ROWS(B$2:B871)-1)/24),"""18""jjmmdd")</f>
        <v>18980206</v>
      </c>
      <c r="C871" s="11" t="str">
        <f>INDEX(Data,2,2+MOD(ROWS(C$2:C871)-1,24))</f>
        <v>06.00</v>
      </c>
      <c r="D871" s="8" t="str">
        <f t="shared" ca="1" si="41"/>
        <v>—</v>
      </c>
      <c r="E871" s="16">
        <f t="shared" ca="1" si="42"/>
        <v>7</v>
      </c>
    </row>
    <row r="872" spans="1:5" x14ac:dyDescent="0.25">
      <c r="A872" s="3">
        <f t="shared" si="40"/>
        <v>78989</v>
      </c>
      <c r="B872" t="str">
        <f ca="1">TEXT(DATE(YEAR(Invoer!$A$5),1,1)+INT((ROWS(B$2:B872)-1)/24),"""18""jjmmdd")</f>
        <v>18980206</v>
      </c>
      <c r="C872" s="11" t="str">
        <f>INDEX(Data,2,2+MOD(ROWS(C$2:C872)-1,24))</f>
        <v>07.00</v>
      </c>
      <c r="D872" s="8" t="str">
        <f t="shared" ca="1" si="41"/>
        <v>—</v>
      </c>
      <c r="E872" s="16">
        <f t="shared" ca="1" si="42"/>
        <v>7</v>
      </c>
    </row>
    <row r="873" spans="1:5" x14ac:dyDescent="0.25">
      <c r="A873" s="3">
        <f t="shared" si="40"/>
        <v>78989</v>
      </c>
      <c r="B873" t="str">
        <f ca="1">TEXT(DATE(YEAR(Invoer!$A$5),1,1)+INT((ROWS(B$2:B873)-1)/24),"""18""jjmmdd")</f>
        <v>18980206</v>
      </c>
      <c r="C873" s="11" t="str">
        <f>INDEX(Data,2,2+MOD(ROWS(C$2:C873)-1,24))</f>
        <v>08.00</v>
      </c>
      <c r="D873" s="8" t="str">
        <f t="shared" ca="1" si="41"/>
        <v>—</v>
      </c>
      <c r="E873" s="16">
        <f t="shared" ca="1" si="42"/>
        <v>7</v>
      </c>
    </row>
    <row r="874" spans="1:5" x14ac:dyDescent="0.25">
      <c r="A874" s="3">
        <f t="shared" si="40"/>
        <v>78989</v>
      </c>
      <c r="B874" t="str">
        <f ca="1">TEXT(DATE(YEAR(Invoer!$A$5),1,1)+INT((ROWS(B$2:B874)-1)/24),"""18""jjmmdd")</f>
        <v>18980206</v>
      </c>
      <c r="C874" s="11" t="str">
        <f>INDEX(Data,2,2+MOD(ROWS(C$2:C874)-1,24))</f>
        <v>09.00</v>
      </c>
      <c r="D874" s="8" t="str">
        <f t="shared" ca="1" si="41"/>
        <v>—</v>
      </c>
      <c r="E874" s="16">
        <f t="shared" ca="1" si="42"/>
        <v>7</v>
      </c>
    </row>
    <row r="875" spans="1:5" x14ac:dyDescent="0.25">
      <c r="A875" s="3">
        <f t="shared" si="40"/>
        <v>78989</v>
      </c>
      <c r="B875" t="str">
        <f ca="1">TEXT(DATE(YEAR(Invoer!$A$5),1,1)+INT((ROWS(B$2:B875)-1)/24),"""18""jjmmdd")</f>
        <v>18980206</v>
      </c>
      <c r="C875" s="11" t="str">
        <f>INDEX(Data,2,2+MOD(ROWS(C$2:C875)-1,24))</f>
        <v>10.00</v>
      </c>
      <c r="D875" s="8" t="str">
        <f t="shared" ca="1" si="41"/>
        <v>—</v>
      </c>
      <c r="E875" s="16">
        <f t="shared" ca="1" si="42"/>
        <v>7</v>
      </c>
    </row>
    <row r="876" spans="1:5" x14ac:dyDescent="0.25">
      <c r="A876" s="3">
        <f t="shared" si="40"/>
        <v>78989</v>
      </c>
      <c r="B876" t="str">
        <f ca="1">TEXT(DATE(YEAR(Invoer!$A$5),1,1)+INT((ROWS(B$2:B876)-1)/24),"""18""jjmmdd")</f>
        <v>18980206</v>
      </c>
      <c r="C876" s="11" t="str">
        <f>INDEX(Data,2,2+MOD(ROWS(C$2:C876)-1,24))</f>
        <v>11.00</v>
      </c>
      <c r="D876" s="8" t="str">
        <f t="shared" ca="1" si="41"/>
        <v>—</v>
      </c>
      <c r="E876" s="16">
        <f t="shared" ca="1" si="42"/>
        <v>7</v>
      </c>
    </row>
    <row r="877" spans="1:5" x14ac:dyDescent="0.25">
      <c r="A877" s="3">
        <f t="shared" si="40"/>
        <v>78989</v>
      </c>
      <c r="B877" t="str">
        <f ca="1">TEXT(DATE(YEAR(Invoer!$A$5),1,1)+INT((ROWS(B$2:B877)-1)/24),"""18""jjmmdd")</f>
        <v>18980206</v>
      </c>
      <c r="C877" s="11" t="str">
        <f>INDEX(Data,2,2+MOD(ROWS(C$2:C877)-1,24))</f>
        <v>12.00</v>
      </c>
      <c r="D877" s="8" t="str">
        <f t="shared" ca="1" si="41"/>
        <v>—</v>
      </c>
      <c r="E877" s="16">
        <f t="shared" ca="1" si="42"/>
        <v>7</v>
      </c>
    </row>
    <row r="878" spans="1:5" x14ac:dyDescent="0.25">
      <c r="A878" s="3">
        <f t="shared" si="40"/>
        <v>78989</v>
      </c>
      <c r="B878" t="str">
        <f ca="1">TEXT(DATE(YEAR(Invoer!$A$5),1,1)+INT((ROWS(B$2:B878)-1)/24),"""18""jjmmdd")</f>
        <v>18980206</v>
      </c>
      <c r="C878" s="11" t="str">
        <f>INDEX(Data,2,2+MOD(ROWS(C$2:C878)-1,24))</f>
        <v>13.00</v>
      </c>
      <c r="D878" s="8" t="str">
        <f t="shared" ca="1" si="41"/>
        <v>—</v>
      </c>
      <c r="E878" s="16">
        <f t="shared" ca="1" si="42"/>
        <v>7</v>
      </c>
    </row>
    <row r="879" spans="1:5" x14ac:dyDescent="0.25">
      <c r="A879" s="3">
        <f t="shared" si="40"/>
        <v>78989</v>
      </c>
      <c r="B879" t="str">
        <f ca="1">TEXT(DATE(YEAR(Invoer!$A$5),1,1)+INT((ROWS(B$2:B879)-1)/24),"""18""jjmmdd")</f>
        <v>18980206</v>
      </c>
      <c r="C879" s="11" t="str">
        <f>INDEX(Data,2,2+MOD(ROWS(C$2:C879)-1,24))</f>
        <v>14.00</v>
      </c>
      <c r="D879" s="8" t="str">
        <f t="shared" ca="1" si="41"/>
        <v>—</v>
      </c>
      <c r="E879" s="16">
        <f t="shared" ca="1" si="42"/>
        <v>7</v>
      </c>
    </row>
    <row r="880" spans="1:5" x14ac:dyDescent="0.25">
      <c r="A880" s="3">
        <f t="shared" si="40"/>
        <v>78989</v>
      </c>
      <c r="B880" t="str">
        <f ca="1">TEXT(DATE(YEAR(Invoer!$A$5),1,1)+INT((ROWS(B$2:B880)-1)/24),"""18""jjmmdd")</f>
        <v>18980206</v>
      </c>
      <c r="C880" s="11" t="str">
        <f>INDEX(Data,2,2+MOD(ROWS(C$2:C880)-1,24))</f>
        <v>15.00</v>
      </c>
      <c r="D880" s="8" t="str">
        <f t="shared" ca="1" si="41"/>
        <v>—</v>
      </c>
      <c r="E880" s="16">
        <f t="shared" ca="1" si="42"/>
        <v>7</v>
      </c>
    </row>
    <row r="881" spans="1:5" x14ac:dyDescent="0.25">
      <c r="A881" s="3">
        <f t="shared" si="40"/>
        <v>78989</v>
      </c>
      <c r="B881" t="str">
        <f ca="1">TEXT(DATE(YEAR(Invoer!$A$5),1,1)+INT((ROWS(B$2:B881)-1)/24),"""18""jjmmdd")</f>
        <v>18980206</v>
      </c>
      <c r="C881" s="11" t="str">
        <f>INDEX(Data,2,2+MOD(ROWS(C$2:C881)-1,24))</f>
        <v>16.00</v>
      </c>
      <c r="D881" s="8" t="str">
        <f t="shared" ca="1" si="41"/>
        <v>—</v>
      </c>
      <c r="E881" s="16">
        <f t="shared" ca="1" si="42"/>
        <v>7</v>
      </c>
    </row>
    <row r="882" spans="1:5" x14ac:dyDescent="0.25">
      <c r="A882" s="3">
        <f t="shared" si="40"/>
        <v>78989</v>
      </c>
      <c r="B882" t="str">
        <f ca="1">TEXT(DATE(YEAR(Invoer!$A$5),1,1)+INT((ROWS(B$2:B882)-1)/24),"""18""jjmmdd")</f>
        <v>18980206</v>
      </c>
      <c r="C882" s="11" t="str">
        <f>INDEX(Data,2,2+MOD(ROWS(C$2:C882)-1,24))</f>
        <v>17.00</v>
      </c>
      <c r="D882" s="8" t="str">
        <f t="shared" ca="1" si="41"/>
        <v>—</v>
      </c>
      <c r="E882" s="16">
        <f t="shared" ca="1" si="42"/>
        <v>7</v>
      </c>
    </row>
    <row r="883" spans="1:5" x14ac:dyDescent="0.25">
      <c r="A883" s="3">
        <f t="shared" si="40"/>
        <v>78989</v>
      </c>
      <c r="B883" t="str">
        <f ca="1">TEXT(DATE(YEAR(Invoer!$A$5),1,1)+INT((ROWS(B$2:B883)-1)/24),"""18""jjmmdd")</f>
        <v>18980206</v>
      </c>
      <c r="C883" s="11" t="str">
        <f>INDEX(Data,2,2+MOD(ROWS(C$2:C883)-1,24))</f>
        <v>18.00</v>
      </c>
      <c r="D883" s="8" t="str">
        <f t="shared" ca="1" si="41"/>
        <v>—</v>
      </c>
      <c r="E883" s="16">
        <f t="shared" ca="1" si="42"/>
        <v>7</v>
      </c>
    </row>
    <row r="884" spans="1:5" x14ac:dyDescent="0.25">
      <c r="A884" s="3">
        <f t="shared" si="40"/>
        <v>78989</v>
      </c>
      <c r="B884" t="str">
        <f ca="1">TEXT(DATE(YEAR(Invoer!$A$5),1,1)+INT((ROWS(B$2:B884)-1)/24),"""18""jjmmdd")</f>
        <v>18980206</v>
      </c>
      <c r="C884" s="11" t="str">
        <f>INDEX(Data,2,2+MOD(ROWS(C$2:C884)-1,24))</f>
        <v>19.00</v>
      </c>
      <c r="D884" s="8" t="str">
        <f t="shared" ca="1" si="41"/>
        <v>—</v>
      </c>
      <c r="E884" s="16">
        <f t="shared" ca="1" si="42"/>
        <v>7</v>
      </c>
    </row>
    <row r="885" spans="1:5" x14ac:dyDescent="0.25">
      <c r="A885" s="3">
        <f t="shared" si="40"/>
        <v>78989</v>
      </c>
      <c r="B885" t="str">
        <f ca="1">TEXT(DATE(YEAR(Invoer!$A$5),1,1)+INT((ROWS(B$2:B885)-1)/24),"""18""jjmmdd")</f>
        <v>18980206</v>
      </c>
      <c r="C885" s="11" t="str">
        <f>INDEX(Data,2,2+MOD(ROWS(C$2:C885)-1,24))</f>
        <v>20.00</v>
      </c>
      <c r="D885" s="8" t="str">
        <f t="shared" ca="1" si="41"/>
        <v>—</v>
      </c>
      <c r="E885" s="16">
        <f t="shared" ca="1" si="42"/>
        <v>7</v>
      </c>
    </row>
    <row r="886" spans="1:5" x14ac:dyDescent="0.25">
      <c r="A886" s="3">
        <f t="shared" si="40"/>
        <v>78989</v>
      </c>
      <c r="B886" t="str">
        <f ca="1">TEXT(DATE(YEAR(Invoer!$A$5),1,1)+INT((ROWS(B$2:B886)-1)/24),"""18""jjmmdd")</f>
        <v>18980206</v>
      </c>
      <c r="C886" s="11" t="str">
        <f>INDEX(Data,2,2+MOD(ROWS(C$2:C886)-1,24))</f>
        <v>21.00</v>
      </c>
      <c r="D886" s="8" t="str">
        <f t="shared" ca="1" si="41"/>
        <v>—</v>
      </c>
      <c r="E886" s="16">
        <f t="shared" ca="1" si="42"/>
        <v>7</v>
      </c>
    </row>
    <row r="887" spans="1:5" x14ac:dyDescent="0.25">
      <c r="A887" s="3">
        <f t="shared" si="40"/>
        <v>78989</v>
      </c>
      <c r="B887" t="str">
        <f ca="1">TEXT(DATE(YEAR(Invoer!$A$5),1,1)+INT((ROWS(B$2:B887)-1)/24),"""18""jjmmdd")</f>
        <v>18980206</v>
      </c>
      <c r="C887" s="11" t="str">
        <f>INDEX(Data,2,2+MOD(ROWS(C$2:C887)-1,24))</f>
        <v>22.00</v>
      </c>
      <c r="D887" s="8" t="str">
        <f t="shared" ca="1" si="41"/>
        <v>—</v>
      </c>
      <c r="E887" s="16">
        <f t="shared" ca="1" si="42"/>
        <v>7</v>
      </c>
    </row>
    <row r="888" spans="1:5" x14ac:dyDescent="0.25">
      <c r="A888" s="3">
        <f t="shared" si="40"/>
        <v>78989</v>
      </c>
      <c r="B888" t="str">
        <f ca="1">TEXT(DATE(YEAR(Invoer!$A$5),1,1)+INT((ROWS(B$2:B888)-1)/24),"""18""jjmmdd")</f>
        <v>18980206</v>
      </c>
      <c r="C888" s="11" t="str">
        <f>INDEX(Data,2,2+MOD(ROWS(C$2:C888)-1,24))</f>
        <v>23.00</v>
      </c>
      <c r="D888" s="8" t="str">
        <f t="shared" ca="1" si="41"/>
        <v>—</v>
      </c>
      <c r="E888" s="16">
        <f t="shared" ca="1" si="42"/>
        <v>7</v>
      </c>
    </row>
    <row r="889" spans="1:5" x14ac:dyDescent="0.25">
      <c r="A889" s="3">
        <f t="shared" si="40"/>
        <v>78989</v>
      </c>
      <c r="B889" t="str">
        <f ca="1">TEXT(DATE(YEAR(Invoer!$A$5),1,1)+INT((ROWS(B$2:B889)-1)/24),"""18""jjmmdd")</f>
        <v>18980206</v>
      </c>
      <c r="C889" s="11" t="str">
        <f>INDEX(Data,2,2+MOD(ROWS(C$2:C889)-1,24))</f>
        <v>24.00</v>
      </c>
      <c r="D889" s="8" t="str">
        <f t="shared" ca="1" si="41"/>
        <v>—</v>
      </c>
      <c r="E889" s="16">
        <f t="shared" ca="1" si="42"/>
        <v>7</v>
      </c>
    </row>
    <row r="890" spans="1:5" x14ac:dyDescent="0.25">
      <c r="A890" s="3">
        <f t="shared" si="40"/>
        <v>78989</v>
      </c>
      <c r="B890" t="str">
        <f ca="1">TEXT(DATE(YEAR(Invoer!$A$5),1,1)+INT((ROWS(B$2:B890)-1)/24),"""18""jjmmdd")</f>
        <v>18980207</v>
      </c>
      <c r="C890" s="11" t="str">
        <f>INDEX(Data,2,2+MOD(ROWS(C$2:C890)-1,24))</f>
        <v>01.00</v>
      </c>
      <c r="D890" s="8" t="str">
        <f t="shared" ca="1" si="41"/>
        <v>—</v>
      </c>
      <c r="E890" s="16">
        <f t="shared" ca="1" si="42"/>
        <v>7</v>
      </c>
    </row>
    <row r="891" spans="1:5" x14ac:dyDescent="0.25">
      <c r="A891" s="3">
        <f t="shared" si="40"/>
        <v>78989</v>
      </c>
      <c r="B891" t="str">
        <f ca="1">TEXT(DATE(YEAR(Invoer!$A$5),1,1)+INT((ROWS(B$2:B891)-1)/24),"""18""jjmmdd")</f>
        <v>18980207</v>
      </c>
      <c r="C891" s="11" t="str">
        <f>INDEX(Data,2,2+MOD(ROWS(C$2:C891)-1,24))</f>
        <v>02.00</v>
      </c>
      <c r="D891" s="8" t="str">
        <f t="shared" ca="1" si="41"/>
        <v>—</v>
      </c>
      <c r="E891" s="16">
        <f t="shared" ca="1" si="42"/>
        <v>7</v>
      </c>
    </row>
    <row r="892" spans="1:5" x14ac:dyDescent="0.25">
      <c r="A892" s="3">
        <f t="shared" si="40"/>
        <v>78989</v>
      </c>
      <c r="B892" t="str">
        <f ca="1">TEXT(DATE(YEAR(Invoer!$A$5),1,1)+INT((ROWS(B$2:B892)-1)/24),"""18""jjmmdd")</f>
        <v>18980207</v>
      </c>
      <c r="C892" s="11" t="str">
        <f>INDEX(Data,2,2+MOD(ROWS(C$2:C892)-1,24))</f>
        <v>03.00</v>
      </c>
      <c r="D892" s="8" t="str">
        <f t="shared" ca="1" si="41"/>
        <v>—</v>
      </c>
      <c r="E892" s="16">
        <f t="shared" ca="1" si="42"/>
        <v>7</v>
      </c>
    </row>
    <row r="893" spans="1:5" x14ac:dyDescent="0.25">
      <c r="A893" s="3">
        <f t="shared" si="40"/>
        <v>78989</v>
      </c>
      <c r="B893" t="str">
        <f ca="1">TEXT(DATE(YEAR(Invoer!$A$5),1,1)+INT((ROWS(B$2:B893)-1)/24),"""18""jjmmdd")</f>
        <v>18980207</v>
      </c>
      <c r="C893" s="11" t="str">
        <f>INDEX(Data,2,2+MOD(ROWS(C$2:C893)-1,24))</f>
        <v>04.00</v>
      </c>
      <c r="D893" s="8" t="str">
        <f t="shared" ca="1" si="41"/>
        <v>—</v>
      </c>
      <c r="E893" s="16">
        <f t="shared" ca="1" si="42"/>
        <v>7</v>
      </c>
    </row>
    <row r="894" spans="1:5" x14ac:dyDescent="0.25">
      <c r="A894" s="3">
        <f t="shared" si="40"/>
        <v>78989</v>
      </c>
      <c r="B894" t="str">
        <f ca="1">TEXT(DATE(YEAR(Invoer!$A$5),1,1)+INT((ROWS(B$2:B894)-1)/24),"""18""jjmmdd")</f>
        <v>18980207</v>
      </c>
      <c r="C894" s="11" t="str">
        <f>INDEX(Data,2,2+MOD(ROWS(C$2:C894)-1,24))</f>
        <v>05.00</v>
      </c>
      <c r="D894" s="8" t="str">
        <f t="shared" ca="1" si="41"/>
        <v>—</v>
      </c>
      <c r="E894" s="16">
        <f t="shared" ca="1" si="42"/>
        <v>7</v>
      </c>
    </row>
    <row r="895" spans="1:5" x14ac:dyDescent="0.25">
      <c r="A895" s="3">
        <f t="shared" si="40"/>
        <v>78989</v>
      </c>
      <c r="B895" t="str">
        <f ca="1">TEXT(DATE(YEAR(Invoer!$A$5),1,1)+INT((ROWS(B$2:B895)-1)/24),"""18""jjmmdd")</f>
        <v>18980207</v>
      </c>
      <c r="C895" s="11" t="str">
        <f>INDEX(Data,2,2+MOD(ROWS(C$2:C895)-1,24))</f>
        <v>06.00</v>
      </c>
      <c r="D895" s="8" t="str">
        <f t="shared" ca="1" si="41"/>
        <v>—</v>
      </c>
      <c r="E895" s="16">
        <f t="shared" ca="1" si="42"/>
        <v>7</v>
      </c>
    </row>
    <row r="896" spans="1:5" x14ac:dyDescent="0.25">
      <c r="A896" s="3">
        <f t="shared" si="40"/>
        <v>78989</v>
      </c>
      <c r="B896" t="str">
        <f ca="1">TEXT(DATE(YEAR(Invoer!$A$5),1,1)+INT((ROWS(B$2:B896)-1)/24),"""18""jjmmdd")</f>
        <v>18980207</v>
      </c>
      <c r="C896" s="11" t="str">
        <f>INDEX(Data,2,2+MOD(ROWS(C$2:C896)-1,24))</f>
        <v>07.00</v>
      </c>
      <c r="D896" s="8" t="str">
        <f t="shared" ca="1" si="41"/>
        <v>—</v>
      </c>
      <c r="E896" s="16">
        <f t="shared" ca="1" si="42"/>
        <v>7</v>
      </c>
    </row>
    <row r="897" spans="1:5" x14ac:dyDescent="0.25">
      <c r="A897" s="3">
        <f t="shared" si="40"/>
        <v>78989</v>
      </c>
      <c r="B897" t="str">
        <f ca="1">TEXT(DATE(YEAR(Invoer!$A$5),1,1)+INT((ROWS(B$2:B897)-1)/24),"""18""jjmmdd")</f>
        <v>18980207</v>
      </c>
      <c r="C897" s="11" t="str">
        <f>INDEX(Data,2,2+MOD(ROWS(C$2:C897)-1,24))</f>
        <v>08.00</v>
      </c>
      <c r="D897" s="8" t="str">
        <f t="shared" ca="1" si="41"/>
        <v>—</v>
      </c>
      <c r="E897" s="16">
        <f t="shared" ca="1" si="42"/>
        <v>7</v>
      </c>
    </row>
    <row r="898" spans="1:5" x14ac:dyDescent="0.25">
      <c r="A898" s="3">
        <f t="shared" ref="A898:A961" si="43">INDEX(Stations,2,1)</f>
        <v>78989</v>
      </c>
      <c r="B898" t="str">
        <f ca="1">TEXT(DATE(YEAR(Invoer!$A$5),1,1)+INT((ROWS(B$2:B898)-1)/24),"""18""jjmmdd")</f>
        <v>18980207</v>
      </c>
      <c r="C898" s="11" t="str">
        <f>INDEX(Data,2,2+MOD(ROWS(C$2:C898)-1,24))</f>
        <v>09.00</v>
      </c>
      <c r="D898" s="8" t="str">
        <f t="shared" ref="D898:D961" ca="1" si="44">IF(OR(ISBLANK(VLOOKUP(DATEVALUE("37"&amp;MID($B898,3,2)&amp;"-"&amp;MID($B898,5,2)&amp;"-"&amp;RIGHT($B898,2)),Data,MATCH(LEFT(VLOOKUP(D$1,Parameters,2,FALSE()),4)&amp;"*",OFFSET(Data,0,0,1),0)+MATCH($C898,OFFSET(Data,1,0,1),0)-2,FALSE())),ISTEXT(VLOOKUP(DATEVALUE("37"&amp;MID($B898,3,2)&amp;"-"&amp;MID($B898,5,2)&amp;"-"&amp;RIGHT($B898,2)),Data,MATCH(LEFT(VLOOKUP(D$1,Parameters,2,FALSE()),4)&amp;"*",OFFSET(Data,0,0,1),0)+MATCH($C898,OFFSET(Data,1,0,1),0)-2,FALSE()))),"—",VLOOKUP(DATEVALUE("37"&amp;MID($B898,3,2)&amp;"-"&amp;MID($B898,5,2)&amp;"-"&amp;RIGHT($B898,2)),Data,MATCH(LEFT(VLOOKUP(D$1,Parameters,2,FALSE()),4)&amp;"*",OFFSET(Data,0,0,1),0)+MATCH($C898,OFFSET(Data,1,0,1),0)-2,FALSE()))</f>
        <v>—</v>
      </c>
      <c r="E898" s="16">
        <f t="shared" ca="1" si="42"/>
        <v>7</v>
      </c>
    </row>
    <row r="899" spans="1:5" x14ac:dyDescent="0.25">
      <c r="A899" s="3">
        <f t="shared" si="43"/>
        <v>78989</v>
      </c>
      <c r="B899" t="str">
        <f ca="1">TEXT(DATE(YEAR(Invoer!$A$5),1,1)+INT((ROWS(B$2:B899)-1)/24),"""18""jjmmdd")</f>
        <v>18980207</v>
      </c>
      <c r="C899" s="11" t="str">
        <f>INDEX(Data,2,2+MOD(ROWS(C$2:C899)-1,24))</f>
        <v>10.00</v>
      </c>
      <c r="D899" s="8" t="str">
        <f t="shared" ca="1" si="44"/>
        <v>—</v>
      </c>
      <c r="E899" s="16">
        <f t="shared" ref="E899:E962" ca="1" si="45">IF(OR(ISBLANK(VLOOKUP(DATEVALUE("37"&amp;MID($B899,3,2)&amp;"-"&amp;MID($B899,5,2)&amp;"-"&amp;RIGHT($B899,2)),Data,MATCH(LEFT(VLOOKUP(D$1,Parameters,2,FALSE()),4)&amp;"*",OFFSET(Data,0,0,1),0)+MATCH($C899,OFFSET(Data,1,0,1),0)-2,FALSE())),ISTEXT(VLOOKUP(DATEVALUE("37"&amp;MID($B899,3,2)&amp;"-"&amp;MID($B899,5,2)&amp;"-"&amp;RIGHT($B899,2)),Data,MATCH(LEFT(VLOOKUP(D$1,Parameters,2,FALSE()),4)&amp;"*",OFFSET(Data,0,0,1),0)+MATCH($C899,OFFSET(Data,1,0,1),0)-2,FALSE()))),Lacking,IF(ISNA(MATCH(DATEVALUE("37"&amp;MID($B899,3,2)&amp;"-"&amp;MID($B899,5,2)&amp;"-"&amp;RIGHT($B899,2)),OFFSET(Catalogus,0,0,,1),0)),Ok,VLOOKUP(DATEVALUE("37"&amp;MID($B899,3,2)&amp;"-"&amp;MID($B899,5,2)&amp;"-"&amp;RIGHT($B899,2)),Catalogus,MATCH(LEFT(VLOOKUP(MID(E$1,2,LEN(E$1)-1),Parameters,2,FALSE()),4)&amp;"*",OFFSET(Catalogus,0,0,1),0)+MATCH($C899,OFFSET(Catalogus,1,0,1),0)-2,FALSE())))</f>
        <v>7</v>
      </c>
    </row>
    <row r="900" spans="1:5" x14ac:dyDescent="0.25">
      <c r="A900" s="3">
        <f t="shared" si="43"/>
        <v>78989</v>
      </c>
      <c r="B900" t="str">
        <f ca="1">TEXT(DATE(YEAR(Invoer!$A$5),1,1)+INT((ROWS(B$2:B900)-1)/24),"""18""jjmmdd")</f>
        <v>18980207</v>
      </c>
      <c r="C900" s="11" t="str">
        <f>INDEX(Data,2,2+MOD(ROWS(C$2:C900)-1,24))</f>
        <v>11.00</v>
      </c>
      <c r="D900" s="8" t="str">
        <f t="shared" ca="1" si="44"/>
        <v>—</v>
      </c>
      <c r="E900" s="16">
        <f t="shared" ca="1" si="45"/>
        <v>7</v>
      </c>
    </row>
    <row r="901" spans="1:5" x14ac:dyDescent="0.25">
      <c r="A901" s="3">
        <f t="shared" si="43"/>
        <v>78989</v>
      </c>
      <c r="B901" t="str">
        <f ca="1">TEXT(DATE(YEAR(Invoer!$A$5),1,1)+INT((ROWS(B$2:B901)-1)/24),"""18""jjmmdd")</f>
        <v>18980207</v>
      </c>
      <c r="C901" s="11" t="str">
        <f>INDEX(Data,2,2+MOD(ROWS(C$2:C901)-1,24))</f>
        <v>12.00</v>
      </c>
      <c r="D901" s="8" t="str">
        <f t="shared" ca="1" si="44"/>
        <v>—</v>
      </c>
      <c r="E901" s="16">
        <f t="shared" ca="1" si="45"/>
        <v>7</v>
      </c>
    </row>
    <row r="902" spans="1:5" x14ac:dyDescent="0.25">
      <c r="A902" s="3">
        <f t="shared" si="43"/>
        <v>78989</v>
      </c>
      <c r="B902" t="str">
        <f ca="1">TEXT(DATE(YEAR(Invoer!$A$5),1,1)+INT((ROWS(B$2:B902)-1)/24),"""18""jjmmdd")</f>
        <v>18980207</v>
      </c>
      <c r="C902" s="11" t="str">
        <f>INDEX(Data,2,2+MOD(ROWS(C$2:C902)-1,24))</f>
        <v>13.00</v>
      </c>
      <c r="D902" s="8" t="str">
        <f t="shared" ca="1" si="44"/>
        <v>—</v>
      </c>
      <c r="E902" s="16">
        <f t="shared" ca="1" si="45"/>
        <v>7</v>
      </c>
    </row>
    <row r="903" spans="1:5" x14ac:dyDescent="0.25">
      <c r="A903" s="3">
        <f t="shared" si="43"/>
        <v>78989</v>
      </c>
      <c r="B903" t="str">
        <f ca="1">TEXT(DATE(YEAR(Invoer!$A$5),1,1)+INT((ROWS(B$2:B903)-1)/24),"""18""jjmmdd")</f>
        <v>18980207</v>
      </c>
      <c r="C903" s="11" t="str">
        <f>INDEX(Data,2,2+MOD(ROWS(C$2:C903)-1,24))</f>
        <v>14.00</v>
      </c>
      <c r="D903" s="8" t="str">
        <f t="shared" ca="1" si="44"/>
        <v>—</v>
      </c>
      <c r="E903" s="16">
        <f t="shared" ca="1" si="45"/>
        <v>7</v>
      </c>
    </row>
    <row r="904" spans="1:5" x14ac:dyDescent="0.25">
      <c r="A904" s="3">
        <f t="shared" si="43"/>
        <v>78989</v>
      </c>
      <c r="B904" t="str">
        <f ca="1">TEXT(DATE(YEAR(Invoer!$A$5),1,1)+INT((ROWS(B$2:B904)-1)/24),"""18""jjmmdd")</f>
        <v>18980207</v>
      </c>
      <c r="C904" s="11" t="str">
        <f>INDEX(Data,2,2+MOD(ROWS(C$2:C904)-1,24))</f>
        <v>15.00</v>
      </c>
      <c r="D904" s="8" t="str">
        <f t="shared" ca="1" si="44"/>
        <v>—</v>
      </c>
      <c r="E904" s="16">
        <f t="shared" ca="1" si="45"/>
        <v>7</v>
      </c>
    </row>
    <row r="905" spans="1:5" x14ac:dyDescent="0.25">
      <c r="A905" s="3">
        <f t="shared" si="43"/>
        <v>78989</v>
      </c>
      <c r="B905" t="str">
        <f ca="1">TEXT(DATE(YEAR(Invoer!$A$5),1,1)+INT((ROWS(B$2:B905)-1)/24),"""18""jjmmdd")</f>
        <v>18980207</v>
      </c>
      <c r="C905" s="11" t="str">
        <f>INDEX(Data,2,2+MOD(ROWS(C$2:C905)-1,24))</f>
        <v>16.00</v>
      </c>
      <c r="D905" s="8" t="str">
        <f t="shared" ca="1" si="44"/>
        <v>—</v>
      </c>
      <c r="E905" s="16">
        <f t="shared" ca="1" si="45"/>
        <v>7</v>
      </c>
    </row>
    <row r="906" spans="1:5" x14ac:dyDescent="0.25">
      <c r="A906" s="3">
        <f t="shared" si="43"/>
        <v>78989</v>
      </c>
      <c r="B906" t="str">
        <f ca="1">TEXT(DATE(YEAR(Invoer!$A$5),1,1)+INT((ROWS(B$2:B906)-1)/24),"""18""jjmmdd")</f>
        <v>18980207</v>
      </c>
      <c r="C906" s="11" t="str">
        <f>INDEX(Data,2,2+MOD(ROWS(C$2:C906)-1,24))</f>
        <v>17.00</v>
      </c>
      <c r="D906" s="8" t="str">
        <f t="shared" ca="1" si="44"/>
        <v>—</v>
      </c>
      <c r="E906" s="16">
        <f t="shared" ca="1" si="45"/>
        <v>7</v>
      </c>
    </row>
    <row r="907" spans="1:5" x14ac:dyDescent="0.25">
      <c r="A907" s="3">
        <f t="shared" si="43"/>
        <v>78989</v>
      </c>
      <c r="B907" t="str">
        <f ca="1">TEXT(DATE(YEAR(Invoer!$A$5),1,1)+INT((ROWS(B$2:B907)-1)/24),"""18""jjmmdd")</f>
        <v>18980207</v>
      </c>
      <c r="C907" s="11" t="str">
        <f>INDEX(Data,2,2+MOD(ROWS(C$2:C907)-1,24))</f>
        <v>18.00</v>
      </c>
      <c r="D907" s="8" t="str">
        <f t="shared" ca="1" si="44"/>
        <v>—</v>
      </c>
      <c r="E907" s="16">
        <f t="shared" ca="1" si="45"/>
        <v>7</v>
      </c>
    </row>
    <row r="908" spans="1:5" x14ac:dyDescent="0.25">
      <c r="A908" s="3">
        <f t="shared" si="43"/>
        <v>78989</v>
      </c>
      <c r="B908" t="str">
        <f ca="1">TEXT(DATE(YEAR(Invoer!$A$5),1,1)+INT((ROWS(B$2:B908)-1)/24),"""18""jjmmdd")</f>
        <v>18980207</v>
      </c>
      <c r="C908" s="11" t="str">
        <f>INDEX(Data,2,2+MOD(ROWS(C$2:C908)-1,24))</f>
        <v>19.00</v>
      </c>
      <c r="D908" s="8" t="str">
        <f t="shared" ca="1" si="44"/>
        <v>—</v>
      </c>
      <c r="E908" s="16">
        <f t="shared" ca="1" si="45"/>
        <v>7</v>
      </c>
    </row>
    <row r="909" spans="1:5" x14ac:dyDescent="0.25">
      <c r="A909" s="3">
        <f t="shared" si="43"/>
        <v>78989</v>
      </c>
      <c r="B909" t="str">
        <f ca="1">TEXT(DATE(YEAR(Invoer!$A$5),1,1)+INT((ROWS(B$2:B909)-1)/24),"""18""jjmmdd")</f>
        <v>18980207</v>
      </c>
      <c r="C909" s="11" t="str">
        <f>INDEX(Data,2,2+MOD(ROWS(C$2:C909)-1,24))</f>
        <v>20.00</v>
      </c>
      <c r="D909" s="8" t="str">
        <f t="shared" ca="1" si="44"/>
        <v>—</v>
      </c>
      <c r="E909" s="16">
        <f t="shared" ca="1" si="45"/>
        <v>7</v>
      </c>
    </row>
    <row r="910" spans="1:5" x14ac:dyDescent="0.25">
      <c r="A910" s="3">
        <f t="shared" si="43"/>
        <v>78989</v>
      </c>
      <c r="B910" t="str">
        <f ca="1">TEXT(DATE(YEAR(Invoer!$A$5),1,1)+INT((ROWS(B$2:B910)-1)/24),"""18""jjmmdd")</f>
        <v>18980207</v>
      </c>
      <c r="C910" s="11" t="str">
        <f>INDEX(Data,2,2+MOD(ROWS(C$2:C910)-1,24))</f>
        <v>21.00</v>
      </c>
      <c r="D910" s="8" t="str">
        <f t="shared" ca="1" si="44"/>
        <v>—</v>
      </c>
      <c r="E910" s="16">
        <f t="shared" ca="1" si="45"/>
        <v>7</v>
      </c>
    </row>
    <row r="911" spans="1:5" x14ac:dyDescent="0.25">
      <c r="A911" s="3">
        <f t="shared" si="43"/>
        <v>78989</v>
      </c>
      <c r="B911" t="str">
        <f ca="1">TEXT(DATE(YEAR(Invoer!$A$5),1,1)+INT((ROWS(B$2:B911)-1)/24),"""18""jjmmdd")</f>
        <v>18980207</v>
      </c>
      <c r="C911" s="11" t="str">
        <f>INDEX(Data,2,2+MOD(ROWS(C$2:C911)-1,24))</f>
        <v>22.00</v>
      </c>
      <c r="D911" s="8" t="str">
        <f t="shared" ca="1" si="44"/>
        <v>—</v>
      </c>
      <c r="E911" s="16">
        <f t="shared" ca="1" si="45"/>
        <v>7</v>
      </c>
    </row>
    <row r="912" spans="1:5" x14ac:dyDescent="0.25">
      <c r="A912" s="3">
        <f t="shared" si="43"/>
        <v>78989</v>
      </c>
      <c r="B912" t="str">
        <f ca="1">TEXT(DATE(YEAR(Invoer!$A$5),1,1)+INT((ROWS(B$2:B912)-1)/24),"""18""jjmmdd")</f>
        <v>18980207</v>
      </c>
      <c r="C912" s="11" t="str">
        <f>INDEX(Data,2,2+MOD(ROWS(C$2:C912)-1,24))</f>
        <v>23.00</v>
      </c>
      <c r="D912" s="8" t="str">
        <f t="shared" ca="1" si="44"/>
        <v>—</v>
      </c>
      <c r="E912" s="16">
        <f t="shared" ca="1" si="45"/>
        <v>7</v>
      </c>
    </row>
    <row r="913" spans="1:5" x14ac:dyDescent="0.25">
      <c r="A913" s="3">
        <f t="shared" si="43"/>
        <v>78989</v>
      </c>
      <c r="B913" t="str">
        <f ca="1">TEXT(DATE(YEAR(Invoer!$A$5),1,1)+INT((ROWS(B$2:B913)-1)/24),"""18""jjmmdd")</f>
        <v>18980207</v>
      </c>
      <c r="C913" s="11" t="str">
        <f>INDEX(Data,2,2+MOD(ROWS(C$2:C913)-1,24))</f>
        <v>24.00</v>
      </c>
      <c r="D913" s="8" t="str">
        <f t="shared" ca="1" si="44"/>
        <v>—</v>
      </c>
      <c r="E913" s="16">
        <f t="shared" ca="1" si="45"/>
        <v>7</v>
      </c>
    </row>
    <row r="914" spans="1:5" x14ac:dyDescent="0.25">
      <c r="A914" s="3">
        <f t="shared" si="43"/>
        <v>78989</v>
      </c>
      <c r="B914" t="str">
        <f ca="1">TEXT(DATE(YEAR(Invoer!$A$5),1,1)+INT((ROWS(B$2:B914)-1)/24),"""18""jjmmdd")</f>
        <v>18980208</v>
      </c>
      <c r="C914" s="11" t="str">
        <f>INDEX(Data,2,2+MOD(ROWS(C$2:C914)-1,24))</f>
        <v>01.00</v>
      </c>
      <c r="D914" s="8" t="str">
        <f t="shared" ca="1" si="44"/>
        <v>—</v>
      </c>
      <c r="E914" s="16">
        <f t="shared" ca="1" si="45"/>
        <v>7</v>
      </c>
    </row>
    <row r="915" spans="1:5" x14ac:dyDescent="0.25">
      <c r="A915" s="3">
        <f t="shared" si="43"/>
        <v>78989</v>
      </c>
      <c r="B915" t="str">
        <f ca="1">TEXT(DATE(YEAR(Invoer!$A$5),1,1)+INT((ROWS(B$2:B915)-1)/24),"""18""jjmmdd")</f>
        <v>18980208</v>
      </c>
      <c r="C915" s="11" t="str">
        <f>INDEX(Data,2,2+MOD(ROWS(C$2:C915)-1,24))</f>
        <v>02.00</v>
      </c>
      <c r="D915" s="8" t="str">
        <f t="shared" ca="1" si="44"/>
        <v>—</v>
      </c>
      <c r="E915" s="16">
        <f t="shared" ca="1" si="45"/>
        <v>7</v>
      </c>
    </row>
    <row r="916" spans="1:5" x14ac:dyDescent="0.25">
      <c r="A916" s="3">
        <f t="shared" si="43"/>
        <v>78989</v>
      </c>
      <c r="B916" t="str">
        <f ca="1">TEXT(DATE(YEAR(Invoer!$A$5),1,1)+INT((ROWS(B$2:B916)-1)/24),"""18""jjmmdd")</f>
        <v>18980208</v>
      </c>
      <c r="C916" s="11" t="str">
        <f>INDEX(Data,2,2+MOD(ROWS(C$2:C916)-1,24))</f>
        <v>03.00</v>
      </c>
      <c r="D916" s="8" t="str">
        <f t="shared" ca="1" si="44"/>
        <v>—</v>
      </c>
      <c r="E916" s="16">
        <f t="shared" ca="1" si="45"/>
        <v>7</v>
      </c>
    </row>
    <row r="917" spans="1:5" x14ac:dyDescent="0.25">
      <c r="A917" s="3">
        <f t="shared" si="43"/>
        <v>78989</v>
      </c>
      <c r="B917" t="str">
        <f ca="1">TEXT(DATE(YEAR(Invoer!$A$5),1,1)+INT((ROWS(B$2:B917)-1)/24),"""18""jjmmdd")</f>
        <v>18980208</v>
      </c>
      <c r="C917" s="11" t="str">
        <f>INDEX(Data,2,2+MOD(ROWS(C$2:C917)-1,24))</f>
        <v>04.00</v>
      </c>
      <c r="D917" s="8" t="str">
        <f t="shared" ca="1" si="44"/>
        <v>—</v>
      </c>
      <c r="E917" s="16">
        <f t="shared" ca="1" si="45"/>
        <v>7</v>
      </c>
    </row>
    <row r="918" spans="1:5" x14ac:dyDescent="0.25">
      <c r="A918" s="3">
        <f t="shared" si="43"/>
        <v>78989</v>
      </c>
      <c r="B918" t="str">
        <f ca="1">TEXT(DATE(YEAR(Invoer!$A$5),1,1)+INT((ROWS(B$2:B918)-1)/24),"""18""jjmmdd")</f>
        <v>18980208</v>
      </c>
      <c r="C918" s="11" t="str">
        <f>INDEX(Data,2,2+MOD(ROWS(C$2:C918)-1,24))</f>
        <v>05.00</v>
      </c>
      <c r="D918" s="8" t="str">
        <f t="shared" ca="1" si="44"/>
        <v>—</v>
      </c>
      <c r="E918" s="16">
        <f t="shared" ca="1" si="45"/>
        <v>7</v>
      </c>
    </row>
    <row r="919" spans="1:5" x14ac:dyDescent="0.25">
      <c r="A919" s="3">
        <f t="shared" si="43"/>
        <v>78989</v>
      </c>
      <c r="B919" t="str">
        <f ca="1">TEXT(DATE(YEAR(Invoer!$A$5),1,1)+INT((ROWS(B$2:B919)-1)/24),"""18""jjmmdd")</f>
        <v>18980208</v>
      </c>
      <c r="C919" s="11" t="str">
        <f>INDEX(Data,2,2+MOD(ROWS(C$2:C919)-1,24))</f>
        <v>06.00</v>
      </c>
      <c r="D919" s="8" t="str">
        <f t="shared" ca="1" si="44"/>
        <v>—</v>
      </c>
      <c r="E919" s="16">
        <f t="shared" ca="1" si="45"/>
        <v>7</v>
      </c>
    </row>
    <row r="920" spans="1:5" x14ac:dyDescent="0.25">
      <c r="A920" s="3">
        <f t="shared" si="43"/>
        <v>78989</v>
      </c>
      <c r="B920" t="str">
        <f ca="1">TEXT(DATE(YEAR(Invoer!$A$5),1,1)+INT((ROWS(B$2:B920)-1)/24),"""18""jjmmdd")</f>
        <v>18980208</v>
      </c>
      <c r="C920" s="11" t="str">
        <f>INDEX(Data,2,2+MOD(ROWS(C$2:C920)-1,24))</f>
        <v>07.00</v>
      </c>
      <c r="D920" s="8" t="str">
        <f t="shared" ca="1" si="44"/>
        <v>—</v>
      </c>
      <c r="E920" s="16">
        <f t="shared" ca="1" si="45"/>
        <v>7</v>
      </c>
    </row>
    <row r="921" spans="1:5" x14ac:dyDescent="0.25">
      <c r="A921" s="3">
        <f t="shared" si="43"/>
        <v>78989</v>
      </c>
      <c r="B921" t="str">
        <f ca="1">TEXT(DATE(YEAR(Invoer!$A$5),1,1)+INT((ROWS(B$2:B921)-1)/24),"""18""jjmmdd")</f>
        <v>18980208</v>
      </c>
      <c r="C921" s="11" t="str">
        <f>INDEX(Data,2,2+MOD(ROWS(C$2:C921)-1,24))</f>
        <v>08.00</v>
      </c>
      <c r="D921" s="8" t="str">
        <f t="shared" ca="1" si="44"/>
        <v>—</v>
      </c>
      <c r="E921" s="16">
        <f t="shared" ca="1" si="45"/>
        <v>7</v>
      </c>
    </row>
    <row r="922" spans="1:5" x14ac:dyDescent="0.25">
      <c r="A922" s="3">
        <f t="shared" si="43"/>
        <v>78989</v>
      </c>
      <c r="B922" t="str">
        <f ca="1">TEXT(DATE(YEAR(Invoer!$A$5),1,1)+INT((ROWS(B$2:B922)-1)/24),"""18""jjmmdd")</f>
        <v>18980208</v>
      </c>
      <c r="C922" s="11" t="str">
        <f>INDEX(Data,2,2+MOD(ROWS(C$2:C922)-1,24))</f>
        <v>09.00</v>
      </c>
      <c r="D922" s="8" t="str">
        <f t="shared" ca="1" si="44"/>
        <v>—</v>
      </c>
      <c r="E922" s="16">
        <f t="shared" ca="1" si="45"/>
        <v>7</v>
      </c>
    </row>
    <row r="923" spans="1:5" x14ac:dyDescent="0.25">
      <c r="A923" s="3">
        <f t="shared" si="43"/>
        <v>78989</v>
      </c>
      <c r="B923" t="str">
        <f ca="1">TEXT(DATE(YEAR(Invoer!$A$5),1,1)+INT((ROWS(B$2:B923)-1)/24),"""18""jjmmdd")</f>
        <v>18980208</v>
      </c>
      <c r="C923" s="11" t="str">
        <f>INDEX(Data,2,2+MOD(ROWS(C$2:C923)-1,24))</f>
        <v>10.00</v>
      </c>
      <c r="D923" s="8" t="str">
        <f t="shared" ca="1" si="44"/>
        <v>—</v>
      </c>
      <c r="E923" s="16">
        <f t="shared" ca="1" si="45"/>
        <v>7</v>
      </c>
    </row>
    <row r="924" spans="1:5" x14ac:dyDescent="0.25">
      <c r="A924" s="3">
        <f t="shared" si="43"/>
        <v>78989</v>
      </c>
      <c r="B924" t="str">
        <f ca="1">TEXT(DATE(YEAR(Invoer!$A$5),1,1)+INT((ROWS(B$2:B924)-1)/24),"""18""jjmmdd")</f>
        <v>18980208</v>
      </c>
      <c r="C924" s="11" t="str">
        <f>INDEX(Data,2,2+MOD(ROWS(C$2:C924)-1,24))</f>
        <v>11.00</v>
      </c>
      <c r="D924" s="8" t="str">
        <f t="shared" ca="1" si="44"/>
        <v>—</v>
      </c>
      <c r="E924" s="16">
        <f t="shared" ca="1" si="45"/>
        <v>7</v>
      </c>
    </row>
    <row r="925" spans="1:5" x14ac:dyDescent="0.25">
      <c r="A925" s="3">
        <f t="shared" si="43"/>
        <v>78989</v>
      </c>
      <c r="B925" t="str">
        <f ca="1">TEXT(DATE(YEAR(Invoer!$A$5),1,1)+INT((ROWS(B$2:B925)-1)/24),"""18""jjmmdd")</f>
        <v>18980208</v>
      </c>
      <c r="C925" s="11" t="str">
        <f>INDEX(Data,2,2+MOD(ROWS(C$2:C925)-1,24))</f>
        <v>12.00</v>
      </c>
      <c r="D925" s="8" t="str">
        <f t="shared" ca="1" si="44"/>
        <v>—</v>
      </c>
      <c r="E925" s="16">
        <f t="shared" ca="1" si="45"/>
        <v>7</v>
      </c>
    </row>
    <row r="926" spans="1:5" x14ac:dyDescent="0.25">
      <c r="A926" s="3">
        <f t="shared" si="43"/>
        <v>78989</v>
      </c>
      <c r="B926" t="str">
        <f ca="1">TEXT(DATE(YEAR(Invoer!$A$5),1,1)+INT((ROWS(B$2:B926)-1)/24),"""18""jjmmdd")</f>
        <v>18980208</v>
      </c>
      <c r="C926" s="11" t="str">
        <f>INDEX(Data,2,2+MOD(ROWS(C$2:C926)-1,24))</f>
        <v>13.00</v>
      </c>
      <c r="D926" s="8" t="str">
        <f t="shared" ca="1" si="44"/>
        <v>—</v>
      </c>
      <c r="E926" s="16">
        <f t="shared" ca="1" si="45"/>
        <v>7</v>
      </c>
    </row>
    <row r="927" spans="1:5" x14ac:dyDescent="0.25">
      <c r="A927" s="3">
        <f t="shared" si="43"/>
        <v>78989</v>
      </c>
      <c r="B927" t="str">
        <f ca="1">TEXT(DATE(YEAR(Invoer!$A$5),1,1)+INT((ROWS(B$2:B927)-1)/24),"""18""jjmmdd")</f>
        <v>18980208</v>
      </c>
      <c r="C927" s="11" t="str">
        <f>INDEX(Data,2,2+MOD(ROWS(C$2:C927)-1,24))</f>
        <v>14.00</v>
      </c>
      <c r="D927" s="8" t="str">
        <f t="shared" ca="1" si="44"/>
        <v>—</v>
      </c>
      <c r="E927" s="16">
        <f t="shared" ca="1" si="45"/>
        <v>7</v>
      </c>
    </row>
    <row r="928" spans="1:5" x14ac:dyDescent="0.25">
      <c r="A928" s="3">
        <f t="shared" si="43"/>
        <v>78989</v>
      </c>
      <c r="B928" t="str">
        <f ca="1">TEXT(DATE(YEAR(Invoer!$A$5),1,1)+INT((ROWS(B$2:B928)-1)/24),"""18""jjmmdd")</f>
        <v>18980208</v>
      </c>
      <c r="C928" s="11" t="str">
        <f>INDEX(Data,2,2+MOD(ROWS(C$2:C928)-1,24))</f>
        <v>15.00</v>
      </c>
      <c r="D928" s="8" t="str">
        <f t="shared" ca="1" si="44"/>
        <v>—</v>
      </c>
      <c r="E928" s="16">
        <f t="shared" ca="1" si="45"/>
        <v>7</v>
      </c>
    </row>
    <row r="929" spans="1:5" x14ac:dyDescent="0.25">
      <c r="A929" s="3">
        <f t="shared" si="43"/>
        <v>78989</v>
      </c>
      <c r="B929" t="str">
        <f ca="1">TEXT(DATE(YEAR(Invoer!$A$5),1,1)+INT((ROWS(B$2:B929)-1)/24),"""18""jjmmdd")</f>
        <v>18980208</v>
      </c>
      <c r="C929" s="11" t="str">
        <f>INDEX(Data,2,2+MOD(ROWS(C$2:C929)-1,24))</f>
        <v>16.00</v>
      </c>
      <c r="D929" s="8" t="str">
        <f t="shared" ca="1" si="44"/>
        <v>—</v>
      </c>
      <c r="E929" s="16">
        <f t="shared" ca="1" si="45"/>
        <v>7</v>
      </c>
    </row>
    <row r="930" spans="1:5" x14ac:dyDescent="0.25">
      <c r="A930" s="3">
        <f t="shared" si="43"/>
        <v>78989</v>
      </c>
      <c r="B930" t="str">
        <f ca="1">TEXT(DATE(YEAR(Invoer!$A$5),1,1)+INT((ROWS(B$2:B930)-1)/24),"""18""jjmmdd")</f>
        <v>18980208</v>
      </c>
      <c r="C930" s="11" t="str">
        <f>INDEX(Data,2,2+MOD(ROWS(C$2:C930)-1,24))</f>
        <v>17.00</v>
      </c>
      <c r="D930" s="8" t="str">
        <f t="shared" ca="1" si="44"/>
        <v>—</v>
      </c>
      <c r="E930" s="16">
        <f t="shared" ca="1" si="45"/>
        <v>7</v>
      </c>
    </row>
    <row r="931" spans="1:5" x14ac:dyDescent="0.25">
      <c r="A931" s="3">
        <f t="shared" si="43"/>
        <v>78989</v>
      </c>
      <c r="B931" t="str">
        <f ca="1">TEXT(DATE(YEAR(Invoer!$A$5),1,1)+INT((ROWS(B$2:B931)-1)/24),"""18""jjmmdd")</f>
        <v>18980208</v>
      </c>
      <c r="C931" s="11" t="str">
        <f>INDEX(Data,2,2+MOD(ROWS(C$2:C931)-1,24))</f>
        <v>18.00</v>
      </c>
      <c r="D931" s="8" t="str">
        <f t="shared" ca="1" si="44"/>
        <v>—</v>
      </c>
      <c r="E931" s="16">
        <f t="shared" ca="1" si="45"/>
        <v>7</v>
      </c>
    </row>
    <row r="932" spans="1:5" x14ac:dyDescent="0.25">
      <c r="A932" s="3">
        <f t="shared" si="43"/>
        <v>78989</v>
      </c>
      <c r="B932" t="str">
        <f ca="1">TEXT(DATE(YEAR(Invoer!$A$5),1,1)+INT((ROWS(B$2:B932)-1)/24),"""18""jjmmdd")</f>
        <v>18980208</v>
      </c>
      <c r="C932" s="11" t="str">
        <f>INDEX(Data,2,2+MOD(ROWS(C$2:C932)-1,24))</f>
        <v>19.00</v>
      </c>
      <c r="D932" s="8" t="str">
        <f t="shared" ca="1" si="44"/>
        <v>—</v>
      </c>
      <c r="E932" s="16">
        <f t="shared" ca="1" si="45"/>
        <v>7</v>
      </c>
    </row>
    <row r="933" spans="1:5" x14ac:dyDescent="0.25">
      <c r="A933" s="3">
        <f t="shared" si="43"/>
        <v>78989</v>
      </c>
      <c r="B933" t="str">
        <f ca="1">TEXT(DATE(YEAR(Invoer!$A$5),1,1)+INT((ROWS(B$2:B933)-1)/24),"""18""jjmmdd")</f>
        <v>18980208</v>
      </c>
      <c r="C933" s="11" t="str">
        <f>INDEX(Data,2,2+MOD(ROWS(C$2:C933)-1,24))</f>
        <v>20.00</v>
      </c>
      <c r="D933" s="8" t="str">
        <f t="shared" ca="1" si="44"/>
        <v>—</v>
      </c>
      <c r="E933" s="16">
        <f t="shared" ca="1" si="45"/>
        <v>7</v>
      </c>
    </row>
    <row r="934" spans="1:5" x14ac:dyDescent="0.25">
      <c r="A934" s="3">
        <f t="shared" si="43"/>
        <v>78989</v>
      </c>
      <c r="B934" t="str">
        <f ca="1">TEXT(DATE(YEAR(Invoer!$A$5),1,1)+INT((ROWS(B$2:B934)-1)/24),"""18""jjmmdd")</f>
        <v>18980208</v>
      </c>
      <c r="C934" s="11" t="str">
        <f>INDEX(Data,2,2+MOD(ROWS(C$2:C934)-1,24))</f>
        <v>21.00</v>
      </c>
      <c r="D934" s="8" t="str">
        <f t="shared" ca="1" si="44"/>
        <v>—</v>
      </c>
      <c r="E934" s="16">
        <f t="shared" ca="1" si="45"/>
        <v>7</v>
      </c>
    </row>
    <row r="935" spans="1:5" x14ac:dyDescent="0.25">
      <c r="A935" s="3">
        <f t="shared" si="43"/>
        <v>78989</v>
      </c>
      <c r="B935" t="str">
        <f ca="1">TEXT(DATE(YEAR(Invoer!$A$5),1,1)+INT((ROWS(B$2:B935)-1)/24),"""18""jjmmdd")</f>
        <v>18980208</v>
      </c>
      <c r="C935" s="11" t="str">
        <f>INDEX(Data,2,2+MOD(ROWS(C$2:C935)-1,24))</f>
        <v>22.00</v>
      </c>
      <c r="D935" s="8" t="str">
        <f t="shared" ca="1" si="44"/>
        <v>—</v>
      </c>
      <c r="E935" s="16">
        <f t="shared" ca="1" si="45"/>
        <v>7</v>
      </c>
    </row>
    <row r="936" spans="1:5" x14ac:dyDescent="0.25">
      <c r="A936" s="3">
        <f t="shared" si="43"/>
        <v>78989</v>
      </c>
      <c r="B936" t="str">
        <f ca="1">TEXT(DATE(YEAR(Invoer!$A$5),1,1)+INT((ROWS(B$2:B936)-1)/24),"""18""jjmmdd")</f>
        <v>18980208</v>
      </c>
      <c r="C936" s="11" t="str">
        <f>INDEX(Data,2,2+MOD(ROWS(C$2:C936)-1,24))</f>
        <v>23.00</v>
      </c>
      <c r="D936" s="8" t="str">
        <f t="shared" ca="1" si="44"/>
        <v>—</v>
      </c>
      <c r="E936" s="16">
        <f t="shared" ca="1" si="45"/>
        <v>7</v>
      </c>
    </row>
    <row r="937" spans="1:5" x14ac:dyDescent="0.25">
      <c r="A937" s="3">
        <f t="shared" si="43"/>
        <v>78989</v>
      </c>
      <c r="B937" t="str">
        <f ca="1">TEXT(DATE(YEAR(Invoer!$A$5),1,1)+INT((ROWS(B$2:B937)-1)/24),"""18""jjmmdd")</f>
        <v>18980208</v>
      </c>
      <c r="C937" s="11" t="str">
        <f>INDEX(Data,2,2+MOD(ROWS(C$2:C937)-1,24))</f>
        <v>24.00</v>
      </c>
      <c r="D937" s="8" t="str">
        <f t="shared" ca="1" si="44"/>
        <v>—</v>
      </c>
      <c r="E937" s="16">
        <f t="shared" ca="1" si="45"/>
        <v>7</v>
      </c>
    </row>
    <row r="938" spans="1:5" x14ac:dyDescent="0.25">
      <c r="A938" s="3">
        <f t="shared" si="43"/>
        <v>78989</v>
      </c>
      <c r="B938" t="str">
        <f ca="1">TEXT(DATE(YEAR(Invoer!$A$5),1,1)+INT((ROWS(B$2:B938)-1)/24),"""18""jjmmdd")</f>
        <v>18980209</v>
      </c>
      <c r="C938" s="11" t="str">
        <f>INDEX(Data,2,2+MOD(ROWS(C$2:C938)-1,24))</f>
        <v>01.00</v>
      </c>
      <c r="D938" s="8" t="str">
        <f t="shared" ca="1" si="44"/>
        <v>—</v>
      </c>
      <c r="E938" s="16">
        <f t="shared" ca="1" si="45"/>
        <v>7</v>
      </c>
    </row>
    <row r="939" spans="1:5" x14ac:dyDescent="0.25">
      <c r="A939" s="3">
        <f t="shared" si="43"/>
        <v>78989</v>
      </c>
      <c r="B939" t="str">
        <f ca="1">TEXT(DATE(YEAR(Invoer!$A$5),1,1)+INT((ROWS(B$2:B939)-1)/24),"""18""jjmmdd")</f>
        <v>18980209</v>
      </c>
      <c r="C939" s="11" t="str">
        <f>INDEX(Data,2,2+MOD(ROWS(C$2:C939)-1,24))</f>
        <v>02.00</v>
      </c>
      <c r="D939" s="8" t="str">
        <f t="shared" ca="1" si="44"/>
        <v>—</v>
      </c>
      <c r="E939" s="16">
        <f t="shared" ca="1" si="45"/>
        <v>7</v>
      </c>
    </row>
    <row r="940" spans="1:5" x14ac:dyDescent="0.25">
      <c r="A940" s="3">
        <f t="shared" si="43"/>
        <v>78989</v>
      </c>
      <c r="B940" t="str">
        <f ca="1">TEXT(DATE(YEAR(Invoer!$A$5),1,1)+INT((ROWS(B$2:B940)-1)/24),"""18""jjmmdd")</f>
        <v>18980209</v>
      </c>
      <c r="C940" s="11" t="str">
        <f>INDEX(Data,2,2+MOD(ROWS(C$2:C940)-1,24))</f>
        <v>03.00</v>
      </c>
      <c r="D940" s="8" t="str">
        <f t="shared" ca="1" si="44"/>
        <v>—</v>
      </c>
      <c r="E940" s="16">
        <f t="shared" ca="1" si="45"/>
        <v>7</v>
      </c>
    </row>
    <row r="941" spans="1:5" x14ac:dyDescent="0.25">
      <c r="A941" s="3">
        <f t="shared" si="43"/>
        <v>78989</v>
      </c>
      <c r="B941" t="str">
        <f ca="1">TEXT(DATE(YEAR(Invoer!$A$5),1,1)+INT((ROWS(B$2:B941)-1)/24),"""18""jjmmdd")</f>
        <v>18980209</v>
      </c>
      <c r="C941" s="11" t="str">
        <f>INDEX(Data,2,2+MOD(ROWS(C$2:C941)-1,24))</f>
        <v>04.00</v>
      </c>
      <c r="D941" s="8" t="str">
        <f t="shared" ca="1" si="44"/>
        <v>—</v>
      </c>
      <c r="E941" s="16">
        <f t="shared" ca="1" si="45"/>
        <v>7</v>
      </c>
    </row>
    <row r="942" spans="1:5" x14ac:dyDescent="0.25">
      <c r="A942" s="3">
        <f t="shared" si="43"/>
        <v>78989</v>
      </c>
      <c r="B942" t="str">
        <f ca="1">TEXT(DATE(YEAR(Invoer!$A$5),1,1)+INT((ROWS(B$2:B942)-1)/24),"""18""jjmmdd")</f>
        <v>18980209</v>
      </c>
      <c r="C942" s="11" t="str">
        <f>INDEX(Data,2,2+MOD(ROWS(C$2:C942)-1,24))</f>
        <v>05.00</v>
      </c>
      <c r="D942" s="8" t="str">
        <f t="shared" ca="1" si="44"/>
        <v>—</v>
      </c>
      <c r="E942" s="16">
        <f t="shared" ca="1" si="45"/>
        <v>7</v>
      </c>
    </row>
    <row r="943" spans="1:5" x14ac:dyDescent="0.25">
      <c r="A943" s="3">
        <f t="shared" si="43"/>
        <v>78989</v>
      </c>
      <c r="B943" t="str">
        <f ca="1">TEXT(DATE(YEAR(Invoer!$A$5),1,1)+INT((ROWS(B$2:B943)-1)/24),"""18""jjmmdd")</f>
        <v>18980209</v>
      </c>
      <c r="C943" s="11" t="str">
        <f>INDEX(Data,2,2+MOD(ROWS(C$2:C943)-1,24))</f>
        <v>06.00</v>
      </c>
      <c r="D943" s="8" t="str">
        <f t="shared" ca="1" si="44"/>
        <v>—</v>
      </c>
      <c r="E943" s="16">
        <f t="shared" ca="1" si="45"/>
        <v>7</v>
      </c>
    </row>
    <row r="944" spans="1:5" x14ac:dyDescent="0.25">
      <c r="A944" s="3">
        <f t="shared" si="43"/>
        <v>78989</v>
      </c>
      <c r="B944" t="str">
        <f ca="1">TEXT(DATE(YEAR(Invoer!$A$5),1,1)+INT((ROWS(B$2:B944)-1)/24),"""18""jjmmdd")</f>
        <v>18980209</v>
      </c>
      <c r="C944" s="11" t="str">
        <f>INDEX(Data,2,2+MOD(ROWS(C$2:C944)-1,24))</f>
        <v>07.00</v>
      </c>
      <c r="D944" s="8" t="str">
        <f t="shared" ca="1" si="44"/>
        <v>—</v>
      </c>
      <c r="E944" s="16">
        <f t="shared" ca="1" si="45"/>
        <v>7</v>
      </c>
    </row>
    <row r="945" spans="1:5" x14ac:dyDescent="0.25">
      <c r="A945" s="3">
        <f t="shared" si="43"/>
        <v>78989</v>
      </c>
      <c r="B945" t="str">
        <f ca="1">TEXT(DATE(YEAR(Invoer!$A$5),1,1)+INT((ROWS(B$2:B945)-1)/24),"""18""jjmmdd")</f>
        <v>18980209</v>
      </c>
      <c r="C945" s="11" t="str">
        <f>INDEX(Data,2,2+MOD(ROWS(C$2:C945)-1,24))</f>
        <v>08.00</v>
      </c>
      <c r="D945" s="8" t="str">
        <f t="shared" ca="1" si="44"/>
        <v>—</v>
      </c>
      <c r="E945" s="16">
        <f t="shared" ca="1" si="45"/>
        <v>7</v>
      </c>
    </row>
    <row r="946" spans="1:5" x14ac:dyDescent="0.25">
      <c r="A946" s="3">
        <f t="shared" si="43"/>
        <v>78989</v>
      </c>
      <c r="B946" t="str">
        <f ca="1">TEXT(DATE(YEAR(Invoer!$A$5),1,1)+INT((ROWS(B$2:B946)-1)/24),"""18""jjmmdd")</f>
        <v>18980209</v>
      </c>
      <c r="C946" s="11" t="str">
        <f>INDEX(Data,2,2+MOD(ROWS(C$2:C946)-1,24))</f>
        <v>09.00</v>
      </c>
      <c r="D946" s="8" t="str">
        <f t="shared" ca="1" si="44"/>
        <v>—</v>
      </c>
      <c r="E946" s="16">
        <f t="shared" ca="1" si="45"/>
        <v>7</v>
      </c>
    </row>
    <row r="947" spans="1:5" x14ac:dyDescent="0.25">
      <c r="A947" s="3">
        <f t="shared" si="43"/>
        <v>78989</v>
      </c>
      <c r="B947" t="str">
        <f ca="1">TEXT(DATE(YEAR(Invoer!$A$5),1,1)+INT((ROWS(B$2:B947)-1)/24),"""18""jjmmdd")</f>
        <v>18980209</v>
      </c>
      <c r="C947" s="11" t="str">
        <f>INDEX(Data,2,2+MOD(ROWS(C$2:C947)-1,24))</f>
        <v>10.00</v>
      </c>
      <c r="D947" s="8" t="str">
        <f t="shared" ca="1" si="44"/>
        <v>—</v>
      </c>
      <c r="E947" s="16">
        <f t="shared" ca="1" si="45"/>
        <v>7</v>
      </c>
    </row>
    <row r="948" spans="1:5" x14ac:dyDescent="0.25">
      <c r="A948" s="3">
        <f t="shared" si="43"/>
        <v>78989</v>
      </c>
      <c r="B948" t="str">
        <f ca="1">TEXT(DATE(YEAR(Invoer!$A$5),1,1)+INT((ROWS(B$2:B948)-1)/24),"""18""jjmmdd")</f>
        <v>18980209</v>
      </c>
      <c r="C948" s="11" t="str">
        <f>INDEX(Data,2,2+MOD(ROWS(C$2:C948)-1,24))</f>
        <v>11.00</v>
      </c>
      <c r="D948" s="8" t="str">
        <f t="shared" ca="1" si="44"/>
        <v>—</v>
      </c>
      <c r="E948" s="16">
        <f t="shared" ca="1" si="45"/>
        <v>7</v>
      </c>
    </row>
    <row r="949" spans="1:5" x14ac:dyDescent="0.25">
      <c r="A949" s="3">
        <f t="shared" si="43"/>
        <v>78989</v>
      </c>
      <c r="B949" t="str">
        <f ca="1">TEXT(DATE(YEAR(Invoer!$A$5),1,1)+INT((ROWS(B$2:B949)-1)/24),"""18""jjmmdd")</f>
        <v>18980209</v>
      </c>
      <c r="C949" s="11" t="str">
        <f>INDEX(Data,2,2+MOD(ROWS(C$2:C949)-1,24))</f>
        <v>12.00</v>
      </c>
      <c r="D949" s="8" t="str">
        <f t="shared" ca="1" si="44"/>
        <v>—</v>
      </c>
      <c r="E949" s="16">
        <f t="shared" ca="1" si="45"/>
        <v>7</v>
      </c>
    </row>
    <row r="950" spans="1:5" x14ac:dyDescent="0.25">
      <c r="A950" s="3">
        <f t="shared" si="43"/>
        <v>78989</v>
      </c>
      <c r="B950" t="str">
        <f ca="1">TEXT(DATE(YEAR(Invoer!$A$5),1,1)+INT((ROWS(B$2:B950)-1)/24),"""18""jjmmdd")</f>
        <v>18980209</v>
      </c>
      <c r="C950" s="11" t="str">
        <f>INDEX(Data,2,2+MOD(ROWS(C$2:C950)-1,24))</f>
        <v>13.00</v>
      </c>
      <c r="D950" s="8" t="str">
        <f t="shared" ca="1" si="44"/>
        <v>—</v>
      </c>
      <c r="E950" s="16">
        <f t="shared" ca="1" si="45"/>
        <v>7</v>
      </c>
    </row>
    <row r="951" spans="1:5" x14ac:dyDescent="0.25">
      <c r="A951" s="3">
        <f t="shared" si="43"/>
        <v>78989</v>
      </c>
      <c r="B951" t="str">
        <f ca="1">TEXT(DATE(YEAR(Invoer!$A$5),1,1)+INT((ROWS(B$2:B951)-1)/24),"""18""jjmmdd")</f>
        <v>18980209</v>
      </c>
      <c r="C951" s="11" t="str">
        <f>INDEX(Data,2,2+MOD(ROWS(C$2:C951)-1,24))</f>
        <v>14.00</v>
      </c>
      <c r="D951" s="8" t="str">
        <f t="shared" ca="1" si="44"/>
        <v>—</v>
      </c>
      <c r="E951" s="16">
        <f t="shared" ca="1" si="45"/>
        <v>7</v>
      </c>
    </row>
    <row r="952" spans="1:5" x14ac:dyDescent="0.25">
      <c r="A952" s="3">
        <f t="shared" si="43"/>
        <v>78989</v>
      </c>
      <c r="B952" t="str">
        <f ca="1">TEXT(DATE(YEAR(Invoer!$A$5),1,1)+INT((ROWS(B$2:B952)-1)/24),"""18""jjmmdd")</f>
        <v>18980209</v>
      </c>
      <c r="C952" s="11" t="str">
        <f>INDEX(Data,2,2+MOD(ROWS(C$2:C952)-1,24))</f>
        <v>15.00</v>
      </c>
      <c r="D952" s="8" t="str">
        <f t="shared" ca="1" si="44"/>
        <v>—</v>
      </c>
      <c r="E952" s="16">
        <f t="shared" ca="1" si="45"/>
        <v>7</v>
      </c>
    </row>
    <row r="953" spans="1:5" x14ac:dyDescent="0.25">
      <c r="A953" s="3">
        <f t="shared" si="43"/>
        <v>78989</v>
      </c>
      <c r="B953" t="str">
        <f ca="1">TEXT(DATE(YEAR(Invoer!$A$5),1,1)+INT((ROWS(B$2:B953)-1)/24),"""18""jjmmdd")</f>
        <v>18980209</v>
      </c>
      <c r="C953" s="11" t="str">
        <f>INDEX(Data,2,2+MOD(ROWS(C$2:C953)-1,24))</f>
        <v>16.00</v>
      </c>
      <c r="D953" s="8" t="str">
        <f t="shared" ca="1" si="44"/>
        <v>—</v>
      </c>
      <c r="E953" s="16">
        <f t="shared" ca="1" si="45"/>
        <v>7</v>
      </c>
    </row>
    <row r="954" spans="1:5" x14ac:dyDescent="0.25">
      <c r="A954" s="3">
        <f t="shared" si="43"/>
        <v>78989</v>
      </c>
      <c r="B954" t="str">
        <f ca="1">TEXT(DATE(YEAR(Invoer!$A$5),1,1)+INT((ROWS(B$2:B954)-1)/24),"""18""jjmmdd")</f>
        <v>18980209</v>
      </c>
      <c r="C954" s="11" t="str">
        <f>INDEX(Data,2,2+MOD(ROWS(C$2:C954)-1,24))</f>
        <v>17.00</v>
      </c>
      <c r="D954" s="8" t="str">
        <f t="shared" ca="1" si="44"/>
        <v>—</v>
      </c>
      <c r="E954" s="16">
        <f t="shared" ca="1" si="45"/>
        <v>7</v>
      </c>
    </row>
    <row r="955" spans="1:5" x14ac:dyDescent="0.25">
      <c r="A955" s="3">
        <f t="shared" si="43"/>
        <v>78989</v>
      </c>
      <c r="B955" t="str">
        <f ca="1">TEXT(DATE(YEAR(Invoer!$A$5),1,1)+INT((ROWS(B$2:B955)-1)/24),"""18""jjmmdd")</f>
        <v>18980209</v>
      </c>
      <c r="C955" s="11" t="str">
        <f>INDEX(Data,2,2+MOD(ROWS(C$2:C955)-1,24))</f>
        <v>18.00</v>
      </c>
      <c r="D955" s="8" t="str">
        <f t="shared" ca="1" si="44"/>
        <v>—</v>
      </c>
      <c r="E955" s="16">
        <f t="shared" ca="1" si="45"/>
        <v>7</v>
      </c>
    </row>
    <row r="956" spans="1:5" x14ac:dyDescent="0.25">
      <c r="A956" s="3">
        <f t="shared" si="43"/>
        <v>78989</v>
      </c>
      <c r="B956" t="str">
        <f ca="1">TEXT(DATE(YEAR(Invoer!$A$5),1,1)+INT((ROWS(B$2:B956)-1)/24),"""18""jjmmdd")</f>
        <v>18980209</v>
      </c>
      <c r="C956" s="11" t="str">
        <f>INDEX(Data,2,2+MOD(ROWS(C$2:C956)-1,24))</f>
        <v>19.00</v>
      </c>
      <c r="D956" s="8" t="str">
        <f t="shared" ca="1" si="44"/>
        <v>—</v>
      </c>
      <c r="E956" s="16">
        <f t="shared" ca="1" si="45"/>
        <v>7</v>
      </c>
    </row>
    <row r="957" spans="1:5" x14ac:dyDescent="0.25">
      <c r="A957" s="3">
        <f t="shared" si="43"/>
        <v>78989</v>
      </c>
      <c r="B957" t="str">
        <f ca="1">TEXT(DATE(YEAR(Invoer!$A$5),1,1)+INT((ROWS(B$2:B957)-1)/24),"""18""jjmmdd")</f>
        <v>18980209</v>
      </c>
      <c r="C957" s="11" t="str">
        <f>INDEX(Data,2,2+MOD(ROWS(C$2:C957)-1,24))</f>
        <v>20.00</v>
      </c>
      <c r="D957" s="8" t="str">
        <f t="shared" ca="1" si="44"/>
        <v>—</v>
      </c>
      <c r="E957" s="16">
        <f t="shared" ca="1" si="45"/>
        <v>7</v>
      </c>
    </row>
    <row r="958" spans="1:5" x14ac:dyDescent="0.25">
      <c r="A958" s="3">
        <f t="shared" si="43"/>
        <v>78989</v>
      </c>
      <c r="B958" t="str">
        <f ca="1">TEXT(DATE(YEAR(Invoer!$A$5),1,1)+INT((ROWS(B$2:B958)-1)/24),"""18""jjmmdd")</f>
        <v>18980209</v>
      </c>
      <c r="C958" s="11" t="str">
        <f>INDEX(Data,2,2+MOD(ROWS(C$2:C958)-1,24))</f>
        <v>21.00</v>
      </c>
      <c r="D958" s="8" t="str">
        <f t="shared" ca="1" si="44"/>
        <v>—</v>
      </c>
      <c r="E958" s="16">
        <f t="shared" ca="1" si="45"/>
        <v>7</v>
      </c>
    </row>
    <row r="959" spans="1:5" x14ac:dyDescent="0.25">
      <c r="A959" s="3">
        <f t="shared" si="43"/>
        <v>78989</v>
      </c>
      <c r="B959" t="str">
        <f ca="1">TEXT(DATE(YEAR(Invoer!$A$5),1,1)+INT((ROWS(B$2:B959)-1)/24),"""18""jjmmdd")</f>
        <v>18980209</v>
      </c>
      <c r="C959" s="11" t="str">
        <f>INDEX(Data,2,2+MOD(ROWS(C$2:C959)-1,24))</f>
        <v>22.00</v>
      </c>
      <c r="D959" s="8" t="str">
        <f t="shared" ca="1" si="44"/>
        <v>—</v>
      </c>
      <c r="E959" s="16">
        <f t="shared" ca="1" si="45"/>
        <v>7</v>
      </c>
    </row>
    <row r="960" spans="1:5" x14ac:dyDescent="0.25">
      <c r="A960" s="3">
        <f t="shared" si="43"/>
        <v>78989</v>
      </c>
      <c r="B960" t="str">
        <f ca="1">TEXT(DATE(YEAR(Invoer!$A$5),1,1)+INT((ROWS(B$2:B960)-1)/24),"""18""jjmmdd")</f>
        <v>18980209</v>
      </c>
      <c r="C960" s="11" t="str">
        <f>INDEX(Data,2,2+MOD(ROWS(C$2:C960)-1,24))</f>
        <v>23.00</v>
      </c>
      <c r="D960" s="8" t="str">
        <f t="shared" ca="1" si="44"/>
        <v>—</v>
      </c>
      <c r="E960" s="16">
        <f t="shared" ca="1" si="45"/>
        <v>7</v>
      </c>
    </row>
    <row r="961" spans="1:5" x14ac:dyDescent="0.25">
      <c r="A961" s="3">
        <f t="shared" si="43"/>
        <v>78989</v>
      </c>
      <c r="B961" t="str">
        <f ca="1">TEXT(DATE(YEAR(Invoer!$A$5),1,1)+INT((ROWS(B$2:B961)-1)/24),"""18""jjmmdd")</f>
        <v>18980209</v>
      </c>
      <c r="C961" s="11" t="str">
        <f>INDEX(Data,2,2+MOD(ROWS(C$2:C961)-1,24))</f>
        <v>24.00</v>
      </c>
      <c r="D961" s="8" t="str">
        <f t="shared" ca="1" si="44"/>
        <v>—</v>
      </c>
      <c r="E961" s="16">
        <f t="shared" ca="1" si="45"/>
        <v>7</v>
      </c>
    </row>
    <row r="962" spans="1:5" x14ac:dyDescent="0.25">
      <c r="A962" s="3">
        <f t="shared" ref="A962:A1025" si="46">INDEX(Stations,2,1)</f>
        <v>78989</v>
      </c>
      <c r="B962" t="str">
        <f ca="1">TEXT(DATE(YEAR(Invoer!$A$5),1,1)+INT((ROWS(B$2:B962)-1)/24),"""18""jjmmdd")</f>
        <v>18980210</v>
      </c>
      <c r="C962" s="11" t="str">
        <f>INDEX(Data,2,2+MOD(ROWS(C$2:C962)-1,24))</f>
        <v>01.00</v>
      </c>
      <c r="D962" s="8" t="str">
        <f t="shared" ref="D962:D1025" ca="1" si="47">IF(OR(ISBLANK(VLOOKUP(DATEVALUE("37"&amp;MID($B962,3,2)&amp;"-"&amp;MID($B962,5,2)&amp;"-"&amp;RIGHT($B962,2)),Data,MATCH(LEFT(VLOOKUP(D$1,Parameters,2,FALSE()),4)&amp;"*",OFFSET(Data,0,0,1),0)+MATCH($C962,OFFSET(Data,1,0,1),0)-2,FALSE())),ISTEXT(VLOOKUP(DATEVALUE("37"&amp;MID($B962,3,2)&amp;"-"&amp;MID($B962,5,2)&amp;"-"&amp;RIGHT($B962,2)),Data,MATCH(LEFT(VLOOKUP(D$1,Parameters,2,FALSE()),4)&amp;"*",OFFSET(Data,0,0,1),0)+MATCH($C962,OFFSET(Data,1,0,1),0)-2,FALSE()))),"—",VLOOKUP(DATEVALUE("37"&amp;MID($B962,3,2)&amp;"-"&amp;MID($B962,5,2)&amp;"-"&amp;RIGHT($B962,2)),Data,MATCH(LEFT(VLOOKUP(D$1,Parameters,2,FALSE()),4)&amp;"*",OFFSET(Data,0,0,1),0)+MATCH($C962,OFFSET(Data,1,0,1),0)-2,FALSE()))</f>
        <v>—</v>
      </c>
      <c r="E962" s="16">
        <f t="shared" ca="1" si="45"/>
        <v>7</v>
      </c>
    </row>
    <row r="963" spans="1:5" x14ac:dyDescent="0.25">
      <c r="A963" s="3">
        <f t="shared" si="46"/>
        <v>78989</v>
      </c>
      <c r="B963" t="str">
        <f ca="1">TEXT(DATE(YEAR(Invoer!$A$5),1,1)+INT((ROWS(B$2:B963)-1)/24),"""18""jjmmdd")</f>
        <v>18980210</v>
      </c>
      <c r="C963" s="11" t="str">
        <f>INDEX(Data,2,2+MOD(ROWS(C$2:C963)-1,24))</f>
        <v>02.00</v>
      </c>
      <c r="D963" s="8" t="str">
        <f t="shared" ca="1" si="47"/>
        <v>—</v>
      </c>
      <c r="E963" s="16">
        <f t="shared" ref="E963:E1026" ca="1" si="48">IF(OR(ISBLANK(VLOOKUP(DATEVALUE("37"&amp;MID($B963,3,2)&amp;"-"&amp;MID($B963,5,2)&amp;"-"&amp;RIGHT($B963,2)),Data,MATCH(LEFT(VLOOKUP(D$1,Parameters,2,FALSE()),4)&amp;"*",OFFSET(Data,0,0,1),0)+MATCH($C963,OFFSET(Data,1,0,1),0)-2,FALSE())),ISTEXT(VLOOKUP(DATEVALUE("37"&amp;MID($B963,3,2)&amp;"-"&amp;MID($B963,5,2)&amp;"-"&amp;RIGHT($B963,2)),Data,MATCH(LEFT(VLOOKUP(D$1,Parameters,2,FALSE()),4)&amp;"*",OFFSET(Data,0,0,1),0)+MATCH($C963,OFFSET(Data,1,0,1),0)-2,FALSE()))),Lacking,IF(ISNA(MATCH(DATEVALUE("37"&amp;MID($B963,3,2)&amp;"-"&amp;MID($B963,5,2)&amp;"-"&amp;RIGHT($B963,2)),OFFSET(Catalogus,0,0,,1),0)),Ok,VLOOKUP(DATEVALUE("37"&amp;MID($B963,3,2)&amp;"-"&amp;MID($B963,5,2)&amp;"-"&amp;RIGHT($B963,2)),Catalogus,MATCH(LEFT(VLOOKUP(MID(E$1,2,LEN(E$1)-1),Parameters,2,FALSE()),4)&amp;"*",OFFSET(Catalogus,0,0,1),0)+MATCH($C963,OFFSET(Catalogus,1,0,1),0)-2,FALSE())))</f>
        <v>7</v>
      </c>
    </row>
    <row r="964" spans="1:5" x14ac:dyDescent="0.25">
      <c r="A964" s="3">
        <f t="shared" si="46"/>
        <v>78989</v>
      </c>
      <c r="B964" t="str">
        <f ca="1">TEXT(DATE(YEAR(Invoer!$A$5),1,1)+INT((ROWS(B$2:B964)-1)/24),"""18""jjmmdd")</f>
        <v>18980210</v>
      </c>
      <c r="C964" s="11" t="str">
        <f>INDEX(Data,2,2+MOD(ROWS(C$2:C964)-1,24))</f>
        <v>03.00</v>
      </c>
      <c r="D964" s="8" t="str">
        <f t="shared" ca="1" si="47"/>
        <v>—</v>
      </c>
      <c r="E964" s="16">
        <f t="shared" ca="1" si="48"/>
        <v>7</v>
      </c>
    </row>
    <row r="965" spans="1:5" x14ac:dyDescent="0.25">
      <c r="A965" s="3">
        <f t="shared" si="46"/>
        <v>78989</v>
      </c>
      <c r="B965" t="str">
        <f ca="1">TEXT(DATE(YEAR(Invoer!$A$5),1,1)+INT((ROWS(B$2:B965)-1)/24),"""18""jjmmdd")</f>
        <v>18980210</v>
      </c>
      <c r="C965" s="11" t="str">
        <f>INDEX(Data,2,2+MOD(ROWS(C$2:C965)-1,24))</f>
        <v>04.00</v>
      </c>
      <c r="D965" s="8" t="str">
        <f t="shared" ca="1" si="47"/>
        <v>—</v>
      </c>
      <c r="E965" s="16">
        <f t="shared" ca="1" si="48"/>
        <v>7</v>
      </c>
    </row>
    <row r="966" spans="1:5" x14ac:dyDescent="0.25">
      <c r="A966" s="3">
        <f t="shared" si="46"/>
        <v>78989</v>
      </c>
      <c r="B966" t="str">
        <f ca="1">TEXT(DATE(YEAR(Invoer!$A$5),1,1)+INT((ROWS(B$2:B966)-1)/24),"""18""jjmmdd")</f>
        <v>18980210</v>
      </c>
      <c r="C966" s="11" t="str">
        <f>INDEX(Data,2,2+MOD(ROWS(C$2:C966)-1,24))</f>
        <v>05.00</v>
      </c>
      <c r="D966" s="8" t="str">
        <f t="shared" ca="1" si="47"/>
        <v>—</v>
      </c>
      <c r="E966" s="16">
        <f t="shared" ca="1" si="48"/>
        <v>7</v>
      </c>
    </row>
    <row r="967" spans="1:5" x14ac:dyDescent="0.25">
      <c r="A967" s="3">
        <f t="shared" si="46"/>
        <v>78989</v>
      </c>
      <c r="B967" t="str">
        <f ca="1">TEXT(DATE(YEAR(Invoer!$A$5),1,1)+INT((ROWS(B$2:B967)-1)/24),"""18""jjmmdd")</f>
        <v>18980210</v>
      </c>
      <c r="C967" s="11" t="str">
        <f>INDEX(Data,2,2+MOD(ROWS(C$2:C967)-1,24))</f>
        <v>06.00</v>
      </c>
      <c r="D967" s="8" t="str">
        <f t="shared" ca="1" si="47"/>
        <v>—</v>
      </c>
      <c r="E967" s="16">
        <f t="shared" ca="1" si="48"/>
        <v>7</v>
      </c>
    </row>
    <row r="968" spans="1:5" x14ac:dyDescent="0.25">
      <c r="A968" s="3">
        <f t="shared" si="46"/>
        <v>78989</v>
      </c>
      <c r="B968" t="str">
        <f ca="1">TEXT(DATE(YEAR(Invoer!$A$5),1,1)+INT((ROWS(B$2:B968)-1)/24),"""18""jjmmdd")</f>
        <v>18980210</v>
      </c>
      <c r="C968" s="11" t="str">
        <f>INDEX(Data,2,2+MOD(ROWS(C$2:C968)-1,24))</f>
        <v>07.00</v>
      </c>
      <c r="D968" s="8" t="str">
        <f t="shared" ca="1" si="47"/>
        <v>—</v>
      </c>
      <c r="E968" s="16">
        <f t="shared" ca="1" si="48"/>
        <v>7</v>
      </c>
    </row>
    <row r="969" spans="1:5" x14ac:dyDescent="0.25">
      <c r="A969" s="3">
        <f t="shared" si="46"/>
        <v>78989</v>
      </c>
      <c r="B969" t="str">
        <f ca="1">TEXT(DATE(YEAR(Invoer!$A$5),1,1)+INT((ROWS(B$2:B969)-1)/24),"""18""jjmmdd")</f>
        <v>18980210</v>
      </c>
      <c r="C969" s="11" t="str">
        <f>INDEX(Data,2,2+MOD(ROWS(C$2:C969)-1,24))</f>
        <v>08.00</v>
      </c>
      <c r="D969" s="8" t="str">
        <f t="shared" ca="1" si="47"/>
        <v>—</v>
      </c>
      <c r="E969" s="16">
        <f t="shared" ca="1" si="48"/>
        <v>7</v>
      </c>
    </row>
    <row r="970" spans="1:5" x14ac:dyDescent="0.25">
      <c r="A970" s="3">
        <f t="shared" si="46"/>
        <v>78989</v>
      </c>
      <c r="B970" t="str">
        <f ca="1">TEXT(DATE(YEAR(Invoer!$A$5),1,1)+INT((ROWS(B$2:B970)-1)/24),"""18""jjmmdd")</f>
        <v>18980210</v>
      </c>
      <c r="C970" s="11" t="str">
        <f>INDEX(Data,2,2+MOD(ROWS(C$2:C970)-1,24))</f>
        <v>09.00</v>
      </c>
      <c r="D970" s="8" t="str">
        <f t="shared" ca="1" si="47"/>
        <v>—</v>
      </c>
      <c r="E970" s="16">
        <f t="shared" ca="1" si="48"/>
        <v>7</v>
      </c>
    </row>
    <row r="971" spans="1:5" x14ac:dyDescent="0.25">
      <c r="A971" s="3">
        <f t="shared" si="46"/>
        <v>78989</v>
      </c>
      <c r="B971" t="str">
        <f ca="1">TEXT(DATE(YEAR(Invoer!$A$5),1,1)+INT((ROWS(B$2:B971)-1)/24),"""18""jjmmdd")</f>
        <v>18980210</v>
      </c>
      <c r="C971" s="11" t="str">
        <f>INDEX(Data,2,2+MOD(ROWS(C$2:C971)-1,24))</f>
        <v>10.00</v>
      </c>
      <c r="D971" s="8" t="str">
        <f t="shared" ca="1" si="47"/>
        <v>—</v>
      </c>
      <c r="E971" s="16">
        <f t="shared" ca="1" si="48"/>
        <v>7</v>
      </c>
    </row>
    <row r="972" spans="1:5" x14ac:dyDescent="0.25">
      <c r="A972" s="3">
        <f t="shared" si="46"/>
        <v>78989</v>
      </c>
      <c r="B972" t="str">
        <f ca="1">TEXT(DATE(YEAR(Invoer!$A$5),1,1)+INT((ROWS(B$2:B972)-1)/24),"""18""jjmmdd")</f>
        <v>18980210</v>
      </c>
      <c r="C972" s="11" t="str">
        <f>INDEX(Data,2,2+MOD(ROWS(C$2:C972)-1,24))</f>
        <v>11.00</v>
      </c>
      <c r="D972" s="8" t="str">
        <f t="shared" ca="1" si="47"/>
        <v>—</v>
      </c>
      <c r="E972" s="16">
        <f t="shared" ca="1" si="48"/>
        <v>7</v>
      </c>
    </row>
    <row r="973" spans="1:5" x14ac:dyDescent="0.25">
      <c r="A973" s="3">
        <f t="shared" si="46"/>
        <v>78989</v>
      </c>
      <c r="B973" t="str">
        <f ca="1">TEXT(DATE(YEAR(Invoer!$A$5),1,1)+INT((ROWS(B$2:B973)-1)/24),"""18""jjmmdd")</f>
        <v>18980210</v>
      </c>
      <c r="C973" s="11" t="str">
        <f>INDEX(Data,2,2+MOD(ROWS(C$2:C973)-1,24))</f>
        <v>12.00</v>
      </c>
      <c r="D973" s="8" t="str">
        <f t="shared" ca="1" si="47"/>
        <v>—</v>
      </c>
      <c r="E973" s="16">
        <f t="shared" ca="1" si="48"/>
        <v>7</v>
      </c>
    </row>
    <row r="974" spans="1:5" x14ac:dyDescent="0.25">
      <c r="A974" s="3">
        <f t="shared" si="46"/>
        <v>78989</v>
      </c>
      <c r="B974" t="str">
        <f ca="1">TEXT(DATE(YEAR(Invoer!$A$5),1,1)+INT((ROWS(B$2:B974)-1)/24),"""18""jjmmdd")</f>
        <v>18980210</v>
      </c>
      <c r="C974" s="11" t="str">
        <f>INDEX(Data,2,2+MOD(ROWS(C$2:C974)-1,24))</f>
        <v>13.00</v>
      </c>
      <c r="D974" s="8" t="str">
        <f t="shared" ca="1" si="47"/>
        <v>—</v>
      </c>
      <c r="E974" s="16">
        <f t="shared" ca="1" si="48"/>
        <v>7</v>
      </c>
    </row>
    <row r="975" spans="1:5" x14ac:dyDescent="0.25">
      <c r="A975" s="3">
        <f t="shared" si="46"/>
        <v>78989</v>
      </c>
      <c r="B975" t="str">
        <f ca="1">TEXT(DATE(YEAR(Invoer!$A$5),1,1)+INT((ROWS(B$2:B975)-1)/24),"""18""jjmmdd")</f>
        <v>18980210</v>
      </c>
      <c r="C975" s="11" t="str">
        <f>INDEX(Data,2,2+MOD(ROWS(C$2:C975)-1,24))</f>
        <v>14.00</v>
      </c>
      <c r="D975" s="8" t="str">
        <f t="shared" ca="1" si="47"/>
        <v>—</v>
      </c>
      <c r="E975" s="16">
        <f t="shared" ca="1" si="48"/>
        <v>7</v>
      </c>
    </row>
    <row r="976" spans="1:5" x14ac:dyDescent="0.25">
      <c r="A976" s="3">
        <f t="shared" si="46"/>
        <v>78989</v>
      </c>
      <c r="B976" t="str">
        <f ca="1">TEXT(DATE(YEAR(Invoer!$A$5),1,1)+INT((ROWS(B$2:B976)-1)/24),"""18""jjmmdd")</f>
        <v>18980210</v>
      </c>
      <c r="C976" s="11" t="str">
        <f>INDEX(Data,2,2+MOD(ROWS(C$2:C976)-1,24))</f>
        <v>15.00</v>
      </c>
      <c r="D976" s="8" t="str">
        <f t="shared" ca="1" si="47"/>
        <v>—</v>
      </c>
      <c r="E976" s="16">
        <f t="shared" ca="1" si="48"/>
        <v>7</v>
      </c>
    </row>
    <row r="977" spans="1:5" x14ac:dyDescent="0.25">
      <c r="A977" s="3">
        <f t="shared" si="46"/>
        <v>78989</v>
      </c>
      <c r="B977" t="str">
        <f ca="1">TEXT(DATE(YEAR(Invoer!$A$5),1,1)+INT((ROWS(B$2:B977)-1)/24),"""18""jjmmdd")</f>
        <v>18980210</v>
      </c>
      <c r="C977" s="11" t="str">
        <f>INDEX(Data,2,2+MOD(ROWS(C$2:C977)-1,24))</f>
        <v>16.00</v>
      </c>
      <c r="D977" s="8" t="str">
        <f t="shared" ca="1" si="47"/>
        <v>—</v>
      </c>
      <c r="E977" s="16">
        <f t="shared" ca="1" si="48"/>
        <v>7</v>
      </c>
    </row>
    <row r="978" spans="1:5" x14ac:dyDescent="0.25">
      <c r="A978" s="3">
        <f t="shared" si="46"/>
        <v>78989</v>
      </c>
      <c r="B978" t="str">
        <f ca="1">TEXT(DATE(YEAR(Invoer!$A$5),1,1)+INT((ROWS(B$2:B978)-1)/24),"""18""jjmmdd")</f>
        <v>18980210</v>
      </c>
      <c r="C978" s="11" t="str">
        <f>INDEX(Data,2,2+MOD(ROWS(C$2:C978)-1,24))</f>
        <v>17.00</v>
      </c>
      <c r="D978" s="8" t="str">
        <f t="shared" ca="1" si="47"/>
        <v>—</v>
      </c>
      <c r="E978" s="16">
        <f t="shared" ca="1" si="48"/>
        <v>7</v>
      </c>
    </row>
    <row r="979" spans="1:5" x14ac:dyDescent="0.25">
      <c r="A979" s="3">
        <f t="shared" si="46"/>
        <v>78989</v>
      </c>
      <c r="B979" t="str">
        <f ca="1">TEXT(DATE(YEAR(Invoer!$A$5),1,1)+INT((ROWS(B$2:B979)-1)/24),"""18""jjmmdd")</f>
        <v>18980210</v>
      </c>
      <c r="C979" s="11" t="str">
        <f>INDEX(Data,2,2+MOD(ROWS(C$2:C979)-1,24))</f>
        <v>18.00</v>
      </c>
      <c r="D979" s="8" t="str">
        <f t="shared" ca="1" si="47"/>
        <v>—</v>
      </c>
      <c r="E979" s="16">
        <f t="shared" ca="1" si="48"/>
        <v>7</v>
      </c>
    </row>
    <row r="980" spans="1:5" x14ac:dyDescent="0.25">
      <c r="A980" s="3">
        <f t="shared" si="46"/>
        <v>78989</v>
      </c>
      <c r="B980" t="str">
        <f ca="1">TEXT(DATE(YEAR(Invoer!$A$5),1,1)+INT((ROWS(B$2:B980)-1)/24),"""18""jjmmdd")</f>
        <v>18980210</v>
      </c>
      <c r="C980" s="11" t="str">
        <f>INDEX(Data,2,2+MOD(ROWS(C$2:C980)-1,24))</f>
        <v>19.00</v>
      </c>
      <c r="D980" s="8" t="str">
        <f t="shared" ca="1" si="47"/>
        <v>—</v>
      </c>
      <c r="E980" s="16">
        <f t="shared" ca="1" si="48"/>
        <v>7</v>
      </c>
    </row>
    <row r="981" spans="1:5" x14ac:dyDescent="0.25">
      <c r="A981" s="3">
        <f t="shared" si="46"/>
        <v>78989</v>
      </c>
      <c r="B981" t="str">
        <f ca="1">TEXT(DATE(YEAR(Invoer!$A$5),1,1)+INT((ROWS(B$2:B981)-1)/24),"""18""jjmmdd")</f>
        <v>18980210</v>
      </c>
      <c r="C981" s="11" t="str">
        <f>INDEX(Data,2,2+MOD(ROWS(C$2:C981)-1,24))</f>
        <v>20.00</v>
      </c>
      <c r="D981" s="8" t="str">
        <f t="shared" ca="1" si="47"/>
        <v>—</v>
      </c>
      <c r="E981" s="16">
        <f t="shared" ca="1" si="48"/>
        <v>7</v>
      </c>
    </row>
    <row r="982" spans="1:5" x14ac:dyDescent="0.25">
      <c r="A982" s="3">
        <f t="shared" si="46"/>
        <v>78989</v>
      </c>
      <c r="B982" t="str">
        <f ca="1">TEXT(DATE(YEAR(Invoer!$A$5),1,1)+INT((ROWS(B$2:B982)-1)/24),"""18""jjmmdd")</f>
        <v>18980210</v>
      </c>
      <c r="C982" s="11" t="str">
        <f>INDEX(Data,2,2+MOD(ROWS(C$2:C982)-1,24))</f>
        <v>21.00</v>
      </c>
      <c r="D982" s="8" t="str">
        <f t="shared" ca="1" si="47"/>
        <v>—</v>
      </c>
      <c r="E982" s="16">
        <f t="shared" ca="1" si="48"/>
        <v>7</v>
      </c>
    </row>
    <row r="983" spans="1:5" x14ac:dyDescent="0.25">
      <c r="A983" s="3">
        <f t="shared" si="46"/>
        <v>78989</v>
      </c>
      <c r="B983" t="str">
        <f ca="1">TEXT(DATE(YEAR(Invoer!$A$5),1,1)+INT((ROWS(B$2:B983)-1)/24),"""18""jjmmdd")</f>
        <v>18980210</v>
      </c>
      <c r="C983" s="11" t="str">
        <f>INDEX(Data,2,2+MOD(ROWS(C$2:C983)-1,24))</f>
        <v>22.00</v>
      </c>
      <c r="D983" s="8" t="str">
        <f t="shared" ca="1" si="47"/>
        <v>—</v>
      </c>
      <c r="E983" s="16">
        <f t="shared" ca="1" si="48"/>
        <v>7</v>
      </c>
    </row>
    <row r="984" spans="1:5" x14ac:dyDescent="0.25">
      <c r="A984" s="3">
        <f t="shared" si="46"/>
        <v>78989</v>
      </c>
      <c r="B984" t="str">
        <f ca="1">TEXT(DATE(YEAR(Invoer!$A$5),1,1)+INT((ROWS(B$2:B984)-1)/24),"""18""jjmmdd")</f>
        <v>18980210</v>
      </c>
      <c r="C984" s="11" t="str">
        <f>INDEX(Data,2,2+MOD(ROWS(C$2:C984)-1,24))</f>
        <v>23.00</v>
      </c>
      <c r="D984" s="8" t="str">
        <f t="shared" ca="1" si="47"/>
        <v>—</v>
      </c>
      <c r="E984" s="16">
        <f t="shared" ca="1" si="48"/>
        <v>7</v>
      </c>
    </row>
    <row r="985" spans="1:5" x14ac:dyDescent="0.25">
      <c r="A985" s="3">
        <f t="shared" si="46"/>
        <v>78989</v>
      </c>
      <c r="B985" t="str">
        <f ca="1">TEXT(DATE(YEAR(Invoer!$A$5),1,1)+INT((ROWS(B$2:B985)-1)/24),"""18""jjmmdd")</f>
        <v>18980210</v>
      </c>
      <c r="C985" s="11" t="str">
        <f>INDEX(Data,2,2+MOD(ROWS(C$2:C985)-1,24))</f>
        <v>24.00</v>
      </c>
      <c r="D985" s="8" t="str">
        <f t="shared" ca="1" si="47"/>
        <v>—</v>
      </c>
      <c r="E985" s="16">
        <f t="shared" ca="1" si="48"/>
        <v>7</v>
      </c>
    </row>
    <row r="986" spans="1:5" x14ac:dyDescent="0.25">
      <c r="A986" s="3">
        <f t="shared" si="46"/>
        <v>78989</v>
      </c>
      <c r="B986" t="str">
        <f ca="1">TEXT(DATE(YEAR(Invoer!$A$5),1,1)+INT((ROWS(B$2:B986)-1)/24),"""18""jjmmdd")</f>
        <v>18980211</v>
      </c>
      <c r="C986" s="11" t="str">
        <f>INDEX(Data,2,2+MOD(ROWS(C$2:C986)-1,24))</f>
        <v>01.00</v>
      </c>
      <c r="D986" s="8" t="str">
        <f t="shared" ca="1" si="47"/>
        <v>—</v>
      </c>
      <c r="E986" s="16">
        <f t="shared" ca="1" si="48"/>
        <v>7</v>
      </c>
    </row>
    <row r="987" spans="1:5" x14ac:dyDescent="0.25">
      <c r="A987" s="3">
        <f t="shared" si="46"/>
        <v>78989</v>
      </c>
      <c r="B987" t="str">
        <f ca="1">TEXT(DATE(YEAR(Invoer!$A$5),1,1)+INT((ROWS(B$2:B987)-1)/24),"""18""jjmmdd")</f>
        <v>18980211</v>
      </c>
      <c r="C987" s="11" t="str">
        <f>INDEX(Data,2,2+MOD(ROWS(C$2:C987)-1,24))</f>
        <v>02.00</v>
      </c>
      <c r="D987" s="8" t="str">
        <f t="shared" ca="1" si="47"/>
        <v>—</v>
      </c>
      <c r="E987" s="16">
        <f t="shared" ca="1" si="48"/>
        <v>7</v>
      </c>
    </row>
    <row r="988" spans="1:5" x14ac:dyDescent="0.25">
      <c r="A988" s="3">
        <f t="shared" si="46"/>
        <v>78989</v>
      </c>
      <c r="B988" t="str">
        <f ca="1">TEXT(DATE(YEAR(Invoer!$A$5),1,1)+INT((ROWS(B$2:B988)-1)/24),"""18""jjmmdd")</f>
        <v>18980211</v>
      </c>
      <c r="C988" s="11" t="str">
        <f>INDEX(Data,2,2+MOD(ROWS(C$2:C988)-1,24))</f>
        <v>03.00</v>
      </c>
      <c r="D988" s="8" t="str">
        <f t="shared" ca="1" si="47"/>
        <v>—</v>
      </c>
      <c r="E988" s="16">
        <f t="shared" ca="1" si="48"/>
        <v>7</v>
      </c>
    </row>
    <row r="989" spans="1:5" x14ac:dyDescent="0.25">
      <c r="A989" s="3">
        <f t="shared" si="46"/>
        <v>78989</v>
      </c>
      <c r="B989" t="str">
        <f ca="1">TEXT(DATE(YEAR(Invoer!$A$5),1,1)+INT((ROWS(B$2:B989)-1)/24),"""18""jjmmdd")</f>
        <v>18980211</v>
      </c>
      <c r="C989" s="11" t="str">
        <f>INDEX(Data,2,2+MOD(ROWS(C$2:C989)-1,24))</f>
        <v>04.00</v>
      </c>
      <c r="D989" s="8" t="str">
        <f t="shared" ca="1" si="47"/>
        <v>—</v>
      </c>
      <c r="E989" s="16">
        <f t="shared" ca="1" si="48"/>
        <v>7</v>
      </c>
    </row>
    <row r="990" spans="1:5" x14ac:dyDescent="0.25">
      <c r="A990" s="3">
        <f t="shared" si="46"/>
        <v>78989</v>
      </c>
      <c r="B990" t="str">
        <f ca="1">TEXT(DATE(YEAR(Invoer!$A$5),1,1)+INT((ROWS(B$2:B990)-1)/24),"""18""jjmmdd")</f>
        <v>18980211</v>
      </c>
      <c r="C990" s="11" t="str">
        <f>INDEX(Data,2,2+MOD(ROWS(C$2:C990)-1,24))</f>
        <v>05.00</v>
      </c>
      <c r="D990" s="8" t="str">
        <f t="shared" ca="1" si="47"/>
        <v>—</v>
      </c>
      <c r="E990" s="16">
        <f t="shared" ca="1" si="48"/>
        <v>7</v>
      </c>
    </row>
    <row r="991" spans="1:5" x14ac:dyDescent="0.25">
      <c r="A991" s="3">
        <f t="shared" si="46"/>
        <v>78989</v>
      </c>
      <c r="B991" t="str">
        <f ca="1">TEXT(DATE(YEAR(Invoer!$A$5),1,1)+INT((ROWS(B$2:B991)-1)/24),"""18""jjmmdd")</f>
        <v>18980211</v>
      </c>
      <c r="C991" s="11" t="str">
        <f>INDEX(Data,2,2+MOD(ROWS(C$2:C991)-1,24))</f>
        <v>06.00</v>
      </c>
      <c r="D991" s="8" t="str">
        <f t="shared" ca="1" si="47"/>
        <v>—</v>
      </c>
      <c r="E991" s="16">
        <f t="shared" ca="1" si="48"/>
        <v>7</v>
      </c>
    </row>
    <row r="992" spans="1:5" x14ac:dyDescent="0.25">
      <c r="A992" s="3">
        <f t="shared" si="46"/>
        <v>78989</v>
      </c>
      <c r="B992" t="str">
        <f ca="1">TEXT(DATE(YEAR(Invoer!$A$5),1,1)+INT((ROWS(B$2:B992)-1)/24),"""18""jjmmdd")</f>
        <v>18980211</v>
      </c>
      <c r="C992" s="11" t="str">
        <f>INDEX(Data,2,2+MOD(ROWS(C$2:C992)-1,24))</f>
        <v>07.00</v>
      </c>
      <c r="D992" s="8" t="str">
        <f t="shared" ca="1" si="47"/>
        <v>—</v>
      </c>
      <c r="E992" s="16">
        <f t="shared" ca="1" si="48"/>
        <v>7</v>
      </c>
    </row>
    <row r="993" spans="1:5" x14ac:dyDescent="0.25">
      <c r="A993" s="3">
        <f t="shared" si="46"/>
        <v>78989</v>
      </c>
      <c r="B993" t="str">
        <f ca="1">TEXT(DATE(YEAR(Invoer!$A$5),1,1)+INT((ROWS(B$2:B993)-1)/24),"""18""jjmmdd")</f>
        <v>18980211</v>
      </c>
      <c r="C993" s="11" t="str">
        <f>INDEX(Data,2,2+MOD(ROWS(C$2:C993)-1,24))</f>
        <v>08.00</v>
      </c>
      <c r="D993" s="8" t="str">
        <f t="shared" ca="1" si="47"/>
        <v>—</v>
      </c>
      <c r="E993" s="16">
        <f t="shared" ca="1" si="48"/>
        <v>7</v>
      </c>
    </row>
    <row r="994" spans="1:5" x14ac:dyDescent="0.25">
      <c r="A994" s="3">
        <f t="shared" si="46"/>
        <v>78989</v>
      </c>
      <c r="B994" t="str">
        <f ca="1">TEXT(DATE(YEAR(Invoer!$A$5),1,1)+INT((ROWS(B$2:B994)-1)/24),"""18""jjmmdd")</f>
        <v>18980211</v>
      </c>
      <c r="C994" s="11" t="str">
        <f>INDEX(Data,2,2+MOD(ROWS(C$2:C994)-1,24))</f>
        <v>09.00</v>
      </c>
      <c r="D994" s="8" t="str">
        <f t="shared" ca="1" si="47"/>
        <v>—</v>
      </c>
      <c r="E994" s="16">
        <f t="shared" ca="1" si="48"/>
        <v>7</v>
      </c>
    </row>
    <row r="995" spans="1:5" x14ac:dyDescent="0.25">
      <c r="A995" s="3">
        <f t="shared" si="46"/>
        <v>78989</v>
      </c>
      <c r="B995" t="str">
        <f ca="1">TEXT(DATE(YEAR(Invoer!$A$5),1,1)+INT((ROWS(B$2:B995)-1)/24),"""18""jjmmdd")</f>
        <v>18980211</v>
      </c>
      <c r="C995" s="11" t="str">
        <f>INDEX(Data,2,2+MOD(ROWS(C$2:C995)-1,24))</f>
        <v>10.00</v>
      </c>
      <c r="D995" s="8" t="str">
        <f t="shared" ca="1" si="47"/>
        <v>—</v>
      </c>
      <c r="E995" s="16">
        <f t="shared" ca="1" si="48"/>
        <v>7</v>
      </c>
    </row>
    <row r="996" spans="1:5" x14ac:dyDescent="0.25">
      <c r="A996" s="3">
        <f t="shared" si="46"/>
        <v>78989</v>
      </c>
      <c r="B996" t="str">
        <f ca="1">TEXT(DATE(YEAR(Invoer!$A$5),1,1)+INT((ROWS(B$2:B996)-1)/24),"""18""jjmmdd")</f>
        <v>18980211</v>
      </c>
      <c r="C996" s="11" t="str">
        <f>INDEX(Data,2,2+MOD(ROWS(C$2:C996)-1,24))</f>
        <v>11.00</v>
      </c>
      <c r="D996" s="8" t="str">
        <f t="shared" ca="1" si="47"/>
        <v>—</v>
      </c>
      <c r="E996" s="16">
        <f t="shared" ca="1" si="48"/>
        <v>7</v>
      </c>
    </row>
    <row r="997" spans="1:5" x14ac:dyDescent="0.25">
      <c r="A997" s="3">
        <f t="shared" si="46"/>
        <v>78989</v>
      </c>
      <c r="B997" t="str">
        <f ca="1">TEXT(DATE(YEAR(Invoer!$A$5),1,1)+INT((ROWS(B$2:B997)-1)/24),"""18""jjmmdd")</f>
        <v>18980211</v>
      </c>
      <c r="C997" s="11" t="str">
        <f>INDEX(Data,2,2+MOD(ROWS(C$2:C997)-1,24))</f>
        <v>12.00</v>
      </c>
      <c r="D997" s="8" t="str">
        <f t="shared" ca="1" si="47"/>
        <v>—</v>
      </c>
      <c r="E997" s="16">
        <f t="shared" ca="1" si="48"/>
        <v>7</v>
      </c>
    </row>
    <row r="998" spans="1:5" x14ac:dyDescent="0.25">
      <c r="A998" s="3">
        <f t="shared" si="46"/>
        <v>78989</v>
      </c>
      <c r="B998" t="str">
        <f ca="1">TEXT(DATE(YEAR(Invoer!$A$5),1,1)+INT((ROWS(B$2:B998)-1)/24),"""18""jjmmdd")</f>
        <v>18980211</v>
      </c>
      <c r="C998" s="11" t="str">
        <f>INDEX(Data,2,2+MOD(ROWS(C$2:C998)-1,24))</f>
        <v>13.00</v>
      </c>
      <c r="D998" s="8" t="str">
        <f t="shared" ca="1" si="47"/>
        <v>—</v>
      </c>
      <c r="E998" s="16">
        <f t="shared" ca="1" si="48"/>
        <v>7</v>
      </c>
    </row>
    <row r="999" spans="1:5" x14ac:dyDescent="0.25">
      <c r="A999" s="3">
        <f t="shared" si="46"/>
        <v>78989</v>
      </c>
      <c r="B999" t="str">
        <f ca="1">TEXT(DATE(YEAR(Invoer!$A$5),1,1)+INT((ROWS(B$2:B999)-1)/24),"""18""jjmmdd")</f>
        <v>18980211</v>
      </c>
      <c r="C999" s="11" t="str">
        <f>INDEX(Data,2,2+MOD(ROWS(C$2:C999)-1,24))</f>
        <v>14.00</v>
      </c>
      <c r="D999" s="8" t="str">
        <f t="shared" ca="1" si="47"/>
        <v>—</v>
      </c>
      <c r="E999" s="16">
        <f t="shared" ca="1" si="48"/>
        <v>7</v>
      </c>
    </row>
    <row r="1000" spans="1:5" x14ac:dyDescent="0.25">
      <c r="A1000" s="3">
        <f t="shared" si="46"/>
        <v>78989</v>
      </c>
      <c r="B1000" t="str">
        <f ca="1">TEXT(DATE(YEAR(Invoer!$A$5),1,1)+INT((ROWS(B$2:B1000)-1)/24),"""18""jjmmdd")</f>
        <v>18980211</v>
      </c>
      <c r="C1000" s="11" t="str">
        <f>INDEX(Data,2,2+MOD(ROWS(C$2:C1000)-1,24))</f>
        <v>15.00</v>
      </c>
      <c r="D1000" s="8" t="str">
        <f t="shared" ca="1" si="47"/>
        <v>—</v>
      </c>
      <c r="E1000" s="16">
        <f t="shared" ca="1" si="48"/>
        <v>7</v>
      </c>
    </row>
    <row r="1001" spans="1:5" x14ac:dyDescent="0.25">
      <c r="A1001" s="3">
        <f t="shared" si="46"/>
        <v>78989</v>
      </c>
      <c r="B1001" t="str">
        <f ca="1">TEXT(DATE(YEAR(Invoer!$A$5),1,1)+INT((ROWS(B$2:B1001)-1)/24),"""18""jjmmdd")</f>
        <v>18980211</v>
      </c>
      <c r="C1001" s="11" t="str">
        <f>INDEX(Data,2,2+MOD(ROWS(C$2:C1001)-1,24))</f>
        <v>16.00</v>
      </c>
      <c r="D1001" s="8" t="str">
        <f t="shared" ca="1" si="47"/>
        <v>—</v>
      </c>
      <c r="E1001" s="16">
        <f t="shared" ca="1" si="48"/>
        <v>7</v>
      </c>
    </row>
    <row r="1002" spans="1:5" x14ac:dyDescent="0.25">
      <c r="A1002" s="3">
        <f t="shared" si="46"/>
        <v>78989</v>
      </c>
      <c r="B1002" t="str">
        <f ca="1">TEXT(DATE(YEAR(Invoer!$A$5),1,1)+INT((ROWS(B$2:B1002)-1)/24),"""18""jjmmdd")</f>
        <v>18980211</v>
      </c>
      <c r="C1002" s="11" t="str">
        <f>INDEX(Data,2,2+MOD(ROWS(C$2:C1002)-1,24))</f>
        <v>17.00</v>
      </c>
      <c r="D1002" s="8" t="str">
        <f t="shared" ca="1" si="47"/>
        <v>—</v>
      </c>
      <c r="E1002" s="16">
        <f t="shared" ca="1" si="48"/>
        <v>7</v>
      </c>
    </row>
    <row r="1003" spans="1:5" x14ac:dyDescent="0.25">
      <c r="A1003" s="3">
        <f t="shared" si="46"/>
        <v>78989</v>
      </c>
      <c r="B1003" t="str">
        <f ca="1">TEXT(DATE(YEAR(Invoer!$A$5),1,1)+INT((ROWS(B$2:B1003)-1)/24),"""18""jjmmdd")</f>
        <v>18980211</v>
      </c>
      <c r="C1003" s="11" t="str">
        <f>INDEX(Data,2,2+MOD(ROWS(C$2:C1003)-1,24))</f>
        <v>18.00</v>
      </c>
      <c r="D1003" s="8" t="str">
        <f t="shared" ca="1" si="47"/>
        <v>—</v>
      </c>
      <c r="E1003" s="16">
        <f t="shared" ca="1" si="48"/>
        <v>7</v>
      </c>
    </row>
    <row r="1004" spans="1:5" x14ac:dyDescent="0.25">
      <c r="A1004" s="3">
        <f t="shared" si="46"/>
        <v>78989</v>
      </c>
      <c r="B1004" t="str">
        <f ca="1">TEXT(DATE(YEAR(Invoer!$A$5),1,1)+INT((ROWS(B$2:B1004)-1)/24),"""18""jjmmdd")</f>
        <v>18980211</v>
      </c>
      <c r="C1004" s="11" t="str">
        <f>INDEX(Data,2,2+MOD(ROWS(C$2:C1004)-1,24))</f>
        <v>19.00</v>
      </c>
      <c r="D1004" s="8" t="str">
        <f t="shared" ca="1" si="47"/>
        <v>—</v>
      </c>
      <c r="E1004" s="16">
        <f t="shared" ca="1" si="48"/>
        <v>7</v>
      </c>
    </row>
    <row r="1005" spans="1:5" x14ac:dyDescent="0.25">
      <c r="A1005" s="3">
        <f t="shared" si="46"/>
        <v>78989</v>
      </c>
      <c r="B1005" t="str">
        <f ca="1">TEXT(DATE(YEAR(Invoer!$A$5),1,1)+INT((ROWS(B$2:B1005)-1)/24),"""18""jjmmdd")</f>
        <v>18980211</v>
      </c>
      <c r="C1005" s="11" t="str">
        <f>INDEX(Data,2,2+MOD(ROWS(C$2:C1005)-1,24))</f>
        <v>20.00</v>
      </c>
      <c r="D1005" s="8" t="str">
        <f t="shared" ca="1" si="47"/>
        <v>—</v>
      </c>
      <c r="E1005" s="16">
        <f t="shared" ca="1" si="48"/>
        <v>7</v>
      </c>
    </row>
    <row r="1006" spans="1:5" x14ac:dyDescent="0.25">
      <c r="A1006" s="3">
        <f t="shared" si="46"/>
        <v>78989</v>
      </c>
      <c r="B1006" t="str">
        <f ca="1">TEXT(DATE(YEAR(Invoer!$A$5),1,1)+INT((ROWS(B$2:B1006)-1)/24),"""18""jjmmdd")</f>
        <v>18980211</v>
      </c>
      <c r="C1006" s="11" t="str">
        <f>INDEX(Data,2,2+MOD(ROWS(C$2:C1006)-1,24))</f>
        <v>21.00</v>
      </c>
      <c r="D1006" s="8" t="str">
        <f t="shared" ca="1" si="47"/>
        <v>—</v>
      </c>
      <c r="E1006" s="16">
        <f t="shared" ca="1" si="48"/>
        <v>7</v>
      </c>
    </row>
    <row r="1007" spans="1:5" x14ac:dyDescent="0.25">
      <c r="A1007" s="3">
        <f t="shared" si="46"/>
        <v>78989</v>
      </c>
      <c r="B1007" t="str">
        <f ca="1">TEXT(DATE(YEAR(Invoer!$A$5),1,1)+INT((ROWS(B$2:B1007)-1)/24),"""18""jjmmdd")</f>
        <v>18980211</v>
      </c>
      <c r="C1007" s="11" t="str">
        <f>INDEX(Data,2,2+MOD(ROWS(C$2:C1007)-1,24))</f>
        <v>22.00</v>
      </c>
      <c r="D1007" s="8" t="str">
        <f t="shared" ca="1" si="47"/>
        <v>—</v>
      </c>
      <c r="E1007" s="16">
        <f t="shared" ca="1" si="48"/>
        <v>7</v>
      </c>
    </row>
    <row r="1008" spans="1:5" x14ac:dyDescent="0.25">
      <c r="A1008" s="3">
        <f t="shared" si="46"/>
        <v>78989</v>
      </c>
      <c r="B1008" t="str">
        <f ca="1">TEXT(DATE(YEAR(Invoer!$A$5),1,1)+INT((ROWS(B$2:B1008)-1)/24),"""18""jjmmdd")</f>
        <v>18980211</v>
      </c>
      <c r="C1008" s="11" t="str">
        <f>INDEX(Data,2,2+MOD(ROWS(C$2:C1008)-1,24))</f>
        <v>23.00</v>
      </c>
      <c r="D1008" s="8" t="str">
        <f t="shared" ca="1" si="47"/>
        <v>—</v>
      </c>
      <c r="E1008" s="16">
        <f t="shared" ca="1" si="48"/>
        <v>7</v>
      </c>
    </row>
    <row r="1009" spans="1:5" x14ac:dyDescent="0.25">
      <c r="A1009" s="3">
        <f t="shared" si="46"/>
        <v>78989</v>
      </c>
      <c r="B1009" t="str">
        <f ca="1">TEXT(DATE(YEAR(Invoer!$A$5),1,1)+INT((ROWS(B$2:B1009)-1)/24),"""18""jjmmdd")</f>
        <v>18980211</v>
      </c>
      <c r="C1009" s="11" t="str">
        <f>INDEX(Data,2,2+MOD(ROWS(C$2:C1009)-1,24))</f>
        <v>24.00</v>
      </c>
      <c r="D1009" s="8" t="str">
        <f t="shared" ca="1" si="47"/>
        <v>—</v>
      </c>
      <c r="E1009" s="16">
        <f t="shared" ca="1" si="48"/>
        <v>7</v>
      </c>
    </row>
    <row r="1010" spans="1:5" x14ac:dyDescent="0.25">
      <c r="A1010" s="3">
        <f t="shared" si="46"/>
        <v>78989</v>
      </c>
      <c r="B1010" t="str">
        <f ca="1">TEXT(DATE(YEAR(Invoer!$A$5),1,1)+INT((ROWS(B$2:B1010)-1)/24),"""18""jjmmdd")</f>
        <v>18980212</v>
      </c>
      <c r="C1010" s="11" t="str">
        <f>INDEX(Data,2,2+MOD(ROWS(C$2:C1010)-1,24))</f>
        <v>01.00</v>
      </c>
      <c r="D1010" s="8" t="str">
        <f t="shared" ca="1" si="47"/>
        <v>—</v>
      </c>
      <c r="E1010" s="16">
        <f t="shared" ca="1" si="48"/>
        <v>7</v>
      </c>
    </row>
    <row r="1011" spans="1:5" x14ac:dyDescent="0.25">
      <c r="A1011" s="3">
        <f t="shared" si="46"/>
        <v>78989</v>
      </c>
      <c r="B1011" t="str">
        <f ca="1">TEXT(DATE(YEAR(Invoer!$A$5),1,1)+INT((ROWS(B$2:B1011)-1)/24),"""18""jjmmdd")</f>
        <v>18980212</v>
      </c>
      <c r="C1011" s="11" t="str">
        <f>INDEX(Data,2,2+MOD(ROWS(C$2:C1011)-1,24))</f>
        <v>02.00</v>
      </c>
      <c r="D1011" s="8" t="str">
        <f t="shared" ca="1" si="47"/>
        <v>—</v>
      </c>
      <c r="E1011" s="16">
        <f t="shared" ca="1" si="48"/>
        <v>7</v>
      </c>
    </row>
    <row r="1012" spans="1:5" x14ac:dyDescent="0.25">
      <c r="A1012" s="3">
        <f t="shared" si="46"/>
        <v>78989</v>
      </c>
      <c r="B1012" t="str">
        <f ca="1">TEXT(DATE(YEAR(Invoer!$A$5),1,1)+INT((ROWS(B$2:B1012)-1)/24),"""18""jjmmdd")</f>
        <v>18980212</v>
      </c>
      <c r="C1012" s="11" t="str">
        <f>INDEX(Data,2,2+MOD(ROWS(C$2:C1012)-1,24))</f>
        <v>03.00</v>
      </c>
      <c r="D1012" s="8" t="str">
        <f t="shared" ca="1" si="47"/>
        <v>—</v>
      </c>
      <c r="E1012" s="16">
        <f t="shared" ca="1" si="48"/>
        <v>7</v>
      </c>
    </row>
    <row r="1013" spans="1:5" x14ac:dyDescent="0.25">
      <c r="A1013" s="3">
        <f t="shared" si="46"/>
        <v>78989</v>
      </c>
      <c r="B1013" t="str">
        <f ca="1">TEXT(DATE(YEAR(Invoer!$A$5),1,1)+INT((ROWS(B$2:B1013)-1)/24),"""18""jjmmdd")</f>
        <v>18980212</v>
      </c>
      <c r="C1013" s="11" t="str">
        <f>INDEX(Data,2,2+MOD(ROWS(C$2:C1013)-1,24))</f>
        <v>04.00</v>
      </c>
      <c r="D1013" s="8" t="str">
        <f t="shared" ca="1" si="47"/>
        <v>—</v>
      </c>
      <c r="E1013" s="16">
        <f t="shared" ca="1" si="48"/>
        <v>7</v>
      </c>
    </row>
    <row r="1014" spans="1:5" x14ac:dyDescent="0.25">
      <c r="A1014" s="3">
        <f t="shared" si="46"/>
        <v>78989</v>
      </c>
      <c r="B1014" t="str">
        <f ca="1">TEXT(DATE(YEAR(Invoer!$A$5),1,1)+INT((ROWS(B$2:B1014)-1)/24),"""18""jjmmdd")</f>
        <v>18980212</v>
      </c>
      <c r="C1014" s="11" t="str">
        <f>INDEX(Data,2,2+MOD(ROWS(C$2:C1014)-1,24))</f>
        <v>05.00</v>
      </c>
      <c r="D1014" s="8" t="str">
        <f t="shared" ca="1" si="47"/>
        <v>—</v>
      </c>
      <c r="E1014" s="16">
        <f t="shared" ca="1" si="48"/>
        <v>7</v>
      </c>
    </row>
    <row r="1015" spans="1:5" x14ac:dyDescent="0.25">
      <c r="A1015" s="3">
        <f t="shared" si="46"/>
        <v>78989</v>
      </c>
      <c r="B1015" t="str">
        <f ca="1">TEXT(DATE(YEAR(Invoer!$A$5),1,1)+INT((ROWS(B$2:B1015)-1)/24),"""18""jjmmdd")</f>
        <v>18980212</v>
      </c>
      <c r="C1015" s="11" t="str">
        <f>INDEX(Data,2,2+MOD(ROWS(C$2:C1015)-1,24))</f>
        <v>06.00</v>
      </c>
      <c r="D1015" s="8" t="str">
        <f t="shared" ca="1" si="47"/>
        <v>—</v>
      </c>
      <c r="E1015" s="16">
        <f t="shared" ca="1" si="48"/>
        <v>7</v>
      </c>
    </row>
    <row r="1016" spans="1:5" x14ac:dyDescent="0.25">
      <c r="A1016" s="3">
        <f t="shared" si="46"/>
        <v>78989</v>
      </c>
      <c r="B1016" t="str">
        <f ca="1">TEXT(DATE(YEAR(Invoer!$A$5),1,1)+INT((ROWS(B$2:B1016)-1)/24),"""18""jjmmdd")</f>
        <v>18980212</v>
      </c>
      <c r="C1016" s="11" t="str">
        <f>INDEX(Data,2,2+MOD(ROWS(C$2:C1016)-1,24))</f>
        <v>07.00</v>
      </c>
      <c r="D1016" s="8" t="str">
        <f t="shared" ca="1" si="47"/>
        <v>—</v>
      </c>
      <c r="E1016" s="16">
        <f t="shared" ca="1" si="48"/>
        <v>7</v>
      </c>
    </row>
    <row r="1017" spans="1:5" x14ac:dyDescent="0.25">
      <c r="A1017" s="3">
        <f t="shared" si="46"/>
        <v>78989</v>
      </c>
      <c r="B1017" t="str">
        <f ca="1">TEXT(DATE(YEAR(Invoer!$A$5),1,1)+INT((ROWS(B$2:B1017)-1)/24),"""18""jjmmdd")</f>
        <v>18980212</v>
      </c>
      <c r="C1017" s="11" t="str">
        <f>INDEX(Data,2,2+MOD(ROWS(C$2:C1017)-1,24))</f>
        <v>08.00</v>
      </c>
      <c r="D1017" s="8" t="str">
        <f t="shared" ca="1" si="47"/>
        <v>—</v>
      </c>
      <c r="E1017" s="16">
        <f t="shared" ca="1" si="48"/>
        <v>7</v>
      </c>
    </row>
    <row r="1018" spans="1:5" x14ac:dyDescent="0.25">
      <c r="A1018" s="3">
        <f t="shared" si="46"/>
        <v>78989</v>
      </c>
      <c r="B1018" t="str">
        <f ca="1">TEXT(DATE(YEAR(Invoer!$A$5),1,1)+INT((ROWS(B$2:B1018)-1)/24),"""18""jjmmdd")</f>
        <v>18980212</v>
      </c>
      <c r="C1018" s="11" t="str">
        <f>INDEX(Data,2,2+MOD(ROWS(C$2:C1018)-1,24))</f>
        <v>09.00</v>
      </c>
      <c r="D1018" s="8" t="str">
        <f t="shared" ca="1" si="47"/>
        <v>—</v>
      </c>
      <c r="E1018" s="16">
        <f t="shared" ca="1" si="48"/>
        <v>7</v>
      </c>
    </row>
    <row r="1019" spans="1:5" x14ac:dyDescent="0.25">
      <c r="A1019" s="3">
        <f t="shared" si="46"/>
        <v>78989</v>
      </c>
      <c r="B1019" t="str">
        <f ca="1">TEXT(DATE(YEAR(Invoer!$A$5),1,1)+INT((ROWS(B$2:B1019)-1)/24),"""18""jjmmdd")</f>
        <v>18980212</v>
      </c>
      <c r="C1019" s="11" t="str">
        <f>INDEX(Data,2,2+MOD(ROWS(C$2:C1019)-1,24))</f>
        <v>10.00</v>
      </c>
      <c r="D1019" s="8" t="str">
        <f t="shared" ca="1" si="47"/>
        <v>—</v>
      </c>
      <c r="E1019" s="16">
        <f t="shared" ca="1" si="48"/>
        <v>7</v>
      </c>
    </row>
    <row r="1020" spans="1:5" x14ac:dyDescent="0.25">
      <c r="A1020" s="3">
        <f t="shared" si="46"/>
        <v>78989</v>
      </c>
      <c r="B1020" t="str">
        <f ca="1">TEXT(DATE(YEAR(Invoer!$A$5),1,1)+INT((ROWS(B$2:B1020)-1)/24),"""18""jjmmdd")</f>
        <v>18980212</v>
      </c>
      <c r="C1020" s="11" t="str">
        <f>INDEX(Data,2,2+MOD(ROWS(C$2:C1020)-1,24))</f>
        <v>11.00</v>
      </c>
      <c r="D1020" s="8" t="str">
        <f t="shared" ca="1" si="47"/>
        <v>—</v>
      </c>
      <c r="E1020" s="16">
        <f t="shared" ca="1" si="48"/>
        <v>7</v>
      </c>
    </row>
    <row r="1021" spans="1:5" x14ac:dyDescent="0.25">
      <c r="A1021" s="3">
        <f t="shared" si="46"/>
        <v>78989</v>
      </c>
      <c r="B1021" t="str">
        <f ca="1">TEXT(DATE(YEAR(Invoer!$A$5),1,1)+INT((ROWS(B$2:B1021)-1)/24),"""18""jjmmdd")</f>
        <v>18980212</v>
      </c>
      <c r="C1021" s="11" t="str">
        <f>INDEX(Data,2,2+MOD(ROWS(C$2:C1021)-1,24))</f>
        <v>12.00</v>
      </c>
      <c r="D1021" s="8" t="str">
        <f t="shared" ca="1" si="47"/>
        <v>—</v>
      </c>
      <c r="E1021" s="16">
        <f t="shared" ca="1" si="48"/>
        <v>7</v>
      </c>
    </row>
    <row r="1022" spans="1:5" x14ac:dyDescent="0.25">
      <c r="A1022" s="3">
        <f t="shared" si="46"/>
        <v>78989</v>
      </c>
      <c r="B1022" t="str">
        <f ca="1">TEXT(DATE(YEAR(Invoer!$A$5),1,1)+INT((ROWS(B$2:B1022)-1)/24),"""18""jjmmdd")</f>
        <v>18980212</v>
      </c>
      <c r="C1022" s="11" t="str">
        <f>INDEX(Data,2,2+MOD(ROWS(C$2:C1022)-1,24))</f>
        <v>13.00</v>
      </c>
      <c r="D1022" s="8" t="str">
        <f t="shared" ca="1" si="47"/>
        <v>—</v>
      </c>
      <c r="E1022" s="16">
        <f t="shared" ca="1" si="48"/>
        <v>7</v>
      </c>
    </row>
    <row r="1023" spans="1:5" x14ac:dyDescent="0.25">
      <c r="A1023" s="3">
        <f t="shared" si="46"/>
        <v>78989</v>
      </c>
      <c r="B1023" t="str">
        <f ca="1">TEXT(DATE(YEAR(Invoer!$A$5),1,1)+INT((ROWS(B$2:B1023)-1)/24),"""18""jjmmdd")</f>
        <v>18980212</v>
      </c>
      <c r="C1023" s="11" t="str">
        <f>INDEX(Data,2,2+MOD(ROWS(C$2:C1023)-1,24))</f>
        <v>14.00</v>
      </c>
      <c r="D1023" s="8" t="str">
        <f t="shared" ca="1" si="47"/>
        <v>—</v>
      </c>
      <c r="E1023" s="16">
        <f t="shared" ca="1" si="48"/>
        <v>7</v>
      </c>
    </row>
    <row r="1024" spans="1:5" x14ac:dyDescent="0.25">
      <c r="A1024" s="3">
        <f t="shared" si="46"/>
        <v>78989</v>
      </c>
      <c r="B1024" t="str">
        <f ca="1">TEXT(DATE(YEAR(Invoer!$A$5),1,1)+INT((ROWS(B$2:B1024)-1)/24),"""18""jjmmdd")</f>
        <v>18980212</v>
      </c>
      <c r="C1024" s="11" t="str">
        <f>INDEX(Data,2,2+MOD(ROWS(C$2:C1024)-1,24))</f>
        <v>15.00</v>
      </c>
      <c r="D1024" s="8" t="str">
        <f t="shared" ca="1" si="47"/>
        <v>—</v>
      </c>
      <c r="E1024" s="16">
        <f t="shared" ca="1" si="48"/>
        <v>7</v>
      </c>
    </row>
    <row r="1025" spans="1:5" x14ac:dyDescent="0.25">
      <c r="A1025" s="3">
        <f t="shared" si="46"/>
        <v>78989</v>
      </c>
      <c r="B1025" t="str">
        <f ca="1">TEXT(DATE(YEAR(Invoer!$A$5),1,1)+INT((ROWS(B$2:B1025)-1)/24),"""18""jjmmdd")</f>
        <v>18980212</v>
      </c>
      <c r="C1025" s="11" t="str">
        <f>INDEX(Data,2,2+MOD(ROWS(C$2:C1025)-1,24))</f>
        <v>16.00</v>
      </c>
      <c r="D1025" s="8" t="str">
        <f t="shared" ca="1" si="47"/>
        <v>—</v>
      </c>
      <c r="E1025" s="16">
        <f t="shared" ca="1" si="48"/>
        <v>7</v>
      </c>
    </row>
    <row r="1026" spans="1:5" x14ac:dyDescent="0.25">
      <c r="A1026" s="3">
        <f t="shared" ref="A1026:A1089" si="49">INDEX(Stations,2,1)</f>
        <v>78989</v>
      </c>
      <c r="B1026" t="str">
        <f ca="1">TEXT(DATE(YEAR(Invoer!$A$5),1,1)+INT((ROWS(B$2:B1026)-1)/24),"""18""jjmmdd")</f>
        <v>18980212</v>
      </c>
      <c r="C1026" s="11" t="str">
        <f>INDEX(Data,2,2+MOD(ROWS(C$2:C1026)-1,24))</f>
        <v>17.00</v>
      </c>
      <c r="D1026" s="8" t="str">
        <f t="shared" ref="D1026:D1089" ca="1" si="50">IF(OR(ISBLANK(VLOOKUP(DATEVALUE("37"&amp;MID($B1026,3,2)&amp;"-"&amp;MID($B1026,5,2)&amp;"-"&amp;RIGHT($B1026,2)),Data,MATCH(LEFT(VLOOKUP(D$1,Parameters,2,FALSE()),4)&amp;"*",OFFSET(Data,0,0,1),0)+MATCH($C1026,OFFSET(Data,1,0,1),0)-2,FALSE())),ISTEXT(VLOOKUP(DATEVALUE("37"&amp;MID($B1026,3,2)&amp;"-"&amp;MID($B1026,5,2)&amp;"-"&amp;RIGHT($B1026,2)),Data,MATCH(LEFT(VLOOKUP(D$1,Parameters,2,FALSE()),4)&amp;"*",OFFSET(Data,0,0,1),0)+MATCH($C1026,OFFSET(Data,1,0,1),0)-2,FALSE()))),"—",VLOOKUP(DATEVALUE("37"&amp;MID($B1026,3,2)&amp;"-"&amp;MID($B1026,5,2)&amp;"-"&amp;RIGHT($B1026,2)),Data,MATCH(LEFT(VLOOKUP(D$1,Parameters,2,FALSE()),4)&amp;"*",OFFSET(Data,0,0,1),0)+MATCH($C1026,OFFSET(Data,1,0,1),0)-2,FALSE()))</f>
        <v>—</v>
      </c>
      <c r="E1026" s="16">
        <f t="shared" ca="1" si="48"/>
        <v>7</v>
      </c>
    </row>
    <row r="1027" spans="1:5" x14ac:dyDescent="0.25">
      <c r="A1027" s="3">
        <f t="shared" si="49"/>
        <v>78989</v>
      </c>
      <c r="B1027" t="str">
        <f ca="1">TEXT(DATE(YEAR(Invoer!$A$5),1,1)+INT((ROWS(B$2:B1027)-1)/24),"""18""jjmmdd")</f>
        <v>18980212</v>
      </c>
      <c r="C1027" s="11" t="str">
        <f>INDEX(Data,2,2+MOD(ROWS(C$2:C1027)-1,24))</f>
        <v>18.00</v>
      </c>
      <c r="D1027" s="8" t="str">
        <f t="shared" ca="1" si="50"/>
        <v>—</v>
      </c>
      <c r="E1027" s="16">
        <f t="shared" ref="E1027:E1090" ca="1" si="51">IF(OR(ISBLANK(VLOOKUP(DATEVALUE("37"&amp;MID($B1027,3,2)&amp;"-"&amp;MID($B1027,5,2)&amp;"-"&amp;RIGHT($B1027,2)),Data,MATCH(LEFT(VLOOKUP(D$1,Parameters,2,FALSE()),4)&amp;"*",OFFSET(Data,0,0,1),0)+MATCH($C1027,OFFSET(Data,1,0,1),0)-2,FALSE())),ISTEXT(VLOOKUP(DATEVALUE("37"&amp;MID($B1027,3,2)&amp;"-"&amp;MID($B1027,5,2)&amp;"-"&amp;RIGHT($B1027,2)),Data,MATCH(LEFT(VLOOKUP(D$1,Parameters,2,FALSE()),4)&amp;"*",OFFSET(Data,0,0,1),0)+MATCH($C1027,OFFSET(Data,1,0,1),0)-2,FALSE()))),Lacking,IF(ISNA(MATCH(DATEVALUE("37"&amp;MID($B1027,3,2)&amp;"-"&amp;MID($B1027,5,2)&amp;"-"&amp;RIGHT($B1027,2)),OFFSET(Catalogus,0,0,,1),0)),Ok,VLOOKUP(DATEVALUE("37"&amp;MID($B1027,3,2)&amp;"-"&amp;MID($B1027,5,2)&amp;"-"&amp;RIGHT($B1027,2)),Catalogus,MATCH(LEFT(VLOOKUP(MID(E$1,2,LEN(E$1)-1),Parameters,2,FALSE()),4)&amp;"*",OFFSET(Catalogus,0,0,1),0)+MATCH($C1027,OFFSET(Catalogus,1,0,1),0)-2,FALSE())))</f>
        <v>7</v>
      </c>
    </row>
    <row r="1028" spans="1:5" x14ac:dyDescent="0.25">
      <c r="A1028" s="3">
        <f t="shared" si="49"/>
        <v>78989</v>
      </c>
      <c r="B1028" t="str">
        <f ca="1">TEXT(DATE(YEAR(Invoer!$A$5),1,1)+INT((ROWS(B$2:B1028)-1)/24),"""18""jjmmdd")</f>
        <v>18980212</v>
      </c>
      <c r="C1028" s="11" t="str">
        <f>INDEX(Data,2,2+MOD(ROWS(C$2:C1028)-1,24))</f>
        <v>19.00</v>
      </c>
      <c r="D1028" s="8" t="str">
        <f t="shared" ca="1" si="50"/>
        <v>—</v>
      </c>
      <c r="E1028" s="16">
        <f t="shared" ca="1" si="51"/>
        <v>7</v>
      </c>
    </row>
    <row r="1029" spans="1:5" x14ac:dyDescent="0.25">
      <c r="A1029" s="3">
        <f t="shared" si="49"/>
        <v>78989</v>
      </c>
      <c r="B1029" t="str">
        <f ca="1">TEXT(DATE(YEAR(Invoer!$A$5),1,1)+INT((ROWS(B$2:B1029)-1)/24),"""18""jjmmdd")</f>
        <v>18980212</v>
      </c>
      <c r="C1029" s="11" t="str">
        <f>INDEX(Data,2,2+MOD(ROWS(C$2:C1029)-1,24))</f>
        <v>20.00</v>
      </c>
      <c r="D1029" s="8" t="str">
        <f t="shared" ca="1" si="50"/>
        <v>—</v>
      </c>
      <c r="E1029" s="16">
        <f t="shared" ca="1" si="51"/>
        <v>7</v>
      </c>
    </row>
    <row r="1030" spans="1:5" x14ac:dyDescent="0.25">
      <c r="A1030" s="3">
        <f t="shared" si="49"/>
        <v>78989</v>
      </c>
      <c r="B1030" t="str">
        <f ca="1">TEXT(DATE(YEAR(Invoer!$A$5),1,1)+INT((ROWS(B$2:B1030)-1)/24),"""18""jjmmdd")</f>
        <v>18980212</v>
      </c>
      <c r="C1030" s="11" t="str">
        <f>INDEX(Data,2,2+MOD(ROWS(C$2:C1030)-1,24))</f>
        <v>21.00</v>
      </c>
      <c r="D1030" s="8" t="str">
        <f t="shared" ca="1" si="50"/>
        <v>—</v>
      </c>
      <c r="E1030" s="16">
        <f t="shared" ca="1" si="51"/>
        <v>7</v>
      </c>
    </row>
    <row r="1031" spans="1:5" x14ac:dyDescent="0.25">
      <c r="A1031" s="3">
        <f t="shared" si="49"/>
        <v>78989</v>
      </c>
      <c r="B1031" t="str">
        <f ca="1">TEXT(DATE(YEAR(Invoer!$A$5),1,1)+INT((ROWS(B$2:B1031)-1)/24),"""18""jjmmdd")</f>
        <v>18980212</v>
      </c>
      <c r="C1031" s="11" t="str">
        <f>INDEX(Data,2,2+MOD(ROWS(C$2:C1031)-1,24))</f>
        <v>22.00</v>
      </c>
      <c r="D1031" s="8" t="str">
        <f t="shared" ca="1" si="50"/>
        <v>—</v>
      </c>
      <c r="E1031" s="16">
        <f t="shared" ca="1" si="51"/>
        <v>7</v>
      </c>
    </row>
    <row r="1032" spans="1:5" x14ac:dyDescent="0.25">
      <c r="A1032" s="3">
        <f t="shared" si="49"/>
        <v>78989</v>
      </c>
      <c r="B1032" t="str">
        <f ca="1">TEXT(DATE(YEAR(Invoer!$A$5),1,1)+INT((ROWS(B$2:B1032)-1)/24),"""18""jjmmdd")</f>
        <v>18980212</v>
      </c>
      <c r="C1032" s="11" t="str">
        <f>INDEX(Data,2,2+MOD(ROWS(C$2:C1032)-1,24))</f>
        <v>23.00</v>
      </c>
      <c r="D1032" s="8" t="str">
        <f t="shared" ca="1" si="50"/>
        <v>—</v>
      </c>
      <c r="E1032" s="16">
        <f t="shared" ca="1" si="51"/>
        <v>7</v>
      </c>
    </row>
    <row r="1033" spans="1:5" x14ac:dyDescent="0.25">
      <c r="A1033" s="3">
        <f t="shared" si="49"/>
        <v>78989</v>
      </c>
      <c r="B1033" t="str">
        <f ca="1">TEXT(DATE(YEAR(Invoer!$A$5),1,1)+INT((ROWS(B$2:B1033)-1)/24),"""18""jjmmdd")</f>
        <v>18980212</v>
      </c>
      <c r="C1033" s="11" t="str">
        <f>INDEX(Data,2,2+MOD(ROWS(C$2:C1033)-1,24))</f>
        <v>24.00</v>
      </c>
      <c r="D1033" s="8" t="str">
        <f t="shared" ca="1" si="50"/>
        <v>—</v>
      </c>
      <c r="E1033" s="16">
        <f t="shared" ca="1" si="51"/>
        <v>7</v>
      </c>
    </row>
    <row r="1034" spans="1:5" x14ac:dyDescent="0.25">
      <c r="A1034" s="3">
        <f t="shared" si="49"/>
        <v>78989</v>
      </c>
      <c r="B1034" t="str">
        <f ca="1">TEXT(DATE(YEAR(Invoer!$A$5),1,1)+INT((ROWS(B$2:B1034)-1)/24),"""18""jjmmdd")</f>
        <v>18980213</v>
      </c>
      <c r="C1034" s="11" t="str">
        <f>INDEX(Data,2,2+MOD(ROWS(C$2:C1034)-1,24))</f>
        <v>01.00</v>
      </c>
      <c r="D1034" s="8" t="str">
        <f t="shared" ca="1" si="50"/>
        <v>—</v>
      </c>
      <c r="E1034" s="16">
        <f t="shared" ca="1" si="51"/>
        <v>7</v>
      </c>
    </row>
    <row r="1035" spans="1:5" x14ac:dyDescent="0.25">
      <c r="A1035" s="3">
        <f t="shared" si="49"/>
        <v>78989</v>
      </c>
      <c r="B1035" t="str">
        <f ca="1">TEXT(DATE(YEAR(Invoer!$A$5),1,1)+INT((ROWS(B$2:B1035)-1)/24),"""18""jjmmdd")</f>
        <v>18980213</v>
      </c>
      <c r="C1035" s="11" t="str">
        <f>INDEX(Data,2,2+MOD(ROWS(C$2:C1035)-1,24))</f>
        <v>02.00</v>
      </c>
      <c r="D1035" s="8" t="str">
        <f t="shared" ca="1" si="50"/>
        <v>—</v>
      </c>
      <c r="E1035" s="16">
        <f t="shared" ca="1" si="51"/>
        <v>7</v>
      </c>
    </row>
    <row r="1036" spans="1:5" x14ac:dyDescent="0.25">
      <c r="A1036" s="3">
        <f t="shared" si="49"/>
        <v>78989</v>
      </c>
      <c r="B1036" t="str">
        <f ca="1">TEXT(DATE(YEAR(Invoer!$A$5),1,1)+INT((ROWS(B$2:B1036)-1)/24),"""18""jjmmdd")</f>
        <v>18980213</v>
      </c>
      <c r="C1036" s="11" t="str">
        <f>INDEX(Data,2,2+MOD(ROWS(C$2:C1036)-1,24))</f>
        <v>03.00</v>
      </c>
      <c r="D1036" s="8" t="str">
        <f t="shared" ca="1" si="50"/>
        <v>—</v>
      </c>
      <c r="E1036" s="16">
        <f t="shared" ca="1" si="51"/>
        <v>7</v>
      </c>
    </row>
    <row r="1037" spans="1:5" x14ac:dyDescent="0.25">
      <c r="A1037" s="3">
        <f t="shared" si="49"/>
        <v>78989</v>
      </c>
      <c r="B1037" t="str">
        <f ca="1">TEXT(DATE(YEAR(Invoer!$A$5),1,1)+INT((ROWS(B$2:B1037)-1)/24),"""18""jjmmdd")</f>
        <v>18980213</v>
      </c>
      <c r="C1037" s="11" t="str">
        <f>INDEX(Data,2,2+MOD(ROWS(C$2:C1037)-1,24))</f>
        <v>04.00</v>
      </c>
      <c r="D1037" s="8" t="str">
        <f t="shared" ca="1" si="50"/>
        <v>—</v>
      </c>
      <c r="E1037" s="16">
        <f t="shared" ca="1" si="51"/>
        <v>7</v>
      </c>
    </row>
    <row r="1038" spans="1:5" x14ac:dyDescent="0.25">
      <c r="A1038" s="3">
        <f t="shared" si="49"/>
        <v>78989</v>
      </c>
      <c r="B1038" t="str">
        <f ca="1">TEXT(DATE(YEAR(Invoer!$A$5),1,1)+INT((ROWS(B$2:B1038)-1)/24),"""18""jjmmdd")</f>
        <v>18980213</v>
      </c>
      <c r="C1038" s="11" t="str">
        <f>INDEX(Data,2,2+MOD(ROWS(C$2:C1038)-1,24))</f>
        <v>05.00</v>
      </c>
      <c r="D1038" s="8" t="str">
        <f t="shared" ca="1" si="50"/>
        <v>—</v>
      </c>
      <c r="E1038" s="16">
        <f t="shared" ca="1" si="51"/>
        <v>7</v>
      </c>
    </row>
    <row r="1039" spans="1:5" x14ac:dyDescent="0.25">
      <c r="A1039" s="3">
        <f t="shared" si="49"/>
        <v>78989</v>
      </c>
      <c r="B1039" t="str">
        <f ca="1">TEXT(DATE(YEAR(Invoer!$A$5),1,1)+INT((ROWS(B$2:B1039)-1)/24),"""18""jjmmdd")</f>
        <v>18980213</v>
      </c>
      <c r="C1039" s="11" t="str">
        <f>INDEX(Data,2,2+MOD(ROWS(C$2:C1039)-1,24))</f>
        <v>06.00</v>
      </c>
      <c r="D1039" s="8" t="str">
        <f t="shared" ca="1" si="50"/>
        <v>—</v>
      </c>
      <c r="E1039" s="16">
        <f t="shared" ca="1" si="51"/>
        <v>7</v>
      </c>
    </row>
    <row r="1040" spans="1:5" x14ac:dyDescent="0.25">
      <c r="A1040" s="3">
        <f t="shared" si="49"/>
        <v>78989</v>
      </c>
      <c r="B1040" t="str">
        <f ca="1">TEXT(DATE(YEAR(Invoer!$A$5),1,1)+INT((ROWS(B$2:B1040)-1)/24),"""18""jjmmdd")</f>
        <v>18980213</v>
      </c>
      <c r="C1040" s="11" t="str">
        <f>INDEX(Data,2,2+MOD(ROWS(C$2:C1040)-1,24))</f>
        <v>07.00</v>
      </c>
      <c r="D1040" s="8" t="str">
        <f t="shared" ca="1" si="50"/>
        <v>—</v>
      </c>
      <c r="E1040" s="16">
        <f t="shared" ca="1" si="51"/>
        <v>7</v>
      </c>
    </row>
    <row r="1041" spans="1:5" x14ac:dyDescent="0.25">
      <c r="A1041" s="3">
        <f t="shared" si="49"/>
        <v>78989</v>
      </c>
      <c r="B1041" t="str">
        <f ca="1">TEXT(DATE(YEAR(Invoer!$A$5),1,1)+INT((ROWS(B$2:B1041)-1)/24),"""18""jjmmdd")</f>
        <v>18980213</v>
      </c>
      <c r="C1041" s="11" t="str">
        <f>INDEX(Data,2,2+MOD(ROWS(C$2:C1041)-1,24))</f>
        <v>08.00</v>
      </c>
      <c r="D1041" s="8" t="str">
        <f t="shared" ca="1" si="50"/>
        <v>—</v>
      </c>
      <c r="E1041" s="16">
        <f t="shared" ca="1" si="51"/>
        <v>7</v>
      </c>
    </row>
    <row r="1042" spans="1:5" x14ac:dyDescent="0.25">
      <c r="A1042" s="3">
        <f t="shared" si="49"/>
        <v>78989</v>
      </c>
      <c r="B1042" t="str">
        <f ca="1">TEXT(DATE(YEAR(Invoer!$A$5),1,1)+INT((ROWS(B$2:B1042)-1)/24),"""18""jjmmdd")</f>
        <v>18980213</v>
      </c>
      <c r="C1042" s="11" t="str">
        <f>INDEX(Data,2,2+MOD(ROWS(C$2:C1042)-1,24))</f>
        <v>09.00</v>
      </c>
      <c r="D1042" s="8" t="str">
        <f t="shared" ca="1" si="50"/>
        <v>—</v>
      </c>
      <c r="E1042" s="16">
        <f t="shared" ca="1" si="51"/>
        <v>7</v>
      </c>
    </row>
    <row r="1043" spans="1:5" x14ac:dyDescent="0.25">
      <c r="A1043" s="3">
        <f t="shared" si="49"/>
        <v>78989</v>
      </c>
      <c r="B1043" t="str">
        <f ca="1">TEXT(DATE(YEAR(Invoer!$A$5),1,1)+INT((ROWS(B$2:B1043)-1)/24),"""18""jjmmdd")</f>
        <v>18980213</v>
      </c>
      <c r="C1043" s="11" t="str">
        <f>INDEX(Data,2,2+MOD(ROWS(C$2:C1043)-1,24))</f>
        <v>10.00</v>
      </c>
      <c r="D1043" s="8" t="str">
        <f t="shared" ca="1" si="50"/>
        <v>—</v>
      </c>
      <c r="E1043" s="16">
        <f t="shared" ca="1" si="51"/>
        <v>7</v>
      </c>
    </row>
    <row r="1044" spans="1:5" x14ac:dyDescent="0.25">
      <c r="A1044" s="3">
        <f t="shared" si="49"/>
        <v>78989</v>
      </c>
      <c r="B1044" t="str">
        <f ca="1">TEXT(DATE(YEAR(Invoer!$A$5),1,1)+INT((ROWS(B$2:B1044)-1)/24),"""18""jjmmdd")</f>
        <v>18980213</v>
      </c>
      <c r="C1044" s="11" t="str">
        <f>INDEX(Data,2,2+MOD(ROWS(C$2:C1044)-1,24))</f>
        <v>11.00</v>
      </c>
      <c r="D1044" s="8" t="str">
        <f t="shared" ca="1" si="50"/>
        <v>—</v>
      </c>
      <c r="E1044" s="16">
        <f t="shared" ca="1" si="51"/>
        <v>7</v>
      </c>
    </row>
    <row r="1045" spans="1:5" x14ac:dyDescent="0.25">
      <c r="A1045" s="3">
        <f t="shared" si="49"/>
        <v>78989</v>
      </c>
      <c r="B1045" t="str">
        <f ca="1">TEXT(DATE(YEAR(Invoer!$A$5),1,1)+INT((ROWS(B$2:B1045)-1)/24),"""18""jjmmdd")</f>
        <v>18980213</v>
      </c>
      <c r="C1045" s="11" t="str">
        <f>INDEX(Data,2,2+MOD(ROWS(C$2:C1045)-1,24))</f>
        <v>12.00</v>
      </c>
      <c r="D1045" s="8" t="str">
        <f t="shared" ca="1" si="50"/>
        <v>—</v>
      </c>
      <c r="E1045" s="16">
        <f t="shared" ca="1" si="51"/>
        <v>7</v>
      </c>
    </row>
    <row r="1046" spans="1:5" x14ac:dyDescent="0.25">
      <c r="A1046" s="3">
        <f t="shared" si="49"/>
        <v>78989</v>
      </c>
      <c r="B1046" t="str">
        <f ca="1">TEXT(DATE(YEAR(Invoer!$A$5),1,1)+INT((ROWS(B$2:B1046)-1)/24),"""18""jjmmdd")</f>
        <v>18980213</v>
      </c>
      <c r="C1046" s="11" t="str">
        <f>INDEX(Data,2,2+MOD(ROWS(C$2:C1046)-1,24))</f>
        <v>13.00</v>
      </c>
      <c r="D1046" s="8" t="str">
        <f t="shared" ca="1" si="50"/>
        <v>—</v>
      </c>
      <c r="E1046" s="16">
        <f t="shared" ca="1" si="51"/>
        <v>7</v>
      </c>
    </row>
    <row r="1047" spans="1:5" x14ac:dyDescent="0.25">
      <c r="A1047" s="3">
        <f t="shared" si="49"/>
        <v>78989</v>
      </c>
      <c r="B1047" t="str">
        <f ca="1">TEXT(DATE(YEAR(Invoer!$A$5),1,1)+INT((ROWS(B$2:B1047)-1)/24),"""18""jjmmdd")</f>
        <v>18980213</v>
      </c>
      <c r="C1047" s="11" t="str">
        <f>INDEX(Data,2,2+MOD(ROWS(C$2:C1047)-1,24))</f>
        <v>14.00</v>
      </c>
      <c r="D1047" s="8" t="str">
        <f t="shared" ca="1" si="50"/>
        <v>—</v>
      </c>
      <c r="E1047" s="16">
        <f t="shared" ca="1" si="51"/>
        <v>7</v>
      </c>
    </row>
    <row r="1048" spans="1:5" x14ac:dyDescent="0.25">
      <c r="A1048" s="3">
        <f t="shared" si="49"/>
        <v>78989</v>
      </c>
      <c r="B1048" t="str">
        <f ca="1">TEXT(DATE(YEAR(Invoer!$A$5),1,1)+INT((ROWS(B$2:B1048)-1)/24),"""18""jjmmdd")</f>
        <v>18980213</v>
      </c>
      <c r="C1048" s="11" t="str">
        <f>INDEX(Data,2,2+MOD(ROWS(C$2:C1048)-1,24))</f>
        <v>15.00</v>
      </c>
      <c r="D1048" s="8" t="str">
        <f t="shared" ca="1" si="50"/>
        <v>—</v>
      </c>
      <c r="E1048" s="16">
        <f t="shared" ca="1" si="51"/>
        <v>7</v>
      </c>
    </row>
    <row r="1049" spans="1:5" x14ac:dyDescent="0.25">
      <c r="A1049" s="3">
        <f t="shared" si="49"/>
        <v>78989</v>
      </c>
      <c r="B1049" t="str">
        <f ca="1">TEXT(DATE(YEAR(Invoer!$A$5),1,1)+INT((ROWS(B$2:B1049)-1)/24),"""18""jjmmdd")</f>
        <v>18980213</v>
      </c>
      <c r="C1049" s="11" t="str">
        <f>INDEX(Data,2,2+MOD(ROWS(C$2:C1049)-1,24))</f>
        <v>16.00</v>
      </c>
      <c r="D1049" s="8" t="str">
        <f t="shared" ca="1" si="50"/>
        <v>—</v>
      </c>
      <c r="E1049" s="16">
        <f t="shared" ca="1" si="51"/>
        <v>7</v>
      </c>
    </row>
    <row r="1050" spans="1:5" x14ac:dyDescent="0.25">
      <c r="A1050" s="3">
        <f t="shared" si="49"/>
        <v>78989</v>
      </c>
      <c r="B1050" t="str">
        <f ca="1">TEXT(DATE(YEAR(Invoer!$A$5),1,1)+INT((ROWS(B$2:B1050)-1)/24),"""18""jjmmdd")</f>
        <v>18980213</v>
      </c>
      <c r="C1050" s="11" t="str">
        <f>INDEX(Data,2,2+MOD(ROWS(C$2:C1050)-1,24))</f>
        <v>17.00</v>
      </c>
      <c r="D1050" s="8" t="str">
        <f t="shared" ca="1" si="50"/>
        <v>—</v>
      </c>
      <c r="E1050" s="16">
        <f t="shared" ca="1" si="51"/>
        <v>7</v>
      </c>
    </row>
    <row r="1051" spans="1:5" x14ac:dyDescent="0.25">
      <c r="A1051" s="3">
        <f t="shared" si="49"/>
        <v>78989</v>
      </c>
      <c r="B1051" t="str">
        <f ca="1">TEXT(DATE(YEAR(Invoer!$A$5),1,1)+INT((ROWS(B$2:B1051)-1)/24),"""18""jjmmdd")</f>
        <v>18980213</v>
      </c>
      <c r="C1051" s="11" t="str">
        <f>INDEX(Data,2,2+MOD(ROWS(C$2:C1051)-1,24))</f>
        <v>18.00</v>
      </c>
      <c r="D1051" s="8" t="str">
        <f t="shared" ca="1" si="50"/>
        <v>—</v>
      </c>
      <c r="E1051" s="16">
        <f t="shared" ca="1" si="51"/>
        <v>7</v>
      </c>
    </row>
    <row r="1052" spans="1:5" x14ac:dyDescent="0.25">
      <c r="A1052" s="3">
        <f t="shared" si="49"/>
        <v>78989</v>
      </c>
      <c r="B1052" t="str">
        <f ca="1">TEXT(DATE(YEAR(Invoer!$A$5),1,1)+INT((ROWS(B$2:B1052)-1)/24),"""18""jjmmdd")</f>
        <v>18980213</v>
      </c>
      <c r="C1052" s="11" t="str">
        <f>INDEX(Data,2,2+MOD(ROWS(C$2:C1052)-1,24))</f>
        <v>19.00</v>
      </c>
      <c r="D1052" s="8" t="str">
        <f t="shared" ca="1" si="50"/>
        <v>—</v>
      </c>
      <c r="E1052" s="16">
        <f t="shared" ca="1" si="51"/>
        <v>7</v>
      </c>
    </row>
    <row r="1053" spans="1:5" x14ac:dyDescent="0.25">
      <c r="A1053" s="3">
        <f t="shared" si="49"/>
        <v>78989</v>
      </c>
      <c r="B1053" t="str">
        <f ca="1">TEXT(DATE(YEAR(Invoer!$A$5),1,1)+INT((ROWS(B$2:B1053)-1)/24),"""18""jjmmdd")</f>
        <v>18980213</v>
      </c>
      <c r="C1053" s="11" t="str">
        <f>INDEX(Data,2,2+MOD(ROWS(C$2:C1053)-1,24))</f>
        <v>20.00</v>
      </c>
      <c r="D1053" s="8" t="str">
        <f t="shared" ca="1" si="50"/>
        <v>—</v>
      </c>
      <c r="E1053" s="16">
        <f t="shared" ca="1" si="51"/>
        <v>7</v>
      </c>
    </row>
    <row r="1054" spans="1:5" x14ac:dyDescent="0.25">
      <c r="A1054" s="3">
        <f t="shared" si="49"/>
        <v>78989</v>
      </c>
      <c r="B1054" t="str">
        <f ca="1">TEXT(DATE(YEAR(Invoer!$A$5),1,1)+INT((ROWS(B$2:B1054)-1)/24),"""18""jjmmdd")</f>
        <v>18980213</v>
      </c>
      <c r="C1054" s="11" t="str">
        <f>INDEX(Data,2,2+MOD(ROWS(C$2:C1054)-1,24))</f>
        <v>21.00</v>
      </c>
      <c r="D1054" s="8" t="str">
        <f t="shared" ca="1" si="50"/>
        <v>—</v>
      </c>
      <c r="E1054" s="16">
        <f t="shared" ca="1" si="51"/>
        <v>7</v>
      </c>
    </row>
    <row r="1055" spans="1:5" x14ac:dyDescent="0.25">
      <c r="A1055" s="3">
        <f t="shared" si="49"/>
        <v>78989</v>
      </c>
      <c r="B1055" t="str">
        <f ca="1">TEXT(DATE(YEAR(Invoer!$A$5),1,1)+INT((ROWS(B$2:B1055)-1)/24),"""18""jjmmdd")</f>
        <v>18980213</v>
      </c>
      <c r="C1055" s="11" t="str">
        <f>INDEX(Data,2,2+MOD(ROWS(C$2:C1055)-1,24))</f>
        <v>22.00</v>
      </c>
      <c r="D1055" s="8" t="str">
        <f t="shared" ca="1" si="50"/>
        <v>—</v>
      </c>
      <c r="E1055" s="16">
        <f t="shared" ca="1" si="51"/>
        <v>7</v>
      </c>
    </row>
    <row r="1056" spans="1:5" x14ac:dyDescent="0.25">
      <c r="A1056" s="3">
        <f t="shared" si="49"/>
        <v>78989</v>
      </c>
      <c r="B1056" t="str">
        <f ca="1">TEXT(DATE(YEAR(Invoer!$A$5),1,1)+INT((ROWS(B$2:B1056)-1)/24),"""18""jjmmdd")</f>
        <v>18980213</v>
      </c>
      <c r="C1056" s="11" t="str">
        <f>INDEX(Data,2,2+MOD(ROWS(C$2:C1056)-1,24))</f>
        <v>23.00</v>
      </c>
      <c r="D1056" s="8" t="str">
        <f t="shared" ca="1" si="50"/>
        <v>—</v>
      </c>
      <c r="E1056" s="16">
        <f t="shared" ca="1" si="51"/>
        <v>7</v>
      </c>
    </row>
    <row r="1057" spans="1:5" x14ac:dyDescent="0.25">
      <c r="A1057" s="3">
        <f t="shared" si="49"/>
        <v>78989</v>
      </c>
      <c r="B1057" t="str">
        <f ca="1">TEXT(DATE(YEAR(Invoer!$A$5),1,1)+INT((ROWS(B$2:B1057)-1)/24),"""18""jjmmdd")</f>
        <v>18980213</v>
      </c>
      <c r="C1057" s="11" t="str">
        <f>INDEX(Data,2,2+MOD(ROWS(C$2:C1057)-1,24))</f>
        <v>24.00</v>
      </c>
      <c r="D1057" s="8" t="str">
        <f t="shared" ca="1" si="50"/>
        <v>—</v>
      </c>
      <c r="E1057" s="16">
        <f t="shared" ca="1" si="51"/>
        <v>7</v>
      </c>
    </row>
    <row r="1058" spans="1:5" x14ac:dyDescent="0.25">
      <c r="A1058" s="3">
        <f t="shared" si="49"/>
        <v>78989</v>
      </c>
      <c r="B1058" t="str">
        <f ca="1">TEXT(DATE(YEAR(Invoer!$A$5),1,1)+INT((ROWS(B$2:B1058)-1)/24),"""18""jjmmdd")</f>
        <v>18980214</v>
      </c>
      <c r="C1058" s="11" t="str">
        <f>INDEX(Data,2,2+MOD(ROWS(C$2:C1058)-1,24))</f>
        <v>01.00</v>
      </c>
      <c r="D1058" s="8" t="str">
        <f t="shared" ca="1" si="50"/>
        <v>—</v>
      </c>
      <c r="E1058" s="16">
        <f t="shared" ca="1" si="51"/>
        <v>7</v>
      </c>
    </row>
    <row r="1059" spans="1:5" x14ac:dyDescent="0.25">
      <c r="A1059" s="3">
        <f t="shared" si="49"/>
        <v>78989</v>
      </c>
      <c r="B1059" t="str">
        <f ca="1">TEXT(DATE(YEAR(Invoer!$A$5),1,1)+INT((ROWS(B$2:B1059)-1)/24),"""18""jjmmdd")</f>
        <v>18980214</v>
      </c>
      <c r="C1059" s="11" t="str">
        <f>INDEX(Data,2,2+MOD(ROWS(C$2:C1059)-1,24))</f>
        <v>02.00</v>
      </c>
      <c r="D1059" s="8" t="str">
        <f t="shared" ca="1" si="50"/>
        <v>—</v>
      </c>
      <c r="E1059" s="16">
        <f t="shared" ca="1" si="51"/>
        <v>7</v>
      </c>
    </row>
    <row r="1060" spans="1:5" x14ac:dyDescent="0.25">
      <c r="A1060" s="3">
        <f t="shared" si="49"/>
        <v>78989</v>
      </c>
      <c r="B1060" t="str">
        <f ca="1">TEXT(DATE(YEAR(Invoer!$A$5),1,1)+INT((ROWS(B$2:B1060)-1)/24),"""18""jjmmdd")</f>
        <v>18980214</v>
      </c>
      <c r="C1060" s="11" t="str">
        <f>INDEX(Data,2,2+MOD(ROWS(C$2:C1060)-1,24))</f>
        <v>03.00</v>
      </c>
      <c r="D1060" s="8" t="str">
        <f t="shared" ca="1" si="50"/>
        <v>—</v>
      </c>
      <c r="E1060" s="16">
        <f t="shared" ca="1" si="51"/>
        <v>7</v>
      </c>
    </row>
    <row r="1061" spans="1:5" x14ac:dyDescent="0.25">
      <c r="A1061" s="3">
        <f t="shared" si="49"/>
        <v>78989</v>
      </c>
      <c r="B1061" t="str">
        <f ca="1">TEXT(DATE(YEAR(Invoer!$A$5),1,1)+INT((ROWS(B$2:B1061)-1)/24),"""18""jjmmdd")</f>
        <v>18980214</v>
      </c>
      <c r="C1061" s="11" t="str">
        <f>INDEX(Data,2,2+MOD(ROWS(C$2:C1061)-1,24))</f>
        <v>04.00</v>
      </c>
      <c r="D1061" s="8" t="str">
        <f t="shared" ca="1" si="50"/>
        <v>—</v>
      </c>
      <c r="E1061" s="16">
        <f t="shared" ca="1" si="51"/>
        <v>7</v>
      </c>
    </row>
    <row r="1062" spans="1:5" x14ac:dyDescent="0.25">
      <c r="A1062" s="3">
        <f t="shared" si="49"/>
        <v>78989</v>
      </c>
      <c r="B1062" t="str">
        <f ca="1">TEXT(DATE(YEAR(Invoer!$A$5),1,1)+INT((ROWS(B$2:B1062)-1)/24),"""18""jjmmdd")</f>
        <v>18980214</v>
      </c>
      <c r="C1062" s="11" t="str">
        <f>INDEX(Data,2,2+MOD(ROWS(C$2:C1062)-1,24))</f>
        <v>05.00</v>
      </c>
      <c r="D1062" s="8" t="str">
        <f t="shared" ca="1" si="50"/>
        <v>—</v>
      </c>
      <c r="E1062" s="16">
        <f t="shared" ca="1" si="51"/>
        <v>7</v>
      </c>
    </row>
    <row r="1063" spans="1:5" x14ac:dyDescent="0.25">
      <c r="A1063" s="3">
        <f t="shared" si="49"/>
        <v>78989</v>
      </c>
      <c r="B1063" t="str">
        <f ca="1">TEXT(DATE(YEAR(Invoer!$A$5),1,1)+INT((ROWS(B$2:B1063)-1)/24),"""18""jjmmdd")</f>
        <v>18980214</v>
      </c>
      <c r="C1063" s="11" t="str">
        <f>INDEX(Data,2,2+MOD(ROWS(C$2:C1063)-1,24))</f>
        <v>06.00</v>
      </c>
      <c r="D1063" s="8" t="str">
        <f t="shared" ca="1" si="50"/>
        <v>—</v>
      </c>
      <c r="E1063" s="16">
        <f t="shared" ca="1" si="51"/>
        <v>7</v>
      </c>
    </row>
    <row r="1064" spans="1:5" x14ac:dyDescent="0.25">
      <c r="A1064" s="3">
        <f t="shared" si="49"/>
        <v>78989</v>
      </c>
      <c r="B1064" t="str">
        <f ca="1">TEXT(DATE(YEAR(Invoer!$A$5),1,1)+INT((ROWS(B$2:B1064)-1)/24),"""18""jjmmdd")</f>
        <v>18980214</v>
      </c>
      <c r="C1064" s="11" t="str">
        <f>INDEX(Data,2,2+MOD(ROWS(C$2:C1064)-1,24))</f>
        <v>07.00</v>
      </c>
      <c r="D1064" s="8" t="str">
        <f t="shared" ca="1" si="50"/>
        <v>—</v>
      </c>
      <c r="E1064" s="16">
        <f t="shared" ca="1" si="51"/>
        <v>7</v>
      </c>
    </row>
    <row r="1065" spans="1:5" x14ac:dyDescent="0.25">
      <c r="A1065" s="3">
        <f t="shared" si="49"/>
        <v>78989</v>
      </c>
      <c r="B1065" t="str">
        <f ca="1">TEXT(DATE(YEAR(Invoer!$A$5),1,1)+INT((ROWS(B$2:B1065)-1)/24),"""18""jjmmdd")</f>
        <v>18980214</v>
      </c>
      <c r="C1065" s="11" t="str">
        <f>INDEX(Data,2,2+MOD(ROWS(C$2:C1065)-1,24))</f>
        <v>08.00</v>
      </c>
      <c r="D1065" s="8" t="str">
        <f t="shared" ca="1" si="50"/>
        <v>—</v>
      </c>
      <c r="E1065" s="16">
        <f t="shared" ca="1" si="51"/>
        <v>7</v>
      </c>
    </row>
    <row r="1066" spans="1:5" x14ac:dyDescent="0.25">
      <c r="A1066" s="3">
        <f t="shared" si="49"/>
        <v>78989</v>
      </c>
      <c r="B1066" t="str">
        <f ca="1">TEXT(DATE(YEAR(Invoer!$A$5),1,1)+INT((ROWS(B$2:B1066)-1)/24),"""18""jjmmdd")</f>
        <v>18980214</v>
      </c>
      <c r="C1066" s="11" t="str">
        <f>INDEX(Data,2,2+MOD(ROWS(C$2:C1066)-1,24))</f>
        <v>09.00</v>
      </c>
      <c r="D1066" s="8" t="str">
        <f t="shared" ca="1" si="50"/>
        <v>—</v>
      </c>
      <c r="E1066" s="16">
        <f t="shared" ca="1" si="51"/>
        <v>7</v>
      </c>
    </row>
    <row r="1067" spans="1:5" x14ac:dyDescent="0.25">
      <c r="A1067" s="3">
        <f t="shared" si="49"/>
        <v>78989</v>
      </c>
      <c r="B1067" t="str">
        <f ca="1">TEXT(DATE(YEAR(Invoer!$A$5),1,1)+INT((ROWS(B$2:B1067)-1)/24),"""18""jjmmdd")</f>
        <v>18980214</v>
      </c>
      <c r="C1067" s="11" t="str">
        <f>INDEX(Data,2,2+MOD(ROWS(C$2:C1067)-1,24))</f>
        <v>10.00</v>
      </c>
      <c r="D1067" s="8" t="str">
        <f t="shared" ca="1" si="50"/>
        <v>—</v>
      </c>
      <c r="E1067" s="16">
        <f t="shared" ca="1" si="51"/>
        <v>7</v>
      </c>
    </row>
    <row r="1068" spans="1:5" x14ac:dyDescent="0.25">
      <c r="A1068" s="3">
        <f t="shared" si="49"/>
        <v>78989</v>
      </c>
      <c r="B1068" t="str">
        <f ca="1">TEXT(DATE(YEAR(Invoer!$A$5),1,1)+INT((ROWS(B$2:B1068)-1)/24),"""18""jjmmdd")</f>
        <v>18980214</v>
      </c>
      <c r="C1068" s="11" t="str">
        <f>INDEX(Data,2,2+MOD(ROWS(C$2:C1068)-1,24))</f>
        <v>11.00</v>
      </c>
      <c r="D1068" s="8" t="str">
        <f t="shared" ca="1" si="50"/>
        <v>—</v>
      </c>
      <c r="E1068" s="16">
        <f t="shared" ca="1" si="51"/>
        <v>7</v>
      </c>
    </row>
    <row r="1069" spans="1:5" x14ac:dyDescent="0.25">
      <c r="A1069" s="3">
        <f t="shared" si="49"/>
        <v>78989</v>
      </c>
      <c r="B1069" t="str">
        <f ca="1">TEXT(DATE(YEAR(Invoer!$A$5),1,1)+INT((ROWS(B$2:B1069)-1)/24),"""18""jjmmdd")</f>
        <v>18980214</v>
      </c>
      <c r="C1069" s="11" t="str">
        <f>INDEX(Data,2,2+MOD(ROWS(C$2:C1069)-1,24))</f>
        <v>12.00</v>
      </c>
      <c r="D1069" s="8" t="str">
        <f t="shared" ca="1" si="50"/>
        <v>—</v>
      </c>
      <c r="E1069" s="16">
        <f t="shared" ca="1" si="51"/>
        <v>7</v>
      </c>
    </row>
    <row r="1070" spans="1:5" x14ac:dyDescent="0.25">
      <c r="A1070" s="3">
        <f t="shared" si="49"/>
        <v>78989</v>
      </c>
      <c r="B1070" t="str">
        <f ca="1">TEXT(DATE(YEAR(Invoer!$A$5),1,1)+INT((ROWS(B$2:B1070)-1)/24),"""18""jjmmdd")</f>
        <v>18980214</v>
      </c>
      <c r="C1070" s="11" t="str">
        <f>INDEX(Data,2,2+MOD(ROWS(C$2:C1070)-1,24))</f>
        <v>13.00</v>
      </c>
      <c r="D1070" s="8" t="str">
        <f t="shared" ca="1" si="50"/>
        <v>—</v>
      </c>
      <c r="E1070" s="16">
        <f t="shared" ca="1" si="51"/>
        <v>7</v>
      </c>
    </row>
    <row r="1071" spans="1:5" x14ac:dyDescent="0.25">
      <c r="A1071" s="3">
        <f t="shared" si="49"/>
        <v>78989</v>
      </c>
      <c r="B1071" t="str">
        <f ca="1">TEXT(DATE(YEAR(Invoer!$A$5),1,1)+INT((ROWS(B$2:B1071)-1)/24),"""18""jjmmdd")</f>
        <v>18980214</v>
      </c>
      <c r="C1071" s="11" t="str">
        <f>INDEX(Data,2,2+MOD(ROWS(C$2:C1071)-1,24))</f>
        <v>14.00</v>
      </c>
      <c r="D1071" s="8" t="str">
        <f t="shared" ca="1" si="50"/>
        <v>—</v>
      </c>
      <c r="E1071" s="16">
        <f t="shared" ca="1" si="51"/>
        <v>7</v>
      </c>
    </row>
    <row r="1072" spans="1:5" x14ac:dyDescent="0.25">
      <c r="A1072" s="3">
        <f t="shared" si="49"/>
        <v>78989</v>
      </c>
      <c r="B1072" t="str">
        <f ca="1">TEXT(DATE(YEAR(Invoer!$A$5),1,1)+INT((ROWS(B$2:B1072)-1)/24),"""18""jjmmdd")</f>
        <v>18980214</v>
      </c>
      <c r="C1072" s="11" t="str">
        <f>INDEX(Data,2,2+MOD(ROWS(C$2:C1072)-1,24))</f>
        <v>15.00</v>
      </c>
      <c r="D1072" s="8" t="str">
        <f t="shared" ca="1" si="50"/>
        <v>—</v>
      </c>
      <c r="E1072" s="16">
        <f t="shared" ca="1" si="51"/>
        <v>7</v>
      </c>
    </row>
    <row r="1073" spans="1:5" x14ac:dyDescent="0.25">
      <c r="A1073" s="3">
        <f t="shared" si="49"/>
        <v>78989</v>
      </c>
      <c r="B1073" t="str">
        <f ca="1">TEXT(DATE(YEAR(Invoer!$A$5),1,1)+INT((ROWS(B$2:B1073)-1)/24),"""18""jjmmdd")</f>
        <v>18980214</v>
      </c>
      <c r="C1073" s="11" t="str">
        <f>INDEX(Data,2,2+MOD(ROWS(C$2:C1073)-1,24))</f>
        <v>16.00</v>
      </c>
      <c r="D1073" s="8" t="str">
        <f t="shared" ca="1" si="50"/>
        <v>—</v>
      </c>
      <c r="E1073" s="16">
        <f t="shared" ca="1" si="51"/>
        <v>7</v>
      </c>
    </row>
    <row r="1074" spans="1:5" x14ac:dyDescent="0.25">
      <c r="A1074" s="3">
        <f t="shared" si="49"/>
        <v>78989</v>
      </c>
      <c r="B1074" t="str">
        <f ca="1">TEXT(DATE(YEAR(Invoer!$A$5),1,1)+INT((ROWS(B$2:B1074)-1)/24),"""18""jjmmdd")</f>
        <v>18980214</v>
      </c>
      <c r="C1074" s="11" t="str">
        <f>INDEX(Data,2,2+MOD(ROWS(C$2:C1074)-1,24))</f>
        <v>17.00</v>
      </c>
      <c r="D1074" s="8" t="str">
        <f t="shared" ca="1" si="50"/>
        <v>—</v>
      </c>
      <c r="E1074" s="16">
        <f t="shared" ca="1" si="51"/>
        <v>7</v>
      </c>
    </row>
    <row r="1075" spans="1:5" x14ac:dyDescent="0.25">
      <c r="A1075" s="3">
        <f t="shared" si="49"/>
        <v>78989</v>
      </c>
      <c r="B1075" t="str">
        <f ca="1">TEXT(DATE(YEAR(Invoer!$A$5),1,1)+INT((ROWS(B$2:B1075)-1)/24),"""18""jjmmdd")</f>
        <v>18980214</v>
      </c>
      <c r="C1075" s="11" t="str">
        <f>INDEX(Data,2,2+MOD(ROWS(C$2:C1075)-1,24))</f>
        <v>18.00</v>
      </c>
      <c r="D1075" s="8" t="str">
        <f t="shared" ca="1" si="50"/>
        <v>—</v>
      </c>
      <c r="E1075" s="16">
        <f t="shared" ca="1" si="51"/>
        <v>7</v>
      </c>
    </row>
    <row r="1076" spans="1:5" x14ac:dyDescent="0.25">
      <c r="A1076" s="3">
        <f t="shared" si="49"/>
        <v>78989</v>
      </c>
      <c r="B1076" t="str">
        <f ca="1">TEXT(DATE(YEAR(Invoer!$A$5),1,1)+INT((ROWS(B$2:B1076)-1)/24),"""18""jjmmdd")</f>
        <v>18980214</v>
      </c>
      <c r="C1076" s="11" t="str">
        <f>INDEX(Data,2,2+MOD(ROWS(C$2:C1076)-1,24))</f>
        <v>19.00</v>
      </c>
      <c r="D1076" s="8" t="str">
        <f t="shared" ca="1" si="50"/>
        <v>—</v>
      </c>
      <c r="E1076" s="16">
        <f t="shared" ca="1" si="51"/>
        <v>7</v>
      </c>
    </row>
    <row r="1077" spans="1:5" x14ac:dyDescent="0.25">
      <c r="A1077" s="3">
        <f t="shared" si="49"/>
        <v>78989</v>
      </c>
      <c r="B1077" t="str">
        <f ca="1">TEXT(DATE(YEAR(Invoer!$A$5),1,1)+INT((ROWS(B$2:B1077)-1)/24),"""18""jjmmdd")</f>
        <v>18980214</v>
      </c>
      <c r="C1077" s="11" t="str">
        <f>INDEX(Data,2,2+MOD(ROWS(C$2:C1077)-1,24))</f>
        <v>20.00</v>
      </c>
      <c r="D1077" s="8" t="str">
        <f t="shared" ca="1" si="50"/>
        <v>—</v>
      </c>
      <c r="E1077" s="16">
        <f t="shared" ca="1" si="51"/>
        <v>7</v>
      </c>
    </row>
    <row r="1078" spans="1:5" x14ac:dyDescent="0.25">
      <c r="A1078" s="3">
        <f t="shared" si="49"/>
        <v>78989</v>
      </c>
      <c r="B1078" t="str">
        <f ca="1">TEXT(DATE(YEAR(Invoer!$A$5),1,1)+INT((ROWS(B$2:B1078)-1)/24),"""18""jjmmdd")</f>
        <v>18980214</v>
      </c>
      <c r="C1078" s="11" t="str">
        <f>INDEX(Data,2,2+MOD(ROWS(C$2:C1078)-1,24))</f>
        <v>21.00</v>
      </c>
      <c r="D1078" s="8" t="str">
        <f t="shared" ca="1" si="50"/>
        <v>—</v>
      </c>
      <c r="E1078" s="16">
        <f t="shared" ca="1" si="51"/>
        <v>7</v>
      </c>
    </row>
    <row r="1079" spans="1:5" x14ac:dyDescent="0.25">
      <c r="A1079" s="3">
        <f t="shared" si="49"/>
        <v>78989</v>
      </c>
      <c r="B1079" t="str">
        <f ca="1">TEXT(DATE(YEAR(Invoer!$A$5),1,1)+INT((ROWS(B$2:B1079)-1)/24),"""18""jjmmdd")</f>
        <v>18980214</v>
      </c>
      <c r="C1079" s="11" t="str">
        <f>INDEX(Data,2,2+MOD(ROWS(C$2:C1079)-1,24))</f>
        <v>22.00</v>
      </c>
      <c r="D1079" s="8" t="str">
        <f t="shared" ca="1" si="50"/>
        <v>—</v>
      </c>
      <c r="E1079" s="16">
        <f t="shared" ca="1" si="51"/>
        <v>7</v>
      </c>
    </row>
    <row r="1080" spans="1:5" x14ac:dyDescent="0.25">
      <c r="A1080" s="3">
        <f t="shared" si="49"/>
        <v>78989</v>
      </c>
      <c r="B1080" t="str">
        <f ca="1">TEXT(DATE(YEAR(Invoer!$A$5),1,1)+INT((ROWS(B$2:B1080)-1)/24),"""18""jjmmdd")</f>
        <v>18980214</v>
      </c>
      <c r="C1080" s="11" t="str">
        <f>INDEX(Data,2,2+MOD(ROWS(C$2:C1080)-1,24))</f>
        <v>23.00</v>
      </c>
      <c r="D1080" s="8" t="str">
        <f t="shared" ca="1" si="50"/>
        <v>—</v>
      </c>
      <c r="E1080" s="16">
        <f t="shared" ca="1" si="51"/>
        <v>7</v>
      </c>
    </row>
    <row r="1081" spans="1:5" x14ac:dyDescent="0.25">
      <c r="A1081" s="3">
        <f t="shared" si="49"/>
        <v>78989</v>
      </c>
      <c r="B1081" t="str">
        <f ca="1">TEXT(DATE(YEAR(Invoer!$A$5),1,1)+INT((ROWS(B$2:B1081)-1)/24),"""18""jjmmdd")</f>
        <v>18980214</v>
      </c>
      <c r="C1081" s="11" t="str">
        <f>INDEX(Data,2,2+MOD(ROWS(C$2:C1081)-1,24))</f>
        <v>24.00</v>
      </c>
      <c r="D1081" s="8" t="str">
        <f t="shared" ca="1" si="50"/>
        <v>—</v>
      </c>
      <c r="E1081" s="16">
        <f t="shared" ca="1" si="51"/>
        <v>7</v>
      </c>
    </row>
    <row r="1082" spans="1:5" x14ac:dyDescent="0.25">
      <c r="A1082" s="3">
        <f t="shared" si="49"/>
        <v>78989</v>
      </c>
      <c r="B1082" t="str">
        <f ca="1">TEXT(DATE(YEAR(Invoer!$A$5),1,1)+INT((ROWS(B$2:B1082)-1)/24),"""18""jjmmdd")</f>
        <v>18980215</v>
      </c>
      <c r="C1082" s="11" t="str">
        <f>INDEX(Data,2,2+MOD(ROWS(C$2:C1082)-1,24))</f>
        <v>01.00</v>
      </c>
      <c r="D1082" s="8" t="str">
        <f t="shared" ca="1" si="50"/>
        <v>—</v>
      </c>
      <c r="E1082" s="16">
        <f t="shared" ca="1" si="51"/>
        <v>7</v>
      </c>
    </row>
    <row r="1083" spans="1:5" x14ac:dyDescent="0.25">
      <c r="A1083" s="3">
        <f t="shared" si="49"/>
        <v>78989</v>
      </c>
      <c r="B1083" t="str">
        <f ca="1">TEXT(DATE(YEAR(Invoer!$A$5),1,1)+INT((ROWS(B$2:B1083)-1)/24),"""18""jjmmdd")</f>
        <v>18980215</v>
      </c>
      <c r="C1083" s="11" t="str">
        <f>INDEX(Data,2,2+MOD(ROWS(C$2:C1083)-1,24))</f>
        <v>02.00</v>
      </c>
      <c r="D1083" s="8" t="str">
        <f t="shared" ca="1" si="50"/>
        <v>—</v>
      </c>
      <c r="E1083" s="16">
        <f t="shared" ca="1" si="51"/>
        <v>7</v>
      </c>
    </row>
    <row r="1084" spans="1:5" x14ac:dyDescent="0.25">
      <c r="A1084" s="3">
        <f t="shared" si="49"/>
        <v>78989</v>
      </c>
      <c r="B1084" t="str">
        <f ca="1">TEXT(DATE(YEAR(Invoer!$A$5),1,1)+INT((ROWS(B$2:B1084)-1)/24),"""18""jjmmdd")</f>
        <v>18980215</v>
      </c>
      <c r="C1084" s="11" t="str">
        <f>INDEX(Data,2,2+MOD(ROWS(C$2:C1084)-1,24))</f>
        <v>03.00</v>
      </c>
      <c r="D1084" s="8" t="str">
        <f t="shared" ca="1" si="50"/>
        <v>—</v>
      </c>
      <c r="E1084" s="16">
        <f t="shared" ca="1" si="51"/>
        <v>7</v>
      </c>
    </row>
    <row r="1085" spans="1:5" x14ac:dyDescent="0.25">
      <c r="A1085" s="3">
        <f t="shared" si="49"/>
        <v>78989</v>
      </c>
      <c r="B1085" t="str">
        <f ca="1">TEXT(DATE(YEAR(Invoer!$A$5),1,1)+INT((ROWS(B$2:B1085)-1)/24),"""18""jjmmdd")</f>
        <v>18980215</v>
      </c>
      <c r="C1085" s="11" t="str">
        <f>INDEX(Data,2,2+MOD(ROWS(C$2:C1085)-1,24))</f>
        <v>04.00</v>
      </c>
      <c r="D1085" s="8" t="str">
        <f t="shared" ca="1" si="50"/>
        <v>—</v>
      </c>
      <c r="E1085" s="16">
        <f t="shared" ca="1" si="51"/>
        <v>7</v>
      </c>
    </row>
    <row r="1086" spans="1:5" x14ac:dyDescent="0.25">
      <c r="A1086" s="3">
        <f t="shared" si="49"/>
        <v>78989</v>
      </c>
      <c r="B1086" t="str">
        <f ca="1">TEXT(DATE(YEAR(Invoer!$A$5),1,1)+INT((ROWS(B$2:B1086)-1)/24),"""18""jjmmdd")</f>
        <v>18980215</v>
      </c>
      <c r="C1086" s="11" t="str">
        <f>INDEX(Data,2,2+MOD(ROWS(C$2:C1086)-1,24))</f>
        <v>05.00</v>
      </c>
      <c r="D1086" s="8" t="str">
        <f t="shared" ca="1" si="50"/>
        <v>—</v>
      </c>
      <c r="E1086" s="16">
        <f t="shared" ca="1" si="51"/>
        <v>7</v>
      </c>
    </row>
    <row r="1087" spans="1:5" x14ac:dyDescent="0.25">
      <c r="A1087" s="3">
        <f t="shared" si="49"/>
        <v>78989</v>
      </c>
      <c r="B1087" t="str">
        <f ca="1">TEXT(DATE(YEAR(Invoer!$A$5),1,1)+INT((ROWS(B$2:B1087)-1)/24),"""18""jjmmdd")</f>
        <v>18980215</v>
      </c>
      <c r="C1087" s="11" t="str">
        <f>INDEX(Data,2,2+MOD(ROWS(C$2:C1087)-1,24))</f>
        <v>06.00</v>
      </c>
      <c r="D1087" s="8" t="str">
        <f t="shared" ca="1" si="50"/>
        <v>—</v>
      </c>
      <c r="E1087" s="16">
        <f t="shared" ca="1" si="51"/>
        <v>7</v>
      </c>
    </row>
    <row r="1088" spans="1:5" x14ac:dyDescent="0.25">
      <c r="A1088" s="3">
        <f t="shared" si="49"/>
        <v>78989</v>
      </c>
      <c r="B1088" t="str">
        <f ca="1">TEXT(DATE(YEAR(Invoer!$A$5),1,1)+INT((ROWS(B$2:B1088)-1)/24),"""18""jjmmdd")</f>
        <v>18980215</v>
      </c>
      <c r="C1088" s="11" t="str">
        <f>INDEX(Data,2,2+MOD(ROWS(C$2:C1088)-1,24))</f>
        <v>07.00</v>
      </c>
      <c r="D1088" s="8" t="str">
        <f t="shared" ca="1" si="50"/>
        <v>—</v>
      </c>
      <c r="E1088" s="16">
        <f t="shared" ca="1" si="51"/>
        <v>7</v>
      </c>
    </row>
    <row r="1089" spans="1:5" x14ac:dyDescent="0.25">
      <c r="A1089" s="3">
        <f t="shared" si="49"/>
        <v>78989</v>
      </c>
      <c r="B1089" t="str">
        <f ca="1">TEXT(DATE(YEAR(Invoer!$A$5),1,1)+INT((ROWS(B$2:B1089)-1)/24),"""18""jjmmdd")</f>
        <v>18980215</v>
      </c>
      <c r="C1089" s="11" t="str">
        <f>INDEX(Data,2,2+MOD(ROWS(C$2:C1089)-1,24))</f>
        <v>08.00</v>
      </c>
      <c r="D1089" s="8" t="str">
        <f t="shared" ca="1" si="50"/>
        <v>—</v>
      </c>
      <c r="E1089" s="16">
        <f t="shared" ca="1" si="51"/>
        <v>7</v>
      </c>
    </row>
    <row r="1090" spans="1:5" x14ac:dyDescent="0.25">
      <c r="A1090" s="3">
        <f t="shared" ref="A1090:A1153" si="52">INDEX(Stations,2,1)</f>
        <v>78989</v>
      </c>
      <c r="B1090" t="str">
        <f ca="1">TEXT(DATE(YEAR(Invoer!$A$5),1,1)+INT((ROWS(B$2:B1090)-1)/24),"""18""jjmmdd")</f>
        <v>18980215</v>
      </c>
      <c r="C1090" s="11" t="str">
        <f>INDEX(Data,2,2+MOD(ROWS(C$2:C1090)-1,24))</f>
        <v>09.00</v>
      </c>
      <c r="D1090" s="8" t="str">
        <f t="shared" ref="D1090:D1153" ca="1" si="53">IF(OR(ISBLANK(VLOOKUP(DATEVALUE("37"&amp;MID($B1090,3,2)&amp;"-"&amp;MID($B1090,5,2)&amp;"-"&amp;RIGHT($B1090,2)),Data,MATCH(LEFT(VLOOKUP(D$1,Parameters,2,FALSE()),4)&amp;"*",OFFSET(Data,0,0,1),0)+MATCH($C1090,OFFSET(Data,1,0,1),0)-2,FALSE())),ISTEXT(VLOOKUP(DATEVALUE("37"&amp;MID($B1090,3,2)&amp;"-"&amp;MID($B1090,5,2)&amp;"-"&amp;RIGHT($B1090,2)),Data,MATCH(LEFT(VLOOKUP(D$1,Parameters,2,FALSE()),4)&amp;"*",OFFSET(Data,0,0,1),0)+MATCH($C1090,OFFSET(Data,1,0,1),0)-2,FALSE()))),"—",VLOOKUP(DATEVALUE("37"&amp;MID($B1090,3,2)&amp;"-"&amp;MID($B1090,5,2)&amp;"-"&amp;RIGHT($B1090,2)),Data,MATCH(LEFT(VLOOKUP(D$1,Parameters,2,FALSE()),4)&amp;"*",OFFSET(Data,0,0,1),0)+MATCH($C1090,OFFSET(Data,1,0,1),0)-2,FALSE()))</f>
        <v>—</v>
      </c>
      <c r="E1090" s="16">
        <f t="shared" ca="1" si="51"/>
        <v>7</v>
      </c>
    </row>
    <row r="1091" spans="1:5" x14ac:dyDescent="0.25">
      <c r="A1091" s="3">
        <f t="shared" si="52"/>
        <v>78989</v>
      </c>
      <c r="B1091" t="str">
        <f ca="1">TEXT(DATE(YEAR(Invoer!$A$5),1,1)+INT((ROWS(B$2:B1091)-1)/24),"""18""jjmmdd")</f>
        <v>18980215</v>
      </c>
      <c r="C1091" s="11" t="str">
        <f>INDEX(Data,2,2+MOD(ROWS(C$2:C1091)-1,24))</f>
        <v>10.00</v>
      </c>
      <c r="D1091" s="8" t="str">
        <f t="shared" ca="1" si="53"/>
        <v>—</v>
      </c>
      <c r="E1091" s="16">
        <f t="shared" ref="E1091:E1154" ca="1" si="54">IF(OR(ISBLANK(VLOOKUP(DATEVALUE("37"&amp;MID($B1091,3,2)&amp;"-"&amp;MID($B1091,5,2)&amp;"-"&amp;RIGHT($B1091,2)),Data,MATCH(LEFT(VLOOKUP(D$1,Parameters,2,FALSE()),4)&amp;"*",OFFSET(Data,0,0,1),0)+MATCH($C1091,OFFSET(Data,1,0,1),0)-2,FALSE())),ISTEXT(VLOOKUP(DATEVALUE("37"&amp;MID($B1091,3,2)&amp;"-"&amp;MID($B1091,5,2)&amp;"-"&amp;RIGHT($B1091,2)),Data,MATCH(LEFT(VLOOKUP(D$1,Parameters,2,FALSE()),4)&amp;"*",OFFSET(Data,0,0,1),0)+MATCH($C1091,OFFSET(Data,1,0,1),0)-2,FALSE()))),Lacking,IF(ISNA(MATCH(DATEVALUE("37"&amp;MID($B1091,3,2)&amp;"-"&amp;MID($B1091,5,2)&amp;"-"&amp;RIGHT($B1091,2)),OFFSET(Catalogus,0,0,,1),0)),Ok,VLOOKUP(DATEVALUE("37"&amp;MID($B1091,3,2)&amp;"-"&amp;MID($B1091,5,2)&amp;"-"&amp;RIGHT($B1091,2)),Catalogus,MATCH(LEFT(VLOOKUP(MID(E$1,2,LEN(E$1)-1),Parameters,2,FALSE()),4)&amp;"*",OFFSET(Catalogus,0,0,1),0)+MATCH($C1091,OFFSET(Catalogus,1,0,1),0)-2,FALSE())))</f>
        <v>7</v>
      </c>
    </row>
    <row r="1092" spans="1:5" x14ac:dyDescent="0.25">
      <c r="A1092" s="3">
        <f t="shared" si="52"/>
        <v>78989</v>
      </c>
      <c r="B1092" t="str">
        <f ca="1">TEXT(DATE(YEAR(Invoer!$A$5),1,1)+INT((ROWS(B$2:B1092)-1)/24),"""18""jjmmdd")</f>
        <v>18980215</v>
      </c>
      <c r="C1092" s="11" t="str">
        <f>INDEX(Data,2,2+MOD(ROWS(C$2:C1092)-1,24))</f>
        <v>11.00</v>
      </c>
      <c r="D1092" s="8" t="str">
        <f t="shared" ca="1" si="53"/>
        <v>—</v>
      </c>
      <c r="E1092" s="16">
        <f t="shared" ca="1" si="54"/>
        <v>7</v>
      </c>
    </row>
    <row r="1093" spans="1:5" x14ac:dyDescent="0.25">
      <c r="A1093" s="3">
        <f t="shared" si="52"/>
        <v>78989</v>
      </c>
      <c r="B1093" t="str">
        <f ca="1">TEXT(DATE(YEAR(Invoer!$A$5),1,1)+INT((ROWS(B$2:B1093)-1)/24),"""18""jjmmdd")</f>
        <v>18980215</v>
      </c>
      <c r="C1093" s="11" t="str">
        <f>INDEX(Data,2,2+MOD(ROWS(C$2:C1093)-1,24))</f>
        <v>12.00</v>
      </c>
      <c r="D1093" s="8" t="str">
        <f t="shared" ca="1" si="53"/>
        <v>—</v>
      </c>
      <c r="E1093" s="16">
        <f t="shared" ca="1" si="54"/>
        <v>7</v>
      </c>
    </row>
    <row r="1094" spans="1:5" x14ac:dyDescent="0.25">
      <c r="A1094" s="3">
        <f t="shared" si="52"/>
        <v>78989</v>
      </c>
      <c r="B1094" t="str">
        <f ca="1">TEXT(DATE(YEAR(Invoer!$A$5),1,1)+INT((ROWS(B$2:B1094)-1)/24),"""18""jjmmdd")</f>
        <v>18980215</v>
      </c>
      <c r="C1094" s="11" t="str">
        <f>INDEX(Data,2,2+MOD(ROWS(C$2:C1094)-1,24))</f>
        <v>13.00</v>
      </c>
      <c r="D1094" s="8" t="str">
        <f t="shared" ca="1" si="53"/>
        <v>—</v>
      </c>
      <c r="E1094" s="16">
        <f t="shared" ca="1" si="54"/>
        <v>7</v>
      </c>
    </row>
    <row r="1095" spans="1:5" x14ac:dyDescent="0.25">
      <c r="A1095" s="3">
        <f t="shared" si="52"/>
        <v>78989</v>
      </c>
      <c r="B1095" t="str">
        <f ca="1">TEXT(DATE(YEAR(Invoer!$A$5),1,1)+INT((ROWS(B$2:B1095)-1)/24),"""18""jjmmdd")</f>
        <v>18980215</v>
      </c>
      <c r="C1095" s="11" t="str">
        <f>INDEX(Data,2,2+MOD(ROWS(C$2:C1095)-1,24))</f>
        <v>14.00</v>
      </c>
      <c r="D1095" s="8" t="str">
        <f t="shared" ca="1" si="53"/>
        <v>—</v>
      </c>
      <c r="E1095" s="16">
        <f t="shared" ca="1" si="54"/>
        <v>7</v>
      </c>
    </row>
    <row r="1096" spans="1:5" x14ac:dyDescent="0.25">
      <c r="A1096" s="3">
        <f t="shared" si="52"/>
        <v>78989</v>
      </c>
      <c r="B1096" t="str">
        <f ca="1">TEXT(DATE(YEAR(Invoer!$A$5),1,1)+INT((ROWS(B$2:B1096)-1)/24),"""18""jjmmdd")</f>
        <v>18980215</v>
      </c>
      <c r="C1096" s="11" t="str">
        <f>INDEX(Data,2,2+MOD(ROWS(C$2:C1096)-1,24))</f>
        <v>15.00</v>
      </c>
      <c r="D1096" s="8" t="str">
        <f t="shared" ca="1" si="53"/>
        <v>—</v>
      </c>
      <c r="E1096" s="16">
        <f t="shared" ca="1" si="54"/>
        <v>7</v>
      </c>
    </row>
    <row r="1097" spans="1:5" x14ac:dyDescent="0.25">
      <c r="A1097" s="3">
        <f t="shared" si="52"/>
        <v>78989</v>
      </c>
      <c r="B1097" t="str">
        <f ca="1">TEXT(DATE(YEAR(Invoer!$A$5),1,1)+INT((ROWS(B$2:B1097)-1)/24),"""18""jjmmdd")</f>
        <v>18980215</v>
      </c>
      <c r="C1097" s="11" t="str">
        <f>INDEX(Data,2,2+MOD(ROWS(C$2:C1097)-1,24))</f>
        <v>16.00</v>
      </c>
      <c r="D1097" s="8" t="str">
        <f t="shared" ca="1" si="53"/>
        <v>—</v>
      </c>
      <c r="E1097" s="16">
        <f t="shared" ca="1" si="54"/>
        <v>7</v>
      </c>
    </row>
    <row r="1098" spans="1:5" x14ac:dyDescent="0.25">
      <c r="A1098" s="3">
        <f t="shared" si="52"/>
        <v>78989</v>
      </c>
      <c r="B1098" t="str">
        <f ca="1">TEXT(DATE(YEAR(Invoer!$A$5),1,1)+INT((ROWS(B$2:B1098)-1)/24),"""18""jjmmdd")</f>
        <v>18980215</v>
      </c>
      <c r="C1098" s="11" t="str">
        <f>INDEX(Data,2,2+MOD(ROWS(C$2:C1098)-1,24))</f>
        <v>17.00</v>
      </c>
      <c r="D1098" s="8" t="str">
        <f t="shared" ca="1" si="53"/>
        <v>—</v>
      </c>
      <c r="E1098" s="16">
        <f t="shared" ca="1" si="54"/>
        <v>7</v>
      </c>
    </row>
    <row r="1099" spans="1:5" x14ac:dyDescent="0.25">
      <c r="A1099" s="3">
        <f t="shared" si="52"/>
        <v>78989</v>
      </c>
      <c r="B1099" t="str">
        <f ca="1">TEXT(DATE(YEAR(Invoer!$A$5),1,1)+INT((ROWS(B$2:B1099)-1)/24),"""18""jjmmdd")</f>
        <v>18980215</v>
      </c>
      <c r="C1099" s="11" t="str">
        <f>INDEX(Data,2,2+MOD(ROWS(C$2:C1099)-1,24))</f>
        <v>18.00</v>
      </c>
      <c r="D1099" s="8" t="str">
        <f t="shared" ca="1" si="53"/>
        <v>—</v>
      </c>
      <c r="E1099" s="16">
        <f t="shared" ca="1" si="54"/>
        <v>7</v>
      </c>
    </row>
    <row r="1100" spans="1:5" x14ac:dyDescent="0.25">
      <c r="A1100" s="3">
        <f t="shared" si="52"/>
        <v>78989</v>
      </c>
      <c r="B1100" t="str">
        <f ca="1">TEXT(DATE(YEAR(Invoer!$A$5),1,1)+INT((ROWS(B$2:B1100)-1)/24),"""18""jjmmdd")</f>
        <v>18980215</v>
      </c>
      <c r="C1100" s="11" t="str">
        <f>INDEX(Data,2,2+MOD(ROWS(C$2:C1100)-1,24))</f>
        <v>19.00</v>
      </c>
      <c r="D1100" s="8" t="str">
        <f t="shared" ca="1" si="53"/>
        <v>—</v>
      </c>
      <c r="E1100" s="16">
        <f t="shared" ca="1" si="54"/>
        <v>7</v>
      </c>
    </row>
    <row r="1101" spans="1:5" x14ac:dyDescent="0.25">
      <c r="A1101" s="3">
        <f t="shared" si="52"/>
        <v>78989</v>
      </c>
      <c r="B1101" t="str">
        <f ca="1">TEXT(DATE(YEAR(Invoer!$A$5),1,1)+INT((ROWS(B$2:B1101)-1)/24),"""18""jjmmdd")</f>
        <v>18980215</v>
      </c>
      <c r="C1101" s="11" t="str">
        <f>INDEX(Data,2,2+MOD(ROWS(C$2:C1101)-1,24))</f>
        <v>20.00</v>
      </c>
      <c r="D1101" s="8" t="str">
        <f t="shared" ca="1" si="53"/>
        <v>—</v>
      </c>
      <c r="E1101" s="16">
        <f t="shared" ca="1" si="54"/>
        <v>7</v>
      </c>
    </row>
    <row r="1102" spans="1:5" x14ac:dyDescent="0.25">
      <c r="A1102" s="3">
        <f t="shared" si="52"/>
        <v>78989</v>
      </c>
      <c r="B1102" t="str">
        <f ca="1">TEXT(DATE(YEAR(Invoer!$A$5),1,1)+INT((ROWS(B$2:B1102)-1)/24),"""18""jjmmdd")</f>
        <v>18980215</v>
      </c>
      <c r="C1102" s="11" t="str">
        <f>INDEX(Data,2,2+MOD(ROWS(C$2:C1102)-1,24))</f>
        <v>21.00</v>
      </c>
      <c r="D1102" s="8" t="str">
        <f t="shared" ca="1" si="53"/>
        <v>—</v>
      </c>
      <c r="E1102" s="16">
        <f t="shared" ca="1" si="54"/>
        <v>7</v>
      </c>
    </row>
    <row r="1103" spans="1:5" x14ac:dyDescent="0.25">
      <c r="A1103" s="3">
        <f t="shared" si="52"/>
        <v>78989</v>
      </c>
      <c r="B1103" t="str">
        <f ca="1">TEXT(DATE(YEAR(Invoer!$A$5),1,1)+INT((ROWS(B$2:B1103)-1)/24),"""18""jjmmdd")</f>
        <v>18980215</v>
      </c>
      <c r="C1103" s="11" t="str">
        <f>INDEX(Data,2,2+MOD(ROWS(C$2:C1103)-1,24))</f>
        <v>22.00</v>
      </c>
      <c r="D1103" s="8" t="str">
        <f t="shared" ca="1" si="53"/>
        <v>—</v>
      </c>
      <c r="E1103" s="16">
        <f t="shared" ca="1" si="54"/>
        <v>7</v>
      </c>
    </row>
    <row r="1104" spans="1:5" x14ac:dyDescent="0.25">
      <c r="A1104" s="3">
        <f t="shared" si="52"/>
        <v>78989</v>
      </c>
      <c r="B1104" t="str">
        <f ca="1">TEXT(DATE(YEAR(Invoer!$A$5),1,1)+INT((ROWS(B$2:B1104)-1)/24),"""18""jjmmdd")</f>
        <v>18980215</v>
      </c>
      <c r="C1104" s="11" t="str">
        <f>INDEX(Data,2,2+MOD(ROWS(C$2:C1104)-1,24))</f>
        <v>23.00</v>
      </c>
      <c r="D1104" s="8" t="str">
        <f t="shared" ca="1" si="53"/>
        <v>—</v>
      </c>
      <c r="E1104" s="16">
        <f t="shared" ca="1" si="54"/>
        <v>7</v>
      </c>
    </row>
    <row r="1105" spans="1:5" x14ac:dyDescent="0.25">
      <c r="A1105" s="3">
        <f t="shared" si="52"/>
        <v>78989</v>
      </c>
      <c r="B1105" t="str">
        <f ca="1">TEXT(DATE(YEAR(Invoer!$A$5),1,1)+INT((ROWS(B$2:B1105)-1)/24),"""18""jjmmdd")</f>
        <v>18980215</v>
      </c>
      <c r="C1105" s="11" t="str">
        <f>INDEX(Data,2,2+MOD(ROWS(C$2:C1105)-1,24))</f>
        <v>24.00</v>
      </c>
      <c r="D1105" s="8" t="str">
        <f t="shared" ca="1" si="53"/>
        <v>—</v>
      </c>
      <c r="E1105" s="16">
        <f t="shared" ca="1" si="54"/>
        <v>7</v>
      </c>
    </row>
    <row r="1106" spans="1:5" x14ac:dyDescent="0.25">
      <c r="A1106" s="3">
        <f t="shared" si="52"/>
        <v>78989</v>
      </c>
      <c r="B1106" t="str">
        <f ca="1">TEXT(DATE(YEAR(Invoer!$A$5),1,1)+INT((ROWS(B$2:B1106)-1)/24),"""18""jjmmdd")</f>
        <v>18980216</v>
      </c>
      <c r="C1106" s="11" t="str">
        <f>INDEX(Data,2,2+MOD(ROWS(C$2:C1106)-1,24))</f>
        <v>01.00</v>
      </c>
      <c r="D1106" s="8" t="str">
        <f t="shared" ca="1" si="53"/>
        <v>—</v>
      </c>
      <c r="E1106" s="16">
        <f t="shared" ca="1" si="54"/>
        <v>7</v>
      </c>
    </row>
    <row r="1107" spans="1:5" x14ac:dyDescent="0.25">
      <c r="A1107" s="3">
        <f t="shared" si="52"/>
        <v>78989</v>
      </c>
      <c r="B1107" t="str">
        <f ca="1">TEXT(DATE(YEAR(Invoer!$A$5),1,1)+INT((ROWS(B$2:B1107)-1)/24),"""18""jjmmdd")</f>
        <v>18980216</v>
      </c>
      <c r="C1107" s="11" t="str">
        <f>INDEX(Data,2,2+MOD(ROWS(C$2:C1107)-1,24))</f>
        <v>02.00</v>
      </c>
      <c r="D1107" s="8" t="str">
        <f t="shared" ca="1" si="53"/>
        <v>—</v>
      </c>
      <c r="E1107" s="16">
        <f t="shared" ca="1" si="54"/>
        <v>7</v>
      </c>
    </row>
    <row r="1108" spans="1:5" x14ac:dyDescent="0.25">
      <c r="A1108" s="3">
        <f t="shared" si="52"/>
        <v>78989</v>
      </c>
      <c r="B1108" t="str">
        <f ca="1">TEXT(DATE(YEAR(Invoer!$A$5),1,1)+INT((ROWS(B$2:B1108)-1)/24),"""18""jjmmdd")</f>
        <v>18980216</v>
      </c>
      <c r="C1108" s="11" t="str">
        <f>INDEX(Data,2,2+MOD(ROWS(C$2:C1108)-1,24))</f>
        <v>03.00</v>
      </c>
      <c r="D1108" s="8" t="str">
        <f t="shared" ca="1" si="53"/>
        <v>—</v>
      </c>
      <c r="E1108" s="16">
        <f t="shared" ca="1" si="54"/>
        <v>7</v>
      </c>
    </row>
    <row r="1109" spans="1:5" x14ac:dyDescent="0.25">
      <c r="A1109" s="3">
        <f t="shared" si="52"/>
        <v>78989</v>
      </c>
      <c r="B1109" t="str">
        <f ca="1">TEXT(DATE(YEAR(Invoer!$A$5),1,1)+INT((ROWS(B$2:B1109)-1)/24),"""18""jjmmdd")</f>
        <v>18980216</v>
      </c>
      <c r="C1109" s="11" t="str">
        <f>INDEX(Data,2,2+MOD(ROWS(C$2:C1109)-1,24))</f>
        <v>04.00</v>
      </c>
      <c r="D1109" s="8" t="str">
        <f t="shared" ca="1" si="53"/>
        <v>—</v>
      </c>
      <c r="E1109" s="16">
        <f t="shared" ca="1" si="54"/>
        <v>7</v>
      </c>
    </row>
    <row r="1110" spans="1:5" x14ac:dyDescent="0.25">
      <c r="A1110" s="3">
        <f t="shared" si="52"/>
        <v>78989</v>
      </c>
      <c r="B1110" t="str">
        <f ca="1">TEXT(DATE(YEAR(Invoer!$A$5),1,1)+INT((ROWS(B$2:B1110)-1)/24),"""18""jjmmdd")</f>
        <v>18980216</v>
      </c>
      <c r="C1110" s="11" t="str">
        <f>INDEX(Data,2,2+MOD(ROWS(C$2:C1110)-1,24))</f>
        <v>05.00</v>
      </c>
      <c r="D1110" s="8" t="str">
        <f t="shared" ca="1" si="53"/>
        <v>—</v>
      </c>
      <c r="E1110" s="16">
        <f t="shared" ca="1" si="54"/>
        <v>7</v>
      </c>
    </row>
    <row r="1111" spans="1:5" x14ac:dyDescent="0.25">
      <c r="A1111" s="3">
        <f t="shared" si="52"/>
        <v>78989</v>
      </c>
      <c r="B1111" t="str">
        <f ca="1">TEXT(DATE(YEAR(Invoer!$A$5),1,1)+INT((ROWS(B$2:B1111)-1)/24),"""18""jjmmdd")</f>
        <v>18980216</v>
      </c>
      <c r="C1111" s="11" t="str">
        <f>INDEX(Data,2,2+MOD(ROWS(C$2:C1111)-1,24))</f>
        <v>06.00</v>
      </c>
      <c r="D1111" s="8" t="str">
        <f t="shared" ca="1" si="53"/>
        <v>—</v>
      </c>
      <c r="E1111" s="16">
        <f t="shared" ca="1" si="54"/>
        <v>7</v>
      </c>
    </row>
    <row r="1112" spans="1:5" x14ac:dyDescent="0.25">
      <c r="A1112" s="3">
        <f t="shared" si="52"/>
        <v>78989</v>
      </c>
      <c r="B1112" t="str">
        <f ca="1">TEXT(DATE(YEAR(Invoer!$A$5),1,1)+INT((ROWS(B$2:B1112)-1)/24),"""18""jjmmdd")</f>
        <v>18980216</v>
      </c>
      <c r="C1112" s="11" t="str">
        <f>INDEX(Data,2,2+MOD(ROWS(C$2:C1112)-1,24))</f>
        <v>07.00</v>
      </c>
      <c r="D1112" s="8" t="str">
        <f t="shared" ca="1" si="53"/>
        <v>—</v>
      </c>
      <c r="E1112" s="16">
        <f t="shared" ca="1" si="54"/>
        <v>7</v>
      </c>
    </row>
    <row r="1113" spans="1:5" x14ac:dyDescent="0.25">
      <c r="A1113" s="3">
        <f t="shared" si="52"/>
        <v>78989</v>
      </c>
      <c r="B1113" t="str">
        <f ca="1">TEXT(DATE(YEAR(Invoer!$A$5),1,1)+INT((ROWS(B$2:B1113)-1)/24),"""18""jjmmdd")</f>
        <v>18980216</v>
      </c>
      <c r="C1113" s="11" t="str">
        <f>INDEX(Data,2,2+MOD(ROWS(C$2:C1113)-1,24))</f>
        <v>08.00</v>
      </c>
      <c r="D1113" s="8" t="str">
        <f t="shared" ca="1" si="53"/>
        <v>—</v>
      </c>
      <c r="E1113" s="16">
        <f t="shared" ca="1" si="54"/>
        <v>7</v>
      </c>
    </row>
    <row r="1114" spans="1:5" x14ac:dyDescent="0.25">
      <c r="A1114" s="3">
        <f t="shared" si="52"/>
        <v>78989</v>
      </c>
      <c r="B1114" t="str">
        <f ca="1">TEXT(DATE(YEAR(Invoer!$A$5),1,1)+INT((ROWS(B$2:B1114)-1)/24),"""18""jjmmdd")</f>
        <v>18980216</v>
      </c>
      <c r="C1114" s="11" t="str">
        <f>INDEX(Data,2,2+MOD(ROWS(C$2:C1114)-1,24))</f>
        <v>09.00</v>
      </c>
      <c r="D1114" s="8" t="str">
        <f t="shared" ca="1" si="53"/>
        <v>—</v>
      </c>
      <c r="E1114" s="16">
        <f t="shared" ca="1" si="54"/>
        <v>7</v>
      </c>
    </row>
    <row r="1115" spans="1:5" x14ac:dyDescent="0.25">
      <c r="A1115" s="3">
        <f t="shared" si="52"/>
        <v>78989</v>
      </c>
      <c r="B1115" t="str">
        <f ca="1">TEXT(DATE(YEAR(Invoer!$A$5),1,1)+INT((ROWS(B$2:B1115)-1)/24),"""18""jjmmdd")</f>
        <v>18980216</v>
      </c>
      <c r="C1115" s="11" t="str">
        <f>INDEX(Data,2,2+MOD(ROWS(C$2:C1115)-1,24))</f>
        <v>10.00</v>
      </c>
      <c r="D1115" s="8" t="str">
        <f t="shared" ca="1" si="53"/>
        <v>—</v>
      </c>
      <c r="E1115" s="16">
        <f t="shared" ca="1" si="54"/>
        <v>7</v>
      </c>
    </row>
    <row r="1116" spans="1:5" x14ac:dyDescent="0.25">
      <c r="A1116" s="3">
        <f t="shared" si="52"/>
        <v>78989</v>
      </c>
      <c r="B1116" t="str">
        <f ca="1">TEXT(DATE(YEAR(Invoer!$A$5),1,1)+INT((ROWS(B$2:B1116)-1)/24),"""18""jjmmdd")</f>
        <v>18980216</v>
      </c>
      <c r="C1116" s="11" t="str">
        <f>INDEX(Data,2,2+MOD(ROWS(C$2:C1116)-1,24))</f>
        <v>11.00</v>
      </c>
      <c r="D1116" s="8" t="str">
        <f t="shared" ca="1" si="53"/>
        <v>—</v>
      </c>
      <c r="E1116" s="16">
        <f t="shared" ca="1" si="54"/>
        <v>7</v>
      </c>
    </row>
    <row r="1117" spans="1:5" x14ac:dyDescent="0.25">
      <c r="A1117" s="3">
        <f t="shared" si="52"/>
        <v>78989</v>
      </c>
      <c r="B1117" t="str">
        <f ca="1">TEXT(DATE(YEAR(Invoer!$A$5),1,1)+INT((ROWS(B$2:B1117)-1)/24),"""18""jjmmdd")</f>
        <v>18980216</v>
      </c>
      <c r="C1117" s="11" t="str">
        <f>INDEX(Data,2,2+MOD(ROWS(C$2:C1117)-1,24))</f>
        <v>12.00</v>
      </c>
      <c r="D1117" s="8" t="str">
        <f t="shared" ca="1" si="53"/>
        <v>—</v>
      </c>
      <c r="E1117" s="16">
        <f t="shared" ca="1" si="54"/>
        <v>7</v>
      </c>
    </row>
    <row r="1118" spans="1:5" x14ac:dyDescent="0.25">
      <c r="A1118" s="3">
        <f t="shared" si="52"/>
        <v>78989</v>
      </c>
      <c r="B1118" t="str">
        <f ca="1">TEXT(DATE(YEAR(Invoer!$A$5),1,1)+INT((ROWS(B$2:B1118)-1)/24),"""18""jjmmdd")</f>
        <v>18980216</v>
      </c>
      <c r="C1118" s="11" t="str">
        <f>INDEX(Data,2,2+MOD(ROWS(C$2:C1118)-1,24))</f>
        <v>13.00</v>
      </c>
      <c r="D1118" s="8" t="str">
        <f t="shared" ca="1" si="53"/>
        <v>—</v>
      </c>
      <c r="E1118" s="16">
        <f t="shared" ca="1" si="54"/>
        <v>7</v>
      </c>
    </row>
    <row r="1119" spans="1:5" x14ac:dyDescent="0.25">
      <c r="A1119" s="3">
        <f t="shared" si="52"/>
        <v>78989</v>
      </c>
      <c r="B1119" t="str">
        <f ca="1">TEXT(DATE(YEAR(Invoer!$A$5),1,1)+INT((ROWS(B$2:B1119)-1)/24),"""18""jjmmdd")</f>
        <v>18980216</v>
      </c>
      <c r="C1119" s="11" t="str">
        <f>INDEX(Data,2,2+MOD(ROWS(C$2:C1119)-1,24))</f>
        <v>14.00</v>
      </c>
      <c r="D1119" s="8" t="str">
        <f t="shared" ca="1" si="53"/>
        <v>—</v>
      </c>
      <c r="E1119" s="16">
        <f t="shared" ca="1" si="54"/>
        <v>7</v>
      </c>
    </row>
    <row r="1120" spans="1:5" x14ac:dyDescent="0.25">
      <c r="A1120" s="3">
        <f t="shared" si="52"/>
        <v>78989</v>
      </c>
      <c r="B1120" t="str">
        <f ca="1">TEXT(DATE(YEAR(Invoer!$A$5),1,1)+INT((ROWS(B$2:B1120)-1)/24),"""18""jjmmdd")</f>
        <v>18980216</v>
      </c>
      <c r="C1120" s="11" t="str">
        <f>INDEX(Data,2,2+MOD(ROWS(C$2:C1120)-1,24))</f>
        <v>15.00</v>
      </c>
      <c r="D1120" s="8" t="str">
        <f t="shared" ca="1" si="53"/>
        <v>—</v>
      </c>
      <c r="E1120" s="16">
        <f t="shared" ca="1" si="54"/>
        <v>7</v>
      </c>
    </row>
    <row r="1121" spans="1:5" x14ac:dyDescent="0.25">
      <c r="A1121" s="3">
        <f t="shared" si="52"/>
        <v>78989</v>
      </c>
      <c r="B1121" t="str">
        <f ca="1">TEXT(DATE(YEAR(Invoer!$A$5),1,1)+INT((ROWS(B$2:B1121)-1)/24),"""18""jjmmdd")</f>
        <v>18980216</v>
      </c>
      <c r="C1121" s="11" t="str">
        <f>INDEX(Data,2,2+MOD(ROWS(C$2:C1121)-1,24))</f>
        <v>16.00</v>
      </c>
      <c r="D1121" s="8" t="str">
        <f t="shared" ca="1" si="53"/>
        <v>—</v>
      </c>
      <c r="E1121" s="16">
        <f t="shared" ca="1" si="54"/>
        <v>7</v>
      </c>
    </row>
    <row r="1122" spans="1:5" x14ac:dyDescent="0.25">
      <c r="A1122" s="3">
        <f t="shared" si="52"/>
        <v>78989</v>
      </c>
      <c r="B1122" t="str">
        <f ca="1">TEXT(DATE(YEAR(Invoer!$A$5),1,1)+INT((ROWS(B$2:B1122)-1)/24),"""18""jjmmdd")</f>
        <v>18980216</v>
      </c>
      <c r="C1122" s="11" t="str">
        <f>INDEX(Data,2,2+MOD(ROWS(C$2:C1122)-1,24))</f>
        <v>17.00</v>
      </c>
      <c r="D1122" s="8" t="str">
        <f t="shared" ca="1" si="53"/>
        <v>—</v>
      </c>
      <c r="E1122" s="16">
        <f t="shared" ca="1" si="54"/>
        <v>7</v>
      </c>
    </row>
    <row r="1123" spans="1:5" x14ac:dyDescent="0.25">
      <c r="A1123" s="3">
        <f t="shared" si="52"/>
        <v>78989</v>
      </c>
      <c r="B1123" t="str">
        <f ca="1">TEXT(DATE(YEAR(Invoer!$A$5),1,1)+INT((ROWS(B$2:B1123)-1)/24),"""18""jjmmdd")</f>
        <v>18980216</v>
      </c>
      <c r="C1123" s="11" t="str">
        <f>INDEX(Data,2,2+MOD(ROWS(C$2:C1123)-1,24))</f>
        <v>18.00</v>
      </c>
      <c r="D1123" s="8" t="str">
        <f t="shared" ca="1" si="53"/>
        <v>—</v>
      </c>
      <c r="E1123" s="16">
        <f t="shared" ca="1" si="54"/>
        <v>7</v>
      </c>
    </row>
    <row r="1124" spans="1:5" x14ac:dyDescent="0.25">
      <c r="A1124" s="3">
        <f t="shared" si="52"/>
        <v>78989</v>
      </c>
      <c r="B1124" t="str">
        <f ca="1">TEXT(DATE(YEAR(Invoer!$A$5),1,1)+INT((ROWS(B$2:B1124)-1)/24),"""18""jjmmdd")</f>
        <v>18980216</v>
      </c>
      <c r="C1124" s="11" t="str">
        <f>INDEX(Data,2,2+MOD(ROWS(C$2:C1124)-1,24))</f>
        <v>19.00</v>
      </c>
      <c r="D1124" s="8" t="str">
        <f t="shared" ca="1" si="53"/>
        <v>—</v>
      </c>
      <c r="E1124" s="16">
        <f t="shared" ca="1" si="54"/>
        <v>7</v>
      </c>
    </row>
    <row r="1125" spans="1:5" x14ac:dyDescent="0.25">
      <c r="A1125" s="3">
        <f t="shared" si="52"/>
        <v>78989</v>
      </c>
      <c r="B1125" t="str">
        <f ca="1">TEXT(DATE(YEAR(Invoer!$A$5),1,1)+INT((ROWS(B$2:B1125)-1)/24),"""18""jjmmdd")</f>
        <v>18980216</v>
      </c>
      <c r="C1125" s="11" t="str">
        <f>INDEX(Data,2,2+MOD(ROWS(C$2:C1125)-1,24))</f>
        <v>20.00</v>
      </c>
      <c r="D1125" s="8" t="str">
        <f t="shared" ca="1" si="53"/>
        <v>—</v>
      </c>
      <c r="E1125" s="16">
        <f t="shared" ca="1" si="54"/>
        <v>7</v>
      </c>
    </row>
    <row r="1126" spans="1:5" x14ac:dyDescent="0.25">
      <c r="A1126" s="3">
        <f t="shared" si="52"/>
        <v>78989</v>
      </c>
      <c r="B1126" t="str">
        <f ca="1">TEXT(DATE(YEAR(Invoer!$A$5),1,1)+INT((ROWS(B$2:B1126)-1)/24),"""18""jjmmdd")</f>
        <v>18980216</v>
      </c>
      <c r="C1126" s="11" t="str">
        <f>INDEX(Data,2,2+MOD(ROWS(C$2:C1126)-1,24))</f>
        <v>21.00</v>
      </c>
      <c r="D1126" s="8" t="str">
        <f t="shared" ca="1" si="53"/>
        <v>—</v>
      </c>
      <c r="E1126" s="16">
        <f t="shared" ca="1" si="54"/>
        <v>7</v>
      </c>
    </row>
    <row r="1127" spans="1:5" x14ac:dyDescent="0.25">
      <c r="A1127" s="3">
        <f t="shared" si="52"/>
        <v>78989</v>
      </c>
      <c r="B1127" t="str">
        <f ca="1">TEXT(DATE(YEAR(Invoer!$A$5),1,1)+INT((ROWS(B$2:B1127)-1)/24),"""18""jjmmdd")</f>
        <v>18980216</v>
      </c>
      <c r="C1127" s="11" t="str">
        <f>INDEX(Data,2,2+MOD(ROWS(C$2:C1127)-1,24))</f>
        <v>22.00</v>
      </c>
      <c r="D1127" s="8" t="str">
        <f t="shared" ca="1" si="53"/>
        <v>—</v>
      </c>
      <c r="E1127" s="16">
        <f t="shared" ca="1" si="54"/>
        <v>7</v>
      </c>
    </row>
    <row r="1128" spans="1:5" x14ac:dyDescent="0.25">
      <c r="A1128" s="3">
        <f t="shared" si="52"/>
        <v>78989</v>
      </c>
      <c r="B1128" t="str">
        <f ca="1">TEXT(DATE(YEAR(Invoer!$A$5),1,1)+INT((ROWS(B$2:B1128)-1)/24),"""18""jjmmdd")</f>
        <v>18980216</v>
      </c>
      <c r="C1128" s="11" t="str">
        <f>INDEX(Data,2,2+MOD(ROWS(C$2:C1128)-1,24))</f>
        <v>23.00</v>
      </c>
      <c r="D1128" s="8" t="str">
        <f t="shared" ca="1" si="53"/>
        <v>—</v>
      </c>
      <c r="E1128" s="16">
        <f t="shared" ca="1" si="54"/>
        <v>7</v>
      </c>
    </row>
    <row r="1129" spans="1:5" x14ac:dyDescent="0.25">
      <c r="A1129" s="3">
        <f t="shared" si="52"/>
        <v>78989</v>
      </c>
      <c r="B1129" t="str">
        <f ca="1">TEXT(DATE(YEAR(Invoer!$A$5),1,1)+INT((ROWS(B$2:B1129)-1)/24),"""18""jjmmdd")</f>
        <v>18980216</v>
      </c>
      <c r="C1129" s="11" t="str">
        <f>INDEX(Data,2,2+MOD(ROWS(C$2:C1129)-1,24))</f>
        <v>24.00</v>
      </c>
      <c r="D1129" s="8" t="str">
        <f t="shared" ca="1" si="53"/>
        <v>—</v>
      </c>
      <c r="E1129" s="16">
        <f t="shared" ca="1" si="54"/>
        <v>7</v>
      </c>
    </row>
    <row r="1130" spans="1:5" x14ac:dyDescent="0.25">
      <c r="A1130" s="3">
        <f t="shared" si="52"/>
        <v>78989</v>
      </c>
      <c r="B1130" t="str">
        <f ca="1">TEXT(DATE(YEAR(Invoer!$A$5),1,1)+INT((ROWS(B$2:B1130)-1)/24),"""18""jjmmdd")</f>
        <v>18980217</v>
      </c>
      <c r="C1130" s="11" t="str">
        <f>INDEX(Data,2,2+MOD(ROWS(C$2:C1130)-1,24))</f>
        <v>01.00</v>
      </c>
      <c r="D1130" s="8" t="str">
        <f t="shared" ca="1" si="53"/>
        <v>—</v>
      </c>
      <c r="E1130" s="16">
        <f t="shared" ca="1" si="54"/>
        <v>7</v>
      </c>
    </row>
    <row r="1131" spans="1:5" x14ac:dyDescent="0.25">
      <c r="A1131" s="3">
        <f t="shared" si="52"/>
        <v>78989</v>
      </c>
      <c r="B1131" t="str">
        <f ca="1">TEXT(DATE(YEAR(Invoer!$A$5),1,1)+INT((ROWS(B$2:B1131)-1)/24),"""18""jjmmdd")</f>
        <v>18980217</v>
      </c>
      <c r="C1131" s="11" t="str">
        <f>INDEX(Data,2,2+MOD(ROWS(C$2:C1131)-1,24))</f>
        <v>02.00</v>
      </c>
      <c r="D1131" s="8" t="str">
        <f t="shared" ca="1" si="53"/>
        <v>—</v>
      </c>
      <c r="E1131" s="16">
        <f t="shared" ca="1" si="54"/>
        <v>7</v>
      </c>
    </row>
    <row r="1132" spans="1:5" x14ac:dyDescent="0.25">
      <c r="A1132" s="3">
        <f t="shared" si="52"/>
        <v>78989</v>
      </c>
      <c r="B1132" t="str">
        <f ca="1">TEXT(DATE(YEAR(Invoer!$A$5),1,1)+INT((ROWS(B$2:B1132)-1)/24),"""18""jjmmdd")</f>
        <v>18980217</v>
      </c>
      <c r="C1132" s="11" t="str">
        <f>INDEX(Data,2,2+MOD(ROWS(C$2:C1132)-1,24))</f>
        <v>03.00</v>
      </c>
      <c r="D1132" s="8" t="str">
        <f t="shared" ca="1" si="53"/>
        <v>—</v>
      </c>
      <c r="E1132" s="16">
        <f t="shared" ca="1" si="54"/>
        <v>7</v>
      </c>
    </row>
    <row r="1133" spans="1:5" x14ac:dyDescent="0.25">
      <c r="A1133" s="3">
        <f t="shared" si="52"/>
        <v>78989</v>
      </c>
      <c r="B1133" t="str">
        <f ca="1">TEXT(DATE(YEAR(Invoer!$A$5),1,1)+INT((ROWS(B$2:B1133)-1)/24),"""18""jjmmdd")</f>
        <v>18980217</v>
      </c>
      <c r="C1133" s="11" t="str">
        <f>INDEX(Data,2,2+MOD(ROWS(C$2:C1133)-1,24))</f>
        <v>04.00</v>
      </c>
      <c r="D1133" s="8" t="str">
        <f t="shared" ca="1" si="53"/>
        <v>—</v>
      </c>
      <c r="E1133" s="16">
        <f t="shared" ca="1" si="54"/>
        <v>7</v>
      </c>
    </row>
    <row r="1134" spans="1:5" x14ac:dyDescent="0.25">
      <c r="A1134" s="3">
        <f t="shared" si="52"/>
        <v>78989</v>
      </c>
      <c r="B1134" t="str">
        <f ca="1">TEXT(DATE(YEAR(Invoer!$A$5),1,1)+INT((ROWS(B$2:B1134)-1)/24),"""18""jjmmdd")</f>
        <v>18980217</v>
      </c>
      <c r="C1134" s="11" t="str">
        <f>INDEX(Data,2,2+MOD(ROWS(C$2:C1134)-1,24))</f>
        <v>05.00</v>
      </c>
      <c r="D1134" s="8" t="str">
        <f t="shared" ca="1" si="53"/>
        <v>—</v>
      </c>
      <c r="E1134" s="16">
        <f t="shared" ca="1" si="54"/>
        <v>7</v>
      </c>
    </row>
    <row r="1135" spans="1:5" x14ac:dyDescent="0.25">
      <c r="A1135" s="3">
        <f t="shared" si="52"/>
        <v>78989</v>
      </c>
      <c r="B1135" t="str">
        <f ca="1">TEXT(DATE(YEAR(Invoer!$A$5),1,1)+INT((ROWS(B$2:B1135)-1)/24),"""18""jjmmdd")</f>
        <v>18980217</v>
      </c>
      <c r="C1135" s="11" t="str">
        <f>INDEX(Data,2,2+MOD(ROWS(C$2:C1135)-1,24))</f>
        <v>06.00</v>
      </c>
      <c r="D1135" s="8" t="str">
        <f t="shared" ca="1" si="53"/>
        <v>—</v>
      </c>
      <c r="E1135" s="16">
        <f t="shared" ca="1" si="54"/>
        <v>7</v>
      </c>
    </row>
    <row r="1136" spans="1:5" x14ac:dyDescent="0.25">
      <c r="A1136" s="3">
        <f t="shared" si="52"/>
        <v>78989</v>
      </c>
      <c r="B1136" t="str">
        <f ca="1">TEXT(DATE(YEAR(Invoer!$A$5),1,1)+INT((ROWS(B$2:B1136)-1)/24),"""18""jjmmdd")</f>
        <v>18980217</v>
      </c>
      <c r="C1136" s="11" t="str">
        <f>INDEX(Data,2,2+MOD(ROWS(C$2:C1136)-1,24))</f>
        <v>07.00</v>
      </c>
      <c r="D1136" s="8" t="str">
        <f t="shared" ca="1" si="53"/>
        <v>—</v>
      </c>
      <c r="E1136" s="16">
        <f t="shared" ca="1" si="54"/>
        <v>7</v>
      </c>
    </row>
    <row r="1137" spans="1:5" x14ac:dyDescent="0.25">
      <c r="A1137" s="3">
        <f t="shared" si="52"/>
        <v>78989</v>
      </c>
      <c r="B1137" t="str">
        <f ca="1">TEXT(DATE(YEAR(Invoer!$A$5),1,1)+INT((ROWS(B$2:B1137)-1)/24),"""18""jjmmdd")</f>
        <v>18980217</v>
      </c>
      <c r="C1137" s="11" t="str">
        <f>INDEX(Data,2,2+MOD(ROWS(C$2:C1137)-1,24))</f>
        <v>08.00</v>
      </c>
      <c r="D1137" s="8" t="str">
        <f t="shared" ca="1" si="53"/>
        <v>—</v>
      </c>
      <c r="E1137" s="16">
        <f t="shared" ca="1" si="54"/>
        <v>7</v>
      </c>
    </row>
    <row r="1138" spans="1:5" x14ac:dyDescent="0.25">
      <c r="A1138" s="3">
        <f t="shared" si="52"/>
        <v>78989</v>
      </c>
      <c r="B1138" t="str">
        <f ca="1">TEXT(DATE(YEAR(Invoer!$A$5),1,1)+INT((ROWS(B$2:B1138)-1)/24),"""18""jjmmdd")</f>
        <v>18980217</v>
      </c>
      <c r="C1138" s="11" t="str">
        <f>INDEX(Data,2,2+MOD(ROWS(C$2:C1138)-1,24))</f>
        <v>09.00</v>
      </c>
      <c r="D1138" s="8" t="str">
        <f t="shared" ca="1" si="53"/>
        <v>—</v>
      </c>
      <c r="E1138" s="16">
        <f t="shared" ca="1" si="54"/>
        <v>7</v>
      </c>
    </row>
    <row r="1139" spans="1:5" x14ac:dyDescent="0.25">
      <c r="A1139" s="3">
        <f t="shared" si="52"/>
        <v>78989</v>
      </c>
      <c r="B1139" t="str">
        <f ca="1">TEXT(DATE(YEAR(Invoer!$A$5),1,1)+INT((ROWS(B$2:B1139)-1)/24),"""18""jjmmdd")</f>
        <v>18980217</v>
      </c>
      <c r="C1139" s="11" t="str">
        <f>INDEX(Data,2,2+MOD(ROWS(C$2:C1139)-1,24))</f>
        <v>10.00</v>
      </c>
      <c r="D1139" s="8" t="str">
        <f t="shared" ca="1" si="53"/>
        <v>—</v>
      </c>
      <c r="E1139" s="16">
        <f t="shared" ca="1" si="54"/>
        <v>7</v>
      </c>
    </row>
    <row r="1140" spans="1:5" x14ac:dyDescent="0.25">
      <c r="A1140" s="3">
        <f t="shared" si="52"/>
        <v>78989</v>
      </c>
      <c r="B1140" t="str">
        <f ca="1">TEXT(DATE(YEAR(Invoer!$A$5),1,1)+INT((ROWS(B$2:B1140)-1)/24),"""18""jjmmdd")</f>
        <v>18980217</v>
      </c>
      <c r="C1140" s="11" t="str">
        <f>INDEX(Data,2,2+MOD(ROWS(C$2:C1140)-1,24))</f>
        <v>11.00</v>
      </c>
      <c r="D1140" s="8" t="str">
        <f t="shared" ca="1" si="53"/>
        <v>—</v>
      </c>
      <c r="E1140" s="16">
        <f t="shared" ca="1" si="54"/>
        <v>7</v>
      </c>
    </row>
    <row r="1141" spans="1:5" x14ac:dyDescent="0.25">
      <c r="A1141" s="3">
        <f t="shared" si="52"/>
        <v>78989</v>
      </c>
      <c r="B1141" t="str">
        <f ca="1">TEXT(DATE(YEAR(Invoer!$A$5),1,1)+INT((ROWS(B$2:B1141)-1)/24),"""18""jjmmdd")</f>
        <v>18980217</v>
      </c>
      <c r="C1141" s="11" t="str">
        <f>INDEX(Data,2,2+MOD(ROWS(C$2:C1141)-1,24))</f>
        <v>12.00</v>
      </c>
      <c r="D1141" s="8" t="str">
        <f t="shared" ca="1" si="53"/>
        <v>—</v>
      </c>
      <c r="E1141" s="16">
        <f t="shared" ca="1" si="54"/>
        <v>7</v>
      </c>
    </row>
    <row r="1142" spans="1:5" x14ac:dyDescent="0.25">
      <c r="A1142" s="3">
        <f t="shared" si="52"/>
        <v>78989</v>
      </c>
      <c r="B1142" t="str">
        <f ca="1">TEXT(DATE(YEAR(Invoer!$A$5),1,1)+INT((ROWS(B$2:B1142)-1)/24),"""18""jjmmdd")</f>
        <v>18980217</v>
      </c>
      <c r="C1142" s="11" t="str">
        <f>INDEX(Data,2,2+MOD(ROWS(C$2:C1142)-1,24))</f>
        <v>13.00</v>
      </c>
      <c r="D1142" s="8" t="str">
        <f t="shared" ca="1" si="53"/>
        <v>—</v>
      </c>
      <c r="E1142" s="16">
        <f t="shared" ca="1" si="54"/>
        <v>7</v>
      </c>
    </row>
    <row r="1143" spans="1:5" x14ac:dyDescent="0.25">
      <c r="A1143" s="3">
        <f t="shared" si="52"/>
        <v>78989</v>
      </c>
      <c r="B1143" t="str">
        <f ca="1">TEXT(DATE(YEAR(Invoer!$A$5),1,1)+INT((ROWS(B$2:B1143)-1)/24),"""18""jjmmdd")</f>
        <v>18980217</v>
      </c>
      <c r="C1143" s="11" t="str">
        <f>INDEX(Data,2,2+MOD(ROWS(C$2:C1143)-1,24))</f>
        <v>14.00</v>
      </c>
      <c r="D1143" s="8" t="str">
        <f t="shared" ca="1" si="53"/>
        <v>—</v>
      </c>
      <c r="E1143" s="16">
        <f t="shared" ca="1" si="54"/>
        <v>7</v>
      </c>
    </row>
    <row r="1144" spans="1:5" x14ac:dyDescent="0.25">
      <c r="A1144" s="3">
        <f t="shared" si="52"/>
        <v>78989</v>
      </c>
      <c r="B1144" t="str">
        <f ca="1">TEXT(DATE(YEAR(Invoer!$A$5),1,1)+INT((ROWS(B$2:B1144)-1)/24),"""18""jjmmdd")</f>
        <v>18980217</v>
      </c>
      <c r="C1144" s="11" t="str">
        <f>INDEX(Data,2,2+MOD(ROWS(C$2:C1144)-1,24))</f>
        <v>15.00</v>
      </c>
      <c r="D1144" s="8" t="str">
        <f t="shared" ca="1" si="53"/>
        <v>—</v>
      </c>
      <c r="E1144" s="16">
        <f t="shared" ca="1" si="54"/>
        <v>7</v>
      </c>
    </row>
    <row r="1145" spans="1:5" x14ac:dyDescent="0.25">
      <c r="A1145" s="3">
        <f t="shared" si="52"/>
        <v>78989</v>
      </c>
      <c r="B1145" t="str">
        <f ca="1">TEXT(DATE(YEAR(Invoer!$A$5),1,1)+INT((ROWS(B$2:B1145)-1)/24),"""18""jjmmdd")</f>
        <v>18980217</v>
      </c>
      <c r="C1145" s="11" t="str">
        <f>INDEX(Data,2,2+MOD(ROWS(C$2:C1145)-1,24))</f>
        <v>16.00</v>
      </c>
      <c r="D1145" s="8" t="str">
        <f t="shared" ca="1" si="53"/>
        <v>—</v>
      </c>
      <c r="E1145" s="16">
        <f t="shared" ca="1" si="54"/>
        <v>7</v>
      </c>
    </row>
    <row r="1146" spans="1:5" x14ac:dyDescent="0.25">
      <c r="A1146" s="3">
        <f t="shared" si="52"/>
        <v>78989</v>
      </c>
      <c r="B1146" t="str">
        <f ca="1">TEXT(DATE(YEAR(Invoer!$A$5),1,1)+INT((ROWS(B$2:B1146)-1)/24),"""18""jjmmdd")</f>
        <v>18980217</v>
      </c>
      <c r="C1146" s="11" t="str">
        <f>INDEX(Data,2,2+MOD(ROWS(C$2:C1146)-1,24))</f>
        <v>17.00</v>
      </c>
      <c r="D1146" s="8" t="str">
        <f t="shared" ca="1" si="53"/>
        <v>—</v>
      </c>
      <c r="E1146" s="16">
        <f t="shared" ca="1" si="54"/>
        <v>7</v>
      </c>
    </row>
    <row r="1147" spans="1:5" x14ac:dyDescent="0.25">
      <c r="A1147" s="3">
        <f t="shared" si="52"/>
        <v>78989</v>
      </c>
      <c r="B1147" t="str">
        <f ca="1">TEXT(DATE(YEAR(Invoer!$A$5),1,1)+INT((ROWS(B$2:B1147)-1)/24),"""18""jjmmdd")</f>
        <v>18980217</v>
      </c>
      <c r="C1147" s="11" t="str">
        <f>INDEX(Data,2,2+MOD(ROWS(C$2:C1147)-1,24))</f>
        <v>18.00</v>
      </c>
      <c r="D1147" s="8" t="str">
        <f t="shared" ca="1" si="53"/>
        <v>—</v>
      </c>
      <c r="E1147" s="16">
        <f t="shared" ca="1" si="54"/>
        <v>7</v>
      </c>
    </row>
    <row r="1148" spans="1:5" x14ac:dyDescent="0.25">
      <c r="A1148" s="3">
        <f t="shared" si="52"/>
        <v>78989</v>
      </c>
      <c r="B1148" t="str">
        <f ca="1">TEXT(DATE(YEAR(Invoer!$A$5),1,1)+INT((ROWS(B$2:B1148)-1)/24),"""18""jjmmdd")</f>
        <v>18980217</v>
      </c>
      <c r="C1148" s="11" t="str">
        <f>INDEX(Data,2,2+MOD(ROWS(C$2:C1148)-1,24))</f>
        <v>19.00</v>
      </c>
      <c r="D1148" s="8" t="str">
        <f t="shared" ca="1" si="53"/>
        <v>—</v>
      </c>
      <c r="E1148" s="16">
        <f t="shared" ca="1" si="54"/>
        <v>7</v>
      </c>
    </row>
    <row r="1149" spans="1:5" x14ac:dyDescent="0.25">
      <c r="A1149" s="3">
        <f t="shared" si="52"/>
        <v>78989</v>
      </c>
      <c r="B1149" t="str">
        <f ca="1">TEXT(DATE(YEAR(Invoer!$A$5),1,1)+INT((ROWS(B$2:B1149)-1)/24),"""18""jjmmdd")</f>
        <v>18980217</v>
      </c>
      <c r="C1149" s="11" t="str">
        <f>INDEX(Data,2,2+MOD(ROWS(C$2:C1149)-1,24))</f>
        <v>20.00</v>
      </c>
      <c r="D1149" s="8" t="str">
        <f t="shared" ca="1" si="53"/>
        <v>—</v>
      </c>
      <c r="E1149" s="16">
        <f t="shared" ca="1" si="54"/>
        <v>7</v>
      </c>
    </row>
    <row r="1150" spans="1:5" x14ac:dyDescent="0.25">
      <c r="A1150" s="3">
        <f t="shared" si="52"/>
        <v>78989</v>
      </c>
      <c r="B1150" t="str">
        <f ca="1">TEXT(DATE(YEAR(Invoer!$A$5),1,1)+INT((ROWS(B$2:B1150)-1)/24),"""18""jjmmdd")</f>
        <v>18980217</v>
      </c>
      <c r="C1150" s="11" t="str">
        <f>INDEX(Data,2,2+MOD(ROWS(C$2:C1150)-1,24))</f>
        <v>21.00</v>
      </c>
      <c r="D1150" s="8" t="str">
        <f t="shared" ca="1" si="53"/>
        <v>—</v>
      </c>
      <c r="E1150" s="16">
        <f t="shared" ca="1" si="54"/>
        <v>7</v>
      </c>
    </row>
    <row r="1151" spans="1:5" x14ac:dyDescent="0.25">
      <c r="A1151" s="3">
        <f t="shared" si="52"/>
        <v>78989</v>
      </c>
      <c r="B1151" t="str">
        <f ca="1">TEXT(DATE(YEAR(Invoer!$A$5),1,1)+INT((ROWS(B$2:B1151)-1)/24),"""18""jjmmdd")</f>
        <v>18980217</v>
      </c>
      <c r="C1151" s="11" t="str">
        <f>INDEX(Data,2,2+MOD(ROWS(C$2:C1151)-1,24))</f>
        <v>22.00</v>
      </c>
      <c r="D1151" s="8" t="str">
        <f t="shared" ca="1" si="53"/>
        <v>—</v>
      </c>
      <c r="E1151" s="16">
        <f t="shared" ca="1" si="54"/>
        <v>7</v>
      </c>
    </row>
    <row r="1152" spans="1:5" x14ac:dyDescent="0.25">
      <c r="A1152" s="3">
        <f t="shared" si="52"/>
        <v>78989</v>
      </c>
      <c r="B1152" t="str">
        <f ca="1">TEXT(DATE(YEAR(Invoer!$A$5),1,1)+INT((ROWS(B$2:B1152)-1)/24),"""18""jjmmdd")</f>
        <v>18980217</v>
      </c>
      <c r="C1152" s="11" t="str">
        <f>INDEX(Data,2,2+MOD(ROWS(C$2:C1152)-1,24))</f>
        <v>23.00</v>
      </c>
      <c r="D1152" s="8" t="str">
        <f t="shared" ca="1" si="53"/>
        <v>—</v>
      </c>
      <c r="E1152" s="16">
        <f t="shared" ca="1" si="54"/>
        <v>7</v>
      </c>
    </row>
    <row r="1153" spans="1:5" x14ac:dyDescent="0.25">
      <c r="A1153" s="3">
        <f t="shared" si="52"/>
        <v>78989</v>
      </c>
      <c r="B1153" t="str">
        <f ca="1">TEXT(DATE(YEAR(Invoer!$A$5),1,1)+INT((ROWS(B$2:B1153)-1)/24),"""18""jjmmdd")</f>
        <v>18980217</v>
      </c>
      <c r="C1153" s="11" t="str">
        <f>INDEX(Data,2,2+MOD(ROWS(C$2:C1153)-1,24))</f>
        <v>24.00</v>
      </c>
      <c r="D1153" s="8" t="str">
        <f t="shared" ca="1" si="53"/>
        <v>—</v>
      </c>
      <c r="E1153" s="16">
        <f t="shared" ca="1" si="54"/>
        <v>7</v>
      </c>
    </row>
    <row r="1154" spans="1:5" x14ac:dyDescent="0.25">
      <c r="A1154" s="3">
        <f t="shared" ref="A1154:A1217" si="55">INDEX(Stations,2,1)</f>
        <v>78989</v>
      </c>
      <c r="B1154" t="str">
        <f ca="1">TEXT(DATE(YEAR(Invoer!$A$5),1,1)+INT((ROWS(B$2:B1154)-1)/24),"""18""jjmmdd")</f>
        <v>18980218</v>
      </c>
      <c r="C1154" s="11" t="str">
        <f>INDEX(Data,2,2+MOD(ROWS(C$2:C1154)-1,24))</f>
        <v>01.00</v>
      </c>
      <c r="D1154" s="8" t="str">
        <f t="shared" ref="D1154:D1217" ca="1" si="56">IF(OR(ISBLANK(VLOOKUP(DATEVALUE("37"&amp;MID($B1154,3,2)&amp;"-"&amp;MID($B1154,5,2)&amp;"-"&amp;RIGHT($B1154,2)),Data,MATCH(LEFT(VLOOKUP(D$1,Parameters,2,FALSE()),4)&amp;"*",OFFSET(Data,0,0,1),0)+MATCH($C1154,OFFSET(Data,1,0,1),0)-2,FALSE())),ISTEXT(VLOOKUP(DATEVALUE("37"&amp;MID($B1154,3,2)&amp;"-"&amp;MID($B1154,5,2)&amp;"-"&amp;RIGHT($B1154,2)),Data,MATCH(LEFT(VLOOKUP(D$1,Parameters,2,FALSE()),4)&amp;"*",OFFSET(Data,0,0,1),0)+MATCH($C1154,OFFSET(Data,1,0,1),0)-2,FALSE()))),"—",VLOOKUP(DATEVALUE("37"&amp;MID($B1154,3,2)&amp;"-"&amp;MID($B1154,5,2)&amp;"-"&amp;RIGHT($B1154,2)),Data,MATCH(LEFT(VLOOKUP(D$1,Parameters,2,FALSE()),4)&amp;"*",OFFSET(Data,0,0,1),0)+MATCH($C1154,OFFSET(Data,1,0,1),0)-2,FALSE()))</f>
        <v>—</v>
      </c>
      <c r="E1154" s="16">
        <f t="shared" ca="1" si="54"/>
        <v>7</v>
      </c>
    </row>
    <row r="1155" spans="1:5" x14ac:dyDescent="0.25">
      <c r="A1155" s="3">
        <f t="shared" si="55"/>
        <v>78989</v>
      </c>
      <c r="B1155" t="str">
        <f ca="1">TEXT(DATE(YEAR(Invoer!$A$5),1,1)+INT((ROWS(B$2:B1155)-1)/24),"""18""jjmmdd")</f>
        <v>18980218</v>
      </c>
      <c r="C1155" s="11" t="str">
        <f>INDEX(Data,2,2+MOD(ROWS(C$2:C1155)-1,24))</f>
        <v>02.00</v>
      </c>
      <c r="D1155" s="8" t="str">
        <f t="shared" ca="1" si="56"/>
        <v>—</v>
      </c>
      <c r="E1155" s="16">
        <f t="shared" ref="E1155:E1218" ca="1" si="57">IF(OR(ISBLANK(VLOOKUP(DATEVALUE("37"&amp;MID($B1155,3,2)&amp;"-"&amp;MID($B1155,5,2)&amp;"-"&amp;RIGHT($B1155,2)),Data,MATCH(LEFT(VLOOKUP(D$1,Parameters,2,FALSE()),4)&amp;"*",OFFSET(Data,0,0,1),0)+MATCH($C1155,OFFSET(Data,1,0,1),0)-2,FALSE())),ISTEXT(VLOOKUP(DATEVALUE("37"&amp;MID($B1155,3,2)&amp;"-"&amp;MID($B1155,5,2)&amp;"-"&amp;RIGHT($B1155,2)),Data,MATCH(LEFT(VLOOKUP(D$1,Parameters,2,FALSE()),4)&amp;"*",OFFSET(Data,0,0,1),0)+MATCH($C1155,OFFSET(Data,1,0,1),0)-2,FALSE()))),Lacking,IF(ISNA(MATCH(DATEVALUE("37"&amp;MID($B1155,3,2)&amp;"-"&amp;MID($B1155,5,2)&amp;"-"&amp;RIGHT($B1155,2)),OFFSET(Catalogus,0,0,,1),0)),Ok,VLOOKUP(DATEVALUE("37"&amp;MID($B1155,3,2)&amp;"-"&amp;MID($B1155,5,2)&amp;"-"&amp;RIGHT($B1155,2)),Catalogus,MATCH(LEFT(VLOOKUP(MID(E$1,2,LEN(E$1)-1),Parameters,2,FALSE()),4)&amp;"*",OFFSET(Catalogus,0,0,1),0)+MATCH($C1155,OFFSET(Catalogus,1,0,1),0)-2,FALSE())))</f>
        <v>7</v>
      </c>
    </row>
    <row r="1156" spans="1:5" x14ac:dyDescent="0.25">
      <c r="A1156" s="3">
        <f t="shared" si="55"/>
        <v>78989</v>
      </c>
      <c r="B1156" t="str">
        <f ca="1">TEXT(DATE(YEAR(Invoer!$A$5),1,1)+INT((ROWS(B$2:B1156)-1)/24),"""18""jjmmdd")</f>
        <v>18980218</v>
      </c>
      <c r="C1156" s="11" t="str">
        <f>INDEX(Data,2,2+MOD(ROWS(C$2:C1156)-1,24))</f>
        <v>03.00</v>
      </c>
      <c r="D1156" s="8" t="str">
        <f t="shared" ca="1" si="56"/>
        <v>—</v>
      </c>
      <c r="E1156" s="16">
        <f t="shared" ca="1" si="57"/>
        <v>7</v>
      </c>
    </row>
    <row r="1157" spans="1:5" x14ac:dyDescent="0.25">
      <c r="A1157" s="3">
        <f t="shared" si="55"/>
        <v>78989</v>
      </c>
      <c r="B1157" t="str">
        <f ca="1">TEXT(DATE(YEAR(Invoer!$A$5),1,1)+INT((ROWS(B$2:B1157)-1)/24),"""18""jjmmdd")</f>
        <v>18980218</v>
      </c>
      <c r="C1157" s="11" t="str">
        <f>INDEX(Data,2,2+MOD(ROWS(C$2:C1157)-1,24))</f>
        <v>04.00</v>
      </c>
      <c r="D1157" s="8" t="str">
        <f t="shared" ca="1" si="56"/>
        <v>—</v>
      </c>
      <c r="E1157" s="16">
        <f t="shared" ca="1" si="57"/>
        <v>7</v>
      </c>
    </row>
    <row r="1158" spans="1:5" x14ac:dyDescent="0.25">
      <c r="A1158" s="3">
        <f t="shared" si="55"/>
        <v>78989</v>
      </c>
      <c r="B1158" t="str">
        <f ca="1">TEXT(DATE(YEAR(Invoer!$A$5),1,1)+INT((ROWS(B$2:B1158)-1)/24),"""18""jjmmdd")</f>
        <v>18980218</v>
      </c>
      <c r="C1158" s="11" t="str">
        <f>INDEX(Data,2,2+MOD(ROWS(C$2:C1158)-1,24))</f>
        <v>05.00</v>
      </c>
      <c r="D1158" s="8" t="str">
        <f t="shared" ca="1" si="56"/>
        <v>—</v>
      </c>
      <c r="E1158" s="16">
        <f t="shared" ca="1" si="57"/>
        <v>7</v>
      </c>
    </row>
    <row r="1159" spans="1:5" x14ac:dyDescent="0.25">
      <c r="A1159" s="3">
        <f t="shared" si="55"/>
        <v>78989</v>
      </c>
      <c r="B1159" t="str">
        <f ca="1">TEXT(DATE(YEAR(Invoer!$A$5),1,1)+INT((ROWS(B$2:B1159)-1)/24),"""18""jjmmdd")</f>
        <v>18980218</v>
      </c>
      <c r="C1159" s="11" t="str">
        <f>INDEX(Data,2,2+MOD(ROWS(C$2:C1159)-1,24))</f>
        <v>06.00</v>
      </c>
      <c r="D1159" s="8" t="str">
        <f t="shared" ca="1" si="56"/>
        <v>—</v>
      </c>
      <c r="E1159" s="16">
        <f t="shared" ca="1" si="57"/>
        <v>7</v>
      </c>
    </row>
    <row r="1160" spans="1:5" x14ac:dyDescent="0.25">
      <c r="A1160" s="3">
        <f t="shared" si="55"/>
        <v>78989</v>
      </c>
      <c r="B1160" t="str">
        <f ca="1">TEXT(DATE(YEAR(Invoer!$A$5),1,1)+INT((ROWS(B$2:B1160)-1)/24),"""18""jjmmdd")</f>
        <v>18980218</v>
      </c>
      <c r="C1160" s="11" t="str">
        <f>INDEX(Data,2,2+MOD(ROWS(C$2:C1160)-1,24))</f>
        <v>07.00</v>
      </c>
      <c r="D1160" s="8" t="str">
        <f t="shared" ca="1" si="56"/>
        <v>—</v>
      </c>
      <c r="E1160" s="16">
        <f t="shared" ca="1" si="57"/>
        <v>7</v>
      </c>
    </row>
    <row r="1161" spans="1:5" x14ac:dyDescent="0.25">
      <c r="A1161" s="3">
        <f t="shared" si="55"/>
        <v>78989</v>
      </c>
      <c r="B1161" t="str">
        <f ca="1">TEXT(DATE(YEAR(Invoer!$A$5),1,1)+INT((ROWS(B$2:B1161)-1)/24),"""18""jjmmdd")</f>
        <v>18980218</v>
      </c>
      <c r="C1161" s="11" t="str">
        <f>INDEX(Data,2,2+MOD(ROWS(C$2:C1161)-1,24))</f>
        <v>08.00</v>
      </c>
      <c r="D1161" s="8" t="str">
        <f t="shared" ca="1" si="56"/>
        <v>—</v>
      </c>
      <c r="E1161" s="16">
        <f t="shared" ca="1" si="57"/>
        <v>7</v>
      </c>
    </row>
    <row r="1162" spans="1:5" x14ac:dyDescent="0.25">
      <c r="A1162" s="3">
        <f t="shared" si="55"/>
        <v>78989</v>
      </c>
      <c r="B1162" t="str">
        <f ca="1">TEXT(DATE(YEAR(Invoer!$A$5),1,1)+INT((ROWS(B$2:B1162)-1)/24),"""18""jjmmdd")</f>
        <v>18980218</v>
      </c>
      <c r="C1162" s="11" t="str">
        <f>INDEX(Data,2,2+MOD(ROWS(C$2:C1162)-1,24))</f>
        <v>09.00</v>
      </c>
      <c r="D1162" s="8" t="str">
        <f t="shared" ca="1" si="56"/>
        <v>—</v>
      </c>
      <c r="E1162" s="16">
        <f t="shared" ca="1" si="57"/>
        <v>7</v>
      </c>
    </row>
    <row r="1163" spans="1:5" x14ac:dyDescent="0.25">
      <c r="A1163" s="3">
        <f t="shared" si="55"/>
        <v>78989</v>
      </c>
      <c r="B1163" t="str">
        <f ca="1">TEXT(DATE(YEAR(Invoer!$A$5),1,1)+INT((ROWS(B$2:B1163)-1)/24),"""18""jjmmdd")</f>
        <v>18980218</v>
      </c>
      <c r="C1163" s="11" t="str">
        <f>INDEX(Data,2,2+MOD(ROWS(C$2:C1163)-1,24))</f>
        <v>10.00</v>
      </c>
      <c r="D1163" s="8" t="str">
        <f t="shared" ca="1" si="56"/>
        <v>—</v>
      </c>
      <c r="E1163" s="16">
        <f t="shared" ca="1" si="57"/>
        <v>7</v>
      </c>
    </row>
    <row r="1164" spans="1:5" x14ac:dyDescent="0.25">
      <c r="A1164" s="3">
        <f t="shared" si="55"/>
        <v>78989</v>
      </c>
      <c r="B1164" t="str">
        <f ca="1">TEXT(DATE(YEAR(Invoer!$A$5),1,1)+INT((ROWS(B$2:B1164)-1)/24),"""18""jjmmdd")</f>
        <v>18980218</v>
      </c>
      <c r="C1164" s="11" t="str">
        <f>INDEX(Data,2,2+MOD(ROWS(C$2:C1164)-1,24))</f>
        <v>11.00</v>
      </c>
      <c r="D1164" s="8" t="str">
        <f t="shared" ca="1" si="56"/>
        <v>—</v>
      </c>
      <c r="E1164" s="16">
        <f t="shared" ca="1" si="57"/>
        <v>7</v>
      </c>
    </row>
    <row r="1165" spans="1:5" x14ac:dyDescent="0.25">
      <c r="A1165" s="3">
        <f t="shared" si="55"/>
        <v>78989</v>
      </c>
      <c r="B1165" t="str">
        <f ca="1">TEXT(DATE(YEAR(Invoer!$A$5),1,1)+INT((ROWS(B$2:B1165)-1)/24),"""18""jjmmdd")</f>
        <v>18980218</v>
      </c>
      <c r="C1165" s="11" t="str">
        <f>INDEX(Data,2,2+MOD(ROWS(C$2:C1165)-1,24))</f>
        <v>12.00</v>
      </c>
      <c r="D1165" s="8" t="str">
        <f t="shared" ca="1" si="56"/>
        <v>—</v>
      </c>
      <c r="E1165" s="16">
        <f t="shared" ca="1" si="57"/>
        <v>7</v>
      </c>
    </row>
    <row r="1166" spans="1:5" x14ac:dyDescent="0.25">
      <c r="A1166" s="3">
        <f t="shared" si="55"/>
        <v>78989</v>
      </c>
      <c r="B1166" t="str">
        <f ca="1">TEXT(DATE(YEAR(Invoer!$A$5),1,1)+INT((ROWS(B$2:B1166)-1)/24),"""18""jjmmdd")</f>
        <v>18980218</v>
      </c>
      <c r="C1166" s="11" t="str">
        <f>INDEX(Data,2,2+MOD(ROWS(C$2:C1166)-1,24))</f>
        <v>13.00</v>
      </c>
      <c r="D1166" s="8" t="str">
        <f t="shared" ca="1" si="56"/>
        <v>—</v>
      </c>
      <c r="E1166" s="16">
        <f t="shared" ca="1" si="57"/>
        <v>7</v>
      </c>
    </row>
    <row r="1167" spans="1:5" x14ac:dyDescent="0.25">
      <c r="A1167" s="3">
        <f t="shared" si="55"/>
        <v>78989</v>
      </c>
      <c r="B1167" t="str">
        <f ca="1">TEXT(DATE(YEAR(Invoer!$A$5),1,1)+INT((ROWS(B$2:B1167)-1)/24),"""18""jjmmdd")</f>
        <v>18980218</v>
      </c>
      <c r="C1167" s="11" t="str">
        <f>INDEX(Data,2,2+MOD(ROWS(C$2:C1167)-1,24))</f>
        <v>14.00</v>
      </c>
      <c r="D1167" s="8" t="str">
        <f t="shared" ca="1" si="56"/>
        <v>—</v>
      </c>
      <c r="E1167" s="16">
        <f t="shared" ca="1" si="57"/>
        <v>7</v>
      </c>
    </row>
    <row r="1168" spans="1:5" x14ac:dyDescent="0.25">
      <c r="A1168" s="3">
        <f t="shared" si="55"/>
        <v>78989</v>
      </c>
      <c r="B1168" t="str">
        <f ca="1">TEXT(DATE(YEAR(Invoer!$A$5),1,1)+INT((ROWS(B$2:B1168)-1)/24),"""18""jjmmdd")</f>
        <v>18980218</v>
      </c>
      <c r="C1168" s="11" t="str">
        <f>INDEX(Data,2,2+MOD(ROWS(C$2:C1168)-1,24))</f>
        <v>15.00</v>
      </c>
      <c r="D1168" s="8" t="str">
        <f t="shared" ca="1" si="56"/>
        <v>—</v>
      </c>
      <c r="E1168" s="16">
        <f t="shared" ca="1" si="57"/>
        <v>7</v>
      </c>
    </row>
    <row r="1169" spans="1:5" x14ac:dyDescent="0.25">
      <c r="A1169" s="3">
        <f t="shared" si="55"/>
        <v>78989</v>
      </c>
      <c r="B1169" t="str">
        <f ca="1">TEXT(DATE(YEAR(Invoer!$A$5),1,1)+INT((ROWS(B$2:B1169)-1)/24),"""18""jjmmdd")</f>
        <v>18980218</v>
      </c>
      <c r="C1169" s="11" t="str">
        <f>INDEX(Data,2,2+MOD(ROWS(C$2:C1169)-1,24))</f>
        <v>16.00</v>
      </c>
      <c r="D1169" s="8" t="str">
        <f t="shared" ca="1" si="56"/>
        <v>—</v>
      </c>
      <c r="E1169" s="16">
        <f t="shared" ca="1" si="57"/>
        <v>7</v>
      </c>
    </row>
    <row r="1170" spans="1:5" x14ac:dyDescent="0.25">
      <c r="A1170" s="3">
        <f t="shared" si="55"/>
        <v>78989</v>
      </c>
      <c r="B1170" t="str">
        <f ca="1">TEXT(DATE(YEAR(Invoer!$A$5),1,1)+INT((ROWS(B$2:B1170)-1)/24),"""18""jjmmdd")</f>
        <v>18980218</v>
      </c>
      <c r="C1170" s="11" t="str">
        <f>INDEX(Data,2,2+MOD(ROWS(C$2:C1170)-1,24))</f>
        <v>17.00</v>
      </c>
      <c r="D1170" s="8" t="str">
        <f t="shared" ca="1" si="56"/>
        <v>—</v>
      </c>
      <c r="E1170" s="16">
        <f t="shared" ca="1" si="57"/>
        <v>7</v>
      </c>
    </row>
    <row r="1171" spans="1:5" x14ac:dyDescent="0.25">
      <c r="A1171" s="3">
        <f t="shared" si="55"/>
        <v>78989</v>
      </c>
      <c r="B1171" t="str">
        <f ca="1">TEXT(DATE(YEAR(Invoer!$A$5),1,1)+INT((ROWS(B$2:B1171)-1)/24),"""18""jjmmdd")</f>
        <v>18980218</v>
      </c>
      <c r="C1171" s="11" t="str">
        <f>INDEX(Data,2,2+MOD(ROWS(C$2:C1171)-1,24))</f>
        <v>18.00</v>
      </c>
      <c r="D1171" s="8" t="str">
        <f t="shared" ca="1" si="56"/>
        <v>—</v>
      </c>
      <c r="E1171" s="16">
        <f t="shared" ca="1" si="57"/>
        <v>7</v>
      </c>
    </row>
    <row r="1172" spans="1:5" x14ac:dyDescent="0.25">
      <c r="A1172" s="3">
        <f t="shared" si="55"/>
        <v>78989</v>
      </c>
      <c r="B1172" t="str">
        <f ca="1">TEXT(DATE(YEAR(Invoer!$A$5),1,1)+INT((ROWS(B$2:B1172)-1)/24),"""18""jjmmdd")</f>
        <v>18980218</v>
      </c>
      <c r="C1172" s="11" t="str">
        <f>INDEX(Data,2,2+MOD(ROWS(C$2:C1172)-1,24))</f>
        <v>19.00</v>
      </c>
      <c r="D1172" s="8" t="str">
        <f t="shared" ca="1" si="56"/>
        <v>—</v>
      </c>
      <c r="E1172" s="16">
        <f t="shared" ca="1" si="57"/>
        <v>7</v>
      </c>
    </row>
    <row r="1173" spans="1:5" x14ac:dyDescent="0.25">
      <c r="A1173" s="3">
        <f t="shared" si="55"/>
        <v>78989</v>
      </c>
      <c r="B1173" t="str">
        <f ca="1">TEXT(DATE(YEAR(Invoer!$A$5),1,1)+INT((ROWS(B$2:B1173)-1)/24),"""18""jjmmdd")</f>
        <v>18980218</v>
      </c>
      <c r="C1173" s="11" t="str">
        <f>INDEX(Data,2,2+MOD(ROWS(C$2:C1173)-1,24))</f>
        <v>20.00</v>
      </c>
      <c r="D1173" s="8" t="str">
        <f t="shared" ca="1" si="56"/>
        <v>—</v>
      </c>
      <c r="E1173" s="16">
        <f t="shared" ca="1" si="57"/>
        <v>7</v>
      </c>
    </row>
    <row r="1174" spans="1:5" x14ac:dyDescent="0.25">
      <c r="A1174" s="3">
        <f t="shared" si="55"/>
        <v>78989</v>
      </c>
      <c r="B1174" t="str">
        <f ca="1">TEXT(DATE(YEAR(Invoer!$A$5),1,1)+INT((ROWS(B$2:B1174)-1)/24),"""18""jjmmdd")</f>
        <v>18980218</v>
      </c>
      <c r="C1174" s="11" t="str">
        <f>INDEX(Data,2,2+MOD(ROWS(C$2:C1174)-1,24))</f>
        <v>21.00</v>
      </c>
      <c r="D1174" s="8" t="str">
        <f t="shared" ca="1" si="56"/>
        <v>—</v>
      </c>
      <c r="E1174" s="16">
        <f t="shared" ca="1" si="57"/>
        <v>7</v>
      </c>
    </row>
    <row r="1175" spans="1:5" x14ac:dyDescent="0.25">
      <c r="A1175" s="3">
        <f t="shared" si="55"/>
        <v>78989</v>
      </c>
      <c r="B1175" t="str">
        <f ca="1">TEXT(DATE(YEAR(Invoer!$A$5),1,1)+INT((ROWS(B$2:B1175)-1)/24),"""18""jjmmdd")</f>
        <v>18980218</v>
      </c>
      <c r="C1175" s="11" t="str">
        <f>INDEX(Data,2,2+MOD(ROWS(C$2:C1175)-1,24))</f>
        <v>22.00</v>
      </c>
      <c r="D1175" s="8" t="str">
        <f t="shared" ca="1" si="56"/>
        <v>—</v>
      </c>
      <c r="E1175" s="16">
        <f t="shared" ca="1" si="57"/>
        <v>7</v>
      </c>
    </row>
    <row r="1176" spans="1:5" x14ac:dyDescent="0.25">
      <c r="A1176" s="3">
        <f t="shared" si="55"/>
        <v>78989</v>
      </c>
      <c r="B1176" t="str">
        <f ca="1">TEXT(DATE(YEAR(Invoer!$A$5),1,1)+INT((ROWS(B$2:B1176)-1)/24),"""18""jjmmdd")</f>
        <v>18980218</v>
      </c>
      <c r="C1176" s="11" t="str">
        <f>INDEX(Data,2,2+MOD(ROWS(C$2:C1176)-1,24))</f>
        <v>23.00</v>
      </c>
      <c r="D1176" s="8" t="str">
        <f t="shared" ca="1" si="56"/>
        <v>—</v>
      </c>
      <c r="E1176" s="16">
        <f t="shared" ca="1" si="57"/>
        <v>7</v>
      </c>
    </row>
    <row r="1177" spans="1:5" x14ac:dyDescent="0.25">
      <c r="A1177" s="3">
        <f t="shared" si="55"/>
        <v>78989</v>
      </c>
      <c r="B1177" t="str">
        <f ca="1">TEXT(DATE(YEAR(Invoer!$A$5),1,1)+INT((ROWS(B$2:B1177)-1)/24),"""18""jjmmdd")</f>
        <v>18980218</v>
      </c>
      <c r="C1177" s="11" t="str">
        <f>INDEX(Data,2,2+MOD(ROWS(C$2:C1177)-1,24))</f>
        <v>24.00</v>
      </c>
      <c r="D1177" s="8" t="str">
        <f t="shared" ca="1" si="56"/>
        <v>—</v>
      </c>
      <c r="E1177" s="16">
        <f t="shared" ca="1" si="57"/>
        <v>7</v>
      </c>
    </row>
    <row r="1178" spans="1:5" x14ac:dyDescent="0.25">
      <c r="A1178" s="3">
        <f t="shared" si="55"/>
        <v>78989</v>
      </c>
      <c r="B1178" t="str">
        <f ca="1">TEXT(DATE(YEAR(Invoer!$A$5),1,1)+INT((ROWS(B$2:B1178)-1)/24),"""18""jjmmdd")</f>
        <v>18980219</v>
      </c>
      <c r="C1178" s="11" t="str">
        <f>INDEX(Data,2,2+MOD(ROWS(C$2:C1178)-1,24))</f>
        <v>01.00</v>
      </c>
      <c r="D1178" s="8" t="str">
        <f t="shared" ca="1" si="56"/>
        <v>—</v>
      </c>
      <c r="E1178" s="16">
        <f t="shared" ca="1" si="57"/>
        <v>7</v>
      </c>
    </row>
    <row r="1179" spans="1:5" x14ac:dyDescent="0.25">
      <c r="A1179" s="3">
        <f t="shared" si="55"/>
        <v>78989</v>
      </c>
      <c r="B1179" t="str">
        <f ca="1">TEXT(DATE(YEAR(Invoer!$A$5),1,1)+INT((ROWS(B$2:B1179)-1)/24),"""18""jjmmdd")</f>
        <v>18980219</v>
      </c>
      <c r="C1179" s="11" t="str">
        <f>INDEX(Data,2,2+MOD(ROWS(C$2:C1179)-1,24))</f>
        <v>02.00</v>
      </c>
      <c r="D1179" s="8" t="str">
        <f t="shared" ca="1" si="56"/>
        <v>—</v>
      </c>
      <c r="E1179" s="16">
        <f t="shared" ca="1" si="57"/>
        <v>7</v>
      </c>
    </row>
    <row r="1180" spans="1:5" x14ac:dyDescent="0.25">
      <c r="A1180" s="3">
        <f t="shared" si="55"/>
        <v>78989</v>
      </c>
      <c r="B1180" t="str">
        <f ca="1">TEXT(DATE(YEAR(Invoer!$A$5),1,1)+INT((ROWS(B$2:B1180)-1)/24),"""18""jjmmdd")</f>
        <v>18980219</v>
      </c>
      <c r="C1180" s="11" t="str">
        <f>INDEX(Data,2,2+MOD(ROWS(C$2:C1180)-1,24))</f>
        <v>03.00</v>
      </c>
      <c r="D1180" s="8" t="str">
        <f t="shared" ca="1" si="56"/>
        <v>—</v>
      </c>
      <c r="E1180" s="16">
        <f t="shared" ca="1" si="57"/>
        <v>7</v>
      </c>
    </row>
    <row r="1181" spans="1:5" x14ac:dyDescent="0.25">
      <c r="A1181" s="3">
        <f t="shared" si="55"/>
        <v>78989</v>
      </c>
      <c r="B1181" t="str">
        <f ca="1">TEXT(DATE(YEAR(Invoer!$A$5),1,1)+INT((ROWS(B$2:B1181)-1)/24),"""18""jjmmdd")</f>
        <v>18980219</v>
      </c>
      <c r="C1181" s="11" t="str">
        <f>INDEX(Data,2,2+MOD(ROWS(C$2:C1181)-1,24))</f>
        <v>04.00</v>
      </c>
      <c r="D1181" s="8" t="str">
        <f t="shared" ca="1" si="56"/>
        <v>—</v>
      </c>
      <c r="E1181" s="16">
        <f t="shared" ca="1" si="57"/>
        <v>7</v>
      </c>
    </row>
    <row r="1182" spans="1:5" x14ac:dyDescent="0.25">
      <c r="A1182" s="3">
        <f t="shared" si="55"/>
        <v>78989</v>
      </c>
      <c r="B1182" t="str">
        <f ca="1">TEXT(DATE(YEAR(Invoer!$A$5),1,1)+INT((ROWS(B$2:B1182)-1)/24),"""18""jjmmdd")</f>
        <v>18980219</v>
      </c>
      <c r="C1182" s="11" t="str">
        <f>INDEX(Data,2,2+MOD(ROWS(C$2:C1182)-1,24))</f>
        <v>05.00</v>
      </c>
      <c r="D1182" s="8" t="str">
        <f t="shared" ca="1" si="56"/>
        <v>—</v>
      </c>
      <c r="E1182" s="16">
        <f t="shared" ca="1" si="57"/>
        <v>7</v>
      </c>
    </row>
    <row r="1183" spans="1:5" x14ac:dyDescent="0.25">
      <c r="A1183" s="3">
        <f t="shared" si="55"/>
        <v>78989</v>
      </c>
      <c r="B1183" t="str">
        <f ca="1">TEXT(DATE(YEAR(Invoer!$A$5),1,1)+INT((ROWS(B$2:B1183)-1)/24),"""18""jjmmdd")</f>
        <v>18980219</v>
      </c>
      <c r="C1183" s="11" t="str">
        <f>INDEX(Data,2,2+MOD(ROWS(C$2:C1183)-1,24))</f>
        <v>06.00</v>
      </c>
      <c r="D1183" s="8" t="str">
        <f t="shared" ca="1" si="56"/>
        <v>—</v>
      </c>
      <c r="E1183" s="16">
        <f t="shared" ca="1" si="57"/>
        <v>7</v>
      </c>
    </row>
    <row r="1184" spans="1:5" x14ac:dyDescent="0.25">
      <c r="A1184" s="3">
        <f t="shared" si="55"/>
        <v>78989</v>
      </c>
      <c r="B1184" t="str">
        <f ca="1">TEXT(DATE(YEAR(Invoer!$A$5),1,1)+INT((ROWS(B$2:B1184)-1)/24),"""18""jjmmdd")</f>
        <v>18980219</v>
      </c>
      <c r="C1184" s="11" t="str">
        <f>INDEX(Data,2,2+MOD(ROWS(C$2:C1184)-1,24))</f>
        <v>07.00</v>
      </c>
      <c r="D1184" s="8" t="str">
        <f t="shared" ca="1" si="56"/>
        <v>—</v>
      </c>
      <c r="E1184" s="16">
        <f t="shared" ca="1" si="57"/>
        <v>7</v>
      </c>
    </row>
    <row r="1185" spans="1:5" x14ac:dyDescent="0.25">
      <c r="A1185" s="3">
        <f t="shared" si="55"/>
        <v>78989</v>
      </c>
      <c r="B1185" t="str">
        <f ca="1">TEXT(DATE(YEAR(Invoer!$A$5),1,1)+INT((ROWS(B$2:B1185)-1)/24),"""18""jjmmdd")</f>
        <v>18980219</v>
      </c>
      <c r="C1185" s="11" t="str">
        <f>INDEX(Data,2,2+MOD(ROWS(C$2:C1185)-1,24))</f>
        <v>08.00</v>
      </c>
      <c r="D1185" s="8" t="str">
        <f t="shared" ca="1" si="56"/>
        <v>—</v>
      </c>
      <c r="E1185" s="16">
        <f t="shared" ca="1" si="57"/>
        <v>7</v>
      </c>
    </row>
    <row r="1186" spans="1:5" x14ac:dyDescent="0.25">
      <c r="A1186" s="3">
        <f t="shared" si="55"/>
        <v>78989</v>
      </c>
      <c r="B1186" t="str">
        <f ca="1">TEXT(DATE(YEAR(Invoer!$A$5),1,1)+INT((ROWS(B$2:B1186)-1)/24),"""18""jjmmdd")</f>
        <v>18980219</v>
      </c>
      <c r="C1186" s="11" t="str">
        <f>INDEX(Data,2,2+MOD(ROWS(C$2:C1186)-1,24))</f>
        <v>09.00</v>
      </c>
      <c r="D1186" s="8" t="str">
        <f t="shared" ca="1" si="56"/>
        <v>—</v>
      </c>
      <c r="E1186" s="16">
        <f t="shared" ca="1" si="57"/>
        <v>7</v>
      </c>
    </row>
    <row r="1187" spans="1:5" x14ac:dyDescent="0.25">
      <c r="A1187" s="3">
        <f t="shared" si="55"/>
        <v>78989</v>
      </c>
      <c r="B1187" t="str">
        <f ca="1">TEXT(DATE(YEAR(Invoer!$A$5),1,1)+INT((ROWS(B$2:B1187)-1)/24),"""18""jjmmdd")</f>
        <v>18980219</v>
      </c>
      <c r="C1187" s="11" t="str">
        <f>INDEX(Data,2,2+MOD(ROWS(C$2:C1187)-1,24))</f>
        <v>10.00</v>
      </c>
      <c r="D1187" s="8" t="str">
        <f t="shared" ca="1" si="56"/>
        <v>—</v>
      </c>
      <c r="E1187" s="16">
        <f t="shared" ca="1" si="57"/>
        <v>7</v>
      </c>
    </row>
    <row r="1188" spans="1:5" x14ac:dyDescent="0.25">
      <c r="A1188" s="3">
        <f t="shared" si="55"/>
        <v>78989</v>
      </c>
      <c r="B1188" t="str">
        <f ca="1">TEXT(DATE(YEAR(Invoer!$A$5),1,1)+INT((ROWS(B$2:B1188)-1)/24),"""18""jjmmdd")</f>
        <v>18980219</v>
      </c>
      <c r="C1188" s="11" t="str">
        <f>INDEX(Data,2,2+MOD(ROWS(C$2:C1188)-1,24))</f>
        <v>11.00</v>
      </c>
      <c r="D1188" s="8" t="str">
        <f t="shared" ca="1" si="56"/>
        <v>—</v>
      </c>
      <c r="E1188" s="16">
        <f t="shared" ca="1" si="57"/>
        <v>7</v>
      </c>
    </row>
    <row r="1189" spans="1:5" x14ac:dyDescent="0.25">
      <c r="A1189" s="3">
        <f t="shared" si="55"/>
        <v>78989</v>
      </c>
      <c r="B1189" t="str">
        <f ca="1">TEXT(DATE(YEAR(Invoer!$A$5),1,1)+INT((ROWS(B$2:B1189)-1)/24),"""18""jjmmdd")</f>
        <v>18980219</v>
      </c>
      <c r="C1189" s="11" t="str">
        <f>INDEX(Data,2,2+MOD(ROWS(C$2:C1189)-1,24))</f>
        <v>12.00</v>
      </c>
      <c r="D1189" s="8" t="str">
        <f t="shared" ca="1" si="56"/>
        <v>—</v>
      </c>
      <c r="E1189" s="16">
        <f t="shared" ca="1" si="57"/>
        <v>7</v>
      </c>
    </row>
    <row r="1190" spans="1:5" x14ac:dyDescent="0.25">
      <c r="A1190" s="3">
        <f t="shared" si="55"/>
        <v>78989</v>
      </c>
      <c r="B1190" t="str">
        <f ca="1">TEXT(DATE(YEAR(Invoer!$A$5),1,1)+INT((ROWS(B$2:B1190)-1)/24),"""18""jjmmdd")</f>
        <v>18980219</v>
      </c>
      <c r="C1190" s="11" t="str">
        <f>INDEX(Data,2,2+MOD(ROWS(C$2:C1190)-1,24))</f>
        <v>13.00</v>
      </c>
      <c r="D1190" s="8" t="str">
        <f t="shared" ca="1" si="56"/>
        <v>—</v>
      </c>
      <c r="E1190" s="16">
        <f t="shared" ca="1" si="57"/>
        <v>7</v>
      </c>
    </row>
    <row r="1191" spans="1:5" x14ac:dyDescent="0.25">
      <c r="A1191" s="3">
        <f t="shared" si="55"/>
        <v>78989</v>
      </c>
      <c r="B1191" t="str">
        <f ca="1">TEXT(DATE(YEAR(Invoer!$A$5),1,1)+INT((ROWS(B$2:B1191)-1)/24),"""18""jjmmdd")</f>
        <v>18980219</v>
      </c>
      <c r="C1191" s="11" t="str">
        <f>INDEX(Data,2,2+MOD(ROWS(C$2:C1191)-1,24))</f>
        <v>14.00</v>
      </c>
      <c r="D1191" s="8" t="str">
        <f t="shared" ca="1" si="56"/>
        <v>—</v>
      </c>
      <c r="E1191" s="16">
        <f t="shared" ca="1" si="57"/>
        <v>7</v>
      </c>
    </row>
    <row r="1192" spans="1:5" x14ac:dyDescent="0.25">
      <c r="A1192" s="3">
        <f t="shared" si="55"/>
        <v>78989</v>
      </c>
      <c r="B1192" t="str">
        <f ca="1">TEXT(DATE(YEAR(Invoer!$A$5),1,1)+INT((ROWS(B$2:B1192)-1)/24),"""18""jjmmdd")</f>
        <v>18980219</v>
      </c>
      <c r="C1192" s="11" t="str">
        <f>INDEX(Data,2,2+MOD(ROWS(C$2:C1192)-1,24))</f>
        <v>15.00</v>
      </c>
      <c r="D1192" s="8" t="str">
        <f t="shared" ca="1" si="56"/>
        <v>—</v>
      </c>
      <c r="E1192" s="16">
        <f t="shared" ca="1" si="57"/>
        <v>7</v>
      </c>
    </row>
    <row r="1193" spans="1:5" x14ac:dyDescent="0.25">
      <c r="A1193" s="3">
        <f t="shared" si="55"/>
        <v>78989</v>
      </c>
      <c r="B1193" t="str">
        <f ca="1">TEXT(DATE(YEAR(Invoer!$A$5),1,1)+INT((ROWS(B$2:B1193)-1)/24),"""18""jjmmdd")</f>
        <v>18980219</v>
      </c>
      <c r="C1193" s="11" t="str">
        <f>INDEX(Data,2,2+MOD(ROWS(C$2:C1193)-1,24))</f>
        <v>16.00</v>
      </c>
      <c r="D1193" s="8" t="str">
        <f t="shared" ca="1" si="56"/>
        <v>—</v>
      </c>
      <c r="E1193" s="16">
        <f t="shared" ca="1" si="57"/>
        <v>7</v>
      </c>
    </row>
    <row r="1194" spans="1:5" x14ac:dyDescent="0.25">
      <c r="A1194" s="3">
        <f t="shared" si="55"/>
        <v>78989</v>
      </c>
      <c r="B1194" t="str">
        <f ca="1">TEXT(DATE(YEAR(Invoer!$A$5),1,1)+INT((ROWS(B$2:B1194)-1)/24),"""18""jjmmdd")</f>
        <v>18980219</v>
      </c>
      <c r="C1194" s="11" t="str">
        <f>INDEX(Data,2,2+MOD(ROWS(C$2:C1194)-1,24))</f>
        <v>17.00</v>
      </c>
      <c r="D1194" s="8" t="str">
        <f t="shared" ca="1" si="56"/>
        <v>—</v>
      </c>
      <c r="E1194" s="16">
        <f t="shared" ca="1" si="57"/>
        <v>7</v>
      </c>
    </row>
    <row r="1195" spans="1:5" x14ac:dyDescent="0.25">
      <c r="A1195" s="3">
        <f t="shared" si="55"/>
        <v>78989</v>
      </c>
      <c r="B1195" t="str">
        <f ca="1">TEXT(DATE(YEAR(Invoer!$A$5),1,1)+INT((ROWS(B$2:B1195)-1)/24),"""18""jjmmdd")</f>
        <v>18980219</v>
      </c>
      <c r="C1195" s="11" t="str">
        <f>INDEX(Data,2,2+MOD(ROWS(C$2:C1195)-1,24))</f>
        <v>18.00</v>
      </c>
      <c r="D1195" s="8" t="str">
        <f t="shared" ca="1" si="56"/>
        <v>—</v>
      </c>
      <c r="E1195" s="16">
        <f t="shared" ca="1" si="57"/>
        <v>7</v>
      </c>
    </row>
    <row r="1196" spans="1:5" x14ac:dyDescent="0.25">
      <c r="A1196" s="3">
        <f t="shared" si="55"/>
        <v>78989</v>
      </c>
      <c r="B1196" t="str">
        <f ca="1">TEXT(DATE(YEAR(Invoer!$A$5),1,1)+INT((ROWS(B$2:B1196)-1)/24),"""18""jjmmdd")</f>
        <v>18980219</v>
      </c>
      <c r="C1196" s="11" t="str">
        <f>INDEX(Data,2,2+MOD(ROWS(C$2:C1196)-1,24))</f>
        <v>19.00</v>
      </c>
      <c r="D1196" s="8" t="str">
        <f t="shared" ca="1" si="56"/>
        <v>—</v>
      </c>
      <c r="E1196" s="16">
        <f t="shared" ca="1" si="57"/>
        <v>7</v>
      </c>
    </row>
    <row r="1197" spans="1:5" x14ac:dyDescent="0.25">
      <c r="A1197" s="3">
        <f t="shared" si="55"/>
        <v>78989</v>
      </c>
      <c r="B1197" t="str">
        <f ca="1">TEXT(DATE(YEAR(Invoer!$A$5),1,1)+INT((ROWS(B$2:B1197)-1)/24),"""18""jjmmdd")</f>
        <v>18980219</v>
      </c>
      <c r="C1197" s="11" t="str">
        <f>INDEX(Data,2,2+MOD(ROWS(C$2:C1197)-1,24))</f>
        <v>20.00</v>
      </c>
      <c r="D1197" s="8" t="str">
        <f t="shared" ca="1" si="56"/>
        <v>—</v>
      </c>
      <c r="E1197" s="16">
        <f t="shared" ca="1" si="57"/>
        <v>7</v>
      </c>
    </row>
    <row r="1198" spans="1:5" x14ac:dyDescent="0.25">
      <c r="A1198" s="3">
        <f t="shared" si="55"/>
        <v>78989</v>
      </c>
      <c r="B1198" t="str">
        <f ca="1">TEXT(DATE(YEAR(Invoer!$A$5),1,1)+INT((ROWS(B$2:B1198)-1)/24),"""18""jjmmdd")</f>
        <v>18980219</v>
      </c>
      <c r="C1198" s="11" t="str">
        <f>INDEX(Data,2,2+MOD(ROWS(C$2:C1198)-1,24))</f>
        <v>21.00</v>
      </c>
      <c r="D1198" s="8" t="str">
        <f t="shared" ca="1" si="56"/>
        <v>—</v>
      </c>
      <c r="E1198" s="16">
        <f t="shared" ca="1" si="57"/>
        <v>7</v>
      </c>
    </row>
    <row r="1199" spans="1:5" x14ac:dyDescent="0.25">
      <c r="A1199" s="3">
        <f t="shared" si="55"/>
        <v>78989</v>
      </c>
      <c r="B1199" t="str">
        <f ca="1">TEXT(DATE(YEAR(Invoer!$A$5),1,1)+INT((ROWS(B$2:B1199)-1)/24),"""18""jjmmdd")</f>
        <v>18980219</v>
      </c>
      <c r="C1199" s="11" t="str">
        <f>INDEX(Data,2,2+MOD(ROWS(C$2:C1199)-1,24))</f>
        <v>22.00</v>
      </c>
      <c r="D1199" s="8" t="str">
        <f t="shared" ca="1" si="56"/>
        <v>—</v>
      </c>
      <c r="E1199" s="16">
        <f t="shared" ca="1" si="57"/>
        <v>7</v>
      </c>
    </row>
    <row r="1200" spans="1:5" x14ac:dyDescent="0.25">
      <c r="A1200" s="3">
        <f t="shared" si="55"/>
        <v>78989</v>
      </c>
      <c r="B1200" t="str">
        <f ca="1">TEXT(DATE(YEAR(Invoer!$A$5),1,1)+INT((ROWS(B$2:B1200)-1)/24),"""18""jjmmdd")</f>
        <v>18980219</v>
      </c>
      <c r="C1200" s="11" t="str">
        <f>INDEX(Data,2,2+MOD(ROWS(C$2:C1200)-1,24))</f>
        <v>23.00</v>
      </c>
      <c r="D1200" s="8" t="str">
        <f t="shared" ca="1" si="56"/>
        <v>—</v>
      </c>
      <c r="E1200" s="16">
        <f t="shared" ca="1" si="57"/>
        <v>7</v>
      </c>
    </row>
    <row r="1201" spans="1:5" x14ac:dyDescent="0.25">
      <c r="A1201" s="3">
        <f t="shared" si="55"/>
        <v>78989</v>
      </c>
      <c r="B1201" t="str">
        <f ca="1">TEXT(DATE(YEAR(Invoer!$A$5),1,1)+INT((ROWS(B$2:B1201)-1)/24),"""18""jjmmdd")</f>
        <v>18980219</v>
      </c>
      <c r="C1201" s="11" t="str">
        <f>INDEX(Data,2,2+MOD(ROWS(C$2:C1201)-1,24))</f>
        <v>24.00</v>
      </c>
      <c r="D1201" s="8" t="str">
        <f t="shared" ca="1" si="56"/>
        <v>—</v>
      </c>
      <c r="E1201" s="16">
        <f t="shared" ca="1" si="57"/>
        <v>7</v>
      </c>
    </row>
    <row r="1202" spans="1:5" x14ac:dyDescent="0.25">
      <c r="A1202" s="3">
        <f t="shared" si="55"/>
        <v>78989</v>
      </c>
      <c r="B1202" t="str">
        <f ca="1">TEXT(DATE(YEAR(Invoer!$A$5),1,1)+INT((ROWS(B$2:B1202)-1)/24),"""18""jjmmdd")</f>
        <v>18980220</v>
      </c>
      <c r="C1202" s="11" t="str">
        <f>INDEX(Data,2,2+MOD(ROWS(C$2:C1202)-1,24))</f>
        <v>01.00</v>
      </c>
      <c r="D1202" s="8" t="str">
        <f t="shared" ca="1" si="56"/>
        <v>—</v>
      </c>
      <c r="E1202" s="16">
        <f t="shared" ca="1" si="57"/>
        <v>7</v>
      </c>
    </row>
    <row r="1203" spans="1:5" x14ac:dyDescent="0.25">
      <c r="A1203" s="3">
        <f t="shared" si="55"/>
        <v>78989</v>
      </c>
      <c r="B1203" t="str">
        <f ca="1">TEXT(DATE(YEAR(Invoer!$A$5),1,1)+INT((ROWS(B$2:B1203)-1)/24),"""18""jjmmdd")</f>
        <v>18980220</v>
      </c>
      <c r="C1203" s="11" t="str">
        <f>INDEX(Data,2,2+MOD(ROWS(C$2:C1203)-1,24))</f>
        <v>02.00</v>
      </c>
      <c r="D1203" s="8" t="str">
        <f t="shared" ca="1" si="56"/>
        <v>—</v>
      </c>
      <c r="E1203" s="16">
        <f t="shared" ca="1" si="57"/>
        <v>7</v>
      </c>
    </row>
    <row r="1204" spans="1:5" x14ac:dyDescent="0.25">
      <c r="A1204" s="3">
        <f t="shared" si="55"/>
        <v>78989</v>
      </c>
      <c r="B1204" t="str">
        <f ca="1">TEXT(DATE(YEAR(Invoer!$A$5),1,1)+INT((ROWS(B$2:B1204)-1)/24),"""18""jjmmdd")</f>
        <v>18980220</v>
      </c>
      <c r="C1204" s="11" t="str">
        <f>INDEX(Data,2,2+MOD(ROWS(C$2:C1204)-1,24))</f>
        <v>03.00</v>
      </c>
      <c r="D1204" s="8" t="str">
        <f t="shared" ca="1" si="56"/>
        <v>—</v>
      </c>
      <c r="E1204" s="16">
        <f t="shared" ca="1" si="57"/>
        <v>7</v>
      </c>
    </row>
    <row r="1205" spans="1:5" x14ac:dyDescent="0.25">
      <c r="A1205" s="3">
        <f t="shared" si="55"/>
        <v>78989</v>
      </c>
      <c r="B1205" t="str">
        <f ca="1">TEXT(DATE(YEAR(Invoer!$A$5),1,1)+INT((ROWS(B$2:B1205)-1)/24),"""18""jjmmdd")</f>
        <v>18980220</v>
      </c>
      <c r="C1205" s="11" t="str">
        <f>INDEX(Data,2,2+MOD(ROWS(C$2:C1205)-1,24))</f>
        <v>04.00</v>
      </c>
      <c r="D1205" s="8" t="str">
        <f t="shared" ca="1" si="56"/>
        <v>—</v>
      </c>
      <c r="E1205" s="16">
        <f t="shared" ca="1" si="57"/>
        <v>7</v>
      </c>
    </row>
    <row r="1206" spans="1:5" x14ac:dyDescent="0.25">
      <c r="A1206" s="3">
        <f t="shared" si="55"/>
        <v>78989</v>
      </c>
      <c r="B1206" t="str">
        <f ca="1">TEXT(DATE(YEAR(Invoer!$A$5),1,1)+INT((ROWS(B$2:B1206)-1)/24),"""18""jjmmdd")</f>
        <v>18980220</v>
      </c>
      <c r="C1206" s="11" t="str">
        <f>INDEX(Data,2,2+MOD(ROWS(C$2:C1206)-1,24))</f>
        <v>05.00</v>
      </c>
      <c r="D1206" s="8" t="str">
        <f t="shared" ca="1" si="56"/>
        <v>—</v>
      </c>
      <c r="E1206" s="16">
        <f t="shared" ca="1" si="57"/>
        <v>7</v>
      </c>
    </row>
    <row r="1207" spans="1:5" x14ac:dyDescent="0.25">
      <c r="A1207" s="3">
        <f t="shared" si="55"/>
        <v>78989</v>
      </c>
      <c r="B1207" t="str">
        <f ca="1">TEXT(DATE(YEAR(Invoer!$A$5),1,1)+INT((ROWS(B$2:B1207)-1)/24),"""18""jjmmdd")</f>
        <v>18980220</v>
      </c>
      <c r="C1207" s="11" t="str">
        <f>INDEX(Data,2,2+MOD(ROWS(C$2:C1207)-1,24))</f>
        <v>06.00</v>
      </c>
      <c r="D1207" s="8" t="str">
        <f t="shared" ca="1" si="56"/>
        <v>—</v>
      </c>
      <c r="E1207" s="16">
        <f t="shared" ca="1" si="57"/>
        <v>7</v>
      </c>
    </row>
    <row r="1208" spans="1:5" x14ac:dyDescent="0.25">
      <c r="A1208" s="3">
        <f t="shared" si="55"/>
        <v>78989</v>
      </c>
      <c r="B1208" t="str">
        <f ca="1">TEXT(DATE(YEAR(Invoer!$A$5),1,1)+INT((ROWS(B$2:B1208)-1)/24),"""18""jjmmdd")</f>
        <v>18980220</v>
      </c>
      <c r="C1208" s="11" t="str">
        <f>INDEX(Data,2,2+MOD(ROWS(C$2:C1208)-1,24))</f>
        <v>07.00</v>
      </c>
      <c r="D1208" s="8" t="str">
        <f t="shared" ca="1" si="56"/>
        <v>—</v>
      </c>
      <c r="E1208" s="16">
        <f t="shared" ca="1" si="57"/>
        <v>7</v>
      </c>
    </row>
    <row r="1209" spans="1:5" x14ac:dyDescent="0.25">
      <c r="A1209" s="3">
        <f t="shared" si="55"/>
        <v>78989</v>
      </c>
      <c r="B1209" t="str">
        <f ca="1">TEXT(DATE(YEAR(Invoer!$A$5),1,1)+INT((ROWS(B$2:B1209)-1)/24),"""18""jjmmdd")</f>
        <v>18980220</v>
      </c>
      <c r="C1209" s="11" t="str">
        <f>INDEX(Data,2,2+MOD(ROWS(C$2:C1209)-1,24))</f>
        <v>08.00</v>
      </c>
      <c r="D1209" s="8" t="str">
        <f t="shared" ca="1" si="56"/>
        <v>—</v>
      </c>
      <c r="E1209" s="16">
        <f t="shared" ca="1" si="57"/>
        <v>7</v>
      </c>
    </row>
    <row r="1210" spans="1:5" x14ac:dyDescent="0.25">
      <c r="A1210" s="3">
        <f t="shared" si="55"/>
        <v>78989</v>
      </c>
      <c r="B1210" t="str">
        <f ca="1">TEXT(DATE(YEAR(Invoer!$A$5),1,1)+INT((ROWS(B$2:B1210)-1)/24),"""18""jjmmdd")</f>
        <v>18980220</v>
      </c>
      <c r="C1210" s="11" t="str">
        <f>INDEX(Data,2,2+MOD(ROWS(C$2:C1210)-1,24))</f>
        <v>09.00</v>
      </c>
      <c r="D1210" s="8" t="str">
        <f t="shared" ca="1" si="56"/>
        <v>—</v>
      </c>
      <c r="E1210" s="16">
        <f t="shared" ca="1" si="57"/>
        <v>7</v>
      </c>
    </row>
    <row r="1211" spans="1:5" x14ac:dyDescent="0.25">
      <c r="A1211" s="3">
        <f t="shared" si="55"/>
        <v>78989</v>
      </c>
      <c r="B1211" t="str">
        <f ca="1">TEXT(DATE(YEAR(Invoer!$A$5),1,1)+INT((ROWS(B$2:B1211)-1)/24),"""18""jjmmdd")</f>
        <v>18980220</v>
      </c>
      <c r="C1211" s="11" t="str">
        <f>INDEX(Data,2,2+MOD(ROWS(C$2:C1211)-1,24))</f>
        <v>10.00</v>
      </c>
      <c r="D1211" s="8" t="str">
        <f t="shared" ca="1" si="56"/>
        <v>—</v>
      </c>
      <c r="E1211" s="16">
        <f t="shared" ca="1" si="57"/>
        <v>7</v>
      </c>
    </row>
    <row r="1212" spans="1:5" x14ac:dyDescent="0.25">
      <c r="A1212" s="3">
        <f t="shared" si="55"/>
        <v>78989</v>
      </c>
      <c r="B1212" t="str">
        <f ca="1">TEXT(DATE(YEAR(Invoer!$A$5),1,1)+INT((ROWS(B$2:B1212)-1)/24),"""18""jjmmdd")</f>
        <v>18980220</v>
      </c>
      <c r="C1212" s="11" t="str">
        <f>INDEX(Data,2,2+MOD(ROWS(C$2:C1212)-1,24))</f>
        <v>11.00</v>
      </c>
      <c r="D1212" s="8" t="str">
        <f t="shared" ca="1" si="56"/>
        <v>—</v>
      </c>
      <c r="E1212" s="16">
        <f t="shared" ca="1" si="57"/>
        <v>7</v>
      </c>
    </row>
    <row r="1213" spans="1:5" x14ac:dyDescent="0.25">
      <c r="A1213" s="3">
        <f t="shared" si="55"/>
        <v>78989</v>
      </c>
      <c r="B1213" t="str">
        <f ca="1">TEXT(DATE(YEAR(Invoer!$A$5),1,1)+INT((ROWS(B$2:B1213)-1)/24),"""18""jjmmdd")</f>
        <v>18980220</v>
      </c>
      <c r="C1213" s="11" t="str">
        <f>INDEX(Data,2,2+MOD(ROWS(C$2:C1213)-1,24))</f>
        <v>12.00</v>
      </c>
      <c r="D1213" s="8" t="str">
        <f t="shared" ca="1" si="56"/>
        <v>—</v>
      </c>
      <c r="E1213" s="16">
        <f t="shared" ca="1" si="57"/>
        <v>7</v>
      </c>
    </row>
    <row r="1214" spans="1:5" x14ac:dyDescent="0.25">
      <c r="A1214" s="3">
        <f t="shared" si="55"/>
        <v>78989</v>
      </c>
      <c r="B1214" t="str">
        <f ca="1">TEXT(DATE(YEAR(Invoer!$A$5),1,1)+INT((ROWS(B$2:B1214)-1)/24),"""18""jjmmdd")</f>
        <v>18980220</v>
      </c>
      <c r="C1214" s="11" t="str">
        <f>INDEX(Data,2,2+MOD(ROWS(C$2:C1214)-1,24))</f>
        <v>13.00</v>
      </c>
      <c r="D1214" s="8" t="str">
        <f t="shared" ca="1" si="56"/>
        <v>—</v>
      </c>
      <c r="E1214" s="16">
        <f t="shared" ca="1" si="57"/>
        <v>7</v>
      </c>
    </row>
    <row r="1215" spans="1:5" x14ac:dyDescent="0.25">
      <c r="A1215" s="3">
        <f t="shared" si="55"/>
        <v>78989</v>
      </c>
      <c r="B1215" t="str">
        <f ca="1">TEXT(DATE(YEAR(Invoer!$A$5),1,1)+INT((ROWS(B$2:B1215)-1)/24),"""18""jjmmdd")</f>
        <v>18980220</v>
      </c>
      <c r="C1215" s="11" t="str">
        <f>INDEX(Data,2,2+MOD(ROWS(C$2:C1215)-1,24))</f>
        <v>14.00</v>
      </c>
      <c r="D1215" s="8" t="str">
        <f t="shared" ca="1" si="56"/>
        <v>—</v>
      </c>
      <c r="E1215" s="16">
        <f t="shared" ca="1" si="57"/>
        <v>7</v>
      </c>
    </row>
    <row r="1216" spans="1:5" x14ac:dyDescent="0.25">
      <c r="A1216" s="3">
        <f t="shared" si="55"/>
        <v>78989</v>
      </c>
      <c r="B1216" t="str">
        <f ca="1">TEXT(DATE(YEAR(Invoer!$A$5),1,1)+INT((ROWS(B$2:B1216)-1)/24),"""18""jjmmdd")</f>
        <v>18980220</v>
      </c>
      <c r="C1216" s="11" t="str">
        <f>INDEX(Data,2,2+MOD(ROWS(C$2:C1216)-1,24))</f>
        <v>15.00</v>
      </c>
      <c r="D1216" s="8" t="str">
        <f t="shared" ca="1" si="56"/>
        <v>—</v>
      </c>
      <c r="E1216" s="16">
        <f t="shared" ca="1" si="57"/>
        <v>7</v>
      </c>
    </row>
    <row r="1217" spans="1:5" x14ac:dyDescent="0.25">
      <c r="A1217" s="3">
        <f t="shared" si="55"/>
        <v>78989</v>
      </c>
      <c r="B1217" t="str">
        <f ca="1">TEXT(DATE(YEAR(Invoer!$A$5),1,1)+INT((ROWS(B$2:B1217)-1)/24),"""18""jjmmdd")</f>
        <v>18980220</v>
      </c>
      <c r="C1217" s="11" t="str">
        <f>INDEX(Data,2,2+MOD(ROWS(C$2:C1217)-1,24))</f>
        <v>16.00</v>
      </c>
      <c r="D1217" s="8" t="str">
        <f t="shared" ca="1" si="56"/>
        <v>—</v>
      </c>
      <c r="E1217" s="16">
        <f t="shared" ca="1" si="57"/>
        <v>7</v>
      </c>
    </row>
    <row r="1218" spans="1:5" x14ac:dyDescent="0.25">
      <c r="A1218" s="3">
        <f t="shared" ref="A1218:A1281" si="58">INDEX(Stations,2,1)</f>
        <v>78989</v>
      </c>
      <c r="B1218" t="str">
        <f ca="1">TEXT(DATE(YEAR(Invoer!$A$5),1,1)+INT((ROWS(B$2:B1218)-1)/24),"""18""jjmmdd")</f>
        <v>18980220</v>
      </c>
      <c r="C1218" s="11" t="str">
        <f>INDEX(Data,2,2+MOD(ROWS(C$2:C1218)-1,24))</f>
        <v>17.00</v>
      </c>
      <c r="D1218" s="8" t="str">
        <f t="shared" ref="D1218:D1281" ca="1" si="59">IF(OR(ISBLANK(VLOOKUP(DATEVALUE("37"&amp;MID($B1218,3,2)&amp;"-"&amp;MID($B1218,5,2)&amp;"-"&amp;RIGHT($B1218,2)),Data,MATCH(LEFT(VLOOKUP(D$1,Parameters,2,FALSE()),4)&amp;"*",OFFSET(Data,0,0,1),0)+MATCH($C1218,OFFSET(Data,1,0,1),0)-2,FALSE())),ISTEXT(VLOOKUP(DATEVALUE("37"&amp;MID($B1218,3,2)&amp;"-"&amp;MID($B1218,5,2)&amp;"-"&amp;RIGHT($B1218,2)),Data,MATCH(LEFT(VLOOKUP(D$1,Parameters,2,FALSE()),4)&amp;"*",OFFSET(Data,0,0,1),0)+MATCH($C1218,OFFSET(Data,1,0,1),0)-2,FALSE()))),"—",VLOOKUP(DATEVALUE("37"&amp;MID($B1218,3,2)&amp;"-"&amp;MID($B1218,5,2)&amp;"-"&amp;RIGHT($B1218,2)),Data,MATCH(LEFT(VLOOKUP(D$1,Parameters,2,FALSE()),4)&amp;"*",OFFSET(Data,0,0,1),0)+MATCH($C1218,OFFSET(Data,1,0,1),0)-2,FALSE()))</f>
        <v>—</v>
      </c>
      <c r="E1218" s="16">
        <f t="shared" ca="1" si="57"/>
        <v>7</v>
      </c>
    </row>
    <row r="1219" spans="1:5" x14ac:dyDescent="0.25">
      <c r="A1219" s="3">
        <f t="shared" si="58"/>
        <v>78989</v>
      </c>
      <c r="B1219" t="str">
        <f ca="1">TEXT(DATE(YEAR(Invoer!$A$5),1,1)+INT((ROWS(B$2:B1219)-1)/24),"""18""jjmmdd")</f>
        <v>18980220</v>
      </c>
      <c r="C1219" s="11" t="str">
        <f>INDEX(Data,2,2+MOD(ROWS(C$2:C1219)-1,24))</f>
        <v>18.00</v>
      </c>
      <c r="D1219" s="8" t="str">
        <f t="shared" ca="1" si="59"/>
        <v>—</v>
      </c>
      <c r="E1219" s="16">
        <f t="shared" ref="E1219:E1282" ca="1" si="60">IF(OR(ISBLANK(VLOOKUP(DATEVALUE("37"&amp;MID($B1219,3,2)&amp;"-"&amp;MID($B1219,5,2)&amp;"-"&amp;RIGHT($B1219,2)),Data,MATCH(LEFT(VLOOKUP(D$1,Parameters,2,FALSE()),4)&amp;"*",OFFSET(Data,0,0,1),0)+MATCH($C1219,OFFSET(Data,1,0,1),0)-2,FALSE())),ISTEXT(VLOOKUP(DATEVALUE("37"&amp;MID($B1219,3,2)&amp;"-"&amp;MID($B1219,5,2)&amp;"-"&amp;RIGHT($B1219,2)),Data,MATCH(LEFT(VLOOKUP(D$1,Parameters,2,FALSE()),4)&amp;"*",OFFSET(Data,0,0,1),0)+MATCH($C1219,OFFSET(Data,1,0,1),0)-2,FALSE()))),Lacking,IF(ISNA(MATCH(DATEVALUE("37"&amp;MID($B1219,3,2)&amp;"-"&amp;MID($B1219,5,2)&amp;"-"&amp;RIGHT($B1219,2)),OFFSET(Catalogus,0,0,,1),0)),Ok,VLOOKUP(DATEVALUE("37"&amp;MID($B1219,3,2)&amp;"-"&amp;MID($B1219,5,2)&amp;"-"&amp;RIGHT($B1219,2)),Catalogus,MATCH(LEFT(VLOOKUP(MID(E$1,2,LEN(E$1)-1),Parameters,2,FALSE()),4)&amp;"*",OFFSET(Catalogus,0,0,1),0)+MATCH($C1219,OFFSET(Catalogus,1,0,1),0)-2,FALSE())))</f>
        <v>7</v>
      </c>
    </row>
    <row r="1220" spans="1:5" x14ac:dyDescent="0.25">
      <c r="A1220" s="3">
        <f t="shared" si="58"/>
        <v>78989</v>
      </c>
      <c r="B1220" t="str">
        <f ca="1">TEXT(DATE(YEAR(Invoer!$A$5),1,1)+INT((ROWS(B$2:B1220)-1)/24),"""18""jjmmdd")</f>
        <v>18980220</v>
      </c>
      <c r="C1220" s="11" t="str">
        <f>INDEX(Data,2,2+MOD(ROWS(C$2:C1220)-1,24))</f>
        <v>19.00</v>
      </c>
      <c r="D1220" s="8" t="str">
        <f t="shared" ca="1" si="59"/>
        <v>—</v>
      </c>
      <c r="E1220" s="16">
        <f t="shared" ca="1" si="60"/>
        <v>7</v>
      </c>
    </row>
    <row r="1221" spans="1:5" x14ac:dyDescent="0.25">
      <c r="A1221" s="3">
        <f t="shared" si="58"/>
        <v>78989</v>
      </c>
      <c r="B1221" t="str">
        <f ca="1">TEXT(DATE(YEAR(Invoer!$A$5),1,1)+INT((ROWS(B$2:B1221)-1)/24),"""18""jjmmdd")</f>
        <v>18980220</v>
      </c>
      <c r="C1221" s="11" t="str">
        <f>INDEX(Data,2,2+MOD(ROWS(C$2:C1221)-1,24))</f>
        <v>20.00</v>
      </c>
      <c r="D1221" s="8" t="str">
        <f t="shared" ca="1" si="59"/>
        <v>—</v>
      </c>
      <c r="E1221" s="16">
        <f t="shared" ca="1" si="60"/>
        <v>7</v>
      </c>
    </row>
    <row r="1222" spans="1:5" x14ac:dyDescent="0.25">
      <c r="A1222" s="3">
        <f t="shared" si="58"/>
        <v>78989</v>
      </c>
      <c r="B1222" t="str">
        <f ca="1">TEXT(DATE(YEAR(Invoer!$A$5),1,1)+INT((ROWS(B$2:B1222)-1)/24),"""18""jjmmdd")</f>
        <v>18980220</v>
      </c>
      <c r="C1222" s="11" t="str">
        <f>INDEX(Data,2,2+MOD(ROWS(C$2:C1222)-1,24))</f>
        <v>21.00</v>
      </c>
      <c r="D1222" s="8" t="str">
        <f t="shared" ca="1" si="59"/>
        <v>—</v>
      </c>
      <c r="E1222" s="16">
        <f t="shared" ca="1" si="60"/>
        <v>7</v>
      </c>
    </row>
    <row r="1223" spans="1:5" x14ac:dyDescent="0.25">
      <c r="A1223" s="3">
        <f t="shared" si="58"/>
        <v>78989</v>
      </c>
      <c r="B1223" t="str">
        <f ca="1">TEXT(DATE(YEAR(Invoer!$A$5),1,1)+INT((ROWS(B$2:B1223)-1)/24),"""18""jjmmdd")</f>
        <v>18980220</v>
      </c>
      <c r="C1223" s="11" t="str">
        <f>INDEX(Data,2,2+MOD(ROWS(C$2:C1223)-1,24))</f>
        <v>22.00</v>
      </c>
      <c r="D1223" s="8" t="str">
        <f t="shared" ca="1" si="59"/>
        <v>—</v>
      </c>
      <c r="E1223" s="16">
        <f t="shared" ca="1" si="60"/>
        <v>7</v>
      </c>
    </row>
    <row r="1224" spans="1:5" x14ac:dyDescent="0.25">
      <c r="A1224" s="3">
        <f t="shared" si="58"/>
        <v>78989</v>
      </c>
      <c r="B1224" t="str">
        <f ca="1">TEXT(DATE(YEAR(Invoer!$A$5),1,1)+INT((ROWS(B$2:B1224)-1)/24),"""18""jjmmdd")</f>
        <v>18980220</v>
      </c>
      <c r="C1224" s="11" t="str">
        <f>INDEX(Data,2,2+MOD(ROWS(C$2:C1224)-1,24))</f>
        <v>23.00</v>
      </c>
      <c r="D1224" s="8" t="str">
        <f t="shared" ca="1" si="59"/>
        <v>—</v>
      </c>
      <c r="E1224" s="16">
        <f t="shared" ca="1" si="60"/>
        <v>7</v>
      </c>
    </row>
    <row r="1225" spans="1:5" x14ac:dyDescent="0.25">
      <c r="A1225" s="3">
        <f t="shared" si="58"/>
        <v>78989</v>
      </c>
      <c r="B1225" t="str">
        <f ca="1">TEXT(DATE(YEAR(Invoer!$A$5),1,1)+INT((ROWS(B$2:B1225)-1)/24),"""18""jjmmdd")</f>
        <v>18980220</v>
      </c>
      <c r="C1225" s="11" t="str">
        <f>INDEX(Data,2,2+MOD(ROWS(C$2:C1225)-1,24))</f>
        <v>24.00</v>
      </c>
      <c r="D1225" s="8" t="str">
        <f t="shared" ca="1" si="59"/>
        <v>—</v>
      </c>
      <c r="E1225" s="16">
        <f t="shared" ca="1" si="60"/>
        <v>7</v>
      </c>
    </row>
    <row r="1226" spans="1:5" x14ac:dyDescent="0.25">
      <c r="A1226" s="3">
        <f t="shared" si="58"/>
        <v>78989</v>
      </c>
      <c r="B1226" t="str">
        <f ca="1">TEXT(DATE(YEAR(Invoer!$A$5),1,1)+INT((ROWS(B$2:B1226)-1)/24),"""18""jjmmdd")</f>
        <v>18980221</v>
      </c>
      <c r="C1226" s="11" t="str">
        <f>INDEX(Data,2,2+MOD(ROWS(C$2:C1226)-1,24))</f>
        <v>01.00</v>
      </c>
      <c r="D1226" s="8" t="str">
        <f t="shared" ca="1" si="59"/>
        <v>—</v>
      </c>
      <c r="E1226" s="16">
        <f t="shared" ca="1" si="60"/>
        <v>7</v>
      </c>
    </row>
    <row r="1227" spans="1:5" x14ac:dyDescent="0.25">
      <c r="A1227" s="3">
        <f t="shared" si="58"/>
        <v>78989</v>
      </c>
      <c r="B1227" t="str">
        <f ca="1">TEXT(DATE(YEAR(Invoer!$A$5),1,1)+INT((ROWS(B$2:B1227)-1)/24),"""18""jjmmdd")</f>
        <v>18980221</v>
      </c>
      <c r="C1227" s="11" t="str">
        <f>INDEX(Data,2,2+MOD(ROWS(C$2:C1227)-1,24))</f>
        <v>02.00</v>
      </c>
      <c r="D1227" s="8" t="str">
        <f t="shared" ca="1" si="59"/>
        <v>—</v>
      </c>
      <c r="E1227" s="16">
        <f t="shared" ca="1" si="60"/>
        <v>7</v>
      </c>
    </row>
    <row r="1228" spans="1:5" x14ac:dyDescent="0.25">
      <c r="A1228" s="3">
        <f t="shared" si="58"/>
        <v>78989</v>
      </c>
      <c r="B1228" t="str">
        <f ca="1">TEXT(DATE(YEAR(Invoer!$A$5),1,1)+INT((ROWS(B$2:B1228)-1)/24),"""18""jjmmdd")</f>
        <v>18980221</v>
      </c>
      <c r="C1228" s="11" t="str">
        <f>INDEX(Data,2,2+MOD(ROWS(C$2:C1228)-1,24))</f>
        <v>03.00</v>
      </c>
      <c r="D1228" s="8" t="str">
        <f t="shared" ca="1" si="59"/>
        <v>—</v>
      </c>
      <c r="E1228" s="16">
        <f t="shared" ca="1" si="60"/>
        <v>7</v>
      </c>
    </row>
    <row r="1229" spans="1:5" x14ac:dyDescent="0.25">
      <c r="A1229" s="3">
        <f t="shared" si="58"/>
        <v>78989</v>
      </c>
      <c r="B1229" t="str">
        <f ca="1">TEXT(DATE(YEAR(Invoer!$A$5),1,1)+INT((ROWS(B$2:B1229)-1)/24),"""18""jjmmdd")</f>
        <v>18980221</v>
      </c>
      <c r="C1229" s="11" t="str">
        <f>INDEX(Data,2,2+MOD(ROWS(C$2:C1229)-1,24))</f>
        <v>04.00</v>
      </c>
      <c r="D1229" s="8" t="str">
        <f t="shared" ca="1" si="59"/>
        <v>—</v>
      </c>
      <c r="E1229" s="16">
        <f t="shared" ca="1" si="60"/>
        <v>7</v>
      </c>
    </row>
    <row r="1230" spans="1:5" x14ac:dyDescent="0.25">
      <c r="A1230" s="3">
        <f t="shared" si="58"/>
        <v>78989</v>
      </c>
      <c r="B1230" t="str">
        <f ca="1">TEXT(DATE(YEAR(Invoer!$A$5),1,1)+INT((ROWS(B$2:B1230)-1)/24),"""18""jjmmdd")</f>
        <v>18980221</v>
      </c>
      <c r="C1230" s="11" t="str">
        <f>INDEX(Data,2,2+MOD(ROWS(C$2:C1230)-1,24))</f>
        <v>05.00</v>
      </c>
      <c r="D1230" s="8" t="str">
        <f t="shared" ca="1" si="59"/>
        <v>—</v>
      </c>
      <c r="E1230" s="16">
        <f t="shared" ca="1" si="60"/>
        <v>7</v>
      </c>
    </row>
    <row r="1231" spans="1:5" x14ac:dyDescent="0.25">
      <c r="A1231" s="3">
        <f t="shared" si="58"/>
        <v>78989</v>
      </c>
      <c r="B1231" t="str">
        <f ca="1">TEXT(DATE(YEAR(Invoer!$A$5),1,1)+INT((ROWS(B$2:B1231)-1)/24),"""18""jjmmdd")</f>
        <v>18980221</v>
      </c>
      <c r="C1231" s="11" t="str">
        <f>INDEX(Data,2,2+MOD(ROWS(C$2:C1231)-1,24))</f>
        <v>06.00</v>
      </c>
      <c r="D1231" s="8" t="str">
        <f t="shared" ca="1" si="59"/>
        <v>—</v>
      </c>
      <c r="E1231" s="16">
        <f t="shared" ca="1" si="60"/>
        <v>7</v>
      </c>
    </row>
    <row r="1232" spans="1:5" x14ac:dyDescent="0.25">
      <c r="A1232" s="3">
        <f t="shared" si="58"/>
        <v>78989</v>
      </c>
      <c r="B1232" t="str">
        <f ca="1">TEXT(DATE(YEAR(Invoer!$A$5),1,1)+INT((ROWS(B$2:B1232)-1)/24),"""18""jjmmdd")</f>
        <v>18980221</v>
      </c>
      <c r="C1232" s="11" t="str">
        <f>INDEX(Data,2,2+MOD(ROWS(C$2:C1232)-1,24))</f>
        <v>07.00</v>
      </c>
      <c r="D1232" s="8" t="str">
        <f t="shared" ca="1" si="59"/>
        <v>—</v>
      </c>
      <c r="E1232" s="16">
        <f t="shared" ca="1" si="60"/>
        <v>7</v>
      </c>
    </row>
    <row r="1233" spans="1:5" x14ac:dyDescent="0.25">
      <c r="A1233" s="3">
        <f t="shared" si="58"/>
        <v>78989</v>
      </c>
      <c r="B1233" t="str">
        <f ca="1">TEXT(DATE(YEAR(Invoer!$A$5),1,1)+INT((ROWS(B$2:B1233)-1)/24),"""18""jjmmdd")</f>
        <v>18980221</v>
      </c>
      <c r="C1233" s="11" t="str">
        <f>INDEX(Data,2,2+MOD(ROWS(C$2:C1233)-1,24))</f>
        <v>08.00</v>
      </c>
      <c r="D1233" s="8" t="str">
        <f t="shared" ca="1" si="59"/>
        <v>—</v>
      </c>
      <c r="E1233" s="16">
        <f t="shared" ca="1" si="60"/>
        <v>7</v>
      </c>
    </row>
    <row r="1234" spans="1:5" x14ac:dyDescent="0.25">
      <c r="A1234" s="3">
        <f t="shared" si="58"/>
        <v>78989</v>
      </c>
      <c r="B1234" t="str">
        <f ca="1">TEXT(DATE(YEAR(Invoer!$A$5),1,1)+INT((ROWS(B$2:B1234)-1)/24),"""18""jjmmdd")</f>
        <v>18980221</v>
      </c>
      <c r="C1234" s="11" t="str">
        <f>INDEX(Data,2,2+MOD(ROWS(C$2:C1234)-1,24))</f>
        <v>09.00</v>
      </c>
      <c r="D1234" s="8" t="str">
        <f t="shared" ca="1" si="59"/>
        <v>—</v>
      </c>
      <c r="E1234" s="16">
        <f t="shared" ca="1" si="60"/>
        <v>7</v>
      </c>
    </row>
    <row r="1235" spans="1:5" x14ac:dyDescent="0.25">
      <c r="A1235" s="3">
        <f t="shared" si="58"/>
        <v>78989</v>
      </c>
      <c r="B1235" t="str">
        <f ca="1">TEXT(DATE(YEAR(Invoer!$A$5),1,1)+INT((ROWS(B$2:B1235)-1)/24),"""18""jjmmdd")</f>
        <v>18980221</v>
      </c>
      <c r="C1235" s="11" t="str">
        <f>INDEX(Data,2,2+MOD(ROWS(C$2:C1235)-1,24))</f>
        <v>10.00</v>
      </c>
      <c r="D1235" s="8" t="str">
        <f t="shared" ca="1" si="59"/>
        <v>—</v>
      </c>
      <c r="E1235" s="16">
        <f t="shared" ca="1" si="60"/>
        <v>7</v>
      </c>
    </row>
    <row r="1236" spans="1:5" x14ac:dyDescent="0.25">
      <c r="A1236" s="3">
        <f t="shared" si="58"/>
        <v>78989</v>
      </c>
      <c r="B1236" t="str">
        <f ca="1">TEXT(DATE(YEAR(Invoer!$A$5),1,1)+INT((ROWS(B$2:B1236)-1)/24),"""18""jjmmdd")</f>
        <v>18980221</v>
      </c>
      <c r="C1236" s="11" t="str">
        <f>INDEX(Data,2,2+MOD(ROWS(C$2:C1236)-1,24))</f>
        <v>11.00</v>
      </c>
      <c r="D1236" s="8" t="str">
        <f t="shared" ca="1" si="59"/>
        <v>—</v>
      </c>
      <c r="E1236" s="16">
        <f t="shared" ca="1" si="60"/>
        <v>7</v>
      </c>
    </row>
    <row r="1237" spans="1:5" x14ac:dyDescent="0.25">
      <c r="A1237" s="3">
        <f t="shared" si="58"/>
        <v>78989</v>
      </c>
      <c r="B1237" t="str">
        <f ca="1">TEXT(DATE(YEAR(Invoer!$A$5),1,1)+INT((ROWS(B$2:B1237)-1)/24),"""18""jjmmdd")</f>
        <v>18980221</v>
      </c>
      <c r="C1237" s="11" t="str">
        <f>INDEX(Data,2,2+MOD(ROWS(C$2:C1237)-1,24))</f>
        <v>12.00</v>
      </c>
      <c r="D1237" s="8" t="str">
        <f t="shared" ca="1" si="59"/>
        <v>—</v>
      </c>
      <c r="E1237" s="16">
        <f t="shared" ca="1" si="60"/>
        <v>7</v>
      </c>
    </row>
    <row r="1238" spans="1:5" x14ac:dyDescent="0.25">
      <c r="A1238" s="3">
        <f t="shared" si="58"/>
        <v>78989</v>
      </c>
      <c r="B1238" t="str">
        <f ca="1">TEXT(DATE(YEAR(Invoer!$A$5),1,1)+INT((ROWS(B$2:B1238)-1)/24),"""18""jjmmdd")</f>
        <v>18980221</v>
      </c>
      <c r="C1238" s="11" t="str">
        <f>INDEX(Data,2,2+MOD(ROWS(C$2:C1238)-1,24))</f>
        <v>13.00</v>
      </c>
      <c r="D1238" s="8" t="str">
        <f t="shared" ca="1" si="59"/>
        <v>—</v>
      </c>
      <c r="E1238" s="16">
        <f t="shared" ca="1" si="60"/>
        <v>7</v>
      </c>
    </row>
    <row r="1239" spans="1:5" x14ac:dyDescent="0.25">
      <c r="A1239" s="3">
        <f t="shared" si="58"/>
        <v>78989</v>
      </c>
      <c r="B1239" t="str">
        <f ca="1">TEXT(DATE(YEAR(Invoer!$A$5),1,1)+INT((ROWS(B$2:B1239)-1)/24),"""18""jjmmdd")</f>
        <v>18980221</v>
      </c>
      <c r="C1239" s="11" t="str">
        <f>INDEX(Data,2,2+MOD(ROWS(C$2:C1239)-1,24))</f>
        <v>14.00</v>
      </c>
      <c r="D1239" s="8" t="str">
        <f t="shared" ca="1" si="59"/>
        <v>—</v>
      </c>
      <c r="E1239" s="16">
        <f t="shared" ca="1" si="60"/>
        <v>7</v>
      </c>
    </row>
    <row r="1240" spans="1:5" x14ac:dyDescent="0.25">
      <c r="A1240" s="3">
        <f t="shared" si="58"/>
        <v>78989</v>
      </c>
      <c r="B1240" t="str">
        <f ca="1">TEXT(DATE(YEAR(Invoer!$A$5),1,1)+INT((ROWS(B$2:B1240)-1)/24),"""18""jjmmdd")</f>
        <v>18980221</v>
      </c>
      <c r="C1240" s="11" t="str">
        <f>INDEX(Data,2,2+MOD(ROWS(C$2:C1240)-1,24))</f>
        <v>15.00</v>
      </c>
      <c r="D1240" s="8" t="str">
        <f t="shared" ca="1" si="59"/>
        <v>—</v>
      </c>
      <c r="E1240" s="16">
        <f t="shared" ca="1" si="60"/>
        <v>7</v>
      </c>
    </row>
    <row r="1241" spans="1:5" x14ac:dyDescent="0.25">
      <c r="A1241" s="3">
        <f t="shared" si="58"/>
        <v>78989</v>
      </c>
      <c r="B1241" t="str">
        <f ca="1">TEXT(DATE(YEAR(Invoer!$A$5),1,1)+INT((ROWS(B$2:B1241)-1)/24),"""18""jjmmdd")</f>
        <v>18980221</v>
      </c>
      <c r="C1241" s="11" t="str">
        <f>INDEX(Data,2,2+MOD(ROWS(C$2:C1241)-1,24))</f>
        <v>16.00</v>
      </c>
      <c r="D1241" s="8" t="str">
        <f t="shared" ca="1" si="59"/>
        <v>—</v>
      </c>
      <c r="E1241" s="16">
        <f t="shared" ca="1" si="60"/>
        <v>7</v>
      </c>
    </row>
    <row r="1242" spans="1:5" x14ac:dyDescent="0.25">
      <c r="A1242" s="3">
        <f t="shared" si="58"/>
        <v>78989</v>
      </c>
      <c r="B1242" t="str">
        <f ca="1">TEXT(DATE(YEAR(Invoer!$A$5),1,1)+INT((ROWS(B$2:B1242)-1)/24),"""18""jjmmdd")</f>
        <v>18980221</v>
      </c>
      <c r="C1242" s="11" t="str">
        <f>INDEX(Data,2,2+MOD(ROWS(C$2:C1242)-1,24))</f>
        <v>17.00</v>
      </c>
      <c r="D1242" s="8" t="str">
        <f t="shared" ca="1" si="59"/>
        <v>—</v>
      </c>
      <c r="E1242" s="16">
        <f t="shared" ca="1" si="60"/>
        <v>7</v>
      </c>
    </row>
    <row r="1243" spans="1:5" x14ac:dyDescent="0.25">
      <c r="A1243" s="3">
        <f t="shared" si="58"/>
        <v>78989</v>
      </c>
      <c r="B1243" t="str">
        <f ca="1">TEXT(DATE(YEAR(Invoer!$A$5),1,1)+INT((ROWS(B$2:B1243)-1)/24),"""18""jjmmdd")</f>
        <v>18980221</v>
      </c>
      <c r="C1243" s="11" t="str">
        <f>INDEX(Data,2,2+MOD(ROWS(C$2:C1243)-1,24))</f>
        <v>18.00</v>
      </c>
      <c r="D1243" s="8" t="str">
        <f t="shared" ca="1" si="59"/>
        <v>—</v>
      </c>
      <c r="E1243" s="16">
        <f t="shared" ca="1" si="60"/>
        <v>7</v>
      </c>
    </row>
    <row r="1244" spans="1:5" x14ac:dyDescent="0.25">
      <c r="A1244" s="3">
        <f t="shared" si="58"/>
        <v>78989</v>
      </c>
      <c r="B1244" t="str">
        <f ca="1">TEXT(DATE(YEAR(Invoer!$A$5),1,1)+INT((ROWS(B$2:B1244)-1)/24),"""18""jjmmdd")</f>
        <v>18980221</v>
      </c>
      <c r="C1244" s="11" t="str">
        <f>INDEX(Data,2,2+MOD(ROWS(C$2:C1244)-1,24))</f>
        <v>19.00</v>
      </c>
      <c r="D1244" s="8" t="str">
        <f t="shared" ca="1" si="59"/>
        <v>—</v>
      </c>
      <c r="E1244" s="16">
        <f t="shared" ca="1" si="60"/>
        <v>7</v>
      </c>
    </row>
    <row r="1245" spans="1:5" x14ac:dyDescent="0.25">
      <c r="A1245" s="3">
        <f t="shared" si="58"/>
        <v>78989</v>
      </c>
      <c r="B1245" t="str">
        <f ca="1">TEXT(DATE(YEAR(Invoer!$A$5),1,1)+INT((ROWS(B$2:B1245)-1)/24),"""18""jjmmdd")</f>
        <v>18980221</v>
      </c>
      <c r="C1245" s="11" t="str">
        <f>INDEX(Data,2,2+MOD(ROWS(C$2:C1245)-1,24))</f>
        <v>20.00</v>
      </c>
      <c r="D1245" s="8" t="str">
        <f t="shared" ca="1" si="59"/>
        <v>—</v>
      </c>
      <c r="E1245" s="16">
        <f t="shared" ca="1" si="60"/>
        <v>7</v>
      </c>
    </row>
    <row r="1246" spans="1:5" x14ac:dyDescent="0.25">
      <c r="A1246" s="3">
        <f t="shared" si="58"/>
        <v>78989</v>
      </c>
      <c r="B1246" t="str">
        <f ca="1">TEXT(DATE(YEAR(Invoer!$A$5),1,1)+INT((ROWS(B$2:B1246)-1)/24),"""18""jjmmdd")</f>
        <v>18980221</v>
      </c>
      <c r="C1246" s="11" t="str">
        <f>INDEX(Data,2,2+MOD(ROWS(C$2:C1246)-1,24))</f>
        <v>21.00</v>
      </c>
      <c r="D1246" s="8" t="str">
        <f t="shared" ca="1" si="59"/>
        <v>—</v>
      </c>
      <c r="E1246" s="16">
        <f t="shared" ca="1" si="60"/>
        <v>7</v>
      </c>
    </row>
    <row r="1247" spans="1:5" x14ac:dyDescent="0.25">
      <c r="A1247" s="3">
        <f t="shared" si="58"/>
        <v>78989</v>
      </c>
      <c r="B1247" t="str">
        <f ca="1">TEXT(DATE(YEAR(Invoer!$A$5),1,1)+INT((ROWS(B$2:B1247)-1)/24),"""18""jjmmdd")</f>
        <v>18980221</v>
      </c>
      <c r="C1247" s="11" t="str">
        <f>INDEX(Data,2,2+MOD(ROWS(C$2:C1247)-1,24))</f>
        <v>22.00</v>
      </c>
      <c r="D1247" s="8" t="str">
        <f t="shared" ca="1" si="59"/>
        <v>—</v>
      </c>
      <c r="E1247" s="16">
        <f t="shared" ca="1" si="60"/>
        <v>7</v>
      </c>
    </row>
    <row r="1248" spans="1:5" x14ac:dyDescent="0.25">
      <c r="A1248" s="3">
        <f t="shared" si="58"/>
        <v>78989</v>
      </c>
      <c r="B1248" t="str">
        <f ca="1">TEXT(DATE(YEAR(Invoer!$A$5),1,1)+INT((ROWS(B$2:B1248)-1)/24),"""18""jjmmdd")</f>
        <v>18980221</v>
      </c>
      <c r="C1248" s="11" t="str">
        <f>INDEX(Data,2,2+MOD(ROWS(C$2:C1248)-1,24))</f>
        <v>23.00</v>
      </c>
      <c r="D1248" s="8" t="str">
        <f t="shared" ca="1" si="59"/>
        <v>—</v>
      </c>
      <c r="E1248" s="16">
        <f t="shared" ca="1" si="60"/>
        <v>7</v>
      </c>
    </row>
    <row r="1249" spans="1:5" x14ac:dyDescent="0.25">
      <c r="A1249" s="3">
        <f t="shared" si="58"/>
        <v>78989</v>
      </c>
      <c r="B1249" t="str">
        <f ca="1">TEXT(DATE(YEAR(Invoer!$A$5),1,1)+INT((ROWS(B$2:B1249)-1)/24),"""18""jjmmdd")</f>
        <v>18980221</v>
      </c>
      <c r="C1249" s="11" t="str">
        <f>INDEX(Data,2,2+MOD(ROWS(C$2:C1249)-1,24))</f>
        <v>24.00</v>
      </c>
      <c r="D1249" s="8" t="str">
        <f t="shared" ca="1" si="59"/>
        <v>—</v>
      </c>
      <c r="E1249" s="16">
        <f t="shared" ca="1" si="60"/>
        <v>7</v>
      </c>
    </row>
    <row r="1250" spans="1:5" x14ac:dyDescent="0.25">
      <c r="A1250" s="3">
        <f t="shared" si="58"/>
        <v>78989</v>
      </c>
      <c r="B1250" t="str">
        <f ca="1">TEXT(DATE(YEAR(Invoer!$A$5),1,1)+INT((ROWS(B$2:B1250)-1)/24),"""18""jjmmdd")</f>
        <v>18980222</v>
      </c>
      <c r="C1250" s="11" t="str">
        <f>INDEX(Data,2,2+MOD(ROWS(C$2:C1250)-1,24))</f>
        <v>01.00</v>
      </c>
      <c r="D1250" s="8" t="str">
        <f t="shared" ca="1" si="59"/>
        <v>—</v>
      </c>
      <c r="E1250" s="16">
        <f t="shared" ca="1" si="60"/>
        <v>7</v>
      </c>
    </row>
    <row r="1251" spans="1:5" x14ac:dyDescent="0.25">
      <c r="A1251" s="3">
        <f t="shared" si="58"/>
        <v>78989</v>
      </c>
      <c r="B1251" t="str">
        <f ca="1">TEXT(DATE(YEAR(Invoer!$A$5),1,1)+INT((ROWS(B$2:B1251)-1)/24),"""18""jjmmdd")</f>
        <v>18980222</v>
      </c>
      <c r="C1251" s="11" t="str">
        <f>INDEX(Data,2,2+MOD(ROWS(C$2:C1251)-1,24))</f>
        <v>02.00</v>
      </c>
      <c r="D1251" s="8" t="str">
        <f t="shared" ca="1" si="59"/>
        <v>—</v>
      </c>
      <c r="E1251" s="16">
        <f t="shared" ca="1" si="60"/>
        <v>7</v>
      </c>
    </row>
    <row r="1252" spans="1:5" x14ac:dyDescent="0.25">
      <c r="A1252" s="3">
        <f t="shared" si="58"/>
        <v>78989</v>
      </c>
      <c r="B1252" t="str">
        <f ca="1">TEXT(DATE(YEAR(Invoer!$A$5),1,1)+INT((ROWS(B$2:B1252)-1)/24),"""18""jjmmdd")</f>
        <v>18980222</v>
      </c>
      <c r="C1252" s="11" t="str">
        <f>INDEX(Data,2,2+MOD(ROWS(C$2:C1252)-1,24))</f>
        <v>03.00</v>
      </c>
      <c r="D1252" s="8" t="str">
        <f t="shared" ca="1" si="59"/>
        <v>—</v>
      </c>
      <c r="E1252" s="16">
        <f t="shared" ca="1" si="60"/>
        <v>7</v>
      </c>
    </row>
    <row r="1253" spans="1:5" x14ac:dyDescent="0.25">
      <c r="A1253" s="3">
        <f t="shared" si="58"/>
        <v>78989</v>
      </c>
      <c r="B1253" t="str">
        <f ca="1">TEXT(DATE(YEAR(Invoer!$A$5),1,1)+INT((ROWS(B$2:B1253)-1)/24),"""18""jjmmdd")</f>
        <v>18980222</v>
      </c>
      <c r="C1253" s="11" t="str">
        <f>INDEX(Data,2,2+MOD(ROWS(C$2:C1253)-1,24))</f>
        <v>04.00</v>
      </c>
      <c r="D1253" s="8" t="str">
        <f t="shared" ca="1" si="59"/>
        <v>—</v>
      </c>
      <c r="E1253" s="16">
        <f t="shared" ca="1" si="60"/>
        <v>7</v>
      </c>
    </row>
    <row r="1254" spans="1:5" x14ac:dyDescent="0.25">
      <c r="A1254" s="3">
        <f t="shared" si="58"/>
        <v>78989</v>
      </c>
      <c r="B1254" t="str">
        <f ca="1">TEXT(DATE(YEAR(Invoer!$A$5),1,1)+INT((ROWS(B$2:B1254)-1)/24),"""18""jjmmdd")</f>
        <v>18980222</v>
      </c>
      <c r="C1254" s="11" t="str">
        <f>INDEX(Data,2,2+MOD(ROWS(C$2:C1254)-1,24))</f>
        <v>05.00</v>
      </c>
      <c r="D1254" s="8" t="str">
        <f t="shared" ca="1" si="59"/>
        <v>—</v>
      </c>
      <c r="E1254" s="16">
        <f t="shared" ca="1" si="60"/>
        <v>7</v>
      </c>
    </row>
    <row r="1255" spans="1:5" x14ac:dyDescent="0.25">
      <c r="A1255" s="3">
        <f t="shared" si="58"/>
        <v>78989</v>
      </c>
      <c r="B1255" t="str">
        <f ca="1">TEXT(DATE(YEAR(Invoer!$A$5),1,1)+INT((ROWS(B$2:B1255)-1)/24),"""18""jjmmdd")</f>
        <v>18980222</v>
      </c>
      <c r="C1255" s="11" t="str">
        <f>INDEX(Data,2,2+MOD(ROWS(C$2:C1255)-1,24))</f>
        <v>06.00</v>
      </c>
      <c r="D1255" s="8" t="str">
        <f t="shared" ca="1" si="59"/>
        <v>—</v>
      </c>
      <c r="E1255" s="16">
        <f t="shared" ca="1" si="60"/>
        <v>7</v>
      </c>
    </row>
    <row r="1256" spans="1:5" x14ac:dyDescent="0.25">
      <c r="A1256" s="3">
        <f t="shared" si="58"/>
        <v>78989</v>
      </c>
      <c r="B1256" t="str">
        <f ca="1">TEXT(DATE(YEAR(Invoer!$A$5),1,1)+INT((ROWS(B$2:B1256)-1)/24),"""18""jjmmdd")</f>
        <v>18980222</v>
      </c>
      <c r="C1256" s="11" t="str">
        <f>INDEX(Data,2,2+MOD(ROWS(C$2:C1256)-1,24))</f>
        <v>07.00</v>
      </c>
      <c r="D1256" s="8" t="str">
        <f t="shared" ca="1" si="59"/>
        <v>—</v>
      </c>
      <c r="E1256" s="16">
        <f t="shared" ca="1" si="60"/>
        <v>7</v>
      </c>
    </row>
    <row r="1257" spans="1:5" x14ac:dyDescent="0.25">
      <c r="A1257" s="3">
        <f t="shared" si="58"/>
        <v>78989</v>
      </c>
      <c r="B1257" t="str">
        <f ca="1">TEXT(DATE(YEAR(Invoer!$A$5),1,1)+INT((ROWS(B$2:B1257)-1)/24),"""18""jjmmdd")</f>
        <v>18980222</v>
      </c>
      <c r="C1257" s="11" t="str">
        <f>INDEX(Data,2,2+MOD(ROWS(C$2:C1257)-1,24))</f>
        <v>08.00</v>
      </c>
      <c r="D1257" s="8" t="str">
        <f t="shared" ca="1" si="59"/>
        <v>—</v>
      </c>
      <c r="E1257" s="16">
        <f t="shared" ca="1" si="60"/>
        <v>7</v>
      </c>
    </row>
    <row r="1258" spans="1:5" x14ac:dyDescent="0.25">
      <c r="A1258" s="3">
        <f t="shared" si="58"/>
        <v>78989</v>
      </c>
      <c r="B1258" t="str">
        <f ca="1">TEXT(DATE(YEAR(Invoer!$A$5),1,1)+INT((ROWS(B$2:B1258)-1)/24),"""18""jjmmdd")</f>
        <v>18980222</v>
      </c>
      <c r="C1258" s="11" t="str">
        <f>INDEX(Data,2,2+MOD(ROWS(C$2:C1258)-1,24))</f>
        <v>09.00</v>
      </c>
      <c r="D1258" s="8" t="str">
        <f t="shared" ca="1" si="59"/>
        <v>—</v>
      </c>
      <c r="E1258" s="16">
        <f t="shared" ca="1" si="60"/>
        <v>7</v>
      </c>
    </row>
    <row r="1259" spans="1:5" x14ac:dyDescent="0.25">
      <c r="A1259" s="3">
        <f t="shared" si="58"/>
        <v>78989</v>
      </c>
      <c r="B1259" t="str">
        <f ca="1">TEXT(DATE(YEAR(Invoer!$A$5),1,1)+INT((ROWS(B$2:B1259)-1)/24),"""18""jjmmdd")</f>
        <v>18980222</v>
      </c>
      <c r="C1259" s="11" t="str">
        <f>INDEX(Data,2,2+MOD(ROWS(C$2:C1259)-1,24))</f>
        <v>10.00</v>
      </c>
      <c r="D1259" s="8" t="str">
        <f t="shared" ca="1" si="59"/>
        <v>—</v>
      </c>
      <c r="E1259" s="16">
        <f t="shared" ca="1" si="60"/>
        <v>7</v>
      </c>
    </row>
    <row r="1260" spans="1:5" x14ac:dyDescent="0.25">
      <c r="A1260" s="3">
        <f t="shared" si="58"/>
        <v>78989</v>
      </c>
      <c r="B1260" t="str">
        <f ca="1">TEXT(DATE(YEAR(Invoer!$A$5),1,1)+INT((ROWS(B$2:B1260)-1)/24),"""18""jjmmdd")</f>
        <v>18980222</v>
      </c>
      <c r="C1260" s="11" t="str">
        <f>INDEX(Data,2,2+MOD(ROWS(C$2:C1260)-1,24))</f>
        <v>11.00</v>
      </c>
      <c r="D1260" s="8" t="str">
        <f t="shared" ca="1" si="59"/>
        <v>—</v>
      </c>
      <c r="E1260" s="16">
        <f t="shared" ca="1" si="60"/>
        <v>7</v>
      </c>
    </row>
    <row r="1261" spans="1:5" x14ac:dyDescent="0.25">
      <c r="A1261" s="3">
        <f t="shared" si="58"/>
        <v>78989</v>
      </c>
      <c r="B1261" t="str">
        <f ca="1">TEXT(DATE(YEAR(Invoer!$A$5),1,1)+INT((ROWS(B$2:B1261)-1)/24),"""18""jjmmdd")</f>
        <v>18980222</v>
      </c>
      <c r="C1261" s="11" t="str">
        <f>INDEX(Data,2,2+MOD(ROWS(C$2:C1261)-1,24))</f>
        <v>12.00</v>
      </c>
      <c r="D1261" s="8" t="str">
        <f t="shared" ca="1" si="59"/>
        <v>—</v>
      </c>
      <c r="E1261" s="16">
        <f t="shared" ca="1" si="60"/>
        <v>7</v>
      </c>
    </row>
    <row r="1262" spans="1:5" x14ac:dyDescent="0.25">
      <c r="A1262" s="3">
        <f t="shared" si="58"/>
        <v>78989</v>
      </c>
      <c r="B1262" t="str">
        <f ca="1">TEXT(DATE(YEAR(Invoer!$A$5),1,1)+INT((ROWS(B$2:B1262)-1)/24),"""18""jjmmdd")</f>
        <v>18980222</v>
      </c>
      <c r="C1262" s="11" t="str">
        <f>INDEX(Data,2,2+MOD(ROWS(C$2:C1262)-1,24))</f>
        <v>13.00</v>
      </c>
      <c r="D1262" s="8" t="str">
        <f t="shared" ca="1" si="59"/>
        <v>—</v>
      </c>
      <c r="E1262" s="16">
        <f t="shared" ca="1" si="60"/>
        <v>7</v>
      </c>
    </row>
    <row r="1263" spans="1:5" x14ac:dyDescent="0.25">
      <c r="A1263" s="3">
        <f t="shared" si="58"/>
        <v>78989</v>
      </c>
      <c r="B1263" t="str">
        <f ca="1">TEXT(DATE(YEAR(Invoer!$A$5),1,1)+INT((ROWS(B$2:B1263)-1)/24),"""18""jjmmdd")</f>
        <v>18980222</v>
      </c>
      <c r="C1263" s="11" t="str">
        <f>INDEX(Data,2,2+MOD(ROWS(C$2:C1263)-1,24))</f>
        <v>14.00</v>
      </c>
      <c r="D1263" s="8" t="str">
        <f t="shared" ca="1" si="59"/>
        <v>—</v>
      </c>
      <c r="E1263" s="16">
        <f t="shared" ca="1" si="60"/>
        <v>7</v>
      </c>
    </row>
    <row r="1264" spans="1:5" x14ac:dyDescent="0.25">
      <c r="A1264" s="3">
        <f t="shared" si="58"/>
        <v>78989</v>
      </c>
      <c r="B1264" t="str">
        <f ca="1">TEXT(DATE(YEAR(Invoer!$A$5),1,1)+INT((ROWS(B$2:B1264)-1)/24),"""18""jjmmdd")</f>
        <v>18980222</v>
      </c>
      <c r="C1264" s="11" t="str">
        <f>INDEX(Data,2,2+MOD(ROWS(C$2:C1264)-1,24))</f>
        <v>15.00</v>
      </c>
      <c r="D1264" s="8" t="str">
        <f t="shared" ca="1" si="59"/>
        <v>—</v>
      </c>
      <c r="E1264" s="16">
        <f t="shared" ca="1" si="60"/>
        <v>7</v>
      </c>
    </row>
    <row r="1265" spans="1:5" x14ac:dyDescent="0.25">
      <c r="A1265" s="3">
        <f t="shared" si="58"/>
        <v>78989</v>
      </c>
      <c r="B1265" t="str">
        <f ca="1">TEXT(DATE(YEAR(Invoer!$A$5),1,1)+INT((ROWS(B$2:B1265)-1)/24),"""18""jjmmdd")</f>
        <v>18980222</v>
      </c>
      <c r="C1265" s="11" t="str">
        <f>INDEX(Data,2,2+MOD(ROWS(C$2:C1265)-1,24))</f>
        <v>16.00</v>
      </c>
      <c r="D1265" s="8" t="str">
        <f t="shared" ca="1" si="59"/>
        <v>—</v>
      </c>
      <c r="E1265" s="16">
        <f t="shared" ca="1" si="60"/>
        <v>7</v>
      </c>
    </row>
    <row r="1266" spans="1:5" x14ac:dyDescent="0.25">
      <c r="A1266" s="3">
        <f t="shared" si="58"/>
        <v>78989</v>
      </c>
      <c r="B1266" t="str">
        <f ca="1">TEXT(DATE(YEAR(Invoer!$A$5),1,1)+INT((ROWS(B$2:B1266)-1)/24),"""18""jjmmdd")</f>
        <v>18980222</v>
      </c>
      <c r="C1266" s="11" t="str">
        <f>INDEX(Data,2,2+MOD(ROWS(C$2:C1266)-1,24))</f>
        <v>17.00</v>
      </c>
      <c r="D1266" s="8" t="str">
        <f t="shared" ca="1" si="59"/>
        <v>—</v>
      </c>
      <c r="E1266" s="16">
        <f t="shared" ca="1" si="60"/>
        <v>7</v>
      </c>
    </row>
    <row r="1267" spans="1:5" x14ac:dyDescent="0.25">
      <c r="A1267" s="3">
        <f t="shared" si="58"/>
        <v>78989</v>
      </c>
      <c r="B1267" t="str">
        <f ca="1">TEXT(DATE(YEAR(Invoer!$A$5),1,1)+INT((ROWS(B$2:B1267)-1)/24),"""18""jjmmdd")</f>
        <v>18980222</v>
      </c>
      <c r="C1267" s="11" t="str">
        <f>INDEX(Data,2,2+MOD(ROWS(C$2:C1267)-1,24))</f>
        <v>18.00</v>
      </c>
      <c r="D1267" s="8" t="str">
        <f t="shared" ca="1" si="59"/>
        <v>—</v>
      </c>
      <c r="E1267" s="16">
        <f t="shared" ca="1" si="60"/>
        <v>7</v>
      </c>
    </row>
    <row r="1268" spans="1:5" x14ac:dyDescent="0.25">
      <c r="A1268" s="3">
        <f t="shared" si="58"/>
        <v>78989</v>
      </c>
      <c r="B1268" t="str">
        <f ca="1">TEXT(DATE(YEAR(Invoer!$A$5),1,1)+INT((ROWS(B$2:B1268)-1)/24),"""18""jjmmdd")</f>
        <v>18980222</v>
      </c>
      <c r="C1268" s="11" t="str">
        <f>INDEX(Data,2,2+MOD(ROWS(C$2:C1268)-1,24))</f>
        <v>19.00</v>
      </c>
      <c r="D1268" s="8" t="str">
        <f t="shared" ca="1" si="59"/>
        <v>—</v>
      </c>
      <c r="E1268" s="16">
        <f t="shared" ca="1" si="60"/>
        <v>7</v>
      </c>
    </row>
    <row r="1269" spans="1:5" x14ac:dyDescent="0.25">
      <c r="A1269" s="3">
        <f t="shared" si="58"/>
        <v>78989</v>
      </c>
      <c r="B1269" t="str">
        <f ca="1">TEXT(DATE(YEAR(Invoer!$A$5),1,1)+INT((ROWS(B$2:B1269)-1)/24),"""18""jjmmdd")</f>
        <v>18980222</v>
      </c>
      <c r="C1269" s="11" t="str">
        <f>INDEX(Data,2,2+MOD(ROWS(C$2:C1269)-1,24))</f>
        <v>20.00</v>
      </c>
      <c r="D1269" s="8" t="str">
        <f t="shared" ca="1" si="59"/>
        <v>—</v>
      </c>
      <c r="E1269" s="16">
        <f t="shared" ca="1" si="60"/>
        <v>7</v>
      </c>
    </row>
    <row r="1270" spans="1:5" x14ac:dyDescent="0.25">
      <c r="A1270" s="3">
        <f t="shared" si="58"/>
        <v>78989</v>
      </c>
      <c r="B1270" t="str">
        <f ca="1">TEXT(DATE(YEAR(Invoer!$A$5),1,1)+INT((ROWS(B$2:B1270)-1)/24),"""18""jjmmdd")</f>
        <v>18980222</v>
      </c>
      <c r="C1270" s="11" t="str">
        <f>INDEX(Data,2,2+MOD(ROWS(C$2:C1270)-1,24))</f>
        <v>21.00</v>
      </c>
      <c r="D1270" s="8" t="str">
        <f t="shared" ca="1" si="59"/>
        <v>—</v>
      </c>
      <c r="E1270" s="16">
        <f t="shared" ca="1" si="60"/>
        <v>7</v>
      </c>
    </row>
    <row r="1271" spans="1:5" x14ac:dyDescent="0.25">
      <c r="A1271" s="3">
        <f t="shared" si="58"/>
        <v>78989</v>
      </c>
      <c r="B1271" t="str">
        <f ca="1">TEXT(DATE(YEAR(Invoer!$A$5),1,1)+INT((ROWS(B$2:B1271)-1)/24),"""18""jjmmdd")</f>
        <v>18980222</v>
      </c>
      <c r="C1271" s="11" t="str">
        <f>INDEX(Data,2,2+MOD(ROWS(C$2:C1271)-1,24))</f>
        <v>22.00</v>
      </c>
      <c r="D1271" s="8" t="str">
        <f t="shared" ca="1" si="59"/>
        <v>—</v>
      </c>
      <c r="E1271" s="16">
        <f t="shared" ca="1" si="60"/>
        <v>7</v>
      </c>
    </row>
    <row r="1272" spans="1:5" x14ac:dyDescent="0.25">
      <c r="A1272" s="3">
        <f t="shared" si="58"/>
        <v>78989</v>
      </c>
      <c r="B1272" t="str">
        <f ca="1">TEXT(DATE(YEAR(Invoer!$A$5),1,1)+INT((ROWS(B$2:B1272)-1)/24),"""18""jjmmdd")</f>
        <v>18980222</v>
      </c>
      <c r="C1272" s="11" t="str">
        <f>INDEX(Data,2,2+MOD(ROWS(C$2:C1272)-1,24))</f>
        <v>23.00</v>
      </c>
      <c r="D1272" s="8" t="str">
        <f t="shared" ca="1" si="59"/>
        <v>—</v>
      </c>
      <c r="E1272" s="16">
        <f t="shared" ca="1" si="60"/>
        <v>7</v>
      </c>
    </row>
    <row r="1273" spans="1:5" x14ac:dyDescent="0.25">
      <c r="A1273" s="3">
        <f t="shared" si="58"/>
        <v>78989</v>
      </c>
      <c r="B1273" t="str">
        <f ca="1">TEXT(DATE(YEAR(Invoer!$A$5),1,1)+INT((ROWS(B$2:B1273)-1)/24),"""18""jjmmdd")</f>
        <v>18980222</v>
      </c>
      <c r="C1273" s="11" t="str">
        <f>INDEX(Data,2,2+MOD(ROWS(C$2:C1273)-1,24))</f>
        <v>24.00</v>
      </c>
      <c r="D1273" s="8" t="str">
        <f t="shared" ca="1" si="59"/>
        <v>—</v>
      </c>
      <c r="E1273" s="16">
        <f t="shared" ca="1" si="60"/>
        <v>7</v>
      </c>
    </row>
    <row r="1274" spans="1:5" x14ac:dyDescent="0.25">
      <c r="A1274" s="3">
        <f t="shared" si="58"/>
        <v>78989</v>
      </c>
      <c r="B1274" t="str">
        <f ca="1">TEXT(DATE(YEAR(Invoer!$A$5),1,1)+INT((ROWS(B$2:B1274)-1)/24),"""18""jjmmdd")</f>
        <v>18980223</v>
      </c>
      <c r="C1274" s="11" t="str">
        <f>INDEX(Data,2,2+MOD(ROWS(C$2:C1274)-1,24))</f>
        <v>01.00</v>
      </c>
      <c r="D1274" s="8" t="str">
        <f t="shared" ca="1" si="59"/>
        <v>—</v>
      </c>
      <c r="E1274" s="16">
        <f t="shared" ca="1" si="60"/>
        <v>7</v>
      </c>
    </row>
    <row r="1275" spans="1:5" x14ac:dyDescent="0.25">
      <c r="A1275" s="3">
        <f t="shared" si="58"/>
        <v>78989</v>
      </c>
      <c r="B1275" t="str">
        <f ca="1">TEXT(DATE(YEAR(Invoer!$A$5),1,1)+INT((ROWS(B$2:B1275)-1)/24),"""18""jjmmdd")</f>
        <v>18980223</v>
      </c>
      <c r="C1275" s="11" t="str">
        <f>INDEX(Data,2,2+MOD(ROWS(C$2:C1275)-1,24))</f>
        <v>02.00</v>
      </c>
      <c r="D1275" s="8" t="str">
        <f t="shared" ca="1" si="59"/>
        <v>—</v>
      </c>
      <c r="E1275" s="16">
        <f t="shared" ca="1" si="60"/>
        <v>7</v>
      </c>
    </row>
    <row r="1276" spans="1:5" x14ac:dyDescent="0.25">
      <c r="A1276" s="3">
        <f t="shared" si="58"/>
        <v>78989</v>
      </c>
      <c r="B1276" t="str">
        <f ca="1">TEXT(DATE(YEAR(Invoer!$A$5),1,1)+INT((ROWS(B$2:B1276)-1)/24),"""18""jjmmdd")</f>
        <v>18980223</v>
      </c>
      <c r="C1276" s="11" t="str">
        <f>INDEX(Data,2,2+MOD(ROWS(C$2:C1276)-1,24))</f>
        <v>03.00</v>
      </c>
      <c r="D1276" s="8" t="str">
        <f t="shared" ca="1" si="59"/>
        <v>—</v>
      </c>
      <c r="E1276" s="16">
        <f t="shared" ca="1" si="60"/>
        <v>7</v>
      </c>
    </row>
    <row r="1277" spans="1:5" x14ac:dyDescent="0.25">
      <c r="A1277" s="3">
        <f t="shared" si="58"/>
        <v>78989</v>
      </c>
      <c r="B1277" t="str">
        <f ca="1">TEXT(DATE(YEAR(Invoer!$A$5),1,1)+INT((ROWS(B$2:B1277)-1)/24),"""18""jjmmdd")</f>
        <v>18980223</v>
      </c>
      <c r="C1277" s="11" t="str">
        <f>INDEX(Data,2,2+MOD(ROWS(C$2:C1277)-1,24))</f>
        <v>04.00</v>
      </c>
      <c r="D1277" s="8" t="str">
        <f t="shared" ca="1" si="59"/>
        <v>—</v>
      </c>
      <c r="E1277" s="16">
        <f t="shared" ca="1" si="60"/>
        <v>7</v>
      </c>
    </row>
    <row r="1278" spans="1:5" x14ac:dyDescent="0.25">
      <c r="A1278" s="3">
        <f t="shared" si="58"/>
        <v>78989</v>
      </c>
      <c r="B1278" t="str">
        <f ca="1">TEXT(DATE(YEAR(Invoer!$A$5),1,1)+INT((ROWS(B$2:B1278)-1)/24),"""18""jjmmdd")</f>
        <v>18980223</v>
      </c>
      <c r="C1278" s="11" t="str">
        <f>INDEX(Data,2,2+MOD(ROWS(C$2:C1278)-1,24))</f>
        <v>05.00</v>
      </c>
      <c r="D1278" s="8" t="str">
        <f t="shared" ca="1" si="59"/>
        <v>—</v>
      </c>
      <c r="E1278" s="16">
        <f t="shared" ca="1" si="60"/>
        <v>7</v>
      </c>
    </row>
    <row r="1279" spans="1:5" x14ac:dyDescent="0.25">
      <c r="A1279" s="3">
        <f t="shared" si="58"/>
        <v>78989</v>
      </c>
      <c r="B1279" t="str">
        <f ca="1">TEXT(DATE(YEAR(Invoer!$A$5),1,1)+INT((ROWS(B$2:B1279)-1)/24),"""18""jjmmdd")</f>
        <v>18980223</v>
      </c>
      <c r="C1279" s="11" t="str">
        <f>INDEX(Data,2,2+MOD(ROWS(C$2:C1279)-1,24))</f>
        <v>06.00</v>
      </c>
      <c r="D1279" s="8" t="str">
        <f t="shared" ca="1" si="59"/>
        <v>—</v>
      </c>
      <c r="E1279" s="16">
        <f t="shared" ca="1" si="60"/>
        <v>7</v>
      </c>
    </row>
    <row r="1280" spans="1:5" x14ac:dyDescent="0.25">
      <c r="A1280" s="3">
        <f t="shared" si="58"/>
        <v>78989</v>
      </c>
      <c r="B1280" t="str">
        <f ca="1">TEXT(DATE(YEAR(Invoer!$A$5),1,1)+INT((ROWS(B$2:B1280)-1)/24),"""18""jjmmdd")</f>
        <v>18980223</v>
      </c>
      <c r="C1280" s="11" t="str">
        <f>INDEX(Data,2,2+MOD(ROWS(C$2:C1280)-1,24))</f>
        <v>07.00</v>
      </c>
      <c r="D1280" s="8" t="str">
        <f t="shared" ca="1" si="59"/>
        <v>—</v>
      </c>
      <c r="E1280" s="16">
        <f t="shared" ca="1" si="60"/>
        <v>7</v>
      </c>
    </row>
    <row r="1281" spans="1:5" x14ac:dyDescent="0.25">
      <c r="A1281" s="3">
        <f t="shared" si="58"/>
        <v>78989</v>
      </c>
      <c r="B1281" t="str">
        <f ca="1">TEXT(DATE(YEAR(Invoer!$A$5),1,1)+INT((ROWS(B$2:B1281)-1)/24),"""18""jjmmdd")</f>
        <v>18980223</v>
      </c>
      <c r="C1281" s="11" t="str">
        <f>INDEX(Data,2,2+MOD(ROWS(C$2:C1281)-1,24))</f>
        <v>08.00</v>
      </c>
      <c r="D1281" s="8" t="str">
        <f t="shared" ca="1" si="59"/>
        <v>—</v>
      </c>
      <c r="E1281" s="16">
        <f t="shared" ca="1" si="60"/>
        <v>7</v>
      </c>
    </row>
    <row r="1282" spans="1:5" x14ac:dyDescent="0.25">
      <c r="A1282" s="3">
        <f t="shared" ref="A1282:A1345" si="61">INDEX(Stations,2,1)</f>
        <v>78989</v>
      </c>
      <c r="B1282" t="str">
        <f ca="1">TEXT(DATE(YEAR(Invoer!$A$5),1,1)+INT((ROWS(B$2:B1282)-1)/24),"""18""jjmmdd")</f>
        <v>18980223</v>
      </c>
      <c r="C1282" s="11" t="str">
        <f>INDEX(Data,2,2+MOD(ROWS(C$2:C1282)-1,24))</f>
        <v>09.00</v>
      </c>
      <c r="D1282" s="8" t="str">
        <f t="shared" ref="D1282:D1345" ca="1" si="62">IF(OR(ISBLANK(VLOOKUP(DATEVALUE("37"&amp;MID($B1282,3,2)&amp;"-"&amp;MID($B1282,5,2)&amp;"-"&amp;RIGHT($B1282,2)),Data,MATCH(LEFT(VLOOKUP(D$1,Parameters,2,FALSE()),4)&amp;"*",OFFSET(Data,0,0,1),0)+MATCH($C1282,OFFSET(Data,1,0,1),0)-2,FALSE())),ISTEXT(VLOOKUP(DATEVALUE("37"&amp;MID($B1282,3,2)&amp;"-"&amp;MID($B1282,5,2)&amp;"-"&amp;RIGHT($B1282,2)),Data,MATCH(LEFT(VLOOKUP(D$1,Parameters,2,FALSE()),4)&amp;"*",OFFSET(Data,0,0,1),0)+MATCH($C1282,OFFSET(Data,1,0,1),0)-2,FALSE()))),"—",VLOOKUP(DATEVALUE("37"&amp;MID($B1282,3,2)&amp;"-"&amp;MID($B1282,5,2)&amp;"-"&amp;RIGHT($B1282,2)),Data,MATCH(LEFT(VLOOKUP(D$1,Parameters,2,FALSE()),4)&amp;"*",OFFSET(Data,0,0,1),0)+MATCH($C1282,OFFSET(Data,1,0,1),0)-2,FALSE()))</f>
        <v>—</v>
      </c>
      <c r="E1282" s="16">
        <f t="shared" ca="1" si="60"/>
        <v>7</v>
      </c>
    </row>
    <row r="1283" spans="1:5" x14ac:dyDescent="0.25">
      <c r="A1283" s="3">
        <f t="shared" si="61"/>
        <v>78989</v>
      </c>
      <c r="B1283" t="str">
        <f ca="1">TEXT(DATE(YEAR(Invoer!$A$5),1,1)+INT((ROWS(B$2:B1283)-1)/24),"""18""jjmmdd")</f>
        <v>18980223</v>
      </c>
      <c r="C1283" s="11" t="str">
        <f>INDEX(Data,2,2+MOD(ROWS(C$2:C1283)-1,24))</f>
        <v>10.00</v>
      </c>
      <c r="D1283" s="8" t="str">
        <f t="shared" ca="1" si="62"/>
        <v>—</v>
      </c>
      <c r="E1283" s="16">
        <f t="shared" ref="E1283:E1346" ca="1" si="63">IF(OR(ISBLANK(VLOOKUP(DATEVALUE("37"&amp;MID($B1283,3,2)&amp;"-"&amp;MID($B1283,5,2)&amp;"-"&amp;RIGHT($B1283,2)),Data,MATCH(LEFT(VLOOKUP(D$1,Parameters,2,FALSE()),4)&amp;"*",OFFSET(Data,0,0,1),0)+MATCH($C1283,OFFSET(Data,1,0,1),0)-2,FALSE())),ISTEXT(VLOOKUP(DATEVALUE("37"&amp;MID($B1283,3,2)&amp;"-"&amp;MID($B1283,5,2)&amp;"-"&amp;RIGHT($B1283,2)),Data,MATCH(LEFT(VLOOKUP(D$1,Parameters,2,FALSE()),4)&amp;"*",OFFSET(Data,0,0,1),0)+MATCH($C1283,OFFSET(Data,1,0,1),0)-2,FALSE()))),Lacking,IF(ISNA(MATCH(DATEVALUE("37"&amp;MID($B1283,3,2)&amp;"-"&amp;MID($B1283,5,2)&amp;"-"&amp;RIGHT($B1283,2)),OFFSET(Catalogus,0,0,,1),0)),Ok,VLOOKUP(DATEVALUE("37"&amp;MID($B1283,3,2)&amp;"-"&amp;MID($B1283,5,2)&amp;"-"&amp;RIGHT($B1283,2)),Catalogus,MATCH(LEFT(VLOOKUP(MID(E$1,2,LEN(E$1)-1),Parameters,2,FALSE()),4)&amp;"*",OFFSET(Catalogus,0,0,1),0)+MATCH($C1283,OFFSET(Catalogus,1,0,1),0)-2,FALSE())))</f>
        <v>7</v>
      </c>
    </row>
    <row r="1284" spans="1:5" x14ac:dyDescent="0.25">
      <c r="A1284" s="3">
        <f t="shared" si="61"/>
        <v>78989</v>
      </c>
      <c r="B1284" t="str">
        <f ca="1">TEXT(DATE(YEAR(Invoer!$A$5),1,1)+INT((ROWS(B$2:B1284)-1)/24),"""18""jjmmdd")</f>
        <v>18980223</v>
      </c>
      <c r="C1284" s="11" t="str">
        <f>INDEX(Data,2,2+MOD(ROWS(C$2:C1284)-1,24))</f>
        <v>11.00</v>
      </c>
      <c r="D1284" s="8" t="str">
        <f t="shared" ca="1" si="62"/>
        <v>—</v>
      </c>
      <c r="E1284" s="16">
        <f t="shared" ca="1" si="63"/>
        <v>7</v>
      </c>
    </row>
    <row r="1285" spans="1:5" x14ac:dyDescent="0.25">
      <c r="A1285" s="3">
        <f t="shared" si="61"/>
        <v>78989</v>
      </c>
      <c r="B1285" t="str">
        <f ca="1">TEXT(DATE(YEAR(Invoer!$A$5),1,1)+INT((ROWS(B$2:B1285)-1)/24),"""18""jjmmdd")</f>
        <v>18980223</v>
      </c>
      <c r="C1285" s="11" t="str">
        <f>INDEX(Data,2,2+MOD(ROWS(C$2:C1285)-1,24))</f>
        <v>12.00</v>
      </c>
      <c r="D1285" s="8" t="str">
        <f t="shared" ca="1" si="62"/>
        <v>—</v>
      </c>
      <c r="E1285" s="16">
        <f t="shared" ca="1" si="63"/>
        <v>7</v>
      </c>
    </row>
    <row r="1286" spans="1:5" x14ac:dyDescent="0.25">
      <c r="A1286" s="3">
        <f t="shared" si="61"/>
        <v>78989</v>
      </c>
      <c r="B1286" t="str">
        <f ca="1">TEXT(DATE(YEAR(Invoer!$A$5),1,1)+INT((ROWS(B$2:B1286)-1)/24),"""18""jjmmdd")</f>
        <v>18980223</v>
      </c>
      <c r="C1286" s="11" t="str">
        <f>INDEX(Data,2,2+MOD(ROWS(C$2:C1286)-1,24))</f>
        <v>13.00</v>
      </c>
      <c r="D1286" s="8" t="str">
        <f t="shared" ca="1" si="62"/>
        <v>—</v>
      </c>
      <c r="E1286" s="16">
        <f t="shared" ca="1" si="63"/>
        <v>7</v>
      </c>
    </row>
    <row r="1287" spans="1:5" x14ac:dyDescent="0.25">
      <c r="A1287" s="3">
        <f t="shared" si="61"/>
        <v>78989</v>
      </c>
      <c r="B1287" t="str">
        <f ca="1">TEXT(DATE(YEAR(Invoer!$A$5),1,1)+INT((ROWS(B$2:B1287)-1)/24),"""18""jjmmdd")</f>
        <v>18980223</v>
      </c>
      <c r="C1287" s="11" t="str">
        <f>INDEX(Data,2,2+MOD(ROWS(C$2:C1287)-1,24))</f>
        <v>14.00</v>
      </c>
      <c r="D1287" s="8" t="str">
        <f t="shared" ca="1" si="62"/>
        <v>—</v>
      </c>
      <c r="E1287" s="16">
        <f t="shared" ca="1" si="63"/>
        <v>7</v>
      </c>
    </row>
    <row r="1288" spans="1:5" x14ac:dyDescent="0.25">
      <c r="A1288" s="3">
        <f t="shared" si="61"/>
        <v>78989</v>
      </c>
      <c r="B1288" t="str">
        <f ca="1">TEXT(DATE(YEAR(Invoer!$A$5),1,1)+INT((ROWS(B$2:B1288)-1)/24),"""18""jjmmdd")</f>
        <v>18980223</v>
      </c>
      <c r="C1288" s="11" t="str">
        <f>INDEX(Data,2,2+MOD(ROWS(C$2:C1288)-1,24))</f>
        <v>15.00</v>
      </c>
      <c r="D1288" s="8" t="str">
        <f t="shared" ca="1" si="62"/>
        <v>—</v>
      </c>
      <c r="E1288" s="16">
        <f t="shared" ca="1" si="63"/>
        <v>7</v>
      </c>
    </row>
    <row r="1289" spans="1:5" x14ac:dyDescent="0.25">
      <c r="A1289" s="3">
        <f t="shared" si="61"/>
        <v>78989</v>
      </c>
      <c r="B1289" t="str">
        <f ca="1">TEXT(DATE(YEAR(Invoer!$A$5),1,1)+INT((ROWS(B$2:B1289)-1)/24),"""18""jjmmdd")</f>
        <v>18980223</v>
      </c>
      <c r="C1289" s="11" t="str">
        <f>INDEX(Data,2,2+MOD(ROWS(C$2:C1289)-1,24))</f>
        <v>16.00</v>
      </c>
      <c r="D1289" s="8" t="str">
        <f t="shared" ca="1" si="62"/>
        <v>—</v>
      </c>
      <c r="E1289" s="16">
        <f t="shared" ca="1" si="63"/>
        <v>7</v>
      </c>
    </row>
    <row r="1290" spans="1:5" x14ac:dyDescent="0.25">
      <c r="A1290" s="3">
        <f t="shared" si="61"/>
        <v>78989</v>
      </c>
      <c r="B1290" t="str">
        <f ca="1">TEXT(DATE(YEAR(Invoer!$A$5),1,1)+INT((ROWS(B$2:B1290)-1)/24),"""18""jjmmdd")</f>
        <v>18980223</v>
      </c>
      <c r="C1290" s="11" t="str">
        <f>INDEX(Data,2,2+MOD(ROWS(C$2:C1290)-1,24))</f>
        <v>17.00</v>
      </c>
      <c r="D1290" s="8" t="str">
        <f t="shared" ca="1" si="62"/>
        <v>—</v>
      </c>
      <c r="E1290" s="16">
        <f t="shared" ca="1" si="63"/>
        <v>7</v>
      </c>
    </row>
    <row r="1291" spans="1:5" x14ac:dyDescent="0.25">
      <c r="A1291" s="3">
        <f t="shared" si="61"/>
        <v>78989</v>
      </c>
      <c r="B1291" t="str">
        <f ca="1">TEXT(DATE(YEAR(Invoer!$A$5),1,1)+INT((ROWS(B$2:B1291)-1)/24),"""18""jjmmdd")</f>
        <v>18980223</v>
      </c>
      <c r="C1291" s="11" t="str">
        <f>INDEX(Data,2,2+MOD(ROWS(C$2:C1291)-1,24))</f>
        <v>18.00</v>
      </c>
      <c r="D1291" s="8" t="str">
        <f t="shared" ca="1" si="62"/>
        <v>—</v>
      </c>
      <c r="E1291" s="16">
        <f t="shared" ca="1" si="63"/>
        <v>7</v>
      </c>
    </row>
    <row r="1292" spans="1:5" x14ac:dyDescent="0.25">
      <c r="A1292" s="3">
        <f t="shared" si="61"/>
        <v>78989</v>
      </c>
      <c r="B1292" t="str">
        <f ca="1">TEXT(DATE(YEAR(Invoer!$A$5),1,1)+INT((ROWS(B$2:B1292)-1)/24),"""18""jjmmdd")</f>
        <v>18980223</v>
      </c>
      <c r="C1292" s="11" t="str">
        <f>INDEX(Data,2,2+MOD(ROWS(C$2:C1292)-1,24))</f>
        <v>19.00</v>
      </c>
      <c r="D1292" s="8" t="str">
        <f t="shared" ca="1" si="62"/>
        <v>—</v>
      </c>
      <c r="E1292" s="16">
        <f t="shared" ca="1" si="63"/>
        <v>7</v>
      </c>
    </row>
    <row r="1293" spans="1:5" x14ac:dyDescent="0.25">
      <c r="A1293" s="3">
        <f t="shared" si="61"/>
        <v>78989</v>
      </c>
      <c r="B1293" t="str">
        <f ca="1">TEXT(DATE(YEAR(Invoer!$A$5),1,1)+INT((ROWS(B$2:B1293)-1)/24),"""18""jjmmdd")</f>
        <v>18980223</v>
      </c>
      <c r="C1293" s="11" t="str">
        <f>INDEX(Data,2,2+MOD(ROWS(C$2:C1293)-1,24))</f>
        <v>20.00</v>
      </c>
      <c r="D1293" s="8" t="str">
        <f t="shared" ca="1" si="62"/>
        <v>—</v>
      </c>
      <c r="E1293" s="16">
        <f t="shared" ca="1" si="63"/>
        <v>7</v>
      </c>
    </row>
    <row r="1294" spans="1:5" x14ac:dyDescent="0.25">
      <c r="A1294" s="3">
        <f t="shared" si="61"/>
        <v>78989</v>
      </c>
      <c r="B1294" t="str">
        <f ca="1">TEXT(DATE(YEAR(Invoer!$A$5),1,1)+INT((ROWS(B$2:B1294)-1)/24),"""18""jjmmdd")</f>
        <v>18980223</v>
      </c>
      <c r="C1294" s="11" t="str">
        <f>INDEX(Data,2,2+MOD(ROWS(C$2:C1294)-1,24))</f>
        <v>21.00</v>
      </c>
      <c r="D1294" s="8" t="str">
        <f t="shared" ca="1" si="62"/>
        <v>—</v>
      </c>
      <c r="E1294" s="16">
        <f t="shared" ca="1" si="63"/>
        <v>7</v>
      </c>
    </row>
    <row r="1295" spans="1:5" x14ac:dyDescent="0.25">
      <c r="A1295" s="3">
        <f t="shared" si="61"/>
        <v>78989</v>
      </c>
      <c r="B1295" t="str">
        <f ca="1">TEXT(DATE(YEAR(Invoer!$A$5),1,1)+INT((ROWS(B$2:B1295)-1)/24),"""18""jjmmdd")</f>
        <v>18980223</v>
      </c>
      <c r="C1295" s="11" t="str">
        <f>INDEX(Data,2,2+MOD(ROWS(C$2:C1295)-1,24))</f>
        <v>22.00</v>
      </c>
      <c r="D1295" s="8" t="str">
        <f t="shared" ca="1" si="62"/>
        <v>—</v>
      </c>
      <c r="E1295" s="16">
        <f t="shared" ca="1" si="63"/>
        <v>7</v>
      </c>
    </row>
    <row r="1296" spans="1:5" x14ac:dyDescent="0.25">
      <c r="A1296" s="3">
        <f t="shared" si="61"/>
        <v>78989</v>
      </c>
      <c r="B1296" t="str">
        <f ca="1">TEXT(DATE(YEAR(Invoer!$A$5),1,1)+INT((ROWS(B$2:B1296)-1)/24),"""18""jjmmdd")</f>
        <v>18980223</v>
      </c>
      <c r="C1296" s="11" t="str">
        <f>INDEX(Data,2,2+MOD(ROWS(C$2:C1296)-1,24))</f>
        <v>23.00</v>
      </c>
      <c r="D1296" s="8" t="str">
        <f t="shared" ca="1" si="62"/>
        <v>—</v>
      </c>
      <c r="E1296" s="16">
        <f t="shared" ca="1" si="63"/>
        <v>7</v>
      </c>
    </row>
    <row r="1297" spans="1:5" x14ac:dyDescent="0.25">
      <c r="A1297" s="3">
        <f t="shared" si="61"/>
        <v>78989</v>
      </c>
      <c r="B1297" t="str">
        <f ca="1">TEXT(DATE(YEAR(Invoer!$A$5),1,1)+INT((ROWS(B$2:B1297)-1)/24),"""18""jjmmdd")</f>
        <v>18980223</v>
      </c>
      <c r="C1297" s="11" t="str">
        <f>INDEX(Data,2,2+MOD(ROWS(C$2:C1297)-1,24))</f>
        <v>24.00</v>
      </c>
      <c r="D1297" s="8" t="str">
        <f t="shared" ca="1" si="62"/>
        <v>—</v>
      </c>
      <c r="E1297" s="16">
        <f t="shared" ca="1" si="63"/>
        <v>7</v>
      </c>
    </row>
    <row r="1298" spans="1:5" x14ac:dyDescent="0.25">
      <c r="A1298" s="3">
        <f t="shared" si="61"/>
        <v>78989</v>
      </c>
      <c r="B1298" t="str">
        <f ca="1">TEXT(DATE(YEAR(Invoer!$A$5),1,1)+INT((ROWS(B$2:B1298)-1)/24),"""18""jjmmdd")</f>
        <v>18980224</v>
      </c>
      <c r="C1298" s="11" t="str">
        <f>INDEX(Data,2,2+MOD(ROWS(C$2:C1298)-1,24))</f>
        <v>01.00</v>
      </c>
      <c r="D1298" s="8" t="str">
        <f t="shared" ca="1" si="62"/>
        <v>—</v>
      </c>
      <c r="E1298" s="16">
        <f t="shared" ca="1" si="63"/>
        <v>7</v>
      </c>
    </row>
    <row r="1299" spans="1:5" x14ac:dyDescent="0.25">
      <c r="A1299" s="3">
        <f t="shared" si="61"/>
        <v>78989</v>
      </c>
      <c r="B1299" t="str">
        <f ca="1">TEXT(DATE(YEAR(Invoer!$A$5),1,1)+INT((ROWS(B$2:B1299)-1)/24),"""18""jjmmdd")</f>
        <v>18980224</v>
      </c>
      <c r="C1299" s="11" t="str">
        <f>INDEX(Data,2,2+MOD(ROWS(C$2:C1299)-1,24))</f>
        <v>02.00</v>
      </c>
      <c r="D1299" s="8" t="str">
        <f t="shared" ca="1" si="62"/>
        <v>—</v>
      </c>
      <c r="E1299" s="16">
        <f t="shared" ca="1" si="63"/>
        <v>7</v>
      </c>
    </row>
    <row r="1300" spans="1:5" x14ac:dyDescent="0.25">
      <c r="A1300" s="3">
        <f t="shared" si="61"/>
        <v>78989</v>
      </c>
      <c r="B1300" t="str">
        <f ca="1">TEXT(DATE(YEAR(Invoer!$A$5),1,1)+INT((ROWS(B$2:B1300)-1)/24),"""18""jjmmdd")</f>
        <v>18980224</v>
      </c>
      <c r="C1300" s="11" t="str">
        <f>INDEX(Data,2,2+MOD(ROWS(C$2:C1300)-1,24))</f>
        <v>03.00</v>
      </c>
      <c r="D1300" s="8" t="str">
        <f t="shared" ca="1" si="62"/>
        <v>—</v>
      </c>
      <c r="E1300" s="16">
        <f t="shared" ca="1" si="63"/>
        <v>7</v>
      </c>
    </row>
    <row r="1301" spans="1:5" x14ac:dyDescent="0.25">
      <c r="A1301" s="3">
        <f t="shared" si="61"/>
        <v>78989</v>
      </c>
      <c r="B1301" t="str">
        <f ca="1">TEXT(DATE(YEAR(Invoer!$A$5),1,1)+INT((ROWS(B$2:B1301)-1)/24),"""18""jjmmdd")</f>
        <v>18980224</v>
      </c>
      <c r="C1301" s="11" t="str">
        <f>INDEX(Data,2,2+MOD(ROWS(C$2:C1301)-1,24))</f>
        <v>04.00</v>
      </c>
      <c r="D1301" s="8" t="str">
        <f t="shared" ca="1" si="62"/>
        <v>—</v>
      </c>
      <c r="E1301" s="16">
        <f t="shared" ca="1" si="63"/>
        <v>7</v>
      </c>
    </row>
    <row r="1302" spans="1:5" x14ac:dyDescent="0.25">
      <c r="A1302" s="3">
        <f t="shared" si="61"/>
        <v>78989</v>
      </c>
      <c r="B1302" t="str">
        <f ca="1">TEXT(DATE(YEAR(Invoer!$A$5),1,1)+INT((ROWS(B$2:B1302)-1)/24),"""18""jjmmdd")</f>
        <v>18980224</v>
      </c>
      <c r="C1302" s="11" t="str">
        <f>INDEX(Data,2,2+MOD(ROWS(C$2:C1302)-1,24))</f>
        <v>05.00</v>
      </c>
      <c r="D1302" s="8" t="str">
        <f t="shared" ca="1" si="62"/>
        <v>—</v>
      </c>
      <c r="E1302" s="16">
        <f t="shared" ca="1" si="63"/>
        <v>7</v>
      </c>
    </row>
    <row r="1303" spans="1:5" x14ac:dyDescent="0.25">
      <c r="A1303" s="3">
        <f t="shared" si="61"/>
        <v>78989</v>
      </c>
      <c r="B1303" t="str">
        <f ca="1">TEXT(DATE(YEAR(Invoer!$A$5),1,1)+INT((ROWS(B$2:B1303)-1)/24),"""18""jjmmdd")</f>
        <v>18980224</v>
      </c>
      <c r="C1303" s="11" t="str">
        <f>INDEX(Data,2,2+MOD(ROWS(C$2:C1303)-1,24))</f>
        <v>06.00</v>
      </c>
      <c r="D1303" s="8" t="str">
        <f t="shared" ca="1" si="62"/>
        <v>—</v>
      </c>
      <c r="E1303" s="16">
        <f t="shared" ca="1" si="63"/>
        <v>7</v>
      </c>
    </row>
    <row r="1304" spans="1:5" x14ac:dyDescent="0.25">
      <c r="A1304" s="3">
        <f t="shared" si="61"/>
        <v>78989</v>
      </c>
      <c r="B1304" t="str">
        <f ca="1">TEXT(DATE(YEAR(Invoer!$A$5),1,1)+INT((ROWS(B$2:B1304)-1)/24),"""18""jjmmdd")</f>
        <v>18980224</v>
      </c>
      <c r="C1304" s="11" t="str">
        <f>INDEX(Data,2,2+MOD(ROWS(C$2:C1304)-1,24))</f>
        <v>07.00</v>
      </c>
      <c r="D1304" s="8" t="str">
        <f t="shared" ca="1" si="62"/>
        <v>—</v>
      </c>
      <c r="E1304" s="16">
        <f t="shared" ca="1" si="63"/>
        <v>7</v>
      </c>
    </row>
    <row r="1305" spans="1:5" x14ac:dyDescent="0.25">
      <c r="A1305" s="3">
        <f t="shared" si="61"/>
        <v>78989</v>
      </c>
      <c r="B1305" t="str">
        <f ca="1">TEXT(DATE(YEAR(Invoer!$A$5),1,1)+INT((ROWS(B$2:B1305)-1)/24),"""18""jjmmdd")</f>
        <v>18980224</v>
      </c>
      <c r="C1305" s="11" t="str">
        <f>INDEX(Data,2,2+MOD(ROWS(C$2:C1305)-1,24))</f>
        <v>08.00</v>
      </c>
      <c r="D1305" s="8" t="str">
        <f t="shared" ca="1" si="62"/>
        <v>—</v>
      </c>
      <c r="E1305" s="16">
        <f t="shared" ca="1" si="63"/>
        <v>7</v>
      </c>
    </row>
    <row r="1306" spans="1:5" x14ac:dyDescent="0.25">
      <c r="A1306" s="3">
        <f t="shared" si="61"/>
        <v>78989</v>
      </c>
      <c r="B1306" t="str">
        <f ca="1">TEXT(DATE(YEAR(Invoer!$A$5),1,1)+INT((ROWS(B$2:B1306)-1)/24),"""18""jjmmdd")</f>
        <v>18980224</v>
      </c>
      <c r="C1306" s="11" t="str">
        <f>INDEX(Data,2,2+MOD(ROWS(C$2:C1306)-1,24))</f>
        <v>09.00</v>
      </c>
      <c r="D1306" s="8" t="str">
        <f t="shared" ca="1" si="62"/>
        <v>—</v>
      </c>
      <c r="E1306" s="16">
        <f t="shared" ca="1" si="63"/>
        <v>7</v>
      </c>
    </row>
    <row r="1307" spans="1:5" x14ac:dyDescent="0.25">
      <c r="A1307" s="3">
        <f t="shared" si="61"/>
        <v>78989</v>
      </c>
      <c r="B1307" t="str">
        <f ca="1">TEXT(DATE(YEAR(Invoer!$A$5),1,1)+INT((ROWS(B$2:B1307)-1)/24),"""18""jjmmdd")</f>
        <v>18980224</v>
      </c>
      <c r="C1307" s="11" t="str">
        <f>INDEX(Data,2,2+MOD(ROWS(C$2:C1307)-1,24))</f>
        <v>10.00</v>
      </c>
      <c r="D1307" s="8" t="str">
        <f t="shared" ca="1" si="62"/>
        <v>—</v>
      </c>
      <c r="E1307" s="16">
        <f t="shared" ca="1" si="63"/>
        <v>7</v>
      </c>
    </row>
    <row r="1308" spans="1:5" x14ac:dyDescent="0.25">
      <c r="A1308" s="3">
        <f t="shared" si="61"/>
        <v>78989</v>
      </c>
      <c r="B1308" t="str">
        <f ca="1">TEXT(DATE(YEAR(Invoer!$A$5),1,1)+INT((ROWS(B$2:B1308)-1)/24),"""18""jjmmdd")</f>
        <v>18980224</v>
      </c>
      <c r="C1308" s="11" t="str">
        <f>INDEX(Data,2,2+MOD(ROWS(C$2:C1308)-1,24))</f>
        <v>11.00</v>
      </c>
      <c r="D1308" s="8" t="str">
        <f t="shared" ca="1" si="62"/>
        <v>—</v>
      </c>
      <c r="E1308" s="16">
        <f t="shared" ca="1" si="63"/>
        <v>7</v>
      </c>
    </row>
    <row r="1309" spans="1:5" x14ac:dyDescent="0.25">
      <c r="A1309" s="3">
        <f t="shared" si="61"/>
        <v>78989</v>
      </c>
      <c r="B1309" t="str">
        <f ca="1">TEXT(DATE(YEAR(Invoer!$A$5),1,1)+INT((ROWS(B$2:B1309)-1)/24),"""18""jjmmdd")</f>
        <v>18980224</v>
      </c>
      <c r="C1309" s="11" t="str">
        <f>INDEX(Data,2,2+MOD(ROWS(C$2:C1309)-1,24))</f>
        <v>12.00</v>
      </c>
      <c r="D1309" s="8" t="str">
        <f t="shared" ca="1" si="62"/>
        <v>—</v>
      </c>
      <c r="E1309" s="16">
        <f t="shared" ca="1" si="63"/>
        <v>7</v>
      </c>
    </row>
    <row r="1310" spans="1:5" x14ac:dyDescent="0.25">
      <c r="A1310" s="3">
        <f t="shared" si="61"/>
        <v>78989</v>
      </c>
      <c r="B1310" t="str">
        <f ca="1">TEXT(DATE(YEAR(Invoer!$A$5),1,1)+INT((ROWS(B$2:B1310)-1)/24),"""18""jjmmdd")</f>
        <v>18980224</v>
      </c>
      <c r="C1310" s="11" t="str">
        <f>INDEX(Data,2,2+MOD(ROWS(C$2:C1310)-1,24))</f>
        <v>13.00</v>
      </c>
      <c r="D1310" s="8" t="str">
        <f t="shared" ca="1" si="62"/>
        <v>—</v>
      </c>
      <c r="E1310" s="16">
        <f t="shared" ca="1" si="63"/>
        <v>7</v>
      </c>
    </row>
    <row r="1311" spans="1:5" x14ac:dyDescent="0.25">
      <c r="A1311" s="3">
        <f t="shared" si="61"/>
        <v>78989</v>
      </c>
      <c r="B1311" t="str">
        <f ca="1">TEXT(DATE(YEAR(Invoer!$A$5),1,1)+INT((ROWS(B$2:B1311)-1)/24),"""18""jjmmdd")</f>
        <v>18980224</v>
      </c>
      <c r="C1311" s="11" t="str">
        <f>INDEX(Data,2,2+MOD(ROWS(C$2:C1311)-1,24))</f>
        <v>14.00</v>
      </c>
      <c r="D1311" s="8" t="str">
        <f t="shared" ca="1" si="62"/>
        <v>—</v>
      </c>
      <c r="E1311" s="16">
        <f t="shared" ca="1" si="63"/>
        <v>7</v>
      </c>
    </row>
    <row r="1312" spans="1:5" x14ac:dyDescent="0.25">
      <c r="A1312" s="3">
        <f t="shared" si="61"/>
        <v>78989</v>
      </c>
      <c r="B1312" t="str">
        <f ca="1">TEXT(DATE(YEAR(Invoer!$A$5),1,1)+INT((ROWS(B$2:B1312)-1)/24),"""18""jjmmdd")</f>
        <v>18980224</v>
      </c>
      <c r="C1312" s="11" t="str">
        <f>INDEX(Data,2,2+MOD(ROWS(C$2:C1312)-1,24))</f>
        <v>15.00</v>
      </c>
      <c r="D1312" s="8" t="str">
        <f t="shared" ca="1" si="62"/>
        <v>—</v>
      </c>
      <c r="E1312" s="16">
        <f t="shared" ca="1" si="63"/>
        <v>7</v>
      </c>
    </row>
    <row r="1313" spans="1:5" x14ac:dyDescent="0.25">
      <c r="A1313" s="3">
        <f t="shared" si="61"/>
        <v>78989</v>
      </c>
      <c r="B1313" t="str">
        <f ca="1">TEXT(DATE(YEAR(Invoer!$A$5),1,1)+INT((ROWS(B$2:B1313)-1)/24),"""18""jjmmdd")</f>
        <v>18980224</v>
      </c>
      <c r="C1313" s="11" t="str">
        <f>INDEX(Data,2,2+MOD(ROWS(C$2:C1313)-1,24))</f>
        <v>16.00</v>
      </c>
      <c r="D1313" s="8" t="str">
        <f t="shared" ca="1" si="62"/>
        <v>—</v>
      </c>
      <c r="E1313" s="16">
        <f t="shared" ca="1" si="63"/>
        <v>7</v>
      </c>
    </row>
    <row r="1314" spans="1:5" x14ac:dyDescent="0.25">
      <c r="A1314" s="3">
        <f t="shared" si="61"/>
        <v>78989</v>
      </c>
      <c r="B1314" t="str">
        <f ca="1">TEXT(DATE(YEAR(Invoer!$A$5),1,1)+INT((ROWS(B$2:B1314)-1)/24),"""18""jjmmdd")</f>
        <v>18980224</v>
      </c>
      <c r="C1314" s="11" t="str">
        <f>INDEX(Data,2,2+MOD(ROWS(C$2:C1314)-1,24))</f>
        <v>17.00</v>
      </c>
      <c r="D1314" s="8" t="str">
        <f t="shared" ca="1" si="62"/>
        <v>—</v>
      </c>
      <c r="E1314" s="16">
        <f t="shared" ca="1" si="63"/>
        <v>7</v>
      </c>
    </row>
    <row r="1315" spans="1:5" x14ac:dyDescent="0.25">
      <c r="A1315" s="3">
        <f t="shared" si="61"/>
        <v>78989</v>
      </c>
      <c r="B1315" t="str">
        <f ca="1">TEXT(DATE(YEAR(Invoer!$A$5),1,1)+INT((ROWS(B$2:B1315)-1)/24),"""18""jjmmdd")</f>
        <v>18980224</v>
      </c>
      <c r="C1315" s="11" t="str">
        <f>INDEX(Data,2,2+MOD(ROWS(C$2:C1315)-1,24))</f>
        <v>18.00</v>
      </c>
      <c r="D1315" s="8" t="str">
        <f t="shared" ca="1" si="62"/>
        <v>—</v>
      </c>
      <c r="E1315" s="16">
        <f t="shared" ca="1" si="63"/>
        <v>7</v>
      </c>
    </row>
    <row r="1316" spans="1:5" x14ac:dyDescent="0.25">
      <c r="A1316" s="3">
        <f t="shared" si="61"/>
        <v>78989</v>
      </c>
      <c r="B1316" t="str">
        <f ca="1">TEXT(DATE(YEAR(Invoer!$A$5),1,1)+INT((ROWS(B$2:B1316)-1)/24),"""18""jjmmdd")</f>
        <v>18980224</v>
      </c>
      <c r="C1316" s="11" t="str">
        <f>INDEX(Data,2,2+MOD(ROWS(C$2:C1316)-1,24))</f>
        <v>19.00</v>
      </c>
      <c r="D1316" s="8" t="str">
        <f t="shared" ca="1" si="62"/>
        <v>—</v>
      </c>
      <c r="E1316" s="16">
        <f t="shared" ca="1" si="63"/>
        <v>7</v>
      </c>
    </row>
    <row r="1317" spans="1:5" x14ac:dyDescent="0.25">
      <c r="A1317" s="3">
        <f t="shared" si="61"/>
        <v>78989</v>
      </c>
      <c r="B1317" t="str">
        <f ca="1">TEXT(DATE(YEAR(Invoer!$A$5),1,1)+INT((ROWS(B$2:B1317)-1)/24),"""18""jjmmdd")</f>
        <v>18980224</v>
      </c>
      <c r="C1317" s="11" t="str">
        <f>INDEX(Data,2,2+MOD(ROWS(C$2:C1317)-1,24))</f>
        <v>20.00</v>
      </c>
      <c r="D1317" s="8" t="str">
        <f t="shared" ca="1" si="62"/>
        <v>—</v>
      </c>
      <c r="E1317" s="16">
        <f t="shared" ca="1" si="63"/>
        <v>7</v>
      </c>
    </row>
    <row r="1318" spans="1:5" x14ac:dyDescent="0.25">
      <c r="A1318" s="3">
        <f t="shared" si="61"/>
        <v>78989</v>
      </c>
      <c r="B1318" t="str">
        <f ca="1">TEXT(DATE(YEAR(Invoer!$A$5),1,1)+INT((ROWS(B$2:B1318)-1)/24),"""18""jjmmdd")</f>
        <v>18980224</v>
      </c>
      <c r="C1318" s="11" t="str">
        <f>INDEX(Data,2,2+MOD(ROWS(C$2:C1318)-1,24))</f>
        <v>21.00</v>
      </c>
      <c r="D1318" s="8" t="str">
        <f t="shared" ca="1" si="62"/>
        <v>—</v>
      </c>
      <c r="E1318" s="16">
        <f t="shared" ca="1" si="63"/>
        <v>7</v>
      </c>
    </row>
    <row r="1319" spans="1:5" x14ac:dyDescent="0.25">
      <c r="A1319" s="3">
        <f t="shared" si="61"/>
        <v>78989</v>
      </c>
      <c r="B1319" t="str">
        <f ca="1">TEXT(DATE(YEAR(Invoer!$A$5),1,1)+INT((ROWS(B$2:B1319)-1)/24),"""18""jjmmdd")</f>
        <v>18980224</v>
      </c>
      <c r="C1319" s="11" t="str">
        <f>INDEX(Data,2,2+MOD(ROWS(C$2:C1319)-1,24))</f>
        <v>22.00</v>
      </c>
      <c r="D1319" s="8" t="str">
        <f t="shared" ca="1" si="62"/>
        <v>—</v>
      </c>
      <c r="E1319" s="16">
        <f t="shared" ca="1" si="63"/>
        <v>7</v>
      </c>
    </row>
    <row r="1320" spans="1:5" x14ac:dyDescent="0.25">
      <c r="A1320" s="3">
        <f t="shared" si="61"/>
        <v>78989</v>
      </c>
      <c r="B1320" t="str">
        <f ca="1">TEXT(DATE(YEAR(Invoer!$A$5),1,1)+INT((ROWS(B$2:B1320)-1)/24),"""18""jjmmdd")</f>
        <v>18980224</v>
      </c>
      <c r="C1320" s="11" t="str">
        <f>INDEX(Data,2,2+MOD(ROWS(C$2:C1320)-1,24))</f>
        <v>23.00</v>
      </c>
      <c r="D1320" s="8" t="str">
        <f t="shared" ca="1" si="62"/>
        <v>—</v>
      </c>
      <c r="E1320" s="16">
        <f t="shared" ca="1" si="63"/>
        <v>7</v>
      </c>
    </row>
    <row r="1321" spans="1:5" x14ac:dyDescent="0.25">
      <c r="A1321" s="3">
        <f t="shared" si="61"/>
        <v>78989</v>
      </c>
      <c r="B1321" t="str">
        <f ca="1">TEXT(DATE(YEAR(Invoer!$A$5),1,1)+INT((ROWS(B$2:B1321)-1)/24),"""18""jjmmdd")</f>
        <v>18980224</v>
      </c>
      <c r="C1321" s="11" t="str">
        <f>INDEX(Data,2,2+MOD(ROWS(C$2:C1321)-1,24))</f>
        <v>24.00</v>
      </c>
      <c r="D1321" s="8" t="str">
        <f t="shared" ca="1" si="62"/>
        <v>—</v>
      </c>
      <c r="E1321" s="16">
        <f t="shared" ca="1" si="63"/>
        <v>7</v>
      </c>
    </row>
    <row r="1322" spans="1:5" x14ac:dyDescent="0.25">
      <c r="A1322" s="3">
        <f t="shared" si="61"/>
        <v>78989</v>
      </c>
      <c r="B1322" t="str">
        <f ca="1">TEXT(DATE(YEAR(Invoer!$A$5),1,1)+INT((ROWS(B$2:B1322)-1)/24),"""18""jjmmdd")</f>
        <v>18980225</v>
      </c>
      <c r="C1322" s="11" t="str">
        <f>INDEX(Data,2,2+MOD(ROWS(C$2:C1322)-1,24))</f>
        <v>01.00</v>
      </c>
      <c r="D1322" s="8" t="str">
        <f t="shared" ca="1" si="62"/>
        <v>—</v>
      </c>
      <c r="E1322" s="16">
        <f t="shared" ca="1" si="63"/>
        <v>7</v>
      </c>
    </row>
    <row r="1323" spans="1:5" x14ac:dyDescent="0.25">
      <c r="A1323" s="3">
        <f t="shared" si="61"/>
        <v>78989</v>
      </c>
      <c r="B1323" t="str">
        <f ca="1">TEXT(DATE(YEAR(Invoer!$A$5),1,1)+INT((ROWS(B$2:B1323)-1)/24),"""18""jjmmdd")</f>
        <v>18980225</v>
      </c>
      <c r="C1323" s="11" t="str">
        <f>INDEX(Data,2,2+MOD(ROWS(C$2:C1323)-1,24))</f>
        <v>02.00</v>
      </c>
      <c r="D1323" s="8" t="str">
        <f t="shared" ca="1" si="62"/>
        <v>—</v>
      </c>
      <c r="E1323" s="16">
        <f t="shared" ca="1" si="63"/>
        <v>7</v>
      </c>
    </row>
    <row r="1324" spans="1:5" x14ac:dyDescent="0.25">
      <c r="A1324" s="3">
        <f t="shared" si="61"/>
        <v>78989</v>
      </c>
      <c r="B1324" t="str">
        <f ca="1">TEXT(DATE(YEAR(Invoer!$A$5),1,1)+INT((ROWS(B$2:B1324)-1)/24),"""18""jjmmdd")</f>
        <v>18980225</v>
      </c>
      <c r="C1324" s="11" t="str">
        <f>INDEX(Data,2,2+MOD(ROWS(C$2:C1324)-1,24))</f>
        <v>03.00</v>
      </c>
      <c r="D1324" s="8" t="str">
        <f t="shared" ca="1" si="62"/>
        <v>—</v>
      </c>
      <c r="E1324" s="16">
        <f t="shared" ca="1" si="63"/>
        <v>7</v>
      </c>
    </row>
    <row r="1325" spans="1:5" x14ac:dyDescent="0.25">
      <c r="A1325" s="3">
        <f t="shared" si="61"/>
        <v>78989</v>
      </c>
      <c r="B1325" t="str">
        <f ca="1">TEXT(DATE(YEAR(Invoer!$A$5),1,1)+INT((ROWS(B$2:B1325)-1)/24),"""18""jjmmdd")</f>
        <v>18980225</v>
      </c>
      <c r="C1325" s="11" t="str">
        <f>INDEX(Data,2,2+MOD(ROWS(C$2:C1325)-1,24))</f>
        <v>04.00</v>
      </c>
      <c r="D1325" s="8" t="str">
        <f t="shared" ca="1" si="62"/>
        <v>—</v>
      </c>
      <c r="E1325" s="16">
        <f t="shared" ca="1" si="63"/>
        <v>7</v>
      </c>
    </row>
    <row r="1326" spans="1:5" x14ac:dyDescent="0.25">
      <c r="A1326" s="3">
        <f t="shared" si="61"/>
        <v>78989</v>
      </c>
      <c r="B1326" t="str">
        <f ca="1">TEXT(DATE(YEAR(Invoer!$A$5),1,1)+INT((ROWS(B$2:B1326)-1)/24),"""18""jjmmdd")</f>
        <v>18980225</v>
      </c>
      <c r="C1326" s="11" t="str">
        <f>INDEX(Data,2,2+MOD(ROWS(C$2:C1326)-1,24))</f>
        <v>05.00</v>
      </c>
      <c r="D1326" s="8" t="str">
        <f t="shared" ca="1" si="62"/>
        <v>—</v>
      </c>
      <c r="E1326" s="16">
        <f t="shared" ca="1" si="63"/>
        <v>7</v>
      </c>
    </row>
    <row r="1327" spans="1:5" x14ac:dyDescent="0.25">
      <c r="A1327" s="3">
        <f t="shared" si="61"/>
        <v>78989</v>
      </c>
      <c r="B1327" t="str">
        <f ca="1">TEXT(DATE(YEAR(Invoer!$A$5),1,1)+INT((ROWS(B$2:B1327)-1)/24),"""18""jjmmdd")</f>
        <v>18980225</v>
      </c>
      <c r="C1327" s="11" t="str">
        <f>INDEX(Data,2,2+MOD(ROWS(C$2:C1327)-1,24))</f>
        <v>06.00</v>
      </c>
      <c r="D1327" s="8" t="str">
        <f t="shared" ca="1" si="62"/>
        <v>—</v>
      </c>
      <c r="E1327" s="16">
        <f t="shared" ca="1" si="63"/>
        <v>7</v>
      </c>
    </row>
    <row r="1328" spans="1:5" x14ac:dyDescent="0.25">
      <c r="A1328" s="3">
        <f t="shared" si="61"/>
        <v>78989</v>
      </c>
      <c r="B1328" t="str">
        <f ca="1">TEXT(DATE(YEAR(Invoer!$A$5),1,1)+INT((ROWS(B$2:B1328)-1)/24),"""18""jjmmdd")</f>
        <v>18980225</v>
      </c>
      <c r="C1328" s="11" t="str">
        <f>INDEX(Data,2,2+MOD(ROWS(C$2:C1328)-1,24))</f>
        <v>07.00</v>
      </c>
      <c r="D1328" s="8" t="str">
        <f t="shared" ca="1" si="62"/>
        <v>—</v>
      </c>
      <c r="E1328" s="16">
        <f t="shared" ca="1" si="63"/>
        <v>7</v>
      </c>
    </row>
    <row r="1329" spans="1:5" x14ac:dyDescent="0.25">
      <c r="A1329" s="3">
        <f t="shared" si="61"/>
        <v>78989</v>
      </c>
      <c r="B1329" t="str">
        <f ca="1">TEXT(DATE(YEAR(Invoer!$A$5),1,1)+INT((ROWS(B$2:B1329)-1)/24),"""18""jjmmdd")</f>
        <v>18980225</v>
      </c>
      <c r="C1329" s="11" t="str">
        <f>INDEX(Data,2,2+MOD(ROWS(C$2:C1329)-1,24))</f>
        <v>08.00</v>
      </c>
      <c r="D1329" s="8" t="str">
        <f t="shared" ca="1" si="62"/>
        <v>—</v>
      </c>
      <c r="E1329" s="16">
        <f t="shared" ca="1" si="63"/>
        <v>7</v>
      </c>
    </row>
    <row r="1330" spans="1:5" x14ac:dyDescent="0.25">
      <c r="A1330" s="3">
        <f t="shared" si="61"/>
        <v>78989</v>
      </c>
      <c r="B1330" t="str">
        <f ca="1">TEXT(DATE(YEAR(Invoer!$A$5),1,1)+INT((ROWS(B$2:B1330)-1)/24),"""18""jjmmdd")</f>
        <v>18980225</v>
      </c>
      <c r="C1330" s="11" t="str">
        <f>INDEX(Data,2,2+MOD(ROWS(C$2:C1330)-1,24))</f>
        <v>09.00</v>
      </c>
      <c r="D1330" s="8" t="str">
        <f t="shared" ca="1" si="62"/>
        <v>—</v>
      </c>
      <c r="E1330" s="16">
        <f t="shared" ca="1" si="63"/>
        <v>7</v>
      </c>
    </row>
    <row r="1331" spans="1:5" x14ac:dyDescent="0.25">
      <c r="A1331" s="3">
        <f t="shared" si="61"/>
        <v>78989</v>
      </c>
      <c r="B1331" t="str">
        <f ca="1">TEXT(DATE(YEAR(Invoer!$A$5),1,1)+INT((ROWS(B$2:B1331)-1)/24),"""18""jjmmdd")</f>
        <v>18980225</v>
      </c>
      <c r="C1331" s="11" t="str">
        <f>INDEX(Data,2,2+MOD(ROWS(C$2:C1331)-1,24))</f>
        <v>10.00</v>
      </c>
      <c r="D1331" s="8" t="str">
        <f t="shared" ca="1" si="62"/>
        <v>—</v>
      </c>
      <c r="E1331" s="16">
        <f t="shared" ca="1" si="63"/>
        <v>7</v>
      </c>
    </row>
    <row r="1332" spans="1:5" x14ac:dyDescent="0.25">
      <c r="A1332" s="3">
        <f t="shared" si="61"/>
        <v>78989</v>
      </c>
      <c r="B1332" t="str">
        <f ca="1">TEXT(DATE(YEAR(Invoer!$A$5),1,1)+INT((ROWS(B$2:B1332)-1)/24),"""18""jjmmdd")</f>
        <v>18980225</v>
      </c>
      <c r="C1332" s="11" t="str">
        <f>INDEX(Data,2,2+MOD(ROWS(C$2:C1332)-1,24))</f>
        <v>11.00</v>
      </c>
      <c r="D1332" s="8" t="str">
        <f t="shared" ca="1" si="62"/>
        <v>—</v>
      </c>
      <c r="E1332" s="16">
        <f t="shared" ca="1" si="63"/>
        <v>7</v>
      </c>
    </row>
    <row r="1333" spans="1:5" x14ac:dyDescent="0.25">
      <c r="A1333" s="3">
        <f t="shared" si="61"/>
        <v>78989</v>
      </c>
      <c r="B1333" t="str">
        <f ca="1">TEXT(DATE(YEAR(Invoer!$A$5),1,1)+INT((ROWS(B$2:B1333)-1)/24),"""18""jjmmdd")</f>
        <v>18980225</v>
      </c>
      <c r="C1333" s="11" t="str">
        <f>INDEX(Data,2,2+MOD(ROWS(C$2:C1333)-1,24))</f>
        <v>12.00</v>
      </c>
      <c r="D1333" s="8" t="str">
        <f t="shared" ca="1" si="62"/>
        <v>—</v>
      </c>
      <c r="E1333" s="16">
        <f t="shared" ca="1" si="63"/>
        <v>7</v>
      </c>
    </row>
    <row r="1334" spans="1:5" x14ac:dyDescent="0.25">
      <c r="A1334" s="3">
        <f t="shared" si="61"/>
        <v>78989</v>
      </c>
      <c r="B1334" t="str">
        <f ca="1">TEXT(DATE(YEAR(Invoer!$A$5),1,1)+INT((ROWS(B$2:B1334)-1)/24),"""18""jjmmdd")</f>
        <v>18980225</v>
      </c>
      <c r="C1334" s="11" t="str">
        <f>INDEX(Data,2,2+MOD(ROWS(C$2:C1334)-1,24))</f>
        <v>13.00</v>
      </c>
      <c r="D1334" s="8" t="str">
        <f t="shared" ca="1" si="62"/>
        <v>—</v>
      </c>
      <c r="E1334" s="16">
        <f t="shared" ca="1" si="63"/>
        <v>7</v>
      </c>
    </row>
    <row r="1335" spans="1:5" x14ac:dyDescent="0.25">
      <c r="A1335" s="3">
        <f t="shared" si="61"/>
        <v>78989</v>
      </c>
      <c r="B1335" t="str">
        <f ca="1">TEXT(DATE(YEAR(Invoer!$A$5),1,1)+INT((ROWS(B$2:B1335)-1)/24),"""18""jjmmdd")</f>
        <v>18980225</v>
      </c>
      <c r="C1335" s="11" t="str">
        <f>INDEX(Data,2,2+MOD(ROWS(C$2:C1335)-1,24))</f>
        <v>14.00</v>
      </c>
      <c r="D1335" s="8" t="str">
        <f t="shared" ca="1" si="62"/>
        <v>—</v>
      </c>
      <c r="E1335" s="16">
        <f t="shared" ca="1" si="63"/>
        <v>7</v>
      </c>
    </row>
    <row r="1336" spans="1:5" x14ac:dyDescent="0.25">
      <c r="A1336" s="3">
        <f t="shared" si="61"/>
        <v>78989</v>
      </c>
      <c r="B1336" t="str">
        <f ca="1">TEXT(DATE(YEAR(Invoer!$A$5),1,1)+INT((ROWS(B$2:B1336)-1)/24),"""18""jjmmdd")</f>
        <v>18980225</v>
      </c>
      <c r="C1336" s="11" t="str">
        <f>INDEX(Data,2,2+MOD(ROWS(C$2:C1336)-1,24))</f>
        <v>15.00</v>
      </c>
      <c r="D1336" s="8" t="str">
        <f t="shared" ca="1" si="62"/>
        <v>—</v>
      </c>
      <c r="E1336" s="16">
        <f t="shared" ca="1" si="63"/>
        <v>7</v>
      </c>
    </row>
    <row r="1337" spans="1:5" x14ac:dyDescent="0.25">
      <c r="A1337" s="3">
        <f t="shared" si="61"/>
        <v>78989</v>
      </c>
      <c r="B1337" t="str">
        <f ca="1">TEXT(DATE(YEAR(Invoer!$A$5),1,1)+INT((ROWS(B$2:B1337)-1)/24),"""18""jjmmdd")</f>
        <v>18980225</v>
      </c>
      <c r="C1337" s="11" t="str">
        <f>INDEX(Data,2,2+MOD(ROWS(C$2:C1337)-1,24))</f>
        <v>16.00</v>
      </c>
      <c r="D1337" s="8" t="str">
        <f t="shared" ca="1" si="62"/>
        <v>—</v>
      </c>
      <c r="E1337" s="16">
        <f t="shared" ca="1" si="63"/>
        <v>7</v>
      </c>
    </row>
    <row r="1338" spans="1:5" x14ac:dyDescent="0.25">
      <c r="A1338" s="3">
        <f t="shared" si="61"/>
        <v>78989</v>
      </c>
      <c r="B1338" t="str">
        <f ca="1">TEXT(DATE(YEAR(Invoer!$A$5),1,1)+INT((ROWS(B$2:B1338)-1)/24),"""18""jjmmdd")</f>
        <v>18980225</v>
      </c>
      <c r="C1338" s="11" t="str">
        <f>INDEX(Data,2,2+MOD(ROWS(C$2:C1338)-1,24))</f>
        <v>17.00</v>
      </c>
      <c r="D1338" s="8" t="str">
        <f t="shared" ca="1" si="62"/>
        <v>—</v>
      </c>
      <c r="E1338" s="16">
        <f t="shared" ca="1" si="63"/>
        <v>7</v>
      </c>
    </row>
    <row r="1339" spans="1:5" x14ac:dyDescent="0.25">
      <c r="A1339" s="3">
        <f t="shared" si="61"/>
        <v>78989</v>
      </c>
      <c r="B1339" t="str">
        <f ca="1">TEXT(DATE(YEAR(Invoer!$A$5),1,1)+INT((ROWS(B$2:B1339)-1)/24),"""18""jjmmdd")</f>
        <v>18980225</v>
      </c>
      <c r="C1339" s="11" t="str">
        <f>INDEX(Data,2,2+MOD(ROWS(C$2:C1339)-1,24))</f>
        <v>18.00</v>
      </c>
      <c r="D1339" s="8" t="str">
        <f t="shared" ca="1" si="62"/>
        <v>—</v>
      </c>
      <c r="E1339" s="16">
        <f t="shared" ca="1" si="63"/>
        <v>7</v>
      </c>
    </row>
    <row r="1340" spans="1:5" x14ac:dyDescent="0.25">
      <c r="A1340" s="3">
        <f t="shared" si="61"/>
        <v>78989</v>
      </c>
      <c r="B1340" t="str">
        <f ca="1">TEXT(DATE(YEAR(Invoer!$A$5),1,1)+INT((ROWS(B$2:B1340)-1)/24),"""18""jjmmdd")</f>
        <v>18980225</v>
      </c>
      <c r="C1340" s="11" t="str">
        <f>INDEX(Data,2,2+MOD(ROWS(C$2:C1340)-1,24))</f>
        <v>19.00</v>
      </c>
      <c r="D1340" s="8" t="str">
        <f t="shared" ca="1" si="62"/>
        <v>—</v>
      </c>
      <c r="E1340" s="16">
        <f t="shared" ca="1" si="63"/>
        <v>7</v>
      </c>
    </row>
    <row r="1341" spans="1:5" x14ac:dyDescent="0.25">
      <c r="A1341" s="3">
        <f t="shared" si="61"/>
        <v>78989</v>
      </c>
      <c r="B1341" t="str">
        <f ca="1">TEXT(DATE(YEAR(Invoer!$A$5),1,1)+INT((ROWS(B$2:B1341)-1)/24),"""18""jjmmdd")</f>
        <v>18980225</v>
      </c>
      <c r="C1341" s="11" t="str">
        <f>INDEX(Data,2,2+MOD(ROWS(C$2:C1341)-1,24))</f>
        <v>20.00</v>
      </c>
      <c r="D1341" s="8" t="str">
        <f t="shared" ca="1" si="62"/>
        <v>—</v>
      </c>
      <c r="E1341" s="16">
        <f t="shared" ca="1" si="63"/>
        <v>7</v>
      </c>
    </row>
    <row r="1342" spans="1:5" x14ac:dyDescent="0.25">
      <c r="A1342" s="3">
        <f t="shared" si="61"/>
        <v>78989</v>
      </c>
      <c r="B1342" t="str">
        <f ca="1">TEXT(DATE(YEAR(Invoer!$A$5),1,1)+INT((ROWS(B$2:B1342)-1)/24),"""18""jjmmdd")</f>
        <v>18980225</v>
      </c>
      <c r="C1342" s="11" t="str">
        <f>INDEX(Data,2,2+MOD(ROWS(C$2:C1342)-1,24))</f>
        <v>21.00</v>
      </c>
      <c r="D1342" s="8" t="str">
        <f t="shared" ca="1" si="62"/>
        <v>—</v>
      </c>
      <c r="E1342" s="16">
        <f t="shared" ca="1" si="63"/>
        <v>7</v>
      </c>
    </row>
    <row r="1343" spans="1:5" x14ac:dyDescent="0.25">
      <c r="A1343" s="3">
        <f t="shared" si="61"/>
        <v>78989</v>
      </c>
      <c r="B1343" t="str">
        <f ca="1">TEXT(DATE(YEAR(Invoer!$A$5),1,1)+INT((ROWS(B$2:B1343)-1)/24),"""18""jjmmdd")</f>
        <v>18980225</v>
      </c>
      <c r="C1343" s="11" t="str">
        <f>INDEX(Data,2,2+MOD(ROWS(C$2:C1343)-1,24))</f>
        <v>22.00</v>
      </c>
      <c r="D1343" s="8" t="str">
        <f t="shared" ca="1" si="62"/>
        <v>—</v>
      </c>
      <c r="E1343" s="16">
        <f t="shared" ca="1" si="63"/>
        <v>7</v>
      </c>
    </row>
    <row r="1344" spans="1:5" x14ac:dyDescent="0.25">
      <c r="A1344" s="3">
        <f t="shared" si="61"/>
        <v>78989</v>
      </c>
      <c r="B1344" t="str">
        <f ca="1">TEXT(DATE(YEAR(Invoer!$A$5),1,1)+INT((ROWS(B$2:B1344)-1)/24),"""18""jjmmdd")</f>
        <v>18980225</v>
      </c>
      <c r="C1344" s="11" t="str">
        <f>INDEX(Data,2,2+MOD(ROWS(C$2:C1344)-1,24))</f>
        <v>23.00</v>
      </c>
      <c r="D1344" s="8" t="str">
        <f t="shared" ca="1" si="62"/>
        <v>—</v>
      </c>
      <c r="E1344" s="16">
        <f t="shared" ca="1" si="63"/>
        <v>7</v>
      </c>
    </row>
    <row r="1345" spans="1:5" x14ac:dyDescent="0.25">
      <c r="A1345" s="3">
        <f t="shared" si="61"/>
        <v>78989</v>
      </c>
      <c r="B1345" t="str">
        <f ca="1">TEXT(DATE(YEAR(Invoer!$A$5),1,1)+INT((ROWS(B$2:B1345)-1)/24),"""18""jjmmdd")</f>
        <v>18980225</v>
      </c>
      <c r="C1345" s="11" t="str">
        <f>INDEX(Data,2,2+MOD(ROWS(C$2:C1345)-1,24))</f>
        <v>24.00</v>
      </c>
      <c r="D1345" s="8" t="str">
        <f t="shared" ca="1" si="62"/>
        <v>—</v>
      </c>
      <c r="E1345" s="16">
        <f t="shared" ca="1" si="63"/>
        <v>7</v>
      </c>
    </row>
    <row r="1346" spans="1:5" x14ac:dyDescent="0.25">
      <c r="A1346" s="3">
        <f t="shared" ref="A1346:A1409" si="64">INDEX(Stations,2,1)</f>
        <v>78989</v>
      </c>
      <c r="B1346" t="str">
        <f ca="1">TEXT(DATE(YEAR(Invoer!$A$5),1,1)+INT((ROWS(B$2:B1346)-1)/24),"""18""jjmmdd")</f>
        <v>18980226</v>
      </c>
      <c r="C1346" s="11" t="str">
        <f>INDEX(Data,2,2+MOD(ROWS(C$2:C1346)-1,24))</f>
        <v>01.00</v>
      </c>
      <c r="D1346" s="8" t="str">
        <f t="shared" ref="D1346:D1409" ca="1" si="65">IF(OR(ISBLANK(VLOOKUP(DATEVALUE("37"&amp;MID($B1346,3,2)&amp;"-"&amp;MID($B1346,5,2)&amp;"-"&amp;RIGHT($B1346,2)),Data,MATCH(LEFT(VLOOKUP(D$1,Parameters,2,FALSE()),4)&amp;"*",OFFSET(Data,0,0,1),0)+MATCH($C1346,OFFSET(Data,1,0,1),0)-2,FALSE())),ISTEXT(VLOOKUP(DATEVALUE("37"&amp;MID($B1346,3,2)&amp;"-"&amp;MID($B1346,5,2)&amp;"-"&amp;RIGHT($B1346,2)),Data,MATCH(LEFT(VLOOKUP(D$1,Parameters,2,FALSE()),4)&amp;"*",OFFSET(Data,0,0,1),0)+MATCH($C1346,OFFSET(Data,1,0,1),0)-2,FALSE()))),"—",VLOOKUP(DATEVALUE("37"&amp;MID($B1346,3,2)&amp;"-"&amp;MID($B1346,5,2)&amp;"-"&amp;RIGHT($B1346,2)),Data,MATCH(LEFT(VLOOKUP(D$1,Parameters,2,FALSE()),4)&amp;"*",OFFSET(Data,0,0,1),0)+MATCH($C1346,OFFSET(Data,1,0,1),0)-2,FALSE()))</f>
        <v>—</v>
      </c>
      <c r="E1346" s="16">
        <f t="shared" ca="1" si="63"/>
        <v>7</v>
      </c>
    </row>
    <row r="1347" spans="1:5" x14ac:dyDescent="0.25">
      <c r="A1347" s="3">
        <f t="shared" si="64"/>
        <v>78989</v>
      </c>
      <c r="B1347" t="str">
        <f ca="1">TEXT(DATE(YEAR(Invoer!$A$5),1,1)+INT((ROWS(B$2:B1347)-1)/24),"""18""jjmmdd")</f>
        <v>18980226</v>
      </c>
      <c r="C1347" s="11" t="str">
        <f>INDEX(Data,2,2+MOD(ROWS(C$2:C1347)-1,24))</f>
        <v>02.00</v>
      </c>
      <c r="D1347" s="8" t="str">
        <f t="shared" ca="1" si="65"/>
        <v>—</v>
      </c>
      <c r="E1347" s="16">
        <f t="shared" ref="E1347:E1410" ca="1" si="66">IF(OR(ISBLANK(VLOOKUP(DATEVALUE("37"&amp;MID($B1347,3,2)&amp;"-"&amp;MID($B1347,5,2)&amp;"-"&amp;RIGHT($B1347,2)),Data,MATCH(LEFT(VLOOKUP(D$1,Parameters,2,FALSE()),4)&amp;"*",OFFSET(Data,0,0,1),0)+MATCH($C1347,OFFSET(Data,1,0,1),0)-2,FALSE())),ISTEXT(VLOOKUP(DATEVALUE("37"&amp;MID($B1347,3,2)&amp;"-"&amp;MID($B1347,5,2)&amp;"-"&amp;RIGHT($B1347,2)),Data,MATCH(LEFT(VLOOKUP(D$1,Parameters,2,FALSE()),4)&amp;"*",OFFSET(Data,0,0,1),0)+MATCH($C1347,OFFSET(Data,1,0,1),0)-2,FALSE()))),Lacking,IF(ISNA(MATCH(DATEVALUE("37"&amp;MID($B1347,3,2)&amp;"-"&amp;MID($B1347,5,2)&amp;"-"&amp;RIGHT($B1347,2)),OFFSET(Catalogus,0,0,,1),0)),Ok,VLOOKUP(DATEVALUE("37"&amp;MID($B1347,3,2)&amp;"-"&amp;MID($B1347,5,2)&amp;"-"&amp;RIGHT($B1347,2)),Catalogus,MATCH(LEFT(VLOOKUP(MID(E$1,2,LEN(E$1)-1),Parameters,2,FALSE()),4)&amp;"*",OFFSET(Catalogus,0,0,1),0)+MATCH($C1347,OFFSET(Catalogus,1,0,1),0)-2,FALSE())))</f>
        <v>7</v>
      </c>
    </row>
    <row r="1348" spans="1:5" x14ac:dyDescent="0.25">
      <c r="A1348" s="3">
        <f t="shared" si="64"/>
        <v>78989</v>
      </c>
      <c r="B1348" t="str">
        <f ca="1">TEXT(DATE(YEAR(Invoer!$A$5),1,1)+INT((ROWS(B$2:B1348)-1)/24),"""18""jjmmdd")</f>
        <v>18980226</v>
      </c>
      <c r="C1348" s="11" t="str">
        <f>INDEX(Data,2,2+MOD(ROWS(C$2:C1348)-1,24))</f>
        <v>03.00</v>
      </c>
      <c r="D1348" s="8" t="str">
        <f t="shared" ca="1" si="65"/>
        <v>—</v>
      </c>
      <c r="E1348" s="16">
        <f t="shared" ca="1" si="66"/>
        <v>7</v>
      </c>
    </row>
    <row r="1349" spans="1:5" x14ac:dyDescent="0.25">
      <c r="A1349" s="3">
        <f t="shared" si="64"/>
        <v>78989</v>
      </c>
      <c r="B1349" t="str">
        <f ca="1">TEXT(DATE(YEAR(Invoer!$A$5),1,1)+INT((ROWS(B$2:B1349)-1)/24),"""18""jjmmdd")</f>
        <v>18980226</v>
      </c>
      <c r="C1349" s="11" t="str">
        <f>INDEX(Data,2,2+MOD(ROWS(C$2:C1349)-1,24))</f>
        <v>04.00</v>
      </c>
      <c r="D1349" s="8" t="str">
        <f t="shared" ca="1" si="65"/>
        <v>—</v>
      </c>
      <c r="E1349" s="16">
        <f t="shared" ca="1" si="66"/>
        <v>7</v>
      </c>
    </row>
    <row r="1350" spans="1:5" x14ac:dyDescent="0.25">
      <c r="A1350" s="3">
        <f t="shared" si="64"/>
        <v>78989</v>
      </c>
      <c r="B1350" t="str">
        <f ca="1">TEXT(DATE(YEAR(Invoer!$A$5),1,1)+INT((ROWS(B$2:B1350)-1)/24),"""18""jjmmdd")</f>
        <v>18980226</v>
      </c>
      <c r="C1350" s="11" t="str">
        <f>INDEX(Data,2,2+MOD(ROWS(C$2:C1350)-1,24))</f>
        <v>05.00</v>
      </c>
      <c r="D1350" s="8" t="str">
        <f t="shared" ca="1" si="65"/>
        <v>—</v>
      </c>
      <c r="E1350" s="16">
        <f t="shared" ca="1" si="66"/>
        <v>7</v>
      </c>
    </row>
    <row r="1351" spans="1:5" x14ac:dyDescent="0.25">
      <c r="A1351" s="3">
        <f t="shared" si="64"/>
        <v>78989</v>
      </c>
      <c r="B1351" t="str">
        <f ca="1">TEXT(DATE(YEAR(Invoer!$A$5),1,1)+INT((ROWS(B$2:B1351)-1)/24),"""18""jjmmdd")</f>
        <v>18980226</v>
      </c>
      <c r="C1351" s="11" t="str">
        <f>INDEX(Data,2,2+MOD(ROWS(C$2:C1351)-1,24))</f>
        <v>06.00</v>
      </c>
      <c r="D1351" s="8" t="str">
        <f t="shared" ca="1" si="65"/>
        <v>—</v>
      </c>
      <c r="E1351" s="16">
        <f t="shared" ca="1" si="66"/>
        <v>7</v>
      </c>
    </row>
    <row r="1352" spans="1:5" x14ac:dyDescent="0.25">
      <c r="A1352" s="3">
        <f t="shared" si="64"/>
        <v>78989</v>
      </c>
      <c r="B1352" t="str">
        <f ca="1">TEXT(DATE(YEAR(Invoer!$A$5),1,1)+INT((ROWS(B$2:B1352)-1)/24),"""18""jjmmdd")</f>
        <v>18980226</v>
      </c>
      <c r="C1352" s="11" t="str">
        <f>INDEX(Data,2,2+MOD(ROWS(C$2:C1352)-1,24))</f>
        <v>07.00</v>
      </c>
      <c r="D1352" s="8" t="str">
        <f t="shared" ca="1" si="65"/>
        <v>—</v>
      </c>
      <c r="E1352" s="16">
        <f t="shared" ca="1" si="66"/>
        <v>7</v>
      </c>
    </row>
    <row r="1353" spans="1:5" x14ac:dyDescent="0.25">
      <c r="A1353" s="3">
        <f t="shared" si="64"/>
        <v>78989</v>
      </c>
      <c r="B1353" t="str">
        <f ca="1">TEXT(DATE(YEAR(Invoer!$A$5),1,1)+INT((ROWS(B$2:B1353)-1)/24),"""18""jjmmdd")</f>
        <v>18980226</v>
      </c>
      <c r="C1353" s="11" t="str">
        <f>INDEX(Data,2,2+MOD(ROWS(C$2:C1353)-1,24))</f>
        <v>08.00</v>
      </c>
      <c r="D1353" s="8" t="str">
        <f t="shared" ca="1" si="65"/>
        <v>—</v>
      </c>
      <c r="E1353" s="16">
        <f t="shared" ca="1" si="66"/>
        <v>7</v>
      </c>
    </row>
    <row r="1354" spans="1:5" x14ac:dyDescent="0.25">
      <c r="A1354" s="3">
        <f t="shared" si="64"/>
        <v>78989</v>
      </c>
      <c r="B1354" t="str">
        <f ca="1">TEXT(DATE(YEAR(Invoer!$A$5),1,1)+INT((ROWS(B$2:B1354)-1)/24),"""18""jjmmdd")</f>
        <v>18980226</v>
      </c>
      <c r="C1354" s="11" t="str">
        <f>INDEX(Data,2,2+MOD(ROWS(C$2:C1354)-1,24))</f>
        <v>09.00</v>
      </c>
      <c r="D1354" s="8" t="str">
        <f t="shared" ca="1" si="65"/>
        <v>—</v>
      </c>
      <c r="E1354" s="16">
        <f t="shared" ca="1" si="66"/>
        <v>7</v>
      </c>
    </row>
    <row r="1355" spans="1:5" x14ac:dyDescent="0.25">
      <c r="A1355" s="3">
        <f t="shared" si="64"/>
        <v>78989</v>
      </c>
      <c r="B1355" t="str">
        <f ca="1">TEXT(DATE(YEAR(Invoer!$A$5),1,1)+INT((ROWS(B$2:B1355)-1)/24),"""18""jjmmdd")</f>
        <v>18980226</v>
      </c>
      <c r="C1355" s="11" t="str">
        <f>INDEX(Data,2,2+MOD(ROWS(C$2:C1355)-1,24))</f>
        <v>10.00</v>
      </c>
      <c r="D1355" s="8" t="str">
        <f t="shared" ca="1" si="65"/>
        <v>—</v>
      </c>
      <c r="E1355" s="16">
        <f t="shared" ca="1" si="66"/>
        <v>7</v>
      </c>
    </row>
    <row r="1356" spans="1:5" x14ac:dyDescent="0.25">
      <c r="A1356" s="3">
        <f t="shared" si="64"/>
        <v>78989</v>
      </c>
      <c r="B1356" t="str">
        <f ca="1">TEXT(DATE(YEAR(Invoer!$A$5),1,1)+INT((ROWS(B$2:B1356)-1)/24),"""18""jjmmdd")</f>
        <v>18980226</v>
      </c>
      <c r="C1356" s="11" t="str">
        <f>INDEX(Data,2,2+MOD(ROWS(C$2:C1356)-1,24))</f>
        <v>11.00</v>
      </c>
      <c r="D1356" s="8" t="str">
        <f t="shared" ca="1" si="65"/>
        <v>—</v>
      </c>
      <c r="E1356" s="16">
        <f t="shared" ca="1" si="66"/>
        <v>7</v>
      </c>
    </row>
    <row r="1357" spans="1:5" x14ac:dyDescent="0.25">
      <c r="A1357" s="3">
        <f t="shared" si="64"/>
        <v>78989</v>
      </c>
      <c r="B1357" t="str">
        <f ca="1">TEXT(DATE(YEAR(Invoer!$A$5),1,1)+INT((ROWS(B$2:B1357)-1)/24),"""18""jjmmdd")</f>
        <v>18980226</v>
      </c>
      <c r="C1357" s="11" t="str">
        <f>INDEX(Data,2,2+MOD(ROWS(C$2:C1357)-1,24))</f>
        <v>12.00</v>
      </c>
      <c r="D1357" s="8" t="str">
        <f t="shared" ca="1" si="65"/>
        <v>—</v>
      </c>
      <c r="E1357" s="16">
        <f t="shared" ca="1" si="66"/>
        <v>7</v>
      </c>
    </row>
    <row r="1358" spans="1:5" x14ac:dyDescent="0.25">
      <c r="A1358" s="3">
        <f t="shared" si="64"/>
        <v>78989</v>
      </c>
      <c r="B1358" t="str">
        <f ca="1">TEXT(DATE(YEAR(Invoer!$A$5),1,1)+INT((ROWS(B$2:B1358)-1)/24),"""18""jjmmdd")</f>
        <v>18980226</v>
      </c>
      <c r="C1358" s="11" t="str">
        <f>INDEX(Data,2,2+MOD(ROWS(C$2:C1358)-1,24))</f>
        <v>13.00</v>
      </c>
      <c r="D1358" s="8" t="str">
        <f t="shared" ca="1" si="65"/>
        <v>—</v>
      </c>
      <c r="E1358" s="16">
        <f t="shared" ca="1" si="66"/>
        <v>7</v>
      </c>
    </row>
    <row r="1359" spans="1:5" x14ac:dyDescent="0.25">
      <c r="A1359" s="3">
        <f t="shared" si="64"/>
        <v>78989</v>
      </c>
      <c r="B1359" t="str">
        <f ca="1">TEXT(DATE(YEAR(Invoer!$A$5),1,1)+INT((ROWS(B$2:B1359)-1)/24),"""18""jjmmdd")</f>
        <v>18980226</v>
      </c>
      <c r="C1359" s="11" t="str">
        <f>INDEX(Data,2,2+MOD(ROWS(C$2:C1359)-1,24))</f>
        <v>14.00</v>
      </c>
      <c r="D1359" s="8" t="str">
        <f t="shared" ca="1" si="65"/>
        <v>—</v>
      </c>
      <c r="E1359" s="16">
        <f t="shared" ca="1" si="66"/>
        <v>7</v>
      </c>
    </row>
    <row r="1360" spans="1:5" x14ac:dyDescent="0.25">
      <c r="A1360" s="3">
        <f t="shared" si="64"/>
        <v>78989</v>
      </c>
      <c r="B1360" t="str">
        <f ca="1">TEXT(DATE(YEAR(Invoer!$A$5),1,1)+INT((ROWS(B$2:B1360)-1)/24),"""18""jjmmdd")</f>
        <v>18980226</v>
      </c>
      <c r="C1360" s="11" t="str">
        <f>INDEX(Data,2,2+MOD(ROWS(C$2:C1360)-1,24))</f>
        <v>15.00</v>
      </c>
      <c r="D1360" s="8" t="str">
        <f t="shared" ca="1" si="65"/>
        <v>—</v>
      </c>
      <c r="E1360" s="16">
        <f t="shared" ca="1" si="66"/>
        <v>7</v>
      </c>
    </row>
    <row r="1361" spans="1:5" x14ac:dyDescent="0.25">
      <c r="A1361" s="3">
        <f t="shared" si="64"/>
        <v>78989</v>
      </c>
      <c r="B1361" t="str">
        <f ca="1">TEXT(DATE(YEAR(Invoer!$A$5),1,1)+INT((ROWS(B$2:B1361)-1)/24),"""18""jjmmdd")</f>
        <v>18980226</v>
      </c>
      <c r="C1361" s="11" t="str">
        <f>INDEX(Data,2,2+MOD(ROWS(C$2:C1361)-1,24))</f>
        <v>16.00</v>
      </c>
      <c r="D1361" s="8" t="str">
        <f t="shared" ca="1" si="65"/>
        <v>—</v>
      </c>
      <c r="E1361" s="16">
        <f t="shared" ca="1" si="66"/>
        <v>7</v>
      </c>
    </row>
    <row r="1362" spans="1:5" x14ac:dyDescent="0.25">
      <c r="A1362" s="3">
        <f t="shared" si="64"/>
        <v>78989</v>
      </c>
      <c r="B1362" t="str">
        <f ca="1">TEXT(DATE(YEAR(Invoer!$A$5),1,1)+INT((ROWS(B$2:B1362)-1)/24),"""18""jjmmdd")</f>
        <v>18980226</v>
      </c>
      <c r="C1362" s="11" t="str">
        <f>INDEX(Data,2,2+MOD(ROWS(C$2:C1362)-1,24))</f>
        <v>17.00</v>
      </c>
      <c r="D1362" s="8" t="str">
        <f t="shared" ca="1" si="65"/>
        <v>—</v>
      </c>
      <c r="E1362" s="16">
        <f t="shared" ca="1" si="66"/>
        <v>7</v>
      </c>
    </row>
    <row r="1363" spans="1:5" x14ac:dyDescent="0.25">
      <c r="A1363" s="3">
        <f t="shared" si="64"/>
        <v>78989</v>
      </c>
      <c r="B1363" t="str">
        <f ca="1">TEXT(DATE(YEAR(Invoer!$A$5),1,1)+INT((ROWS(B$2:B1363)-1)/24),"""18""jjmmdd")</f>
        <v>18980226</v>
      </c>
      <c r="C1363" s="11" t="str">
        <f>INDEX(Data,2,2+MOD(ROWS(C$2:C1363)-1,24))</f>
        <v>18.00</v>
      </c>
      <c r="D1363" s="8" t="str">
        <f t="shared" ca="1" si="65"/>
        <v>—</v>
      </c>
      <c r="E1363" s="16">
        <f t="shared" ca="1" si="66"/>
        <v>7</v>
      </c>
    </row>
    <row r="1364" spans="1:5" x14ac:dyDescent="0.25">
      <c r="A1364" s="3">
        <f t="shared" si="64"/>
        <v>78989</v>
      </c>
      <c r="B1364" t="str">
        <f ca="1">TEXT(DATE(YEAR(Invoer!$A$5),1,1)+INT((ROWS(B$2:B1364)-1)/24),"""18""jjmmdd")</f>
        <v>18980226</v>
      </c>
      <c r="C1364" s="11" t="str">
        <f>INDEX(Data,2,2+MOD(ROWS(C$2:C1364)-1,24))</f>
        <v>19.00</v>
      </c>
      <c r="D1364" s="8" t="str">
        <f t="shared" ca="1" si="65"/>
        <v>—</v>
      </c>
      <c r="E1364" s="16">
        <f t="shared" ca="1" si="66"/>
        <v>7</v>
      </c>
    </row>
    <row r="1365" spans="1:5" x14ac:dyDescent="0.25">
      <c r="A1365" s="3">
        <f t="shared" si="64"/>
        <v>78989</v>
      </c>
      <c r="B1365" t="str">
        <f ca="1">TEXT(DATE(YEAR(Invoer!$A$5),1,1)+INT((ROWS(B$2:B1365)-1)/24),"""18""jjmmdd")</f>
        <v>18980226</v>
      </c>
      <c r="C1365" s="11" t="str">
        <f>INDEX(Data,2,2+MOD(ROWS(C$2:C1365)-1,24))</f>
        <v>20.00</v>
      </c>
      <c r="D1365" s="8" t="str">
        <f t="shared" ca="1" si="65"/>
        <v>—</v>
      </c>
      <c r="E1365" s="16">
        <f t="shared" ca="1" si="66"/>
        <v>7</v>
      </c>
    </row>
    <row r="1366" spans="1:5" x14ac:dyDescent="0.25">
      <c r="A1366" s="3">
        <f t="shared" si="64"/>
        <v>78989</v>
      </c>
      <c r="B1366" t="str">
        <f ca="1">TEXT(DATE(YEAR(Invoer!$A$5),1,1)+INT((ROWS(B$2:B1366)-1)/24),"""18""jjmmdd")</f>
        <v>18980226</v>
      </c>
      <c r="C1366" s="11" t="str">
        <f>INDEX(Data,2,2+MOD(ROWS(C$2:C1366)-1,24))</f>
        <v>21.00</v>
      </c>
      <c r="D1366" s="8" t="str">
        <f t="shared" ca="1" si="65"/>
        <v>—</v>
      </c>
      <c r="E1366" s="16">
        <f t="shared" ca="1" si="66"/>
        <v>7</v>
      </c>
    </row>
    <row r="1367" spans="1:5" x14ac:dyDescent="0.25">
      <c r="A1367" s="3">
        <f t="shared" si="64"/>
        <v>78989</v>
      </c>
      <c r="B1367" t="str">
        <f ca="1">TEXT(DATE(YEAR(Invoer!$A$5),1,1)+INT((ROWS(B$2:B1367)-1)/24),"""18""jjmmdd")</f>
        <v>18980226</v>
      </c>
      <c r="C1367" s="11" t="str">
        <f>INDEX(Data,2,2+MOD(ROWS(C$2:C1367)-1,24))</f>
        <v>22.00</v>
      </c>
      <c r="D1367" s="8" t="str">
        <f t="shared" ca="1" si="65"/>
        <v>—</v>
      </c>
      <c r="E1367" s="16">
        <f t="shared" ca="1" si="66"/>
        <v>7</v>
      </c>
    </row>
    <row r="1368" spans="1:5" x14ac:dyDescent="0.25">
      <c r="A1368" s="3">
        <f t="shared" si="64"/>
        <v>78989</v>
      </c>
      <c r="B1368" t="str">
        <f ca="1">TEXT(DATE(YEAR(Invoer!$A$5),1,1)+INT((ROWS(B$2:B1368)-1)/24),"""18""jjmmdd")</f>
        <v>18980226</v>
      </c>
      <c r="C1368" s="11" t="str">
        <f>INDEX(Data,2,2+MOD(ROWS(C$2:C1368)-1,24))</f>
        <v>23.00</v>
      </c>
      <c r="D1368" s="8" t="str">
        <f t="shared" ca="1" si="65"/>
        <v>—</v>
      </c>
      <c r="E1368" s="16">
        <f t="shared" ca="1" si="66"/>
        <v>7</v>
      </c>
    </row>
    <row r="1369" spans="1:5" x14ac:dyDescent="0.25">
      <c r="A1369" s="3">
        <f t="shared" si="64"/>
        <v>78989</v>
      </c>
      <c r="B1369" t="str">
        <f ca="1">TEXT(DATE(YEAR(Invoer!$A$5),1,1)+INT((ROWS(B$2:B1369)-1)/24),"""18""jjmmdd")</f>
        <v>18980226</v>
      </c>
      <c r="C1369" s="11" t="str">
        <f>INDEX(Data,2,2+MOD(ROWS(C$2:C1369)-1,24))</f>
        <v>24.00</v>
      </c>
      <c r="D1369" s="8" t="str">
        <f t="shared" ca="1" si="65"/>
        <v>—</v>
      </c>
      <c r="E1369" s="16">
        <f t="shared" ca="1" si="66"/>
        <v>7</v>
      </c>
    </row>
    <row r="1370" spans="1:5" x14ac:dyDescent="0.25">
      <c r="A1370" s="3">
        <f t="shared" si="64"/>
        <v>78989</v>
      </c>
      <c r="B1370" t="str">
        <f ca="1">TEXT(DATE(YEAR(Invoer!$A$5),1,1)+INT((ROWS(B$2:B1370)-1)/24),"""18""jjmmdd")</f>
        <v>18980227</v>
      </c>
      <c r="C1370" s="11" t="str">
        <f>INDEX(Data,2,2+MOD(ROWS(C$2:C1370)-1,24))</f>
        <v>01.00</v>
      </c>
      <c r="D1370" s="8" t="str">
        <f t="shared" ca="1" si="65"/>
        <v>—</v>
      </c>
      <c r="E1370" s="16">
        <f t="shared" ca="1" si="66"/>
        <v>7</v>
      </c>
    </row>
    <row r="1371" spans="1:5" x14ac:dyDescent="0.25">
      <c r="A1371" s="3">
        <f t="shared" si="64"/>
        <v>78989</v>
      </c>
      <c r="B1371" t="str">
        <f ca="1">TEXT(DATE(YEAR(Invoer!$A$5),1,1)+INT((ROWS(B$2:B1371)-1)/24),"""18""jjmmdd")</f>
        <v>18980227</v>
      </c>
      <c r="C1371" s="11" t="str">
        <f>INDEX(Data,2,2+MOD(ROWS(C$2:C1371)-1,24))</f>
        <v>02.00</v>
      </c>
      <c r="D1371" s="8" t="str">
        <f t="shared" ca="1" si="65"/>
        <v>—</v>
      </c>
      <c r="E1371" s="16">
        <f t="shared" ca="1" si="66"/>
        <v>7</v>
      </c>
    </row>
    <row r="1372" spans="1:5" x14ac:dyDescent="0.25">
      <c r="A1372" s="3">
        <f t="shared" si="64"/>
        <v>78989</v>
      </c>
      <c r="B1372" t="str">
        <f ca="1">TEXT(DATE(YEAR(Invoer!$A$5),1,1)+INT((ROWS(B$2:B1372)-1)/24),"""18""jjmmdd")</f>
        <v>18980227</v>
      </c>
      <c r="C1372" s="11" t="str">
        <f>INDEX(Data,2,2+MOD(ROWS(C$2:C1372)-1,24))</f>
        <v>03.00</v>
      </c>
      <c r="D1372" s="8" t="str">
        <f t="shared" ca="1" si="65"/>
        <v>—</v>
      </c>
      <c r="E1372" s="16">
        <f t="shared" ca="1" si="66"/>
        <v>7</v>
      </c>
    </row>
    <row r="1373" spans="1:5" x14ac:dyDescent="0.25">
      <c r="A1373" s="3">
        <f t="shared" si="64"/>
        <v>78989</v>
      </c>
      <c r="B1373" t="str">
        <f ca="1">TEXT(DATE(YEAR(Invoer!$A$5),1,1)+INT((ROWS(B$2:B1373)-1)/24),"""18""jjmmdd")</f>
        <v>18980227</v>
      </c>
      <c r="C1373" s="11" t="str">
        <f>INDEX(Data,2,2+MOD(ROWS(C$2:C1373)-1,24))</f>
        <v>04.00</v>
      </c>
      <c r="D1373" s="8" t="str">
        <f t="shared" ca="1" si="65"/>
        <v>—</v>
      </c>
      <c r="E1373" s="16">
        <f t="shared" ca="1" si="66"/>
        <v>7</v>
      </c>
    </row>
    <row r="1374" spans="1:5" x14ac:dyDescent="0.25">
      <c r="A1374" s="3">
        <f t="shared" si="64"/>
        <v>78989</v>
      </c>
      <c r="B1374" t="str">
        <f ca="1">TEXT(DATE(YEAR(Invoer!$A$5),1,1)+INT((ROWS(B$2:B1374)-1)/24),"""18""jjmmdd")</f>
        <v>18980227</v>
      </c>
      <c r="C1374" s="11" t="str">
        <f>INDEX(Data,2,2+MOD(ROWS(C$2:C1374)-1,24))</f>
        <v>05.00</v>
      </c>
      <c r="D1374" s="8" t="str">
        <f t="shared" ca="1" si="65"/>
        <v>—</v>
      </c>
      <c r="E1374" s="16">
        <f t="shared" ca="1" si="66"/>
        <v>7</v>
      </c>
    </row>
    <row r="1375" spans="1:5" x14ac:dyDescent="0.25">
      <c r="A1375" s="3">
        <f t="shared" si="64"/>
        <v>78989</v>
      </c>
      <c r="B1375" t="str">
        <f ca="1">TEXT(DATE(YEAR(Invoer!$A$5),1,1)+INT((ROWS(B$2:B1375)-1)/24),"""18""jjmmdd")</f>
        <v>18980227</v>
      </c>
      <c r="C1375" s="11" t="str">
        <f>INDEX(Data,2,2+MOD(ROWS(C$2:C1375)-1,24))</f>
        <v>06.00</v>
      </c>
      <c r="D1375" s="8" t="str">
        <f t="shared" ca="1" si="65"/>
        <v>—</v>
      </c>
      <c r="E1375" s="16">
        <f t="shared" ca="1" si="66"/>
        <v>7</v>
      </c>
    </row>
    <row r="1376" spans="1:5" x14ac:dyDescent="0.25">
      <c r="A1376" s="3">
        <f t="shared" si="64"/>
        <v>78989</v>
      </c>
      <c r="B1376" t="str">
        <f ca="1">TEXT(DATE(YEAR(Invoer!$A$5),1,1)+INT((ROWS(B$2:B1376)-1)/24),"""18""jjmmdd")</f>
        <v>18980227</v>
      </c>
      <c r="C1376" s="11" t="str">
        <f>INDEX(Data,2,2+MOD(ROWS(C$2:C1376)-1,24))</f>
        <v>07.00</v>
      </c>
      <c r="D1376" s="8" t="str">
        <f t="shared" ca="1" si="65"/>
        <v>—</v>
      </c>
      <c r="E1376" s="16">
        <f t="shared" ca="1" si="66"/>
        <v>7</v>
      </c>
    </row>
    <row r="1377" spans="1:5" x14ac:dyDescent="0.25">
      <c r="A1377" s="3">
        <f t="shared" si="64"/>
        <v>78989</v>
      </c>
      <c r="B1377" t="str">
        <f ca="1">TEXT(DATE(YEAR(Invoer!$A$5),1,1)+INT((ROWS(B$2:B1377)-1)/24),"""18""jjmmdd")</f>
        <v>18980227</v>
      </c>
      <c r="C1377" s="11" t="str">
        <f>INDEX(Data,2,2+MOD(ROWS(C$2:C1377)-1,24))</f>
        <v>08.00</v>
      </c>
      <c r="D1377" s="8" t="str">
        <f t="shared" ca="1" si="65"/>
        <v>—</v>
      </c>
      <c r="E1377" s="16">
        <f t="shared" ca="1" si="66"/>
        <v>7</v>
      </c>
    </row>
    <row r="1378" spans="1:5" x14ac:dyDescent="0.25">
      <c r="A1378" s="3">
        <f t="shared" si="64"/>
        <v>78989</v>
      </c>
      <c r="B1378" t="str">
        <f ca="1">TEXT(DATE(YEAR(Invoer!$A$5),1,1)+INT((ROWS(B$2:B1378)-1)/24),"""18""jjmmdd")</f>
        <v>18980227</v>
      </c>
      <c r="C1378" s="11" t="str">
        <f>INDEX(Data,2,2+MOD(ROWS(C$2:C1378)-1,24))</f>
        <v>09.00</v>
      </c>
      <c r="D1378" s="8" t="str">
        <f t="shared" ca="1" si="65"/>
        <v>—</v>
      </c>
      <c r="E1378" s="16">
        <f t="shared" ca="1" si="66"/>
        <v>7</v>
      </c>
    </row>
    <row r="1379" spans="1:5" x14ac:dyDescent="0.25">
      <c r="A1379" s="3">
        <f t="shared" si="64"/>
        <v>78989</v>
      </c>
      <c r="B1379" t="str">
        <f ca="1">TEXT(DATE(YEAR(Invoer!$A$5),1,1)+INT((ROWS(B$2:B1379)-1)/24),"""18""jjmmdd")</f>
        <v>18980227</v>
      </c>
      <c r="C1379" s="11" t="str">
        <f>INDEX(Data,2,2+MOD(ROWS(C$2:C1379)-1,24))</f>
        <v>10.00</v>
      </c>
      <c r="D1379" s="8" t="str">
        <f t="shared" ca="1" si="65"/>
        <v>—</v>
      </c>
      <c r="E1379" s="16">
        <f t="shared" ca="1" si="66"/>
        <v>7</v>
      </c>
    </row>
    <row r="1380" spans="1:5" x14ac:dyDescent="0.25">
      <c r="A1380" s="3">
        <f t="shared" si="64"/>
        <v>78989</v>
      </c>
      <c r="B1380" t="str">
        <f ca="1">TEXT(DATE(YEAR(Invoer!$A$5),1,1)+INT((ROWS(B$2:B1380)-1)/24),"""18""jjmmdd")</f>
        <v>18980227</v>
      </c>
      <c r="C1380" s="11" t="str">
        <f>INDEX(Data,2,2+MOD(ROWS(C$2:C1380)-1,24))</f>
        <v>11.00</v>
      </c>
      <c r="D1380" s="8" t="str">
        <f t="shared" ca="1" si="65"/>
        <v>—</v>
      </c>
      <c r="E1380" s="16">
        <f t="shared" ca="1" si="66"/>
        <v>7</v>
      </c>
    </row>
    <row r="1381" spans="1:5" x14ac:dyDescent="0.25">
      <c r="A1381" s="3">
        <f t="shared" si="64"/>
        <v>78989</v>
      </c>
      <c r="B1381" t="str">
        <f ca="1">TEXT(DATE(YEAR(Invoer!$A$5),1,1)+INT((ROWS(B$2:B1381)-1)/24),"""18""jjmmdd")</f>
        <v>18980227</v>
      </c>
      <c r="C1381" s="11" t="str">
        <f>INDEX(Data,2,2+MOD(ROWS(C$2:C1381)-1,24))</f>
        <v>12.00</v>
      </c>
      <c r="D1381" s="8" t="str">
        <f t="shared" ca="1" si="65"/>
        <v>—</v>
      </c>
      <c r="E1381" s="16">
        <f t="shared" ca="1" si="66"/>
        <v>7</v>
      </c>
    </row>
    <row r="1382" spans="1:5" x14ac:dyDescent="0.25">
      <c r="A1382" s="3">
        <f t="shared" si="64"/>
        <v>78989</v>
      </c>
      <c r="B1382" t="str">
        <f ca="1">TEXT(DATE(YEAR(Invoer!$A$5),1,1)+INT((ROWS(B$2:B1382)-1)/24),"""18""jjmmdd")</f>
        <v>18980227</v>
      </c>
      <c r="C1382" s="11" t="str">
        <f>INDEX(Data,2,2+MOD(ROWS(C$2:C1382)-1,24))</f>
        <v>13.00</v>
      </c>
      <c r="D1382" s="8" t="str">
        <f t="shared" ca="1" si="65"/>
        <v>—</v>
      </c>
      <c r="E1382" s="16">
        <f t="shared" ca="1" si="66"/>
        <v>7</v>
      </c>
    </row>
    <row r="1383" spans="1:5" x14ac:dyDescent="0.25">
      <c r="A1383" s="3">
        <f t="shared" si="64"/>
        <v>78989</v>
      </c>
      <c r="B1383" t="str">
        <f ca="1">TEXT(DATE(YEAR(Invoer!$A$5),1,1)+INT((ROWS(B$2:B1383)-1)/24),"""18""jjmmdd")</f>
        <v>18980227</v>
      </c>
      <c r="C1383" s="11" t="str">
        <f>INDEX(Data,2,2+MOD(ROWS(C$2:C1383)-1,24))</f>
        <v>14.00</v>
      </c>
      <c r="D1383" s="8" t="str">
        <f t="shared" ca="1" si="65"/>
        <v>—</v>
      </c>
      <c r="E1383" s="16">
        <f t="shared" ca="1" si="66"/>
        <v>7</v>
      </c>
    </row>
    <row r="1384" spans="1:5" x14ac:dyDescent="0.25">
      <c r="A1384" s="3">
        <f t="shared" si="64"/>
        <v>78989</v>
      </c>
      <c r="B1384" t="str">
        <f ca="1">TEXT(DATE(YEAR(Invoer!$A$5),1,1)+INT((ROWS(B$2:B1384)-1)/24),"""18""jjmmdd")</f>
        <v>18980227</v>
      </c>
      <c r="C1384" s="11" t="str">
        <f>INDEX(Data,2,2+MOD(ROWS(C$2:C1384)-1,24))</f>
        <v>15.00</v>
      </c>
      <c r="D1384" s="8" t="str">
        <f t="shared" ca="1" si="65"/>
        <v>—</v>
      </c>
      <c r="E1384" s="16">
        <f t="shared" ca="1" si="66"/>
        <v>7</v>
      </c>
    </row>
    <row r="1385" spans="1:5" x14ac:dyDescent="0.25">
      <c r="A1385" s="3">
        <f t="shared" si="64"/>
        <v>78989</v>
      </c>
      <c r="B1385" t="str">
        <f ca="1">TEXT(DATE(YEAR(Invoer!$A$5),1,1)+INT((ROWS(B$2:B1385)-1)/24),"""18""jjmmdd")</f>
        <v>18980227</v>
      </c>
      <c r="C1385" s="11" t="str">
        <f>INDEX(Data,2,2+MOD(ROWS(C$2:C1385)-1,24))</f>
        <v>16.00</v>
      </c>
      <c r="D1385" s="8" t="str">
        <f t="shared" ca="1" si="65"/>
        <v>—</v>
      </c>
      <c r="E1385" s="16">
        <f t="shared" ca="1" si="66"/>
        <v>7</v>
      </c>
    </row>
    <row r="1386" spans="1:5" x14ac:dyDescent="0.25">
      <c r="A1386" s="3">
        <f t="shared" si="64"/>
        <v>78989</v>
      </c>
      <c r="B1386" t="str">
        <f ca="1">TEXT(DATE(YEAR(Invoer!$A$5),1,1)+INT((ROWS(B$2:B1386)-1)/24),"""18""jjmmdd")</f>
        <v>18980227</v>
      </c>
      <c r="C1386" s="11" t="str">
        <f>INDEX(Data,2,2+MOD(ROWS(C$2:C1386)-1,24))</f>
        <v>17.00</v>
      </c>
      <c r="D1386" s="8" t="str">
        <f t="shared" ca="1" si="65"/>
        <v>—</v>
      </c>
      <c r="E1386" s="16">
        <f t="shared" ca="1" si="66"/>
        <v>7</v>
      </c>
    </row>
    <row r="1387" spans="1:5" x14ac:dyDescent="0.25">
      <c r="A1387" s="3">
        <f t="shared" si="64"/>
        <v>78989</v>
      </c>
      <c r="B1387" t="str">
        <f ca="1">TEXT(DATE(YEAR(Invoer!$A$5),1,1)+INT((ROWS(B$2:B1387)-1)/24),"""18""jjmmdd")</f>
        <v>18980227</v>
      </c>
      <c r="C1387" s="11" t="str">
        <f>INDEX(Data,2,2+MOD(ROWS(C$2:C1387)-1,24))</f>
        <v>18.00</v>
      </c>
      <c r="D1387" s="8" t="str">
        <f t="shared" ca="1" si="65"/>
        <v>—</v>
      </c>
      <c r="E1387" s="16">
        <f t="shared" ca="1" si="66"/>
        <v>7</v>
      </c>
    </row>
    <row r="1388" spans="1:5" x14ac:dyDescent="0.25">
      <c r="A1388" s="3">
        <f t="shared" si="64"/>
        <v>78989</v>
      </c>
      <c r="B1388" t="str">
        <f ca="1">TEXT(DATE(YEAR(Invoer!$A$5),1,1)+INT((ROWS(B$2:B1388)-1)/24),"""18""jjmmdd")</f>
        <v>18980227</v>
      </c>
      <c r="C1388" s="11" t="str">
        <f>INDEX(Data,2,2+MOD(ROWS(C$2:C1388)-1,24))</f>
        <v>19.00</v>
      </c>
      <c r="D1388" s="8" t="str">
        <f t="shared" ca="1" si="65"/>
        <v>—</v>
      </c>
      <c r="E1388" s="16">
        <f t="shared" ca="1" si="66"/>
        <v>7</v>
      </c>
    </row>
    <row r="1389" spans="1:5" x14ac:dyDescent="0.25">
      <c r="A1389" s="3">
        <f t="shared" si="64"/>
        <v>78989</v>
      </c>
      <c r="B1389" t="str">
        <f ca="1">TEXT(DATE(YEAR(Invoer!$A$5),1,1)+INT((ROWS(B$2:B1389)-1)/24),"""18""jjmmdd")</f>
        <v>18980227</v>
      </c>
      <c r="C1389" s="11" t="str">
        <f>INDEX(Data,2,2+MOD(ROWS(C$2:C1389)-1,24))</f>
        <v>20.00</v>
      </c>
      <c r="D1389" s="8" t="str">
        <f t="shared" ca="1" si="65"/>
        <v>—</v>
      </c>
      <c r="E1389" s="16">
        <f t="shared" ca="1" si="66"/>
        <v>7</v>
      </c>
    </row>
    <row r="1390" spans="1:5" x14ac:dyDescent="0.25">
      <c r="A1390" s="3">
        <f t="shared" si="64"/>
        <v>78989</v>
      </c>
      <c r="B1390" t="str">
        <f ca="1">TEXT(DATE(YEAR(Invoer!$A$5),1,1)+INT((ROWS(B$2:B1390)-1)/24),"""18""jjmmdd")</f>
        <v>18980227</v>
      </c>
      <c r="C1390" s="11" t="str">
        <f>INDEX(Data,2,2+MOD(ROWS(C$2:C1390)-1,24))</f>
        <v>21.00</v>
      </c>
      <c r="D1390" s="8" t="str">
        <f t="shared" ca="1" si="65"/>
        <v>—</v>
      </c>
      <c r="E1390" s="16">
        <f t="shared" ca="1" si="66"/>
        <v>7</v>
      </c>
    </row>
    <row r="1391" spans="1:5" x14ac:dyDescent="0.25">
      <c r="A1391" s="3">
        <f t="shared" si="64"/>
        <v>78989</v>
      </c>
      <c r="B1391" t="str">
        <f ca="1">TEXT(DATE(YEAR(Invoer!$A$5),1,1)+INT((ROWS(B$2:B1391)-1)/24),"""18""jjmmdd")</f>
        <v>18980227</v>
      </c>
      <c r="C1391" s="11" t="str">
        <f>INDEX(Data,2,2+MOD(ROWS(C$2:C1391)-1,24))</f>
        <v>22.00</v>
      </c>
      <c r="D1391" s="8" t="str">
        <f t="shared" ca="1" si="65"/>
        <v>—</v>
      </c>
      <c r="E1391" s="16">
        <f t="shared" ca="1" si="66"/>
        <v>7</v>
      </c>
    </row>
    <row r="1392" spans="1:5" x14ac:dyDescent="0.25">
      <c r="A1392" s="3">
        <f t="shared" si="64"/>
        <v>78989</v>
      </c>
      <c r="B1392" t="str">
        <f ca="1">TEXT(DATE(YEAR(Invoer!$A$5),1,1)+INT((ROWS(B$2:B1392)-1)/24),"""18""jjmmdd")</f>
        <v>18980227</v>
      </c>
      <c r="C1392" s="11" t="str">
        <f>INDEX(Data,2,2+MOD(ROWS(C$2:C1392)-1,24))</f>
        <v>23.00</v>
      </c>
      <c r="D1392" s="8" t="str">
        <f t="shared" ca="1" si="65"/>
        <v>—</v>
      </c>
      <c r="E1392" s="16">
        <f t="shared" ca="1" si="66"/>
        <v>7</v>
      </c>
    </row>
    <row r="1393" spans="1:5" x14ac:dyDescent="0.25">
      <c r="A1393" s="3">
        <f t="shared" si="64"/>
        <v>78989</v>
      </c>
      <c r="B1393" t="str">
        <f ca="1">TEXT(DATE(YEAR(Invoer!$A$5),1,1)+INT((ROWS(B$2:B1393)-1)/24),"""18""jjmmdd")</f>
        <v>18980227</v>
      </c>
      <c r="C1393" s="11" t="str">
        <f>INDEX(Data,2,2+MOD(ROWS(C$2:C1393)-1,24))</f>
        <v>24.00</v>
      </c>
      <c r="D1393" s="8" t="str">
        <f t="shared" ca="1" si="65"/>
        <v>—</v>
      </c>
      <c r="E1393" s="16">
        <f t="shared" ca="1" si="66"/>
        <v>7</v>
      </c>
    </row>
    <row r="1394" spans="1:5" x14ac:dyDescent="0.25">
      <c r="A1394" s="3">
        <f t="shared" si="64"/>
        <v>78989</v>
      </c>
      <c r="B1394" t="str">
        <f ca="1">TEXT(DATE(YEAR(Invoer!$A$5),1,1)+INT((ROWS(B$2:B1394)-1)/24),"""18""jjmmdd")</f>
        <v>18980228</v>
      </c>
      <c r="C1394" s="11" t="str">
        <f>INDEX(Data,2,2+MOD(ROWS(C$2:C1394)-1,24))</f>
        <v>01.00</v>
      </c>
      <c r="D1394" s="8" t="str">
        <f t="shared" ca="1" si="65"/>
        <v>—</v>
      </c>
      <c r="E1394" s="16">
        <f t="shared" ca="1" si="66"/>
        <v>7</v>
      </c>
    </row>
    <row r="1395" spans="1:5" x14ac:dyDescent="0.25">
      <c r="A1395" s="3">
        <f t="shared" si="64"/>
        <v>78989</v>
      </c>
      <c r="B1395" t="str">
        <f ca="1">TEXT(DATE(YEAR(Invoer!$A$5),1,1)+INT((ROWS(B$2:B1395)-1)/24),"""18""jjmmdd")</f>
        <v>18980228</v>
      </c>
      <c r="C1395" s="11" t="str">
        <f>INDEX(Data,2,2+MOD(ROWS(C$2:C1395)-1,24))</f>
        <v>02.00</v>
      </c>
      <c r="D1395" s="8" t="str">
        <f t="shared" ca="1" si="65"/>
        <v>—</v>
      </c>
      <c r="E1395" s="16">
        <f t="shared" ca="1" si="66"/>
        <v>7</v>
      </c>
    </row>
    <row r="1396" spans="1:5" x14ac:dyDescent="0.25">
      <c r="A1396" s="3">
        <f t="shared" si="64"/>
        <v>78989</v>
      </c>
      <c r="B1396" t="str">
        <f ca="1">TEXT(DATE(YEAR(Invoer!$A$5),1,1)+INT((ROWS(B$2:B1396)-1)/24),"""18""jjmmdd")</f>
        <v>18980228</v>
      </c>
      <c r="C1396" s="11" t="str">
        <f>INDEX(Data,2,2+MOD(ROWS(C$2:C1396)-1,24))</f>
        <v>03.00</v>
      </c>
      <c r="D1396" s="8" t="str">
        <f t="shared" ca="1" si="65"/>
        <v>—</v>
      </c>
      <c r="E1396" s="16">
        <f t="shared" ca="1" si="66"/>
        <v>7</v>
      </c>
    </row>
    <row r="1397" spans="1:5" x14ac:dyDescent="0.25">
      <c r="A1397" s="3">
        <f t="shared" si="64"/>
        <v>78989</v>
      </c>
      <c r="B1397" t="str">
        <f ca="1">TEXT(DATE(YEAR(Invoer!$A$5),1,1)+INT((ROWS(B$2:B1397)-1)/24),"""18""jjmmdd")</f>
        <v>18980228</v>
      </c>
      <c r="C1397" s="11" t="str">
        <f>INDEX(Data,2,2+MOD(ROWS(C$2:C1397)-1,24))</f>
        <v>04.00</v>
      </c>
      <c r="D1397" s="8" t="str">
        <f t="shared" ca="1" si="65"/>
        <v>—</v>
      </c>
      <c r="E1397" s="16">
        <f t="shared" ca="1" si="66"/>
        <v>7</v>
      </c>
    </row>
    <row r="1398" spans="1:5" x14ac:dyDescent="0.25">
      <c r="A1398" s="3">
        <f t="shared" si="64"/>
        <v>78989</v>
      </c>
      <c r="B1398" t="str">
        <f ca="1">TEXT(DATE(YEAR(Invoer!$A$5),1,1)+INT((ROWS(B$2:B1398)-1)/24),"""18""jjmmdd")</f>
        <v>18980228</v>
      </c>
      <c r="C1398" s="11" t="str">
        <f>INDEX(Data,2,2+MOD(ROWS(C$2:C1398)-1,24))</f>
        <v>05.00</v>
      </c>
      <c r="D1398" s="8" t="str">
        <f t="shared" ca="1" si="65"/>
        <v>—</v>
      </c>
      <c r="E1398" s="16">
        <f t="shared" ca="1" si="66"/>
        <v>7</v>
      </c>
    </row>
    <row r="1399" spans="1:5" x14ac:dyDescent="0.25">
      <c r="A1399" s="3">
        <f t="shared" si="64"/>
        <v>78989</v>
      </c>
      <c r="B1399" t="str">
        <f ca="1">TEXT(DATE(YEAR(Invoer!$A$5),1,1)+INT((ROWS(B$2:B1399)-1)/24),"""18""jjmmdd")</f>
        <v>18980228</v>
      </c>
      <c r="C1399" s="11" t="str">
        <f>INDEX(Data,2,2+MOD(ROWS(C$2:C1399)-1,24))</f>
        <v>06.00</v>
      </c>
      <c r="D1399" s="8" t="str">
        <f t="shared" ca="1" si="65"/>
        <v>—</v>
      </c>
      <c r="E1399" s="16">
        <f t="shared" ca="1" si="66"/>
        <v>7</v>
      </c>
    </row>
    <row r="1400" spans="1:5" x14ac:dyDescent="0.25">
      <c r="A1400" s="3">
        <f t="shared" si="64"/>
        <v>78989</v>
      </c>
      <c r="B1400" t="str">
        <f ca="1">TEXT(DATE(YEAR(Invoer!$A$5),1,1)+INT((ROWS(B$2:B1400)-1)/24),"""18""jjmmdd")</f>
        <v>18980228</v>
      </c>
      <c r="C1400" s="11" t="str">
        <f>INDEX(Data,2,2+MOD(ROWS(C$2:C1400)-1,24))</f>
        <v>07.00</v>
      </c>
      <c r="D1400" s="8" t="str">
        <f t="shared" ca="1" si="65"/>
        <v>—</v>
      </c>
      <c r="E1400" s="16">
        <f t="shared" ca="1" si="66"/>
        <v>7</v>
      </c>
    </row>
    <row r="1401" spans="1:5" x14ac:dyDescent="0.25">
      <c r="A1401" s="3">
        <f t="shared" si="64"/>
        <v>78989</v>
      </c>
      <c r="B1401" t="str">
        <f ca="1">TEXT(DATE(YEAR(Invoer!$A$5),1,1)+INT((ROWS(B$2:B1401)-1)/24),"""18""jjmmdd")</f>
        <v>18980228</v>
      </c>
      <c r="C1401" s="11" t="str">
        <f>INDEX(Data,2,2+MOD(ROWS(C$2:C1401)-1,24))</f>
        <v>08.00</v>
      </c>
      <c r="D1401" s="8" t="str">
        <f t="shared" ca="1" si="65"/>
        <v>—</v>
      </c>
      <c r="E1401" s="16">
        <f t="shared" ca="1" si="66"/>
        <v>7</v>
      </c>
    </row>
    <row r="1402" spans="1:5" x14ac:dyDescent="0.25">
      <c r="A1402" s="3">
        <f t="shared" si="64"/>
        <v>78989</v>
      </c>
      <c r="B1402" t="str">
        <f ca="1">TEXT(DATE(YEAR(Invoer!$A$5),1,1)+INT((ROWS(B$2:B1402)-1)/24),"""18""jjmmdd")</f>
        <v>18980228</v>
      </c>
      <c r="C1402" s="11" t="str">
        <f>INDEX(Data,2,2+MOD(ROWS(C$2:C1402)-1,24))</f>
        <v>09.00</v>
      </c>
      <c r="D1402" s="8" t="str">
        <f t="shared" ca="1" si="65"/>
        <v>—</v>
      </c>
      <c r="E1402" s="16">
        <f t="shared" ca="1" si="66"/>
        <v>7</v>
      </c>
    </row>
    <row r="1403" spans="1:5" x14ac:dyDescent="0.25">
      <c r="A1403" s="3">
        <f t="shared" si="64"/>
        <v>78989</v>
      </c>
      <c r="B1403" t="str">
        <f ca="1">TEXT(DATE(YEAR(Invoer!$A$5),1,1)+INT((ROWS(B$2:B1403)-1)/24),"""18""jjmmdd")</f>
        <v>18980228</v>
      </c>
      <c r="C1403" s="11" t="str">
        <f>INDEX(Data,2,2+MOD(ROWS(C$2:C1403)-1,24))</f>
        <v>10.00</v>
      </c>
      <c r="D1403" s="8" t="str">
        <f t="shared" ca="1" si="65"/>
        <v>—</v>
      </c>
      <c r="E1403" s="16">
        <f t="shared" ca="1" si="66"/>
        <v>7</v>
      </c>
    </row>
    <row r="1404" spans="1:5" x14ac:dyDescent="0.25">
      <c r="A1404" s="3">
        <f t="shared" si="64"/>
        <v>78989</v>
      </c>
      <c r="B1404" t="str">
        <f ca="1">TEXT(DATE(YEAR(Invoer!$A$5),1,1)+INT((ROWS(B$2:B1404)-1)/24),"""18""jjmmdd")</f>
        <v>18980228</v>
      </c>
      <c r="C1404" s="11" t="str">
        <f>INDEX(Data,2,2+MOD(ROWS(C$2:C1404)-1,24))</f>
        <v>11.00</v>
      </c>
      <c r="D1404" s="8" t="str">
        <f t="shared" ca="1" si="65"/>
        <v>—</v>
      </c>
      <c r="E1404" s="16">
        <f t="shared" ca="1" si="66"/>
        <v>7</v>
      </c>
    </row>
    <row r="1405" spans="1:5" x14ac:dyDescent="0.25">
      <c r="A1405" s="3">
        <f t="shared" si="64"/>
        <v>78989</v>
      </c>
      <c r="B1405" t="str">
        <f ca="1">TEXT(DATE(YEAR(Invoer!$A$5),1,1)+INT((ROWS(B$2:B1405)-1)/24),"""18""jjmmdd")</f>
        <v>18980228</v>
      </c>
      <c r="C1405" s="11" t="str">
        <f>INDEX(Data,2,2+MOD(ROWS(C$2:C1405)-1,24))</f>
        <v>12.00</v>
      </c>
      <c r="D1405" s="8" t="str">
        <f t="shared" ca="1" si="65"/>
        <v>—</v>
      </c>
      <c r="E1405" s="16">
        <f t="shared" ca="1" si="66"/>
        <v>7</v>
      </c>
    </row>
    <row r="1406" spans="1:5" x14ac:dyDescent="0.25">
      <c r="A1406" s="3">
        <f t="shared" si="64"/>
        <v>78989</v>
      </c>
      <c r="B1406" t="str">
        <f ca="1">TEXT(DATE(YEAR(Invoer!$A$5),1,1)+INT((ROWS(B$2:B1406)-1)/24),"""18""jjmmdd")</f>
        <v>18980228</v>
      </c>
      <c r="C1406" s="11" t="str">
        <f>INDEX(Data,2,2+MOD(ROWS(C$2:C1406)-1,24))</f>
        <v>13.00</v>
      </c>
      <c r="D1406" s="8" t="str">
        <f t="shared" ca="1" si="65"/>
        <v>—</v>
      </c>
      <c r="E1406" s="16">
        <f t="shared" ca="1" si="66"/>
        <v>7</v>
      </c>
    </row>
    <row r="1407" spans="1:5" x14ac:dyDescent="0.25">
      <c r="A1407" s="3">
        <f t="shared" si="64"/>
        <v>78989</v>
      </c>
      <c r="B1407" t="str">
        <f ca="1">TEXT(DATE(YEAR(Invoer!$A$5),1,1)+INT((ROWS(B$2:B1407)-1)/24),"""18""jjmmdd")</f>
        <v>18980228</v>
      </c>
      <c r="C1407" s="11" t="str">
        <f>INDEX(Data,2,2+MOD(ROWS(C$2:C1407)-1,24))</f>
        <v>14.00</v>
      </c>
      <c r="D1407" s="8" t="str">
        <f t="shared" ca="1" si="65"/>
        <v>—</v>
      </c>
      <c r="E1407" s="16">
        <f t="shared" ca="1" si="66"/>
        <v>7</v>
      </c>
    </row>
    <row r="1408" spans="1:5" x14ac:dyDescent="0.25">
      <c r="A1408" s="3">
        <f t="shared" si="64"/>
        <v>78989</v>
      </c>
      <c r="B1408" t="str">
        <f ca="1">TEXT(DATE(YEAR(Invoer!$A$5),1,1)+INT((ROWS(B$2:B1408)-1)/24),"""18""jjmmdd")</f>
        <v>18980228</v>
      </c>
      <c r="C1408" s="11" t="str">
        <f>INDEX(Data,2,2+MOD(ROWS(C$2:C1408)-1,24))</f>
        <v>15.00</v>
      </c>
      <c r="D1408" s="8" t="str">
        <f t="shared" ca="1" si="65"/>
        <v>—</v>
      </c>
      <c r="E1408" s="16">
        <f t="shared" ca="1" si="66"/>
        <v>7</v>
      </c>
    </row>
    <row r="1409" spans="1:5" x14ac:dyDescent="0.25">
      <c r="A1409" s="3">
        <f t="shared" si="64"/>
        <v>78989</v>
      </c>
      <c r="B1409" t="str">
        <f ca="1">TEXT(DATE(YEAR(Invoer!$A$5),1,1)+INT((ROWS(B$2:B1409)-1)/24),"""18""jjmmdd")</f>
        <v>18980228</v>
      </c>
      <c r="C1409" s="11" t="str">
        <f>INDEX(Data,2,2+MOD(ROWS(C$2:C1409)-1,24))</f>
        <v>16.00</v>
      </c>
      <c r="D1409" s="8" t="str">
        <f t="shared" ca="1" si="65"/>
        <v>—</v>
      </c>
      <c r="E1409" s="16">
        <f t="shared" ca="1" si="66"/>
        <v>7</v>
      </c>
    </row>
    <row r="1410" spans="1:5" x14ac:dyDescent="0.25">
      <c r="A1410" s="3">
        <f t="shared" ref="A1410:A1473" si="67">INDEX(Stations,2,1)</f>
        <v>78989</v>
      </c>
      <c r="B1410" t="str">
        <f ca="1">TEXT(DATE(YEAR(Invoer!$A$5),1,1)+INT((ROWS(B$2:B1410)-1)/24),"""18""jjmmdd")</f>
        <v>18980228</v>
      </c>
      <c r="C1410" s="11" t="str">
        <f>INDEX(Data,2,2+MOD(ROWS(C$2:C1410)-1,24))</f>
        <v>17.00</v>
      </c>
      <c r="D1410" s="8" t="str">
        <f t="shared" ref="D1410:D1473" ca="1" si="68">IF(OR(ISBLANK(VLOOKUP(DATEVALUE("37"&amp;MID($B1410,3,2)&amp;"-"&amp;MID($B1410,5,2)&amp;"-"&amp;RIGHT($B1410,2)),Data,MATCH(LEFT(VLOOKUP(D$1,Parameters,2,FALSE()),4)&amp;"*",OFFSET(Data,0,0,1),0)+MATCH($C1410,OFFSET(Data,1,0,1),0)-2,FALSE())),ISTEXT(VLOOKUP(DATEVALUE("37"&amp;MID($B1410,3,2)&amp;"-"&amp;MID($B1410,5,2)&amp;"-"&amp;RIGHT($B1410,2)),Data,MATCH(LEFT(VLOOKUP(D$1,Parameters,2,FALSE()),4)&amp;"*",OFFSET(Data,0,0,1),0)+MATCH($C1410,OFFSET(Data,1,0,1),0)-2,FALSE()))),"—",VLOOKUP(DATEVALUE("37"&amp;MID($B1410,3,2)&amp;"-"&amp;MID($B1410,5,2)&amp;"-"&amp;RIGHT($B1410,2)),Data,MATCH(LEFT(VLOOKUP(D$1,Parameters,2,FALSE()),4)&amp;"*",OFFSET(Data,0,0,1),0)+MATCH($C1410,OFFSET(Data,1,0,1),0)-2,FALSE()))</f>
        <v>—</v>
      </c>
      <c r="E1410" s="16">
        <f t="shared" ca="1" si="66"/>
        <v>7</v>
      </c>
    </row>
    <row r="1411" spans="1:5" x14ac:dyDescent="0.25">
      <c r="A1411" s="3">
        <f t="shared" si="67"/>
        <v>78989</v>
      </c>
      <c r="B1411" t="str">
        <f ca="1">TEXT(DATE(YEAR(Invoer!$A$5),1,1)+INT((ROWS(B$2:B1411)-1)/24),"""18""jjmmdd")</f>
        <v>18980228</v>
      </c>
      <c r="C1411" s="11" t="str">
        <f>INDEX(Data,2,2+MOD(ROWS(C$2:C1411)-1,24))</f>
        <v>18.00</v>
      </c>
      <c r="D1411" s="8" t="str">
        <f t="shared" ca="1" si="68"/>
        <v>—</v>
      </c>
      <c r="E1411" s="16">
        <f t="shared" ref="E1411:E1474" ca="1" si="69">IF(OR(ISBLANK(VLOOKUP(DATEVALUE("37"&amp;MID($B1411,3,2)&amp;"-"&amp;MID($B1411,5,2)&amp;"-"&amp;RIGHT($B1411,2)),Data,MATCH(LEFT(VLOOKUP(D$1,Parameters,2,FALSE()),4)&amp;"*",OFFSET(Data,0,0,1),0)+MATCH($C1411,OFFSET(Data,1,0,1),0)-2,FALSE())),ISTEXT(VLOOKUP(DATEVALUE("37"&amp;MID($B1411,3,2)&amp;"-"&amp;MID($B1411,5,2)&amp;"-"&amp;RIGHT($B1411,2)),Data,MATCH(LEFT(VLOOKUP(D$1,Parameters,2,FALSE()),4)&amp;"*",OFFSET(Data,0,0,1),0)+MATCH($C1411,OFFSET(Data,1,0,1),0)-2,FALSE()))),Lacking,IF(ISNA(MATCH(DATEVALUE("37"&amp;MID($B1411,3,2)&amp;"-"&amp;MID($B1411,5,2)&amp;"-"&amp;RIGHT($B1411,2)),OFFSET(Catalogus,0,0,,1),0)),Ok,VLOOKUP(DATEVALUE("37"&amp;MID($B1411,3,2)&amp;"-"&amp;MID($B1411,5,2)&amp;"-"&amp;RIGHT($B1411,2)),Catalogus,MATCH(LEFT(VLOOKUP(MID(E$1,2,LEN(E$1)-1),Parameters,2,FALSE()),4)&amp;"*",OFFSET(Catalogus,0,0,1),0)+MATCH($C1411,OFFSET(Catalogus,1,0,1),0)-2,FALSE())))</f>
        <v>7</v>
      </c>
    </row>
    <row r="1412" spans="1:5" x14ac:dyDescent="0.25">
      <c r="A1412" s="3">
        <f t="shared" si="67"/>
        <v>78989</v>
      </c>
      <c r="B1412" t="str">
        <f ca="1">TEXT(DATE(YEAR(Invoer!$A$5),1,1)+INT((ROWS(B$2:B1412)-1)/24),"""18""jjmmdd")</f>
        <v>18980228</v>
      </c>
      <c r="C1412" s="11" t="str">
        <f>INDEX(Data,2,2+MOD(ROWS(C$2:C1412)-1,24))</f>
        <v>19.00</v>
      </c>
      <c r="D1412" s="8" t="str">
        <f t="shared" ca="1" si="68"/>
        <v>—</v>
      </c>
      <c r="E1412" s="16">
        <f t="shared" ca="1" si="69"/>
        <v>7</v>
      </c>
    </row>
    <row r="1413" spans="1:5" x14ac:dyDescent="0.25">
      <c r="A1413" s="3">
        <f t="shared" si="67"/>
        <v>78989</v>
      </c>
      <c r="B1413" t="str">
        <f ca="1">TEXT(DATE(YEAR(Invoer!$A$5),1,1)+INT((ROWS(B$2:B1413)-1)/24),"""18""jjmmdd")</f>
        <v>18980228</v>
      </c>
      <c r="C1413" s="11" t="str">
        <f>INDEX(Data,2,2+MOD(ROWS(C$2:C1413)-1,24))</f>
        <v>20.00</v>
      </c>
      <c r="D1413" s="8" t="str">
        <f t="shared" ca="1" si="68"/>
        <v>—</v>
      </c>
      <c r="E1413" s="16">
        <f t="shared" ca="1" si="69"/>
        <v>7</v>
      </c>
    </row>
    <row r="1414" spans="1:5" x14ac:dyDescent="0.25">
      <c r="A1414" s="3">
        <f t="shared" si="67"/>
        <v>78989</v>
      </c>
      <c r="B1414" t="str">
        <f ca="1">TEXT(DATE(YEAR(Invoer!$A$5),1,1)+INT((ROWS(B$2:B1414)-1)/24),"""18""jjmmdd")</f>
        <v>18980228</v>
      </c>
      <c r="C1414" s="11" t="str">
        <f>INDEX(Data,2,2+MOD(ROWS(C$2:C1414)-1,24))</f>
        <v>21.00</v>
      </c>
      <c r="D1414" s="8" t="str">
        <f t="shared" ca="1" si="68"/>
        <v>—</v>
      </c>
      <c r="E1414" s="16">
        <f t="shared" ca="1" si="69"/>
        <v>7</v>
      </c>
    </row>
    <row r="1415" spans="1:5" x14ac:dyDescent="0.25">
      <c r="A1415" s="3">
        <f t="shared" si="67"/>
        <v>78989</v>
      </c>
      <c r="B1415" t="str">
        <f ca="1">TEXT(DATE(YEAR(Invoer!$A$5),1,1)+INT((ROWS(B$2:B1415)-1)/24),"""18""jjmmdd")</f>
        <v>18980228</v>
      </c>
      <c r="C1415" s="11" t="str">
        <f>INDEX(Data,2,2+MOD(ROWS(C$2:C1415)-1,24))</f>
        <v>22.00</v>
      </c>
      <c r="D1415" s="8" t="str">
        <f t="shared" ca="1" si="68"/>
        <v>—</v>
      </c>
      <c r="E1415" s="16">
        <f t="shared" ca="1" si="69"/>
        <v>7</v>
      </c>
    </row>
    <row r="1416" spans="1:5" x14ac:dyDescent="0.25">
      <c r="A1416" s="3">
        <f t="shared" si="67"/>
        <v>78989</v>
      </c>
      <c r="B1416" t="str">
        <f ca="1">TEXT(DATE(YEAR(Invoer!$A$5),1,1)+INT((ROWS(B$2:B1416)-1)/24),"""18""jjmmdd")</f>
        <v>18980228</v>
      </c>
      <c r="C1416" s="11" t="str">
        <f>INDEX(Data,2,2+MOD(ROWS(C$2:C1416)-1,24))</f>
        <v>23.00</v>
      </c>
      <c r="D1416" s="8" t="str">
        <f t="shared" ca="1" si="68"/>
        <v>—</v>
      </c>
      <c r="E1416" s="16">
        <f t="shared" ca="1" si="69"/>
        <v>7</v>
      </c>
    </row>
    <row r="1417" spans="1:5" x14ac:dyDescent="0.25">
      <c r="A1417" s="3">
        <f t="shared" si="67"/>
        <v>78989</v>
      </c>
      <c r="B1417" t="str">
        <f ca="1">TEXT(DATE(YEAR(Invoer!$A$5),1,1)+INT((ROWS(B$2:B1417)-1)/24),"""18""jjmmdd")</f>
        <v>18980228</v>
      </c>
      <c r="C1417" s="11" t="str">
        <f>INDEX(Data,2,2+MOD(ROWS(C$2:C1417)-1,24))</f>
        <v>24.00</v>
      </c>
      <c r="D1417" s="8" t="str">
        <f t="shared" ca="1" si="68"/>
        <v>—</v>
      </c>
      <c r="E1417" s="16">
        <f t="shared" ca="1" si="69"/>
        <v>7</v>
      </c>
    </row>
    <row r="1418" spans="1:5" x14ac:dyDescent="0.25">
      <c r="A1418" s="3">
        <f t="shared" si="67"/>
        <v>78989</v>
      </c>
      <c r="B1418" t="str">
        <f ca="1">TEXT(DATE(YEAR(Invoer!$A$5),1,1)+INT((ROWS(B$2:B1418)-1)/24),"""18""jjmmdd")</f>
        <v>18980301</v>
      </c>
      <c r="C1418" s="11" t="str">
        <f>INDEX(Data,2,2+MOD(ROWS(C$2:C1418)-1,24))</f>
        <v>01.00</v>
      </c>
      <c r="D1418" s="8" t="str">
        <f t="shared" ca="1" si="68"/>
        <v>—</v>
      </c>
      <c r="E1418" s="16">
        <f t="shared" ca="1" si="69"/>
        <v>7</v>
      </c>
    </row>
    <row r="1419" spans="1:5" x14ac:dyDescent="0.25">
      <c r="A1419" s="3">
        <f t="shared" si="67"/>
        <v>78989</v>
      </c>
      <c r="B1419" t="str">
        <f ca="1">TEXT(DATE(YEAR(Invoer!$A$5),1,1)+INT((ROWS(B$2:B1419)-1)/24),"""18""jjmmdd")</f>
        <v>18980301</v>
      </c>
      <c r="C1419" s="11" t="str">
        <f>INDEX(Data,2,2+MOD(ROWS(C$2:C1419)-1,24))</f>
        <v>02.00</v>
      </c>
      <c r="D1419" s="8" t="str">
        <f t="shared" ca="1" si="68"/>
        <v>—</v>
      </c>
      <c r="E1419" s="16">
        <f t="shared" ca="1" si="69"/>
        <v>7</v>
      </c>
    </row>
    <row r="1420" spans="1:5" x14ac:dyDescent="0.25">
      <c r="A1420" s="3">
        <f t="shared" si="67"/>
        <v>78989</v>
      </c>
      <c r="B1420" t="str">
        <f ca="1">TEXT(DATE(YEAR(Invoer!$A$5),1,1)+INT((ROWS(B$2:B1420)-1)/24),"""18""jjmmdd")</f>
        <v>18980301</v>
      </c>
      <c r="C1420" s="11" t="str">
        <f>INDEX(Data,2,2+MOD(ROWS(C$2:C1420)-1,24))</f>
        <v>03.00</v>
      </c>
      <c r="D1420" s="8" t="str">
        <f t="shared" ca="1" si="68"/>
        <v>—</v>
      </c>
      <c r="E1420" s="16">
        <f t="shared" ca="1" si="69"/>
        <v>7</v>
      </c>
    </row>
    <row r="1421" spans="1:5" x14ac:dyDescent="0.25">
      <c r="A1421" s="3">
        <f t="shared" si="67"/>
        <v>78989</v>
      </c>
      <c r="B1421" t="str">
        <f ca="1">TEXT(DATE(YEAR(Invoer!$A$5),1,1)+INT((ROWS(B$2:B1421)-1)/24),"""18""jjmmdd")</f>
        <v>18980301</v>
      </c>
      <c r="C1421" s="11" t="str">
        <f>INDEX(Data,2,2+MOD(ROWS(C$2:C1421)-1,24))</f>
        <v>04.00</v>
      </c>
      <c r="D1421" s="8" t="str">
        <f t="shared" ca="1" si="68"/>
        <v>—</v>
      </c>
      <c r="E1421" s="16">
        <f t="shared" ca="1" si="69"/>
        <v>7</v>
      </c>
    </row>
    <row r="1422" spans="1:5" x14ac:dyDescent="0.25">
      <c r="A1422" s="3">
        <f t="shared" si="67"/>
        <v>78989</v>
      </c>
      <c r="B1422" t="str">
        <f ca="1">TEXT(DATE(YEAR(Invoer!$A$5),1,1)+INT((ROWS(B$2:B1422)-1)/24),"""18""jjmmdd")</f>
        <v>18980301</v>
      </c>
      <c r="C1422" s="11" t="str">
        <f>INDEX(Data,2,2+MOD(ROWS(C$2:C1422)-1,24))</f>
        <v>05.00</v>
      </c>
      <c r="D1422" s="8" t="str">
        <f t="shared" ca="1" si="68"/>
        <v>—</v>
      </c>
      <c r="E1422" s="16">
        <f t="shared" ca="1" si="69"/>
        <v>7</v>
      </c>
    </row>
    <row r="1423" spans="1:5" x14ac:dyDescent="0.25">
      <c r="A1423" s="3">
        <f t="shared" si="67"/>
        <v>78989</v>
      </c>
      <c r="B1423" t="str">
        <f ca="1">TEXT(DATE(YEAR(Invoer!$A$5),1,1)+INT((ROWS(B$2:B1423)-1)/24),"""18""jjmmdd")</f>
        <v>18980301</v>
      </c>
      <c r="C1423" s="11" t="str">
        <f>INDEX(Data,2,2+MOD(ROWS(C$2:C1423)-1,24))</f>
        <v>06.00</v>
      </c>
      <c r="D1423" s="8" t="str">
        <f t="shared" ca="1" si="68"/>
        <v>—</v>
      </c>
      <c r="E1423" s="16">
        <f t="shared" ca="1" si="69"/>
        <v>7</v>
      </c>
    </row>
    <row r="1424" spans="1:5" x14ac:dyDescent="0.25">
      <c r="A1424" s="3">
        <f t="shared" si="67"/>
        <v>78989</v>
      </c>
      <c r="B1424" t="str">
        <f ca="1">TEXT(DATE(YEAR(Invoer!$A$5),1,1)+INT((ROWS(B$2:B1424)-1)/24),"""18""jjmmdd")</f>
        <v>18980301</v>
      </c>
      <c r="C1424" s="11" t="str">
        <f>INDEX(Data,2,2+MOD(ROWS(C$2:C1424)-1,24))</f>
        <v>07.00</v>
      </c>
      <c r="D1424" s="8" t="str">
        <f t="shared" ca="1" si="68"/>
        <v>—</v>
      </c>
      <c r="E1424" s="16">
        <f t="shared" ca="1" si="69"/>
        <v>7</v>
      </c>
    </row>
    <row r="1425" spans="1:5" x14ac:dyDescent="0.25">
      <c r="A1425" s="3">
        <f t="shared" si="67"/>
        <v>78989</v>
      </c>
      <c r="B1425" t="str">
        <f ca="1">TEXT(DATE(YEAR(Invoer!$A$5),1,1)+INT((ROWS(B$2:B1425)-1)/24),"""18""jjmmdd")</f>
        <v>18980301</v>
      </c>
      <c r="C1425" s="11" t="str">
        <f>INDEX(Data,2,2+MOD(ROWS(C$2:C1425)-1,24))</f>
        <v>08.00</v>
      </c>
      <c r="D1425" s="8" t="str">
        <f t="shared" ca="1" si="68"/>
        <v>—</v>
      </c>
      <c r="E1425" s="16">
        <f t="shared" ca="1" si="69"/>
        <v>7</v>
      </c>
    </row>
    <row r="1426" spans="1:5" x14ac:dyDescent="0.25">
      <c r="A1426" s="3">
        <f t="shared" si="67"/>
        <v>78989</v>
      </c>
      <c r="B1426" t="str">
        <f ca="1">TEXT(DATE(YEAR(Invoer!$A$5),1,1)+INT((ROWS(B$2:B1426)-1)/24),"""18""jjmmdd")</f>
        <v>18980301</v>
      </c>
      <c r="C1426" s="11" t="str">
        <f>INDEX(Data,2,2+MOD(ROWS(C$2:C1426)-1,24))</f>
        <v>09.00</v>
      </c>
      <c r="D1426" s="8" t="str">
        <f t="shared" ca="1" si="68"/>
        <v>—</v>
      </c>
      <c r="E1426" s="16">
        <f t="shared" ca="1" si="69"/>
        <v>7</v>
      </c>
    </row>
    <row r="1427" spans="1:5" x14ac:dyDescent="0.25">
      <c r="A1427" s="3">
        <f t="shared" si="67"/>
        <v>78989</v>
      </c>
      <c r="B1427" t="str">
        <f ca="1">TEXT(DATE(YEAR(Invoer!$A$5),1,1)+INT((ROWS(B$2:B1427)-1)/24),"""18""jjmmdd")</f>
        <v>18980301</v>
      </c>
      <c r="C1427" s="11" t="str">
        <f>INDEX(Data,2,2+MOD(ROWS(C$2:C1427)-1,24))</f>
        <v>10.00</v>
      </c>
      <c r="D1427" s="8" t="str">
        <f t="shared" ca="1" si="68"/>
        <v>—</v>
      </c>
      <c r="E1427" s="16">
        <f t="shared" ca="1" si="69"/>
        <v>7</v>
      </c>
    </row>
    <row r="1428" spans="1:5" x14ac:dyDescent="0.25">
      <c r="A1428" s="3">
        <f t="shared" si="67"/>
        <v>78989</v>
      </c>
      <c r="B1428" t="str">
        <f ca="1">TEXT(DATE(YEAR(Invoer!$A$5),1,1)+INT((ROWS(B$2:B1428)-1)/24),"""18""jjmmdd")</f>
        <v>18980301</v>
      </c>
      <c r="C1428" s="11" t="str">
        <f>INDEX(Data,2,2+MOD(ROWS(C$2:C1428)-1,24))</f>
        <v>11.00</v>
      </c>
      <c r="D1428" s="8" t="str">
        <f t="shared" ca="1" si="68"/>
        <v>—</v>
      </c>
      <c r="E1428" s="16">
        <f t="shared" ca="1" si="69"/>
        <v>7</v>
      </c>
    </row>
    <row r="1429" spans="1:5" x14ac:dyDescent="0.25">
      <c r="A1429" s="3">
        <f t="shared" si="67"/>
        <v>78989</v>
      </c>
      <c r="B1429" t="str">
        <f ca="1">TEXT(DATE(YEAR(Invoer!$A$5),1,1)+INT((ROWS(B$2:B1429)-1)/24),"""18""jjmmdd")</f>
        <v>18980301</v>
      </c>
      <c r="C1429" s="11" t="str">
        <f>INDEX(Data,2,2+MOD(ROWS(C$2:C1429)-1,24))</f>
        <v>12.00</v>
      </c>
      <c r="D1429" s="8" t="str">
        <f t="shared" ca="1" si="68"/>
        <v>—</v>
      </c>
      <c r="E1429" s="16">
        <f t="shared" ca="1" si="69"/>
        <v>7</v>
      </c>
    </row>
    <row r="1430" spans="1:5" x14ac:dyDescent="0.25">
      <c r="A1430" s="3">
        <f t="shared" si="67"/>
        <v>78989</v>
      </c>
      <c r="B1430" t="str">
        <f ca="1">TEXT(DATE(YEAR(Invoer!$A$5),1,1)+INT((ROWS(B$2:B1430)-1)/24),"""18""jjmmdd")</f>
        <v>18980301</v>
      </c>
      <c r="C1430" s="11" t="str">
        <f>INDEX(Data,2,2+MOD(ROWS(C$2:C1430)-1,24))</f>
        <v>13.00</v>
      </c>
      <c r="D1430" s="8" t="str">
        <f t="shared" ca="1" si="68"/>
        <v>—</v>
      </c>
      <c r="E1430" s="16">
        <f t="shared" ca="1" si="69"/>
        <v>7</v>
      </c>
    </row>
    <row r="1431" spans="1:5" x14ac:dyDescent="0.25">
      <c r="A1431" s="3">
        <f t="shared" si="67"/>
        <v>78989</v>
      </c>
      <c r="B1431" t="str">
        <f ca="1">TEXT(DATE(YEAR(Invoer!$A$5),1,1)+INT((ROWS(B$2:B1431)-1)/24),"""18""jjmmdd")</f>
        <v>18980301</v>
      </c>
      <c r="C1431" s="11" t="str">
        <f>INDEX(Data,2,2+MOD(ROWS(C$2:C1431)-1,24))</f>
        <v>14.00</v>
      </c>
      <c r="D1431" s="8" t="str">
        <f t="shared" ca="1" si="68"/>
        <v>—</v>
      </c>
      <c r="E1431" s="16">
        <f t="shared" ca="1" si="69"/>
        <v>7</v>
      </c>
    </row>
    <row r="1432" spans="1:5" x14ac:dyDescent="0.25">
      <c r="A1432" s="3">
        <f t="shared" si="67"/>
        <v>78989</v>
      </c>
      <c r="B1432" t="str">
        <f ca="1">TEXT(DATE(YEAR(Invoer!$A$5),1,1)+INT((ROWS(B$2:B1432)-1)/24),"""18""jjmmdd")</f>
        <v>18980301</v>
      </c>
      <c r="C1432" s="11" t="str">
        <f>INDEX(Data,2,2+MOD(ROWS(C$2:C1432)-1,24))</f>
        <v>15.00</v>
      </c>
      <c r="D1432" s="8" t="str">
        <f t="shared" ca="1" si="68"/>
        <v>—</v>
      </c>
      <c r="E1432" s="16">
        <f t="shared" ca="1" si="69"/>
        <v>7</v>
      </c>
    </row>
    <row r="1433" spans="1:5" x14ac:dyDescent="0.25">
      <c r="A1433" s="3">
        <f t="shared" si="67"/>
        <v>78989</v>
      </c>
      <c r="B1433" t="str">
        <f ca="1">TEXT(DATE(YEAR(Invoer!$A$5),1,1)+INT((ROWS(B$2:B1433)-1)/24),"""18""jjmmdd")</f>
        <v>18980301</v>
      </c>
      <c r="C1433" s="11" t="str">
        <f>INDEX(Data,2,2+MOD(ROWS(C$2:C1433)-1,24))</f>
        <v>16.00</v>
      </c>
      <c r="D1433" s="8" t="str">
        <f t="shared" ca="1" si="68"/>
        <v>—</v>
      </c>
      <c r="E1433" s="16">
        <f t="shared" ca="1" si="69"/>
        <v>7</v>
      </c>
    </row>
    <row r="1434" spans="1:5" x14ac:dyDescent="0.25">
      <c r="A1434" s="3">
        <f t="shared" si="67"/>
        <v>78989</v>
      </c>
      <c r="B1434" t="str">
        <f ca="1">TEXT(DATE(YEAR(Invoer!$A$5),1,1)+INT((ROWS(B$2:B1434)-1)/24),"""18""jjmmdd")</f>
        <v>18980301</v>
      </c>
      <c r="C1434" s="11" t="str">
        <f>INDEX(Data,2,2+MOD(ROWS(C$2:C1434)-1,24))</f>
        <v>17.00</v>
      </c>
      <c r="D1434" s="8" t="str">
        <f t="shared" ca="1" si="68"/>
        <v>—</v>
      </c>
      <c r="E1434" s="16">
        <f t="shared" ca="1" si="69"/>
        <v>7</v>
      </c>
    </row>
    <row r="1435" spans="1:5" x14ac:dyDescent="0.25">
      <c r="A1435" s="3">
        <f t="shared" si="67"/>
        <v>78989</v>
      </c>
      <c r="B1435" t="str">
        <f ca="1">TEXT(DATE(YEAR(Invoer!$A$5),1,1)+INT((ROWS(B$2:B1435)-1)/24),"""18""jjmmdd")</f>
        <v>18980301</v>
      </c>
      <c r="C1435" s="11" t="str">
        <f>INDEX(Data,2,2+MOD(ROWS(C$2:C1435)-1,24))</f>
        <v>18.00</v>
      </c>
      <c r="D1435" s="8" t="str">
        <f t="shared" ca="1" si="68"/>
        <v>—</v>
      </c>
      <c r="E1435" s="16">
        <f t="shared" ca="1" si="69"/>
        <v>7</v>
      </c>
    </row>
    <row r="1436" spans="1:5" x14ac:dyDescent="0.25">
      <c r="A1436" s="3">
        <f t="shared" si="67"/>
        <v>78989</v>
      </c>
      <c r="B1436" t="str">
        <f ca="1">TEXT(DATE(YEAR(Invoer!$A$5),1,1)+INT((ROWS(B$2:B1436)-1)/24),"""18""jjmmdd")</f>
        <v>18980301</v>
      </c>
      <c r="C1436" s="11" t="str">
        <f>INDEX(Data,2,2+MOD(ROWS(C$2:C1436)-1,24))</f>
        <v>19.00</v>
      </c>
      <c r="D1436" s="8" t="str">
        <f t="shared" ca="1" si="68"/>
        <v>—</v>
      </c>
      <c r="E1436" s="16">
        <f t="shared" ca="1" si="69"/>
        <v>7</v>
      </c>
    </row>
    <row r="1437" spans="1:5" x14ac:dyDescent="0.25">
      <c r="A1437" s="3">
        <f t="shared" si="67"/>
        <v>78989</v>
      </c>
      <c r="B1437" t="str">
        <f ca="1">TEXT(DATE(YEAR(Invoer!$A$5),1,1)+INT((ROWS(B$2:B1437)-1)/24),"""18""jjmmdd")</f>
        <v>18980301</v>
      </c>
      <c r="C1437" s="11" t="str">
        <f>INDEX(Data,2,2+MOD(ROWS(C$2:C1437)-1,24))</f>
        <v>20.00</v>
      </c>
      <c r="D1437" s="8" t="str">
        <f t="shared" ca="1" si="68"/>
        <v>—</v>
      </c>
      <c r="E1437" s="16">
        <f t="shared" ca="1" si="69"/>
        <v>7</v>
      </c>
    </row>
    <row r="1438" spans="1:5" x14ac:dyDescent="0.25">
      <c r="A1438" s="3">
        <f t="shared" si="67"/>
        <v>78989</v>
      </c>
      <c r="B1438" t="str">
        <f ca="1">TEXT(DATE(YEAR(Invoer!$A$5),1,1)+INT((ROWS(B$2:B1438)-1)/24),"""18""jjmmdd")</f>
        <v>18980301</v>
      </c>
      <c r="C1438" s="11" t="str">
        <f>INDEX(Data,2,2+MOD(ROWS(C$2:C1438)-1,24))</f>
        <v>21.00</v>
      </c>
      <c r="D1438" s="8" t="str">
        <f t="shared" ca="1" si="68"/>
        <v>—</v>
      </c>
      <c r="E1438" s="16">
        <f t="shared" ca="1" si="69"/>
        <v>7</v>
      </c>
    </row>
    <row r="1439" spans="1:5" x14ac:dyDescent="0.25">
      <c r="A1439" s="3">
        <f t="shared" si="67"/>
        <v>78989</v>
      </c>
      <c r="B1439" t="str">
        <f ca="1">TEXT(DATE(YEAR(Invoer!$A$5),1,1)+INT((ROWS(B$2:B1439)-1)/24),"""18""jjmmdd")</f>
        <v>18980301</v>
      </c>
      <c r="C1439" s="11" t="str">
        <f>INDEX(Data,2,2+MOD(ROWS(C$2:C1439)-1,24))</f>
        <v>22.00</v>
      </c>
      <c r="D1439" s="8" t="str">
        <f t="shared" ca="1" si="68"/>
        <v>—</v>
      </c>
      <c r="E1439" s="16">
        <f t="shared" ca="1" si="69"/>
        <v>7</v>
      </c>
    </row>
    <row r="1440" spans="1:5" x14ac:dyDescent="0.25">
      <c r="A1440" s="3">
        <f t="shared" si="67"/>
        <v>78989</v>
      </c>
      <c r="B1440" t="str">
        <f ca="1">TEXT(DATE(YEAR(Invoer!$A$5),1,1)+INT((ROWS(B$2:B1440)-1)/24),"""18""jjmmdd")</f>
        <v>18980301</v>
      </c>
      <c r="C1440" s="11" t="str">
        <f>INDEX(Data,2,2+MOD(ROWS(C$2:C1440)-1,24))</f>
        <v>23.00</v>
      </c>
      <c r="D1440" s="8" t="str">
        <f t="shared" ca="1" si="68"/>
        <v>—</v>
      </c>
      <c r="E1440" s="16">
        <f t="shared" ca="1" si="69"/>
        <v>7</v>
      </c>
    </row>
    <row r="1441" spans="1:5" x14ac:dyDescent="0.25">
      <c r="A1441" s="3">
        <f t="shared" si="67"/>
        <v>78989</v>
      </c>
      <c r="B1441" t="str">
        <f ca="1">TEXT(DATE(YEAR(Invoer!$A$5),1,1)+INT((ROWS(B$2:B1441)-1)/24),"""18""jjmmdd")</f>
        <v>18980301</v>
      </c>
      <c r="C1441" s="11" t="str">
        <f>INDEX(Data,2,2+MOD(ROWS(C$2:C1441)-1,24))</f>
        <v>24.00</v>
      </c>
      <c r="D1441" s="8" t="str">
        <f t="shared" ca="1" si="68"/>
        <v>—</v>
      </c>
      <c r="E1441" s="16">
        <f t="shared" ca="1" si="69"/>
        <v>7</v>
      </c>
    </row>
    <row r="1442" spans="1:5" x14ac:dyDescent="0.25">
      <c r="A1442" s="3">
        <f t="shared" si="67"/>
        <v>78989</v>
      </c>
      <c r="B1442" t="str">
        <f ca="1">TEXT(DATE(YEAR(Invoer!$A$5),1,1)+INT((ROWS(B$2:B1442)-1)/24),"""18""jjmmdd")</f>
        <v>18980302</v>
      </c>
      <c r="C1442" s="11" t="str">
        <f>INDEX(Data,2,2+MOD(ROWS(C$2:C1442)-1,24))</f>
        <v>01.00</v>
      </c>
      <c r="D1442" s="8" t="str">
        <f t="shared" ca="1" si="68"/>
        <v>—</v>
      </c>
      <c r="E1442" s="16">
        <f t="shared" ca="1" si="69"/>
        <v>7</v>
      </c>
    </row>
    <row r="1443" spans="1:5" x14ac:dyDescent="0.25">
      <c r="A1443" s="3">
        <f t="shared" si="67"/>
        <v>78989</v>
      </c>
      <c r="B1443" t="str">
        <f ca="1">TEXT(DATE(YEAR(Invoer!$A$5),1,1)+INT((ROWS(B$2:B1443)-1)/24),"""18""jjmmdd")</f>
        <v>18980302</v>
      </c>
      <c r="C1443" s="11" t="str">
        <f>INDEX(Data,2,2+MOD(ROWS(C$2:C1443)-1,24))</f>
        <v>02.00</v>
      </c>
      <c r="D1443" s="8" t="str">
        <f t="shared" ca="1" si="68"/>
        <v>—</v>
      </c>
      <c r="E1443" s="16">
        <f t="shared" ca="1" si="69"/>
        <v>7</v>
      </c>
    </row>
    <row r="1444" spans="1:5" x14ac:dyDescent="0.25">
      <c r="A1444" s="3">
        <f t="shared" si="67"/>
        <v>78989</v>
      </c>
      <c r="B1444" t="str">
        <f ca="1">TEXT(DATE(YEAR(Invoer!$A$5),1,1)+INT((ROWS(B$2:B1444)-1)/24),"""18""jjmmdd")</f>
        <v>18980302</v>
      </c>
      <c r="C1444" s="11" t="str">
        <f>INDEX(Data,2,2+MOD(ROWS(C$2:C1444)-1,24))</f>
        <v>03.00</v>
      </c>
      <c r="D1444" s="8" t="str">
        <f t="shared" ca="1" si="68"/>
        <v>—</v>
      </c>
      <c r="E1444" s="16">
        <f t="shared" ca="1" si="69"/>
        <v>7</v>
      </c>
    </row>
    <row r="1445" spans="1:5" x14ac:dyDescent="0.25">
      <c r="A1445" s="3">
        <f t="shared" si="67"/>
        <v>78989</v>
      </c>
      <c r="B1445" t="str">
        <f ca="1">TEXT(DATE(YEAR(Invoer!$A$5),1,1)+INT((ROWS(B$2:B1445)-1)/24),"""18""jjmmdd")</f>
        <v>18980302</v>
      </c>
      <c r="C1445" s="11" t="str">
        <f>INDEX(Data,2,2+MOD(ROWS(C$2:C1445)-1,24))</f>
        <v>04.00</v>
      </c>
      <c r="D1445" s="8" t="str">
        <f t="shared" ca="1" si="68"/>
        <v>—</v>
      </c>
      <c r="E1445" s="16">
        <f t="shared" ca="1" si="69"/>
        <v>7</v>
      </c>
    </row>
    <row r="1446" spans="1:5" x14ac:dyDescent="0.25">
      <c r="A1446" s="3">
        <f t="shared" si="67"/>
        <v>78989</v>
      </c>
      <c r="B1446" t="str">
        <f ca="1">TEXT(DATE(YEAR(Invoer!$A$5),1,1)+INT((ROWS(B$2:B1446)-1)/24),"""18""jjmmdd")</f>
        <v>18980302</v>
      </c>
      <c r="C1446" s="11" t="str">
        <f>INDEX(Data,2,2+MOD(ROWS(C$2:C1446)-1,24))</f>
        <v>05.00</v>
      </c>
      <c r="D1446" s="8" t="str">
        <f t="shared" ca="1" si="68"/>
        <v>—</v>
      </c>
      <c r="E1446" s="16">
        <f t="shared" ca="1" si="69"/>
        <v>7</v>
      </c>
    </row>
    <row r="1447" spans="1:5" x14ac:dyDescent="0.25">
      <c r="A1447" s="3">
        <f t="shared" si="67"/>
        <v>78989</v>
      </c>
      <c r="B1447" t="str">
        <f ca="1">TEXT(DATE(YEAR(Invoer!$A$5),1,1)+INT((ROWS(B$2:B1447)-1)/24),"""18""jjmmdd")</f>
        <v>18980302</v>
      </c>
      <c r="C1447" s="11" t="str">
        <f>INDEX(Data,2,2+MOD(ROWS(C$2:C1447)-1,24))</f>
        <v>06.00</v>
      </c>
      <c r="D1447" s="8" t="str">
        <f t="shared" ca="1" si="68"/>
        <v>—</v>
      </c>
      <c r="E1447" s="16">
        <f t="shared" ca="1" si="69"/>
        <v>7</v>
      </c>
    </row>
    <row r="1448" spans="1:5" x14ac:dyDescent="0.25">
      <c r="A1448" s="3">
        <f t="shared" si="67"/>
        <v>78989</v>
      </c>
      <c r="B1448" t="str">
        <f ca="1">TEXT(DATE(YEAR(Invoer!$A$5),1,1)+INT((ROWS(B$2:B1448)-1)/24),"""18""jjmmdd")</f>
        <v>18980302</v>
      </c>
      <c r="C1448" s="11" t="str">
        <f>INDEX(Data,2,2+MOD(ROWS(C$2:C1448)-1,24))</f>
        <v>07.00</v>
      </c>
      <c r="D1448" s="8" t="str">
        <f t="shared" ca="1" si="68"/>
        <v>—</v>
      </c>
      <c r="E1448" s="16">
        <f t="shared" ca="1" si="69"/>
        <v>7</v>
      </c>
    </row>
    <row r="1449" spans="1:5" x14ac:dyDescent="0.25">
      <c r="A1449" s="3">
        <f t="shared" si="67"/>
        <v>78989</v>
      </c>
      <c r="B1449" t="str">
        <f ca="1">TEXT(DATE(YEAR(Invoer!$A$5),1,1)+INT((ROWS(B$2:B1449)-1)/24),"""18""jjmmdd")</f>
        <v>18980302</v>
      </c>
      <c r="C1449" s="11" t="str">
        <f>INDEX(Data,2,2+MOD(ROWS(C$2:C1449)-1,24))</f>
        <v>08.00</v>
      </c>
      <c r="D1449" s="8" t="str">
        <f t="shared" ca="1" si="68"/>
        <v>—</v>
      </c>
      <c r="E1449" s="16">
        <f t="shared" ca="1" si="69"/>
        <v>7</v>
      </c>
    </row>
    <row r="1450" spans="1:5" x14ac:dyDescent="0.25">
      <c r="A1450" s="3">
        <f t="shared" si="67"/>
        <v>78989</v>
      </c>
      <c r="B1450" t="str">
        <f ca="1">TEXT(DATE(YEAR(Invoer!$A$5),1,1)+INT((ROWS(B$2:B1450)-1)/24),"""18""jjmmdd")</f>
        <v>18980302</v>
      </c>
      <c r="C1450" s="11" t="str">
        <f>INDEX(Data,2,2+MOD(ROWS(C$2:C1450)-1,24))</f>
        <v>09.00</v>
      </c>
      <c r="D1450" s="8" t="str">
        <f t="shared" ca="1" si="68"/>
        <v>—</v>
      </c>
      <c r="E1450" s="16">
        <f t="shared" ca="1" si="69"/>
        <v>7</v>
      </c>
    </row>
    <row r="1451" spans="1:5" x14ac:dyDescent="0.25">
      <c r="A1451" s="3">
        <f t="shared" si="67"/>
        <v>78989</v>
      </c>
      <c r="B1451" t="str">
        <f ca="1">TEXT(DATE(YEAR(Invoer!$A$5),1,1)+INT((ROWS(B$2:B1451)-1)/24),"""18""jjmmdd")</f>
        <v>18980302</v>
      </c>
      <c r="C1451" s="11" t="str">
        <f>INDEX(Data,2,2+MOD(ROWS(C$2:C1451)-1,24))</f>
        <v>10.00</v>
      </c>
      <c r="D1451" s="8" t="str">
        <f t="shared" ca="1" si="68"/>
        <v>—</v>
      </c>
      <c r="E1451" s="16">
        <f t="shared" ca="1" si="69"/>
        <v>7</v>
      </c>
    </row>
    <row r="1452" spans="1:5" x14ac:dyDescent="0.25">
      <c r="A1452" s="3">
        <f t="shared" si="67"/>
        <v>78989</v>
      </c>
      <c r="B1452" t="str">
        <f ca="1">TEXT(DATE(YEAR(Invoer!$A$5),1,1)+INT((ROWS(B$2:B1452)-1)/24),"""18""jjmmdd")</f>
        <v>18980302</v>
      </c>
      <c r="C1452" s="11" t="str">
        <f>INDEX(Data,2,2+MOD(ROWS(C$2:C1452)-1,24))</f>
        <v>11.00</v>
      </c>
      <c r="D1452" s="8" t="str">
        <f t="shared" ca="1" si="68"/>
        <v>—</v>
      </c>
      <c r="E1452" s="16">
        <f t="shared" ca="1" si="69"/>
        <v>7</v>
      </c>
    </row>
    <row r="1453" spans="1:5" x14ac:dyDescent="0.25">
      <c r="A1453" s="3">
        <f t="shared" si="67"/>
        <v>78989</v>
      </c>
      <c r="B1453" t="str">
        <f ca="1">TEXT(DATE(YEAR(Invoer!$A$5),1,1)+INT((ROWS(B$2:B1453)-1)/24),"""18""jjmmdd")</f>
        <v>18980302</v>
      </c>
      <c r="C1453" s="11" t="str">
        <f>INDEX(Data,2,2+MOD(ROWS(C$2:C1453)-1,24))</f>
        <v>12.00</v>
      </c>
      <c r="D1453" s="8" t="str">
        <f t="shared" ca="1" si="68"/>
        <v>—</v>
      </c>
      <c r="E1453" s="16">
        <f t="shared" ca="1" si="69"/>
        <v>7</v>
      </c>
    </row>
    <row r="1454" spans="1:5" x14ac:dyDescent="0.25">
      <c r="A1454" s="3">
        <f t="shared" si="67"/>
        <v>78989</v>
      </c>
      <c r="B1454" t="str">
        <f ca="1">TEXT(DATE(YEAR(Invoer!$A$5),1,1)+INT((ROWS(B$2:B1454)-1)/24),"""18""jjmmdd")</f>
        <v>18980302</v>
      </c>
      <c r="C1454" s="11" t="str">
        <f>INDEX(Data,2,2+MOD(ROWS(C$2:C1454)-1,24))</f>
        <v>13.00</v>
      </c>
      <c r="D1454" s="8" t="str">
        <f t="shared" ca="1" si="68"/>
        <v>—</v>
      </c>
      <c r="E1454" s="16">
        <f t="shared" ca="1" si="69"/>
        <v>7</v>
      </c>
    </row>
    <row r="1455" spans="1:5" x14ac:dyDescent="0.25">
      <c r="A1455" s="3">
        <f t="shared" si="67"/>
        <v>78989</v>
      </c>
      <c r="B1455" t="str">
        <f ca="1">TEXT(DATE(YEAR(Invoer!$A$5),1,1)+INT((ROWS(B$2:B1455)-1)/24),"""18""jjmmdd")</f>
        <v>18980302</v>
      </c>
      <c r="C1455" s="11" t="str">
        <f>INDEX(Data,2,2+MOD(ROWS(C$2:C1455)-1,24))</f>
        <v>14.00</v>
      </c>
      <c r="D1455" s="8" t="str">
        <f t="shared" ca="1" si="68"/>
        <v>—</v>
      </c>
      <c r="E1455" s="16">
        <f t="shared" ca="1" si="69"/>
        <v>7</v>
      </c>
    </row>
    <row r="1456" spans="1:5" x14ac:dyDescent="0.25">
      <c r="A1456" s="3">
        <f t="shared" si="67"/>
        <v>78989</v>
      </c>
      <c r="B1456" t="str">
        <f ca="1">TEXT(DATE(YEAR(Invoer!$A$5),1,1)+INT((ROWS(B$2:B1456)-1)/24),"""18""jjmmdd")</f>
        <v>18980302</v>
      </c>
      <c r="C1456" s="11" t="str">
        <f>INDEX(Data,2,2+MOD(ROWS(C$2:C1456)-1,24))</f>
        <v>15.00</v>
      </c>
      <c r="D1456" s="8" t="str">
        <f t="shared" ca="1" si="68"/>
        <v>—</v>
      </c>
      <c r="E1456" s="16">
        <f t="shared" ca="1" si="69"/>
        <v>7</v>
      </c>
    </row>
    <row r="1457" spans="1:5" x14ac:dyDescent="0.25">
      <c r="A1457" s="3">
        <f t="shared" si="67"/>
        <v>78989</v>
      </c>
      <c r="B1457" t="str">
        <f ca="1">TEXT(DATE(YEAR(Invoer!$A$5),1,1)+INT((ROWS(B$2:B1457)-1)/24),"""18""jjmmdd")</f>
        <v>18980302</v>
      </c>
      <c r="C1457" s="11" t="str">
        <f>INDEX(Data,2,2+MOD(ROWS(C$2:C1457)-1,24))</f>
        <v>16.00</v>
      </c>
      <c r="D1457" s="8" t="str">
        <f t="shared" ca="1" si="68"/>
        <v>—</v>
      </c>
      <c r="E1457" s="16">
        <f t="shared" ca="1" si="69"/>
        <v>7</v>
      </c>
    </row>
    <row r="1458" spans="1:5" x14ac:dyDescent="0.25">
      <c r="A1458" s="3">
        <f t="shared" si="67"/>
        <v>78989</v>
      </c>
      <c r="B1458" t="str">
        <f ca="1">TEXT(DATE(YEAR(Invoer!$A$5),1,1)+INT((ROWS(B$2:B1458)-1)/24),"""18""jjmmdd")</f>
        <v>18980302</v>
      </c>
      <c r="C1458" s="11" t="str">
        <f>INDEX(Data,2,2+MOD(ROWS(C$2:C1458)-1,24))</f>
        <v>17.00</v>
      </c>
      <c r="D1458" s="8" t="str">
        <f t="shared" ca="1" si="68"/>
        <v>—</v>
      </c>
      <c r="E1458" s="16">
        <f t="shared" ca="1" si="69"/>
        <v>7</v>
      </c>
    </row>
    <row r="1459" spans="1:5" x14ac:dyDescent="0.25">
      <c r="A1459" s="3">
        <f t="shared" si="67"/>
        <v>78989</v>
      </c>
      <c r="B1459" t="str">
        <f ca="1">TEXT(DATE(YEAR(Invoer!$A$5),1,1)+INT((ROWS(B$2:B1459)-1)/24),"""18""jjmmdd")</f>
        <v>18980302</v>
      </c>
      <c r="C1459" s="11" t="str">
        <f>INDEX(Data,2,2+MOD(ROWS(C$2:C1459)-1,24))</f>
        <v>18.00</v>
      </c>
      <c r="D1459" s="8" t="str">
        <f t="shared" ca="1" si="68"/>
        <v>—</v>
      </c>
      <c r="E1459" s="16">
        <f t="shared" ca="1" si="69"/>
        <v>7</v>
      </c>
    </row>
    <row r="1460" spans="1:5" x14ac:dyDescent="0.25">
      <c r="A1460" s="3">
        <f t="shared" si="67"/>
        <v>78989</v>
      </c>
      <c r="B1460" t="str">
        <f ca="1">TEXT(DATE(YEAR(Invoer!$A$5),1,1)+INT((ROWS(B$2:B1460)-1)/24),"""18""jjmmdd")</f>
        <v>18980302</v>
      </c>
      <c r="C1460" s="11" t="str">
        <f>INDEX(Data,2,2+MOD(ROWS(C$2:C1460)-1,24))</f>
        <v>19.00</v>
      </c>
      <c r="D1460" s="8" t="str">
        <f t="shared" ca="1" si="68"/>
        <v>—</v>
      </c>
      <c r="E1460" s="16">
        <f t="shared" ca="1" si="69"/>
        <v>7</v>
      </c>
    </row>
    <row r="1461" spans="1:5" x14ac:dyDescent="0.25">
      <c r="A1461" s="3">
        <f t="shared" si="67"/>
        <v>78989</v>
      </c>
      <c r="B1461" t="str">
        <f ca="1">TEXT(DATE(YEAR(Invoer!$A$5),1,1)+INT((ROWS(B$2:B1461)-1)/24),"""18""jjmmdd")</f>
        <v>18980302</v>
      </c>
      <c r="C1461" s="11" t="str">
        <f>INDEX(Data,2,2+MOD(ROWS(C$2:C1461)-1,24))</f>
        <v>20.00</v>
      </c>
      <c r="D1461" s="8" t="str">
        <f t="shared" ca="1" si="68"/>
        <v>—</v>
      </c>
      <c r="E1461" s="16">
        <f t="shared" ca="1" si="69"/>
        <v>7</v>
      </c>
    </row>
    <row r="1462" spans="1:5" x14ac:dyDescent="0.25">
      <c r="A1462" s="3">
        <f t="shared" si="67"/>
        <v>78989</v>
      </c>
      <c r="B1462" t="str">
        <f ca="1">TEXT(DATE(YEAR(Invoer!$A$5),1,1)+INT((ROWS(B$2:B1462)-1)/24),"""18""jjmmdd")</f>
        <v>18980302</v>
      </c>
      <c r="C1462" s="11" t="str">
        <f>INDEX(Data,2,2+MOD(ROWS(C$2:C1462)-1,24))</f>
        <v>21.00</v>
      </c>
      <c r="D1462" s="8" t="str">
        <f t="shared" ca="1" si="68"/>
        <v>—</v>
      </c>
      <c r="E1462" s="16">
        <f t="shared" ca="1" si="69"/>
        <v>7</v>
      </c>
    </row>
    <row r="1463" spans="1:5" x14ac:dyDescent="0.25">
      <c r="A1463" s="3">
        <f t="shared" si="67"/>
        <v>78989</v>
      </c>
      <c r="B1463" t="str">
        <f ca="1">TEXT(DATE(YEAR(Invoer!$A$5),1,1)+INT((ROWS(B$2:B1463)-1)/24),"""18""jjmmdd")</f>
        <v>18980302</v>
      </c>
      <c r="C1463" s="11" t="str">
        <f>INDEX(Data,2,2+MOD(ROWS(C$2:C1463)-1,24))</f>
        <v>22.00</v>
      </c>
      <c r="D1463" s="8" t="str">
        <f t="shared" ca="1" si="68"/>
        <v>—</v>
      </c>
      <c r="E1463" s="16">
        <f t="shared" ca="1" si="69"/>
        <v>7</v>
      </c>
    </row>
    <row r="1464" spans="1:5" x14ac:dyDescent="0.25">
      <c r="A1464" s="3">
        <f t="shared" si="67"/>
        <v>78989</v>
      </c>
      <c r="B1464" t="str">
        <f ca="1">TEXT(DATE(YEAR(Invoer!$A$5),1,1)+INT((ROWS(B$2:B1464)-1)/24),"""18""jjmmdd")</f>
        <v>18980302</v>
      </c>
      <c r="C1464" s="11" t="str">
        <f>INDEX(Data,2,2+MOD(ROWS(C$2:C1464)-1,24))</f>
        <v>23.00</v>
      </c>
      <c r="D1464" s="8" t="str">
        <f t="shared" ca="1" si="68"/>
        <v>—</v>
      </c>
      <c r="E1464" s="16">
        <f t="shared" ca="1" si="69"/>
        <v>7</v>
      </c>
    </row>
    <row r="1465" spans="1:5" x14ac:dyDescent="0.25">
      <c r="A1465" s="3">
        <f t="shared" si="67"/>
        <v>78989</v>
      </c>
      <c r="B1465" t="str">
        <f ca="1">TEXT(DATE(YEAR(Invoer!$A$5),1,1)+INT((ROWS(B$2:B1465)-1)/24),"""18""jjmmdd")</f>
        <v>18980302</v>
      </c>
      <c r="C1465" s="11" t="str">
        <f>INDEX(Data,2,2+MOD(ROWS(C$2:C1465)-1,24))</f>
        <v>24.00</v>
      </c>
      <c r="D1465" s="8" t="str">
        <f t="shared" ca="1" si="68"/>
        <v>—</v>
      </c>
      <c r="E1465" s="16">
        <f t="shared" ca="1" si="69"/>
        <v>7</v>
      </c>
    </row>
    <row r="1466" spans="1:5" x14ac:dyDescent="0.25">
      <c r="A1466" s="3">
        <f t="shared" si="67"/>
        <v>78989</v>
      </c>
      <c r="B1466" t="str">
        <f ca="1">TEXT(DATE(YEAR(Invoer!$A$5),1,1)+INT((ROWS(B$2:B1466)-1)/24),"""18""jjmmdd")</f>
        <v>18980303</v>
      </c>
      <c r="C1466" s="11" t="str">
        <f>INDEX(Data,2,2+MOD(ROWS(C$2:C1466)-1,24))</f>
        <v>01.00</v>
      </c>
      <c r="D1466" s="8" t="str">
        <f t="shared" ca="1" si="68"/>
        <v>—</v>
      </c>
      <c r="E1466" s="16">
        <f t="shared" ca="1" si="69"/>
        <v>7</v>
      </c>
    </row>
    <row r="1467" spans="1:5" x14ac:dyDescent="0.25">
      <c r="A1467" s="3">
        <f t="shared" si="67"/>
        <v>78989</v>
      </c>
      <c r="B1467" t="str">
        <f ca="1">TEXT(DATE(YEAR(Invoer!$A$5),1,1)+INT((ROWS(B$2:B1467)-1)/24),"""18""jjmmdd")</f>
        <v>18980303</v>
      </c>
      <c r="C1467" s="11" t="str">
        <f>INDEX(Data,2,2+MOD(ROWS(C$2:C1467)-1,24))</f>
        <v>02.00</v>
      </c>
      <c r="D1467" s="8" t="str">
        <f t="shared" ca="1" si="68"/>
        <v>—</v>
      </c>
      <c r="E1467" s="16">
        <f t="shared" ca="1" si="69"/>
        <v>7</v>
      </c>
    </row>
    <row r="1468" spans="1:5" x14ac:dyDescent="0.25">
      <c r="A1468" s="3">
        <f t="shared" si="67"/>
        <v>78989</v>
      </c>
      <c r="B1468" t="str">
        <f ca="1">TEXT(DATE(YEAR(Invoer!$A$5),1,1)+INT((ROWS(B$2:B1468)-1)/24),"""18""jjmmdd")</f>
        <v>18980303</v>
      </c>
      <c r="C1468" s="11" t="str">
        <f>INDEX(Data,2,2+MOD(ROWS(C$2:C1468)-1,24))</f>
        <v>03.00</v>
      </c>
      <c r="D1468" s="8" t="str">
        <f t="shared" ca="1" si="68"/>
        <v>—</v>
      </c>
      <c r="E1468" s="16">
        <f t="shared" ca="1" si="69"/>
        <v>7</v>
      </c>
    </row>
    <row r="1469" spans="1:5" x14ac:dyDescent="0.25">
      <c r="A1469" s="3">
        <f t="shared" si="67"/>
        <v>78989</v>
      </c>
      <c r="B1469" t="str">
        <f ca="1">TEXT(DATE(YEAR(Invoer!$A$5),1,1)+INT((ROWS(B$2:B1469)-1)/24),"""18""jjmmdd")</f>
        <v>18980303</v>
      </c>
      <c r="C1469" s="11" t="str">
        <f>INDEX(Data,2,2+MOD(ROWS(C$2:C1469)-1,24))</f>
        <v>04.00</v>
      </c>
      <c r="D1469" s="8" t="str">
        <f t="shared" ca="1" si="68"/>
        <v>—</v>
      </c>
      <c r="E1469" s="16">
        <f t="shared" ca="1" si="69"/>
        <v>7</v>
      </c>
    </row>
    <row r="1470" spans="1:5" x14ac:dyDescent="0.25">
      <c r="A1470" s="3">
        <f t="shared" si="67"/>
        <v>78989</v>
      </c>
      <c r="B1470" t="str">
        <f ca="1">TEXT(DATE(YEAR(Invoer!$A$5),1,1)+INT((ROWS(B$2:B1470)-1)/24),"""18""jjmmdd")</f>
        <v>18980303</v>
      </c>
      <c r="C1470" s="11" t="str">
        <f>INDEX(Data,2,2+MOD(ROWS(C$2:C1470)-1,24))</f>
        <v>05.00</v>
      </c>
      <c r="D1470" s="8" t="str">
        <f t="shared" ca="1" si="68"/>
        <v>—</v>
      </c>
      <c r="E1470" s="16">
        <f t="shared" ca="1" si="69"/>
        <v>7</v>
      </c>
    </row>
    <row r="1471" spans="1:5" x14ac:dyDescent="0.25">
      <c r="A1471" s="3">
        <f t="shared" si="67"/>
        <v>78989</v>
      </c>
      <c r="B1471" t="str">
        <f ca="1">TEXT(DATE(YEAR(Invoer!$A$5),1,1)+INT((ROWS(B$2:B1471)-1)/24),"""18""jjmmdd")</f>
        <v>18980303</v>
      </c>
      <c r="C1471" s="11" t="str">
        <f>INDEX(Data,2,2+MOD(ROWS(C$2:C1471)-1,24))</f>
        <v>06.00</v>
      </c>
      <c r="D1471" s="8" t="str">
        <f t="shared" ca="1" si="68"/>
        <v>—</v>
      </c>
      <c r="E1471" s="16">
        <f t="shared" ca="1" si="69"/>
        <v>7</v>
      </c>
    </row>
    <row r="1472" spans="1:5" x14ac:dyDescent="0.25">
      <c r="A1472" s="3">
        <f t="shared" si="67"/>
        <v>78989</v>
      </c>
      <c r="B1472" t="str">
        <f ca="1">TEXT(DATE(YEAR(Invoer!$A$5),1,1)+INT((ROWS(B$2:B1472)-1)/24),"""18""jjmmdd")</f>
        <v>18980303</v>
      </c>
      <c r="C1472" s="11" t="str">
        <f>INDEX(Data,2,2+MOD(ROWS(C$2:C1472)-1,24))</f>
        <v>07.00</v>
      </c>
      <c r="D1472" s="8" t="str">
        <f t="shared" ca="1" si="68"/>
        <v>—</v>
      </c>
      <c r="E1472" s="16">
        <f t="shared" ca="1" si="69"/>
        <v>7</v>
      </c>
    </row>
    <row r="1473" spans="1:5" x14ac:dyDescent="0.25">
      <c r="A1473" s="3">
        <f t="shared" si="67"/>
        <v>78989</v>
      </c>
      <c r="B1473" t="str">
        <f ca="1">TEXT(DATE(YEAR(Invoer!$A$5),1,1)+INT((ROWS(B$2:B1473)-1)/24),"""18""jjmmdd")</f>
        <v>18980303</v>
      </c>
      <c r="C1473" s="11" t="str">
        <f>INDEX(Data,2,2+MOD(ROWS(C$2:C1473)-1,24))</f>
        <v>08.00</v>
      </c>
      <c r="D1473" s="8" t="str">
        <f t="shared" ca="1" si="68"/>
        <v>—</v>
      </c>
      <c r="E1473" s="16">
        <f t="shared" ca="1" si="69"/>
        <v>7</v>
      </c>
    </row>
    <row r="1474" spans="1:5" x14ac:dyDescent="0.25">
      <c r="A1474" s="3">
        <f t="shared" ref="A1474:A1537" si="70">INDEX(Stations,2,1)</f>
        <v>78989</v>
      </c>
      <c r="B1474" t="str">
        <f ca="1">TEXT(DATE(YEAR(Invoer!$A$5),1,1)+INT((ROWS(B$2:B1474)-1)/24),"""18""jjmmdd")</f>
        <v>18980303</v>
      </c>
      <c r="C1474" s="11" t="str">
        <f>INDEX(Data,2,2+MOD(ROWS(C$2:C1474)-1,24))</f>
        <v>09.00</v>
      </c>
      <c r="D1474" s="8" t="str">
        <f t="shared" ref="D1474:D1537" ca="1" si="71">IF(OR(ISBLANK(VLOOKUP(DATEVALUE("37"&amp;MID($B1474,3,2)&amp;"-"&amp;MID($B1474,5,2)&amp;"-"&amp;RIGHT($B1474,2)),Data,MATCH(LEFT(VLOOKUP(D$1,Parameters,2,FALSE()),4)&amp;"*",OFFSET(Data,0,0,1),0)+MATCH($C1474,OFFSET(Data,1,0,1),0)-2,FALSE())),ISTEXT(VLOOKUP(DATEVALUE("37"&amp;MID($B1474,3,2)&amp;"-"&amp;MID($B1474,5,2)&amp;"-"&amp;RIGHT($B1474,2)),Data,MATCH(LEFT(VLOOKUP(D$1,Parameters,2,FALSE()),4)&amp;"*",OFFSET(Data,0,0,1),0)+MATCH($C1474,OFFSET(Data,1,0,1),0)-2,FALSE()))),"—",VLOOKUP(DATEVALUE("37"&amp;MID($B1474,3,2)&amp;"-"&amp;MID($B1474,5,2)&amp;"-"&amp;RIGHT($B1474,2)),Data,MATCH(LEFT(VLOOKUP(D$1,Parameters,2,FALSE()),4)&amp;"*",OFFSET(Data,0,0,1),0)+MATCH($C1474,OFFSET(Data,1,0,1),0)-2,FALSE()))</f>
        <v>—</v>
      </c>
      <c r="E1474" s="16">
        <f t="shared" ca="1" si="69"/>
        <v>7</v>
      </c>
    </row>
    <row r="1475" spans="1:5" x14ac:dyDescent="0.25">
      <c r="A1475" s="3">
        <f t="shared" si="70"/>
        <v>78989</v>
      </c>
      <c r="B1475" t="str">
        <f ca="1">TEXT(DATE(YEAR(Invoer!$A$5),1,1)+INT((ROWS(B$2:B1475)-1)/24),"""18""jjmmdd")</f>
        <v>18980303</v>
      </c>
      <c r="C1475" s="11" t="str">
        <f>INDEX(Data,2,2+MOD(ROWS(C$2:C1475)-1,24))</f>
        <v>10.00</v>
      </c>
      <c r="D1475" s="8" t="str">
        <f t="shared" ca="1" si="71"/>
        <v>—</v>
      </c>
      <c r="E1475" s="16">
        <f t="shared" ref="E1475:E1538" ca="1" si="72">IF(OR(ISBLANK(VLOOKUP(DATEVALUE("37"&amp;MID($B1475,3,2)&amp;"-"&amp;MID($B1475,5,2)&amp;"-"&amp;RIGHT($B1475,2)),Data,MATCH(LEFT(VLOOKUP(D$1,Parameters,2,FALSE()),4)&amp;"*",OFFSET(Data,0,0,1),0)+MATCH($C1475,OFFSET(Data,1,0,1),0)-2,FALSE())),ISTEXT(VLOOKUP(DATEVALUE("37"&amp;MID($B1475,3,2)&amp;"-"&amp;MID($B1475,5,2)&amp;"-"&amp;RIGHT($B1475,2)),Data,MATCH(LEFT(VLOOKUP(D$1,Parameters,2,FALSE()),4)&amp;"*",OFFSET(Data,0,0,1),0)+MATCH($C1475,OFFSET(Data,1,0,1),0)-2,FALSE()))),Lacking,IF(ISNA(MATCH(DATEVALUE("37"&amp;MID($B1475,3,2)&amp;"-"&amp;MID($B1475,5,2)&amp;"-"&amp;RIGHT($B1475,2)),OFFSET(Catalogus,0,0,,1),0)),Ok,VLOOKUP(DATEVALUE("37"&amp;MID($B1475,3,2)&amp;"-"&amp;MID($B1475,5,2)&amp;"-"&amp;RIGHT($B1475,2)),Catalogus,MATCH(LEFT(VLOOKUP(MID(E$1,2,LEN(E$1)-1),Parameters,2,FALSE()),4)&amp;"*",OFFSET(Catalogus,0,0,1),0)+MATCH($C1475,OFFSET(Catalogus,1,0,1),0)-2,FALSE())))</f>
        <v>7</v>
      </c>
    </row>
    <row r="1476" spans="1:5" x14ac:dyDescent="0.25">
      <c r="A1476" s="3">
        <f t="shared" si="70"/>
        <v>78989</v>
      </c>
      <c r="B1476" t="str">
        <f ca="1">TEXT(DATE(YEAR(Invoer!$A$5),1,1)+INT((ROWS(B$2:B1476)-1)/24),"""18""jjmmdd")</f>
        <v>18980303</v>
      </c>
      <c r="C1476" s="11" t="str">
        <f>INDEX(Data,2,2+MOD(ROWS(C$2:C1476)-1,24))</f>
        <v>11.00</v>
      </c>
      <c r="D1476" s="8" t="str">
        <f t="shared" ca="1" si="71"/>
        <v>—</v>
      </c>
      <c r="E1476" s="16">
        <f t="shared" ca="1" si="72"/>
        <v>7</v>
      </c>
    </row>
    <row r="1477" spans="1:5" x14ac:dyDescent="0.25">
      <c r="A1477" s="3">
        <f t="shared" si="70"/>
        <v>78989</v>
      </c>
      <c r="B1477" t="str">
        <f ca="1">TEXT(DATE(YEAR(Invoer!$A$5),1,1)+INT((ROWS(B$2:B1477)-1)/24),"""18""jjmmdd")</f>
        <v>18980303</v>
      </c>
      <c r="C1477" s="11" t="str">
        <f>INDEX(Data,2,2+MOD(ROWS(C$2:C1477)-1,24))</f>
        <v>12.00</v>
      </c>
      <c r="D1477" s="8" t="str">
        <f t="shared" ca="1" si="71"/>
        <v>—</v>
      </c>
      <c r="E1477" s="16">
        <f t="shared" ca="1" si="72"/>
        <v>7</v>
      </c>
    </row>
    <row r="1478" spans="1:5" x14ac:dyDescent="0.25">
      <c r="A1478" s="3">
        <f t="shared" si="70"/>
        <v>78989</v>
      </c>
      <c r="B1478" t="str">
        <f ca="1">TEXT(DATE(YEAR(Invoer!$A$5),1,1)+INT((ROWS(B$2:B1478)-1)/24),"""18""jjmmdd")</f>
        <v>18980303</v>
      </c>
      <c r="C1478" s="11" t="str">
        <f>INDEX(Data,2,2+MOD(ROWS(C$2:C1478)-1,24))</f>
        <v>13.00</v>
      </c>
      <c r="D1478" s="8" t="str">
        <f t="shared" ca="1" si="71"/>
        <v>—</v>
      </c>
      <c r="E1478" s="16">
        <f t="shared" ca="1" si="72"/>
        <v>7</v>
      </c>
    </row>
    <row r="1479" spans="1:5" x14ac:dyDescent="0.25">
      <c r="A1479" s="3">
        <f t="shared" si="70"/>
        <v>78989</v>
      </c>
      <c r="B1479" t="str">
        <f ca="1">TEXT(DATE(YEAR(Invoer!$A$5),1,1)+INT((ROWS(B$2:B1479)-1)/24),"""18""jjmmdd")</f>
        <v>18980303</v>
      </c>
      <c r="C1479" s="11" t="str">
        <f>INDEX(Data,2,2+MOD(ROWS(C$2:C1479)-1,24))</f>
        <v>14.00</v>
      </c>
      <c r="D1479" s="8" t="str">
        <f t="shared" ca="1" si="71"/>
        <v>—</v>
      </c>
      <c r="E1479" s="16">
        <f t="shared" ca="1" si="72"/>
        <v>7</v>
      </c>
    </row>
    <row r="1480" spans="1:5" x14ac:dyDescent="0.25">
      <c r="A1480" s="3">
        <f t="shared" si="70"/>
        <v>78989</v>
      </c>
      <c r="B1480" t="str">
        <f ca="1">TEXT(DATE(YEAR(Invoer!$A$5),1,1)+INT((ROWS(B$2:B1480)-1)/24),"""18""jjmmdd")</f>
        <v>18980303</v>
      </c>
      <c r="C1480" s="11" t="str">
        <f>INDEX(Data,2,2+MOD(ROWS(C$2:C1480)-1,24))</f>
        <v>15.00</v>
      </c>
      <c r="D1480" s="8" t="str">
        <f t="shared" ca="1" si="71"/>
        <v>—</v>
      </c>
      <c r="E1480" s="16">
        <f t="shared" ca="1" si="72"/>
        <v>7</v>
      </c>
    </row>
    <row r="1481" spans="1:5" x14ac:dyDescent="0.25">
      <c r="A1481" s="3">
        <f t="shared" si="70"/>
        <v>78989</v>
      </c>
      <c r="B1481" t="str">
        <f ca="1">TEXT(DATE(YEAR(Invoer!$A$5),1,1)+INT((ROWS(B$2:B1481)-1)/24),"""18""jjmmdd")</f>
        <v>18980303</v>
      </c>
      <c r="C1481" s="11" t="str">
        <f>INDEX(Data,2,2+MOD(ROWS(C$2:C1481)-1,24))</f>
        <v>16.00</v>
      </c>
      <c r="D1481" s="8" t="str">
        <f t="shared" ca="1" si="71"/>
        <v>—</v>
      </c>
      <c r="E1481" s="16">
        <f t="shared" ca="1" si="72"/>
        <v>7</v>
      </c>
    </row>
    <row r="1482" spans="1:5" x14ac:dyDescent="0.25">
      <c r="A1482" s="3">
        <f t="shared" si="70"/>
        <v>78989</v>
      </c>
      <c r="B1482" t="str">
        <f ca="1">TEXT(DATE(YEAR(Invoer!$A$5),1,1)+INT((ROWS(B$2:B1482)-1)/24),"""18""jjmmdd")</f>
        <v>18980303</v>
      </c>
      <c r="C1482" s="11" t="str">
        <f>INDEX(Data,2,2+MOD(ROWS(C$2:C1482)-1,24))</f>
        <v>17.00</v>
      </c>
      <c r="D1482" s="8" t="str">
        <f t="shared" ca="1" si="71"/>
        <v>—</v>
      </c>
      <c r="E1482" s="16">
        <f t="shared" ca="1" si="72"/>
        <v>7</v>
      </c>
    </row>
    <row r="1483" spans="1:5" x14ac:dyDescent="0.25">
      <c r="A1483" s="3">
        <f t="shared" si="70"/>
        <v>78989</v>
      </c>
      <c r="B1483" t="str">
        <f ca="1">TEXT(DATE(YEAR(Invoer!$A$5),1,1)+INT((ROWS(B$2:B1483)-1)/24),"""18""jjmmdd")</f>
        <v>18980303</v>
      </c>
      <c r="C1483" s="11" t="str">
        <f>INDEX(Data,2,2+MOD(ROWS(C$2:C1483)-1,24))</f>
        <v>18.00</v>
      </c>
      <c r="D1483" s="8" t="str">
        <f t="shared" ca="1" si="71"/>
        <v>—</v>
      </c>
      <c r="E1483" s="16">
        <f t="shared" ca="1" si="72"/>
        <v>7</v>
      </c>
    </row>
    <row r="1484" spans="1:5" x14ac:dyDescent="0.25">
      <c r="A1484" s="3">
        <f t="shared" si="70"/>
        <v>78989</v>
      </c>
      <c r="B1484" t="str">
        <f ca="1">TEXT(DATE(YEAR(Invoer!$A$5),1,1)+INT((ROWS(B$2:B1484)-1)/24),"""18""jjmmdd")</f>
        <v>18980303</v>
      </c>
      <c r="C1484" s="11" t="str">
        <f>INDEX(Data,2,2+MOD(ROWS(C$2:C1484)-1,24))</f>
        <v>19.00</v>
      </c>
      <c r="D1484" s="8" t="str">
        <f t="shared" ca="1" si="71"/>
        <v>—</v>
      </c>
      <c r="E1484" s="16">
        <f t="shared" ca="1" si="72"/>
        <v>7</v>
      </c>
    </row>
    <row r="1485" spans="1:5" x14ac:dyDescent="0.25">
      <c r="A1485" s="3">
        <f t="shared" si="70"/>
        <v>78989</v>
      </c>
      <c r="B1485" t="str">
        <f ca="1">TEXT(DATE(YEAR(Invoer!$A$5),1,1)+INT((ROWS(B$2:B1485)-1)/24),"""18""jjmmdd")</f>
        <v>18980303</v>
      </c>
      <c r="C1485" s="11" t="str">
        <f>INDEX(Data,2,2+MOD(ROWS(C$2:C1485)-1,24))</f>
        <v>20.00</v>
      </c>
      <c r="D1485" s="8" t="str">
        <f t="shared" ca="1" si="71"/>
        <v>—</v>
      </c>
      <c r="E1485" s="16">
        <f t="shared" ca="1" si="72"/>
        <v>7</v>
      </c>
    </row>
    <row r="1486" spans="1:5" x14ac:dyDescent="0.25">
      <c r="A1486" s="3">
        <f t="shared" si="70"/>
        <v>78989</v>
      </c>
      <c r="B1486" t="str">
        <f ca="1">TEXT(DATE(YEAR(Invoer!$A$5),1,1)+INT((ROWS(B$2:B1486)-1)/24),"""18""jjmmdd")</f>
        <v>18980303</v>
      </c>
      <c r="C1486" s="11" t="str">
        <f>INDEX(Data,2,2+MOD(ROWS(C$2:C1486)-1,24))</f>
        <v>21.00</v>
      </c>
      <c r="D1486" s="8" t="str">
        <f t="shared" ca="1" si="71"/>
        <v>—</v>
      </c>
      <c r="E1486" s="16">
        <f t="shared" ca="1" si="72"/>
        <v>7</v>
      </c>
    </row>
    <row r="1487" spans="1:5" x14ac:dyDescent="0.25">
      <c r="A1487" s="3">
        <f t="shared" si="70"/>
        <v>78989</v>
      </c>
      <c r="B1487" t="str">
        <f ca="1">TEXT(DATE(YEAR(Invoer!$A$5),1,1)+INT((ROWS(B$2:B1487)-1)/24),"""18""jjmmdd")</f>
        <v>18980303</v>
      </c>
      <c r="C1487" s="11" t="str">
        <f>INDEX(Data,2,2+MOD(ROWS(C$2:C1487)-1,24))</f>
        <v>22.00</v>
      </c>
      <c r="D1487" s="8" t="str">
        <f t="shared" ca="1" si="71"/>
        <v>—</v>
      </c>
      <c r="E1487" s="16">
        <f t="shared" ca="1" si="72"/>
        <v>7</v>
      </c>
    </row>
    <row r="1488" spans="1:5" x14ac:dyDescent="0.25">
      <c r="A1488" s="3">
        <f t="shared" si="70"/>
        <v>78989</v>
      </c>
      <c r="B1488" t="str">
        <f ca="1">TEXT(DATE(YEAR(Invoer!$A$5),1,1)+INT((ROWS(B$2:B1488)-1)/24),"""18""jjmmdd")</f>
        <v>18980303</v>
      </c>
      <c r="C1488" s="11" t="str">
        <f>INDEX(Data,2,2+MOD(ROWS(C$2:C1488)-1,24))</f>
        <v>23.00</v>
      </c>
      <c r="D1488" s="8" t="str">
        <f t="shared" ca="1" si="71"/>
        <v>—</v>
      </c>
      <c r="E1488" s="16">
        <f t="shared" ca="1" si="72"/>
        <v>7</v>
      </c>
    </row>
    <row r="1489" spans="1:5" x14ac:dyDescent="0.25">
      <c r="A1489" s="3">
        <f t="shared" si="70"/>
        <v>78989</v>
      </c>
      <c r="B1489" t="str">
        <f ca="1">TEXT(DATE(YEAR(Invoer!$A$5),1,1)+INT((ROWS(B$2:B1489)-1)/24),"""18""jjmmdd")</f>
        <v>18980303</v>
      </c>
      <c r="C1489" s="11" t="str">
        <f>INDEX(Data,2,2+MOD(ROWS(C$2:C1489)-1,24))</f>
        <v>24.00</v>
      </c>
      <c r="D1489" s="8" t="str">
        <f t="shared" ca="1" si="71"/>
        <v>—</v>
      </c>
      <c r="E1489" s="16">
        <f t="shared" ca="1" si="72"/>
        <v>7</v>
      </c>
    </row>
    <row r="1490" spans="1:5" x14ac:dyDescent="0.25">
      <c r="A1490" s="3">
        <f t="shared" si="70"/>
        <v>78989</v>
      </c>
      <c r="B1490" t="str">
        <f ca="1">TEXT(DATE(YEAR(Invoer!$A$5),1,1)+INT((ROWS(B$2:B1490)-1)/24),"""18""jjmmdd")</f>
        <v>18980304</v>
      </c>
      <c r="C1490" s="11" t="str">
        <f>INDEX(Data,2,2+MOD(ROWS(C$2:C1490)-1,24))</f>
        <v>01.00</v>
      </c>
      <c r="D1490" s="8" t="str">
        <f t="shared" ca="1" si="71"/>
        <v>—</v>
      </c>
      <c r="E1490" s="16">
        <f t="shared" ca="1" si="72"/>
        <v>7</v>
      </c>
    </row>
    <row r="1491" spans="1:5" x14ac:dyDescent="0.25">
      <c r="A1491" s="3">
        <f t="shared" si="70"/>
        <v>78989</v>
      </c>
      <c r="B1491" t="str">
        <f ca="1">TEXT(DATE(YEAR(Invoer!$A$5),1,1)+INT((ROWS(B$2:B1491)-1)/24),"""18""jjmmdd")</f>
        <v>18980304</v>
      </c>
      <c r="C1491" s="11" t="str">
        <f>INDEX(Data,2,2+MOD(ROWS(C$2:C1491)-1,24))</f>
        <v>02.00</v>
      </c>
      <c r="D1491" s="8" t="str">
        <f t="shared" ca="1" si="71"/>
        <v>—</v>
      </c>
      <c r="E1491" s="16">
        <f t="shared" ca="1" si="72"/>
        <v>7</v>
      </c>
    </row>
    <row r="1492" spans="1:5" x14ac:dyDescent="0.25">
      <c r="A1492" s="3">
        <f t="shared" si="70"/>
        <v>78989</v>
      </c>
      <c r="B1492" t="str">
        <f ca="1">TEXT(DATE(YEAR(Invoer!$A$5),1,1)+INT((ROWS(B$2:B1492)-1)/24),"""18""jjmmdd")</f>
        <v>18980304</v>
      </c>
      <c r="C1492" s="11" t="str">
        <f>INDEX(Data,2,2+MOD(ROWS(C$2:C1492)-1,24))</f>
        <v>03.00</v>
      </c>
      <c r="D1492" s="8" t="str">
        <f t="shared" ca="1" si="71"/>
        <v>—</v>
      </c>
      <c r="E1492" s="16">
        <f t="shared" ca="1" si="72"/>
        <v>7</v>
      </c>
    </row>
    <row r="1493" spans="1:5" x14ac:dyDescent="0.25">
      <c r="A1493" s="3">
        <f t="shared" si="70"/>
        <v>78989</v>
      </c>
      <c r="B1493" t="str">
        <f ca="1">TEXT(DATE(YEAR(Invoer!$A$5),1,1)+INT((ROWS(B$2:B1493)-1)/24),"""18""jjmmdd")</f>
        <v>18980304</v>
      </c>
      <c r="C1493" s="11" t="str">
        <f>INDEX(Data,2,2+MOD(ROWS(C$2:C1493)-1,24))</f>
        <v>04.00</v>
      </c>
      <c r="D1493" s="8" t="str">
        <f t="shared" ca="1" si="71"/>
        <v>—</v>
      </c>
      <c r="E1493" s="16">
        <f t="shared" ca="1" si="72"/>
        <v>7</v>
      </c>
    </row>
    <row r="1494" spans="1:5" x14ac:dyDescent="0.25">
      <c r="A1494" s="3">
        <f t="shared" si="70"/>
        <v>78989</v>
      </c>
      <c r="B1494" t="str">
        <f ca="1">TEXT(DATE(YEAR(Invoer!$A$5),1,1)+INT((ROWS(B$2:B1494)-1)/24),"""18""jjmmdd")</f>
        <v>18980304</v>
      </c>
      <c r="C1494" s="11" t="str">
        <f>INDEX(Data,2,2+MOD(ROWS(C$2:C1494)-1,24))</f>
        <v>05.00</v>
      </c>
      <c r="D1494" s="8" t="str">
        <f t="shared" ca="1" si="71"/>
        <v>—</v>
      </c>
      <c r="E1494" s="16">
        <f t="shared" ca="1" si="72"/>
        <v>7</v>
      </c>
    </row>
    <row r="1495" spans="1:5" x14ac:dyDescent="0.25">
      <c r="A1495" s="3">
        <f t="shared" si="70"/>
        <v>78989</v>
      </c>
      <c r="B1495" t="str">
        <f ca="1">TEXT(DATE(YEAR(Invoer!$A$5),1,1)+INT((ROWS(B$2:B1495)-1)/24),"""18""jjmmdd")</f>
        <v>18980304</v>
      </c>
      <c r="C1495" s="11" t="str">
        <f>INDEX(Data,2,2+MOD(ROWS(C$2:C1495)-1,24))</f>
        <v>06.00</v>
      </c>
      <c r="D1495" s="8" t="str">
        <f t="shared" ca="1" si="71"/>
        <v>—</v>
      </c>
      <c r="E1495" s="16">
        <f t="shared" ca="1" si="72"/>
        <v>7</v>
      </c>
    </row>
    <row r="1496" spans="1:5" x14ac:dyDescent="0.25">
      <c r="A1496" s="3">
        <f t="shared" si="70"/>
        <v>78989</v>
      </c>
      <c r="B1496" t="str">
        <f ca="1">TEXT(DATE(YEAR(Invoer!$A$5),1,1)+INT((ROWS(B$2:B1496)-1)/24),"""18""jjmmdd")</f>
        <v>18980304</v>
      </c>
      <c r="C1496" s="11" t="str">
        <f>INDEX(Data,2,2+MOD(ROWS(C$2:C1496)-1,24))</f>
        <v>07.00</v>
      </c>
      <c r="D1496" s="8" t="str">
        <f t="shared" ca="1" si="71"/>
        <v>—</v>
      </c>
      <c r="E1496" s="16">
        <f t="shared" ca="1" si="72"/>
        <v>7</v>
      </c>
    </row>
    <row r="1497" spans="1:5" x14ac:dyDescent="0.25">
      <c r="A1497" s="3">
        <f t="shared" si="70"/>
        <v>78989</v>
      </c>
      <c r="B1497" t="str">
        <f ca="1">TEXT(DATE(YEAR(Invoer!$A$5),1,1)+INT((ROWS(B$2:B1497)-1)/24),"""18""jjmmdd")</f>
        <v>18980304</v>
      </c>
      <c r="C1497" s="11" t="str">
        <f>INDEX(Data,2,2+MOD(ROWS(C$2:C1497)-1,24))</f>
        <v>08.00</v>
      </c>
      <c r="D1497" s="8" t="str">
        <f t="shared" ca="1" si="71"/>
        <v>—</v>
      </c>
      <c r="E1497" s="16">
        <f t="shared" ca="1" si="72"/>
        <v>7</v>
      </c>
    </row>
    <row r="1498" spans="1:5" x14ac:dyDescent="0.25">
      <c r="A1498" s="3">
        <f t="shared" si="70"/>
        <v>78989</v>
      </c>
      <c r="B1498" t="str">
        <f ca="1">TEXT(DATE(YEAR(Invoer!$A$5),1,1)+INT((ROWS(B$2:B1498)-1)/24),"""18""jjmmdd")</f>
        <v>18980304</v>
      </c>
      <c r="C1498" s="11" t="str">
        <f>INDEX(Data,2,2+MOD(ROWS(C$2:C1498)-1,24))</f>
        <v>09.00</v>
      </c>
      <c r="D1498" s="8" t="str">
        <f t="shared" ca="1" si="71"/>
        <v>—</v>
      </c>
      <c r="E1498" s="16">
        <f t="shared" ca="1" si="72"/>
        <v>7</v>
      </c>
    </row>
    <row r="1499" spans="1:5" x14ac:dyDescent="0.25">
      <c r="A1499" s="3">
        <f t="shared" si="70"/>
        <v>78989</v>
      </c>
      <c r="B1499" t="str">
        <f ca="1">TEXT(DATE(YEAR(Invoer!$A$5),1,1)+INT((ROWS(B$2:B1499)-1)/24),"""18""jjmmdd")</f>
        <v>18980304</v>
      </c>
      <c r="C1499" s="11" t="str">
        <f>INDEX(Data,2,2+MOD(ROWS(C$2:C1499)-1,24))</f>
        <v>10.00</v>
      </c>
      <c r="D1499" s="8" t="str">
        <f t="shared" ca="1" si="71"/>
        <v>—</v>
      </c>
      <c r="E1499" s="16">
        <f t="shared" ca="1" si="72"/>
        <v>7</v>
      </c>
    </row>
    <row r="1500" spans="1:5" x14ac:dyDescent="0.25">
      <c r="A1500" s="3">
        <f t="shared" si="70"/>
        <v>78989</v>
      </c>
      <c r="B1500" t="str">
        <f ca="1">TEXT(DATE(YEAR(Invoer!$A$5),1,1)+INT((ROWS(B$2:B1500)-1)/24),"""18""jjmmdd")</f>
        <v>18980304</v>
      </c>
      <c r="C1500" s="11" t="str">
        <f>INDEX(Data,2,2+MOD(ROWS(C$2:C1500)-1,24))</f>
        <v>11.00</v>
      </c>
      <c r="D1500" s="8" t="str">
        <f t="shared" ca="1" si="71"/>
        <v>—</v>
      </c>
      <c r="E1500" s="16">
        <f t="shared" ca="1" si="72"/>
        <v>7</v>
      </c>
    </row>
    <row r="1501" spans="1:5" x14ac:dyDescent="0.25">
      <c r="A1501" s="3">
        <f t="shared" si="70"/>
        <v>78989</v>
      </c>
      <c r="B1501" t="str">
        <f ca="1">TEXT(DATE(YEAR(Invoer!$A$5),1,1)+INT((ROWS(B$2:B1501)-1)/24),"""18""jjmmdd")</f>
        <v>18980304</v>
      </c>
      <c r="C1501" s="11" t="str">
        <f>INDEX(Data,2,2+MOD(ROWS(C$2:C1501)-1,24))</f>
        <v>12.00</v>
      </c>
      <c r="D1501" s="8" t="str">
        <f t="shared" ca="1" si="71"/>
        <v>—</v>
      </c>
      <c r="E1501" s="16">
        <f t="shared" ca="1" si="72"/>
        <v>7</v>
      </c>
    </row>
    <row r="1502" spans="1:5" x14ac:dyDescent="0.25">
      <c r="A1502" s="3">
        <f t="shared" si="70"/>
        <v>78989</v>
      </c>
      <c r="B1502" t="str">
        <f ca="1">TEXT(DATE(YEAR(Invoer!$A$5),1,1)+INT((ROWS(B$2:B1502)-1)/24),"""18""jjmmdd")</f>
        <v>18980304</v>
      </c>
      <c r="C1502" s="11" t="str">
        <f>INDEX(Data,2,2+MOD(ROWS(C$2:C1502)-1,24))</f>
        <v>13.00</v>
      </c>
      <c r="D1502" s="8" t="str">
        <f t="shared" ca="1" si="71"/>
        <v>—</v>
      </c>
      <c r="E1502" s="16">
        <f t="shared" ca="1" si="72"/>
        <v>7</v>
      </c>
    </row>
    <row r="1503" spans="1:5" x14ac:dyDescent="0.25">
      <c r="A1503" s="3">
        <f t="shared" si="70"/>
        <v>78989</v>
      </c>
      <c r="B1503" t="str">
        <f ca="1">TEXT(DATE(YEAR(Invoer!$A$5),1,1)+INT((ROWS(B$2:B1503)-1)/24),"""18""jjmmdd")</f>
        <v>18980304</v>
      </c>
      <c r="C1503" s="11" t="str">
        <f>INDEX(Data,2,2+MOD(ROWS(C$2:C1503)-1,24))</f>
        <v>14.00</v>
      </c>
      <c r="D1503" s="8" t="str">
        <f t="shared" ca="1" si="71"/>
        <v>—</v>
      </c>
      <c r="E1503" s="16">
        <f t="shared" ca="1" si="72"/>
        <v>7</v>
      </c>
    </row>
    <row r="1504" spans="1:5" x14ac:dyDescent="0.25">
      <c r="A1504" s="3">
        <f t="shared" si="70"/>
        <v>78989</v>
      </c>
      <c r="B1504" t="str">
        <f ca="1">TEXT(DATE(YEAR(Invoer!$A$5),1,1)+INT((ROWS(B$2:B1504)-1)/24),"""18""jjmmdd")</f>
        <v>18980304</v>
      </c>
      <c r="C1504" s="11" t="str">
        <f>INDEX(Data,2,2+MOD(ROWS(C$2:C1504)-1,24))</f>
        <v>15.00</v>
      </c>
      <c r="D1504" s="8" t="str">
        <f t="shared" ca="1" si="71"/>
        <v>—</v>
      </c>
      <c r="E1504" s="16">
        <f t="shared" ca="1" si="72"/>
        <v>7</v>
      </c>
    </row>
    <row r="1505" spans="1:5" x14ac:dyDescent="0.25">
      <c r="A1505" s="3">
        <f t="shared" si="70"/>
        <v>78989</v>
      </c>
      <c r="B1505" t="str">
        <f ca="1">TEXT(DATE(YEAR(Invoer!$A$5),1,1)+INT((ROWS(B$2:B1505)-1)/24),"""18""jjmmdd")</f>
        <v>18980304</v>
      </c>
      <c r="C1505" s="11" t="str">
        <f>INDEX(Data,2,2+MOD(ROWS(C$2:C1505)-1,24))</f>
        <v>16.00</v>
      </c>
      <c r="D1505" s="8" t="str">
        <f t="shared" ca="1" si="71"/>
        <v>—</v>
      </c>
      <c r="E1505" s="16">
        <f t="shared" ca="1" si="72"/>
        <v>7</v>
      </c>
    </row>
    <row r="1506" spans="1:5" x14ac:dyDescent="0.25">
      <c r="A1506" s="3">
        <f t="shared" si="70"/>
        <v>78989</v>
      </c>
      <c r="B1506" t="str">
        <f ca="1">TEXT(DATE(YEAR(Invoer!$A$5),1,1)+INT((ROWS(B$2:B1506)-1)/24),"""18""jjmmdd")</f>
        <v>18980304</v>
      </c>
      <c r="C1506" s="11" t="str">
        <f>INDEX(Data,2,2+MOD(ROWS(C$2:C1506)-1,24))</f>
        <v>17.00</v>
      </c>
      <c r="D1506" s="8" t="str">
        <f t="shared" ca="1" si="71"/>
        <v>—</v>
      </c>
      <c r="E1506" s="16">
        <f t="shared" ca="1" si="72"/>
        <v>7</v>
      </c>
    </row>
    <row r="1507" spans="1:5" x14ac:dyDescent="0.25">
      <c r="A1507" s="3">
        <f t="shared" si="70"/>
        <v>78989</v>
      </c>
      <c r="B1507" t="str">
        <f ca="1">TEXT(DATE(YEAR(Invoer!$A$5),1,1)+INT((ROWS(B$2:B1507)-1)/24),"""18""jjmmdd")</f>
        <v>18980304</v>
      </c>
      <c r="C1507" s="11" t="str">
        <f>INDEX(Data,2,2+MOD(ROWS(C$2:C1507)-1,24))</f>
        <v>18.00</v>
      </c>
      <c r="D1507" s="8" t="str">
        <f t="shared" ca="1" si="71"/>
        <v>—</v>
      </c>
      <c r="E1507" s="16">
        <f t="shared" ca="1" si="72"/>
        <v>7</v>
      </c>
    </row>
    <row r="1508" spans="1:5" x14ac:dyDescent="0.25">
      <c r="A1508" s="3">
        <f t="shared" si="70"/>
        <v>78989</v>
      </c>
      <c r="B1508" t="str">
        <f ca="1">TEXT(DATE(YEAR(Invoer!$A$5),1,1)+INT((ROWS(B$2:B1508)-1)/24),"""18""jjmmdd")</f>
        <v>18980304</v>
      </c>
      <c r="C1508" s="11" t="str">
        <f>INDEX(Data,2,2+MOD(ROWS(C$2:C1508)-1,24))</f>
        <v>19.00</v>
      </c>
      <c r="D1508" s="8" t="str">
        <f t="shared" ca="1" si="71"/>
        <v>—</v>
      </c>
      <c r="E1508" s="16">
        <f t="shared" ca="1" si="72"/>
        <v>7</v>
      </c>
    </row>
    <row r="1509" spans="1:5" x14ac:dyDescent="0.25">
      <c r="A1509" s="3">
        <f t="shared" si="70"/>
        <v>78989</v>
      </c>
      <c r="B1509" t="str">
        <f ca="1">TEXT(DATE(YEAR(Invoer!$A$5),1,1)+INT((ROWS(B$2:B1509)-1)/24),"""18""jjmmdd")</f>
        <v>18980304</v>
      </c>
      <c r="C1509" s="11" t="str">
        <f>INDEX(Data,2,2+MOD(ROWS(C$2:C1509)-1,24))</f>
        <v>20.00</v>
      </c>
      <c r="D1509" s="8" t="str">
        <f t="shared" ca="1" si="71"/>
        <v>—</v>
      </c>
      <c r="E1509" s="16">
        <f t="shared" ca="1" si="72"/>
        <v>7</v>
      </c>
    </row>
    <row r="1510" spans="1:5" x14ac:dyDescent="0.25">
      <c r="A1510" s="3">
        <f t="shared" si="70"/>
        <v>78989</v>
      </c>
      <c r="B1510" t="str">
        <f ca="1">TEXT(DATE(YEAR(Invoer!$A$5),1,1)+INT((ROWS(B$2:B1510)-1)/24),"""18""jjmmdd")</f>
        <v>18980304</v>
      </c>
      <c r="C1510" s="11" t="str">
        <f>INDEX(Data,2,2+MOD(ROWS(C$2:C1510)-1,24))</f>
        <v>21.00</v>
      </c>
      <c r="D1510" s="8" t="str">
        <f t="shared" ca="1" si="71"/>
        <v>—</v>
      </c>
      <c r="E1510" s="16">
        <f t="shared" ca="1" si="72"/>
        <v>7</v>
      </c>
    </row>
    <row r="1511" spans="1:5" x14ac:dyDescent="0.25">
      <c r="A1511" s="3">
        <f t="shared" si="70"/>
        <v>78989</v>
      </c>
      <c r="B1511" t="str">
        <f ca="1">TEXT(DATE(YEAR(Invoer!$A$5),1,1)+INT((ROWS(B$2:B1511)-1)/24),"""18""jjmmdd")</f>
        <v>18980304</v>
      </c>
      <c r="C1511" s="11" t="str">
        <f>INDEX(Data,2,2+MOD(ROWS(C$2:C1511)-1,24))</f>
        <v>22.00</v>
      </c>
      <c r="D1511" s="8" t="str">
        <f t="shared" ca="1" si="71"/>
        <v>—</v>
      </c>
      <c r="E1511" s="16">
        <f t="shared" ca="1" si="72"/>
        <v>7</v>
      </c>
    </row>
    <row r="1512" spans="1:5" x14ac:dyDescent="0.25">
      <c r="A1512" s="3">
        <f t="shared" si="70"/>
        <v>78989</v>
      </c>
      <c r="B1512" t="str">
        <f ca="1">TEXT(DATE(YEAR(Invoer!$A$5),1,1)+INT((ROWS(B$2:B1512)-1)/24),"""18""jjmmdd")</f>
        <v>18980304</v>
      </c>
      <c r="C1512" s="11" t="str">
        <f>INDEX(Data,2,2+MOD(ROWS(C$2:C1512)-1,24))</f>
        <v>23.00</v>
      </c>
      <c r="D1512" s="8" t="str">
        <f t="shared" ca="1" si="71"/>
        <v>—</v>
      </c>
      <c r="E1512" s="16">
        <f t="shared" ca="1" si="72"/>
        <v>7</v>
      </c>
    </row>
    <row r="1513" spans="1:5" x14ac:dyDescent="0.25">
      <c r="A1513" s="3">
        <f t="shared" si="70"/>
        <v>78989</v>
      </c>
      <c r="B1513" t="str">
        <f ca="1">TEXT(DATE(YEAR(Invoer!$A$5),1,1)+INT((ROWS(B$2:B1513)-1)/24),"""18""jjmmdd")</f>
        <v>18980304</v>
      </c>
      <c r="C1513" s="11" t="str">
        <f>INDEX(Data,2,2+MOD(ROWS(C$2:C1513)-1,24))</f>
        <v>24.00</v>
      </c>
      <c r="D1513" s="8" t="str">
        <f t="shared" ca="1" si="71"/>
        <v>—</v>
      </c>
      <c r="E1513" s="16">
        <f t="shared" ca="1" si="72"/>
        <v>7</v>
      </c>
    </row>
    <row r="1514" spans="1:5" x14ac:dyDescent="0.25">
      <c r="A1514" s="3">
        <f t="shared" si="70"/>
        <v>78989</v>
      </c>
      <c r="B1514" t="str">
        <f ca="1">TEXT(DATE(YEAR(Invoer!$A$5),1,1)+INT((ROWS(B$2:B1514)-1)/24),"""18""jjmmdd")</f>
        <v>18980305</v>
      </c>
      <c r="C1514" s="11" t="str">
        <f>INDEX(Data,2,2+MOD(ROWS(C$2:C1514)-1,24))</f>
        <v>01.00</v>
      </c>
      <c r="D1514" s="8" t="str">
        <f t="shared" ca="1" si="71"/>
        <v>—</v>
      </c>
      <c r="E1514" s="16">
        <f t="shared" ca="1" si="72"/>
        <v>7</v>
      </c>
    </row>
    <row r="1515" spans="1:5" x14ac:dyDescent="0.25">
      <c r="A1515" s="3">
        <f t="shared" si="70"/>
        <v>78989</v>
      </c>
      <c r="B1515" t="str">
        <f ca="1">TEXT(DATE(YEAR(Invoer!$A$5),1,1)+INT((ROWS(B$2:B1515)-1)/24),"""18""jjmmdd")</f>
        <v>18980305</v>
      </c>
      <c r="C1515" s="11" t="str">
        <f>INDEX(Data,2,2+MOD(ROWS(C$2:C1515)-1,24))</f>
        <v>02.00</v>
      </c>
      <c r="D1515" s="8" t="str">
        <f t="shared" ca="1" si="71"/>
        <v>—</v>
      </c>
      <c r="E1515" s="16">
        <f t="shared" ca="1" si="72"/>
        <v>7</v>
      </c>
    </row>
    <row r="1516" spans="1:5" x14ac:dyDescent="0.25">
      <c r="A1516" s="3">
        <f t="shared" si="70"/>
        <v>78989</v>
      </c>
      <c r="B1516" t="str">
        <f ca="1">TEXT(DATE(YEAR(Invoer!$A$5),1,1)+INT((ROWS(B$2:B1516)-1)/24),"""18""jjmmdd")</f>
        <v>18980305</v>
      </c>
      <c r="C1516" s="11" t="str">
        <f>INDEX(Data,2,2+MOD(ROWS(C$2:C1516)-1,24))</f>
        <v>03.00</v>
      </c>
      <c r="D1516" s="8" t="str">
        <f t="shared" ca="1" si="71"/>
        <v>—</v>
      </c>
      <c r="E1516" s="16">
        <f t="shared" ca="1" si="72"/>
        <v>7</v>
      </c>
    </row>
    <row r="1517" spans="1:5" x14ac:dyDescent="0.25">
      <c r="A1517" s="3">
        <f t="shared" si="70"/>
        <v>78989</v>
      </c>
      <c r="B1517" t="str">
        <f ca="1">TEXT(DATE(YEAR(Invoer!$A$5),1,1)+INT((ROWS(B$2:B1517)-1)/24),"""18""jjmmdd")</f>
        <v>18980305</v>
      </c>
      <c r="C1517" s="11" t="str">
        <f>INDEX(Data,2,2+MOD(ROWS(C$2:C1517)-1,24))</f>
        <v>04.00</v>
      </c>
      <c r="D1517" s="8" t="str">
        <f t="shared" ca="1" si="71"/>
        <v>—</v>
      </c>
      <c r="E1517" s="16">
        <f t="shared" ca="1" si="72"/>
        <v>7</v>
      </c>
    </row>
    <row r="1518" spans="1:5" x14ac:dyDescent="0.25">
      <c r="A1518" s="3">
        <f t="shared" si="70"/>
        <v>78989</v>
      </c>
      <c r="B1518" t="str">
        <f ca="1">TEXT(DATE(YEAR(Invoer!$A$5),1,1)+INT((ROWS(B$2:B1518)-1)/24),"""18""jjmmdd")</f>
        <v>18980305</v>
      </c>
      <c r="C1518" s="11" t="str">
        <f>INDEX(Data,2,2+MOD(ROWS(C$2:C1518)-1,24))</f>
        <v>05.00</v>
      </c>
      <c r="D1518" s="8" t="str">
        <f t="shared" ca="1" si="71"/>
        <v>—</v>
      </c>
      <c r="E1518" s="16">
        <f t="shared" ca="1" si="72"/>
        <v>7</v>
      </c>
    </row>
    <row r="1519" spans="1:5" x14ac:dyDescent="0.25">
      <c r="A1519" s="3">
        <f t="shared" si="70"/>
        <v>78989</v>
      </c>
      <c r="B1519" t="str">
        <f ca="1">TEXT(DATE(YEAR(Invoer!$A$5),1,1)+INT((ROWS(B$2:B1519)-1)/24),"""18""jjmmdd")</f>
        <v>18980305</v>
      </c>
      <c r="C1519" s="11" t="str">
        <f>INDEX(Data,2,2+MOD(ROWS(C$2:C1519)-1,24))</f>
        <v>06.00</v>
      </c>
      <c r="D1519" s="8" t="str">
        <f t="shared" ca="1" si="71"/>
        <v>—</v>
      </c>
      <c r="E1519" s="16">
        <f t="shared" ca="1" si="72"/>
        <v>7</v>
      </c>
    </row>
    <row r="1520" spans="1:5" x14ac:dyDescent="0.25">
      <c r="A1520" s="3">
        <f t="shared" si="70"/>
        <v>78989</v>
      </c>
      <c r="B1520" t="str">
        <f ca="1">TEXT(DATE(YEAR(Invoer!$A$5),1,1)+INT((ROWS(B$2:B1520)-1)/24),"""18""jjmmdd")</f>
        <v>18980305</v>
      </c>
      <c r="C1520" s="11" t="str">
        <f>INDEX(Data,2,2+MOD(ROWS(C$2:C1520)-1,24))</f>
        <v>07.00</v>
      </c>
      <c r="D1520" s="8" t="str">
        <f t="shared" ca="1" si="71"/>
        <v>—</v>
      </c>
      <c r="E1520" s="16">
        <f t="shared" ca="1" si="72"/>
        <v>7</v>
      </c>
    </row>
    <row r="1521" spans="1:5" x14ac:dyDescent="0.25">
      <c r="A1521" s="3">
        <f t="shared" si="70"/>
        <v>78989</v>
      </c>
      <c r="B1521" t="str">
        <f ca="1">TEXT(DATE(YEAR(Invoer!$A$5),1,1)+INT((ROWS(B$2:B1521)-1)/24),"""18""jjmmdd")</f>
        <v>18980305</v>
      </c>
      <c r="C1521" s="11" t="str">
        <f>INDEX(Data,2,2+MOD(ROWS(C$2:C1521)-1,24))</f>
        <v>08.00</v>
      </c>
      <c r="D1521" s="8" t="str">
        <f t="shared" ca="1" si="71"/>
        <v>—</v>
      </c>
      <c r="E1521" s="16">
        <f t="shared" ca="1" si="72"/>
        <v>7</v>
      </c>
    </row>
    <row r="1522" spans="1:5" x14ac:dyDescent="0.25">
      <c r="A1522" s="3">
        <f t="shared" si="70"/>
        <v>78989</v>
      </c>
      <c r="B1522" t="str">
        <f ca="1">TEXT(DATE(YEAR(Invoer!$A$5),1,1)+INT((ROWS(B$2:B1522)-1)/24),"""18""jjmmdd")</f>
        <v>18980305</v>
      </c>
      <c r="C1522" s="11" t="str">
        <f>INDEX(Data,2,2+MOD(ROWS(C$2:C1522)-1,24))</f>
        <v>09.00</v>
      </c>
      <c r="D1522" s="8" t="str">
        <f t="shared" ca="1" si="71"/>
        <v>—</v>
      </c>
      <c r="E1522" s="16">
        <f t="shared" ca="1" si="72"/>
        <v>7</v>
      </c>
    </row>
    <row r="1523" spans="1:5" x14ac:dyDescent="0.25">
      <c r="A1523" s="3">
        <f t="shared" si="70"/>
        <v>78989</v>
      </c>
      <c r="B1523" t="str">
        <f ca="1">TEXT(DATE(YEAR(Invoer!$A$5),1,1)+INT((ROWS(B$2:B1523)-1)/24),"""18""jjmmdd")</f>
        <v>18980305</v>
      </c>
      <c r="C1523" s="11" t="str">
        <f>INDEX(Data,2,2+MOD(ROWS(C$2:C1523)-1,24))</f>
        <v>10.00</v>
      </c>
      <c r="D1523" s="8" t="str">
        <f t="shared" ca="1" si="71"/>
        <v>—</v>
      </c>
      <c r="E1523" s="16">
        <f t="shared" ca="1" si="72"/>
        <v>7</v>
      </c>
    </row>
    <row r="1524" spans="1:5" x14ac:dyDescent="0.25">
      <c r="A1524" s="3">
        <f t="shared" si="70"/>
        <v>78989</v>
      </c>
      <c r="B1524" t="str">
        <f ca="1">TEXT(DATE(YEAR(Invoer!$A$5),1,1)+INT((ROWS(B$2:B1524)-1)/24),"""18""jjmmdd")</f>
        <v>18980305</v>
      </c>
      <c r="C1524" s="11" t="str">
        <f>INDEX(Data,2,2+MOD(ROWS(C$2:C1524)-1,24))</f>
        <v>11.00</v>
      </c>
      <c r="D1524" s="8" t="str">
        <f t="shared" ca="1" si="71"/>
        <v>—</v>
      </c>
      <c r="E1524" s="16">
        <f t="shared" ca="1" si="72"/>
        <v>7</v>
      </c>
    </row>
    <row r="1525" spans="1:5" x14ac:dyDescent="0.25">
      <c r="A1525" s="3">
        <f t="shared" si="70"/>
        <v>78989</v>
      </c>
      <c r="B1525" t="str">
        <f ca="1">TEXT(DATE(YEAR(Invoer!$A$5),1,1)+INT((ROWS(B$2:B1525)-1)/24),"""18""jjmmdd")</f>
        <v>18980305</v>
      </c>
      <c r="C1525" s="11" t="str">
        <f>INDEX(Data,2,2+MOD(ROWS(C$2:C1525)-1,24))</f>
        <v>12.00</v>
      </c>
      <c r="D1525" s="8" t="str">
        <f t="shared" ca="1" si="71"/>
        <v>—</v>
      </c>
      <c r="E1525" s="16">
        <f t="shared" ca="1" si="72"/>
        <v>7</v>
      </c>
    </row>
    <row r="1526" spans="1:5" x14ac:dyDescent="0.25">
      <c r="A1526" s="3">
        <f t="shared" si="70"/>
        <v>78989</v>
      </c>
      <c r="B1526" t="str">
        <f ca="1">TEXT(DATE(YEAR(Invoer!$A$5),1,1)+INT((ROWS(B$2:B1526)-1)/24),"""18""jjmmdd")</f>
        <v>18980305</v>
      </c>
      <c r="C1526" s="11" t="str">
        <f>INDEX(Data,2,2+MOD(ROWS(C$2:C1526)-1,24))</f>
        <v>13.00</v>
      </c>
      <c r="D1526" s="8" t="str">
        <f t="shared" ca="1" si="71"/>
        <v>—</v>
      </c>
      <c r="E1526" s="16">
        <f t="shared" ca="1" si="72"/>
        <v>7</v>
      </c>
    </row>
    <row r="1527" spans="1:5" x14ac:dyDescent="0.25">
      <c r="A1527" s="3">
        <f t="shared" si="70"/>
        <v>78989</v>
      </c>
      <c r="B1527" t="str">
        <f ca="1">TEXT(DATE(YEAR(Invoer!$A$5),1,1)+INT((ROWS(B$2:B1527)-1)/24),"""18""jjmmdd")</f>
        <v>18980305</v>
      </c>
      <c r="C1527" s="11" t="str">
        <f>INDEX(Data,2,2+MOD(ROWS(C$2:C1527)-1,24))</f>
        <v>14.00</v>
      </c>
      <c r="D1527" s="8" t="str">
        <f t="shared" ca="1" si="71"/>
        <v>—</v>
      </c>
      <c r="E1527" s="16">
        <f t="shared" ca="1" si="72"/>
        <v>7</v>
      </c>
    </row>
    <row r="1528" spans="1:5" x14ac:dyDescent="0.25">
      <c r="A1528" s="3">
        <f t="shared" si="70"/>
        <v>78989</v>
      </c>
      <c r="B1528" t="str">
        <f ca="1">TEXT(DATE(YEAR(Invoer!$A$5),1,1)+INT((ROWS(B$2:B1528)-1)/24),"""18""jjmmdd")</f>
        <v>18980305</v>
      </c>
      <c r="C1528" s="11" t="str">
        <f>INDEX(Data,2,2+MOD(ROWS(C$2:C1528)-1,24))</f>
        <v>15.00</v>
      </c>
      <c r="D1528" s="8" t="str">
        <f t="shared" ca="1" si="71"/>
        <v>—</v>
      </c>
      <c r="E1528" s="16">
        <f t="shared" ca="1" si="72"/>
        <v>7</v>
      </c>
    </row>
    <row r="1529" spans="1:5" x14ac:dyDescent="0.25">
      <c r="A1529" s="3">
        <f t="shared" si="70"/>
        <v>78989</v>
      </c>
      <c r="B1529" t="str">
        <f ca="1">TEXT(DATE(YEAR(Invoer!$A$5),1,1)+INT((ROWS(B$2:B1529)-1)/24),"""18""jjmmdd")</f>
        <v>18980305</v>
      </c>
      <c r="C1529" s="11" t="str">
        <f>INDEX(Data,2,2+MOD(ROWS(C$2:C1529)-1,24))</f>
        <v>16.00</v>
      </c>
      <c r="D1529" s="8" t="str">
        <f t="shared" ca="1" si="71"/>
        <v>—</v>
      </c>
      <c r="E1529" s="16">
        <f t="shared" ca="1" si="72"/>
        <v>7</v>
      </c>
    </row>
    <row r="1530" spans="1:5" x14ac:dyDescent="0.25">
      <c r="A1530" s="3">
        <f t="shared" si="70"/>
        <v>78989</v>
      </c>
      <c r="B1530" t="str">
        <f ca="1">TEXT(DATE(YEAR(Invoer!$A$5),1,1)+INT((ROWS(B$2:B1530)-1)/24),"""18""jjmmdd")</f>
        <v>18980305</v>
      </c>
      <c r="C1530" s="11" t="str">
        <f>INDEX(Data,2,2+MOD(ROWS(C$2:C1530)-1,24))</f>
        <v>17.00</v>
      </c>
      <c r="D1530" s="8" t="str">
        <f t="shared" ca="1" si="71"/>
        <v>—</v>
      </c>
      <c r="E1530" s="16">
        <f t="shared" ca="1" si="72"/>
        <v>7</v>
      </c>
    </row>
    <row r="1531" spans="1:5" x14ac:dyDescent="0.25">
      <c r="A1531" s="3">
        <f t="shared" si="70"/>
        <v>78989</v>
      </c>
      <c r="B1531" t="str">
        <f ca="1">TEXT(DATE(YEAR(Invoer!$A$5),1,1)+INT((ROWS(B$2:B1531)-1)/24),"""18""jjmmdd")</f>
        <v>18980305</v>
      </c>
      <c r="C1531" s="11" t="str">
        <f>INDEX(Data,2,2+MOD(ROWS(C$2:C1531)-1,24))</f>
        <v>18.00</v>
      </c>
      <c r="D1531" s="8" t="str">
        <f t="shared" ca="1" si="71"/>
        <v>—</v>
      </c>
      <c r="E1531" s="16">
        <f t="shared" ca="1" si="72"/>
        <v>7</v>
      </c>
    </row>
    <row r="1532" spans="1:5" x14ac:dyDescent="0.25">
      <c r="A1532" s="3">
        <f t="shared" si="70"/>
        <v>78989</v>
      </c>
      <c r="B1532" t="str">
        <f ca="1">TEXT(DATE(YEAR(Invoer!$A$5),1,1)+INT((ROWS(B$2:B1532)-1)/24),"""18""jjmmdd")</f>
        <v>18980305</v>
      </c>
      <c r="C1532" s="11" t="str">
        <f>INDEX(Data,2,2+MOD(ROWS(C$2:C1532)-1,24))</f>
        <v>19.00</v>
      </c>
      <c r="D1532" s="8" t="str">
        <f t="shared" ca="1" si="71"/>
        <v>—</v>
      </c>
      <c r="E1532" s="16">
        <f t="shared" ca="1" si="72"/>
        <v>7</v>
      </c>
    </row>
    <row r="1533" spans="1:5" x14ac:dyDescent="0.25">
      <c r="A1533" s="3">
        <f t="shared" si="70"/>
        <v>78989</v>
      </c>
      <c r="B1533" t="str">
        <f ca="1">TEXT(DATE(YEAR(Invoer!$A$5),1,1)+INT((ROWS(B$2:B1533)-1)/24),"""18""jjmmdd")</f>
        <v>18980305</v>
      </c>
      <c r="C1533" s="11" t="str">
        <f>INDEX(Data,2,2+MOD(ROWS(C$2:C1533)-1,24))</f>
        <v>20.00</v>
      </c>
      <c r="D1533" s="8" t="str">
        <f t="shared" ca="1" si="71"/>
        <v>—</v>
      </c>
      <c r="E1533" s="16">
        <f t="shared" ca="1" si="72"/>
        <v>7</v>
      </c>
    </row>
    <row r="1534" spans="1:5" x14ac:dyDescent="0.25">
      <c r="A1534" s="3">
        <f t="shared" si="70"/>
        <v>78989</v>
      </c>
      <c r="B1534" t="str">
        <f ca="1">TEXT(DATE(YEAR(Invoer!$A$5),1,1)+INT((ROWS(B$2:B1534)-1)/24),"""18""jjmmdd")</f>
        <v>18980305</v>
      </c>
      <c r="C1534" s="11" t="str">
        <f>INDEX(Data,2,2+MOD(ROWS(C$2:C1534)-1,24))</f>
        <v>21.00</v>
      </c>
      <c r="D1534" s="8" t="str">
        <f t="shared" ca="1" si="71"/>
        <v>—</v>
      </c>
      <c r="E1534" s="16">
        <f t="shared" ca="1" si="72"/>
        <v>7</v>
      </c>
    </row>
    <row r="1535" spans="1:5" x14ac:dyDescent="0.25">
      <c r="A1535" s="3">
        <f t="shared" si="70"/>
        <v>78989</v>
      </c>
      <c r="B1535" t="str">
        <f ca="1">TEXT(DATE(YEAR(Invoer!$A$5),1,1)+INT((ROWS(B$2:B1535)-1)/24),"""18""jjmmdd")</f>
        <v>18980305</v>
      </c>
      <c r="C1535" s="11" t="str">
        <f>INDEX(Data,2,2+MOD(ROWS(C$2:C1535)-1,24))</f>
        <v>22.00</v>
      </c>
      <c r="D1535" s="8" t="str">
        <f t="shared" ca="1" si="71"/>
        <v>—</v>
      </c>
      <c r="E1535" s="16">
        <f t="shared" ca="1" si="72"/>
        <v>7</v>
      </c>
    </row>
    <row r="1536" spans="1:5" x14ac:dyDescent="0.25">
      <c r="A1536" s="3">
        <f t="shared" si="70"/>
        <v>78989</v>
      </c>
      <c r="B1536" t="str">
        <f ca="1">TEXT(DATE(YEAR(Invoer!$A$5),1,1)+INT((ROWS(B$2:B1536)-1)/24),"""18""jjmmdd")</f>
        <v>18980305</v>
      </c>
      <c r="C1536" s="11" t="str">
        <f>INDEX(Data,2,2+MOD(ROWS(C$2:C1536)-1,24))</f>
        <v>23.00</v>
      </c>
      <c r="D1536" s="8" t="str">
        <f t="shared" ca="1" si="71"/>
        <v>—</v>
      </c>
      <c r="E1536" s="16">
        <f t="shared" ca="1" si="72"/>
        <v>7</v>
      </c>
    </row>
    <row r="1537" spans="1:5" x14ac:dyDescent="0.25">
      <c r="A1537" s="3">
        <f t="shared" si="70"/>
        <v>78989</v>
      </c>
      <c r="B1537" t="str">
        <f ca="1">TEXT(DATE(YEAR(Invoer!$A$5),1,1)+INT((ROWS(B$2:B1537)-1)/24),"""18""jjmmdd")</f>
        <v>18980305</v>
      </c>
      <c r="C1537" s="11" t="str">
        <f>INDEX(Data,2,2+MOD(ROWS(C$2:C1537)-1,24))</f>
        <v>24.00</v>
      </c>
      <c r="D1537" s="8" t="str">
        <f t="shared" ca="1" si="71"/>
        <v>—</v>
      </c>
      <c r="E1537" s="16">
        <f t="shared" ca="1" si="72"/>
        <v>7</v>
      </c>
    </row>
    <row r="1538" spans="1:5" x14ac:dyDescent="0.25">
      <c r="A1538" s="3">
        <f t="shared" ref="A1538:A1601" si="73">INDEX(Stations,2,1)</f>
        <v>78989</v>
      </c>
      <c r="B1538" t="str">
        <f ca="1">TEXT(DATE(YEAR(Invoer!$A$5),1,1)+INT((ROWS(B$2:B1538)-1)/24),"""18""jjmmdd")</f>
        <v>18980306</v>
      </c>
      <c r="C1538" s="11" t="str">
        <f>INDEX(Data,2,2+MOD(ROWS(C$2:C1538)-1,24))</f>
        <v>01.00</v>
      </c>
      <c r="D1538" s="8" t="str">
        <f t="shared" ref="D1538:D1601" ca="1" si="74">IF(OR(ISBLANK(VLOOKUP(DATEVALUE("37"&amp;MID($B1538,3,2)&amp;"-"&amp;MID($B1538,5,2)&amp;"-"&amp;RIGHT($B1538,2)),Data,MATCH(LEFT(VLOOKUP(D$1,Parameters,2,FALSE()),4)&amp;"*",OFFSET(Data,0,0,1),0)+MATCH($C1538,OFFSET(Data,1,0,1),0)-2,FALSE())),ISTEXT(VLOOKUP(DATEVALUE("37"&amp;MID($B1538,3,2)&amp;"-"&amp;MID($B1538,5,2)&amp;"-"&amp;RIGHT($B1538,2)),Data,MATCH(LEFT(VLOOKUP(D$1,Parameters,2,FALSE()),4)&amp;"*",OFFSET(Data,0,0,1),0)+MATCH($C1538,OFFSET(Data,1,0,1),0)-2,FALSE()))),"—",VLOOKUP(DATEVALUE("37"&amp;MID($B1538,3,2)&amp;"-"&amp;MID($B1538,5,2)&amp;"-"&amp;RIGHT($B1538,2)),Data,MATCH(LEFT(VLOOKUP(D$1,Parameters,2,FALSE()),4)&amp;"*",OFFSET(Data,0,0,1),0)+MATCH($C1538,OFFSET(Data,1,0,1),0)-2,FALSE()))</f>
        <v>—</v>
      </c>
      <c r="E1538" s="16">
        <f t="shared" ca="1" si="72"/>
        <v>7</v>
      </c>
    </row>
    <row r="1539" spans="1:5" x14ac:dyDescent="0.25">
      <c r="A1539" s="3">
        <f t="shared" si="73"/>
        <v>78989</v>
      </c>
      <c r="B1539" t="str">
        <f ca="1">TEXT(DATE(YEAR(Invoer!$A$5),1,1)+INT((ROWS(B$2:B1539)-1)/24),"""18""jjmmdd")</f>
        <v>18980306</v>
      </c>
      <c r="C1539" s="11" t="str">
        <f>INDEX(Data,2,2+MOD(ROWS(C$2:C1539)-1,24))</f>
        <v>02.00</v>
      </c>
      <c r="D1539" s="8" t="str">
        <f t="shared" ca="1" si="74"/>
        <v>—</v>
      </c>
      <c r="E1539" s="16">
        <f t="shared" ref="E1539:E1602" ca="1" si="75">IF(OR(ISBLANK(VLOOKUP(DATEVALUE("37"&amp;MID($B1539,3,2)&amp;"-"&amp;MID($B1539,5,2)&amp;"-"&amp;RIGHT($B1539,2)),Data,MATCH(LEFT(VLOOKUP(D$1,Parameters,2,FALSE()),4)&amp;"*",OFFSET(Data,0,0,1),0)+MATCH($C1539,OFFSET(Data,1,0,1),0)-2,FALSE())),ISTEXT(VLOOKUP(DATEVALUE("37"&amp;MID($B1539,3,2)&amp;"-"&amp;MID($B1539,5,2)&amp;"-"&amp;RIGHT($B1539,2)),Data,MATCH(LEFT(VLOOKUP(D$1,Parameters,2,FALSE()),4)&amp;"*",OFFSET(Data,0,0,1),0)+MATCH($C1539,OFFSET(Data,1,0,1),0)-2,FALSE()))),Lacking,IF(ISNA(MATCH(DATEVALUE("37"&amp;MID($B1539,3,2)&amp;"-"&amp;MID($B1539,5,2)&amp;"-"&amp;RIGHT($B1539,2)),OFFSET(Catalogus,0,0,,1),0)),Ok,VLOOKUP(DATEVALUE("37"&amp;MID($B1539,3,2)&amp;"-"&amp;MID($B1539,5,2)&amp;"-"&amp;RIGHT($B1539,2)),Catalogus,MATCH(LEFT(VLOOKUP(MID(E$1,2,LEN(E$1)-1),Parameters,2,FALSE()),4)&amp;"*",OFFSET(Catalogus,0,0,1),0)+MATCH($C1539,OFFSET(Catalogus,1,0,1),0)-2,FALSE())))</f>
        <v>7</v>
      </c>
    </row>
    <row r="1540" spans="1:5" x14ac:dyDescent="0.25">
      <c r="A1540" s="3">
        <f t="shared" si="73"/>
        <v>78989</v>
      </c>
      <c r="B1540" t="str">
        <f ca="1">TEXT(DATE(YEAR(Invoer!$A$5),1,1)+INT((ROWS(B$2:B1540)-1)/24),"""18""jjmmdd")</f>
        <v>18980306</v>
      </c>
      <c r="C1540" s="11" t="str">
        <f>INDEX(Data,2,2+MOD(ROWS(C$2:C1540)-1,24))</f>
        <v>03.00</v>
      </c>
      <c r="D1540" s="8" t="str">
        <f t="shared" ca="1" si="74"/>
        <v>—</v>
      </c>
      <c r="E1540" s="16">
        <f t="shared" ca="1" si="75"/>
        <v>7</v>
      </c>
    </row>
    <row r="1541" spans="1:5" x14ac:dyDescent="0.25">
      <c r="A1541" s="3">
        <f t="shared" si="73"/>
        <v>78989</v>
      </c>
      <c r="B1541" t="str">
        <f ca="1">TEXT(DATE(YEAR(Invoer!$A$5),1,1)+INT((ROWS(B$2:B1541)-1)/24),"""18""jjmmdd")</f>
        <v>18980306</v>
      </c>
      <c r="C1541" s="11" t="str">
        <f>INDEX(Data,2,2+MOD(ROWS(C$2:C1541)-1,24))</f>
        <v>04.00</v>
      </c>
      <c r="D1541" s="8" t="str">
        <f t="shared" ca="1" si="74"/>
        <v>—</v>
      </c>
      <c r="E1541" s="16">
        <f t="shared" ca="1" si="75"/>
        <v>7</v>
      </c>
    </row>
    <row r="1542" spans="1:5" x14ac:dyDescent="0.25">
      <c r="A1542" s="3">
        <f t="shared" si="73"/>
        <v>78989</v>
      </c>
      <c r="B1542" t="str">
        <f ca="1">TEXT(DATE(YEAR(Invoer!$A$5),1,1)+INT((ROWS(B$2:B1542)-1)/24),"""18""jjmmdd")</f>
        <v>18980306</v>
      </c>
      <c r="C1542" s="11" t="str">
        <f>INDEX(Data,2,2+MOD(ROWS(C$2:C1542)-1,24))</f>
        <v>05.00</v>
      </c>
      <c r="D1542" s="8" t="str">
        <f t="shared" ca="1" si="74"/>
        <v>—</v>
      </c>
      <c r="E1542" s="16">
        <f t="shared" ca="1" si="75"/>
        <v>7</v>
      </c>
    </row>
    <row r="1543" spans="1:5" x14ac:dyDescent="0.25">
      <c r="A1543" s="3">
        <f t="shared" si="73"/>
        <v>78989</v>
      </c>
      <c r="B1543" t="str">
        <f ca="1">TEXT(DATE(YEAR(Invoer!$A$5),1,1)+INT((ROWS(B$2:B1543)-1)/24),"""18""jjmmdd")</f>
        <v>18980306</v>
      </c>
      <c r="C1543" s="11" t="str">
        <f>INDEX(Data,2,2+MOD(ROWS(C$2:C1543)-1,24))</f>
        <v>06.00</v>
      </c>
      <c r="D1543" s="8" t="str">
        <f t="shared" ca="1" si="74"/>
        <v>—</v>
      </c>
      <c r="E1543" s="16">
        <f t="shared" ca="1" si="75"/>
        <v>7</v>
      </c>
    </row>
    <row r="1544" spans="1:5" x14ac:dyDescent="0.25">
      <c r="A1544" s="3">
        <f t="shared" si="73"/>
        <v>78989</v>
      </c>
      <c r="B1544" t="str">
        <f ca="1">TEXT(DATE(YEAR(Invoer!$A$5),1,1)+INT((ROWS(B$2:B1544)-1)/24),"""18""jjmmdd")</f>
        <v>18980306</v>
      </c>
      <c r="C1544" s="11" t="str">
        <f>INDEX(Data,2,2+MOD(ROWS(C$2:C1544)-1,24))</f>
        <v>07.00</v>
      </c>
      <c r="D1544" s="8" t="str">
        <f t="shared" ca="1" si="74"/>
        <v>—</v>
      </c>
      <c r="E1544" s="16">
        <f t="shared" ca="1" si="75"/>
        <v>7</v>
      </c>
    </row>
    <row r="1545" spans="1:5" x14ac:dyDescent="0.25">
      <c r="A1545" s="3">
        <f t="shared" si="73"/>
        <v>78989</v>
      </c>
      <c r="B1545" t="str">
        <f ca="1">TEXT(DATE(YEAR(Invoer!$A$5),1,1)+INT((ROWS(B$2:B1545)-1)/24),"""18""jjmmdd")</f>
        <v>18980306</v>
      </c>
      <c r="C1545" s="11" t="str">
        <f>INDEX(Data,2,2+MOD(ROWS(C$2:C1545)-1,24))</f>
        <v>08.00</v>
      </c>
      <c r="D1545" s="8" t="str">
        <f t="shared" ca="1" si="74"/>
        <v>—</v>
      </c>
      <c r="E1545" s="16">
        <f t="shared" ca="1" si="75"/>
        <v>7</v>
      </c>
    </row>
    <row r="1546" spans="1:5" x14ac:dyDescent="0.25">
      <c r="A1546" s="3">
        <f t="shared" si="73"/>
        <v>78989</v>
      </c>
      <c r="B1546" t="str">
        <f ca="1">TEXT(DATE(YEAR(Invoer!$A$5),1,1)+INT((ROWS(B$2:B1546)-1)/24),"""18""jjmmdd")</f>
        <v>18980306</v>
      </c>
      <c r="C1546" s="11" t="str">
        <f>INDEX(Data,2,2+MOD(ROWS(C$2:C1546)-1,24))</f>
        <v>09.00</v>
      </c>
      <c r="D1546" s="8" t="str">
        <f t="shared" ca="1" si="74"/>
        <v>—</v>
      </c>
      <c r="E1546" s="16">
        <f t="shared" ca="1" si="75"/>
        <v>7</v>
      </c>
    </row>
    <row r="1547" spans="1:5" x14ac:dyDescent="0.25">
      <c r="A1547" s="3">
        <f t="shared" si="73"/>
        <v>78989</v>
      </c>
      <c r="B1547" t="str">
        <f ca="1">TEXT(DATE(YEAR(Invoer!$A$5),1,1)+INT((ROWS(B$2:B1547)-1)/24),"""18""jjmmdd")</f>
        <v>18980306</v>
      </c>
      <c r="C1547" s="11" t="str">
        <f>INDEX(Data,2,2+MOD(ROWS(C$2:C1547)-1,24))</f>
        <v>10.00</v>
      </c>
      <c r="D1547" s="8" t="str">
        <f t="shared" ca="1" si="74"/>
        <v>—</v>
      </c>
      <c r="E1547" s="16">
        <f t="shared" ca="1" si="75"/>
        <v>7</v>
      </c>
    </row>
    <row r="1548" spans="1:5" x14ac:dyDescent="0.25">
      <c r="A1548" s="3">
        <f t="shared" si="73"/>
        <v>78989</v>
      </c>
      <c r="B1548" t="str">
        <f ca="1">TEXT(DATE(YEAR(Invoer!$A$5),1,1)+INT((ROWS(B$2:B1548)-1)/24),"""18""jjmmdd")</f>
        <v>18980306</v>
      </c>
      <c r="C1548" s="11" t="str">
        <f>INDEX(Data,2,2+MOD(ROWS(C$2:C1548)-1,24))</f>
        <v>11.00</v>
      </c>
      <c r="D1548" s="8" t="str">
        <f t="shared" ca="1" si="74"/>
        <v>—</v>
      </c>
      <c r="E1548" s="16">
        <f t="shared" ca="1" si="75"/>
        <v>7</v>
      </c>
    </row>
    <row r="1549" spans="1:5" x14ac:dyDescent="0.25">
      <c r="A1549" s="3">
        <f t="shared" si="73"/>
        <v>78989</v>
      </c>
      <c r="B1549" t="str">
        <f ca="1">TEXT(DATE(YEAR(Invoer!$A$5),1,1)+INT((ROWS(B$2:B1549)-1)/24),"""18""jjmmdd")</f>
        <v>18980306</v>
      </c>
      <c r="C1549" s="11" t="str">
        <f>INDEX(Data,2,2+MOD(ROWS(C$2:C1549)-1,24))</f>
        <v>12.00</v>
      </c>
      <c r="D1549" s="8" t="str">
        <f t="shared" ca="1" si="74"/>
        <v>—</v>
      </c>
      <c r="E1549" s="16">
        <f t="shared" ca="1" si="75"/>
        <v>7</v>
      </c>
    </row>
    <row r="1550" spans="1:5" x14ac:dyDescent="0.25">
      <c r="A1550" s="3">
        <f t="shared" si="73"/>
        <v>78989</v>
      </c>
      <c r="B1550" t="str">
        <f ca="1">TEXT(DATE(YEAR(Invoer!$A$5),1,1)+INT((ROWS(B$2:B1550)-1)/24),"""18""jjmmdd")</f>
        <v>18980306</v>
      </c>
      <c r="C1550" s="11" t="str">
        <f>INDEX(Data,2,2+MOD(ROWS(C$2:C1550)-1,24))</f>
        <v>13.00</v>
      </c>
      <c r="D1550" s="8" t="str">
        <f t="shared" ca="1" si="74"/>
        <v>—</v>
      </c>
      <c r="E1550" s="16">
        <f t="shared" ca="1" si="75"/>
        <v>7</v>
      </c>
    </row>
    <row r="1551" spans="1:5" x14ac:dyDescent="0.25">
      <c r="A1551" s="3">
        <f t="shared" si="73"/>
        <v>78989</v>
      </c>
      <c r="B1551" t="str">
        <f ca="1">TEXT(DATE(YEAR(Invoer!$A$5),1,1)+INT((ROWS(B$2:B1551)-1)/24),"""18""jjmmdd")</f>
        <v>18980306</v>
      </c>
      <c r="C1551" s="11" t="str">
        <f>INDEX(Data,2,2+MOD(ROWS(C$2:C1551)-1,24))</f>
        <v>14.00</v>
      </c>
      <c r="D1551" s="8" t="str">
        <f t="shared" ca="1" si="74"/>
        <v>—</v>
      </c>
      <c r="E1551" s="16">
        <f t="shared" ca="1" si="75"/>
        <v>7</v>
      </c>
    </row>
    <row r="1552" spans="1:5" x14ac:dyDescent="0.25">
      <c r="A1552" s="3">
        <f t="shared" si="73"/>
        <v>78989</v>
      </c>
      <c r="B1552" t="str">
        <f ca="1">TEXT(DATE(YEAR(Invoer!$A$5),1,1)+INT((ROWS(B$2:B1552)-1)/24),"""18""jjmmdd")</f>
        <v>18980306</v>
      </c>
      <c r="C1552" s="11" t="str">
        <f>INDEX(Data,2,2+MOD(ROWS(C$2:C1552)-1,24))</f>
        <v>15.00</v>
      </c>
      <c r="D1552" s="8" t="str">
        <f t="shared" ca="1" si="74"/>
        <v>—</v>
      </c>
      <c r="E1552" s="16">
        <f t="shared" ca="1" si="75"/>
        <v>7</v>
      </c>
    </row>
    <row r="1553" spans="1:5" x14ac:dyDescent="0.25">
      <c r="A1553" s="3">
        <f t="shared" si="73"/>
        <v>78989</v>
      </c>
      <c r="B1553" t="str">
        <f ca="1">TEXT(DATE(YEAR(Invoer!$A$5),1,1)+INT((ROWS(B$2:B1553)-1)/24),"""18""jjmmdd")</f>
        <v>18980306</v>
      </c>
      <c r="C1553" s="11" t="str">
        <f>INDEX(Data,2,2+MOD(ROWS(C$2:C1553)-1,24))</f>
        <v>16.00</v>
      </c>
      <c r="D1553" s="8" t="str">
        <f t="shared" ca="1" si="74"/>
        <v>—</v>
      </c>
      <c r="E1553" s="16">
        <f t="shared" ca="1" si="75"/>
        <v>7</v>
      </c>
    </row>
    <row r="1554" spans="1:5" x14ac:dyDescent="0.25">
      <c r="A1554" s="3">
        <f t="shared" si="73"/>
        <v>78989</v>
      </c>
      <c r="B1554" t="str">
        <f ca="1">TEXT(DATE(YEAR(Invoer!$A$5),1,1)+INT((ROWS(B$2:B1554)-1)/24),"""18""jjmmdd")</f>
        <v>18980306</v>
      </c>
      <c r="C1554" s="11" t="str">
        <f>INDEX(Data,2,2+MOD(ROWS(C$2:C1554)-1,24))</f>
        <v>17.00</v>
      </c>
      <c r="D1554" s="8" t="str">
        <f t="shared" ca="1" si="74"/>
        <v>—</v>
      </c>
      <c r="E1554" s="16">
        <f t="shared" ca="1" si="75"/>
        <v>7</v>
      </c>
    </row>
    <row r="1555" spans="1:5" x14ac:dyDescent="0.25">
      <c r="A1555" s="3">
        <f t="shared" si="73"/>
        <v>78989</v>
      </c>
      <c r="B1555" t="str">
        <f ca="1">TEXT(DATE(YEAR(Invoer!$A$5),1,1)+INT((ROWS(B$2:B1555)-1)/24),"""18""jjmmdd")</f>
        <v>18980306</v>
      </c>
      <c r="C1555" s="11" t="str">
        <f>INDEX(Data,2,2+MOD(ROWS(C$2:C1555)-1,24))</f>
        <v>18.00</v>
      </c>
      <c r="D1555" s="8" t="str">
        <f t="shared" ca="1" si="74"/>
        <v>—</v>
      </c>
      <c r="E1555" s="16">
        <f t="shared" ca="1" si="75"/>
        <v>7</v>
      </c>
    </row>
    <row r="1556" spans="1:5" x14ac:dyDescent="0.25">
      <c r="A1556" s="3">
        <f t="shared" si="73"/>
        <v>78989</v>
      </c>
      <c r="B1556" t="str">
        <f ca="1">TEXT(DATE(YEAR(Invoer!$A$5),1,1)+INT((ROWS(B$2:B1556)-1)/24),"""18""jjmmdd")</f>
        <v>18980306</v>
      </c>
      <c r="C1556" s="11" t="str">
        <f>INDEX(Data,2,2+MOD(ROWS(C$2:C1556)-1,24))</f>
        <v>19.00</v>
      </c>
      <c r="D1556" s="8" t="str">
        <f t="shared" ca="1" si="74"/>
        <v>—</v>
      </c>
      <c r="E1556" s="16">
        <f t="shared" ca="1" si="75"/>
        <v>7</v>
      </c>
    </row>
    <row r="1557" spans="1:5" x14ac:dyDescent="0.25">
      <c r="A1557" s="3">
        <f t="shared" si="73"/>
        <v>78989</v>
      </c>
      <c r="B1557" t="str">
        <f ca="1">TEXT(DATE(YEAR(Invoer!$A$5),1,1)+INT((ROWS(B$2:B1557)-1)/24),"""18""jjmmdd")</f>
        <v>18980306</v>
      </c>
      <c r="C1557" s="11" t="str">
        <f>INDEX(Data,2,2+MOD(ROWS(C$2:C1557)-1,24))</f>
        <v>20.00</v>
      </c>
      <c r="D1557" s="8" t="str">
        <f t="shared" ca="1" si="74"/>
        <v>—</v>
      </c>
      <c r="E1557" s="16">
        <f t="shared" ca="1" si="75"/>
        <v>7</v>
      </c>
    </row>
    <row r="1558" spans="1:5" x14ac:dyDescent="0.25">
      <c r="A1558" s="3">
        <f t="shared" si="73"/>
        <v>78989</v>
      </c>
      <c r="B1558" t="str">
        <f ca="1">TEXT(DATE(YEAR(Invoer!$A$5),1,1)+INT((ROWS(B$2:B1558)-1)/24),"""18""jjmmdd")</f>
        <v>18980306</v>
      </c>
      <c r="C1558" s="11" t="str">
        <f>INDEX(Data,2,2+MOD(ROWS(C$2:C1558)-1,24))</f>
        <v>21.00</v>
      </c>
      <c r="D1558" s="8" t="str">
        <f t="shared" ca="1" si="74"/>
        <v>—</v>
      </c>
      <c r="E1558" s="16">
        <f t="shared" ca="1" si="75"/>
        <v>7</v>
      </c>
    </row>
    <row r="1559" spans="1:5" x14ac:dyDescent="0.25">
      <c r="A1559" s="3">
        <f t="shared" si="73"/>
        <v>78989</v>
      </c>
      <c r="B1559" t="str">
        <f ca="1">TEXT(DATE(YEAR(Invoer!$A$5),1,1)+INT((ROWS(B$2:B1559)-1)/24),"""18""jjmmdd")</f>
        <v>18980306</v>
      </c>
      <c r="C1559" s="11" t="str">
        <f>INDEX(Data,2,2+MOD(ROWS(C$2:C1559)-1,24))</f>
        <v>22.00</v>
      </c>
      <c r="D1559" s="8" t="str">
        <f t="shared" ca="1" si="74"/>
        <v>—</v>
      </c>
      <c r="E1559" s="16">
        <f t="shared" ca="1" si="75"/>
        <v>7</v>
      </c>
    </row>
    <row r="1560" spans="1:5" x14ac:dyDescent="0.25">
      <c r="A1560" s="3">
        <f t="shared" si="73"/>
        <v>78989</v>
      </c>
      <c r="B1560" t="str">
        <f ca="1">TEXT(DATE(YEAR(Invoer!$A$5),1,1)+INT((ROWS(B$2:B1560)-1)/24),"""18""jjmmdd")</f>
        <v>18980306</v>
      </c>
      <c r="C1560" s="11" t="str">
        <f>INDEX(Data,2,2+MOD(ROWS(C$2:C1560)-1,24))</f>
        <v>23.00</v>
      </c>
      <c r="D1560" s="8" t="str">
        <f t="shared" ca="1" si="74"/>
        <v>—</v>
      </c>
      <c r="E1560" s="16">
        <f t="shared" ca="1" si="75"/>
        <v>7</v>
      </c>
    </row>
    <row r="1561" spans="1:5" x14ac:dyDescent="0.25">
      <c r="A1561" s="3">
        <f t="shared" si="73"/>
        <v>78989</v>
      </c>
      <c r="B1561" t="str">
        <f ca="1">TEXT(DATE(YEAR(Invoer!$A$5),1,1)+INT((ROWS(B$2:B1561)-1)/24),"""18""jjmmdd")</f>
        <v>18980306</v>
      </c>
      <c r="C1561" s="11" t="str">
        <f>INDEX(Data,2,2+MOD(ROWS(C$2:C1561)-1,24))</f>
        <v>24.00</v>
      </c>
      <c r="D1561" s="8" t="str">
        <f t="shared" ca="1" si="74"/>
        <v>—</v>
      </c>
      <c r="E1561" s="16">
        <f t="shared" ca="1" si="75"/>
        <v>7</v>
      </c>
    </row>
    <row r="1562" spans="1:5" x14ac:dyDescent="0.25">
      <c r="A1562" s="3">
        <f t="shared" si="73"/>
        <v>78989</v>
      </c>
      <c r="B1562" t="str">
        <f ca="1">TEXT(DATE(YEAR(Invoer!$A$5),1,1)+INT((ROWS(B$2:B1562)-1)/24),"""18""jjmmdd")</f>
        <v>18980307</v>
      </c>
      <c r="C1562" s="11" t="str">
        <f>INDEX(Data,2,2+MOD(ROWS(C$2:C1562)-1,24))</f>
        <v>01.00</v>
      </c>
      <c r="D1562" s="8" t="str">
        <f t="shared" ca="1" si="74"/>
        <v>—</v>
      </c>
      <c r="E1562" s="16">
        <f t="shared" ca="1" si="75"/>
        <v>7</v>
      </c>
    </row>
    <row r="1563" spans="1:5" x14ac:dyDescent="0.25">
      <c r="A1563" s="3">
        <f t="shared" si="73"/>
        <v>78989</v>
      </c>
      <c r="B1563" t="str">
        <f ca="1">TEXT(DATE(YEAR(Invoer!$A$5),1,1)+INT((ROWS(B$2:B1563)-1)/24),"""18""jjmmdd")</f>
        <v>18980307</v>
      </c>
      <c r="C1563" s="11" t="str">
        <f>INDEX(Data,2,2+MOD(ROWS(C$2:C1563)-1,24))</f>
        <v>02.00</v>
      </c>
      <c r="D1563" s="8" t="str">
        <f t="shared" ca="1" si="74"/>
        <v>—</v>
      </c>
      <c r="E1563" s="16">
        <f t="shared" ca="1" si="75"/>
        <v>7</v>
      </c>
    </row>
    <row r="1564" spans="1:5" x14ac:dyDescent="0.25">
      <c r="A1564" s="3">
        <f t="shared" si="73"/>
        <v>78989</v>
      </c>
      <c r="B1564" t="str">
        <f ca="1">TEXT(DATE(YEAR(Invoer!$A$5),1,1)+INT((ROWS(B$2:B1564)-1)/24),"""18""jjmmdd")</f>
        <v>18980307</v>
      </c>
      <c r="C1564" s="11" t="str">
        <f>INDEX(Data,2,2+MOD(ROWS(C$2:C1564)-1,24))</f>
        <v>03.00</v>
      </c>
      <c r="D1564" s="8" t="str">
        <f t="shared" ca="1" si="74"/>
        <v>—</v>
      </c>
      <c r="E1564" s="16">
        <f t="shared" ca="1" si="75"/>
        <v>7</v>
      </c>
    </row>
    <row r="1565" spans="1:5" x14ac:dyDescent="0.25">
      <c r="A1565" s="3">
        <f t="shared" si="73"/>
        <v>78989</v>
      </c>
      <c r="B1565" t="str">
        <f ca="1">TEXT(DATE(YEAR(Invoer!$A$5),1,1)+INT((ROWS(B$2:B1565)-1)/24),"""18""jjmmdd")</f>
        <v>18980307</v>
      </c>
      <c r="C1565" s="11" t="str">
        <f>INDEX(Data,2,2+MOD(ROWS(C$2:C1565)-1,24))</f>
        <v>04.00</v>
      </c>
      <c r="D1565" s="8" t="str">
        <f t="shared" ca="1" si="74"/>
        <v>—</v>
      </c>
      <c r="E1565" s="16">
        <f t="shared" ca="1" si="75"/>
        <v>7</v>
      </c>
    </row>
    <row r="1566" spans="1:5" x14ac:dyDescent="0.25">
      <c r="A1566" s="3">
        <f t="shared" si="73"/>
        <v>78989</v>
      </c>
      <c r="B1566" t="str">
        <f ca="1">TEXT(DATE(YEAR(Invoer!$A$5),1,1)+INT((ROWS(B$2:B1566)-1)/24),"""18""jjmmdd")</f>
        <v>18980307</v>
      </c>
      <c r="C1566" s="11" t="str">
        <f>INDEX(Data,2,2+MOD(ROWS(C$2:C1566)-1,24))</f>
        <v>05.00</v>
      </c>
      <c r="D1566" s="8" t="str">
        <f t="shared" ca="1" si="74"/>
        <v>—</v>
      </c>
      <c r="E1566" s="16">
        <f t="shared" ca="1" si="75"/>
        <v>7</v>
      </c>
    </row>
    <row r="1567" spans="1:5" x14ac:dyDescent="0.25">
      <c r="A1567" s="3">
        <f t="shared" si="73"/>
        <v>78989</v>
      </c>
      <c r="B1567" t="str">
        <f ca="1">TEXT(DATE(YEAR(Invoer!$A$5),1,1)+INT((ROWS(B$2:B1567)-1)/24),"""18""jjmmdd")</f>
        <v>18980307</v>
      </c>
      <c r="C1567" s="11" t="str">
        <f>INDEX(Data,2,2+MOD(ROWS(C$2:C1567)-1,24))</f>
        <v>06.00</v>
      </c>
      <c r="D1567" s="8" t="str">
        <f t="shared" ca="1" si="74"/>
        <v>—</v>
      </c>
      <c r="E1567" s="16">
        <f t="shared" ca="1" si="75"/>
        <v>7</v>
      </c>
    </row>
    <row r="1568" spans="1:5" x14ac:dyDescent="0.25">
      <c r="A1568" s="3">
        <f t="shared" si="73"/>
        <v>78989</v>
      </c>
      <c r="B1568" t="str">
        <f ca="1">TEXT(DATE(YEAR(Invoer!$A$5),1,1)+INT((ROWS(B$2:B1568)-1)/24),"""18""jjmmdd")</f>
        <v>18980307</v>
      </c>
      <c r="C1568" s="11" t="str">
        <f>INDEX(Data,2,2+MOD(ROWS(C$2:C1568)-1,24))</f>
        <v>07.00</v>
      </c>
      <c r="D1568" s="8" t="str">
        <f t="shared" ca="1" si="74"/>
        <v>—</v>
      </c>
      <c r="E1568" s="16">
        <f t="shared" ca="1" si="75"/>
        <v>7</v>
      </c>
    </row>
    <row r="1569" spans="1:5" x14ac:dyDescent="0.25">
      <c r="A1569" s="3">
        <f t="shared" si="73"/>
        <v>78989</v>
      </c>
      <c r="B1569" t="str">
        <f ca="1">TEXT(DATE(YEAR(Invoer!$A$5),1,1)+INT((ROWS(B$2:B1569)-1)/24),"""18""jjmmdd")</f>
        <v>18980307</v>
      </c>
      <c r="C1569" s="11" t="str">
        <f>INDEX(Data,2,2+MOD(ROWS(C$2:C1569)-1,24))</f>
        <v>08.00</v>
      </c>
      <c r="D1569" s="8" t="str">
        <f t="shared" ca="1" si="74"/>
        <v>—</v>
      </c>
      <c r="E1569" s="16">
        <f t="shared" ca="1" si="75"/>
        <v>7</v>
      </c>
    </row>
    <row r="1570" spans="1:5" x14ac:dyDescent="0.25">
      <c r="A1570" s="3">
        <f t="shared" si="73"/>
        <v>78989</v>
      </c>
      <c r="B1570" t="str">
        <f ca="1">TEXT(DATE(YEAR(Invoer!$A$5),1,1)+INT((ROWS(B$2:B1570)-1)/24),"""18""jjmmdd")</f>
        <v>18980307</v>
      </c>
      <c r="C1570" s="11" t="str">
        <f>INDEX(Data,2,2+MOD(ROWS(C$2:C1570)-1,24))</f>
        <v>09.00</v>
      </c>
      <c r="D1570" s="8" t="str">
        <f t="shared" ca="1" si="74"/>
        <v>—</v>
      </c>
      <c r="E1570" s="16">
        <f t="shared" ca="1" si="75"/>
        <v>7</v>
      </c>
    </row>
    <row r="1571" spans="1:5" x14ac:dyDescent="0.25">
      <c r="A1571" s="3">
        <f t="shared" si="73"/>
        <v>78989</v>
      </c>
      <c r="B1571" t="str">
        <f ca="1">TEXT(DATE(YEAR(Invoer!$A$5),1,1)+INT((ROWS(B$2:B1571)-1)/24),"""18""jjmmdd")</f>
        <v>18980307</v>
      </c>
      <c r="C1571" s="11" t="str">
        <f>INDEX(Data,2,2+MOD(ROWS(C$2:C1571)-1,24))</f>
        <v>10.00</v>
      </c>
      <c r="D1571" s="8" t="str">
        <f t="shared" ca="1" si="74"/>
        <v>—</v>
      </c>
      <c r="E1571" s="16">
        <f t="shared" ca="1" si="75"/>
        <v>7</v>
      </c>
    </row>
    <row r="1572" spans="1:5" x14ac:dyDescent="0.25">
      <c r="A1572" s="3">
        <f t="shared" si="73"/>
        <v>78989</v>
      </c>
      <c r="B1572" t="str">
        <f ca="1">TEXT(DATE(YEAR(Invoer!$A$5),1,1)+INT((ROWS(B$2:B1572)-1)/24),"""18""jjmmdd")</f>
        <v>18980307</v>
      </c>
      <c r="C1572" s="11" t="str">
        <f>INDEX(Data,2,2+MOD(ROWS(C$2:C1572)-1,24))</f>
        <v>11.00</v>
      </c>
      <c r="D1572" s="8" t="str">
        <f t="shared" ca="1" si="74"/>
        <v>—</v>
      </c>
      <c r="E1572" s="16">
        <f t="shared" ca="1" si="75"/>
        <v>7</v>
      </c>
    </row>
    <row r="1573" spans="1:5" x14ac:dyDescent="0.25">
      <c r="A1573" s="3">
        <f t="shared" si="73"/>
        <v>78989</v>
      </c>
      <c r="B1573" t="str">
        <f ca="1">TEXT(DATE(YEAR(Invoer!$A$5),1,1)+INT((ROWS(B$2:B1573)-1)/24),"""18""jjmmdd")</f>
        <v>18980307</v>
      </c>
      <c r="C1573" s="11" t="str">
        <f>INDEX(Data,2,2+MOD(ROWS(C$2:C1573)-1,24))</f>
        <v>12.00</v>
      </c>
      <c r="D1573" s="8" t="str">
        <f t="shared" ca="1" si="74"/>
        <v>—</v>
      </c>
      <c r="E1573" s="16">
        <f t="shared" ca="1" si="75"/>
        <v>7</v>
      </c>
    </row>
    <row r="1574" spans="1:5" x14ac:dyDescent="0.25">
      <c r="A1574" s="3">
        <f t="shared" si="73"/>
        <v>78989</v>
      </c>
      <c r="B1574" t="str">
        <f ca="1">TEXT(DATE(YEAR(Invoer!$A$5),1,1)+INT((ROWS(B$2:B1574)-1)/24),"""18""jjmmdd")</f>
        <v>18980307</v>
      </c>
      <c r="C1574" s="11" t="str">
        <f>INDEX(Data,2,2+MOD(ROWS(C$2:C1574)-1,24))</f>
        <v>13.00</v>
      </c>
      <c r="D1574" s="8" t="str">
        <f t="shared" ca="1" si="74"/>
        <v>—</v>
      </c>
      <c r="E1574" s="16">
        <f t="shared" ca="1" si="75"/>
        <v>7</v>
      </c>
    </row>
    <row r="1575" spans="1:5" x14ac:dyDescent="0.25">
      <c r="A1575" s="3">
        <f t="shared" si="73"/>
        <v>78989</v>
      </c>
      <c r="B1575" t="str">
        <f ca="1">TEXT(DATE(YEAR(Invoer!$A$5),1,1)+INT((ROWS(B$2:B1575)-1)/24),"""18""jjmmdd")</f>
        <v>18980307</v>
      </c>
      <c r="C1575" s="11" t="str">
        <f>INDEX(Data,2,2+MOD(ROWS(C$2:C1575)-1,24))</f>
        <v>14.00</v>
      </c>
      <c r="D1575" s="8" t="str">
        <f t="shared" ca="1" si="74"/>
        <v>—</v>
      </c>
      <c r="E1575" s="16">
        <f t="shared" ca="1" si="75"/>
        <v>7</v>
      </c>
    </row>
    <row r="1576" spans="1:5" x14ac:dyDescent="0.25">
      <c r="A1576" s="3">
        <f t="shared" si="73"/>
        <v>78989</v>
      </c>
      <c r="B1576" t="str">
        <f ca="1">TEXT(DATE(YEAR(Invoer!$A$5),1,1)+INT((ROWS(B$2:B1576)-1)/24),"""18""jjmmdd")</f>
        <v>18980307</v>
      </c>
      <c r="C1576" s="11" t="str">
        <f>INDEX(Data,2,2+MOD(ROWS(C$2:C1576)-1,24))</f>
        <v>15.00</v>
      </c>
      <c r="D1576" s="8" t="str">
        <f t="shared" ca="1" si="74"/>
        <v>—</v>
      </c>
      <c r="E1576" s="16">
        <f t="shared" ca="1" si="75"/>
        <v>7</v>
      </c>
    </row>
    <row r="1577" spans="1:5" x14ac:dyDescent="0.25">
      <c r="A1577" s="3">
        <f t="shared" si="73"/>
        <v>78989</v>
      </c>
      <c r="B1577" t="str">
        <f ca="1">TEXT(DATE(YEAR(Invoer!$A$5),1,1)+INT((ROWS(B$2:B1577)-1)/24),"""18""jjmmdd")</f>
        <v>18980307</v>
      </c>
      <c r="C1577" s="11" t="str">
        <f>INDEX(Data,2,2+MOD(ROWS(C$2:C1577)-1,24))</f>
        <v>16.00</v>
      </c>
      <c r="D1577" s="8" t="str">
        <f t="shared" ca="1" si="74"/>
        <v>—</v>
      </c>
      <c r="E1577" s="16">
        <f t="shared" ca="1" si="75"/>
        <v>7</v>
      </c>
    </row>
    <row r="1578" spans="1:5" x14ac:dyDescent="0.25">
      <c r="A1578" s="3">
        <f t="shared" si="73"/>
        <v>78989</v>
      </c>
      <c r="B1578" t="str">
        <f ca="1">TEXT(DATE(YEAR(Invoer!$A$5),1,1)+INT((ROWS(B$2:B1578)-1)/24),"""18""jjmmdd")</f>
        <v>18980307</v>
      </c>
      <c r="C1578" s="11" t="str">
        <f>INDEX(Data,2,2+MOD(ROWS(C$2:C1578)-1,24))</f>
        <v>17.00</v>
      </c>
      <c r="D1578" s="8" t="str">
        <f t="shared" ca="1" si="74"/>
        <v>—</v>
      </c>
      <c r="E1578" s="16">
        <f t="shared" ca="1" si="75"/>
        <v>7</v>
      </c>
    </row>
    <row r="1579" spans="1:5" x14ac:dyDescent="0.25">
      <c r="A1579" s="3">
        <f t="shared" si="73"/>
        <v>78989</v>
      </c>
      <c r="B1579" t="str">
        <f ca="1">TEXT(DATE(YEAR(Invoer!$A$5),1,1)+INT((ROWS(B$2:B1579)-1)/24),"""18""jjmmdd")</f>
        <v>18980307</v>
      </c>
      <c r="C1579" s="11" t="str">
        <f>INDEX(Data,2,2+MOD(ROWS(C$2:C1579)-1,24))</f>
        <v>18.00</v>
      </c>
      <c r="D1579" s="8" t="str">
        <f t="shared" ca="1" si="74"/>
        <v>—</v>
      </c>
      <c r="E1579" s="16">
        <f t="shared" ca="1" si="75"/>
        <v>7</v>
      </c>
    </row>
    <row r="1580" spans="1:5" x14ac:dyDescent="0.25">
      <c r="A1580" s="3">
        <f t="shared" si="73"/>
        <v>78989</v>
      </c>
      <c r="B1580" t="str">
        <f ca="1">TEXT(DATE(YEAR(Invoer!$A$5),1,1)+INT((ROWS(B$2:B1580)-1)/24),"""18""jjmmdd")</f>
        <v>18980307</v>
      </c>
      <c r="C1580" s="11" t="str">
        <f>INDEX(Data,2,2+MOD(ROWS(C$2:C1580)-1,24))</f>
        <v>19.00</v>
      </c>
      <c r="D1580" s="8" t="str">
        <f t="shared" ca="1" si="74"/>
        <v>—</v>
      </c>
      <c r="E1580" s="16">
        <f t="shared" ca="1" si="75"/>
        <v>7</v>
      </c>
    </row>
    <row r="1581" spans="1:5" x14ac:dyDescent="0.25">
      <c r="A1581" s="3">
        <f t="shared" si="73"/>
        <v>78989</v>
      </c>
      <c r="B1581" t="str">
        <f ca="1">TEXT(DATE(YEAR(Invoer!$A$5),1,1)+INT((ROWS(B$2:B1581)-1)/24),"""18""jjmmdd")</f>
        <v>18980307</v>
      </c>
      <c r="C1581" s="11" t="str">
        <f>INDEX(Data,2,2+MOD(ROWS(C$2:C1581)-1,24))</f>
        <v>20.00</v>
      </c>
      <c r="D1581" s="8" t="str">
        <f t="shared" ca="1" si="74"/>
        <v>—</v>
      </c>
      <c r="E1581" s="16">
        <f t="shared" ca="1" si="75"/>
        <v>7</v>
      </c>
    </row>
    <row r="1582" spans="1:5" x14ac:dyDescent="0.25">
      <c r="A1582" s="3">
        <f t="shared" si="73"/>
        <v>78989</v>
      </c>
      <c r="B1582" t="str">
        <f ca="1">TEXT(DATE(YEAR(Invoer!$A$5),1,1)+INT((ROWS(B$2:B1582)-1)/24),"""18""jjmmdd")</f>
        <v>18980307</v>
      </c>
      <c r="C1582" s="11" t="str">
        <f>INDEX(Data,2,2+MOD(ROWS(C$2:C1582)-1,24))</f>
        <v>21.00</v>
      </c>
      <c r="D1582" s="8" t="str">
        <f t="shared" ca="1" si="74"/>
        <v>—</v>
      </c>
      <c r="E1582" s="16">
        <f t="shared" ca="1" si="75"/>
        <v>7</v>
      </c>
    </row>
    <row r="1583" spans="1:5" x14ac:dyDescent="0.25">
      <c r="A1583" s="3">
        <f t="shared" si="73"/>
        <v>78989</v>
      </c>
      <c r="B1583" t="str">
        <f ca="1">TEXT(DATE(YEAR(Invoer!$A$5),1,1)+INT((ROWS(B$2:B1583)-1)/24),"""18""jjmmdd")</f>
        <v>18980307</v>
      </c>
      <c r="C1583" s="11" t="str">
        <f>INDEX(Data,2,2+MOD(ROWS(C$2:C1583)-1,24))</f>
        <v>22.00</v>
      </c>
      <c r="D1583" s="8" t="str">
        <f t="shared" ca="1" si="74"/>
        <v>—</v>
      </c>
      <c r="E1583" s="16">
        <f t="shared" ca="1" si="75"/>
        <v>7</v>
      </c>
    </row>
    <row r="1584" spans="1:5" x14ac:dyDescent="0.25">
      <c r="A1584" s="3">
        <f t="shared" si="73"/>
        <v>78989</v>
      </c>
      <c r="B1584" t="str">
        <f ca="1">TEXT(DATE(YEAR(Invoer!$A$5),1,1)+INT((ROWS(B$2:B1584)-1)/24),"""18""jjmmdd")</f>
        <v>18980307</v>
      </c>
      <c r="C1584" s="11" t="str">
        <f>INDEX(Data,2,2+MOD(ROWS(C$2:C1584)-1,24))</f>
        <v>23.00</v>
      </c>
      <c r="D1584" s="8" t="str">
        <f t="shared" ca="1" si="74"/>
        <v>—</v>
      </c>
      <c r="E1584" s="16">
        <f t="shared" ca="1" si="75"/>
        <v>7</v>
      </c>
    </row>
    <row r="1585" spans="1:5" x14ac:dyDescent="0.25">
      <c r="A1585" s="3">
        <f t="shared" si="73"/>
        <v>78989</v>
      </c>
      <c r="B1585" t="str">
        <f ca="1">TEXT(DATE(YEAR(Invoer!$A$5),1,1)+INT((ROWS(B$2:B1585)-1)/24),"""18""jjmmdd")</f>
        <v>18980307</v>
      </c>
      <c r="C1585" s="11" t="str">
        <f>INDEX(Data,2,2+MOD(ROWS(C$2:C1585)-1,24))</f>
        <v>24.00</v>
      </c>
      <c r="D1585" s="8" t="str">
        <f t="shared" ca="1" si="74"/>
        <v>—</v>
      </c>
      <c r="E1585" s="16">
        <f t="shared" ca="1" si="75"/>
        <v>7</v>
      </c>
    </row>
    <row r="1586" spans="1:5" x14ac:dyDescent="0.25">
      <c r="A1586" s="3">
        <f t="shared" si="73"/>
        <v>78989</v>
      </c>
      <c r="B1586" t="str">
        <f ca="1">TEXT(DATE(YEAR(Invoer!$A$5),1,1)+INT((ROWS(B$2:B1586)-1)/24),"""18""jjmmdd")</f>
        <v>18980308</v>
      </c>
      <c r="C1586" s="11" t="str">
        <f>INDEX(Data,2,2+MOD(ROWS(C$2:C1586)-1,24))</f>
        <v>01.00</v>
      </c>
      <c r="D1586" s="8" t="str">
        <f t="shared" ca="1" si="74"/>
        <v>—</v>
      </c>
      <c r="E1586" s="16">
        <f t="shared" ca="1" si="75"/>
        <v>7</v>
      </c>
    </row>
    <row r="1587" spans="1:5" x14ac:dyDescent="0.25">
      <c r="A1587" s="3">
        <f t="shared" si="73"/>
        <v>78989</v>
      </c>
      <c r="B1587" t="str">
        <f ca="1">TEXT(DATE(YEAR(Invoer!$A$5),1,1)+INT((ROWS(B$2:B1587)-1)/24),"""18""jjmmdd")</f>
        <v>18980308</v>
      </c>
      <c r="C1587" s="11" t="str">
        <f>INDEX(Data,2,2+MOD(ROWS(C$2:C1587)-1,24))</f>
        <v>02.00</v>
      </c>
      <c r="D1587" s="8" t="str">
        <f t="shared" ca="1" si="74"/>
        <v>—</v>
      </c>
      <c r="E1587" s="16">
        <f t="shared" ca="1" si="75"/>
        <v>7</v>
      </c>
    </row>
    <row r="1588" spans="1:5" x14ac:dyDescent="0.25">
      <c r="A1588" s="3">
        <f t="shared" si="73"/>
        <v>78989</v>
      </c>
      <c r="B1588" t="str">
        <f ca="1">TEXT(DATE(YEAR(Invoer!$A$5),1,1)+INT((ROWS(B$2:B1588)-1)/24),"""18""jjmmdd")</f>
        <v>18980308</v>
      </c>
      <c r="C1588" s="11" t="str">
        <f>INDEX(Data,2,2+MOD(ROWS(C$2:C1588)-1,24))</f>
        <v>03.00</v>
      </c>
      <c r="D1588" s="8" t="str">
        <f t="shared" ca="1" si="74"/>
        <v>—</v>
      </c>
      <c r="E1588" s="16">
        <f t="shared" ca="1" si="75"/>
        <v>7</v>
      </c>
    </row>
    <row r="1589" spans="1:5" x14ac:dyDescent="0.25">
      <c r="A1589" s="3">
        <f t="shared" si="73"/>
        <v>78989</v>
      </c>
      <c r="B1589" t="str">
        <f ca="1">TEXT(DATE(YEAR(Invoer!$A$5),1,1)+INT((ROWS(B$2:B1589)-1)/24),"""18""jjmmdd")</f>
        <v>18980308</v>
      </c>
      <c r="C1589" s="11" t="str">
        <f>INDEX(Data,2,2+MOD(ROWS(C$2:C1589)-1,24))</f>
        <v>04.00</v>
      </c>
      <c r="D1589" s="8" t="str">
        <f t="shared" ca="1" si="74"/>
        <v>—</v>
      </c>
      <c r="E1589" s="16">
        <f t="shared" ca="1" si="75"/>
        <v>7</v>
      </c>
    </row>
    <row r="1590" spans="1:5" x14ac:dyDescent="0.25">
      <c r="A1590" s="3">
        <f t="shared" si="73"/>
        <v>78989</v>
      </c>
      <c r="B1590" t="str">
        <f ca="1">TEXT(DATE(YEAR(Invoer!$A$5),1,1)+INT((ROWS(B$2:B1590)-1)/24),"""18""jjmmdd")</f>
        <v>18980308</v>
      </c>
      <c r="C1590" s="11" t="str">
        <f>INDEX(Data,2,2+MOD(ROWS(C$2:C1590)-1,24))</f>
        <v>05.00</v>
      </c>
      <c r="D1590" s="8" t="str">
        <f t="shared" ca="1" si="74"/>
        <v>—</v>
      </c>
      <c r="E1590" s="16">
        <f t="shared" ca="1" si="75"/>
        <v>7</v>
      </c>
    </row>
    <row r="1591" spans="1:5" x14ac:dyDescent="0.25">
      <c r="A1591" s="3">
        <f t="shared" si="73"/>
        <v>78989</v>
      </c>
      <c r="B1591" t="str">
        <f ca="1">TEXT(DATE(YEAR(Invoer!$A$5),1,1)+INT((ROWS(B$2:B1591)-1)/24),"""18""jjmmdd")</f>
        <v>18980308</v>
      </c>
      <c r="C1591" s="11" t="str">
        <f>INDEX(Data,2,2+MOD(ROWS(C$2:C1591)-1,24))</f>
        <v>06.00</v>
      </c>
      <c r="D1591" s="8" t="str">
        <f t="shared" ca="1" si="74"/>
        <v>—</v>
      </c>
      <c r="E1591" s="16">
        <f t="shared" ca="1" si="75"/>
        <v>7</v>
      </c>
    </row>
    <row r="1592" spans="1:5" x14ac:dyDescent="0.25">
      <c r="A1592" s="3">
        <f t="shared" si="73"/>
        <v>78989</v>
      </c>
      <c r="B1592" t="str">
        <f ca="1">TEXT(DATE(YEAR(Invoer!$A$5),1,1)+INT((ROWS(B$2:B1592)-1)/24),"""18""jjmmdd")</f>
        <v>18980308</v>
      </c>
      <c r="C1592" s="11" t="str">
        <f>INDEX(Data,2,2+MOD(ROWS(C$2:C1592)-1,24))</f>
        <v>07.00</v>
      </c>
      <c r="D1592" s="8" t="str">
        <f t="shared" ca="1" si="74"/>
        <v>—</v>
      </c>
      <c r="E1592" s="16">
        <f t="shared" ca="1" si="75"/>
        <v>7</v>
      </c>
    </row>
    <row r="1593" spans="1:5" x14ac:dyDescent="0.25">
      <c r="A1593" s="3">
        <f t="shared" si="73"/>
        <v>78989</v>
      </c>
      <c r="B1593" t="str">
        <f ca="1">TEXT(DATE(YEAR(Invoer!$A$5),1,1)+INT((ROWS(B$2:B1593)-1)/24),"""18""jjmmdd")</f>
        <v>18980308</v>
      </c>
      <c r="C1593" s="11" t="str">
        <f>INDEX(Data,2,2+MOD(ROWS(C$2:C1593)-1,24))</f>
        <v>08.00</v>
      </c>
      <c r="D1593" s="8" t="str">
        <f t="shared" ca="1" si="74"/>
        <v>—</v>
      </c>
      <c r="E1593" s="16">
        <f t="shared" ca="1" si="75"/>
        <v>7</v>
      </c>
    </row>
    <row r="1594" spans="1:5" x14ac:dyDescent="0.25">
      <c r="A1594" s="3">
        <f t="shared" si="73"/>
        <v>78989</v>
      </c>
      <c r="B1594" t="str">
        <f ca="1">TEXT(DATE(YEAR(Invoer!$A$5),1,1)+INT((ROWS(B$2:B1594)-1)/24),"""18""jjmmdd")</f>
        <v>18980308</v>
      </c>
      <c r="C1594" s="11" t="str">
        <f>INDEX(Data,2,2+MOD(ROWS(C$2:C1594)-1,24))</f>
        <v>09.00</v>
      </c>
      <c r="D1594" s="8" t="str">
        <f t="shared" ca="1" si="74"/>
        <v>—</v>
      </c>
      <c r="E1594" s="16">
        <f t="shared" ca="1" si="75"/>
        <v>7</v>
      </c>
    </row>
    <row r="1595" spans="1:5" x14ac:dyDescent="0.25">
      <c r="A1595" s="3">
        <f t="shared" si="73"/>
        <v>78989</v>
      </c>
      <c r="B1595" t="str">
        <f ca="1">TEXT(DATE(YEAR(Invoer!$A$5),1,1)+INT((ROWS(B$2:B1595)-1)/24),"""18""jjmmdd")</f>
        <v>18980308</v>
      </c>
      <c r="C1595" s="11" t="str">
        <f>INDEX(Data,2,2+MOD(ROWS(C$2:C1595)-1,24))</f>
        <v>10.00</v>
      </c>
      <c r="D1595" s="8" t="str">
        <f t="shared" ca="1" si="74"/>
        <v>—</v>
      </c>
      <c r="E1595" s="16">
        <f t="shared" ca="1" si="75"/>
        <v>7</v>
      </c>
    </row>
    <row r="1596" spans="1:5" x14ac:dyDescent="0.25">
      <c r="A1596" s="3">
        <f t="shared" si="73"/>
        <v>78989</v>
      </c>
      <c r="B1596" t="str">
        <f ca="1">TEXT(DATE(YEAR(Invoer!$A$5),1,1)+INT((ROWS(B$2:B1596)-1)/24),"""18""jjmmdd")</f>
        <v>18980308</v>
      </c>
      <c r="C1596" s="11" t="str">
        <f>INDEX(Data,2,2+MOD(ROWS(C$2:C1596)-1,24))</f>
        <v>11.00</v>
      </c>
      <c r="D1596" s="8" t="str">
        <f t="shared" ca="1" si="74"/>
        <v>—</v>
      </c>
      <c r="E1596" s="16">
        <f t="shared" ca="1" si="75"/>
        <v>7</v>
      </c>
    </row>
    <row r="1597" spans="1:5" x14ac:dyDescent="0.25">
      <c r="A1597" s="3">
        <f t="shared" si="73"/>
        <v>78989</v>
      </c>
      <c r="B1597" t="str">
        <f ca="1">TEXT(DATE(YEAR(Invoer!$A$5),1,1)+INT((ROWS(B$2:B1597)-1)/24),"""18""jjmmdd")</f>
        <v>18980308</v>
      </c>
      <c r="C1597" s="11" t="str">
        <f>INDEX(Data,2,2+MOD(ROWS(C$2:C1597)-1,24))</f>
        <v>12.00</v>
      </c>
      <c r="D1597" s="8" t="str">
        <f t="shared" ca="1" si="74"/>
        <v>—</v>
      </c>
      <c r="E1597" s="16">
        <f t="shared" ca="1" si="75"/>
        <v>7</v>
      </c>
    </row>
    <row r="1598" spans="1:5" x14ac:dyDescent="0.25">
      <c r="A1598" s="3">
        <f t="shared" si="73"/>
        <v>78989</v>
      </c>
      <c r="B1598" t="str">
        <f ca="1">TEXT(DATE(YEAR(Invoer!$A$5),1,1)+INT((ROWS(B$2:B1598)-1)/24),"""18""jjmmdd")</f>
        <v>18980308</v>
      </c>
      <c r="C1598" s="11" t="str">
        <f>INDEX(Data,2,2+MOD(ROWS(C$2:C1598)-1,24))</f>
        <v>13.00</v>
      </c>
      <c r="D1598" s="8" t="str">
        <f t="shared" ca="1" si="74"/>
        <v>—</v>
      </c>
      <c r="E1598" s="16">
        <f t="shared" ca="1" si="75"/>
        <v>7</v>
      </c>
    </row>
    <row r="1599" spans="1:5" x14ac:dyDescent="0.25">
      <c r="A1599" s="3">
        <f t="shared" si="73"/>
        <v>78989</v>
      </c>
      <c r="B1599" t="str">
        <f ca="1">TEXT(DATE(YEAR(Invoer!$A$5),1,1)+INT((ROWS(B$2:B1599)-1)/24),"""18""jjmmdd")</f>
        <v>18980308</v>
      </c>
      <c r="C1599" s="11" t="str">
        <f>INDEX(Data,2,2+MOD(ROWS(C$2:C1599)-1,24))</f>
        <v>14.00</v>
      </c>
      <c r="D1599" s="8" t="str">
        <f t="shared" ca="1" si="74"/>
        <v>—</v>
      </c>
      <c r="E1599" s="16">
        <f t="shared" ca="1" si="75"/>
        <v>7</v>
      </c>
    </row>
    <row r="1600" spans="1:5" x14ac:dyDescent="0.25">
      <c r="A1600" s="3">
        <f t="shared" si="73"/>
        <v>78989</v>
      </c>
      <c r="B1600" t="str">
        <f ca="1">TEXT(DATE(YEAR(Invoer!$A$5),1,1)+INT((ROWS(B$2:B1600)-1)/24),"""18""jjmmdd")</f>
        <v>18980308</v>
      </c>
      <c r="C1600" s="11" t="str">
        <f>INDEX(Data,2,2+MOD(ROWS(C$2:C1600)-1,24))</f>
        <v>15.00</v>
      </c>
      <c r="D1600" s="8" t="str">
        <f t="shared" ca="1" si="74"/>
        <v>—</v>
      </c>
      <c r="E1600" s="16">
        <f t="shared" ca="1" si="75"/>
        <v>7</v>
      </c>
    </row>
    <row r="1601" spans="1:5" x14ac:dyDescent="0.25">
      <c r="A1601" s="3">
        <f t="shared" si="73"/>
        <v>78989</v>
      </c>
      <c r="B1601" t="str">
        <f ca="1">TEXT(DATE(YEAR(Invoer!$A$5),1,1)+INT((ROWS(B$2:B1601)-1)/24),"""18""jjmmdd")</f>
        <v>18980308</v>
      </c>
      <c r="C1601" s="11" t="str">
        <f>INDEX(Data,2,2+MOD(ROWS(C$2:C1601)-1,24))</f>
        <v>16.00</v>
      </c>
      <c r="D1601" s="8" t="str">
        <f t="shared" ca="1" si="74"/>
        <v>—</v>
      </c>
      <c r="E1601" s="16">
        <f t="shared" ca="1" si="75"/>
        <v>7</v>
      </c>
    </row>
    <row r="1602" spans="1:5" x14ac:dyDescent="0.25">
      <c r="A1602" s="3">
        <f t="shared" ref="A1602:A1665" si="76">INDEX(Stations,2,1)</f>
        <v>78989</v>
      </c>
      <c r="B1602" t="str">
        <f ca="1">TEXT(DATE(YEAR(Invoer!$A$5),1,1)+INT((ROWS(B$2:B1602)-1)/24),"""18""jjmmdd")</f>
        <v>18980308</v>
      </c>
      <c r="C1602" s="11" t="str">
        <f>INDEX(Data,2,2+MOD(ROWS(C$2:C1602)-1,24))</f>
        <v>17.00</v>
      </c>
      <c r="D1602" s="8" t="str">
        <f t="shared" ref="D1602:D1665" ca="1" si="77">IF(OR(ISBLANK(VLOOKUP(DATEVALUE("37"&amp;MID($B1602,3,2)&amp;"-"&amp;MID($B1602,5,2)&amp;"-"&amp;RIGHT($B1602,2)),Data,MATCH(LEFT(VLOOKUP(D$1,Parameters,2,FALSE()),4)&amp;"*",OFFSET(Data,0,0,1),0)+MATCH($C1602,OFFSET(Data,1,0,1),0)-2,FALSE())),ISTEXT(VLOOKUP(DATEVALUE("37"&amp;MID($B1602,3,2)&amp;"-"&amp;MID($B1602,5,2)&amp;"-"&amp;RIGHT($B1602,2)),Data,MATCH(LEFT(VLOOKUP(D$1,Parameters,2,FALSE()),4)&amp;"*",OFFSET(Data,0,0,1),0)+MATCH($C1602,OFFSET(Data,1,0,1),0)-2,FALSE()))),"—",VLOOKUP(DATEVALUE("37"&amp;MID($B1602,3,2)&amp;"-"&amp;MID($B1602,5,2)&amp;"-"&amp;RIGHT($B1602,2)),Data,MATCH(LEFT(VLOOKUP(D$1,Parameters,2,FALSE()),4)&amp;"*",OFFSET(Data,0,0,1),0)+MATCH($C1602,OFFSET(Data,1,0,1),0)-2,FALSE()))</f>
        <v>—</v>
      </c>
      <c r="E1602" s="16">
        <f t="shared" ca="1" si="75"/>
        <v>7</v>
      </c>
    </row>
    <row r="1603" spans="1:5" x14ac:dyDescent="0.25">
      <c r="A1603" s="3">
        <f t="shared" si="76"/>
        <v>78989</v>
      </c>
      <c r="B1603" t="str">
        <f ca="1">TEXT(DATE(YEAR(Invoer!$A$5),1,1)+INT((ROWS(B$2:B1603)-1)/24),"""18""jjmmdd")</f>
        <v>18980308</v>
      </c>
      <c r="C1603" s="11" t="str">
        <f>INDEX(Data,2,2+MOD(ROWS(C$2:C1603)-1,24))</f>
        <v>18.00</v>
      </c>
      <c r="D1603" s="8" t="str">
        <f t="shared" ca="1" si="77"/>
        <v>—</v>
      </c>
      <c r="E1603" s="16">
        <f t="shared" ref="E1603:E1666" ca="1" si="78">IF(OR(ISBLANK(VLOOKUP(DATEVALUE("37"&amp;MID($B1603,3,2)&amp;"-"&amp;MID($B1603,5,2)&amp;"-"&amp;RIGHT($B1603,2)),Data,MATCH(LEFT(VLOOKUP(D$1,Parameters,2,FALSE()),4)&amp;"*",OFFSET(Data,0,0,1),0)+MATCH($C1603,OFFSET(Data,1,0,1),0)-2,FALSE())),ISTEXT(VLOOKUP(DATEVALUE("37"&amp;MID($B1603,3,2)&amp;"-"&amp;MID($B1603,5,2)&amp;"-"&amp;RIGHT($B1603,2)),Data,MATCH(LEFT(VLOOKUP(D$1,Parameters,2,FALSE()),4)&amp;"*",OFFSET(Data,0,0,1),0)+MATCH($C1603,OFFSET(Data,1,0,1),0)-2,FALSE()))),Lacking,IF(ISNA(MATCH(DATEVALUE("37"&amp;MID($B1603,3,2)&amp;"-"&amp;MID($B1603,5,2)&amp;"-"&amp;RIGHT($B1603,2)),OFFSET(Catalogus,0,0,,1),0)),Ok,VLOOKUP(DATEVALUE("37"&amp;MID($B1603,3,2)&amp;"-"&amp;MID($B1603,5,2)&amp;"-"&amp;RIGHT($B1603,2)),Catalogus,MATCH(LEFT(VLOOKUP(MID(E$1,2,LEN(E$1)-1),Parameters,2,FALSE()),4)&amp;"*",OFFSET(Catalogus,0,0,1),0)+MATCH($C1603,OFFSET(Catalogus,1,0,1),0)-2,FALSE())))</f>
        <v>7</v>
      </c>
    </row>
    <row r="1604" spans="1:5" x14ac:dyDescent="0.25">
      <c r="A1604" s="3">
        <f t="shared" si="76"/>
        <v>78989</v>
      </c>
      <c r="B1604" t="str">
        <f ca="1">TEXT(DATE(YEAR(Invoer!$A$5),1,1)+INT((ROWS(B$2:B1604)-1)/24),"""18""jjmmdd")</f>
        <v>18980308</v>
      </c>
      <c r="C1604" s="11" t="str">
        <f>INDEX(Data,2,2+MOD(ROWS(C$2:C1604)-1,24))</f>
        <v>19.00</v>
      </c>
      <c r="D1604" s="8" t="str">
        <f t="shared" ca="1" si="77"/>
        <v>—</v>
      </c>
      <c r="E1604" s="16">
        <f t="shared" ca="1" si="78"/>
        <v>7</v>
      </c>
    </row>
    <row r="1605" spans="1:5" x14ac:dyDescent="0.25">
      <c r="A1605" s="3">
        <f t="shared" si="76"/>
        <v>78989</v>
      </c>
      <c r="B1605" t="str">
        <f ca="1">TEXT(DATE(YEAR(Invoer!$A$5),1,1)+INT((ROWS(B$2:B1605)-1)/24),"""18""jjmmdd")</f>
        <v>18980308</v>
      </c>
      <c r="C1605" s="11" t="str">
        <f>INDEX(Data,2,2+MOD(ROWS(C$2:C1605)-1,24))</f>
        <v>20.00</v>
      </c>
      <c r="D1605" s="8" t="str">
        <f t="shared" ca="1" si="77"/>
        <v>—</v>
      </c>
      <c r="E1605" s="16">
        <f t="shared" ca="1" si="78"/>
        <v>7</v>
      </c>
    </row>
    <row r="1606" spans="1:5" x14ac:dyDescent="0.25">
      <c r="A1606" s="3">
        <f t="shared" si="76"/>
        <v>78989</v>
      </c>
      <c r="B1606" t="str">
        <f ca="1">TEXT(DATE(YEAR(Invoer!$A$5),1,1)+INT((ROWS(B$2:B1606)-1)/24),"""18""jjmmdd")</f>
        <v>18980308</v>
      </c>
      <c r="C1606" s="11" t="str">
        <f>INDEX(Data,2,2+MOD(ROWS(C$2:C1606)-1,24))</f>
        <v>21.00</v>
      </c>
      <c r="D1606" s="8" t="str">
        <f t="shared" ca="1" si="77"/>
        <v>—</v>
      </c>
      <c r="E1606" s="16">
        <f t="shared" ca="1" si="78"/>
        <v>7</v>
      </c>
    </row>
    <row r="1607" spans="1:5" x14ac:dyDescent="0.25">
      <c r="A1607" s="3">
        <f t="shared" si="76"/>
        <v>78989</v>
      </c>
      <c r="B1607" t="str">
        <f ca="1">TEXT(DATE(YEAR(Invoer!$A$5),1,1)+INT((ROWS(B$2:B1607)-1)/24),"""18""jjmmdd")</f>
        <v>18980308</v>
      </c>
      <c r="C1607" s="11" t="str">
        <f>INDEX(Data,2,2+MOD(ROWS(C$2:C1607)-1,24))</f>
        <v>22.00</v>
      </c>
      <c r="D1607" s="8" t="str">
        <f t="shared" ca="1" si="77"/>
        <v>—</v>
      </c>
      <c r="E1607" s="16">
        <f t="shared" ca="1" si="78"/>
        <v>7</v>
      </c>
    </row>
    <row r="1608" spans="1:5" x14ac:dyDescent="0.25">
      <c r="A1608" s="3">
        <f t="shared" si="76"/>
        <v>78989</v>
      </c>
      <c r="B1608" t="str">
        <f ca="1">TEXT(DATE(YEAR(Invoer!$A$5),1,1)+INT((ROWS(B$2:B1608)-1)/24),"""18""jjmmdd")</f>
        <v>18980308</v>
      </c>
      <c r="C1608" s="11" t="str">
        <f>INDEX(Data,2,2+MOD(ROWS(C$2:C1608)-1,24))</f>
        <v>23.00</v>
      </c>
      <c r="D1608" s="8" t="str">
        <f t="shared" ca="1" si="77"/>
        <v>—</v>
      </c>
      <c r="E1608" s="16">
        <f t="shared" ca="1" si="78"/>
        <v>7</v>
      </c>
    </row>
    <row r="1609" spans="1:5" x14ac:dyDescent="0.25">
      <c r="A1609" s="3">
        <f t="shared" si="76"/>
        <v>78989</v>
      </c>
      <c r="B1609" t="str">
        <f ca="1">TEXT(DATE(YEAR(Invoer!$A$5),1,1)+INT((ROWS(B$2:B1609)-1)/24),"""18""jjmmdd")</f>
        <v>18980308</v>
      </c>
      <c r="C1609" s="11" t="str">
        <f>INDEX(Data,2,2+MOD(ROWS(C$2:C1609)-1,24))</f>
        <v>24.00</v>
      </c>
      <c r="D1609" s="8" t="str">
        <f t="shared" ca="1" si="77"/>
        <v>—</v>
      </c>
      <c r="E1609" s="16">
        <f t="shared" ca="1" si="78"/>
        <v>7</v>
      </c>
    </row>
    <row r="1610" spans="1:5" x14ac:dyDescent="0.25">
      <c r="A1610" s="3">
        <f t="shared" si="76"/>
        <v>78989</v>
      </c>
      <c r="B1610" t="str">
        <f ca="1">TEXT(DATE(YEAR(Invoer!$A$5),1,1)+INT((ROWS(B$2:B1610)-1)/24),"""18""jjmmdd")</f>
        <v>18980309</v>
      </c>
      <c r="C1610" s="11" t="str">
        <f>INDEX(Data,2,2+MOD(ROWS(C$2:C1610)-1,24))</f>
        <v>01.00</v>
      </c>
      <c r="D1610" s="8" t="str">
        <f t="shared" ca="1" si="77"/>
        <v>—</v>
      </c>
      <c r="E1610" s="16">
        <f t="shared" ca="1" si="78"/>
        <v>7</v>
      </c>
    </row>
    <row r="1611" spans="1:5" x14ac:dyDescent="0.25">
      <c r="A1611" s="3">
        <f t="shared" si="76"/>
        <v>78989</v>
      </c>
      <c r="B1611" t="str">
        <f ca="1">TEXT(DATE(YEAR(Invoer!$A$5),1,1)+INT((ROWS(B$2:B1611)-1)/24),"""18""jjmmdd")</f>
        <v>18980309</v>
      </c>
      <c r="C1611" s="11" t="str">
        <f>INDEX(Data,2,2+MOD(ROWS(C$2:C1611)-1,24))</f>
        <v>02.00</v>
      </c>
      <c r="D1611" s="8" t="str">
        <f t="shared" ca="1" si="77"/>
        <v>—</v>
      </c>
      <c r="E1611" s="16">
        <f t="shared" ca="1" si="78"/>
        <v>7</v>
      </c>
    </row>
    <row r="1612" spans="1:5" x14ac:dyDescent="0.25">
      <c r="A1612" s="3">
        <f t="shared" si="76"/>
        <v>78989</v>
      </c>
      <c r="B1612" t="str">
        <f ca="1">TEXT(DATE(YEAR(Invoer!$A$5),1,1)+INT((ROWS(B$2:B1612)-1)/24),"""18""jjmmdd")</f>
        <v>18980309</v>
      </c>
      <c r="C1612" s="11" t="str">
        <f>INDEX(Data,2,2+MOD(ROWS(C$2:C1612)-1,24))</f>
        <v>03.00</v>
      </c>
      <c r="D1612" s="8" t="str">
        <f t="shared" ca="1" si="77"/>
        <v>—</v>
      </c>
      <c r="E1612" s="16">
        <f t="shared" ca="1" si="78"/>
        <v>7</v>
      </c>
    </row>
    <row r="1613" spans="1:5" x14ac:dyDescent="0.25">
      <c r="A1613" s="3">
        <f t="shared" si="76"/>
        <v>78989</v>
      </c>
      <c r="B1613" t="str">
        <f ca="1">TEXT(DATE(YEAR(Invoer!$A$5),1,1)+INT((ROWS(B$2:B1613)-1)/24),"""18""jjmmdd")</f>
        <v>18980309</v>
      </c>
      <c r="C1613" s="11" t="str">
        <f>INDEX(Data,2,2+MOD(ROWS(C$2:C1613)-1,24))</f>
        <v>04.00</v>
      </c>
      <c r="D1613" s="8" t="str">
        <f t="shared" ca="1" si="77"/>
        <v>—</v>
      </c>
      <c r="E1613" s="16">
        <f t="shared" ca="1" si="78"/>
        <v>7</v>
      </c>
    </row>
    <row r="1614" spans="1:5" x14ac:dyDescent="0.25">
      <c r="A1614" s="3">
        <f t="shared" si="76"/>
        <v>78989</v>
      </c>
      <c r="B1614" t="str">
        <f ca="1">TEXT(DATE(YEAR(Invoer!$A$5),1,1)+INT((ROWS(B$2:B1614)-1)/24),"""18""jjmmdd")</f>
        <v>18980309</v>
      </c>
      <c r="C1614" s="11" t="str">
        <f>INDEX(Data,2,2+MOD(ROWS(C$2:C1614)-1,24))</f>
        <v>05.00</v>
      </c>
      <c r="D1614" s="8" t="str">
        <f t="shared" ca="1" si="77"/>
        <v>—</v>
      </c>
      <c r="E1614" s="16">
        <f t="shared" ca="1" si="78"/>
        <v>7</v>
      </c>
    </row>
    <row r="1615" spans="1:5" x14ac:dyDescent="0.25">
      <c r="A1615" s="3">
        <f t="shared" si="76"/>
        <v>78989</v>
      </c>
      <c r="B1615" t="str">
        <f ca="1">TEXT(DATE(YEAR(Invoer!$A$5),1,1)+INT((ROWS(B$2:B1615)-1)/24),"""18""jjmmdd")</f>
        <v>18980309</v>
      </c>
      <c r="C1615" s="11" t="str">
        <f>INDEX(Data,2,2+MOD(ROWS(C$2:C1615)-1,24))</f>
        <v>06.00</v>
      </c>
      <c r="D1615" s="8" t="str">
        <f t="shared" ca="1" si="77"/>
        <v>—</v>
      </c>
      <c r="E1615" s="16">
        <f t="shared" ca="1" si="78"/>
        <v>7</v>
      </c>
    </row>
    <row r="1616" spans="1:5" x14ac:dyDescent="0.25">
      <c r="A1616" s="3">
        <f t="shared" si="76"/>
        <v>78989</v>
      </c>
      <c r="B1616" t="str">
        <f ca="1">TEXT(DATE(YEAR(Invoer!$A$5),1,1)+INT((ROWS(B$2:B1616)-1)/24),"""18""jjmmdd")</f>
        <v>18980309</v>
      </c>
      <c r="C1616" s="11" t="str">
        <f>INDEX(Data,2,2+MOD(ROWS(C$2:C1616)-1,24))</f>
        <v>07.00</v>
      </c>
      <c r="D1616" s="8" t="str">
        <f t="shared" ca="1" si="77"/>
        <v>—</v>
      </c>
      <c r="E1616" s="16">
        <f t="shared" ca="1" si="78"/>
        <v>7</v>
      </c>
    </row>
    <row r="1617" spans="1:5" x14ac:dyDescent="0.25">
      <c r="A1617" s="3">
        <f t="shared" si="76"/>
        <v>78989</v>
      </c>
      <c r="B1617" t="str">
        <f ca="1">TEXT(DATE(YEAR(Invoer!$A$5),1,1)+INT((ROWS(B$2:B1617)-1)/24),"""18""jjmmdd")</f>
        <v>18980309</v>
      </c>
      <c r="C1617" s="11" t="str">
        <f>INDEX(Data,2,2+MOD(ROWS(C$2:C1617)-1,24))</f>
        <v>08.00</v>
      </c>
      <c r="D1617" s="8" t="str">
        <f t="shared" ca="1" si="77"/>
        <v>—</v>
      </c>
      <c r="E1617" s="16">
        <f t="shared" ca="1" si="78"/>
        <v>7</v>
      </c>
    </row>
    <row r="1618" spans="1:5" x14ac:dyDescent="0.25">
      <c r="A1618" s="3">
        <f t="shared" si="76"/>
        <v>78989</v>
      </c>
      <c r="B1618" t="str">
        <f ca="1">TEXT(DATE(YEAR(Invoer!$A$5),1,1)+INT((ROWS(B$2:B1618)-1)/24),"""18""jjmmdd")</f>
        <v>18980309</v>
      </c>
      <c r="C1618" s="11" t="str">
        <f>INDEX(Data,2,2+MOD(ROWS(C$2:C1618)-1,24))</f>
        <v>09.00</v>
      </c>
      <c r="D1618" s="8" t="str">
        <f t="shared" ca="1" si="77"/>
        <v>—</v>
      </c>
      <c r="E1618" s="16">
        <f t="shared" ca="1" si="78"/>
        <v>7</v>
      </c>
    </row>
    <row r="1619" spans="1:5" x14ac:dyDescent="0.25">
      <c r="A1619" s="3">
        <f t="shared" si="76"/>
        <v>78989</v>
      </c>
      <c r="B1619" t="str">
        <f ca="1">TEXT(DATE(YEAR(Invoer!$A$5),1,1)+INT((ROWS(B$2:B1619)-1)/24),"""18""jjmmdd")</f>
        <v>18980309</v>
      </c>
      <c r="C1619" s="11" t="str">
        <f>INDEX(Data,2,2+MOD(ROWS(C$2:C1619)-1,24))</f>
        <v>10.00</v>
      </c>
      <c r="D1619" s="8" t="str">
        <f t="shared" ca="1" si="77"/>
        <v>—</v>
      </c>
      <c r="E1619" s="16">
        <f t="shared" ca="1" si="78"/>
        <v>7</v>
      </c>
    </row>
    <row r="1620" spans="1:5" x14ac:dyDescent="0.25">
      <c r="A1620" s="3">
        <f t="shared" si="76"/>
        <v>78989</v>
      </c>
      <c r="B1620" t="str">
        <f ca="1">TEXT(DATE(YEAR(Invoer!$A$5),1,1)+INT((ROWS(B$2:B1620)-1)/24),"""18""jjmmdd")</f>
        <v>18980309</v>
      </c>
      <c r="C1620" s="11" t="str">
        <f>INDEX(Data,2,2+MOD(ROWS(C$2:C1620)-1,24))</f>
        <v>11.00</v>
      </c>
      <c r="D1620" s="8" t="str">
        <f t="shared" ca="1" si="77"/>
        <v>—</v>
      </c>
      <c r="E1620" s="16">
        <f t="shared" ca="1" si="78"/>
        <v>7</v>
      </c>
    </row>
    <row r="1621" spans="1:5" x14ac:dyDescent="0.25">
      <c r="A1621" s="3">
        <f t="shared" si="76"/>
        <v>78989</v>
      </c>
      <c r="B1621" t="str">
        <f ca="1">TEXT(DATE(YEAR(Invoer!$A$5),1,1)+INT((ROWS(B$2:B1621)-1)/24),"""18""jjmmdd")</f>
        <v>18980309</v>
      </c>
      <c r="C1621" s="11" t="str">
        <f>INDEX(Data,2,2+MOD(ROWS(C$2:C1621)-1,24))</f>
        <v>12.00</v>
      </c>
      <c r="D1621" s="8" t="str">
        <f t="shared" ca="1" si="77"/>
        <v>—</v>
      </c>
      <c r="E1621" s="16">
        <f t="shared" ca="1" si="78"/>
        <v>7</v>
      </c>
    </row>
    <row r="1622" spans="1:5" x14ac:dyDescent="0.25">
      <c r="A1622" s="3">
        <f t="shared" si="76"/>
        <v>78989</v>
      </c>
      <c r="B1622" t="str">
        <f ca="1">TEXT(DATE(YEAR(Invoer!$A$5),1,1)+INT((ROWS(B$2:B1622)-1)/24),"""18""jjmmdd")</f>
        <v>18980309</v>
      </c>
      <c r="C1622" s="11" t="str">
        <f>INDEX(Data,2,2+MOD(ROWS(C$2:C1622)-1,24))</f>
        <v>13.00</v>
      </c>
      <c r="D1622" s="8" t="str">
        <f t="shared" ca="1" si="77"/>
        <v>—</v>
      </c>
      <c r="E1622" s="16">
        <f t="shared" ca="1" si="78"/>
        <v>7</v>
      </c>
    </row>
    <row r="1623" spans="1:5" x14ac:dyDescent="0.25">
      <c r="A1623" s="3">
        <f t="shared" si="76"/>
        <v>78989</v>
      </c>
      <c r="B1623" t="str">
        <f ca="1">TEXT(DATE(YEAR(Invoer!$A$5),1,1)+INT((ROWS(B$2:B1623)-1)/24),"""18""jjmmdd")</f>
        <v>18980309</v>
      </c>
      <c r="C1623" s="11" t="str">
        <f>INDEX(Data,2,2+MOD(ROWS(C$2:C1623)-1,24))</f>
        <v>14.00</v>
      </c>
      <c r="D1623" s="8" t="str">
        <f t="shared" ca="1" si="77"/>
        <v>—</v>
      </c>
      <c r="E1623" s="16">
        <f t="shared" ca="1" si="78"/>
        <v>7</v>
      </c>
    </row>
    <row r="1624" spans="1:5" x14ac:dyDescent="0.25">
      <c r="A1624" s="3">
        <f t="shared" si="76"/>
        <v>78989</v>
      </c>
      <c r="B1624" t="str">
        <f ca="1">TEXT(DATE(YEAR(Invoer!$A$5),1,1)+INT((ROWS(B$2:B1624)-1)/24),"""18""jjmmdd")</f>
        <v>18980309</v>
      </c>
      <c r="C1624" s="11" t="str">
        <f>INDEX(Data,2,2+MOD(ROWS(C$2:C1624)-1,24))</f>
        <v>15.00</v>
      </c>
      <c r="D1624" s="8" t="str">
        <f t="shared" ca="1" si="77"/>
        <v>—</v>
      </c>
      <c r="E1624" s="16">
        <f t="shared" ca="1" si="78"/>
        <v>7</v>
      </c>
    </row>
    <row r="1625" spans="1:5" x14ac:dyDescent="0.25">
      <c r="A1625" s="3">
        <f t="shared" si="76"/>
        <v>78989</v>
      </c>
      <c r="B1625" t="str">
        <f ca="1">TEXT(DATE(YEAR(Invoer!$A$5),1,1)+INT((ROWS(B$2:B1625)-1)/24),"""18""jjmmdd")</f>
        <v>18980309</v>
      </c>
      <c r="C1625" s="11" t="str">
        <f>INDEX(Data,2,2+MOD(ROWS(C$2:C1625)-1,24))</f>
        <v>16.00</v>
      </c>
      <c r="D1625" s="8" t="str">
        <f t="shared" ca="1" si="77"/>
        <v>—</v>
      </c>
      <c r="E1625" s="16">
        <f t="shared" ca="1" si="78"/>
        <v>7</v>
      </c>
    </row>
    <row r="1626" spans="1:5" x14ac:dyDescent="0.25">
      <c r="A1626" s="3">
        <f t="shared" si="76"/>
        <v>78989</v>
      </c>
      <c r="B1626" t="str">
        <f ca="1">TEXT(DATE(YEAR(Invoer!$A$5),1,1)+INT((ROWS(B$2:B1626)-1)/24),"""18""jjmmdd")</f>
        <v>18980309</v>
      </c>
      <c r="C1626" s="11" t="str">
        <f>INDEX(Data,2,2+MOD(ROWS(C$2:C1626)-1,24))</f>
        <v>17.00</v>
      </c>
      <c r="D1626" s="8" t="str">
        <f t="shared" ca="1" si="77"/>
        <v>—</v>
      </c>
      <c r="E1626" s="16">
        <f t="shared" ca="1" si="78"/>
        <v>7</v>
      </c>
    </row>
    <row r="1627" spans="1:5" x14ac:dyDescent="0.25">
      <c r="A1627" s="3">
        <f t="shared" si="76"/>
        <v>78989</v>
      </c>
      <c r="B1627" t="str">
        <f ca="1">TEXT(DATE(YEAR(Invoer!$A$5),1,1)+INT((ROWS(B$2:B1627)-1)/24),"""18""jjmmdd")</f>
        <v>18980309</v>
      </c>
      <c r="C1627" s="11" t="str">
        <f>INDEX(Data,2,2+MOD(ROWS(C$2:C1627)-1,24))</f>
        <v>18.00</v>
      </c>
      <c r="D1627" s="8" t="str">
        <f t="shared" ca="1" si="77"/>
        <v>—</v>
      </c>
      <c r="E1627" s="16">
        <f t="shared" ca="1" si="78"/>
        <v>7</v>
      </c>
    </row>
    <row r="1628" spans="1:5" x14ac:dyDescent="0.25">
      <c r="A1628" s="3">
        <f t="shared" si="76"/>
        <v>78989</v>
      </c>
      <c r="B1628" t="str">
        <f ca="1">TEXT(DATE(YEAR(Invoer!$A$5),1,1)+INT((ROWS(B$2:B1628)-1)/24),"""18""jjmmdd")</f>
        <v>18980309</v>
      </c>
      <c r="C1628" s="11" t="str">
        <f>INDEX(Data,2,2+MOD(ROWS(C$2:C1628)-1,24))</f>
        <v>19.00</v>
      </c>
      <c r="D1628" s="8" t="str">
        <f t="shared" ca="1" si="77"/>
        <v>—</v>
      </c>
      <c r="E1628" s="16">
        <f t="shared" ca="1" si="78"/>
        <v>7</v>
      </c>
    </row>
    <row r="1629" spans="1:5" x14ac:dyDescent="0.25">
      <c r="A1629" s="3">
        <f t="shared" si="76"/>
        <v>78989</v>
      </c>
      <c r="B1629" t="str">
        <f ca="1">TEXT(DATE(YEAR(Invoer!$A$5),1,1)+INT((ROWS(B$2:B1629)-1)/24),"""18""jjmmdd")</f>
        <v>18980309</v>
      </c>
      <c r="C1629" s="11" t="str">
        <f>INDEX(Data,2,2+MOD(ROWS(C$2:C1629)-1,24))</f>
        <v>20.00</v>
      </c>
      <c r="D1629" s="8" t="str">
        <f t="shared" ca="1" si="77"/>
        <v>—</v>
      </c>
      <c r="E1629" s="16">
        <f t="shared" ca="1" si="78"/>
        <v>7</v>
      </c>
    </row>
    <row r="1630" spans="1:5" x14ac:dyDescent="0.25">
      <c r="A1630" s="3">
        <f t="shared" si="76"/>
        <v>78989</v>
      </c>
      <c r="B1630" t="str">
        <f ca="1">TEXT(DATE(YEAR(Invoer!$A$5),1,1)+INT((ROWS(B$2:B1630)-1)/24),"""18""jjmmdd")</f>
        <v>18980309</v>
      </c>
      <c r="C1630" s="11" t="str">
        <f>INDEX(Data,2,2+MOD(ROWS(C$2:C1630)-1,24))</f>
        <v>21.00</v>
      </c>
      <c r="D1630" s="8" t="str">
        <f t="shared" ca="1" si="77"/>
        <v>—</v>
      </c>
      <c r="E1630" s="16">
        <f t="shared" ca="1" si="78"/>
        <v>7</v>
      </c>
    </row>
    <row r="1631" spans="1:5" x14ac:dyDescent="0.25">
      <c r="A1631" s="3">
        <f t="shared" si="76"/>
        <v>78989</v>
      </c>
      <c r="B1631" t="str">
        <f ca="1">TEXT(DATE(YEAR(Invoer!$A$5),1,1)+INT((ROWS(B$2:B1631)-1)/24),"""18""jjmmdd")</f>
        <v>18980309</v>
      </c>
      <c r="C1631" s="11" t="str">
        <f>INDEX(Data,2,2+MOD(ROWS(C$2:C1631)-1,24))</f>
        <v>22.00</v>
      </c>
      <c r="D1631" s="8" t="str">
        <f t="shared" ca="1" si="77"/>
        <v>—</v>
      </c>
      <c r="E1631" s="16">
        <f t="shared" ca="1" si="78"/>
        <v>7</v>
      </c>
    </row>
    <row r="1632" spans="1:5" x14ac:dyDescent="0.25">
      <c r="A1632" s="3">
        <f t="shared" si="76"/>
        <v>78989</v>
      </c>
      <c r="B1632" t="str">
        <f ca="1">TEXT(DATE(YEAR(Invoer!$A$5),1,1)+INT((ROWS(B$2:B1632)-1)/24),"""18""jjmmdd")</f>
        <v>18980309</v>
      </c>
      <c r="C1632" s="11" t="str">
        <f>INDEX(Data,2,2+MOD(ROWS(C$2:C1632)-1,24))</f>
        <v>23.00</v>
      </c>
      <c r="D1632" s="8" t="str">
        <f t="shared" ca="1" si="77"/>
        <v>—</v>
      </c>
      <c r="E1632" s="16">
        <f t="shared" ca="1" si="78"/>
        <v>7</v>
      </c>
    </row>
    <row r="1633" spans="1:5" x14ac:dyDescent="0.25">
      <c r="A1633" s="3">
        <f t="shared" si="76"/>
        <v>78989</v>
      </c>
      <c r="B1633" t="str">
        <f ca="1">TEXT(DATE(YEAR(Invoer!$A$5),1,1)+INT((ROWS(B$2:B1633)-1)/24),"""18""jjmmdd")</f>
        <v>18980309</v>
      </c>
      <c r="C1633" s="11" t="str">
        <f>INDEX(Data,2,2+MOD(ROWS(C$2:C1633)-1,24))</f>
        <v>24.00</v>
      </c>
      <c r="D1633" s="8" t="str">
        <f t="shared" ca="1" si="77"/>
        <v>—</v>
      </c>
      <c r="E1633" s="16">
        <f t="shared" ca="1" si="78"/>
        <v>7</v>
      </c>
    </row>
    <row r="1634" spans="1:5" x14ac:dyDescent="0.25">
      <c r="A1634" s="3">
        <f t="shared" si="76"/>
        <v>78989</v>
      </c>
      <c r="B1634" t="str">
        <f ca="1">TEXT(DATE(YEAR(Invoer!$A$5),1,1)+INT((ROWS(B$2:B1634)-1)/24),"""18""jjmmdd")</f>
        <v>18980310</v>
      </c>
      <c r="C1634" s="11" t="str">
        <f>INDEX(Data,2,2+MOD(ROWS(C$2:C1634)-1,24))</f>
        <v>01.00</v>
      </c>
      <c r="D1634" s="8" t="str">
        <f t="shared" ca="1" si="77"/>
        <v>—</v>
      </c>
      <c r="E1634" s="16">
        <f t="shared" ca="1" si="78"/>
        <v>7</v>
      </c>
    </row>
    <row r="1635" spans="1:5" x14ac:dyDescent="0.25">
      <c r="A1635" s="3">
        <f t="shared" si="76"/>
        <v>78989</v>
      </c>
      <c r="B1635" t="str">
        <f ca="1">TEXT(DATE(YEAR(Invoer!$A$5),1,1)+INT((ROWS(B$2:B1635)-1)/24),"""18""jjmmdd")</f>
        <v>18980310</v>
      </c>
      <c r="C1635" s="11" t="str">
        <f>INDEX(Data,2,2+MOD(ROWS(C$2:C1635)-1,24))</f>
        <v>02.00</v>
      </c>
      <c r="D1635" s="8" t="str">
        <f t="shared" ca="1" si="77"/>
        <v>—</v>
      </c>
      <c r="E1635" s="16">
        <f t="shared" ca="1" si="78"/>
        <v>7</v>
      </c>
    </row>
    <row r="1636" spans="1:5" x14ac:dyDescent="0.25">
      <c r="A1636" s="3">
        <f t="shared" si="76"/>
        <v>78989</v>
      </c>
      <c r="B1636" t="str">
        <f ca="1">TEXT(DATE(YEAR(Invoer!$A$5),1,1)+INT((ROWS(B$2:B1636)-1)/24),"""18""jjmmdd")</f>
        <v>18980310</v>
      </c>
      <c r="C1636" s="11" t="str">
        <f>INDEX(Data,2,2+MOD(ROWS(C$2:C1636)-1,24))</f>
        <v>03.00</v>
      </c>
      <c r="D1636" s="8" t="str">
        <f t="shared" ca="1" si="77"/>
        <v>—</v>
      </c>
      <c r="E1636" s="16">
        <f t="shared" ca="1" si="78"/>
        <v>7</v>
      </c>
    </row>
    <row r="1637" spans="1:5" x14ac:dyDescent="0.25">
      <c r="A1637" s="3">
        <f t="shared" si="76"/>
        <v>78989</v>
      </c>
      <c r="B1637" t="str">
        <f ca="1">TEXT(DATE(YEAR(Invoer!$A$5),1,1)+INT((ROWS(B$2:B1637)-1)/24),"""18""jjmmdd")</f>
        <v>18980310</v>
      </c>
      <c r="C1637" s="11" t="str">
        <f>INDEX(Data,2,2+MOD(ROWS(C$2:C1637)-1,24))</f>
        <v>04.00</v>
      </c>
      <c r="D1637" s="8" t="str">
        <f t="shared" ca="1" si="77"/>
        <v>—</v>
      </c>
      <c r="E1637" s="16">
        <f t="shared" ca="1" si="78"/>
        <v>7</v>
      </c>
    </row>
    <row r="1638" spans="1:5" x14ac:dyDescent="0.25">
      <c r="A1638" s="3">
        <f t="shared" si="76"/>
        <v>78989</v>
      </c>
      <c r="B1638" t="str">
        <f ca="1">TEXT(DATE(YEAR(Invoer!$A$5),1,1)+INT((ROWS(B$2:B1638)-1)/24),"""18""jjmmdd")</f>
        <v>18980310</v>
      </c>
      <c r="C1638" s="11" t="str">
        <f>INDEX(Data,2,2+MOD(ROWS(C$2:C1638)-1,24))</f>
        <v>05.00</v>
      </c>
      <c r="D1638" s="8" t="str">
        <f t="shared" ca="1" si="77"/>
        <v>—</v>
      </c>
      <c r="E1638" s="16">
        <f t="shared" ca="1" si="78"/>
        <v>7</v>
      </c>
    </row>
    <row r="1639" spans="1:5" x14ac:dyDescent="0.25">
      <c r="A1639" s="3">
        <f t="shared" si="76"/>
        <v>78989</v>
      </c>
      <c r="B1639" t="str">
        <f ca="1">TEXT(DATE(YEAR(Invoer!$A$5),1,1)+INT((ROWS(B$2:B1639)-1)/24),"""18""jjmmdd")</f>
        <v>18980310</v>
      </c>
      <c r="C1639" s="11" t="str">
        <f>INDEX(Data,2,2+MOD(ROWS(C$2:C1639)-1,24))</f>
        <v>06.00</v>
      </c>
      <c r="D1639" s="8" t="str">
        <f t="shared" ca="1" si="77"/>
        <v>—</v>
      </c>
      <c r="E1639" s="16">
        <f t="shared" ca="1" si="78"/>
        <v>7</v>
      </c>
    </row>
    <row r="1640" spans="1:5" x14ac:dyDescent="0.25">
      <c r="A1640" s="3">
        <f t="shared" si="76"/>
        <v>78989</v>
      </c>
      <c r="B1640" t="str">
        <f ca="1">TEXT(DATE(YEAR(Invoer!$A$5),1,1)+INT((ROWS(B$2:B1640)-1)/24),"""18""jjmmdd")</f>
        <v>18980310</v>
      </c>
      <c r="C1640" s="11" t="str">
        <f>INDEX(Data,2,2+MOD(ROWS(C$2:C1640)-1,24))</f>
        <v>07.00</v>
      </c>
      <c r="D1640" s="8" t="str">
        <f t="shared" ca="1" si="77"/>
        <v>—</v>
      </c>
      <c r="E1640" s="16">
        <f t="shared" ca="1" si="78"/>
        <v>7</v>
      </c>
    </row>
    <row r="1641" spans="1:5" x14ac:dyDescent="0.25">
      <c r="A1641" s="3">
        <f t="shared" si="76"/>
        <v>78989</v>
      </c>
      <c r="B1641" t="str">
        <f ca="1">TEXT(DATE(YEAR(Invoer!$A$5),1,1)+INT((ROWS(B$2:B1641)-1)/24),"""18""jjmmdd")</f>
        <v>18980310</v>
      </c>
      <c r="C1641" s="11" t="str">
        <f>INDEX(Data,2,2+MOD(ROWS(C$2:C1641)-1,24))</f>
        <v>08.00</v>
      </c>
      <c r="D1641" s="8" t="str">
        <f t="shared" ca="1" si="77"/>
        <v>—</v>
      </c>
      <c r="E1641" s="16">
        <f t="shared" ca="1" si="78"/>
        <v>7</v>
      </c>
    </row>
    <row r="1642" spans="1:5" x14ac:dyDescent="0.25">
      <c r="A1642" s="3">
        <f t="shared" si="76"/>
        <v>78989</v>
      </c>
      <c r="B1642" t="str">
        <f ca="1">TEXT(DATE(YEAR(Invoer!$A$5),1,1)+INT((ROWS(B$2:B1642)-1)/24),"""18""jjmmdd")</f>
        <v>18980310</v>
      </c>
      <c r="C1642" s="11" t="str">
        <f>INDEX(Data,2,2+MOD(ROWS(C$2:C1642)-1,24))</f>
        <v>09.00</v>
      </c>
      <c r="D1642" s="8" t="str">
        <f t="shared" ca="1" si="77"/>
        <v>—</v>
      </c>
      <c r="E1642" s="16">
        <f t="shared" ca="1" si="78"/>
        <v>7</v>
      </c>
    </row>
    <row r="1643" spans="1:5" x14ac:dyDescent="0.25">
      <c r="A1643" s="3">
        <f t="shared" si="76"/>
        <v>78989</v>
      </c>
      <c r="B1643" t="str">
        <f ca="1">TEXT(DATE(YEAR(Invoer!$A$5),1,1)+INT((ROWS(B$2:B1643)-1)/24),"""18""jjmmdd")</f>
        <v>18980310</v>
      </c>
      <c r="C1643" s="11" t="str">
        <f>INDEX(Data,2,2+MOD(ROWS(C$2:C1643)-1,24))</f>
        <v>10.00</v>
      </c>
      <c r="D1643" s="8" t="str">
        <f t="shared" ca="1" si="77"/>
        <v>—</v>
      </c>
      <c r="E1643" s="16">
        <f t="shared" ca="1" si="78"/>
        <v>7</v>
      </c>
    </row>
    <row r="1644" spans="1:5" x14ac:dyDescent="0.25">
      <c r="A1644" s="3">
        <f t="shared" si="76"/>
        <v>78989</v>
      </c>
      <c r="B1644" t="str">
        <f ca="1">TEXT(DATE(YEAR(Invoer!$A$5),1,1)+INT((ROWS(B$2:B1644)-1)/24),"""18""jjmmdd")</f>
        <v>18980310</v>
      </c>
      <c r="C1644" s="11" t="str">
        <f>INDEX(Data,2,2+MOD(ROWS(C$2:C1644)-1,24))</f>
        <v>11.00</v>
      </c>
      <c r="D1644" s="8" t="str">
        <f t="shared" ca="1" si="77"/>
        <v>—</v>
      </c>
      <c r="E1644" s="16">
        <f t="shared" ca="1" si="78"/>
        <v>7</v>
      </c>
    </row>
    <row r="1645" spans="1:5" x14ac:dyDescent="0.25">
      <c r="A1645" s="3">
        <f t="shared" si="76"/>
        <v>78989</v>
      </c>
      <c r="B1645" t="str">
        <f ca="1">TEXT(DATE(YEAR(Invoer!$A$5),1,1)+INT((ROWS(B$2:B1645)-1)/24),"""18""jjmmdd")</f>
        <v>18980310</v>
      </c>
      <c r="C1645" s="11" t="str">
        <f>INDEX(Data,2,2+MOD(ROWS(C$2:C1645)-1,24))</f>
        <v>12.00</v>
      </c>
      <c r="D1645" s="8" t="str">
        <f t="shared" ca="1" si="77"/>
        <v>—</v>
      </c>
      <c r="E1645" s="16">
        <f t="shared" ca="1" si="78"/>
        <v>7</v>
      </c>
    </row>
    <row r="1646" spans="1:5" x14ac:dyDescent="0.25">
      <c r="A1646" s="3">
        <f t="shared" si="76"/>
        <v>78989</v>
      </c>
      <c r="B1646" t="str">
        <f ca="1">TEXT(DATE(YEAR(Invoer!$A$5),1,1)+INT((ROWS(B$2:B1646)-1)/24),"""18""jjmmdd")</f>
        <v>18980310</v>
      </c>
      <c r="C1646" s="11" t="str">
        <f>INDEX(Data,2,2+MOD(ROWS(C$2:C1646)-1,24))</f>
        <v>13.00</v>
      </c>
      <c r="D1646" s="8" t="str">
        <f t="shared" ca="1" si="77"/>
        <v>—</v>
      </c>
      <c r="E1646" s="16">
        <f t="shared" ca="1" si="78"/>
        <v>7</v>
      </c>
    </row>
    <row r="1647" spans="1:5" x14ac:dyDescent="0.25">
      <c r="A1647" s="3">
        <f t="shared" si="76"/>
        <v>78989</v>
      </c>
      <c r="B1647" t="str">
        <f ca="1">TEXT(DATE(YEAR(Invoer!$A$5),1,1)+INT((ROWS(B$2:B1647)-1)/24),"""18""jjmmdd")</f>
        <v>18980310</v>
      </c>
      <c r="C1647" s="11" t="str">
        <f>INDEX(Data,2,2+MOD(ROWS(C$2:C1647)-1,24))</f>
        <v>14.00</v>
      </c>
      <c r="D1647" s="8" t="str">
        <f t="shared" ca="1" si="77"/>
        <v>—</v>
      </c>
      <c r="E1647" s="16">
        <f t="shared" ca="1" si="78"/>
        <v>7</v>
      </c>
    </row>
    <row r="1648" spans="1:5" x14ac:dyDescent="0.25">
      <c r="A1648" s="3">
        <f t="shared" si="76"/>
        <v>78989</v>
      </c>
      <c r="B1648" t="str">
        <f ca="1">TEXT(DATE(YEAR(Invoer!$A$5),1,1)+INT((ROWS(B$2:B1648)-1)/24),"""18""jjmmdd")</f>
        <v>18980310</v>
      </c>
      <c r="C1648" s="11" t="str">
        <f>INDEX(Data,2,2+MOD(ROWS(C$2:C1648)-1,24))</f>
        <v>15.00</v>
      </c>
      <c r="D1648" s="8" t="str">
        <f t="shared" ca="1" si="77"/>
        <v>—</v>
      </c>
      <c r="E1648" s="16">
        <f t="shared" ca="1" si="78"/>
        <v>7</v>
      </c>
    </row>
    <row r="1649" spans="1:5" x14ac:dyDescent="0.25">
      <c r="A1649" s="3">
        <f t="shared" si="76"/>
        <v>78989</v>
      </c>
      <c r="B1649" t="str">
        <f ca="1">TEXT(DATE(YEAR(Invoer!$A$5),1,1)+INT((ROWS(B$2:B1649)-1)/24),"""18""jjmmdd")</f>
        <v>18980310</v>
      </c>
      <c r="C1649" s="11" t="str">
        <f>INDEX(Data,2,2+MOD(ROWS(C$2:C1649)-1,24))</f>
        <v>16.00</v>
      </c>
      <c r="D1649" s="8" t="str">
        <f t="shared" ca="1" si="77"/>
        <v>—</v>
      </c>
      <c r="E1649" s="16">
        <f t="shared" ca="1" si="78"/>
        <v>7</v>
      </c>
    </row>
    <row r="1650" spans="1:5" x14ac:dyDescent="0.25">
      <c r="A1650" s="3">
        <f t="shared" si="76"/>
        <v>78989</v>
      </c>
      <c r="B1650" t="str">
        <f ca="1">TEXT(DATE(YEAR(Invoer!$A$5),1,1)+INT((ROWS(B$2:B1650)-1)/24),"""18""jjmmdd")</f>
        <v>18980310</v>
      </c>
      <c r="C1650" s="11" t="str">
        <f>INDEX(Data,2,2+MOD(ROWS(C$2:C1650)-1,24))</f>
        <v>17.00</v>
      </c>
      <c r="D1650" s="8" t="str">
        <f t="shared" ca="1" si="77"/>
        <v>—</v>
      </c>
      <c r="E1650" s="16">
        <f t="shared" ca="1" si="78"/>
        <v>7</v>
      </c>
    </row>
    <row r="1651" spans="1:5" x14ac:dyDescent="0.25">
      <c r="A1651" s="3">
        <f t="shared" si="76"/>
        <v>78989</v>
      </c>
      <c r="B1651" t="str">
        <f ca="1">TEXT(DATE(YEAR(Invoer!$A$5),1,1)+INT((ROWS(B$2:B1651)-1)/24),"""18""jjmmdd")</f>
        <v>18980310</v>
      </c>
      <c r="C1651" s="11" t="str">
        <f>INDEX(Data,2,2+MOD(ROWS(C$2:C1651)-1,24))</f>
        <v>18.00</v>
      </c>
      <c r="D1651" s="8" t="str">
        <f t="shared" ca="1" si="77"/>
        <v>—</v>
      </c>
      <c r="E1651" s="16">
        <f t="shared" ca="1" si="78"/>
        <v>7</v>
      </c>
    </row>
    <row r="1652" spans="1:5" x14ac:dyDescent="0.25">
      <c r="A1652" s="3">
        <f t="shared" si="76"/>
        <v>78989</v>
      </c>
      <c r="B1652" t="str">
        <f ca="1">TEXT(DATE(YEAR(Invoer!$A$5),1,1)+INT((ROWS(B$2:B1652)-1)/24),"""18""jjmmdd")</f>
        <v>18980310</v>
      </c>
      <c r="C1652" s="11" t="str">
        <f>INDEX(Data,2,2+MOD(ROWS(C$2:C1652)-1,24))</f>
        <v>19.00</v>
      </c>
      <c r="D1652" s="8" t="str">
        <f t="shared" ca="1" si="77"/>
        <v>—</v>
      </c>
      <c r="E1652" s="16">
        <f t="shared" ca="1" si="78"/>
        <v>7</v>
      </c>
    </row>
    <row r="1653" spans="1:5" x14ac:dyDescent="0.25">
      <c r="A1653" s="3">
        <f t="shared" si="76"/>
        <v>78989</v>
      </c>
      <c r="B1653" t="str">
        <f ca="1">TEXT(DATE(YEAR(Invoer!$A$5),1,1)+INT((ROWS(B$2:B1653)-1)/24),"""18""jjmmdd")</f>
        <v>18980310</v>
      </c>
      <c r="C1653" s="11" t="str">
        <f>INDEX(Data,2,2+MOD(ROWS(C$2:C1653)-1,24))</f>
        <v>20.00</v>
      </c>
      <c r="D1653" s="8" t="str">
        <f t="shared" ca="1" si="77"/>
        <v>—</v>
      </c>
      <c r="E1653" s="16">
        <f t="shared" ca="1" si="78"/>
        <v>7</v>
      </c>
    </row>
    <row r="1654" spans="1:5" x14ac:dyDescent="0.25">
      <c r="A1654" s="3">
        <f t="shared" si="76"/>
        <v>78989</v>
      </c>
      <c r="B1654" t="str">
        <f ca="1">TEXT(DATE(YEAR(Invoer!$A$5),1,1)+INT((ROWS(B$2:B1654)-1)/24),"""18""jjmmdd")</f>
        <v>18980310</v>
      </c>
      <c r="C1654" s="11" t="str">
        <f>INDEX(Data,2,2+MOD(ROWS(C$2:C1654)-1,24))</f>
        <v>21.00</v>
      </c>
      <c r="D1654" s="8" t="str">
        <f t="shared" ca="1" si="77"/>
        <v>—</v>
      </c>
      <c r="E1654" s="16">
        <f t="shared" ca="1" si="78"/>
        <v>7</v>
      </c>
    </row>
    <row r="1655" spans="1:5" x14ac:dyDescent="0.25">
      <c r="A1655" s="3">
        <f t="shared" si="76"/>
        <v>78989</v>
      </c>
      <c r="B1655" t="str">
        <f ca="1">TEXT(DATE(YEAR(Invoer!$A$5),1,1)+INT((ROWS(B$2:B1655)-1)/24),"""18""jjmmdd")</f>
        <v>18980310</v>
      </c>
      <c r="C1655" s="11" t="str">
        <f>INDEX(Data,2,2+MOD(ROWS(C$2:C1655)-1,24))</f>
        <v>22.00</v>
      </c>
      <c r="D1655" s="8" t="str">
        <f t="shared" ca="1" si="77"/>
        <v>—</v>
      </c>
      <c r="E1655" s="16">
        <f t="shared" ca="1" si="78"/>
        <v>7</v>
      </c>
    </row>
    <row r="1656" spans="1:5" x14ac:dyDescent="0.25">
      <c r="A1656" s="3">
        <f t="shared" si="76"/>
        <v>78989</v>
      </c>
      <c r="B1656" t="str">
        <f ca="1">TEXT(DATE(YEAR(Invoer!$A$5),1,1)+INT((ROWS(B$2:B1656)-1)/24),"""18""jjmmdd")</f>
        <v>18980310</v>
      </c>
      <c r="C1656" s="11" t="str">
        <f>INDEX(Data,2,2+MOD(ROWS(C$2:C1656)-1,24))</f>
        <v>23.00</v>
      </c>
      <c r="D1656" s="8" t="str">
        <f t="shared" ca="1" si="77"/>
        <v>—</v>
      </c>
      <c r="E1656" s="16">
        <f t="shared" ca="1" si="78"/>
        <v>7</v>
      </c>
    </row>
    <row r="1657" spans="1:5" x14ac:dyDescent="0.25">
      <c r="A1657" s="3">
        <f t="shared" si="76"/>
        <v>78989</v>
      </c>
      <c r="B1657" t="str">
        <f ca="1">TEXT(DATE(YEAR(Invoer!$A$5),1,1)+INT((ROWS(B$2:B1657)-1)/24),"""18""jjmmdd")</f>
        <v>18980310</v>
      </c>
      <c r="C1657" s="11" t="str">
        <f>INDEX(Data,2,2+MOD(ROWS(C$2:C1657)-1,24))</f>
        <v>24.00</v>
      </c>
      <c r="D1657" s="8" t="str">
        <f t="shared" ca="1" si="77"/>
        <v>—</v>
      </c>
      <c r="E1657" s="16">
        <f t="shared" ca="1" si="78"/>
        <v>7</v>
      </c>
    </row>
    <row r="1658" spans="1:5" x14ac:dyDescent="0.25">
      <c r="A1658" s="3">
        <f t="shared" si="76"/>
        <v>78989</v>
      </c>
      <c r="B1658" t="str">
        <f ca="1">TEXT(DATE(YEAR(Invoer!$A$5),1,1)+INT((ROWS(B$2:B1658)-1)/24),"""18""jjmmdd")</f>
        <v>18980311</v>
      </c>
      <c r="C1658" s="11" t="str">
        <f>INDEX(Data,2,2+MOD(ROWS(C$2:C1658)-1,24))</f>
        <v>01.00</v>
      </c>
      <c r="D1658" s="8" t="str">
        <f t="shared" ca="1" si="77"/>
        <v>—</v>
      </c>
      <c r="E1658" s="16">
        <f t="shared" ca="1" si="78"/>
        <v>7</v>
      </c>
    </row>
    <row r="1659" spans="1:5" x14ac:dyDescent="0.25">
      <c r="A1659" s="3">
        <f t="shared" si="76"/>
        <v>78989</v>
      </c>
      <c r="B1659" t="str">
        <f ca="1">TEXT(DATE(YEAR(Invoer!$A$5),1,1)+INT((ROWS(B$2:B1659)-1)/24),"""18""jjmmdd")</f>
        <v>18980311</v>
      </c>
      <c r="C1659" s="11" t="str">
        <f>INDEX(Data,2,2+MOD(ROWS(C$2:C1659)-1,24))</f>
        <v>02.00</v>
      </c>
      <c r="D1659" s="8" t="str">
        <f t="shared" ca="1" si="77"/>
        <v>—</v>
      </c>
      <c r="E1659" s="16">
        <f t="shared" ca="1" si="78"/>
        <v>7</v>
      </c>
    </row>
    <row r="1660" spans="1:5" x14ac:dyDescent="0.25">
      <c r="A1660" s="3">
        <f t="shared" si="76"/>
        <v>78989</v>
      </c>
      <c r="B1660" t="str">
        <f ca="1">TEXT(DATE(YEAR(Invoer!$A$5),1,1)+INT((ROWS(B$2:B1660)-1)/24),"""18""jjmmdd")</f>
        <v>18980311</v>
      </c>
      <c r="C1660" s="11" t="str">
        <f>INDEX(Data,2,2+MOD(ROWS(C$2:C1660)-1,24))</f>
        <v>03.00</v>
      </c>
      <c r="D1660" s="8" t="str">
        <f t="shared" ca="1" si="77"/>
        <v>—</v>
      </c>
      <c r="E1660" s="16">
        <f t="shared" ca="1" si="78"/>
        <v>7</v>
      </c>
    </row>
    <row r="1661" spans="1:5" x14ac:dyDescent="0.25">
      <c r="A1661" s="3">
        <f t="shared" si="76"/>
        <v>78989</v>
      </c>
      <c r="B1661" t="str">
        <f ca="1">TEXT(DATE(YEAR(Invoer!$A$5),1,1)+INT((ROWS(B$2:B1661)-1)/24),"""18""jjmmdd")</f>
        <v>18980311</v>
      </c>
      <c r="C1661" s="11" t="str">
        <f>INDEX(Data,2,2+MOD(ROWS(C$2:C1661)-1,24))</f>
        <v>04.00</v>
      </c>
      <c r="D1661" s="8" t="str">
        <f t="shared" ca="1" si="77"/>
        <v>—</v>
      </c>
      <c r="E1661" s="16">
        <f t="shared" ca="1" si="78"/>
        <v>7</v>
      </c>
    </row>
    <row r="1662" spans="1:5" x14ac:dyDescent="0.25">
      <c r="A1662" s="3">
        <f t="shared" si="76"/>
        <v>78989</v>
      </c>
      <c r="B1662" t="str">
        <f ca="1">TEXT(DATE(YEAR(Invoer!$A$5),1,1)+INT((ROWS(B$2:B1662)-1)/24),"""18""jjmmdd")</f>
        <v>18980311</v>
      </c>
      <c r="C1662" s="11" t="str">
        <f>INDEX(Data,2,2+MOD(ROWS(C$2:C1662)-1,24))</f>
        <v>05.00</v>
      </c>
      <c r="D1662" s="8" t="str">
        <f t="shared" ca="1" si="77"/>
        <v>—</v>
      </c>
      <c r="E1662" s="16">
        <f t="shared" ca="1" si="78"/>
        <v>7</v>
      </c>
    </row>
    <row r="1663" spans="1:5" x14ac:dyDescent="0.25">
      <c r="A1663" s="3">
        <f t="shared" si="76"/>
        <v>78989</v>
      </c>
      <c r="B1663" t="str">
        <f ca="1">TEXT(DATE(YEAR(Invoer!$A$5),1,1)+INT((ROWS(B$2:B1663)-1)/24),"""18""jjmmdd")</f>
        <v>18980311</v>
      </c>
      <c r="C1663" s="11" t="str">
        <f>INDEX(Data,2,2+MOD(ROWS(C$2:C1663)-1,24))</f>
        <v>06.00</v>
      </c>
      <c r="D1663" s="8" t="str">
        <f t="shared" ca="1" si="77"/>
        <v>—</v>
      </c>
      <c r="E1663" s="16">
        <f t="shared" ca="1" si="78"/>
        <v>7</v>
      </c>
    </row>
    <row r="1664" spans="1:5" x14ac:dyDescent="0.25">
      <c r="A1664" s="3">
        <f t="shared" si="76"/>
        <v>78989</v>
      </c>
      <c r="B1664" t="str">
        <f ca="1">TEXT(DATE(YEAR(Invoer!$A$5),1,1)+INT((ROWS(B$2:B1664)-1)/24),"""18""jjmmdd")</f>
        <v>18980311</v>
      </c>
      <c r="C1664" s="11" t="str">
        <f>INDEX(Data,2,2+MOD(ROWS(C$2:C1664)-1,24))</f>
        <v>07.00</v>
      </c>
      <c r="D1664" s="8" t="str">
        <f t="shared" ca="1" si="77"/>
        <v>—</v>
      </c>
      <c r="E1664" s="16">
        <f t="shared" ca="1" si="78"/>
        <v>7</v>
      </c>
    </row>
    <row r="1665" spans="1:5" x14ac:dyDescent="0.25">
      <c r="A1665" s="3">
        <f t="shared" si="76"/>
        <v>78989</v>
      </c>
      <c r="B1665" t="str">
        <f ca="1">TEXT(DATE(YEAR(Invoer!$A$5),1,1)+INT((ROWS(B$2:B1665)-1)/24),"""18""jjmmdd")</f>
        <v>18980311</v>
      </c>
      <c r="C1665" s="11" t="str">
        <f>INDEX(Data,2,2+MOD(ROWS(C$2:C1665)-1,24))</f>
        <v>08.00</v>
      </c>
      <c r="D1665" s="8" t="str">
        <f t="shared" ca="1" si="77"/>
        <v>—</v>
      </c>
      <c r="E1665" s="16">
        <f t="shared" ca="1" si="78"/>
        <v>7</v>
      </c>
    </row>
    <row r="1666" spans="1:5" x14ac:dyDescent="0.25">
      <c r="A1666" s="3">
        <f t="shared" ref="A1666:A1729" si="79">INDEX(Stations,2,1)</f>
        <v>78989</v>
      </c>
      <c r="B1666" t="str">
        <f ca="1">TEXT(DATE(YEAR(Invoer!$A$5),1,1)+INT((ROWS(B$2:B1666)-1)/24),"""18""jjmmdd")</f>
        <v>18980311</v>
      </c>
      <c r="C1666" s="11" t="str">
        <f>INDEX(Data,2,2+MOD(ROWS(C$2:C1666)-1,24))</f>
        <v>09.00</v>
      </c>
      <c r="D1666" s="8" t="str">
        <f t="shared" ref="D1666:D1729" ca="1" si="80">IF(OR(ISBLANK(VLOOKUP(DATEVALUE("37"&amp;MID($B1666,3,2)&amp;"-"&amp;MID($B1666,5,2)&amp;"-"&amp;RIGHT($B1666,2)),Data,MATCH(LEFT(VLOOKUP(D$1,Parameters,2,FALSE()),4)&amp;"*",OFFSET(Data,0,0,1),0)+MATCH($C1666,OFFSET(Data,1,0,1),0)-2,FALSE())),ISTEXT(VLOOKUP(DATEVALUE("37"&amp;MID($B1666,3,2)&amp;"-"&amp;MID($B1666,5,2)&amp;"-"&amp;RIGHT($B1666,2)),Data,MATCH(LEFT(VLOOKUP(D$1,Parameters,2,FALSE()),4)&amp;"*",OFFSET(Data,0,0,1),0)+MATCH($C1666,OFFSET(Data,1,0,1),0)-2,FALSE()))),"—",VLOOKUP(DATEVALUE("37"&amp;MID($B1666,3,2)&amp;"-"&amp;MID($B1666,5,2)&amp;"-"&amp;RIGHT($B1666,2)),Data,MATCH(LEFT(VLOOKUP(D$1,Parameters,2,FALSE()),4)&amp;"*",OFFSET(Data,0,0,1),0)+MATCH($C1666,OFFSET(Data,1,0,1),0)-2,FALSE()))</f>
        <v>—</v>
      </c>
      <c r="E1666" s="16">
        <f t="shared" ca="1" si="78"/>
        <v>7</v>
      </c>
    </row>
    <row r="1667" spans="1:5" x14ac:dyDescent="0.25">
      <c r="A1667" s="3">
        <f t="shared" si="79"/>
        <v>78989</v>
      </c>
      <c r="B1667" t="str">
        <f ca="1">TEXT(DATE(YEAR(Invoer!$A$5),1,1)+INT((ROWS(B$2:B1667)-1)/24),"""18""jjmmdd")</f>
        <v>18980311</v>
      </c>
      <c r="C1667" s="11" t="str">
        <f>INDEX(Data,2,2+MOD(ROWS(C$2:C1667)-1,24))</f>
        <v>10.00</v>
      </c>
      <c r="D1667" s="8" t="str">
        <f t="shared" ca="1" si="80"/>
        <v>—</v>
      </c>
      <c r="E1667" s="16">
        <f t="shared" ref="E1667:E1730" ca="1" si="81">IF(OR(ISBLANK(VLOOKUP(DATEVALUE("37"&amp;MID($B1667,3,2)&amp;"-"&amp;MID($B1667,5,2)&amp;"-"&amp;RIGHT($B1667,2)),Data,MATCH(LEFT(VLOOKUP(D$1,Parameters,2,FALSE()),4)&amp;"*",OFFSET(Data,0,0,1),0)+MATCH($C1667,OFFSET(Data,1,0,1),0)-2,FALSE())),ISTEXT(VLOOKUP(DATEVALUE("37"&amp;MID($B1667,3,2)&amp;"-"&amp;MID($B1667,5,2)&amp;"-"&amp;RIGHT($B1667,2)),Data,MATCH(LEFT(VLOOKUP(D$1,Parameters,2,FALSE()),4)&amp;"*",OFFSET(Data,0,0,1),0)+MATCH($C1667,OFFSET(Data,1,0,1),0)-2,FALSE()))),Lacking,IF(ISNA(MATCH(DATEVALUE("37"&amp;MID($B1667,3,2)&amp;"-"&amp;MID($B1667,5,2)&amp;"-"&amp;RIGHT($B1667,2)),OFFSET(Catalogus,0,0,,1),0)),Ok,VLOOKUP(DATEVALUE("37"&amp;MID($B1667,3,2)&amp;"-"&amp;MID($B1667,5,2)&amp;"-"&amp;RIGHT($B1667,2)),Catalogus,MATCH(LEFT(VLOOKUP(MID(E$1,2,LEN(E$1)-1),Parameters,2,FALSE()),4)&amp;"*",OFFSET(Catalogus,0,0,1),0)+MATCH($C1667,OFFSET(Catalogus,1,0,1),0)-2,FALSE())))</f>
        <v>7</v>
      </c>
    </row>
    <row r="1668" spans="1:5" x14ac:dyDescent="0.25">
      <c r="A1668" s="3">
        <f t="shared" si="79"/>
        <v>78989</v>
      </c>
      <c r="B1668" t="str">
        <f ca="1">TEXT(DATE(YEAR(Invoer!$A$5),1,1)+INT((ROWS(B$2:B1668)-1)/24),"""18""jjmmdd")</f>
        <v>18980311</v>
      </c>
      <c r="C1668" s="11" t="str">
        <f>INDEX(Data,2,2+MOD(ROWS(C$2:C1668)-1,24))</f>
        <v>11.00</v>
      </c>
      <c r="D1668" s="8" t="str">
        <f t="shared" ca="1" si="80"/>
        <v>—</v>
      </c>
      <c r="E1668" s="16">
        <f t="shared" ca="1" si="81"/>
        <v>7</v>
      </c>
    </row>
    <row r="1669" spans="1:5" x14ac:dyDescent="0.25">
      <c r="A1669" s="3">
        <f t="shared" si="79"/>
        <v>78989</v>
      </c>
      <c r="B1669" t="str">
        <f ca="1">TEXT(DATE(YEAR(Invoer!$A$5),1,1)+INT((ROWS(B$2:B1669)-1)/24),"""18""jjmmdd")</f>
        <v>18980311</v>
      </c>
      <c r="C1669" s="11" t="str">
        <f>INDEX(Data,2,2+MOD(ROWS(C$2:C1669)-1,24))</f>
        <v>12.00</v>
      </c>
      <c r="D1669" s="8" t="str">
        <f t="shared" ca="1" si="80"/>
        <v>—</v>
      </c>
      <c r="E1669" s="16">
        <f t="shared" ca="1" si="81"/>
        <v>7</v>
      </c>
    </row>
    <row r="1670" spans="1:5" x14ac:dyDescent="0.25">
      <c r="A1670" s="3">
        <f t="shared" si="79"/>
        <v>78989</v>
      </c>
      <c r="B1670" t="str">
        <f ca="1">TEXT(DATE(YEAR(Invoer!$A$5),1,1)+INT((ROWS(B$2:B1670)-1)/24),"""18""jjmmdd")</f>
        <v>18980311</v>
      </c>
      <c r="C1670" s="11" t="str">
        <f>INDEX(Data,2,2+MOD(ROWS(C$2:C1670)-1,24))</f>
        <v>13.00</v>
      </c>
      <c r="D1670" s="8" t="str">
        <f t="shared" ca="1" si="80"/>
        <v>—</v>
      </c>
      <c r="E1670" s="16">
        <f t="shared" ca="1" si="81"/>
        <v>7</v>
      </c>
    </row>
    <row r="1671" spans="1:5" x14ac:dyDescent="0.25">
      <c r="A1671" s="3">
        <f t="shared" si="79"/>
        <v>78989</v>
      </c>
      <c r="B1671" t="str">
        <f ca="1">TEXT(DATE(YEAR(Invoer!$A$5),1,1)+INT((ROWS(B$2:B1671)-1)/24),"""18""jjmmdd")</f>
        <v>18980311</v>
      </c>
      <c r="C1671" s="11" t="str">
        <f>INDEX(Data,2,2+MOD(ROWS(C$2:C1671)-1,24))</f>
        <v>14.00</v>
      </c>
      <c r="D1671" s="8" t="str">
        <f t="shared" ca="1" si="80"/>
        <v>—</v>
      </c>
      <c r="E1671" s="16">
        <f t="shared" ca="1" si="81"/>
        <v>7</v>
      </c>
    </row>
    <row r="1672" spans="1:5" x14ac:dyDescent="0.25">
      <c r="A1672" s="3">
        <f t="shared" si="79"/>
        <v>78989</v>
      </c>
      <c r="B1672" t="str">
        <f ca="1">TEXT(DATE(YEAR(Invoer!$A$5),1,1)+INT((ROWS(B$2:B1672)-1)/24),"""18""jjmmdd")</f>
        <v>18980311</v>
      </c>
      <c r="C1672" s="11" t="str">
        <f>INDEX(Data,2,2+MOD(ROWS(C$2:C1672)-1,24))</f>
        <v>15.00</v>
      </c>
      <c r="D1672" s="8" t="str">
        <f t="shared" ca="1" si="80"/>
        <v>—</v>
      </c>
      <c r="E1672" s="16">
        <f t="shared" ca="1" si="81"/>
        <v>7</v>
      </c>
    </row>
    <row r="1673" spans="1:5" x14ac:dyDescent="0.25">
      <c r="A1673" s="3">
        <f t="shared" si="79"/>
        <v>78989</v>
      </c>
      <c r="B1673" t="str">
        <f ca="1">TEXT(DATE(YEAR(Invoer!$A$5),1,1)+INT((ROWS(B$2:B1673)-1)/24),"""18""jjmmdd")</f>
        <v>18980311</v>
      </c>
      <c r="C1673" s="11" t="str">
        <f>INDEX(Data,2,2+MOD(ROWS(C$2:C1673)-1,24))</f>
        <v>16.00</v>
      </c>
      <c r="D1673" s="8" t="str">
        <f t="shared" ca="1" si="80"/>
        <v>—</v>
      </c>
      <c r="E1673" s="16">
        <f t="shared" ca="1" si="81"/>
        <v>7</v>
      </c>
    </row>
    <row r="1674" spans="1:5" x14ac:dyDescent="0.25">
      <c r="A1674" s="3">
        <f t="shared" si="79"/>
        <v>78989</v>
      </c>
      <c r="B1674" t="str">
        <f ca="1">TEXT(DATE(YEAR(Invoer!$A$5),1,1)+INT((ROWS(B$2:B1674)-1)/24),"""18""jjmmdd")</f>
        <v>18980311</v>
      </c>
      <c r="C1674" s="11" t="str">
        <f>INDEX(Data,2,2+MOD(ROWS(C$2:C1674)-1,24))</f>
        <v>17.00</v>
      </c>
      <c r="D1674" s="8" t="str">
        <f t="shared" ca="1" si="80"/>
        <v>—</v>
      </c>
      <c r="E1674" s="16">
        <f t="shared" ca="1" si="81"/>
        <v>7</v>
      </c>
    </row>
    <row r="1675" spans="1:5" x14ac:dyDescent="0.25">
      <c r="A1675" s="3">
        <f t="shared" si="79"/>
        <v>78989</v>
      </c>
      <c r="B1675" t="str">
        <f ca="1">TEXT(DATE(YEAR(Invoer!$A$5),1,1)+INT((ROWS(B$2:B1675)-1)/24),"""18""jjmmdd")</f>
        <v>18980311</v>
      </c>
      <c r="C1675" s="11" t="str">
        <f>INDEX(Data,2,2+MOD(ROWS(C$2:C1675)-1,24))</f>
        <v>18.00</v>
      </c>
      <c r="D1675" s="8" t="str">
        <f t="shared" ca="1" si="80"/>
        <v>—</v>
      </c>
      <c r="E1675" s="16">
        <f t="shared" ca="1" si="81"/>
        <v>7</v>
      </c>
    </row>
    <row r="1676" spans="1:5" x14ac:dyDescent="0.25">
      <c r="A1676" s="3">
        <f t="shared" si="79"/>
        <v>78989</v>
      </c>
      <c r="B1676" t="str">
        <f ca="1">TEXT(DATE(YEAR(Invoer!$A$5),1,1)+INT((ROWS(B$2:B1676)-1)/24),"""18""jjmmdd")</f>
        <v>18980311</v>
      </c>
      <c r="C1676" s="11" t="str">
        <f>INDEX(Data,2,2+MOD(ROWS(C$2:C1676)-1,24))</f>
        <v>19.00</v>
      </c>
      <c r="D1676" s="8" t="str">
        <f t="shared" ca="1" si="80"/>
        <v>—</v>
      </c>
      <c r="E1676" s="16">
        <f t="shared" ca="1" si="81"/>
        <v>7</v>
      </c>
    </row>
    <row r="1677" spans="1:5" x14ac:dyDescent="0.25">
      <c r="A1677" s="3">
        <f t="shared" si="79"/>
        <v>78989</v>
      </c>
      <c r="B1677" t="str">
        <f ca="1">TEXT(DATE(YEAR(Invoer!$A$5),1,1)+INT((ROWS(B$2:B1677)-1)/24),"""18""jjmmdd")</f>
        <v>18980311</v>
      </c>
      <c r="C1677" s="11" t="str">
        <f>INDEX(Data,2,2+MOD(ROWS(C$2:C1677)-1,24))</f>
        <v>20.00</v>
      </c>
      <c r="D1677" s="8" t="str">
        <f t="shared" ca="1" si="80"/>
        <v>—</v>
      </c>
      <c r="E1677" s="16">
        <f t="shared" ca="1" si="81"/>
        <v>7</v>
      </c>
    </row>
    <row r="1678" spans="1:5" x14ac:dyDescent="0.25">
      <c r="A1678" s="3">
        <f t="shared" si="79"/>
        <v>78989</v>
      </c>
      <c r="B1678" t="str">
        <f ca="1">TEXT(DATE(YEAR(Invoer!$A$5),1,1)+INT((ROWS(B$2:B1678)-1)/24),"""18""jjmmdd")</f>
        <v>18980311</v>
      </c>
      <c r="C1678" s="11" t="str">
        <f>INDEX(Data,2,2+MOD(ROWS(C$2:C1678)-1,24))</f>
        <v>21.00</v>
      </c>
      <c r="D1678" s="8" t="str">
        <f t="shared" ca="1" si="80"/>
        <v>—</v>
      </c>
      <c r="E1678" s="16">
        <f t="shared" ca="1" si="81"/>
        <v>7</v>
      </c>
    </row>
    <row r="1679" spans="1:5" x14ac:dyDescent="0.25">
      <c r="A1679" s="3">
        <f t="shared" si="79"/>
        <v>78989</v>
      </c>
      <c r="B1679" t="str">
        <f ca="1">TEXT(DATE(YEAR(Invoer!$A$5),1,1)+INT((ROWS(B$2:B1679)-1)/24),"""18""jjmmdd")</f>
        <v>18980311</v>
      </c>
      <c r="C1679" s="11" t="str">
        <f>INDEX(Data,2,2+MOD(ROWS(C$2:C1679)-1,24))</f>
        <v>22.00</v>
      </c>
      <c r="D1679" s="8" t="str">
        <f t="shared" ca="1" si="80"/>
        <v>—</v>
      </c>
      <c r="E1679" s="16">
        <f t="shared" ca="1" si="81"/>
        <v>7</v>
      </c>
    </row>
    <row r="1680" spans="1:5" x14ac:dyDescent="0.25">
      <c r="A1680" s="3">
        <f t="shared" si="79"/>
        <v>78989</v>
      </c>
      <c r="B1680" t="str">
        <f ca="1">TEXT(DATE(YEAR(Invoer!$A$5),1,1)+INT((ROWS(B$2:B1680)-1)/24),"""18""jjmmdd")</f>
        <v>18980311</v>
      </c>
      <c r="C1680" s="11" t="str">
        <f>INDEX(Data,2,2+MOD(ROWS(C$2:C1680)-1,24))</f>
        <v>23.00</v>
      </c>
      <c r="D1680" s="8" t="str">
        <f t="shared" ca="1" si="80"/>
        <v>—</v>
      </c>
      <c r="E1680" s="16">
        <f t="shared" ca="1" si="81"/>
        <v>7</v>
      </c>
    </row>
    <row r="1681" spans="1:5" x14ac:dyDescent="0.25">
      <c r="A1681" s="3">
        <f t="shared" si="79"/>
        <v>78989</v>
      </c>
      <c r="B1681" t="str">
        <f ca="1">TEXT(DATE(YEAR(Invoer!$A$5),1,1)+INT((ROWS(B$2:B1681)-1)/24),"""18""jjmmdd")</f>
        <v>18980311</v>
      </c>
      <c r="C1681" s="11" t="str">
        <f>INDEX(Data,2,2+MOD(ROWS(C$2:C1681)-1,24))</f>
        <v>24.00</v>
      </c>
      <c r="D1681" s="8" t="str">
        <f t="shared" ca="1" si="80"/>
        <v>—</v>
      </c>
      <c r="E1681" s="16">
        <f t="shared" ca="1" si="81"/>
        <v>7</v>
      </c>
    </row>
    <row r="1682" spans="1:5" x14ac:dyDescent="0.25">
      <c r="A1682" s="3">
        <f t="shared" si="79"/>
        <v>78989</v>
      </c>
      <c r="B1682" t="str">
        <f ca="1">TEXT(DATE(YEAR(Invoer!$A$5),1,1)+INT((ROWS(B$2:B1682)-1)/24),"""18""jjmmdd")</f>
        <v>18980312</v>
      </c>
      <c r="C1682" s="11" t="str">
        <f>INDEX(Data,2,2+MOD(ROWS(C$2:C1682)-1,24))</f>
        <v>01.00</v>
      </c>
      <c r="D1682" s="8" t="str">
        <f t="shared" ca="1" si="80"/>
        <v>—</v>
      </c>
      <c r="E1682" s="16">
        <f t="shared" ca="1" si="81"/>
        <v>7</v>
      </c>
    </row>
    <row r="1683" spans="1:5" x14ac:dyDescent="0.25">
      <c r="A1683" s="3">
        <f t="shared" si="79"/>
        <v>78989</v>
      </c>
      <c r="B1683" t="str">
        <f ca="1">TEXT(DATE(YEAR(Invoer!$A$5),1,1)+INT((ROWS(B$2:B1683)-1)/24),"""18""jjmmdd")</f>
        <v>18980312</v>
      </c>
      <c r="C1683" s="11" t="str">
        <f>INDEX(Data,2,2+MOD(ROWS(C$2:C1683)-1,24))</f>
        <v>02.00</v>
      </c>
      <c r="D1683" s="8" t="str">
        <f t="shared" ca="1" si="80"/>
        <v>—</v>
      </c>
      <c r="E1683" s="16">
        <f t="shared" ca="1" si="81"/>
        <v>7</v>
      </c>
    </row>
    <row r="1684" spans="1:5" x14ac:dyDescent="0.25">
      <c r="A1684" s="3">
        <f t="shared" si="79"/>
        <v>78989</v>
      </c>
      <c r="B1684" t="str">
        <f ca="1">TEXT(DATE(YEAR(Invoer!$A$5),1,1)+INT((ROWS(B$2:B1684)-1)/24),"""18""jjmmdd")</f>
        <v>18980312</v>
      </c>
      <c r="C1684" s="11" t="str">
        <f>INDEX(Data,2,2+MOD(ROWS(C$2:C1684)-1,24))</f>
        <v>03.00</v>
      </c>
      <c r="D1684" s="8" t="str">
        <f t="shared" ca="1" si="80"/>
        <v>—</v>
      </c>
      <c r="E1684" s="16">
        <f t="shared" ca="1" si="81"/>
        <v>7</v>
      </c>
    </row>
    <row r="1685" spans="1:5" x14ac:dyDescent="0.25">
      <c r="A1685" s="3">
        <f t="shared" si="79"/>
        <v>78989</v>
      </c>
      <c r="B1685" t="str">
        <f ca="1">TEXT(DATE(YEAR(Invoer!$A$5),1,1)+INT((ROWS(B$2:B1685)-1)/24),"""18""jjmmdd")</f>
        <v>18980312</v>
      </c>
      <c r="C1685" s="11" t="str">
        <f>INDEX(Data,2,2+MOD(ROWS(C$2:C1685)-1,24))</f>
        <v>04.00</v>
      </c>
      <c r="D1685" s="8" t="str">
        <f t="shared" ca="1" si="80"/>
        <v>—</v>
      </c>
      <c r="E1685" s="16">
        <f t="shared" ca="1" si="81"/>
        <v>7</v>
      </c>
    </row>
    <row r="1686" spans="1:5" x14ac:dyDescent="0.25">
      <c r="A1686" s="3">
        <f t="shared" si="79"/>
        <v>78989</v>
      </c>
      <c r="B1686" t="str">
        <f ca="1">TEXT(DATE(YEAR(Invoer!$A$5),1,1)+INT((ROWS(B$2:B1686)-1)/24),"""18""jjmmdd")</f>
        <v>18980312</v>
      </c>
      <c r="C1686" s="11" t="str">
        <f>INDEX(Data,2,2+MOD(ROWS(C$2:C1686)-1,24))</f>
        <v>05.00</v>
      </c>
      <c r="D1686" s="8" t="str">
        <f t="shared" ca="1" si="80"/>
        <v>—</v>
      </c>
      <c r="E1686" s="16">
        <f t="shared" ca="1" si="81"/>
        <v>7</v>
      </c>
    </row>
    <row r="1687" spans="1:5" x14ac:dyDescent="0.25">
      <c r="A1687" s="3">
        <f t="shared" si="79"/>
        <v>78989</v>
      </c>
      <c r="B1687" t="str">
        <f ca="1">TEXT(DATE(YEAR(Invoer!$A$5),1,1)+INT((ROWS(B$2:B1687)-1)/24),"""18""jjmmdd")</f>
        <v>18980312</v>
      </c>
      <c r="C1687" s="11" t="str">
        <f>INDEX(Data,2,2+MOD(ROWS(C$2:C1687)-1,24))</f>
        <v>06.00</v>
      </c>
      <c r="D1687" s="8" t="str">
        <f t="shared" ca="1" si="80"/>
        <v>—</v>
      </c>
      <c r="E1687" s="16">
        <f t="shared" ca="1" si="81"/>
        <v>7</v>
      </c>
    </row>
    <row r="1688" spans="1:5" x14ac:dyDescent="0.25">
      <c r="A1688" s="3">
        <f t="shared" si="79"/>
        <v>78989</v>
      </c>
      <c r="B1688" t="str">
        <f ca="1">TEXT(DATE(YEAR(Invoer!$A$5),1,1)+INT((ROWS(B$2:B1688)-1)/24),"""18""jjmmdd")</f>
        <v>18980312</v>
      </c>
      <c r="C1688" s="11" t="str">
        <f>INDEX(Data,2,2+MOD(ROWS(C$2:C1688)-1,24))</f>
        <v>07.00</v>
      </c>
      <c r="D1688" s="8" t="str">
        <f t="shared" ca="1" si="80"/>
        <v>—</v>
      </c>
      <c r="E1688" s="16">
        <f t="shared" ca="1" si="81"/>
        <v>7</v>
      </c>
    </row>
    <row r="1689" spans="1:5" x14ac:dyDescent="0.25">
      <c r="A1689" s="3">
        <f t="shared" si="79"/>
        <v>78989</v>
      </c>
      <c r="B1689" t="str">
        <f ca="1">TEXT(DATE(YEAR(Invoer!$A$5),1,1)+INT((ROWS(B$2:B1689)-1)/24),"""18""jjmmdd")</f>
        <v>18980312</v>
      </c>
      <c r="C1689" s="11" t="str">
        <f>INDEX(Data,2,2+MOD(ROWS(C$2:C1689)-1,24))</f>
        <v>08.00</v>
      </c>
      <c r="D1689" s="8" t="str">
        <f t="shared" ca="1" si="80"/>
        <v>—</v>
      </c>
      <c r="E1689" s="16">
        <f t="shared" ca="1" si="81"/>
        <v>7</v>
      </c>
    </row>
    <row r="1690" spans="1:5" x14ac:dyDescent="0.25">
      <c r="A1690" s="3">
        <f t="shared" si="79"/>
        <v>78989</v>
      </c>
      <c r="B1690" t="str">
        <f ca="1">TEXT(DATE(YEAR(Invoer!$A$5),1,1)+INT((ROWS(B$2:B1690)-1)/24),"""18""jjmmdd")</f>
        <v>18980312</v>
      </c>
      <c r="C1690" s="11" t="str">
        <f>INDEX(Data,2,2+MOD(ROWS(C$2:C1690)-1,24))</f>
        <v>09.00</v>
      </c>
      <c r="D1690" s="8" t="str">
        <f t="shared" ca="1" si="80"/>
        <v>—</v>
      </c>
      <c r="E1690" s="16">
        <f t="shared" ca="1" si="81"/>
        <v>7</v>
      </c>
    </row>
    <row r="1691" spans="1:5" x14ac:dyDescent="0.25">
      <c r="A1691" s="3">
        <f t="shared" si="79"/>
        <v>78989</v>
      </c>
      <c r="B1691" t="str">
        <f ca="1">TEXT(DATE(YEAR(Invoer!$A$5),1,1)+INT((ROWS(B$2:B1691)-1)/24),"""18""jjmmdd")</f>
        <v>18980312</v>
      </c>
      <c r="C1691" s="11" t="str">
        <f>INDEX(Data,2,2+MOD(ROWS(C$2:C1691)-1,24))</f>
        <v>10.00</v>
      </c>
      <c r="D1691" s="8" t="str">
        <f t="shared" ca="1" si="80"/>
        <v>—</v>
      </c>
      <c r="E1691" s="16">
        <f t="shared" ca="1" si="81"/>
        <v>7</v>
      </c>
    </row>
    <row r="1692" spans="1:5" x14ac:dyDescent="0.25">
      <c r="A1692" s="3">
        <f t="shared" si="79"/>
        <v>78989</v>
      </c>
      <c r="B1692" t="str">
        <f ca="1">TEXT(DATE(YEAR(Invoer!$A$5),1,1)+INT((ROWS(B$2:B1692)-1)/24),"""18""jjmmdd")</f>
        <v>18980312</v>
      </c>
      <c r="C1692" s="11" t="str">
        <f>INDEX(Data,2,2+MOD(ROWS(C$2:C1692)-1,24))</f>
        <v>11.00</v>
      </c>
      <c r="D1692" s="8" t="str">
        <f t="shared" ca="1" si="80"/>
        <v>—</v>
      </c>
      <c r="E1692" s="16">
        <f t="shared" ca="1" si="81"/>
        <v>7</v>
      </c>
    </row>
    <row r="1693" spans="1:5" x14ac:dyDescent="0.25">
      <c r="A1693" s="3">
        <f t="shared" si="79"/>
        <v>78989</v>
      </c>
      <c r="B1693" t="str">
        <f ca="1">TEXT(DATE(YEAR(Invoer!$A$5),1,1)+INT((ROWS(B$2:B1693)-1)/24),"""18""jjmmdd")</f>
        <v>18980312</v>
      </c>
      <c r="C1693" s="11" t="str">
        <f>INDEX(Data,2,2+MOD(ROWS(C$2:C1693)-1,24))</f>
        <v>12.00</v>
      </c>
      <c r="D1693" s="8" t="str">
        <f t="shared" ca="1" si="80"/>
        <v>—</v>
      </c>
      <c r="E1693" s="16">
        <f t="shared" ca="1" si="81"/>
        <v>7</v>
      </c>
    </row>
    <row r="1694" spans="1:5" x14ac:dyDescent="0.25">
      <c r="A1694" s="3">
        <f t="shared" si="79"/>
        <v>78989</v>
      </c>
      <c r="B1694" t="str">
        <f ca="1">TEXT(DATE(YEAR(Invoer!$A$5),1,1)+INT((ROWS(B$2:B1694)-1)/24),"""18""jjmmdd")</f>
        <v>18980312</v>
      </c>
      <c r="C1694" s="11" t="str">
        <f>INDEX(Data,2,2+MOD(ROWS(C$2:C1694)-1,24))</f>
        <v>13.00</v>
      </c>
      <c r="D1694" s="8" t="str">
        <f t="shared" ca="1" si="80"/>
        <v>—</v>
      </c>
      <c r="E1694" s="16">
        <f t="shared" ca="1" si="81"/>
        <v>7</v>
      </c>
    </row>
    <row r="1695" spans="1:5" x14ac:dyDescent="0.25">
      <c r="A1695" s="3">
        <f t="shared" si="79"/>
        <v>78989</v>
      </c>
      <c r="B1695" t="str">
        <f ca="1">TEXT(DATE(YEAR(Invoer!$A$5),1,1)+INT((ROWS(B$2:B1695)-1)/24),"""18""jjmmdd")</f>
        <v>18980312</v>
      </c>
      <c r="C1695" s="11" t="str">
        <f>INDEX(Data,2,2+MOD(ROWS(C$2:C1695)-1,24))</f>
        <v>14.00</v>
      </c>
      <c r="D1695" s="8" t="str">
        <f t="shared" ca="1" si="80"/>
        <v>—</v>
      </c>
      <c r="E1695" s="16">
        <f t="shared" ca="1" si="81"/>
        <v>7</v>
      </c>
    </row>
    <row r="1696" spans="1:5" x14ac:dyDescent="0.25">
      <c r="A1696" s="3">
        <f t="shared" si="79"/>
        <v>78989</v>
      </c>
      <c r="B1696" t="str">
        <f ca="1">TEXT(DATE(YEAR(Invoer!$A$5),1,1)+INT((ROWS(B$2:B1696)-1)/24),"""18""jjmmdd")</f>
        <v>18980312</v>
      </c>
      <c r="C1696" s="11" t="str">
        <f>INDEX(Data,2,2+MOD(ROWS(C$2:C1696)-1,24))</f>
        <v>15.00</v>
      </c>
      <c r="D1696" s="8" t="str">
        <f t="shared" ca="1" si="80"/>
        <v>—</v>
      </c>
      <c r="E1696" s="16">
        <f t="shared" ca="1" si="81"/>
        <v>7</v>
      </c>
    </row>
    <row r="1697" spans="1:5" x14ac:dyDescent="0.25">
      <c r="A1697" s="3">
        <f t="shared" si="79"/>
        <v>78989</v>
      </c>
      <c r="B1697" t="str">
        <f ca="1">TEXT(DATE(YEAR(Invoer!$A$5),1,1)+INT((ROWS(B$2:B1697)-1)/24),"""18""jjmmdd")</f>
        <v>18980312</v>
      </c>
      <c r="C1697" s="11" t="str">
        <f>INDEX(Data,2,2+MOD(ROWS(C$2:C1697)-1,24))</f>
        <v>16.00</v>
      </c>
      <c r="D1697" s="8" t="str">
        <f t="shared" ca="1" si="80"/>
        <v>—</v>
      </c>
      <c r="E1697" s="16">
        <f t="shared" ca="1" si="81"/>
        <v>7</v>
      </c>
    </row>
    <row r="1698" spans="1:5" x14ac:dyDescent="0.25">
      <c r="A1698" s="3">
        <f t="shared" si="79"/>
        <v>78989</v>
      </c>
      <c r="B1698" t="str">
        <f ca="1">TEXT(DATE(YEAR(Invoer!$A$5),1,1)+INT((ROWS(B$2:B1698)-1)/24),"""18""jjmmdd")</f>
        <v>18980312</v>
      </c>
      <c r="C1698" s="11" t="str">
        <f>INDEX(Data,2,2+MOD(ROWS(C$2:C1698)-1,24))</f>
        <v>17.00</v>
      </c>
      <c r="D1698" s="8" t="str">
        <f t="shared" ca="1" si="80"/>
        <v>—</v>
      </c>
      <c r="E1698" s="16">
        <f t="shared" ca="1" si="81"/>
        <v>7</v>
      </c>
    </row>
    <row r="1699" spans="1:5" x14ac:dyDescent="0.25">
      <c r="A1699" s="3">
        <f t="shared" si="79"/>
        <v>78989</v>
      </c>
      <c r="B1699" t="str">
        <f ca="1">TEXT(DATE(YEAR(Invoer!$A$5),1,1)+INT((ROWS(B$2:B1699)-1)/24),"""18""jjmmdd")</f>
        <v>18980312</v>
      </c>
      <c r="C1699" s="11" t="str">
        <f>INDEX(Data,2,2+MOD(ROWS(C$2:C1699)-1,24))</f>
        <v>18.00</v>
      </c>
      <c r="D1699" s="8" t="str">
        <f t="shared" ca="1" si="80"/>
        <v>—</v>
      </c>
      <c r="E1699" s="16">
        <f t="shared" ca="1" si="81"/>
        <v>7</v>
      </c>
    </row>
    <row r="1700" spans="1:5" x14ac:dyDescent="0.25">
      <c r="A1700" s="3">
        <f t="shared" si="79"/>
        <v>78989</v>
      </c>
      <c r="B1700" t="str">
        <f ca="1">TEXT(DATE(YEAR(Invoer!$A$5),1,1)+INT((ROWS(B$2:B1700)-1)/24),"""18""jjmmdd")</f>
        <v>18980312</v>
      </c>
      <c r="C1700" s="11" t="str">
        <f>INDEX(Data,2,2+MOD(ROWS(C$2:C1700)-1,24))</f>
        <v>19.00</v>
      </c>
      <c r="D1700" s="8" t="str">
        <f t="shared" ca="1" si="80"/>
        <v>—</v>
      </c>
      <c r="E1700" s="16">
        <f t="shared" ca="1" si="81"/>
        <v>7</v>
      </c>
    </row>
    <row r="1701" spans="1:5" x14ac:dyDescent="0.25">
      <c r="A1701" s="3">
        <f t="shared" si="79"/>
        <v>78989</v>
      </c>
      <c r="B1701" t="str">
        <f ca="1">TEXT(DATE(YEAR(Invoer!$A$5),1,1)+INT((ROWS(B$2:B1701)-1)/24),"""18""jjmmdd")</f>
        <v>18980312</v>
      </c>
      <c r="C1701" s="11" t="str">
        <f>INDEX(Data,2,2+MOD(ROWS(C$2:C1701)-1,24))</f>
        <v>20.00</v>
      </c>
      <c r="D1701" s="8" t="str">
        <f t="shared" ca="1" si="80"/>
        <v>—</v>
      </c>
      <c r="E1701" s="16">
        <f t="shared" ca="1" si="81"/>
        <v>7</v>
      </c>
    </row>
    <row r="1702" spans="1:5" x14ac:dyDescent="0.25">
      <c r="A1702" s="3">
        <f t="shared" si="79"/>
        <v>78989</v>
      </c>
      <c r="B1702" t="str">
        <f ca="1">TEXT(DATE(YEAR(Invoer!$A$5),1,1)+INT((ROWS(B$2:B1702)-1)/24),"""18""jjmmdd")</f>
        <v>18980312</v>
      </c>
      <c r="C1702" s="11" t="str">
        <f>INDEX(Data,2,2+MOD(ROWS(C$2:C1702)-1,24))</f>
        <v>21.00</v>
      </c>
      <c r="D1702" s="8" t="str">
        <f t="shared" ca="1" si="80"/>
        <v>—</v>
      </c>
      <c r="E1702" s="16">
        <f t="shared" ca="1" si="81"/>
        <v>7</v>
      </c>
    </row>
    <row r="1703" spans="1:5" x14ac:dyDescent="0.25">
      <c r="A1703" s="3">
        <f t="shared" si="79"/>
        <v>78989</v>
      </c>
      <c r="B1703" t="str">
        <f ca="1">TEXT(DATE(YEAR(Invoer!$A$5),1,1)+INT((ROWS(B$2:B1703)-1)/24),"""18""jjmmdd")</f>
        <v>18980312</v>
      </c>
      <c r="C1703" s="11" t="str">
        <f>INDEX(Data,2,2+MOD(ROWS(C$2:C1703)-1,24))</f>
        <v>22.00</v>
      </c>
      <c r="D1703" s="8" t="str">
        <f t="shared" ca="1" si="80"/>
        <v>—</v>
      </c>
      <c r="E1703" s="16">
        <f t="shared" ca="1" si="81"/>
        <v>7</v>
      </c>
    </row>
    <row r="1704" spans="1:5" x14ac:dyDescent="0.25">
      <c r="A1704" s="3">
        <f t="shared" si="79"/>
        <v>78989</v>
      </c>
      <c r="B1704" t="str">
        <f ca="1">TEXT(DATE(YEAR(Invoer!$A$5),1,1)+INT((ROWS(B$2:B1704)-1)/24),"""18""jjmmdd")</f>
        <v>18980312</v>
      </c>
      <c r="C1704" s="11" t="str">
        <f>INDEX(Data,2,2+MOD(ROWS(C$2:C1704)-1,24))</f>
        <v>23.00</v>
      </c>
      <c r="D1704" s="8" t="str">
        <f t="shared" ca="1" si="80"/>
        <v>—</v>
      </c>
      <c r="E1704" s="16">
        <f t="shared" ca="1" si="81"/>
        <v>7</v>
      </c>
    </row>
    <row r="1705" spans="1:5" x14ac:dyDescent="0.25">
      <c r="A1705" s="3">
        <f t="shared" si="79"/>
        <v>78989</v>
      </c>
      <c r="B1705" t="str">
        <f ca="1">TEXT(DATE(YEAR(Invoer!$A$5),1,1)+INT((ROWS(B$2:B1705)-1)/24),"""18""jjmmdd")</f>
        <v>18980312</v>
      </c>
      <c r="C1705" s="11" t="str">
        <f>INDEX(Data,2,2+MOD(ROWS(C$2:C1705)-1,24))</f>
        <v>24.00</v>
      </c>
      <c r="D1705" s="8" t="str">
        <f t="shared" ca="1" si="80"/>
        <v>—</v>
      </c>
      <c r="E1705" s="16">
        <f t="shared" ca="1" si="81"/>
        <v>7</v>
      </c>
    </row>
    <row r="1706" spans="1:5" x14ac:dyDescent="0.25">
      <c r="A1706" s="3">
        <f t="shared" si="79"/>
        <v>78989</v>
      </c>
      <c r="B1706" t="str">
        <f ca="1">TEXT(DATE(YEAR(Invoer!$A$5),1,1)+INT((ROWS(B$2:B1706)-1)/24),"""18""jjmmdd")</f>
        <v>18980313</v>
      </c>
      <c r="C1706" s="11" t="str">
        <f>INDEX(Data,2,2+MOD(ROWS(C$2:C1706)-1,24))</f>
        <v>01.00</v>
      </c>
      <c r="D1706" s="8" t="str">
        <f t="shared" ca="1" si="80"/>
        <v>—</v>
      </c>
      <c r="E1706" s="16">
        <f t="shared" ca="1" si="81"/>
        <v>7</v>
      </c>
    </row>
    <row r="1707" spans="1:5" x14ac:dyDescent="0.25">
      <c r="A1707" s="3">
        <f t="shared" si="79"/>
        <v>78989</v>
      </c>
      <c r="B1707" t="str">
        <f ca="1">TEXT(DATE(YEAR(Invoer!$A$5),1,1)+INT((ROWS(B$2:B1707)-1)/24),"""18""jjmmdd")</f>
        <v>18980313</v>
      </c>
      <c r="C1707" s="11" t="str">
        <f>INDEX(Data,2,2+MOD(ROWS(C$2:C1707)-1,24))</f>
        <v>02.00</v>
      </c>
      <c r="D1707" s="8" t="str">
        <f t="shared" ca="1" si="80"/>
        <v>—</v>
      </c>
      <c r="E1707" s="16">
        <f t="shared" ca="1" si="81"/>
        <v>7</v>
      </c>
    </row>
    <row r="1708" spans="1:5" x14ac:dyDescent="0.25">
      <c r="A1708" s="3">
        <f t="shared" si="79"/>
        <v>78989</v>
      </c>
      <c r="B1708" t="str">
        <f ca="1">TEXT(DATE(YEAR(Invoer!$A$5),1,1)+INT((ROWS(B$2:B1708)-1)/24),"""18""jjmmdd")</f>
        <v>18980313</v>
      </c>
      <c r="C1708" s="11" t="str">
        <f>INDEX(Data,2,2+MOD(ROWS(C$2:C1708)-1,24))</f>
        <v>03.00</v>
      </c>
      <c r="D1708" s="8" t="str">
        <f t="shared" ca="1" si="80"/>
        <v>—</v>
      </c>
      <c r="E1708" s="16">
        <f t="shared" ca="1" si="81"/>
        <v>7</v>
      </c>
    </row>
    <row r="1709" spans="1:5" x14ac:dyDescent="0.25">
      <c r="A1709" s="3">
        <f t="shared" si="79"/>
        <v>78989</v>
      </c>
      <c r="B1709" t="str">
        <f ca="1">TEXT(DATE(YEAR(Invoer!$A$5),1,1)+INT((ROWS(B$2:B1709)-1)/24),"""18""jjmmdd")</f>
        <v>18980313</v>
      </c>
      <c r="C1709" s="11" t="str">
        <f>INDEX(Data,2,2+MOD(ROWS(C$2:C1709)-1,24))</f>
        <v>04.00</v>
      </c>
      <c r="D1709" s="8" t="str">
        <f t="shared" ca="1" si="80"/>
        <v>—</v>
      </c>
      <c r="E1709" s="16">
        <f t="shared" ca="1" si="81"/>
        <v>7</v>
      </c>
    </row>
    <row r="1710" spans="1:5" x14ac:dyDescent="0.25">
      <c r="A1710" s="3">
        <f t="shared" si="79"/>
        <v>78989</v>
      </c>
      <c r="B1710" t="str">
        <f ca="1">TEXT(DATE(YEAR(Invoer!$A$5),1,1)+INT((ROWS(B$2:B1710)-1)/24),"""18""jjmmdd")</f>
        <v>18980313</v>
      </c>
      <c r="C1710" s="11" t="str">
        <f>INDEX(Data,2,2+MOD(ROWS(C$2:C1710)-1,24))</f>
        <v>05.00</v>
      </c>
      <c r="D1710" s="8" t="str">
        <f t="shared" ca="1" si="80"/>
        <v>—</v>
      </c>
      <c r="E1710" s="16">
        <f t="shared" ca="1" si="81"/>
        <v>7</v>
      </c>
    </row>
    <row r="1711" spans="1:5" x14ac:dyDescent="0.25">
      <c r="A1711" s="3">
        <f t="shared" si="79"/>
        <v>78989</v>
      </c>
      <c r="B1711" t="str">
        <f ca="1">TEXT(DATE(YEAR(Invoer!$A$5),1,1)+INT((ROWS(B$2:B1711)-1)/24),"""18""jjmmdd")</f>
        <v>18980313</v>
      </c>
      <c r="C1711" s="11" t="str">
        <f>INDEX(Data,2,2+MOD(ROWS(C$2:C1711)-1,24))</f>
        <v>06.00</v>
      </c>
      <c r="D1711" s="8" t="str">
        <f t="shared" ca="1" si="80"/>
        <v>—</v>
      </c>
      <c r="E1711" s="16">
        <f t="shared" ca="1" si="81"/>
        <v>7</v>
      </c>
    </row>
    <row r="1712" spans="1:5" x14ac:dyDescent="0.25">
      <c r="A1712" s="3">
        <f t="shared" si="79"/>
        <v>78989</v>
      </c>
      <c r="B1712" t="str">
        <f ca="1">TEXT(DATE(YEAR(Invoer!$A$5),1,1)+INT((ROWS(B$2:B1712)-1)/24),"""18""jjmmdd")</f>
        <v>18980313</v>
      </c>
      <c r="C1712" s="11" t="str">
        <f>INDEX(Data,2,2+MOD(ROWS(C$2:C1712)-1,24))</f>
        <v>07.00</v>
      </c>
      <c r="D1712" s="8" t="str">
        <f t="shared" ca="1" si="80"/>
        <v>—</v>
      </c>
      <c r="E1712" s="16">
        <f t="shared" ca="1" si="81"/>
        <v>7</v>
      </c>
    </row>
    <row r="1713" spans="1:5" x14ac:dyDescent="0.25">
      <c r="A1713" s="3">
        <f t="shared" si="79"/>
        <v>78989</v>
      </c>
      <c r="B1713" t="str">
        <f ca="1">TEXT(DATE(YEAR(Invoer!$A$5),1,1)+INT((ROWS(B$2:B1713)-1)/24),"""18""jjmmdd")</f>
        <v>18980313</v>
      </c>
      <c r="C1713" s="11" t="str">
        <f>INDEX(Data,2,2+MOD(ROWS(C$2:C1713)-1,24))</f>
        <v>08.00</v>
      </c>
      <c r="D1713" s="8" t="str">
        <f t="shared" ca="1" si="80"/>
        <v>—</v>
      </c>
      <c r="E1713" s="16">
        <f t="shared" ca="1" si="81"/>
        <v>7</v>
      </c>
    </row>
    <row r="1714" spans="1:5" x14ac:dyDescent="0.25">
      <c r="A1714" s="3">
        <f t="shared" si="79"/>
        <v>78989</v>
      </c>
      <c r="B1714" t="str">
        <f ca="1">TEXT(DATE(YEAR(Invoer!$A$5),1,1)+INT((ROWS(B$2:B1714)-1)/24),"""18""jjmmdd")</f>
        <v>18980313</v>
      </c>
      <c r="C1714" s="11" t="str">
        <f>INDEX(Data,2,2+MOD(ROWS(C$2:C1714)-1,24))</f>
        <v>09.00</v>
      </c>
      <c r="D1714" s="8" t="str">
        <f t="shared" ca="1" si="80"/>
        <v>—</v>
      </c>
      <c r="E1714" s="16">
        <f t="shared" ca="1" si="81"/>
        <v>7</v>
      </c>
    </row>
    <row r="1715" spans="1:5" x14ac:dyDescent="0.25">
      <c r="A1715" s="3">
        <f t="shared" si="79"/>
        <v>78989</v>
      </c>
      <c r="B1715" t="str">
        <f ca="1">TEXT(DATE(YEAR(Invoer!$A$5),1,1)+INT((ROWS(B$2:B1715)-1)/24),"""18""jjmmdd")</f>
        <v>18980313</v>
      </c>
      <c r="C1715" s="11" t="str">
        <f>INDEX(Data,2,2+MOD(ROWS(C$2:C1715)-1,24))</f>
        <v>10.00</v>
      </c>
      <c r="D1715" s="8" t="str">
        <f t="shared" ca="1" si="80"/>
        <v>—</v>
      </c>
      <c r="E1715" s="16">
        <f t="shared" ca="1" si="81"/>
        <v>7</v>
      </c>
    </row>
    <row r="1716" spans="1:5" x14ac:dyDescent="0.25">
      <c r="A1716" s="3">
        <f t="shared" si="79"/>
        <v>78989</v>
      </c>
      <c r="B1716" t="str">
        <f ca="1">TEXT(DATE(YEAR(Invoer!$A$5),1,1)+INT((ROWS(B$2:B1716)-1)/24),"""18""jjmmdd")</f>
        <v>18980313</v>
      </c>
      <c r="C1716" s="11" t="str">
        <f>INDEX(Data,2,2+MOD(ROWS(C$2:C1716)-1,24))</f>
        <v>11.00</v>
      </c>
      <c r="D1716" s="8" t="str">
        <f t="shared" ca="1" si="80"/>
        <v>—</v>
      </c>
      <c r="E1716" s="16">
        <f t="shared" ca="1" si="81"/>
        <v>7</v>
      </c>
    </row>
    <row r="1717" spans="1:5" x14ac:dyDescent="0.25">
      <c r="A1717" s="3">
        <f t="shared" si="79"/>
        <v>78989</v>
      </c>
      <c r="B1717" t="str">
        <f ca="1">TEXT(DATE(YEAR(Invoer!$A$5),1,1)+INT((ROWS(B$2:B1717)-1)/24),"""18""jjmmdd")</f>
        <v>18980313</v>
      </c>
      <c r="C1717" s="11" t="str">
        <f>INDEX(Data,2,2+MOD(ROWS(C$2:C1717)-1,24))</f>
        <v>12.00</v>
      </c>
      <c r="D1717" s="8" t="str">
        <f t="shared" ca="1" si="80"/>
        <v>—</v>
      </c>
      <c r="E1717" s="16">
        <f t="shared" ca="1" si="81"/>
        <v>7</v>
      </c>
    </row>
    <row r="1718" spans="1:5" x14ac:dyDescent="0.25">
      <c r="A1718" s="3">
        <f t="shared" si="79"/>
        <v>78989</v>
      </c>
      <c r="B1718" t="str">
        <f ca="1">TEXT(DATE(YEAR(Invoer!$A$5),1,1)+INT((ROWS(B$2:B1718)-1)/24),"""18""jjmmdd")</f>
        <v>18980313</v>
      </c>
      <c r="C1718" s="11" t="str">
        <f>INDEX(Data,2,2+MOD(ROWS(C$2:C1718)-1,24))</f>
        <v>13.00</v>
      </c>
      <c r="D1718" s="8" t="str">
        <f t="shared" ca="1" si="80"/>
        <v>—</v>
      </c>
      <c r="E1718" s="16">
        <f t="shared" ca="1" si="81"/>
        <v>7</v>
      </c>
    </row>
    <row r="1719" spans="1:5" x14ac:dyDescent="0.25">
      <c r="A1719" s="3">
        <f t="shared" si="79"/>
        <v>78989</v>
      </c>
      <c r="B1719" t="str">
        <f ca="1">TEXT(DATE(YEAR(Invoer!$A$5),1,1)+INT((ROWS(B$2:B1719)-1)/24),"""18""jjmmdd")</f>
        <v>18980313</v>
      </c>
      <c r="C1719" s="11" t="str">
        <f>INDEX(Data,2,2+MOD(ROWS(C$2:C1719)-1,24))</f>
        <v>14.00</v>
      </c>
      <c r="D1719" s="8" t="str">
        <f t="shared" ca="1" si="80"/>
        <v>—</v>
      </c>
      <c r="E1719" s="16">
        <f t="shared" ca="1" si="81"/>
        <v>7</v>
      </c>
    </row>
    <row r="1720" spans="1:5" x14ac:dyDescent="0.25">
      <c r="A1720" s="3">
        <f t="shared" si="79"/>
        <v>78989</v>
      </c>
      <c r="B1720" t="str">
        <f ca="1">TEXT(DATE(YEAR(Invoer!$A$5),1,1)+INT((ROWS(B$2:B1720)-1)/24),"""18""jjmmdd")</f>
        <v>18980313</v>
      </c>
      <c r="C1720" s="11" t="str">
        <f>INDEX(Data,2,2+MOD(ROWS(C$2:C1720)-1,24))</f>
        <v>15.00</v>
      </c>
      <c r="D1720" s="8" t="str">
        <f t="shared" ca="1" si="80"/>
        <v>—</v>
      </c>
      <c r="E1720" s="16">
        <f t="shared" ca="1" si="81"/>
        <v>7</v>
      </c>
    </row>
    <row r="1721" spans="1:5" x14ac:dyDescent="0.25">
      <c r="A1721" s="3">
        <f t="shared" si="79"/>
        <v>78989</v>
      </c>
      <c r="B1721" t="str">
        <f ca="1">TEXT(DATE(YEAR(Invoer!$A$5),1,1)+INT((ROWS(B$2:B1721)-1)/24),"""18""jjmmdd")</f>
        <v>18980313</v>
      </c>
      <c r="C1721" s="11" t="str">
        <f>INDEX(Data,2,2+MOD(ROWS(C$2:C1721)-1,24))</f>
        <v>16.00</v>
      </c>
      <c r="D1721" s="8" t="str">
        <f t="shared" ca="1" si="80"/>
        <v>—</v>
      </c>
      <c r="E1721" s="16">
        <f t="shared" ca="1" si="81"/>
        <v>7</v>
      </c>
    </row>
    <row r="1722" spans="1:5" x14ac:dyDescent="0.25">
      <c r="A1722" s="3">
        <f t="shared" si="79"/>
        <v>78989</v>
      </c>
      <c r="B1722" t="str">
        <f ca="1">TEXT(DATE(YEAR(Invoer!$A$5),1,1)+INT((ROWS(B$2:B1722)-1)/24),"""18""jjmmdd")</f>
        <v>18980313</v>
      </c>
      <c r="C1722" s="11" t="str">
        <f>INDEX(Data,2,2+MOD(ROWS(C$2:C1722)-1,24))</f>
        <v>17.00</v>
      </c>
      <c r="D1722" s="8" t="str">
        <f t="shared" ca="1" si="80"/>
        <v>—</v>
      </c>
      <c r="E1722" s="16">
        <f t="shared" ca="1" si="81"/>
        <v>7</v>
      </c>
    </row>
    <row r="1723" spans="1:5" x14ac:dyDescent="0.25">
      <c r="A1723" s="3">
        <f t="shared" si="79"/>
        <v>78989</v>
      </c>
      <c r="B1723" t="str">
        <f ca="1">TEXT(DATE(YEAR(Invoer!$A$5),1,1)+INT((ROWS(B$2:B1723)-1)/24),"""18""jjmmdd")</f>
        <v>18980313</v>
      </c>
      <c r="C1723" s="11" t="str">
        <f>INDEX(Data,2,2+MOD(ROWS(C$2:C1723)-1,24))</f>
        <v>18.00</v>
      </c>
      <c r="D1723" s="8" t="str">
        <f t="shared" ca="1" si="80"/>
        <v>—</v>
      </c>
      <c r="E1723" s="16">
        <f t="shared" ca="1" si="81"/>
        <v>7</v>
      </c>
    </row>
    <row r="1724" spans="1:5" x14ac:dyDescent="0.25">
      <c r="A1724" s="3">
        <f t="shared" si="79"/>
        <v>78989</v>
      </c>
      <c r="B1724" t="str">
        <f ca="1">TEXT(DATE(YEAR(Invoer!$A$5),1,1)+INT((ROWS(B$2:B1724)-1)/24),"""18""jjmmdd")</f>
        <v>18980313</v>
      </c>
      <c r="C1724" s="11" t="str">
        <f>INDEX(Data,2,2+MOD(ROWS(C$2:C1724)-1,24))</f>
        <v>19.00</v>
      </c>
      <c r="D1724" s="8" t="str">
        <f t="shared" ca="1" si="80"/>
        <v>—</v>
      </c>
      <c r="E1724" s="16">
        <f t="shared" ca="1" si="81"/>
        <v>7</v>
      </c>
    </row>
    <row r="1725" spans="1:5" x14ac:dyDescent="0.25">
      <c r="A1725" s="3">
        <f t="shared" si="79"/>
        <v>78989</v>
      </c>
      <c r="B1725" t="str">
        <f ca="1">TEXT(DATE(YEAR(Invoer!$A$5),1,1)+INT((ROWS(B$2:B1725)-1)/24),"""18""jjmmdd")</f>
        <v>18980313</v>
      </c>
      <c r="C1725" s="11" t="str">
        <f>INDEX(Data,2,2+MOD(ROWS(C$2:C1725)-1,24))</f>
        <v>20.00</v>
      </c>
      <c r="D1725" s="8" t="str">
        <f t="shared" ca="1" si="80"/>
        <v>—</v>
      </c>
      <c r="E1725" s="16">
        <f t="shared" ca="1" si="81"/>
        <v>7</v>
      </c>
    </row>
    <row r="1726" spans="1:5" x14ac:dyDescent="0.25">
      <c r="A1726" s="3">
        <f t="shared" si="79"/>
        <v>78989</v>
      </c>
      <c r="B1726" t="str">
        <f ca="1">TEXT(DATE(YEAR(Invoer!$A$5),1,1)+INT((ROWS(B$2:B1726)-1)/24),"""18""jjmmdd")</f>
        <v>18980313</v>
      </c>
      <c r="C1726" s="11" t="str">
        <f>INDEX(Data,2,2+MOD(ROWS(C$2:C1726)-1,24))</f>
        <v>21.00</v>
      </c>
      <c r="D1726" s="8" t="str">
        <f t="shared" ca="1" si="80"/>
        <v>—</v>
      </c>
      <c r="E1726" s="16">
        <f t="shared" ca="1" si="81"/>
        <v>7</v>
      </c>
    </row>
    <row r="1727" spans="1:5" x14ac:dyDescent="0.25">
      <c r="A1727" s="3">
        <f t="shared" si="79"/>
        <v>78989</v>
      </c>
      <c r="B1727" t="str">
        <f ca="1">TEXT(DATE(YEAR(Invoer!$A$5),1,1)+INT((ROWS(B$2:B1727)-1)/24),"""18""jjmmdd")</f>
        <v>18980313</v>
      </c>
      <c r="C1727" s="11" t="str">
        <f>INDEX(Data,2,2+MOD(ROWS(C$2:C1727)-1,24))</f>
        <v>22.00</v>
      </c>
      <c r="D1727" s="8" t="str">
        <f t="shared" ca="1" si="80"/>
        <v>—</v>
      </c>
      <c r="E1727" s="16">
        <f t="shared" ca="1" si="81"/>
        <v>7</v>
      </c>
    </row>
    <row r="1728" spans="1:5" x14ac:dyDescent="0.25">
      <c r="A1728" s="3">
        <f t="shared" si="79"/>
        <v>78989</v>
      </c>
      <c r="B1728" t="str">
        <f ca="1">TEXT(DATE(YEAR(Invoer!$A$5),1,1)+INT((ROWS(B$2:B1728)-1)/24),"""18""jjmmdd")</f>
        <v>18980313</v>
      </c>
      <c r="C1728" s="11" t="str">
        <f>INDEX(Data,2,2+MOD(ROWS(C$2:C1728)-1,24))</f>
        <v>23.00</v>
      </c>
      <c r="D1728" s="8" t="str">
        <f t="shared" ca="1" si="80"/>
        <v>—</v>
      </c>
      <c r="E1728" s="16">
        <f t="shared" ca="1" si="81"/>
        <v>7</v>
      </c>
    </row>
    <row r="1729" spans="1:5" x14ac:dyDescent="0.25">
      <c r="A1729" s="3">
        <f t="shared" si="79"/>
        <v>78989</v>
      </c>
      <c r="B1729" t="str">
        <f ca="1">TEXT(DATE(YEAR(Invoer!$A$5),1,1)+INT((ROWS(B$2:B1729)-1)/24),"""18""jjmmdd")</f>
        <v>18980313</v>
      </c>
      <c r="C1729" s="11" t="str">
        <f>INDEX(Data,2,2+MOD(ROWS(C$2:C1729)-1,24))</f>
        <v>24.00</v>
      </c>
      <c r="D1729" s="8" t="str">
        <f t="shared" ca="1" si="80"/>
        <v>—</v>
      </c>
      <c r="E1729" s="16">
        <f t="shared" ca="1" si="81"/>
        <v>7</v>
      </c>
    </row>
    <row r="1730" spans="1:5" x14ac:dyDescent="0.25">
      <c r="A1730" s="3">
        <f t="shared" ref="A1730:A1793" si="82">INDEX(Stations,2,1)</f>
        <v>78989</v>
      </c>
      <c r="B1730" t="str">
        <f ca="1">TEXT(DATE(YEAR(Invoer!$A$5),1,1)+INT((ROWS(B$2:B1730)-1)/24),"""18""jjmmdd")</f>
        <v>18980314</v>
      </c>
      <c r="C1730" s="11" t="str">
        <f>INDEX(Data,2,2+MOD(ROWS(C$2:C1730)-1,24))</f>
        <v>01.00</v>
      </c>
      <c r="D1730" s="8" t="str">
        <f t="shared" ref="D1730:D1793" ca="1" si="83">IF(OR(ISBLANK(VLOOKUP(DATEVALUE("37"&amp;MID($B1730,3,2)&amp;"-"&amp;MID($B1730,5,2)&amp;"-"&amp;RIGHT($B1730,2)),Data,MATCH(LEFT(VLOOKUP(D$1,Parameters,2,FALSE()),4)&amp;"*",OFFSET(Data,0,0,1),0)+MATCH($C1730,OFFSET(Data,1,0,1),0)-2,FALSE())),ISTEXT(VLOOKUP(DATEVALUE("37"&amp;MID($B1730,3,2)&amp;"-"&amp;MID($B1730,5,2)&amp;"-"&amp;RIGHT($B1730,2)),Data,MATCH(LEFT(VLOOKUP(D$1,Parameters,2,FALSE()),4)&amp;"*",OFFSET(Data,0,0,1),0)+MATCH($C1730,OFFSET(Data,1,0,1),0)-2,FALSE()))),"—",VLOOKUP(DATEVALUE("37"&amp;MID($B1730,3,2)&amp;"-"&amp;MID($B1730,5,2)&amp;"-"&amp;RIGHT($B1730,2)),Data,MATCH(LEFT(VLOOKUP(D$1,Parameters,2,FALSE()),4)&amp;"*",OFFSET(Data,0,0,1),0)+MATCH($C1730,OFFSET(Data,1,0,1),0)-2,FALSE()))</f>
        <v>—</v>
      </c>
      <c r="E1730" s="16">
        <f t="shared" ca="1" si="81"/>
        <v>7</v>
      </c>
    </row>
    <row r="1731" spans="1:5" x14ac:dyDescent="0.25">
      <c r="A1731" s="3">
        <f t="shared" si="82"/>
        <v>78989</v>
      </c>
      <c r="B1731" t="str">
        <f ca="1">TEXT(DATE(YEAR(Invoer!$A$5),1,1)+INT((ROWS(B$2:B1731)-1)/24),"""18""jjmmdd")</f>
        <v>18980314</v>
      </c>
      <c r="C1731" s="11" t="str">
        <f>INDEX(Data,2,2+MOD(ROWS(C$2:C1731)-1,24))</f>
        <v>02.00</v>
      </c>
      <c r="D1731" s="8" t="str">
        <f t="shared" ca="1" si="83"/>
        <v>—</v>
      </c>
      <c r="E1731" s="16">
        <f t="shared" ref="E1731:E1794" ca="1" si="84">IF(OR(ISBLANK(VLOOKUP(DATEVALUE("37"&amp;MID($B1731,3,2)&amp;"-"&amp;MID($B1731,5,2)&amp;"-"&amp;RIGHT($B1731,2)),Data,MATCH(LEFT(VLOOKUP(D$1,Parameters,2,FALSE()),4)&amp;"*",OFFSET(Data,0,0,1),0)+MATCH($C1731,OFFSET(Data,1,0,1),0)-2,FALSE())),ISTEXT(VLOOKUP(DATEVALUE("37"&amp;MID($B1731,3,2)&amp;"-"&amp;MID($B1731,5,2)&amp;"-"&amp;RIGHT($B1731,2)),Data,MATCH(LEFT(VLOOKUP(D$1,Parameters,2,FALSE()),4)&amp;"*",OFFSET(Data,0,0,1),0)+MATCH($C1731,OFFSET(Data,1,0,1),0)-2,FALSE()))),Lacking,IF(ISNA(MATCH(DATEVALUE("37"&amp;MID($B1731,3,2)&amp;"-"&amp;MID($B1731,5,2)&amp;"-"&amp;RIGHT($B1731,2)),OFFSET(Catalogus,0,0,,1),0)),Ok,VLOOKUP(DATEVALUE("37"&amp;MID($B1731,3,2)&amp;"-"&amp;MID($B1731,5,2)&amp;"-"&amp;RIGHT($B1731,2)),Catalogus,MATCH(LEFT(VLOOKUP(MID(E$1,2,LEN(E$1)-1),Parameters,2,FALSE()),4)&amp;"*",OFFSET(Catalogus,0,0,1),0)+MATCH($C1731,OFFSET(Catalogus,1,0,1),0)-2,FALSE())))</f>
        <v>7</v>
      </c>
    </row>
    <row r="1732" spans="1:5" x14ac:dyDescent="0.25">
      <c r="A1732" s="3">
        <f t="shared" si="82"/>
        <v>78989</v>
      </c>
      <c r="B1732" t="str">
        <f ca="1">TEXT(DATE(YEAR(Invoer!$A$5),1,1)+INT((ROWS(B$2:B1732)-1)/24),"""18""jjmmdd")</f>
        <v>18980314</v>
      </c>
      <c r="C1732" s="11" t="str">
        <f>INDEX(Data,2,2+MOD(ROWS(C$2:C1732)-1,24))</f>
        <v>03.00</v>
      </c>
      <c r="D1732" s="8" t="str">
        <f t="shared" ca="1" si="83"/>
        <v>—</v>
      </c>
      <c r="E1732" s="16">
        <f t="shared" ca="1" si="84"/>
        <v>7</v>
      </c>
    </row>
    <row r="1733" spans="1:5" x14ac:dyDescent="0.25">
      <c r="A1733" s="3">
        <f t="shared" si="82"/>
        <v>78989</v>
      </c>
      <c r="B1733" t="str">
        <f ca="1">TEXT(DATE(YEAR(Invoer!$A$5),1,1)+INT((ROWS(B$2:B1733)-1)/24),"""18""jjmmdd")</f>
        <v>18980314</v>
      </c>
      <c r="C1733" s="11" t="str">
        <f>INDEX(Data,2,2+MOD(ROWS(C$2:C1733)-1,24))</f>
        <v>04.00</v>
      </c>
      <c r="D1733" s="8" t="str">
        <f t="shared" ca="1" si="83"/>
        <v>—</v>
      </c>
      <c r="E1733" s="16">
        <f t="shared" ca="1" si="84"/>
        <v>7</v>
      </c>
    </row>
    <row r="1734" spans="1:5" x14ac:dyDescent="0.25">
      <c r="A1734" s="3">
        <f t="shared" si="82"/>
        <v>78989</v>
      </c>
      <c r="B1734" t="str">
        <f ca="1">TEXT(DATE(YEAR(Invoer!$A$5),1,1)+INT((ROWS(B$2:B1734)-1)/24),"""18""jjmmdd")</f>
        <v>18980314</v>
      </c>
      <c r="C1734" s="11" t="str">
        <f>INDEX(Data,2,2+MOD(ROWS(C$2:C1734)-1,24))</f>
        <v>05.00</v>
      </c>
      <c r="D1734" s="8" t="str">
        <f t="shared" ca="1" si="83"/>
        <v>—</v>
      </c>
      <c r="E1734" s="16">
        <f t="shared" ca="1" si="84"/>
        <v>7</v>
      </c>
    </row>
    <row r="1735" spans="1:5" x14ac:dyDescent="0.25">
      <c r="A1735" s="3">
        <f t="shared" si="82"/>
        <v>78989</v>
      </c>
      <c r="B1735" t="str">
        <f ca="1">TEXT(DATE(YEAR(Invoer!$A$5),1,1)+INT((ROWS(B$2:B1735)-1)/24),"""18""jjmmdd")</f>
        <v>18980314</v>
      </c>
      <c r="C1735" s="11" t="str">
        <f>INDEX(Data,2,2+MOD(ROWS(C$2:C1735)-1,24))</f>
        <v>06.00</v>
      </c>
      <c r="D1735" s="8" t="str">
        <f t="shared" ca="1" si="83"/>
        <v>—</v>
      </c>
      <c r="E1735" s="16">
        <f t="shared" ca="1" si="84"/>
        <v>7</v>
      </c>
    </row>
    <row r="1736" spans="1:5" x14ac:dyDescent="0.25">
      <c r="A1736" s="3">
        <f t="shared" si="82"/>
        <v>78989</v>
      </c>
      <c r="B1736" t="str">
        <f ca="1">TEXT(DATE(YEAR(Invoer!$A$5),1,1)+INT((ROWS(B$2:B1736)-1)/24),"""18""jjmmdd")</f>
        <v>18980314</v>
      </c>
      <c r="C1736" s="11" t="str">
        <f>INDEX(Data,2,2+MOD(ROWS(C$2:C1736)-1,24))</f>
        <v>07.00</v>
      </c>
      <c r="D1736" s="8" t="str">
        <f t="shared" ca="1" si="83"/>
        <v>—</v>
      </c>
      <c r="E1736" s="16">
        <f t="shared" ca="1" si="84"/>
        <v>7</v>
      </c>
    </row>
    <row r="1737" spans="1:5" x14ac:dyDescent="0.25">
      <c r="A1737" s="3">
        <f t="shared" si="82"/>
        <v>78989</v>
      </c>
      <c r="B1737" t="str">
        <f ca="1">TEXT(DATE(YEAR(Invoer!$A$5),1,1)+INT((ROWS(B$2:B1737)-1)/24),"""18""jjmmdd")</f>
        <v>18980314</v>
      </c>
      <c r="C1737" s="11" t="str">
        <f>INDEX(Data,2,2+MOD(ROWS(C$2:C1737)-1,24))</f>
        <v>08.00</v>
      </c>
      <c r="D1737" s="8" t="str">
        <f t="shared" ca="1" si="83"/>
        <v>—</v>
      </c>
      <c r="E1737" s="16">
        <f t="shared" ca="1" si="84"/>
        <v>7</v>
      </c>
    </row>
    <row r="1738" spans="1:5" x14ac:dyDescent="0.25">
      <c r="A1738" s="3">
        <f t="shared" si="82"/>
        <v>78989</v>
      </c>
      <c r="B1738" t="str">
        <f ca="1">TEXT(DATE(YEAR(Invoer!$A$5),1,1)+INT((ROWS(B$2:B1738)-1)/24),"""18""jjmmdd")</f>
        <v>18980314</v>
      </c>
      <c r="C1738" s="11" t="str">
        <f>INDEX(Data,2,2+MOD(ROWS(C$2:C1738)-1,24))</f>
        <v>09.00</v>
      </c>
      <c r="D1738" s="8" t="str">
        <f t="shared" ca="1" si="83"/>
        <v>—</v>
      </c>
      <c r="E1738" s="16">
        <f t="shared" ca="1" si="84"/>
        <v>7</v>
      </c>
    </row>
    <row r="1739" spans="1:5" x14ac:dyDescent="0.25">
      <c r="A1739" s="3">
        <f t="shared" si="82"/>
        <v>78989</v>
      </c>
      <c r="B1739" t="str">
        <f ca="1">TEXT(DATE(YEAR(Invoer!$A$5),1,1)+INT((ROWS(B$2:B1739)-1)/24),"""18""jjmmdd")</f>
        <v>18980314</v>
      </c>
      <c r="C1739" s="11" t="str">
        <f>INDEX(Data,2,2+MOD(ROWS(C$2:C1739)-1,24))</f>
        <v>10.00</v>
      </c>
      <c r="D1739" s="8" t="str">
        <f t="shared" ca="1" si="83"/>
        <v>—</v>
      </c>
      <c r="E1739" s="16">
        <f t="shared" ca="1" si="84"/>
        <v>7</v>
      </c>
    </row>
    <row r="1740" spans="1:5" x14ac:dyDescent="0.25">
      <c r="A1740" s="3">
        <f t="shared" si="82"/>
        <v>78989</v>
      </c>
      <c r="B1740" t="str">
        <f ca="1">TEXT(DATE(YEAR(Invoer!$A$5),1,1)+INT((ROWS(B$2:B1740)-1)/24),"""18""jjmmdd")</f>
        <v>18980314</v>
      </c>
      <c r="C1740" s="11" t="str">
        <f>INDEX(Data,2,2+MOD(ROWS(C$2:C1740)-1,24))</f>
        <v>11.00</v>
      </c>
      <c r="D1740" s="8" t="str">
        <f t="shared" ca="1" si="83"/>
        <v>—</v>
      </c>
      <c r="E1740" s="16">
        <f t="shared" ca="1" si="84"/>
        <v>7</v>
      </c>
    </row>
    <row r="1741" spans="1:5" x14ac:dyDescent="0.25">
      <c r="A1741" s="3">
        <f t="shared" si="82"/>
        <v>78989</v>
      </c>
      <c r="B1741" t="str">
        <f ca="1">TEXT(DATE(YEAR(Invoer!$A$5),1,1)+INT((ROWS(B$2:B1741)-1)/24),"""18""jjmmdd")</f>
        <v>18980314</v>
      </c>
      <c r="C1741" s="11" t="str">
        <f>INDEX(Data,2,2+MOD(ROWS(C$2:C1741)-1,24))</f>
        <v>12.00</v>
      </c>
      <c r="D1741" s="8" t="str">
        <f t="shared" ca="1" si="83"/>
        <v>—</v>
      </c>
      <c r="E1741" s="16">
        <f t="shared" ca="1" si="84"/>
        <v>7</v>
      </c>
    </row>
    <row r="1742" spans="1:5" x14ac:dyDescent="0.25">
      <c r="A1742" s="3">
        <f t="shared" si="82"/>
        <v>78989</v>
      </c>
      <c r="B1742" t="str">
        <f ca="1">TEXT(DATE(YEAR(Invoer!$A$5),1,1)+INT((ROWS(B$2:B1742)-1)/24),"""18""jjmmdd")</f>
        <v>18980314</v>
      </c>
      <c r="C1742" s="11" t="str">
        <f>INDEX(Data,2,2+MOD(ROWS(C$2:C1742)-1,24))</f>
        <v>13.00</v>
      </c>
      <c r="D1742" s="8" t="str">
        <f t="shared" ca="1" si="83"/>
        <v>—</v>
      </c>
      <c r="E1742" s="16">
        <f t="shared" ca="1" si="84"/>
        <v>7</v>
      </c>
    </row>
    <row r="1743" spans="1:5" x14ac:dyDescent="0.25">
      <c r="A1743" s="3">
        <f t="shared" si="82"/>
        <v>78989</v>
      </c>
      <c r="B1743" t="str">
        <f ca="1">TEXT(DATE(YEAR(Invoer!$A$5),1,1)+INT((ROWS(B$2:B1743)-1)/24),"""18""jjmmdd")</f>
        <v>18980314</v>
      </c>
      <c r="C1743" s="11" t="str">
        <f>INDEX(Data,2,2+MOD(ROWS(C$2:C1743)-1,24))</f>
        <v>14.00</v>
      </c>
      <c r="D1743" s="8" t="str">
        <f t="shared" ca="1" si="83"/>
        <v>—</v>
      </c>
      <c r="E1743" s="16">
        <f t="shared" ca="1" si="84"/>
        <v>7</v>
      </c>
    </row>
    <row r="1744" spans="1:5" x14ac:dyDescent="0.25">
      <c r="A1744" s="3">
        <f t="shared" si="82"/>
        <v>78989</v>
      </c>
      <c r="B1744" t="str">
        <f ca="1">TEXT(DATE(YEAR(Invoer!$A$5),1,1)+INT((ROWS(B$2:B1744)-1)/24),"""18""jjmmdd")</f>
        <v>18980314</v>
      </c>
      <c r="C1744" s="11" t="str">
        <f>INDEX(Data,2,2+MOD(ROWS(C$2:C1744)-1,24))</f>
        <v>15.00</v>
      </c>
      <c r="D1744" s="8" t="str">
        <f t="shared" ca="1" si="83"/>
        <v>—</v>
      </c>
      <c r="E1744" s="16">
        <f t="shared" ca="1" si="84"/>
        <v>7</v>
      </c>
    </row>
    <row r="1745" spans="1:5" x14ac:dyDescent="0.25">
      <c r="A1745" s="3">
        <f t="shared" si="82"/>
        <v>78989</v>
      </c>
      <c r="B1745" t="str">
        <f ca="1">TEXT(DATE(YEAR(Invoer!$A$5),1,1)+INT((ROWS(B$2:B1745)-1)/24),"""18""jjmmdd")</f>
        <v>18980314</v>
      </c>
      <c r="C1745" s="11" t="str">
        <f>INDEX(Data,2,2+MOD(ROWS(C$2:C1745)-1,24))</f>
        <v>16.00</v>
      </c>
      <c r="D1745" s="8" t="str">
        <f t="shared" ca="1" si="83"/>
        <v>—</v>
      </c>
      <c r="E1745" s="16">
        <f t="shared" ca="1" si="84"/>
        <v>7</v>
      </c>
    </row>
    <row r="1746" spans="1:5" x14ac:dyDescent="0.25">
      <c r="A1746" s="3">
        <f t="shared" si="82"/>
        <v>78989</v>
      </c>
      <c r="B1746" t="str">
        <f ca="1">TEXT(DATE(YEAR(Invoer!$A$5),1,1)+INT((ROWS(B$2:B1746)-1)/24),"""18""jjmmdd")</f>
        <v>18980314</v>
      </c>
      <c r="C1746" s="11" t="str">
        <f>INDEX(Data,2,2+MOD(ROWS(C$2:C1746)-1,24))</f>
        <v>17.00</v>
      </c>
      <c r="D1746" s="8" t="str">
        <f t="shared" ca="1" si="83"/>
        <v>—</v>
      </c>
      <c r="E1746" s="16">
        <f t="shared" ca="1" si="84"/>
        <v>7</v>
      </c>
    </row>
    <row r="1747" spans="1:5" x14ac:dyDescent="0.25">
      <c r="A1747" s="3">
        <f t="shared" si="82"/>
        <v>78989</v>
      </c>
      <c r="B1747" t="str">
        <f ca="1">TEXT(DATE(YEAR(Invoer!$A$5),1,1)+INT((ROWS(B$2:B1747)-1)/24),"""18""jjmmdd")</f>
        <v>18980314</v>
      </c>
      <c r="C1747" s="11" t="str">
        <f>INDEX(Data,2,2+MOD(ROWS(C$2:C1747)-1,24))</f>
        <v>18.00</v>
      </c>
      <c r="D1747" s="8" t="str">
        <f t="shared" ca="1" si="83"/>
        <v>—</v>
      </c>
      <c r="E1747" s="16">
        <f t="shared" ca="1" si="84"/>
        <v>7</v>
      </c>
    </row>
    <row r="1748" spans="1:5" x14ac:dyDescent="0.25">
      <c r="A1748" s="3">
        <f t="shared" si="82"/>
        <v>78989</v>
      </c>
      <c r="B1748" t="str">
        <f ca="1">TEXT(DATE(YEAR(Invoer!$A$5),1,1)+INT((ROWS(B$2:B1748)-1)/24),"""18""jjmmdd")</f>
        <v>18980314</v>
      </c>
      <c r="C1748" s="11" t="str">
        <f>INDEX(Data,2,2+MOD(ROWS(C$2:C1748)-1,24))</f>
        <v>19.00</v>
      </c>
      <c r="D1748" s="8" t="str">
        <f t="shared" ca="1" si="83"/>
        <v>—</v>
      </c>
      <c r="E1748" s="16">
        <f t="shared" ca="1" si="84"/>
        <v>7</v>
      </c>
    </row>
    <row r="1749" spans="1:5" x14ac:dyDescent="0.25">
      <c r="A1749" s="3">
        <f t="shared" si="82"/>
        <v>78989</v>
      </c>
      <c r="B1749" t="str">
        <f ca="1">TEXT(DATE(YEAR(Invoer!$A$5),1,1)+INT((ROWS(B$2:B1749)-1)/24),"""18""jjmmdd")</f>
        <v>18980314</v>
      </c>
      <c r="C1749" s="11" t="str">
        <f>INDEX(Data,2,2+MOD(ROWS(C$2:C1749)-1,24))</f>
        <v>20.00</v>
      </c>
      <c r="D1749" s="8" t="str">
        <f t="shared" ca="1" si="83"/>
        <v>—</v>
      </c>
      <c r="E1749" s="16">
        <f t="shared" ca="1" si="84"/>
        <v>7</v>
      </c>
    </row>
    <row r="1750" spans="1:5" x14ac:dyDescent="0.25">
      <c r="A1750" s="3">
        <f t="shared" si="82"/>
        <v>78989</v>
      </c>
      <c r="B1750" t="str">
        <f ca="1">TEXT(DATE(YEAR(Invoer!$A$5),1,1)+INT((ROWS(B$2:B1750)-1)/24),"""18""jjmmdd")</f>
        <v>18980314</v>
      </c>
      <c r="C1750" s="11" t="str">
        <f>INDEX(Data,2,2+MOD(ROWS(C$2:C1750)-1,24))</f>
        <v>21.00</v>
      </c>
      <c r="D1750" s="8" t="str">
        <f t="shared" ca="1" si="83"/>
        <v>—</v>
      </c>
      <c r="E1750" s="16">
        <f t="shared" ca="1" si="84"/>
        <v>7</v>
      </c>
    </row>
    <row r="1751" spans="1:5" x14ac:dyDescent="0.25">
      <c r="A1751" s="3">
        <f t="shared" si="82"/>
        <v>78989</v>
      </c>
      <c r="B1751" t="str">
        <f ca="1">TEXT(DATE(YEAR(Invoer!$A$5),1,1)+INT((ROWS(B$2:B1751)-1)/24),"""18""jjmmdd")</f>
        <v>18980314</v>
      </c>
      <c r="C1751" s="11" t="str">
        <f>INDEX(Data,2,2+MOD(ROWS(C$2:C1751)-1,24))</f>
        <v>22.00</v>
      </c>
      <c r="D1751" s="8" t="str">
        <f t="shared" ca="1" si="83"/>
        <v>—</v>
      </c>
      <c r="E1751" s="16">
        <f t="shared" ca="1" si="84"/>
        <v>7</v>
      </c>
    </row>
    <row r="1752" spans="1:5" x14ac:dyDescent="0.25">
      <c r="A1752" s="3">
        <f t="shared" si="82"/>
        <v>78989</v>
      </c>
      <c r="B1752" t="str">
        <f ca="1">TEXT(DATE(YEAR(Invoer!$A$5),1,1)+INT((ROWS(B$2:B1752)-1)/24),"""18""jjmmdd")</f>
        <v>18980314</v>
      </c>
      <c r="C1752" s="11" t="str">
        <f>INDEX(Data,2,2+MOD(ROWS(C$2:C1752)-1,24))</f>
        <v>23.00</v>
      </c>
      <c r="D1752" s="8" t="str">
        <f t="shared" ca="1" si="83"/>
        <v>—</v>
      </c>
      <c r="E1752" s="16">
        <f t="shared" ca="1" si="84"/>
        <v>7</v>
      </c>
    </row>
    <row r="1753" spans="1:5" x14ac:dyDescent="0.25">
      <c r="A1753" s="3">
        <f t="shared" si="82"/>
        <v>78989</v>
      </c>
      <c r="B1753" t="str">
        <f ca="1">TEXT(DATE(YEAR(Invoer!$A$5),1,1)+INT((ROWS(B$2:B1753)-1)/24),"""18""jjmmdd")</f>
        <v>18980314</v>
      </c>
      <c r="C1753" s="11" t="str">
        <f>INDEX(Data,2,2+MOD(ROWS(C$2:C1753)-1,24))</f>
        <v>24.00</v>
      </c>
      <c r="D1753" s="8" t="str">
        <f t="shared" ca="1" si="83"/>
        <v>—</v>
      </c>
      <c r="E1753" s="16">
        <f t="shared" ca="1" si="84"/>
        <v>7</v>
      </c>
    </row>
    <row r="1754" spans="1:5" x14ac:dyDescent="0.25">
      <c r="A1754" s="3">
        <f t="shared" si="82"/>
        <v>78989</v>
      </c>
      <c r="B1754" t="str">
        <f ca="1">TEXT(DATE(YEAR(Invoer!$A$5),1,1)+INT((ROWS(B$2:B1754)-1)/24),"""18""jjmmdd")</f>
        <v>18980315</v>
      </c>
      <c r="C1754" s="11" t="str">
        <f>INDEX(Data,2,2+MOD(ROWS(C$2:C1754)-1,24))</f>
        <v>01.00</v>
      </c>
      <c r="D1754" s="8" t="str">
        <f t="shared" ca="1" si="83"/>
        <v>—</v>
      </c>
      <c r="E1754" s="16">
        <f t="shared" ca="1" si="84"/>
        <v>7</v>
      </c>
    </row>
    <row r="1755" spans="1:5" x14ac:dyDescent="0.25">
      <c r="A1755" s="3">
        <f t="shared" si="82"/>
        <v>78989</v>
      </c>
      <c r="B1755" t="str">
        <f ca="1">TEXT(DATE(YEAR(Invoer!$A$5),1,1)+INT((ROWS(B$2:B1755)-1)/24),"""18""jjmmdd")</f>
        <v>18980315</v>
      </c>
      <c r="C1755" s="11" t="str">
        <f>INDEX(Data,2,2+MOD(ROWS(C$2:C1755)-1,24))</f>
        <v>02.00</v>
      </c>
      <c r="D1755" s="8" t="str">
        <f t="shared" ca="1" si="83"/>
        <v>—</v>
      </c>
      <c r="E1755" s="16">
        <f t="shared" ca="1" si="84"/>
        <v>7</v>
      </c>
    </row>
    <row r="1756" spans="1:5" x14ac:dyDescent="0.25">
      <c r="A1756" s="3">
        <f t="shared" si="82"/>
        <v>78989</v>
      </c>
      <c r="B1756" t="str">
        <f ca="1">TEXT(DATE(YEAR(Invoer!$A$5),1,1)+INT((ROWS(B$2:B1756)-1)/24),"""18""jjmmdd")</f>
        <v>18980315</v>
      </c>
      <c r="C1756" s="11" t="str">
        <f>INDEX(Data,2,2+MOD(ROWS(C$2:C1756)-1,24))</f>
        <v>03.00</v>
      </c>
      <c r="D1756" s="8" t="str">
        <f t="shared" ca="1" si="83"/>
        <v>—</v>
      </c>
      <c r="E1756" s="16">
        <f t="shared" ca="1" si="84"/>
        <v>7</v>
      </c>
    </row>
    <row r="1757" spans="1:5" x14ac:dyDescent="0.25">
      <c r="A1757" s="3">
        <f t="shared" si="82"/>
        <v>78989</v>
      </c>
      <c r="B1757" t="str">
        <f ca="1">TEXT(DATE(YEAR(Invoer!$A$5),1,1)+INT((ROWS(B$2:B1757)-1)/24),"""18""jjmmdd")</f>
        <v>18980315</v>
      </c>
      <c r="C1757" s="11" t="str">
        <f>INDEX(Data,2,2+MOD(ROWS(C$2:C1757)-1,24))</f>
        <v>04.00</v>
      </c>
      <c r="D1757" s="8" t="str">
        <f t="shared" ca="1" si="83"/>
        <v>—</v>
      </c>
      <c r="E1757" s="16">
        <f t="shared" ca="1" si="84"/>
        <v>7</v>
      </c>
    </row>
    <row r="1758" spans="1:5" x14ac:dyDescent="0.25">
      <c r="A1758" s="3">
        <f t="shared" si="82"/>
        <v>78989</v>
      </c>
      <c r="B1758" t="str">
        <f ca="1">TEXT(DATE(YEAR(Invoer!$A$5),1,1)+INT((ROWS(B$2:B1758)-1)/24),"""18""jjmmdd")</f>
        <v>18980315</v>
      </c>
      <c r="C1758" s="11" t="str">
        <f>INDEX(Data,2,2+MOD(ROWS(C$2:C1758)-1,24))</f>
        <v>05.00</v>
      </c>
      <c r="D1758" s="8" t="str">
        <f t="shared" ca="1" si="83"/>
        <v>—</v>
      </c>
      <c r="E1758" s="16">
        <f t="shared" ca="1" si="84"/>
        <v>7</v>
      </c>
    </row>
    <row r="1759" spans="1:5" x14ac:dyDescent="0.25">
      <c r="A1759" s="3">
        <f t="shared" si="82"/>
        <v>78989</v>
      </c>
      <c r="B1759" t="str">
        <f ca="1">TEXT(DATE(YEAR(Invoer!$A$5),1,1)+INT((ROWS(B$2:B1759)-1)/24),"""18""jjmmdd")</f>
        <v>18980315</v>
      </c>
      <c r="C1759" s="11" t="str">
        <f>INDEX(Data,2,2+MOD(ROWS(C$2:C1759)-1,24))</f>
        <v>06.00</v>
      </c>
      <c r="D1759" s="8" t="str">
        <f t="shared" ca="1" si="83"/>
        <v>—</v>
      </c>
      <c r="E1759" s="16">
        <f t="shared" ca="1" si="84"/>
        <v>7</v>
      </c>
    </row>
    <row r="1760" spans="1:5" x14ac:dyDescent="0.25">
      <c r="A1760" s="3">
        <f t="shared" si="82"/>
        <v>78989</v>
      </c>
      <c r="B1760" t="str">
        <f ca="1">TEXT(DATE(YEAR(Invoer!$A$5),1,1)+INT((ROWS(B$2:B1760)-1)/24),"""18""jjmmdd")</f>
        <v>18980315</v>
      </c>
      <c r="C1760" s="11" t="str">
        <f>INDEX(Data,2,2+MOD(ROWS(C$2:C1760)-1,24))</f>
        <v>07.00</v>
      </c>
      <c r="D1760" s="8" t="str">
        <f t="shared" ca="1" si="83"/>
        <v>—</v>
      </c>
      <c r="E1760" s="16">
        <f t="shared" ca="1" si="84"/>
        <v>7</v>
      </c>
    </row>
    <row r="1761" spans="1:5" x14ac:dyDescent="0.25">
      <c r="A1761" s="3">
        <f t="shared" si="82"/>
        <v>78989</v>
      </c>
      <c r="B1761" t="str">
        <f ca="1">TEXT(DATE(YEAR(Invoer!$A$5),1,1)+INT((ROWS(B$2:B1761)-1)/24),"""18""jjmmdd")</f>
        <v>18980315</v>
      </c>
      <c r="C1761" s="11" t="str">
        <f>INDEX(Data,2,2+MOD(ROWS(C$2:C1761)-1,24))</f>
        <v>08.00</v>
      </c>
      <c r="D1761" s="8" t="str">
        <f t="shared" ca="1" si="83"/>
        <v>—</v>
      </c>
      <c r="E1761" s="16">
        <f t="shared" ca="1" si="84"/>
        <v>7</v>
      </c>
    </row>
    <row r="1762" spans="1:5" x14ac:dyDescent="0.25">
      <c r="A1762" s="3">
        <f t="shared" si="82"/>
        <v>78989</v>
      </c>
      <c r="B1762" t="str">
        <f ca="1">TEXT(DATE(YEAR(Invoer!$A$5),1,1)+INT((ROWS(B$2:B1762)-1)/24),"""18""jjmmdd")</f>
        <v>18980315</v>
      </c>
      <c r="C1762" s="11" t="str">
        <f>INDEX(Data,2,2+MOD(ROWS(C$2:C1762)-1,24))</f>
        <v>09.00</v>
      </c>
      <c r="D1762" s="8" t="str">
        <f t="shared" ca="1" si="83"/>
        <v>—</v>
      </c>
      <c r="E1762" s="16">
        <f t="shared" ca="1" si="84"/>
        <v>7</v>
      </c>
    </row>
    <row r="1763" spans="1:5" x14ac:dyDescent="0.25">
      <c r="A1763" s="3">
        <f t="shared" si="82"/>
        <v>78989</v>
      </c>
      <c r="B1763" t="str">
        <f ca="1">TEXT(DATE(YEAR(Invoer!$A$5),1,1)+INT((ROWS(B$2:B1763)-1)/24),"""18""jjmmdd")</f>
        <v>18980315</v>
      </c>
      <c r="C1763" s="11" t="str">
        <f>INDEX(Data,2,2+MOD(ROWS(C$2:C1763)-1,24))</f>
        <v>10.00</v>
      </c>
      <c r="D1763" s="8" t="str">
        <f t="shared" ca="1" si="83"/>
        <v>—</v>
      </c>
      <c r="E1763" s="16">
        <f t="shared" ca="1" si="84"/>
        <v>7</v>
      </c>
    </row>
    <row r="1764" spans="1:5" x14ac:dyDescent="0.25">
      <c r="A1764" s="3">
        <f t="shared" si="82"/>
        <v>78989</v>
      </c>
      <c r="B1764" t="str">
        <f ca="1">TEXT(DATE(YEAR(Invoer!$A$5),1,1)+INT((ROWS(B$2:B1764)-1)/24),"""18""jjmmdd")</f>
        <v>18980315</v>
      </c>
      <c r="C1764" s="11" t="str">
        <f>INDEX(Data,2,2+MOD(ROWS(C$2:C1764)-1,24))</f>
        <v>11.00</v>
      </c>
      <c r="D1764" s="8" t="str">
        <f t="shared" ca="1" si="83"/>
        <v>—</v>
      </c>
      <c r="E1764" s="16">
        <f t="shared" ca="1" si="84"/>
        <v>7</v>
      </c>
    </row>
    <row r="1765" spans="1:5" x14ac:dyDescent="0.25">
      <c r="A1765" s="3">
        <f t="shared" si="82"/>
        <v>78989</v>
      </c>
      <c r="B1765" t="str">
        <f ca="1">TEXT(DATE(YEAR(Invoer!$A$5),1,1)+INT((ROWS(B$2:B1765)-1)/24),"""18""jjmmdd")</f>
        <v>18980315</v>
      </c>
      <c r="C1765" s="11" t="str">
        <f>INDEX(Data,2,2+MOD(ROWS(C$2:C1765)-1,24))</f>
        <v>12.00</v>
      </c>
      <c r="D1765" s="8" t="str">
        <f t="shared" ca="1" si="83"/>
        <v>—</v>
      </c>
      <c r="E1765" s="16">
        <f t="shared" ca="1" si="84"/>
        <v>7</v>
      </c>
    </row>
    <row r="1766" spans="1:5" x14ac:dyDescent="0.25">
      <c r="A1766" s="3">
        <f t="shared" si="82"/>
        <v>78989</v>
      </c>
      <c r="B1766" t="str">
        <f ca="1">TEXT(DATE(YEAR(Invoer!$A$5),1,1)+INT((ROWS(B$2:B1766)-1)/24),"""18""jjmmdd")</f>
        <v>18980315</v>
      </c>
      <c r="C1766" s="11" t="str">
        <f>INDEX(Data,2,2+MOD(ROWS(C$2:C1766)-1,24))</f>
        <v>13.00</v>
      </c>
      <c r="D1766" s="8" t="str">
        <f t="shared" ca="1" si="83"/>
        <v>—</v>
      </c>
      <c r="E1766" s="16">
        <f t="shared" ca="1" si="84"/>
        <v>7</v>
      </c>
    </row>
    <row r="1767" spans="1:5" x14ac:dyDescent="0.25">
      <c r="A1767" s="3">
        <f t="shared" si="82"/>
        <v>78989</v>
      </c>
      <c r="B1767" t="str">
        <f ca="1">TEXT(DATE(YEAR(Invoer!$A$5),1,1)+INT((ROWS(B$2:B1767)-1)/24),"""18""jjmmdd")</f>
        <v>18980315</v>
      </c>
      <c r="C1767" s="11" t="str">
        <f>INDEX(Data,2,2+MOD(ROWS(C$2:C1767)-1,24))</f>
        <v>14.00</v>
      </c>
      <c r="D1767" s="8" t="str">
        <f t="shared" ca="1" si="83"/>
        <v>—</v>
      </c>
      <c r="E1767" s="16">
        <f t="shared" ca="1" si="84"/>
        <v>7</v>
      </c>
    </row>
    <row r="1768" spans="1:5" x14ac:dyDescent="0.25">
      <c r="A1768" s="3">
        <f t="shared" si="82"/>
        <v>78989</v>
      </c>
      <c r="B1768" t="str">
        <f ca="1">TEXT(DATE(YEAR(Invoer!$A$5),1,1)+INT((ROWS(B$2:B1768)-1)/24),"""18""jjmmdd")</f>
        <v>18980315</v>
      </c>
      <c r="C1768" s="11" t="str">
        <f>INDEX(Data,2,2+MOD(ROWS(C$2:C1768)-1,24))</f>
        <v>15.00</v>
      </c>
      <c r="D1768" s="8" t="str">
        <f t="shared" ca="1" si="83"/>
        <v>—</v>
      </c>
      <c r="E1768" s="16">
        <f t="shared" ca="1" si="84"/>
        <v>7</v>
      </c>
    </row>
    <row r="1769" spans="1:5" x14ac:dyDescent="0.25">
      <c r="A1769" s="3">
        <f t="shared" si="82"/>
        <v>78989</v>
      </c>
      <c r="B1769" t="str">
        <f ca="1">TEXT(DATE(YEAR(Invoer!$A$5),1,1)+INT((ROWS(B$2:B1769)-1)/24),"""18""jjmmdd")</f>
        <v>18980315</v>
      </c>
      <c r="C1769" s="11" t="str">
        <f>INDEX(Data,2,2+MOD(ROWS(C$2:C1769)-1,24))</f>
        <v>16.00</v>
      </c>
      <c r="D1769" s="8" t="str">
        <f t="shared" ca="1" si="83"/>
        <v>—</v>
      </c>
      <c r="E1769" s="16">
        <f t="shared" ca="1" si="84"/>
        <v>7</v>
      </c>
    </row>
    <row r="1770" spans="1:5" x14ac:dyDescent="0.25">
      <c r="A1770" s="3">
        <f t="shared" si="82"/>
        <v>78989</v>
      </c>
      <c r="B1770" t="str">
        <f ca="1">TEXT(DATE(YEAR(Invoer!$A$5),1,1)+INT((ROWS(B$2:B1770)-1)/24),"""18""jjmmdd")</f>
        <v>18980315</v>
      </c>
      <c r="C1770" s="11" t="str">
        <f>INDEX(Data,2,2+MOD(ROWS(C$2:C1770)-1,24))</f>
        <v>17.00</v>
      </c>
      <c r="D1770" s="8" t="str">
        <f t="shared" ca="1" si="83"/>
        <v>—</v>
      </c>
      <c r="E1770" s="16">
        <f t="shared" ca="1" si="84"/>
        <v>7</v>
      </c>
    </row>
    <row r="1771" spans="1:5" x14ac:dyDescent="0.25">
      <c r="A1771" s="3">
        <f t="shared" si="82"/>
        <v>78989</v>
      </c>
      <c r="B1771" t="str">
        <f ca="1">TEXT(DATE(YEAR(Invoer!$A$5),1,1)+INT((ROWS(B$2:B1771)-1)/24),"""18""jjmmdd")</f>
        <v>18980315</v>
      </c>
      <c r="C1771" s="11" t="str">
        <f>INDEX(Data,2,2+MOD(ROWS(C$2:C1771)-1,24))</f>
        <v>18.00</v>
      </c>
      <c r="D1771" s="8" t="str">
        <f t="shared" ca="1" si="83"/>
        <v>—</v>
      </c>
      <c r="E1771" s="16">
        <f t="shared" ca="1" si="84"/>
        <v>7</v>
      </c>
    </row>
    <row r="1772" spans="1:5" x14ac:dyDescent="0.25">
      <c r="A1772" s="3">
        <f t="shared" si="82"/>
        <v>78989</v>
      </c>
      <c r="B1772" t="str">
        <f ca="1">TEXT(DATE(YEAR(Invoer!$A$5),1,1)+INT((ROWS(B$2:B1772)-1)/24),"""18""jjmmdd")</f>
        <v>18980315</v>
      </c>
      <c r="C1772" s="11" t="str">
        <f>INDEX(Data,2,2+MOD(ROWS(C$2:C1772)-1,24))</f>
        <v>19.00</v>
      </c>
      <c r="D1772" s="8" t="str">
        <f t="shared" ca="1" si="83"/>
        <v>—</v>
      </c>
      <c r="E1772" s="16">
        <f t="shared" ca="1" si="84"/>
        <v>7</v>
      </c>
    </row>
    <row r="1773" spans="1:5" x14ac:dyDescent="0.25">
      <c r="A1773" s="3">
        <f t="shared" si="82"/>
        <v>78989</v>
      </c>
      <c r="B1773" t="str">
        <f ca="1">TEXT(DATE(YEAR(Invoer!$A$5),1,1)+INT((ROWS(B$2:B1773)-1)/24),"""18""jjmmdd")</f>
        <v>18980315</v>
      </c>
      <c r="C1773" s="11" t="str">
        <f>INDEX(Data,2,2+MOD(ROWS(C$2:C1773)-1,24))</f>
        <v>20.00</v>
      </c>
      <c r="D1773" s="8" t="str">
        <f t="shared" ca="1" si="83"/>
        <v>—</v>
      </c>
      <c r="E1773" s="16">
        <f t="shared" ca="1" si="84"/>
        <v>7</v>
      </c>
    </row>
    <row r="1774" spans="1:5" x14ac:dyDescent="0.25">
      <c r="A1774" s="3">
        <f t="shared" si="82"/>
        <v>78989</v>
      </c>
      <c r="B1774" t="str">
        <f ca="1">TEXT(DATE(YEAR(Invoer!$A$5),1,1)+INT((ROWS(B$2:B1774)-1)/24),"""18""jjmmdd")</f>
        <v>18980315</v>
      </c>
      <c r="C1774" s="11" t="str">
        <f>INDEX(Data,2,2+MOD(ROWS(C$2:C1774)-1,24))</f>
        <v>21.00</v>
      </c>
      <c r="D1774" s="8" t="str">
        <f t="shared" ca="1" si="83"/>
        <v>—</v>
      </c>
      <c r="E1774" s="16">
        <f t="shared" ca="1" si="84"/>
        <v>7</v>
      </c>
    </row>
    <row r="1775" spans="1:5" x14ac:dyDescent="0.25">
      <c r="A1775" s="3">
        <f t="shared" si="82"/>
        <v>78989</v>
      </c>
      <c r="B1775" t="str">
        <f ca="1">TEXT(DATE(YEAR(Invoer!$A$5),1,1)+INT((ROWS(B$2:B1775)-1)/24),"""18""jjmmdd")</f>
        <v>18980315</v>
      </c>
      <c r="C1775" s="11" t="str">
        <f>INDEX(Data,2,2+MOD(ROWS(C$2:C1775)-1,24))</f>
        <v>22.00</v>
      </c>
      <c r="D1775" s="8" t="str">
        <f t="shared" ca="1" si="83"/>
        <v>—</v>
      </c>
      <c r="E1775" s="16">
        <f t="shared" ca="1" si="84"/>
        <v>7</v>
      </c>
    </row>
    <row r="1776" spans="1:5" x14ac:dyDescent="0.25">
      <c r="A1776" s="3">
        <f t="shared" si="82"/>
        <v>78989</v>
      </c>
      <c r="B1776" t="str">
        <f ca="1">TEXT(DATE(YEAR(Invoer!$A$5),1,1)+INT((ROWS(B$2:B1776)-1)/24),"""18""jjmmdd")</f>
        <v>18980315</v>
      </c>
      <c r="C1776" s="11" t="str">
        <f>INDEX(Data,2,2+MOD(ROWS(C$2:C1776)-1,24))</f>
        <v>23.00</v>
      </c>
      <c r="D1776" s="8" t="str">
        <f t="shared" ca="1" si="83"/>
        <v>—</v>
      </c>
      <c r="E1776" s="16">
        <f t="shared" ca="1" si="84"/>
        <v>7</v>
      </c>
    </row>
    <row r="1777" spans="1:5" x14ac:dyDescent="0.25">
      <c r="A1777" s="3">
        <f t="shared" si="82"/>
        <v>78989</v>
      </c>
      <c r="B1777" t="str">
        <f ca="1">TEXT(DATE(YEAR(Invoer!$A$5),1,1)+INT((ROWS(B$2:B1777)-1)/24),"""18""jjmmdd")</f>
        <v>18980315</v>
      </c>
      <c r="C1777" s="11" t="str">
        <f>INDEX(Data,2,2+MOD(ROWS(C$2:C1777)-1,24))</f>
        <v>24.00</v>
      </c>
      <c r="D1777" s="8" t="str">
        <f t="shared" ca="1" si="83"/>
        <v>—</v>
      </c>
      <c r="E1777" s="16">
        <f t="shared" ca="1" si="84"/>
        <v>7</v>
      </c>
    </row>
    <row r="1778" spans="1:5" x14ac:dyDescent="0.25">
      <c r="A1778" s="3">
        <f t="shared" si="82"/>
        <v>78989</v>
      </c>
      <c r="B1778" t="str">
        <f ca="1">TEXT(DATE(YEAR(Invoer!$A$5),1,1)+INT((ROWS(B$2:B1778)-1)/24),"""18""jjmmdd")</f>
        <v>18980316</v>
      </c>
      <c r="C1778" s="11" t="str">
        <f>INDEX(Data,2,2+MOD(ROWS(C$2:C1778)-1,24))</f>
        <v>01.00</v>
      </c>
      <c r="D1778" s="8" t="str">
        <f t="shared" ca="1" si="83"/>
        <v>—</v>
      </c>
      <c r="E1778" s="16">
        <f t="shared" ca="1" si="84"/>
        <v>7</v>
      </c>
    </row>
    <row r="1779" spans="1:5" x14ac:dyDescent="0.25">
      <c r="A1779" s="3">
        <f t="shared" si="82"/>
        <v>78989</v>
      </c>
      <c r="B1779" t="str">
        <f ca="1">TEXT(DATE(YEAR(Invoer!$A$5),1,1)+INT((ROWS(B$2:B1779)-1)/24),"""18""jjmmdd")</f>
        <v>18980316</v>
      </c>
      <c r="C1779" s="11" t="str">
        <f>INDEX(Data,2,2+MOD(ROWS(C$2:C1779)-1,24))</f>
        <v>02.00</v>
      </c>
      <c r="D1779" s="8" t="str">
        <f t="shared" ca="1" si="83"/>
        <v>—</v>
      </c>
      <c r="E1779" s="16">
        <f t="shared" ca="1" si="84"/>
        <v>7</v>
      </c>
    </row>
    <row r="1780" spans="1:5" x14ac:dyDescent="0.25">
      <c r="A1780" s="3">
        <f t="shared" si="82"/>
        <v>78989</v>
      </c>
      <c r="B1780" t="str">
        <f ca="1">TEXT(DATE(YEAR(Invoer!$A$5),1,1)+INT((ROWS(B$2:B1780)-1)/24),"""18""jjmmdd")</f>
        <v>18980316</v>
      </c>
      <c r="C1780" s="11" t="str">
        <f>INDEX(Data,2,2+MOD(ROWS(C$2:C1780)-1,24))</f>
        <v>03.00</v>
      </c>
      <c r="D1780" s="8" t="str">
        <f t="shared" ca="1" si="83"/>
        <v>—</v>
      </c>
      <c r="E1780" s="16">
        <f t="shared" ca="1" si="84"/>
        <v>7</v>
      </c>
    </row>
    <row r="1781" spans="1:5" x14ac:dyDescent="0.25">
      <c r="A1781" s="3">
        <f t="shared" si="82"/>
        <v>78989</v>
      </c>
      <c r="B1781" t="str">
        <f ca="1">TEXT(DATE(YEAR(Invoer!$A$5),1,1)+INT((ROWS(B$2:B1781)-1)/24),"""18""jjmmdd")</f>
        <v>18980316</v>
      </c>
      <c r="C1781" s="11" t="str">
        <f>INDEX(Data,2,2+MOD(ROWS(C$2:C1781)-1,24))</f>
        <v>04.00</v>
      </c>
      <c r="D1781" s="8" t="str">
        <f t="shared" ca="1" si="83"/>
        <v>—</v>
      </c>
      <c r="E1781" s="16">
        <f t="shared" ca="1" si="84"/>
        <v>7</v>
      </c>
    </row>
    <row r="1782" spans="1:5" x14ac:dyDescent="0.25">
      <c r="A1782" s="3">
        <f t="shared" si="82"/>
        <v>78989</v>
      </c>
      <c r="B1782" t="str">
        <f ca="1">TEXT(DATE(YEAR(Invoer!$A$5),1,1)+INT((ROWS(B$2:B1782)-1)/24),"""18""jjmmdd")</f>
        <v>18980316</v>
      </c>
      <c r="C1782" s="11" t="str">
        <f>INDEX(Data,2,2+MOD(ROWS(C$2:C1782)-1,24))</f>
        <v>05.00</v>
      </c>
      <c r="D1782" s="8" t="str">
        <f t="shared" ca="1" si="83"/>
        <v>—</v>
      </c>
      <c r="E1782" s="16">
        <f t="shared" ca="1" si="84"/>
        <v>7</v>
      </c>
    </row>
    <row r="1783" spans="1:5" x14ac:dyDescent="0.25">
      <c r="A1783" s="3">
        <f t="shared" si="82"/>
        <v>78989</v>
      </c>
      <c r="B1783" t="str">
        <f ca="1">TEXT(DATE(YEAR(Invoer!$A$5),1,1)+INT((ROWS(B$2:B1783)-1)/24),"""18""jjmmdd")</f>
        <v>18980316</v>
      </c>
      <c r="C1783" s="11" t="str">
        <f>INDEX(Data,2,2+MOD(ROWS(C$2:C1783)-1,24))</f>
        <v>06.00</v>
      </c>
      <c r="D1783" s="8" t="str">
        <f t="shared" ca="1" si="83"/>
        <v>—</v>
      </c>
      <c r="E1783" s="16">
        <f t="shared" ca="1" si="84"/>
        <v>7</v>
      </c>
    </row>
    <row r="1784" spans="1:5" x14ac:dyDescent="0.25">
      <c r="A1784" s="3">
        <f t="shared" si="82"/>
        <v>78989</v>
      </c>
      <c r="B1784" t="str">
        <f ca="1">TEXT(DATE(YEAR(Invoer!$A$5),1,1)+INT((ROWS(B$2:B1784)-1)/24),"""18""jjmmdd")</f>
        <v>18980316</v>
      </c>
      <c r="C1784" s="11" t="str">
        <f>INDEX(Data,2,2+MOD(ROWS(C$2:C1784)-1,24))</f>
        <v>07.00</v>
      </c>
      <c r="D1784" s="8" t="str">
        <f t="shared" ca="1" si="83"/>
        <v>—</v>
      </c>
      <c r="E1784" s="16">
        <f t="shared" ca="1" si="84"/>
        <v>7</v>
      </c>
    </row>
    <row r="1785" spans="1:5" x14ac:dyDescent="0.25">
      <c r="A1785" s="3">
        <f t="shared" si="82"/>
        <v>78989</v>
      </c>
      <c r="B1785" t="str">
        <f ca="1">TEXT(DATE(YEAR(Invoer!$A$5),1,1)+INT((ROWS(B$2:B1785)-1)/24),"""18""jjmmdd")</f>
        <v>18980316</v>
      </c>
      <c r="C1785" s="11" t="str">
        <f>INDEX(Data,2,2+MOD(ROWS(C$2:C1785)-1,24))</f>
        <v>08.00</v>
      </c>
      <c r="D1785" s="8" t="str">
        <f t="shared" ca="1" si="83"/>
        <v>—</v>
      </c>
      <c r="E1785" s="16">
        <f t="shared" ca="1" si="84"/>
        <v>7</v>
      </c>
    </row>
    <row r="1786" spans="1:5" x14ac:dyDescent="0.25">
      <c r="A1786" s="3">
        <f t="shared" si="82"/>
        <v>78989</v>
      </c>
      <c r="B1786" t="str">
        <f ca="1">TEXT(DATE(YEAR(Invoer!$A$5),1,1)+INT((ROWS(B$2:B1786)-1)/24),"""18""jjmmdd")</f>
        <v>18980316</v>
      </c>
      <c r="C1786" s="11" t="str">
        <f>INDEX(Data,2,2+MOD(ROWS(C$2:C1786)-1,24))</f>
        <v>09.00</v>
      </c>
      <c r="D1786" s="8" t="str">
        <f t="shared" ca="1" si="83"/>
        <v>—</v>
      </c>
      <c r="E1786" s="16">
        <f t="shared" ca="1" si="84"/>
        <v>7</v>
      </c>
    </row>
    <row r="1787" spans="1:5" x14ac:dyDescent="0.25">
      <c r="A1787" s="3">
        <f t="shared" si="82"/>
        <v>78989</v>
      </c>
      <c r="B1787" t="str">
        <f ca="1">TEXT(DATE(YEAR(Invoer!$A$5),1,1)+INT((ROWS(B$2:B1787)-1)/24),"""18""jjmmdd")</f>
        <v>18980316</v>
      </c>
      <c r="C1787" s="11" t="str">
        <f>INDEX(Data,2,2+MOD(ROWS(C$2:C1787)-1,24))</f>
        <v>10.00</v>
      </c>
      <c r="D1787" s="8" t="str">
        <f t="shared" ca="1" si="83"/>
        <v>—</v>
      </c>
      <c r="E1787" s="16">
        <f t="shared" ca="1" si="84"/>
        <v>7</v>
      </c>
    </row>
    <row r="1788" spans="1:5" x14ac:dyDescent="0.25">
      <c r="A1788" s="3">
        <f t="shared" si="82"/>
        <v>78989</v>
      </c>
      <c r="B1788" t="str">
        <f ca="1">TEXT(DATE(YEAR(Invoer!$A$5),1,1)+INT((ROWS(B$2:B1788)-1)/24),"""18""jjmmdd")</f>
        <v>18980316</v>
      </c>
      <c r="C1788" s="11" t="str">
        <f>INDEX(Data,2,2+MOD(ROWS(C$2:C1788)-1,24))</f>
        <v>11.00</v>
      </c>
      <c r="D1788" s="8" t="str">
        <f t="shared" ca="1" si="83"/>
        <v>—</v>
      </c>
      <c r="E1788" s="16">
        <f t="shared" ca="1" si="84"/>
        <v>7</v>
      </c>
    </row>
    <row r="1789" spans="1:5" x14ac:dyDescent="0.25">
      <c r="A1789" s="3">
        <f t="shared" si="82"/>
        <v>78989</v>
      </c>
      <c r="B1789" t="str">
        <f ca="1">TEXT(DATE(YEAR(Invoer!$A$5),1,1)+INT((ROWS(B$2:B1789)-1)/24),"""18""jjmmdd")</f>
        <v>18980316</v>
      </c>
      <c r="C1789" s="11" t="str">
        <f>INDEX(Data,2,2+MOD(ROWS(C$2:C1789)-1,24))</f>
        <v>12.00</v>
      </c>
      <c r="D1789" s="8" t="str">
        <f t="shared" ca="1" si="83"/>
        <v>—</v>
      </c>
      <c r="E1789" s="16">
        <f t="shared" ca="1" si="84"/>
        <v>7</v>
      </c>
    </row>
    <row r="1790" spans="1:5" x14ac:dyDescent="0.25">
      <c r="A1790" s="3">
        <f t="shared" si="82"/>
        <v>78989</v>
      </c>
      <c r="B1790" t="str">
        <f ca="1">TEXT(DATE(YEAR(Invoer!$A$5),1,1)+INT((ROWS(B$2:B1790)-1)/24),"""18""jjmmdd")</f>
        <v>18980316</v>
      </c>
      <c r="C1790" s="11" t="str">
        <f>INDEX(Data,2,2+MOD(ROWS(C$2:C1790)-1,24))</f>
        <v>13.00</v>
      </c>
      <c r="D1790" s="8" t="str">
        <f t="shared" ca="1" si="83"/>
        <v>—</v>
      </c>
      <c r="E1790" s="16">
        <f t="shared" ca="1" si="84"/>
        <v>7</v>
      </c>
    </row>
    <row r="1791" spans="1:5" x14ac:dyDescent="0.25">
      <c r="A1791" s="3">
        <f t="shared" si="82"/>
        <v>78989</v>
      </c>
      <c r="B1791" t="str">
        <f ca="1">TEXT(DATE(YEAR(Invoer!$A$5),1,1)+INT((ROWS(B$2:B1791)-1)/24),"""18""jjmmdd")</f>
        <v>18980316</v>
      </c>
      <c r="C1791" s="11" t="str">
        <f>INDEX(Data,2,2+MOD(ROWS(C$2:C1791)-1,24))</f>
        <v>14.00</v>
      </c>
      <c r="D1791" s="8" t="str">
        <f t="shared" ca="1" si="83"/>
        <v>—</v>
      </c>
      <c r="E1791" s="16">
        <f t="shared" ca="1" si="84"/>
        <v>7</v>
      </c>
    </row>
    <row r="1792" spans="1:5" x14ac:dyDescent="0.25">
      <c r="A1792" s="3">
        <f t="shared" si="82"/>
        <v>78989</v>
      </c>
      <c r="B1792" t="str">
        <f ca="1">TEXT(DATE(YEAR(Invoer!$A$5),1,1)+INT((ROWS(B$2:B1792)-1)/24),"""18""jjmmdd")</f>
        <v>18980316</v>
      </c>
      <c r="C1792" s="11" t="str">
        <f>INDEX(Data,2,2+MOD(ROWS(C$2:C1792)-1,24))</f>
        <v>15.00</v>
      </c>
      <c r="D1792" s="8" t="str">
        <f t="shared" ca="1" si="83"/>
        <v>—</v>
      </c>
      <c r="E1792" s="16">
        <f t="shared" ca="1" si="84"/>
        <v>7</v>
      </c>
    </row>
    <row r="1793" spans="1:5" x14ac:dyDescent="0.25">
      <c r="A1793" s="3">
        <f t="shared" si="82"/>
        <v>78989</v>
      </c>
      <c r="B1793" t="str">
        <f ca="1">TEXT(DATE(YEAR(Invoer!$A$5),1,1)+INT((ROWS(B$2:B1793)-1)/24),"""18""jjmmdd")</f>
        <v>18980316</v>
      </c>
      <c r="C1793" s="11" t="str">
        <f>INDEX(Data,2,2+MOD(ROWS(C$2:C1793)-1,24))</f>
        <v>16.00</v>
      </c>
      <c r="D1793" s="8" t="str">
        <f t="shared" ca="1" si="83"/>
        <v>—</v>
      </c>
      <c r="E1793" s="16">
        <f t="shared" ca="1" si="84"/>
        <v>7</v>
      </c>
    </row>
    <row r="1794" spans="1:5" x14ac:dyDescent="0.25">
      <c r="A1794" s="3">
        <f t="shared" ref="A1794:A1857" si="85">INDEX(Stations,2,1)</f>
        <v>78989</v>
      </c>
      <c r="B1794" t="str">
        <f ca="1">TEXT(DATE(YEAR(Invoer!$A$5),1,1)+INT((ROWS(B$2:B1794)-1)/24),"""18""jjmmdd")</f>
        <v>18980316</v>
      </c>
      <c r="C1794" s="11" t="str">
        <f>INDEX(Data,2,2+MOD(ROWS(C$2:C1794)-1,24))</f>
        <v>17.00</v>
      </c>
      <c r="D1794" s="8" t="str">
        <f t="shared" ref="D1794:D1857" ca="1" si="86">IF(OR(ISBLANK(VLOOKUP(DATEVALUE("37"&amp;MID($B1794,3,2)&amp;"-"&amp;MID($B1794,5,2)&amp;"-"&amp;RIGHT($B1794,2)),Data,MATCH(LEFT(VLOOKUP(D$1,Parameters,2,FALSE()),4)&amp;"*",OFFSET(Data,0,0,1),0)+MATCH($C1794,OFFSET(Data,1,0,1),0)-2,FALSE())),ISTEXT(VLOOKUP(DATEVALUE("37"&amp;MID($B1794,3,2)&amp;"-"&amp;MID($B1794,5,2)&amp;"-"&amp;RIGHT($B1794,2)),Data,MATCH(LEFT(VLOOKUP(D$1,Parameters,2,FALSE()),4)&amp;"*",OFFSET(Data,0,0,1),0)+MATCH($C1794,OFFSET(Data,1,0,1),0)-2,FALSE()))),"—",VLOOKUP(DATEVALUE("37"&amp;MID($B1794,3,2)&amp;"-"&amp;MID($B1794,5,2)&amp;"-"&amp;RIGHT($B1794,2)),Data,MATCH(LEFT(VLOOKUP(D$1,Parameters,2,FALSE()),4)&amp;"*",OFFSET(Data,0,0,1),0)+MATCH($C1794,OFFSET(Data,1,0,1),0)-2,FALSE()))</f>
        <v>—</v>
      </c>
      <c r="E1794" s="16">
        <f t="shared" ca="1" si="84"/>
        <v>7</v>
      </c>
    </row>
    <row r="1795" spans="1:5" x14ac:dyDescent="0.25">
      <c r="A1795" s="3">
        <f t="shared" si="85"/>
        <v>78989</v>
      </c>
      <c r="B1795" t="str">
        <f ca="1">TEXT(DATE(YEAR(Invoer!$A$5),1,1)+INT((ROWS(B$2:B1795)-1)/24),"""18""jjmmdd")</f>
        <v>18980316</v>
      </c>
      <c r="C1795" s="11" t="str">
        <f>INDEX(Data,2,2+MOD(ROWS(C$2:C1795)-1,24))</f>
        <v>18.00</v>
      </c>
      <c r="D1795" s="8" t="str">
        <f t="shared" ca="1" si="86"/>
        <v>—</v>
      </c>
      <c r="E1795" s="16">
        <f t="shared" ref="E1795:E1858" ca="1" si="87">IF(OR(ISBLANK(VLOOKUP(DATEVALUE("37"&amp;MID($B1795,3,2)&amp;"-"&amp;MID($B1795,5,2)&amp;"-"&amp;RIGHT($B1795,2)),Data,MATCH(LEFT(VLOOKUP(D$1,Parameters,2,FALSE()),4)&amp;"*",OFFSET(Data,0,0,1),0)+MATCH($C1795,OFFSET(Data,1,0,1),0)-2,FALSE())),ISTEXT(VLOOKUP(DATEVALUE("37"&amp;MID($B1795,3,2)&amp;"-"&amp;MID($B1795,5,2)&amp;"-"&amp;RIGHT($B1795,2)),Data,MATCH(LEFT(VLOOKUP(D$1,Parameters,2,FALSE()),4)&amp;"*",OFFSET(Data,0,0,1),0)+MATCH($C1795,OFFSET(Data,1,0,1),0)-2,FALSE()))),Lacking,IF(ISNA(MATCH(DATEVALUE("37"&amp;MID($B1795,3,2)&amp;"-"&amp;MID($B1795,5,2)&amp;"-"&amp;RIGHT($B1795,2)),OFFSET(Catalogus,0,0,,1),0)),Ok,VLOOKUP(DATEVALUE("37"&amp;MID($B1795,3,2)&amp;"-"&amp;MID($B1795,5,2)&amp;"-"&amp;RIGHT($B1795,2)),Catalogus,MATCH(LEFT(VLOOKUP(MID(E$1,2,LEN(E$1)-1),Parameters,2,FALSE()),4)&amp;"*",OFFSET(Catalogus,0,0,1),0)+MATCH($C1795,OFFSET(Catalogus,1,0,1),0)-2,FALSE())))</f>
        <v>7</v>
      </c>
    </row>
    <row r="1796" spans="1:5" x14ac:dyDescent="0.25">
      <c r="A1796" s="3">
        <f t="shared" si="85"/>
        <v>78989</v>
      </c>
      <c r="B1796" t="str">
        <f ca="1">TEXT(DATE(YEAR(Invoer!$A$5),1,1)+INT((ROWS(B$2:B1796)-1)/24),"""18""jjmmdd")</f>
        <v>18980316</v>
      </c>
      <c r="C1796" s="11" t="str">
        <f>INDEX(Data,2,2+MOD(ROWS(C$2:C1796)-1,24))</f>
        <v>19.00</v>
      </c>
      <c r="D1796" s="8" t="str">
        <f t="shared" ca="1" si="86"/>
        <v>—</v>
      </c>
      <c r="E1796" s="16">
        <f t="shared" ca="1" si="87"/>
        <v>7</v>
      </c>
    </row>
    <row r="1797" spans="1:5" x14ac:dyDescent="0.25">
      <c r="A1797" s="3">
        <f t="shared" si="85"/>
        <v>78989</v>
      </c>
      <c r="B1797" t="str">
        <f ca="1">TEXT(DATE(YEAR(Invoer!$A$5),1,1)+INT((ROWS(B$2:B1797)-1)/24),"""18""jjmmdd")</f>
        <v>18980316</v>
      </c>
      <c r="C1797" s="11" t="str">
        <f>INDEX(Data,2,2+MOD(ROWS(C$2:C1797)-1,24))</f>
        <v>20.00</v>
      </c>
      <c r="D1797" s="8" t="str">
        <f t="shared" ca="1" si="86"/>
        <v>—</v>
      </c>
      <c r="E1797" s="16">
        <f t="shared" ca="1" si="87"/>
        <v>7</v>
      </c>
    </row>
    <row r="1798" spans="1:5" x14ac:dyDescent="0.25">
      <c r="A1798" s="3">
        <f t="shared" si="85"/>
        <v>78989</v>
      </c>
      <c r="B1798" t="str">
        <f ca="1">TEXT(DATE(YEAR(Invoer!$A$5),1,1)+INT((ROWS(B$2:B1798)-1)/24),"""18""jjmmdd")</f>
        <v>18980316</v>
      </c>
      <c r="C1798" s="11" t="str">
        <f>INDEX(Data,2,2+MOD(ROWS(C$2:C1798)-1,24))</f>
        <v>21.00</v>
      </c>
      <c r="D1798" s="8" t="str">
        <f t="shared" ca="1" si="86"/>
        <v>—</v>
      </c>
      <c r="E1798" s="16">
        <f t="shared" ca="1" si="87"/>
        <v>7</v>
      </c>
    </row>
    <row r="1799" spans="1:5" x14ac:dyDescent="0.25">
      <c r="A1799" s="3">
        <f t="shared" si="85"/>
        <v>78989</v>
      </c>
      <c r="B1799" t="str">
        <f ca="1">TEXT(DATE(YEAR(Invoer!$A$5),1,1)+INT((ROWS(B$2:B1799)-1)/24),"""18""jjmmdd")</f>
        <v>18980316</v>
      </c>
      <c r="C1799" s="11" t="str">
        <f>INDEX(Data,2,2+MOD(ROWS(C$2:C1799)-1,24))</f>
        <v>22.00</v>
      </c>
      <c r="D1799" s="8" t="str">
        <f t="shared" ca="1" si="86"/>
        <v>—</v>
      </c>
      <c r="E1799" s="16">
        <f t="shared" ca="1" si="87"/>
        <v>7</v>
      </c>
    </row>
    <row r="1800" spans="1:5" x14ac:dyDescent="0.25">
      <c r="A1800" s="3">
        <f t="shared" si="85"/>
        <v>78989</v>
      </c>
      <c r="B1800" t="str">
        <f ca="1">TEXT(DATE(YEAR(Invoer!$A$5),1,1)+INT((ROWS(B$2:B1800)-1)/24),"""18""jjmmdd")</f>
        <v>18980316</v>
      </c>
      <c r="C1800" s="11" t="str">
        <f>INDEX(Data,2,2+MOD(ROWS(C$2:C1800)-1,24))</f>
        <v>23.00</v>
      </c>
      <c r="D1800" s="8" t="str">
        <f t="shared" ca="1" si="86"/>
        <v>—</v>
      </c>
      <c r="E1800" s="16">
        <f t="shared" ca="1" si="87"/>
        <v>7</v>
      </c>
    </row>
    <row r="1801" spans="1:5" x14ac:dyDescent="0.25">
      <c r="A1801" s="3">
        <f t="shared" si="85"/>
        <v>78989</v>
      </c>
      <c r="B1801" t="str">
        <f ca="1">TEXT(DATE(YEAR(Invoer!$A$5),1,1)+INT((ROWS(B$2:B1801)-1)/24),"""18""jjmmdd")</f>
        <v>18980316</v>
      </c>
      <c r="C1801" s="11" t="str">
        <f>INDEX(Data,2,2+MOD(ROWS(C$2:C1801)-1,24))</f>
        <v>24.00</v>
      </c>
      <c r="D1801" s="8" t="str">
        <f t="shared" ca="1" si="86"/>
        <v>—</v>
      </c>
      <c r="E1801" s="16">
        <f t="shared" ca="1" si="87"/>
        <v>7</v>
      </c>
    </row>
    <row r="1802" spans="1:5" x14ac:dyDescent="0.25">
      <c r="A1802" s="3">
        <f t="shared" si="85"/>
        <v>78989</v>
      </c>
      <c r="B1802" t="str">
        <f ca="1">TEXT(DATE(YEAR(Invoer!$A$5),1,1)+INT((ROWS(B$2:B1802)-1)/24),"""18""jjmmdd")</f>
        <v>18980317</v>
      </c>
      <c r="C1802" s="11" t="str">
        <f>INDEX(Data,2,2+MOD(ROWS(C$2:C1802)-1,24))</f>
        <v>01.00</v>
      </c>
      <c r="D1802" s="8" t="str">
        <f t="shared" ca="1" si="86"/>
        <v>—</v>
      </c>
      <c r="E1802" s="16">
        <f t="shared" ca="1" si="87"/>
        <v>7</v>
      </c>
    </row>
    <row r="1803" spans="1:5" x14ac:dyDescent="0.25">
      <c r="A1803" s="3">
        <f t="shared" si="85"/>
        <v>78989</v>
      </c>
      <c r="B1803" t="str">
        <f ca="1">TEXT(DATE(YEAR(Invoer!$A$5),1,1)+INT((ROWS(B$2:B1803)-1)/24),"""18""jjmmdd")</f>
        <v>18980317</v>
      </c>
      <c r="C1803" s="11" t="str">
        <f>INDEX(Data,2,2+MOD(ROWS(C$2:C1803)-1,24))</f>
        <v>02.00</v>
      </c>
      <c r="D1803" s="8" t="str">
        <f t="shared" ca="1" si="86"/>
        <v>—</v>
      </c>
      <c r="E1803" s="16">
        <f t="shared" ca="1" si="87"/>
        <v>7</v>
      </c>
    </row>
    <row r="1804" spans="1:5" x14ac:dyDescent="0.25">
      <c r="A1804" s="3">
        <f t="shared" si="85"/>
        <v>78989</v>
      </c>
      <c r="B1804" t="str">
        <f ca="1">TEXT(DATE(YEAR(Invoer!$A$5),1,1)+INT((ROWS(B$2:B1804)-1)/24),"""18""jjmmdd")</f>
        <v>18980317</v>
      </c>
      <c r="C1804" s="11" t="str">
        <f>INDEX(Data,2,2+MOD(ROWS(C$2:C1804)-1,24))</f>
        <v>03.00</v>
      </c>
      <c r="D1804" s="8" t="str">
        <f t="shared" ca="1" si="86"/>
        <v>—</v>
      </c>
      <c r="E1804" s="16">
        <f t="shared" ca="1" si="87"/>
        <v>7</v>
      </c>
    </row>
    <row r="1805" spans="1:5" x14ac:dyDescent="0.25">
      <c r="A1805" s="3">
        <f t="shared" si="85"/>
        <v>78989</v>
      </c>
      <c r="B1805" t="str">
        <f ca="1">TEXT(DATE(YEAR(Invoer!$A$5),1,1)+INT((ROWS(B$2:B1805)-1)/24),"""18""jjmmdd")</f>
        <v>18980317</v>
      </c>
      <c r="C1805" s="11" t="str">
        <f>INDEX(Data,2,2+MOD(ROWS(C$2:C1805)-1,24))</f>
        <v>04.00</v>
      </c>
      <c r="D1805" s="8" t="str">
        <f t="shared" ca="1" si="86"/>
        <v>—</v>
      </c>
      <c r="E1805" s="16">
        <f t="shared" ca="1" si="87"/>
        <v>7</v>
      </c>
    </row>
    <row r="1806" spans="1:5" x14ac:dyDescent="0.25">
      <c r="A1806" s="3">
        <f t="shared" si="85"/>
        <v>78989</v>
      </c>
      <c r="B1806" t="str">
        <f ca="1">TEXT(DATE(YEAR(Invoer!$A$5),1,1)+INT((ROWS(B$2:B1806)-1)/24),"""18""jjmmdd")</f>
        <v>18980317</v>
      </c>
      <c r="C1806" s="11" t="str">
        <f>INDEX(Data,2,2+MOD(ROWS(C$2:C1806)-1,24))</f>
        <v>05.00</v>
      </c>
      <c r="D1806" s="8" t="str">
        <f t="shared" ca="1" si="86"/>
        <v>—</v>
      </c>
      <c r="E1806" s="16">
        <f t="shared" ca="1" si="87"/>
        <v>7</v>
      </c>
    </row>
    <row r="1807" spans="1:5" x14ac:dyDescent="0.25">
      <c r="A1807" s="3">
        <f t="shared" si="85"/>
        <v>78989</v>
      </c>
      <c r="B1807" t="str">
        <f ca="1">TEXT(DATE(YEAR(Invoer!$A$5),1,1)+INT((ROWS(B$2:B1807)-1)/24),"""18""jjmmdd")</f>
        <v>18980317</v>
      </c>
      <c r="C1807" s="11" t="str">
        <f>INDEX(Data,2,2+MOD(ROWS(C$2:C1807)-1,24))</f>
        <v>06.00</v>
      </c>
      <c r="D1807" s="8" t="str">
        <f t="shared" ca="1" si="86"/>
        <v>—</v>
      </c>
      <c r="E1807" s="16">
        <f t="shared" ca="1" si="87"/>
        <v>7</v>
      </c>
    </row>
    <row r="1808" spans="1:5" x14ac:dyDescent="0.25">
      <c r="A1808" s="3">
        <f t="shared" si="85"/>
        <v>78989</v>
      </c>
      <c r="B1808" t="str">
        <f ca="1">TEXT(DATE(YEAR(Invoer!$A$5),1,1)+INT((ROWS(B$2:B1808)-1)/24),"""18""jjmmdd")</f>
        <v>18980317</v>
      </c>
      <c r="C1808" s="11" t="str">
        <f>INDEX(Data,2,2+MOD(ROWS(C$2:C1808)-1,24))</f>
        <v>07.00</v>
      </c>
      <c r="D1808" s="8" t="str">
        <f t="shared" ca="1" si="86"/>
        <v>—</v>
      </c>
      <c r="E1808" s="16">
        <f t="shared" ca="1" si="87"/>
        <v>7</v>
      </c>
    </row>
    <row r="1809" spans="1:5" x14ac:dyDescent="0.25">
      <c r="A1809" s="3">
        <f t="shared" si="85"/>
        <v>78989</v>
      </c>
      <c r="B1809" t="str">
        <f ca="1">TEXT(DATE(YEAR(Invoer!$A$5),1,1)+INT((ROWS(B$2:B1809)-1)/24),"""18""jjmmdd")</f>
        <v>18980317</v>
      </c>
      <c r="C1809" s="11" t="str">
        <f>INDEX(Data,2,2+MOD(ROWS(C$2:C1809)-1,24))</f>
        <v>08.00</v>
      </c>
      <c r="D1809" s="8" t="str">
        <f t="shared" ca="1" si="86"/>
        <v>—</v>
      </c>
      <c r="E1809" s="16">
        <f t="shared" ca="1" si="87"/>
        <v>7</v>
      </c>
    </row>
    <row r="1810" spans="1:5" x14ac:dyDescent="0.25">
      <c r="A1810" s="3">
        <f t="shared" si="85"/>
        <v>78989</v>
      </c>
      <c r="B1810" t="str">
        <f ca="1">TEXT(DATE(YEAR(Invoer!$A$5),1,1)+INT((ROWS(B$2:B1810)-1)/24),"""18""jjmmdd")</f>
        <v>18980317</v>
      </c>
      <c r="C1810" s="11" t="str">
        <f>INDEX(Data,2,2+MOD(ROWS(C$2:C1810)-1,24))</f>
        <v>09.00</v>
      </c>
      <c r="D1810" s="8" t="str">
        <f t="shared" ca="1" si="86"/>
        <v>—</v>
      </c>
      <c r="E1810" s="16">
        <f t="shared" ca="1" si="87"/>
        <v>7</v>
      </c>
    </row>
    <row r="1811" spans="1:5" x14ac:dyDescent="0.25">
      <c r="A1811" s="3">
        <f t="shared" si="85"/>
        <v>78989</v>
      </c>
      <c r="B1811" t="str">
        <f ca="1">TEXT(DATE(YEAR(Invoer!$A$5),1,1)+INT((ROWS(B$2:B1811)-1)/24),"""18""jjmmdd")</f>
        <v>18980317</v>
      </c>
      <c r="C1811" s="11" t="str">
        <f>INDEX(Data,2,2+MOD(ROWS(C$2:C1811)-1,24))</f>
        <v>10.00</v>
      </c>
      <c r="D1811" s="8" t="str">
        <f t="shared" ca="1" si="86"/>
        <v>—</v>
      </c>
      <c r="E1811" s="16">
        <f t="shared" ca="1" si="87"/>
        <v>7</v>
      </c>
    </row>
    <row r="1812" spans="1:5" x14ac:dyDescent="0.25">
      <c r="A1812" s="3">
        <f t="shared" si="85"/>
        <v>78989</v>
      </c>
      <c r="B1812" t="str">
        <f ca="1">TEXT(DATE(YEAR(Invoer!$A$5),1,1)+INT((ROWS(B$2:B1812)-1)/24),"""18""jjmmdd")</f>
        <v>18980317</v>
      </c>
      <c r="C1812" s="11" t="str">
        <f>INDEX(Data,2,2+MOD(ROWS(C$2:C1812)-1,24))</f>
        <v>11.00</v>
      </c>
      <c r="D1812" s="8" t="str">
        <f t="shared" ca="1" si="86"/>
        <v>—</v>
      </c>
      <c r="E1812" s="16">
        <f t="shared" ca="1" si="87"/>
        <v>7</v>
      </c>
    </row>
    <row r="1813" spans="1:5" x14ac:dyDescent="0.25">
      <c r="A1813" s="3">
        <f t="shared" si="85"/>
        <v>78989</v>
      </c>
      <c r="B1813" t="str">
        <f ca="1">TEXT(DATE(YEAR(Invoer!$A$5),1,1)+INT((ROWS(B$2:B1813)-1)/24),"""18""jjmmdd")</f>
        <v>18980317</v>
      </c>
      <c r="C1813" s="11" t="str">
        <f>INDEX(Data,2,2+MOD(ROWS(C$2:C1813)-1,24))</f>
        <v>12.00</v>
      </c>
      <c r="D1813" s="8" t="str">
        <f t="shared" ca="1" si="86"/>
        <v>—</v>
      </c>
      <c r="E1813" s="16">
        <f t="shared" ca="1" si="87"/>
        <v>7</v>
      </c>
    </row>
    <row r="1814" spans="1:5" x14ac:dyDescent="0.25">
      <c r="A1814" s="3">
        <f t="shared" si="85"/>
        <v>78989</v>
      </c>
      <c r="B1814" t="str">
        <f ca="1">TEXT(DATE(YEAR(Invoer!$A$5),1,1)+INT((ROWS(B$2:B1814)-1)/24),"""18""jjmmdd")</f>
        <v>18980317</v>
      </c>
      <c r="C1814" s="11" t="str">
        <f>INDEX(Data,2,2+MOD(ROWS(C$2:C1814)-1,24))</f>
        <v>13.00</v>
      </c>
      <c r="D1814" s="8" t="str">
        <f t="shared" ca="1" si="86"/>
        <v>—</v>
      </c>
      <c r="E1814" s="16">
        <f t="shared" ca="1" si="87"/>
        <v>7</v>
      </c>
    </row>
    <row r="1815" spans="1:5" x14ac:dyDescent="0.25">
      <c r="A1815" s="3">
        <f t="shared" si="85"/>
        <v>78989</v>
      </c>
      <c r="B1815" t="str">
        <f ca="1">TEXT(DATE(YEAR(Invoer!$A$5),1,1)+INT((ROWS(B$2:B1815)-1)/24),"""18""jjmmdd")</f>
        <v>18980317</v>
      </c>
      <c r="C1815" s="11" t="str">
        <f>INDEX(Data,2,2+MOD(ROWS(C$2:C1815)-1,24))</f>
        <v>14.00</v>
      </c>
      <c r="D1815" s="8" t="str">
        <f t="shared" ca="1" si="86"/>
        <v>—</v>
      </c>
      <c r="E1815" s="16">
        <f t="shared" ca="1" si="87"/>
        <v>7</v>
      </c>
    </row>
    <row r="1816" spans="1:5" x14ac:dyDescent="0.25">
      <c r="A1816" s="3">
        <f t="shared" si="85"/>
        <v>78989</v>
      </c>
      <c r="B1816" t="str">
        <f ca="1">TEXT(DATE(YEAR(Invoer!$A$5),1,1)+INT((ROWS(B$2:B1816)-1)/24),"""18""jjmmdd")</f>
        <v>18980317</v>
      </c>
      <c r="C1816" s="11" t="str">
        <f>INDEX(Data,2,2+MOD(ROWS(C$2:C1816)-1,24))</f>
        <v>15.00</v>
      </c>
      <c r="D1816" s="8" t="str">
        <f t="shared" ca="1" si="86"/>
        <v>—</v>
      </c>
      <c r="E1816" s="16">
        <f t="shared" ca="1" si="87"/>
        <v>7</v>
      </c>
    </row>
    <row r="1817" spans="1:5" x14ac:dyDescent="0.25">
      <c r="A1817" s="3">
        <f t="shared" si="85"/>
        <v>78989</v>
      </c>
      <c r="B1817" t="str">
        <f ca="1">TEXT(DATE(YEAR(Invoer!$A$5),1,1)+INT((ROWS(B$2:B1817)-1)/24),"""18""jjmmdd")</f>
        <v>18980317</v>
      </c>
      <c r="C1817" s="11" t="str">
        <f>INDEX(Data,2,2+MOD(ROWS(C$2:C1817)-1,24))</f>
        <v>16.00</v>
      </c>
      <c r="D1817" s="8" t="str">
        <f t="shared" ca="1" si="86"/>
        <v>—</v>
      </c>
      <c r="E1817" s="16">
        <f t="shared" ca="1" si="87"/>
        <v>7</v>
      </c>
    </row>
    <row r="1818" spans="1:5" x14ac:dyDescent="0.25">
      <c r="A1818" s="3">
        <f t="shared" si="85"/>
        <v>78989</v>
      </c>
      <c r="B1818" t="str">
        <f ca="1">TEXT(DATE(YEAR(Invoer!$A$5),1,1)+INT((ROWS(B$2:B1818)-1)/24),"""18""jjmmdd")</f>
        <v>18980317</v>
      </c>
      <c r="C1818" s="11" t="str">
        <f>INDEX(Data,2,2+MOD(ROWS(C$2:C1818)-1,24))</f>
        <v>17.00</v>
      </c>
      <c r="D1818" s="8" t="str">
        <f t="shared" ca="1" si="86"/>
        <v>—</v>
      </c>
      <c r="E1818" s="16">
        <f t="shared" ca="1" si="87"/>
        <v>7</v>
      </c>
    </row>
    <row r="1819" spans="1:5" x14ac:dyDescent="0.25">
      <c r="A1819" s="3">
        <f t="shared" si="85"/>
        <v>78989</v>
      </c>
      <c r="B1819" t="str">
        <f ca="1">TEXT(DATE(YEAR(Invoer!$A$5),1,1)+INT((ROWS(B$2:B1819)-1)/24),"""18""jjmmdd")</f>
        <v>18980317</v>
      </c>
      <c r="C1819" s="11" t="str">
        <f>INDEX(Data,2,2+MOD(ROWS(C$2:C1819)-1,24))</f>
        <v>18.00</v>
      </c>
      <c r="D1819" s="8" t="str">
        <f t="shared" ca="1" si="86"/>
        <v>—</v>
      </c>
      <c r="E1819" s="16">
        <f t="shared" ca="1" si="87"/>
        <v>7</v>
      </c>
    </row>
    <row r="1820" spans="1:5" x14ac:dyDescent="0.25">
      <c r="A1820" s="3">
        <f t="shared" si="85"/>
        <v>78989</v>
      </c>
      <c r="B1820" t="str">
        <f ca="1">TEXT(DATE(YEAR(Invoer!$A$5),1,1)+INT((ROWS(B$2:B1820)-1)/24),"""18""jjmmdd")</f>
        <v>18980317</v>
      </c>
      <c r="C1820" s="11" t="str">
        <f>INDEX(Data,2,2+MOD(ROWS(C$2:C1820)-1,24))</f>
        <v>19.00</v>
      </c>
      <c r="D1820" s="8" t="str">
        <f t="shared" ca="1" si="86"/>
        <v>—</v>
      </c>
      <c r="E1820" s="16">
        <f t="shared" ca="1" si="87"/>
        <v>7</v>
      </c>
    </row>
    <row r="1821" spans="1:5" x14ac:dyDescent="0.25">
      <c r="A1821" s="3">
        <f t="shared" si="85"/>
        <v>78989</v>
      </c>
      <c r="B1821" t="str">
        <f ca="1">TEXT(DATE(YEAR(Invoer!$A$5),1,1)+INT((ROWS(B$2:B1821)-1)/24),"""18""jjmmdd")</f>
        <v>18980317</v>
      </c>
      <c r="C1821" s="11" t="str">
        <f>INDEX(Data,2,2+MOD(ROWS(C$2:C1821)-1,24))</f>
        <v>20.00</v>
      </c>
      <c r="D1821" s="8" t="str">
        <f t="shared" ca="1" si="86"/>
        <v>—</v>
      </c>
      <c r="E1821" s="16">
        <f t="shared" ca="1" si="87"/>
        <v>7</v>
      </c>
    </row>
    <row r="1822" spans="1:5" x14ac:dyDescent="0.25">
      <c r="A1822" s="3">
        <f t="shared" si="85"/>
        <v>78989</v>
      </c>
      <c r="B1822" t="str">
        <f ca="1">TEXT(DATE(YEAR(Invoer!$A$5),1,1)+INT((ROWS(B$2:B1822)-1)/24),"""18""jjmmdd")</f>
        <v>18980317</v>
      </c>
      <c r="C1822" s="11" t="str">
        <f>INDEX(Data,2,2+MOD(ROWS(C$2:C1822)-1,24))</f>
        <v>21.00</v>
      </c>
      <c r="D1822" s="8" t="str">
        <f t="shared" ca="1" si="86"/>
        <v>—</v>
      </c>
      <c r="E1822" s="16">
        <f t="shared" ca="1" si="87"/>
        <v>7</v>
      </c>
    </row>
    <row r="1823" spans="1:5" x14ac:dyDescent="0.25">
      <c r="A1823" s="3">
        <f t="shared" si="85"/>
        <v>78989</v>
      </c>
      <c r="B1823" t="str">
        <f ca="1">TEXT(DATE(YEAR(Invoer!$A$5),1,1)+INT((ROWS(B$2:B1823)-1)/24),"""18""jjmmdd")</f>
        <v>18980317</v>
      </c>
      <c r="C1823" s="11" t="str">
        <f>INDEX(Data,2,2+MOD(ROWS(C$2:C1823)-1,24))</f>
        <v>22.00</v>
      </c>
      <c r="D1823" s="8" t="str">
        <f t="shared" ca="1" si="86"/>
        <v>—</v>
      </c>
      <c r="E1823" s="16">
        <f t="shared" ca="1" si="87"/>
        <v>7</v>
      </c>
    </row>
    <row r="1824" spans="1:5" x14ac:dyDescent="0.25">
      <c r="A1824" s="3">
        <f t="shared" si="85"/>
        <v>78989</v>
      </c>
      <c r="B1824" t="str">
        <f ca="1">TEXT(DATE(YEAR(Invoer!$A$5),1,1)+INT((ROWS(B$2:B1824)-1)/24),"""18""jjmmdd")</f>
        <v>18980317</v>
      </c>
      <c r="C1824" s="11" t="str">
        <f>INDEX(Data,2,2+MOD(ROWS(C$2:C1824)-1,24))</f>
        <v>23.00</v>
      </c>
      <c r="D1824" s="8" t="str">
        <f t="shared" ca="1" si="86"/>
        <v>—</v>
      </c>
      <c r="E1824" s="16">
        <f t="shared" ca="1" si="87"/>
        <v>7</v>
      </c>
    </row>
    <row r="1825" spans="1:5" x14ac:dyDescent="0.25">
      <c r="A1825" s="3">
        <f t="shared" si="85"/>
        <v>78989</v>
      </c>
      <c r="B1825" t="str">
        <f ca="1">TEXT(DATE(YEAR(Invoer!$A$5),1,1)+INT((ROWS(B$2:B1825)-1)/24),"""18""jjmmdd")</f>
        <v>18980317</v>
      </c>
      <c r="C1825" s="11" t="str">
        <f>INDEX(Data,2,2+MOD(ROWS(C$2:C1825)-1,24))</f>
        <v>24.00</v>
      </c>
      <c r="D1825" s="8" t="str">
        <f t="shared" ca="1" si="86"/>
        <v>—</v>
      </c>
      <c r="E1825" s="16">
        <f t="shared" ca="1" si="87"/>
        <v>7</v>
      </c>
    </row>
    <row r="1826" spans="1:5" x14ac:dyDescent="0.25">
      <c r="A1826" s="3">
        <f t="shared" si="85"/>
        <v>78989</v>
      </c>
      <c r="B1826" t="str">
        <f ca="1">TEXT(DATE(YEAR(Invoer!$A$5),1,1)+INT((ROWS(B$2:B1826)-1)/24),"""18""jjmmdd")</f>
        <v>18980318</v>
      </c>
      <c r="C1826" s="11" t="str">
        <f>INDEX(Data,2,2+MOD(ROWS(C$2:C1826)-1,24))</f>
        <v>01.00</v>
      </c>
      <c r="D1826" s="8" t="str">
        <f t="shared" ca="1" si="86"/>
        <v>—</v>
      </c>
      <c r="E1826" s="16">
        <f t="shared" ca="1" si="87"/>
        <v>7</v>
      </c>
    </row>
    <row r="1827" spans="1:5" x14ac:dyDescent="0.25">
      <c r="A1827" s="3">
        <f t="shared" si="85"/>
        <v>78989</v>
      </c>
      <c r="B1827" t="str">
        <f ca="1">TEXT(DATE(YEAR(Invoer!$A$5),1,1)+INT((ROWS(B$2:B1827)-1)/24),"""18""jjmmdd")</f>
        <v>18980318</v>
      </c>
      <c r="C1827" s="11" t="str">
        <f>INDEX(Data,2,2+MOD(ROWS(C$2:C1827)-1,24))</f>
        <v>02.00</v>
      </c>
      <c r="D1827" s="8" t="str">
        <f t="shared" ca="1" si="86"/>
        <v>—</v>
      </c>
      <c r="E1827" s="16">
        <f t="shared" ca="1" si="87"/>
        <v>7</v>
      </c>
    </row>
    <row r="1828" spans="1:5" x14ac:dyDescent="0.25">
      <c r="A1828" s="3">
        <f t="shared" si="85"/>
        <v>78989</v>
      </c>
      <c r="B1828" t="str">
        <f ca="1">TEXT(DATE(YEAR(Invoer!$A$5),1,1)+INT((ROWS(B$2:B1828)-1)/24),"""18""jjmmdd")</f>
        <v>18980318</v>
      </c>
      <c r="C1828" s="11" t="str">
        <f>INDEX(Data,2,2+MOD(ROWS(C$2:C1828)-1,24))</f>
        <v>03.00</v>
      </c>
      <c r="D1828" s="8" t="str">
        <f t="shared" ca="1" si="86"/>
        <v>—</v>
      </c>
      <c r="E1828" s="16">
        <f t="shared" ca="1" si="87"/>
        <v>7</v>
      </c>
    </row>
    <row r="1829" spans="1:5" x14ac:dyDescent="0.25">
      <c r="A1829" s="3">
        <f t="shared" si="85"/>
        <v>78989</v>
      </c>
      <c r="B1829" t="str">
        <f ca="1">TEXT(DATE(YEAR(Invoer!$A$5),1,1)+INT((ROWS(B$2:B1829)-1)/24),"""18""jjmmdd")</f>
        <v>18980318</v>
      </c>
      <c r="C1829" s="11" t="str">
        <f>INDEX(Data,2,2+MOD(ROWS(C$2:C1829)-1,24))</f>
        <v>04.00</v>
      </c>
      <c r="D1829" s="8" t="str">
        <f t="shared" ca="1" si="86"/>
        <v>—</v>
      </c>
      <c r="E1829" s="16">
        <f t="shared" ca="1" si="87"/>
        <v>7</v>
      </c>
    </row>
    <row r="1830" spans="1:5" x14ac:dyDescent="0.25">
      <c r="A1830" s="3">
        <f t="shared" si="85"/>
        <v>78989</v>
      </c>
      <c r="B1830" t="str">
        <f ca="1">TEXT(DATE(YEAR(Invoer!$A$5),1,1)+INT((ROWS(B$2:B1830)-1)/24),"""18""jjmmdd")</f>
        <v>18980318</v>
      </c>
      <c r="C1830" s="11" t="str">
        <f>INDEX(Data,2,2+MOD(ROWS(C$2:C1830)-1,24))</f>
        <v>05.00</v>
      </c>
      <c r="D1830" s="8" t="str">
        <f t="shared" ca="1" si="86"/>
        <v>—</v>
      </c>
      <c r="E1830" s="16">
        <f t="shared" ca="1" si="87"/>
        <v>7</v>
      </c>
    </row>
    <row r="1831" spans="1:5" x14ac:dyDescent="0.25">
      <c r="A1831" s="3">
        <f t="shared" si="85"/>
        <v>78989</v>
      </c>
      <c r="B1831" t="str">
        <f ca="1">TEXT(DATE(YEAR(Invoer!$A$5),1,1)+INT((ROWS(B$2:B1831)-1)/24),"""18""jjmmdd")</f>
        <v>18980318</v>
      </c>
      <c r="C1831" s="11" t="str">
        <f>INDEX(Data,2,2+MOD(ROWS(C$2:C1831)-1,24))</f>
        <v>06.00</v>
      </c>
      <c r="D1831" s="8" t="str">
        <f t="shared" ca="1" si="86"/>
        <v>—</v>
      </c>
      <c r="E1831" s="16">
        <f t="shared" ca="1" si="87"/>
        <v>7</v>
      </c>
    </row>
    <row r="1832" spans="1:5" x14ac:dyDescent="0.25">
      <c r="A1832" s="3">
        <f t="shared" si="85"/>
        <v>78989</v>
      </c>
      <c r="B1832" t="str">
        <f ca="1">TEXT(DATE(YEAR(Invoer!$A$5),1,1)+INT((ROWS(B$2:B1832)-1)/24),"""18""jjmmdd")</f>
        <v>18980318</v>
      </c>
      <c r="C1832" s="11" t="str">
        <f>INDEX(Data,2,2+MOD(ROWS(C$2:C1832)-1,24))</f>
        <v>07.00</v>
      </c>
      <c r="D1832" s="8" t="str">
        <f t="shared" ca="1" si="86"/>
        <v>—</v>
      </c>
      <c r="E1832" s="16">
        <f t="shared" ca="1" si="87"/>
        <v>7</v>
      </c>
    </row>
    <row r="1833" spans="1:5" x14ac:dyDescent="0.25">
      <c r="A1833" s="3">
        <f t="shared" si="85"/>
        <v>78989</v>
      </c>
      <c r="B1833" t="str">
        <f ca="1">TEXT(DATE(YEAR(Invoer!$A$5),1,1)+INT((ROWS(B$2:B1833)-1)/24),"""18""jjmmdd")</f>
        <v>18980318</v>
      </c>
      <c r="C1833" s="11" t="str">
        <f>INDEX(Data,2,2+MOD(ROWS(C$2:C1833)-1,24))</f>
        <v>08.00</v>
      </c>
      <c r="D1833" s="8" t="str">
        <f t="shared" ca="1" si="86"/>
        <v>—</v>
      </c>
      <c r="E1833" s="16">
        <f t="shared" ca="1" si="87"/>
        <v>7</v>
      </c>
    </row>
    <row r="1834" spans="1:5" x14ac:dyDescent="0.25">
      <c r="A1834" s="3">
        <f t="shared" si="85"/>
        <v>78989</v>
      </c>
      <c r="B1834" t="str">
        <f ca="1">TEXT(DATE(YEAR(Invoer!$A$5),1,1)+INT((ROWS(B$2:B1834)-1)/24),"""18""jjmmdd")</f>
        <v>18980318</v>
      </c>
      <c r="C1834" s="11" t="str">
        <f>INDEX(Data,2,2+MOD(ROWS(C$2:C1834)-1,24))</f>
        <v>09.00</v>
      </c>
      <c r="D1834" s="8" t="str">
        <f t="shared" ca="1" si="86"/>
        <v>—</v>
      </c>
      <c r="E1834" s="16">
        <f t="shared" ca="1" si="87"/>
        <v>7</v>
      </c>
    </row>
    <row r="1835" spans="1:5" x14ac:dyDescent="0.25">
      <c r="A1835" s="3">
        <f t="shared" si="85"/>
        <v>78989</v>
      </c>
      <c r="B1835" t="str">
        <f ca="1">TEXT(DATE(YEAR(Invoer!$A$5),1,1)+INT((ROWS(B$2:B1835)-1)/24),"""18""jjmmdd")</f>
        <v>18980318</v>
      </c>
      <c r="C1835" s="11" t="str">
        <f>INDEX(Data,2,2+MOD(ROWS(C$2:C1835)-1,24))</f>
        <v>10.00</v>
      </c>
      <c r="D1835" s="8" t="str">
        <f t="shared" ca="1" si="86"/>
        <v>—</v>
      </c>
      <c r="E1835" s="16">
        <f t="shared" ca="1" si="87"/>
        <v>7</v>
      </c>
    </row>
    <row r="1836" spans="1:5" x14ac:dyDescent="0.25">
      <c r="A1836" s="3">
        <f t="shared" si="85"/>
        <v>78989</v>
      </c>
      <c r="B1836" t="str">
        <f ca="1">TEXT(DATE(YEAR(Invoer!$A$5),1,1)+INT((ROWS(B$2:B1836)-1)/24),"""18""jjmmdd")</f>
        <v>18980318</v>
      </c>
      <c r="C1836" s="11" t="str">
        <f>INDEX(Data,2,2+MOD(ROWS(C$2:C1836)-1,24))</f>
        <v>11.00</v>
      </c>
      <c r="D1836" s="8" t="str">
        <f t="shared" ca="1" si="86"/>
        <v>—</v>
      </c>
      <c r="E1836" s="16">
        <f t="shared" ca="1" si="87"/>
        <v>7</v>
      </c>
    </row>
    <row r="1837" spans="1:5" x14ac:dyDescent="0.25">
      <c r="A1837" s="3">
        <f t="shared" si="85"/>
        <v>78989</v>
      </c>
      <c r="B1837" t="str">
        <f ca="1">TEXT(DATE(YEAR(Invoer!$A$5),1,1)+INT((ROWS(B$2:B1837)-1)/24),"""18""jjmmdd")</f>
        <v>18980318</v>
      </c>
      <c r="C1837" s="11" t="str">
        <f>INDEX(Data,2,2+MOD(ROWS(C$2:C1837)-1,24))</f>
        <v>12.00</v>
      </c>
      <c r="D1837" s="8" t="str">
        <f t="shared" ca="1" si="86"/>
        <v>—</v>
      </c>
      <c r="E1837" s="16">
        <f t="shared" ca="1" si="87"/>
        <v>7</v>
      </c>
    </row>
    <row r="1838" spans="1:5" x14ac:dyDescent="0.25">
      <c r="A1838" s="3">
        <f t="shared" si="85"/>
        <v>78989</v>
      </c>
      <c r="B1838" t="str">
        <f ca="1">TEXT(DATE(YEAR(Invoer!$A$5),1,1)+INT((ROWS(B$2:B1838)-1)/24),"""18""jjmmdd")</f>
        <v>18980318</v>
      </c>
      <c r="C1838" s="11" t="str">
        <f>INDEX(Data,2,2+MOD(ROWS(C$2:C1838)-1,24))</f>
        <v>13.00</v>
      </c>
      <c r="D1838" s="8" t="str">
        <f t="shared" ca="1" si="86"/>
        <v>—</v>
      </c>
      <c r="E1838" s="16">
        <f t="shared" ca="1" si="87"/>
        <v>7</v>
      </c>
    </row>
    <row r="1839" spans="1:5" x14ac:dyDescent="0.25">
      <c r="A1839" s="3">
        <f t="shared" si="85"/>
        <v>78989</v>
      </c>
      <c r="B1839" t="str">
        <f ca="1">TEXT(DATE(YEAR(Invoer!$A$5),1,1)+INT((ROWS(B$2:B1839)-1)/24),"""18""jjmmdd")</f>
        <v>18980318</v>
      </c>
      <c r="C1839" s="11" t="str">
        <f>INDEX(Data,2,2+MOD(ROWS(C$2:C1839)-1,24))</f>
        <v>14.00</v>
      </c>
      <c r="D1839" s="8" t="str">
        <f t="shared" ca="1" si="86"/>
        <v>—</v>
      </c>
      <c r="E1839" s="16">
        <f t="shared" ca="1" si="87"/>
        <v>7</v>
      </c>
    </row>
    <row r="1840" spans="1:5" x14ac:dyDescent="0.25">
      <c r="A1840" s="3">
        <f t="shared" si="85"/>
        <v>78989</v>
      </c>
      <c r="B1840" t="str">
        <f ca="1">TEXT(DATE(YEAR(Invoer!$A$5),1,1)+INT((ROWS(B$2:B1840)-1)/24),"""18""jjmmdd")</f>
        <v>18980318</v>
      </c>
      <c r="C1840" s="11" t="str">
        <f>INDEX(Data,2,2+MOD(ROWS(C$2:C1840)-1,24))</f>
        <v>15.00</v>
      </c>
      <c r="D1840" s="8" t="str">
        <f t="shared" ca="1" si="86"/>
        <v>—</v>
      </c>
      <c r="E1840" s="16">
        <f t="shared" ca="1" si="87"/>
        <v>7</v>
      </c>
    </row>
    <row r="1841" spans="1:5" x14ac:dyDescent="0.25">
      <c r="A1841" s="3">
        <f t="shared" si="85"/>
        <v>78989</v>
      </c>
      <c r="B1841" t="str">
        <f ca="1">TEXT(DATE(YEAR(Invoer!$A$5),1,1)+INT((ROWS(B$2:B1841)-1)/24),"""18""jjmmdd")</f>
        <v>18980318</v>
      </c>
      <c r="C1841" s="11" t="str">
        <f>INDEX(Data,2,2+MOD(ROWS(C$2:C1841)-1,24))</f>
        <v>16.00</v>
      </c>
      <c r="D1841" s="8" t="str">
        <f t="shared" ca="1" si="86"/>
        <v>—</v>
      </c>
      <c r="E1841" s="16">
        <f t="shared" ca="1" si="87"/>
        <v>7</v>
      </c>
    </row>
    <row r="1842" spans="1:5" x14ac:dyDescent="0.25">
      <c r="A1842" s="3">
        <f t="shared" si="85"/>
        <v>78989</v>
      </c>
      <c r="B1842" t="str">
        <f ca="1">TEXT(DATE(YEAR(Invoer!$A$5),1,1)+INT((ROWS(B$2:B1842)-1)/24),"""18""jjmmdd")</f>
        <v>18980318</v>
      </c>
      <c r="C1842" s="11" t="str">
        <f>INDEX(Data,2,2+MOD(ROWS(C$2:C1842)-1,24))</f>
        <v>17.00</v>
      </c>
      <c r="D1842" s="8" t="str">
        <f t="shared" ca="1" si="86"/>
        <v>—</v>
      </c>
      <c r="E1842" s="16">
        <f t="shared" ca="1" si="87"/>
        <v>7</v>
      </c>
    </row>
    <row r="1843" spans="1:5" x14ac:dyDescent="0.25">
      <c r="A1843" s="3">
        <f t="shared" si="85"/>
        <v>78989</v>
      </c>
      <c r="B1843" t="str">
        <f ca="1">TEXT(DATE(YEAR(Invoer!$A$5),1,1)+INT((ROWS(B$2:B1843)-1)/24),"""18""jjmmdd")</f>
        <v>18980318</v>
      </c>
      <c r="C1843" s="11" t="str">
        <f>INDEX(Data,2,2+MOD(ROWS(C$2:C1843)-1,24))</f>
        <v>18.00</v>
      </c>
      <c r="D1843" s="8" t="str">
        <f t="shared" ca="1" si="86"/>
        <v>—</v>
      </c>
      <c r="E1843" s="16">
        <f t="shared" ca="1" si="87"/>
        <v>7</v>
      </c>
    </row>
    <row r="1844" spans="1:5" x14ac:dyDescent="0.25">
      <c r="A1844" s="3">
        <f t="shared" si="85"/>
        <v>78989</v>
      </c>
      <c r="B1844" t="str">
        <f ca="1">TEXT(DATE(YEAR(Invoer!$A$5),1,1)+INT((ROWS(B$2:B1844)-1)/24),"""18""jjmmdd")</f>
        <v>18980318</v>
      </c>
      <c r="C1844" s="11" t="str">
        <f>INDEX(Data,2,2+MOD(ROWS(C$2:C1844)-1,24))</f>
        <v>19.00</v>
      </c>
      <c r="D1844" s="8" t="str">
        <f t="shared" ca="1" si="86"/>
        <v>—</v>
      </c>
      <c r="E1844" s="16">
        <f t="shared" ca="1" si="87"/>
        <v>7</v>
      </c>
    </row>
    <row r="1845" spans="1:5" x14ac:dyDescent="0.25">
      <c r="A1845" s="3">
        <f t="shared" si="85"/>
        <v>78989</v>
      </c>
      <c r="B1845" t="str">
        <f ca="1">TEXT(DATE(YEAR(Invoer!$A$5),1,1)+INT((ROWS(B$2:B1845)-1)/24),"""18""jjmmdd")</f>
        <v>18980318</v>
      </c>
      <c r="C1845" s="11" t="str">
        <f>INDEX(Data,2,2+MOD(ROWS(C$2:C1845)-1,24))</f>
        <v>20.00</v>
      </c>
      <c r="D1845" s="8" t="str">
        <f t="shared" ca="1" si="86"/>
        <v>—</v>
      </c>
      <c r="E1845" s="16">
        <f t="shared" ca="1" si="87"/>
        <v>7</v>
      </c>
    </row>
    <row r="1846" spans="1:5" x14ac:dyDescent="0.25">
      <c r="A1846" s="3">
        <f t="shared" si="85"/>
        <v>78989</v>
      </c>
      <c r="B1846" t="str">
        <f ca="1">TEXT(DATE(YEAR(Invoer!$A$5),1,1)+INT((ROWS(B$2:B1846)-1)/24),"""18""jjmmdd")</f>
        <v>18980318</v>
      </c>
      <c r="C1846" s="11" t="str">
        <f>INDEX(Data,2,2+MOD(ROWS(C$2:C1846)-1,24))</f>
        <v>21.00</v>
      </c>
      <c r="D1846" s="8" t="str">
        <f t="shared" ca="1" si="86"/>
        <v>—</v>
      </c>
      <c r="E1846" s="16">
        <f t="shared" ca="1" si="87"/>
        <v>7</v>
      </c>
    </row>
    <row r="1847" spans="1:5" x14ac:dyDescent="0.25">
      <c r="A1847" s="3">
        <f t="shared" si="85"/>
        <v>78989</v>
      </c>
      <c r="B1847" t="str">
        <f ca="1">TEXT(DATE(YEAR(Invoer!$A$5),1,1)+INT((ROWS(B$2:B1847)-1)/24),"""18""jjmmdd")</f>
        <v>18980318</v>
      </c>
      <c r="C1847" s="11" t="str">
        <f>INDEX(Data,2,2+MOD(ROWS(C$2:C1847)-1,24))</f>
        <v>22.00</v>
      </c>
      <c r="D1847" s="8" t="str">
        <f t="shared" ca="1" si="86"/>
        <v>—</v>
      </c>
      <c r="E1847" s="16">
        <f t="shared" ca="1" si="87"/>
        <v>7</v>
      </c>
    </row>
    <row r="1848" spans="1:5" x14ac:dyDescent="0.25">
      <c r="A1848" s="3">
        <f t="shared" si="85"/>
        <v>78989</v>
      </c>
      <c r="B1848" t="str">
        <f ca="1">TEXT(DATE(YEAR(Invoer!$A$5),1,1)+INT((ROWS(B$2:B1848)-1)/24),"""18""jjmmdd")</f>
        <v>18980318</v>
      </c>
      <c r="C1848" s="11" t="str">
        <f>INDEX(Data,2,2+MOD(ROWS(C$2:C1848)-1,24))</f>
        <v>23.00</v>
      </c>
      <c r="D1848" s="8" t="str">
        <f t="shared" ca="1" si="86"/>
        <v>—</v>
      </c>
      <c r="E1848" s="16">
        <f t="shared" ca="1" si="87"/>
        <v>7</v>
      </c>
    </row>
    <row r="1849" spans="1:5" x14ac:dyDescent="0.25">
      <c r="A1849" s="3">
        <f t="shared" si="85"/>
        <v>78989</v>
      </c>
      <c r="B1849" t="str">
        <f ca="1">TEXT(DATE(YEAR(Invoer!$A$5),1,1)+INT((ROWS(B$2:B1849)-1)/24),"""18""jjmmdd")</f>
        <v>18980318</v>
      </c>
      <c r="C1849" s="11" t="str">
        <f>INDEX(Data,2,2+MOD(ROWS(C$2:C1849)-1,24))</f>
        <v>24.00</v>
      </c>
      <c r="D1849" s="8" t="str">
        <f t="shared" ca="1" si="86"/>
        <v>—</v>
      </c>
      <c r="E1849" s="16">
        <f t="shared" ca="1" si="87"/>
        <v>7</v>
      </c>
    </row>
    <row r="1850" spans="1:5" x14ac:dyDescent="0.25">
      <c r="A1850" s="3">
        <f t="shared" si="85"/>
        <v>78989</v>
      </c>
      <c r="B1850" t="str">
        <f ca="1">TEXT(DATE(YEAR(Invoer!$A$5),1,1)+INT((ROWS(B$2:B1850)-1)/24),"""18""jjmmdd")</f>
        <v>18980319</v>
      </c>
      <c r="C1850" s="11" t="str">
        <f>INDEX(Data,2,2+MOD(ROWS(C$2:C1850)-1,24))</f>
        <v>01.00</v>
      </c>
      <c r="D1850" s="8" t="str">
        <f t="shared" ca="1" si="86"/>
        <v>—</v>
      </c>
      <c r="E1850" s="16">
        <f t="shared" ca="1" si="87"/>
        <v>7</v>
      </c>
    </row>
    <row r="1851" spans="1:5" x14ac:dyDescent="0.25">
      <c r="A1851" s="3">
        <f t="shared" si="85"/>
        <v>78989</v>
      </c>
      <c r="B1851" t="str">
        <f ca="1">TEXT(DATE(YEAR(Invoer!$A$5),1,1)+INT((ROWS(B$2:B1851)-1)/24),"""18""jjmmdd")</f>
        <v>18980319</v>
      </c>
      <c r="C1851" s="11" t="str">
        <f>INDEX(Data,2,2+MOD(ROWS(C$2:C1851)-1,24))</f>
        <v>02.00</v>
      </c>
      <c r="D1851" s="8" t="str">
        <f t="shared" ca="1" si="86"/>
        <v>—</v>
      </c>
      <c r="E1851" s="16">
        <f t="shared" ca="1" si="87"/>
        <v>7</v>
      </c>
    </row>
    <row r="1852" spans="1:5" x14ac:dyDescent="0.25">
      <c r="A1852" s="3">
        <f t="shared" si="85"/>
        <v>78989</v>
      </c>
      <c r="B1852" t="str">
        <f ca="1">TEXT(DATE(YEAR(Invoer!$A$5),1,1)+INT((ROWS(B$2:B1852)-1)/24),"""18""jjmmdd")</f>
        <v>18980319</v>
      </c>
      <c r="C1852" s="11" t="str">
        <f>INDEX(Data,2,2+MOD(ROWS(C$2:C1852)-1,24))</f>
        <v>03.00</v>
      </c>
      <c r="D1852" s="8" t="str">
        <f t="shared" ca="1" si="86"/>
        <v>—</v>
      </c>
      <c r="E1852" s="16">
        <f t="shared" ca="1" si="87"/>
        <v>7</v>
      </c>
    </row>
    <row r="1853" spans="1:5" x14ac:dyDescent="0.25">
      <c r="A1853" s="3">
        <f t="shared" si="85"/>
        <v>78989</v>
      </c>
      <c r="B1853" t="str">
        <f ca="1">TEXT(DATE(YEAR(Invoer!$A$5),1,1)+INT((ROWS(B$2:B1853)-1)/24),"""18""jjmmdd")</f>
        <v>18980319</v>
      </c>
      <c r="C1853" s="11" t="str">
        <f>INDEX(Data,2,2+MOD(ROWS(C$2:C1853)-1,24))</f>
        <v>04.00</v>
      </c>
      <c r="D1853" s="8" t="str">
        <f t="shared" ca="1" si="86"/>
        <v>—</v>
      </c>
      <c r="E1853" s="16">
        <f t="shared" ca="1" si="87"/>
        <v>7</v>
      </c>
    </row>
    <row r="1854" spans="1:5" x14ac:dyDescent="0.25">
      <c r="A1854" s="3">
        <f t="shared" si="85"/>
        <v>78989</v>
      </c>
      <c r="B1854" t="str">
        <f ca="1">TEXT(DATE(YEAR(Invoer!$A$5),1,1)+INT((ROWS(B$2:B1854)-1)/24),"""18""jjmmdd")</f>
        <v>18980319</v>
      </c>
      <c r="C1854" s="11" t="str">
        <f>INDEX(Data,2,2+MOD(ROWS(C$2:C1854)-1,24))</f>
        <v>05.00</v>
      </c>
      <c r="D1854" s="8" t="str">
        <f t="shared" ca="1" si="86"/>
        <v>—</v>
      </c>
      <c r="E1854" s="16">
        <f t="shared" ca="1" si="87"/>
        <v>7</v>
      </c>
    </row>
    <row r="1855" spans="1:5" x14ac:dyDescent="0.25">
      <c r="A1855" s="3">
        <f t="shared" si="85"/>
        <v>78989</v>
      </c>
      <c r="B1855" t="str">
        <f ca="1">TEXT(DATE(YEAR(Invoer!$A$5),1,1)+INT((ROWS(B$2:B1855)-1)/24),"""18""jjmmdd")</f>
        <v>18980319</v>
      </c>
      <c r="C1855" s="11" t="str">
        <f>INDEX(Data,2,2+MOD(ROWS(C$2:C1855)-1,24))</f>
        <v>06.00</v>
      </c>
      <c r="D1855" s="8" t="str">
        <f t="shared" ca="1" si="86"/>
        <v>—</v>
      </c>
      <c r="E1855" s="16">
        <f t="shared" ca="1" si="87"/>
        <v>7</v>
      </c>
    </row>
    <row r="1856" spans="1:5" x14ac:dyDescent="0.25">
      <c r="A1856" s="3">
        <f t="shared" si="85"/>
        <v>78989</v>
      </c>
      <c r="B1856" t="str">
        <f ca="1">TEXT(DATE(YEAR(Invoer!$A$5),1,1)+INT((ROWS(B$2:B1856)-1)/24),"""18""jjmmdd")</f>
        <v>18980319</v>
      </c>
      <c r="C1856" s="11" t="str">
        <f>INDEX(Data,2,2+MOD(ROWS(C$2:C1856)-1,24))</f>
        <v>07.00</v>
      </c>
      <c r="D1856" s="8" t="str">
        <f t="shared" ca="1" si="86"/>
        <v>—</v>
      </c>
      <c r="E1856" s="16">
        <f t="shared" ca="1" si="87"/>
        <v>7</v>
      </c>
    </row>
    <row r="1857" spans="1:5" x14ac:dyDescent="0.25">
      <c r="A1857" s="3">
        <f t="shared" si="85"/>
        <v>78989</v>
      </c>
      <c r="B1857" t="str">
        <f ca="1">TEXT(DATE(YEAR(Invoer!$A$5),1,1)+INT((ROWS(B$2:B1857)-1)/24),"""18""jjmmdd")</f>
        <v>18980319</v>
      </c>
      <c r="C1857" s="11" t="str">
        <f>INDEX(Data,2,2+MOD(ROWS(C$2:C1857)-1,24))</f>
        <v>08.00</v>
      </c>
      <c r="D1857" s="8" t="str">
        <f t="shared" ca="1" si="86"/>
        <v>—</v>
      </c>
      <c r="E1857" s="16">
        <f t="shared" ca="1" si="87"/>
        <v>7</v>
      </c>
    </row>
    <row r="1858" spans="1:5" x14ac:dyDescent="0.25">
      <c r="A1858" s="3">
        <f t="shared" ref="A1858:A1921" si="88">INDEX(Stations,2,1)</f>
        <v>78989</v>
      </c>
      <c r="B1858" t="str">
        <f ca="1">TEXT(DATE(YEAR(Invoer!$A$5),1,1)+INT((ROWS(B$2:B1858)-1)/24),"""18""jjmmdd")</f>
        <v>18980319</v>
      </c>
      <c r="C1858" s="11" t="str">
        <f>INDEX(Data,2,2+MOD(ROWS(C$2:C1858)-1,24))</f>
        <v>09.00</v>
      </c>
      <c r="D1858" s="8" t="str">
        <f t="shared" ref="D1858:D1921" ca="1" si="89">IF(OR(ISBLANK(VLOOKUP(DATEVALUE("37"&amp;MID($B1858,3,2)&amp;"-"&amp;MID($B1858,5,2)&amp;"-"&amp;RIGHT($B1858,2)),Data,MATCH(LEFT(VLOOKUP(D$1,Parameters,2,FALSE()),4)&amp;"*",OFFSET(Data,0,0,1),0)+MATCH($C1858,OFFSET(Data,1,0,1),0)-2,FALSE())),ISTEXT(VLOOKUP(DATEVALUE("37"&amp;MID($B1858,3,2)&amp;"-"&amp;MID($B1858,5,2)&amp;"-"&amp;RIGHT($B1858,2)),Data,MATCH(LEFT(VLOOKUP(D$1,Parameters,2,FALSE()),4)&amp;"*",OFFSET(Data,0,0,1),0)+MATCH($C1858,OFFSET(Data,1,0,1),0)-2,FALSE()))),"—",VLOOKUP(DATEVALUE("37"&amp;MID($B1858,3,2)&amp;"-"&amp;MID($B1858,5,2)&amp;"-"&amp;RIGHT($B1858,2)),Data,MATCH(LEFT(VLOOKUP(D$1,Parameters,2,FALSE()),4)&amp;"*",OFFSET(Data,0,0,1),0)+MATCH($C1858,OFFSET(Data,1,0,1),0)-2,FALSE()))</f>
        <v>—</v>
      </c>
      <c r="E1858" s="16">
        <f t="shared" ca="1" si="87"/>
        <v>7</v>
      </c>
    </row>
    <row r="1859" spans="1:5" x14ac:dyDescent="0.25">
      <c r="A1859" s="3">
        <f t="shared" si="88"/>
        <v>78989</v>
      </c>
      <c r="B1859" t="str">
        <f ca="1">TEXT(DATE(YEAR(Invoer!$A$5),1,1)+INT((ROWS(B$2:B1859)-1)/24),"""18""jjmmdd")</f>
        <v>18980319</v>
      </c>
      <c r="C1859" s="11" t="str">
        <f>INDEX(Data,2,2+MOD(ROWS(C$2:C1859)-1,24))</f>
        <v>10.00</v>
      </c>
      <c r="D1859" s="8" t="str">
        <f t="shared" ca="1" si="89"/>
        <v>—</v>
      </c>
      <c r="E1859" s="16">
        <f t="shared" ref="E1859:E1922" ca="1" si="90">IF(OR(ISBLANK(VLOOKUP(DATEVALUE("37"&amp;MID($B1859,3,2)&amp;"-"&amp;MID($B1859,5,2)&amp;"-"&amp;RIGHT($B1859,2)),Data,MATCH(LEFT(VLOOKUP(D$1,Parameters,2,FALSE()),4)&amp;"*",OFFSET(Data,0,0,1),0)+MATCH($C1859,OFFSET(Data,1,0,1),0)-2,FALSE())),ISTEXT(VLOOKUP(DATEVALUE("37"&amp;MID($B1859,3,2)&amp;"-"&amp;MID($B1859,5,2)&amp;"-"&amp;RIGHT($B1859,2)),Data,MATCH(LEFT(VLOOKUP(D$1,Parameters,2,FALSE()),4)&amp;"*",OFFSET(Data,0,0,1),0)+MATCH($C1859,OFFSET(Data,1,0,1),0)-2,FALSE()))),Lacking,IF(ISNA(MATCH(DATEVALUE("37"&amp;MID($B1859,3,2)&amp;"-"&amp;MID($B1859,5,2)&amp;"-"&amp;RIGHT($B1859,2)),OFFSET(Catalogus,0,0,,1),0)),Ok,VLOOKUP(DATEVALUE("37"&amp;MID($B1859,3,2)&amp;"-"&amp;MID($B1859,5,2)&amp;"-"&amp;RIGHT($B1859,2)),Catalogus,MATCH(LEFT(VLOOKUP(MID(E$1,2,LEN(E$1)-1),Parameters,2,FALSE()),4)&amp;"*",OFFSET(Catalogus,0,0,1),0)+MATCH($C1859,OFFSET(Catalogus,1,0,1),0)-2,FALSE())))</f>
        <v>7</v>
      </c>
    </row>
    <row r="1860" spans="1:5" x14ac:dyDescent="0.25">
      <c r="A1860" s="3">
        <f t="shared" si="88"/>
        <v>78989</v>
      </c>
      <c r="B1860" t="str">
        <f ca="1">TEXT(DATE(YEAR(Invoer!$A$5),1,1)+INT((ROWS(B$2:B1860)-1)/24),"""18""jjmmdd")</f>
        <v>18980319</v>
      </c>
      <c r="C1860" s="11" t="str">
        <f>INDEX(Data,2,2+MOD(ROWS(C$2:C1860)-1,24))</f>
        <v>11.00</v>
      </c>
      <c r="D1860" s="8" t="str">
        <f t="shared" ca="1" si="89"/>
        <v>—</v>
      </c>
      <c r="E1860" s="16">
        <f t="shared" ca="1" si="90"/>
        <v>7</v>
      </c>
    </row>
    <row r="1861" spans="1:5" x14ac:dyDescent="0.25">
      <c r="A1861" s="3">
        <f t="shared" si="88"/>
        <v>78989</v>
      </c>
      <c r="B1861" t="str">
        <f ca="1">TEXT(DATE(YEAR(Invoer!$A$5),1,1)+INT((ROWS(B$2:B1861)-1)/24),"""18""jjmmdd")</f>
        <v>18980319</v>
      </c>
      <c r="C1861" s="11" t="str">
        <f>INDEX(Data,2,2+MOD(ROWS(C$2:C1861)-1,24))</f>
        <v>12.00</v>
      </c>
      <c r="D1861" s="8" t="str">
        <f t="shared" ca="1" si="89"/>
        <v>—</v>
      </c>
      <c r="E1861" s="16">
        <f t="shared" ca="1" si="90"/>
        <v>7</v>
      </c>
    </row>
    <row r="1862" spans="1:5" x14ac:dyDescent="0.25">
      <c r="A1862" s="3">
        <f t="shared" si="88"/>
        <v>78989</v>
      </c>
      <c r="B1862" t="str">
        <f ca="1">TEXT(DATE(YEAR(Invoer!$A$5),1,1)+INT((ROWS(B$2:B1862)-1)/24),"""18""jjmmdd")</f>
        <v>18980319</v>
      </c>
      <c r="C1862" s="11" t="str">
        <f>INDEX(Data,2,2+MOD(ROWS(C$2:C1862)-1,24))</f>
        <v>13.00</v>
      </c>
      <c r="D1862" s="8" t="str">
        <f t="shared" ca="1" si="89"/>
        <v>—</v>
      </c>
      <c r="E1862" s="16">
        <f t="shared" ca="1" si="90"/>
        <v>7</v>
      </c>
    </row>
    <row r="1863" spans="1:5" x14ac:dyDescent="0.25">
      <c r="A1863" s="3">
        <f t="shared" si="88"/>
        <v>78989</v>
      </c>
      <c r="B1863" t="str">
        <f ca="1">TEXT(DATE(YEAR(Invoer!$A$5),1,1)+INT((ROWS(B$2:B1863)-1)/24),"""18""jjmmdd")</f>
        <v>18980319</v>
      </c>
      <c r="C1863" s="11" t="str">
        <f>INDEX(Data,2,2+MOD(ROWS(C$2:C1863)-1,24))</f>
        <v>14.00</v>
      </c>
      <c r="D1863" s="8" t="str">
        <f t="shared" ca="1" si="89"/>
        <v>—</v>
      </c>
      <c r="E1863" s="16">
        <f t="shared" ca="1" si="90"/>
        <v>7</v>
      </c>
    </row>
    <row r="1864" spans="1:5" x14ac:dyDescent="0.25">
      <c r="A1864" s="3">
        <f t="shared" si="88"/>
        <v>78989</v>
      </c>
      <c r="B1864" t="str">
        <f ca="1">TEXT(DATE(YEAR(Invoer!$A$5),1,1)+INT((ROWS(B$2:B1864)-1)/24),"""18""jjmmdd")</f>
        <v>18980319</v>
      </c>
      <c r="C1864" s="11" t="str">
        <f>INDEX(Data,2,2+MOD(ROWS(C$2:C1864)-1,24))</f>
        <v>15.00</v>
      </c>
      <c r="D1864" s="8" t="str">
        <f t="shared" ca="1" si="89"/>
        <v>—</v>
      </c>
      <c r="E1864" s="16">
        <f t="shared" ca="1" si="90"/>
        <v>7</v>
      </c>
    </row>
    <row r="1865" spans="1:5" x14ac:dyDescent="0.25">
      <c r="A1865" s="3">
        <f t="shared" si="88"/>
        <v>78989</v>
      </c>
      <c r="B1865" t="str">
        <f ca="1">TEXT(DATE(YEAR(Invoer!$A$5),1,1)+INT((ROWS(B$2:B1865)-1)/24),"""18""jjmmdd")</f>
        <v>18980319</v>
      </c>
      <c r="C1865" s="11" t="str">
        <f>INDEX(Data,2,2+MOD(ROWS(C$2:C1865)-1,24))</f>
        <v>16.00</v>
      </c>
      <c r="D1865" s="8" t="str">
        <f t="shared" ca="1" si="89"/>
        <v>—</v>
      </c>
      <c r="E1865" s="16">
        <f t="shared" ca="1" si="90"/>
        <v>7</v>
      </c>
    </row>
    <row r="1866" spans="1:5" x14ac:dyDescent="0.25">
      <c r="A1866" s="3">
        <f t="shared" si="88"/>
        <v>78989</v>
      </c>
      <c r="B1866" t="str">
        <f ca="1">TEXT(DATE(YEAR(Invoer!$A$5),1,1)+INT((ROWS(B$2:B1866)-1)/24),"""18""jjmmdd")</f>
        <v>18980319</v>
      </c>
      <c r="C1866" s="11" t="str">
        <f>INDEX(Data,2,2+MOD(ROWS(C$2:C1866)-1,24))</f>
        <v>17.00</v>
      </c>
      <c r="D1866" s="8" t="str">
        <f t="shared" ca="1" si="89"/>
        <v>—</v>
      </c>
      <c r="E1866" s="16">
        <f t="shared" ca="1" si="90"/>
        <v>7</v>
      </c>
    </row>
    <row r="1867" spans="1:5" x14ac:dyDescent="0.25">
      <c r="A1867" s="3">
        <f t="shared" si="88"/>
        <v>78989</v>
      </c>
      <c r="B1867" t="str">
        <f ca="1">TEXT(DATE(YEAR(Invoer!$A$5),1,1)+INT((ROWS(B$2:B1867)-1)/24),"""18""jjmmdd")</f>
        <v>18980319</v>
      </c>
      <c r="C1867" s="11" t="str">
        <f>INDEX(Data,2,2+MOD(ROWS(C$2:C1867)-1,24))</f>
        <v>18.00</v>
      </c>
      <c r="D1867" s="8" t="str">
        <f t="shared" ca="1" si="89"/>
        <v>—</v>
      </c>
      <c r="E1867" s="16">
        <f t="shared" ca="1" si="90"/>
        <v>7</v>
      </c>
    </row>
    <row r="1868" spans="1:5" x14ac:dyDescent="0.25">
      <c r="A1868" s="3">
        <f t="shared" si="88"/>
        <v>78989</v>
      </c>
      <c r="B1868" t="str">
        <f ca="1">TEXT(DATE(YEAR(Invoer!$A$5),1,1)+INT((ROWS(B$2:B1868)-1)/24),"""18""jjmmdd")</f>
        <v>18980319</v>
      </c>
      <c r="C1868" s="11" t="str">
        <f>INDEX(Data,2,2+MOD(ROWS(C$2:C1868)-1,24))</f>
        <v>19.00</v>
      </c>
      <c r="D1868" s="8" t="str">
        <f t="shared" ca="1" si="89"/>
        <v>—</v>
      </c>
      <c r="E1868" s="16">
        <f t="shared" ca="1" si="90"/>
        <v>7</v>
      </c>
    </row>
    <row r="1869" spans="1:5" x14ac:dyDescent="0.25">
      <c r="A1869" s="3">
        <f t="shared" si="88"/>
        <v>78989</v>
      </c>
      <c r="B1869" t="str">
        <f ca="1">TEXT(DATE(YEAR(Invoer!$A$5),1,1)+INT((ROWS(B$2:B1869)-1)/24),"""18""jjmmdd")</f>
        <v>18980319</v>
      </c>
      <c r="C1869" s="11" t="str">
        <f>INDEX(Data,2,2+MOD(ROWS(C$2:C1869)-1,24))</f>
        <v>20.00</v>
      </c>
      <c r="D1869" s="8" t="str">
        <f t="shared" ca="1" si="89"/>
        <v>—</v>
      </c>
      <c r="E1869" s="16">
        <f t="shared" ca="1" si="90"/>
        <v>7</v>
      </c>
    </row>
    <row r="1870" spans="1:5" x14ac:dyDescent="0.25">
      <c r="A1870" s="3">
        <f t="shared" si="88"/>
        <v>78989</v>
      </c>
      <c r="B1870" t="str">
        <f ca="1">TEXT(DATE(YEAR(Invoer!$A$5),1,1)+INT((ROWS(B$2:B1870)-1)/24),"""18""jjmmdd")</f>
        <v>18980319</v>
      </c>
      <c r="C1870" s="11" t="str">
        <f>INDEX(Data,2,2+MOD(ROWS(C$2:C1870)-1,24))</f>
        <v>21.00</v>
      </c>
      <c r="D1870" s="8" t="str">
        <f t="shared" ca="1" si="89"/>
        <v>—</v>
      </c>
      <c r="E1870" s="16">
        <f t="shared" ca="1" si="90"/>
        <v>7</v>
      </c>
    </row>
    <row r="1871" spans="1:5" x14ac:dyDescent="0.25">
      <c r="A1871" s="3">
        <f t="shared" si="88"/>
        <v>78989</v>
      </c>
      <c r="B1871" t="str">
        <f ca="1">TEXT(DATE(YEAR(Invoer!$A$5),1,1)+INT((ROWS(B$2:B1871)-1)/24),"""18""jjmmdd")</f>
        <v>18980319</v>
      </c>
      <c r="C1871" s="11" t="str">
        <f>INDEX(Data,2,2+MOD(ROWS(C$2:C1871)-1,24))</f>
        <v>22.00</v>
      </c>
      <c r="D1871" s="8" t="str">
        <f t="shared" ca="1" si="89"/>
        <v>—</v>
      </c>
      <c r="E1871" s="16">
        <f t="shared" ca="1" si="90"/>
        <v>7</v>
      </c>
    </row>
    <row r="1872" spans="1:5" x14ac:dyDescent="0.25">
      <c r="A1872" s="3">
        <f t="shared" si="88"/>
        <v>78989</v>
      </c>
      <c r="B1872" t="str">
        <f ca="1">TEXT(DATE(YEAR(Invoer!$A$5),1,1)+INT((ROWS(B$2:B1872)-1)/24),"""18""jjmmdd")</f>
        <v>18980319</v>
      </c>
      <c r="C1872" s="11" t="str">
        <f>INDEX(Data,2,2+MOD(ROWS(C$2:C1872)-1,24))</f>
        <v>23.00</v>
      </c>
      <c r="D1872" s="8" t="str">
        <f t="shared" ca="1" si="89"/>
        <v>—</v>
      </c>
      <c r="E1872" s="16">
        <f t="shared" ca="1" si="90"/>
        <v>7</v>
      </c>
    </row>
    <row r="1873" spans="1:5" x14ac:dyDescent="0.25">
      <c r="A1873" s="3">
        <f t="shared" si="88"/>
        <v>78989</v>
      </c>
      <c r="B1873" t="str">
        <f ca="1">TEXT(DATE(YEAR(Invoer!$A$5),1,1)+INT((ROWS(B$2:B1873)-1)/24),"""18""jjmmdd")</f>
        <v>18980319</v>
      </c>
      <c r="C1873" s="11" t="str">
        <f>INDEX(Data,2,2+MOD(ROWS(C$2:C1873)-1,24))</f>
        <v>24.00</v>
      </c>
      <c r="D1873" s="8" t="str">
        <f t="shared" ca="1" si="89"/>
        <v>—</v>
      </c>
      <c r="E1873" s="16">
        <f t="shared" ca="1" si="90"/>
        <v>7</v>
      </c>
    </row>
    <row r="1874" spans="1:5" x14ac:dyDescent="0.25">
      <c r="A1874" s="3">
        <f t="shared" si="88"/>
        <v>78989</v>
      </c>
      <c r="B1874" t="str">
        <f ca="1">TEXT(DATE(YEAR(Invoer!$A$5),1,1)+INT((ROWS(B$2:B1874)-1)/24),"""18""jjmmdd")</f>
        <v>18980320</v>
      </c>
      <c r="C1874" s="11" t="str">
        <f>INDEX(Data,2,2+MOD(ROWS(C$2:C1874)-1,24))</f>
        <v>01.00</v>
      </c>
      <c r="D1874" s="8" t="str">
        <f t="shared" ca="1" si="89"/>
        <v>—</v>
      </c>
      <c r="E1874" s="16">
        <f t="shared" ca="1" si="90"/>
        <v>7</v>
      </c>
    </row>
    <row r="1875" spans="1:5" x14ac:dyDescent="0.25">
      <c r="A1875" s="3">
        <f t="shared" si="88"/>
        <v>78989</v>
      </c>
      <c r="B1875" t="str">
        <f ca="1">TEXT(DATE(YEAR(Invoer!$A$5),1,1)+INT((ROWS(B$2:B1875)-1)/24),"""18""jjmmdd")</f>
        <v>18980320</v>
      </c>
      <c r="C1875" s="11" t="str">
        <f>INDEX(Data,2,2+MOD(ROWS(C$2:C1875)-1,24))</f>
        <v>02.00</v>
      </c>
      <c r="D1875" s="8" t="str">
        <f t="shared" ca="1" si="89"/>
        <v>—</v>
      </c>
      <c r="E1875" s="16">
        <f t="shared" ca="1" si="90"/>
        <v>7</v>
      </c>
    </row>
    <row r="1876" spans="1:5" x14ac:dyDescent="0.25">
      <c r="A1876" s="3">
        <f t="shared" si="88"/>
        <v>78989</v>
      </c>
      <c r="B1876" t="str">
        <f ca="1">TEXT(DATE(YEAR(Invoer!$A$5),1,1)+INT((ROWS(B$2:B1876)-1)/24),"""18""jjmmdd")</f>
        <v>18980320</v>
      </c>
      <c r="C1876" s="11" t="str">
        <f>INDEX(Data,2,2+MOD(ROWS(C$2:C1876)-1,24))</f>
        <v>03.00</v>
      </c>
      <c r="D1876" s="8" t="str">
        <f t="shared" ca="1" si="89"/>
        <v>—</v>
      </c>
      <c r="E1876" s="16">
        <f t="shared" ca="1" si="90"/>
        <v>7</v>
      </c>
    </row>
    <row r="1877" spans="1:5" x14ac:dyDescent="0.25">
      <c r="A1877" s="3">
        <f t="shared" si="88"/>
        <v>78989</v>
      </c>
      <c r="B1877" t="str">
        <f ca="1">TEXT(DATE(YEAR(Invoer!$A$5),1,1)+INT((ROWS(B$2:B1877)-1)/24),"""18""jjmmdd")</f>
        <v>18980320</v>
      </c>
      <c r="C1877" s="11" t="str">
        <f>INDEX(Data,2,2+MOD(ROWS(C$2:C1877)-1,24))</f>
        <v>04.00</v>
      </c>
      <c r="D1877" s="8" t="str">
        <f t="shared" ca="1" si="89"/>
        <v>—</v>
      </c>
      <c r="E1877" s="16">
        <f t="shared" ca="1" si="90"/>
        <v>7</v>
      </c>
    </row>
    <row r="1878" spans="1:5" x14ac:dyDescent="0.25">
      <c r="A1878" s="3">
        <f t="shared" si="88"/>
        <v>78989</v>
      </c>
      <c r="B1878" t="str">
        <f ca="1">TEXT(DATE(YEAR(Invoer!$A$5),1,1)+INT((ROWS(B$2:B1878)-1)/24),"""18""jjmmdd")</f>
        <v>18980320</v>
      </c>
      <c r="C1878" s="11" t="str">
        <f>INDEX(Data,2,2+MOD(ROWS(C$2:C1878)-1,24))</f>
        <v>05.00</v>
      </c>
      <c r="D1878" s="8" t="str">
        <f t="shared" ca="1" si="89"/>
        <v>—</v>
      </c>
      <c r="E1878" s="16">
        <f t="shared" ca="1" si="90"/>
        <v>7</v>
      </c>
    </row>
    <row r="1879" spans="1:5" x14ac:dyDescent="0.25">
      <c r="A1879" s="3">
        <f t="shared" si="88"/>
        <v>78989</v>
      </c>
      <c r="B1879" t="str">
        <f ca="1">TEXT(DATE(YEAR(Invoer!$A$5),1,1)+INT((ROWS(B$2:B1879)-1)/24),"""18""jjmmdd")</f>
        <v>18980320</v>
      </c>
      <c r="C1879" s="11" t="str">
        <f>INDEX(Data,2,2+MOD(ROWS(C$2:C1879)-1,24))</f>
        <v>06.00</v>
      </c>
      <c r="D1879" s="8" t="str">
        <f t="shared" ca="1" si="89"/>
        <v>—</v>
      </c>
      <c r="E1879" s="16">
        <f t="shared" ca="1" si="90"/>
        <v>7</v>
      </c>
    </row>
    <row r="1880" spans="1:5" x14ac:dyDescent="0.25">
      <c r="A1880" s="3">
        <f t="shared" si="88"/>
        <v>78989</v>
      </c>
      <c r="B1880" t="str">
        <f ca="1">TEXT(DATE(YEAR(Invoer!$A$5),1,1)+INT((ROWS(B$2:B1880)-1)/24),"""18""jjmmdd")</f>
        <v>18980320</v>
      </c>
      <c r="C1880" s="11" t="str">
        <f>INDEX(Data,2,2+MOD(ROWS(C$2:C1880)-1,24))</f>
        <v>07.00</v>
      </c>
      <c r="D1880" s="8" t="str">
        <f t="shared" ca="1" si="89"/>
        <v>—</v>
      </c>
      <c r="E1880" s="16">
        <f t="shared" ca="1" si="90"/>
        <v>7</v>
      </c>
    </row>
    <row r="1881" spans="1:5" x14ac:dyDescent="0.25">
      <c r="A1881" s="3">
        <f t="shared" si="88"/>
        <v>78989</v>
      </c>
      <c r="B1881" t="str">
        <f ca="1">TEXT(DATE(YEAR(Invoer!$A$5),1,1)+INT((ROWS(B$2:B1881)-1)/24),"""18""jjmmdd")</f>
        <v>18980320</v>
      </c>
      <c r="C1881" s="11" t="str">
        <f>INDEX(Data,2,2+MOD(ROWS(C$2:C1881)-1,24))</f>
        <v>08.00</v>
      </c>
      <c r="D1881" s="8" t="str">
        <f t="shared" ca="1" si="89"/>
        <v>—</v>
      </c>
      <c r="E1881" s="16">
        <f t="shared" ca="1" si="90"/>
        <v>7</v>
      </c>
    </row>
    <row r="1882" spans="1:5" x14ac:dyDescent="0.25">
      <c r="A1882" s="3">
        <f t="shared" si="88"/>
        <v>78989</v>
      </c>
      <c r="B1882" t="str">
        <f ca="1">TEXT(DATE(YEAR(Invoer!$A$5),1,1)+INT((ROWS(B$2:B1882)-1)/24),"""18""jjmmdd")</f>
        <v>18980320</v>
      </c>
      <c r="C1882" s="11" t="str">
        <f>INDEX(Data,2,2+MOD(ROWS(C$2:C1882)-1,24))</f>
        <v>09.00</v>
      </c>
      <c r="D1882" s="8" t="str">
        <f t="shared" ca="1" si="89"/>
        <v>—</v>
      </c>
      <c r="E1882" s="16">
        <f t="shared" ca="1" si="90"/>
        <v>7</v>
      </c>
    </row>
    <row r="1883" spans="1:5" x14ac:dyDescent="0.25">
      <c r="A1883" s="3">
        <f t="shared" si="88"/>
        <v>78989</v>
      </c>
      <c r="B1883" t="str">
        <f ca="1">TEXT(DATE(YEAR(Invoer!$A$5),1,1)+INT((ROWS(B$2:B1883)-1)/24),"""18""jjmmdd")</f>
        <v>18980320</v>
      </c>
      <c r="C1883" s="11" t="str">
        <f>INDEX(Data,2,2+MOD(ROWS(C$2:C1883)-1,24))</f>
        <v>10.00</v>
      </c>
      <c r="D1883" s="8" t="str">
        <f t="shared" ca="1" si="89"/>
        <v>—</v>
      </c>
      <c r="E1883" s="16">
        <f t="shared" ca="1" si="90"/>
        <v>7</v>
      </c>
    </row>
    <row r="1884" spans="1:5" x14ac:dyDescent="0.25">
      <c r="A1884" s="3">
        <f t="shared" si="88"/>
        <v>78989</v>
      </c>
      <c r="B1884" t="str">
        <f ca="1">TEXT(DATE(YEAR(Invoer!$A$5),1,1)+INT((ROWS(B$2:B1884)-1)/24),"""18""jjmmdd")</f>
        <v>18980320</v>
      </c>
      <c r="C1884" s="11" t="str">
        <f>INDEX(Data,2,2+MOD(ROWS(C$2:C1884)-1,24))</f>
        <v>11.00</v>
      </c>
      <c r="D1884" s="8" t="str">
        <f t="shared" ca="1" si="89"/>
        <v>—</v>
      </c>
      <c r="E1884" s="16">
        <f t="shared" ca="1" si="90"/>
        <v>7</v>
      </c>
    </row>
    <row r="1885" spans="1:5" x14ac:dyDescent="0.25">
      <c r="A1885" s="3">
        <f t="shared" si="88"/>
        <v>78989</v>
      </c>
      <c r="B1885" t="str">
        <f ca="1">TEXT(DATE(YEAR(Invoer!$A$5),1,1)+INT((ROWS(B$2:B1885)-1)/24),"""18""jjmmdd")</f>
        <v>18980320</v>
      </c>
      <c r="C1885" s="11" t="str">
        <f>INDEX(Data,2,2+MOD(ROWS(C$2:C1885)-1,24))</f>
        <v>12.00</v>
      </c>
      <c r="D1885" s="8" t="str">
        <f t="shared" ca="1" si="89"/>
        <v>—</v>
      </c>
      <c r="E1885" s="16">
        <f t="shared" ca="1" si="90"/>
        <v>7</v>
      </c>
    </row>
    <row r="1886" spans="1:5" x14ac:dyDescent="0.25">
      <c r="A1886" s="3">
        <f t="shared" si="88"/>
        <v>78989</v>
      </c>
      <c r="B1886" t="str">
        <f ca="1">TEXT(DATE(YEAR(Invoer!$A$5),1,1)+INT((ROWS(B$2:B1886)-1)/24),"""18""jjmmdd")</f>
        <v>18980320</v>
      </c>
      <c r="C1886" s="11" t="str">
        <f>INDEX(Data,2,2+MOD(ROWS(C$2:C1886)-1,24))</f>
        <v>13.00</v>
      </c>
      <c r="D1886" s="8" t="str">
        <f t="shared" ca="1" si="89"/>
        <v>—</v>
      </c>
      <c r="E1886" s="16">
        <f t="shared" ca="1" si="90"/>
        <v>7</v>
      </c>
    </row>
    <row r="1887" spans="1:5" x14ac:dyDescent="0.25">
      <c r="A1887" s="3">
        <f t="shared" si="88"/>
        <v>78989</v>
      </c>
      <c r="B1887" t="str">
        <f ca="1">TEXT(DATE(YEAR(Invoer!$A$5),1,1)+INT((ROWS(B$2:B1887)-1)/24),"""18""jjmmdd")</f>
        <v>18980320</v>
      </c>
      <c r="C1887" s="11" t="str">
        <f>INDEX(Data,2,2+MOD(ROWS(C$2:C1887)-1,24))</f>
        <v>14.00</v>
      </c>
      <c r="D1887" s="8" t="str">
        <f t="shared" ca="1" si="89"/>
        <v>—</v>
      </c>
      <c r="E1887" s="16">
        <f t="shared" ca="1" si="90"/>
        <v>7</v>
      </c>
    </row>
    <row r="1888" spans="1:5" x14ac:dyDescent="0.25">
      <c r="A1888" s="3">
        <f t="shared" si="88"/>
        <v>78989</v>
      </c>
      <c r="B1888" t="str">
        <f ca="1">TEXT(DATE(YEAR(Invoer!$A$5),1,1)+INT((ROWS(B$2:B1888)-1)/24),"""18""jjmmdd")</f>
        <v>18980320</v>
      </c>
      <c r="C1888" s="11" t="str">
        <f>INDEX(Data,2,2+MOD(ROWS(C$2:C1888)-1,24))</f>
        <v>15.00</v>
      </c>
      <c r="D1888" s="8" t="str">
        <f t="shared" ca="1" si="89"/>
        <v>—</v>
      </c>
      <c r="E1888" s="16">
        <f t="shared" ca="1" si="90"/>
        <v>7</v>
      </c>
    </row>
    <row r="1889" spans="1:5" x14ac:dyDescent="0.25">
      <c r="A1889" s="3">
        <f t="shared" si="88"/>
        <v>78989</v>
      </c>
      <c r="B1889" t="str">
        <f ca="1">TEXT(DATE(YEAR(Invoer!$A$5),1,1)+INT((ROWS(B$2:B1889)-1)/24),"""18""jjmmdd")</f>
        <v>18980320</v>
      </c>
      <c r="C1889" s="11" t="str">
        <f>INDEX(Data,2,2+MOD(ROWS(C$2:C1889)-1,24))</f>
        <v>16.00</v>
      </c>
      <c r="D1889" s="8" t="str">
        <f t="shared" ca="1" si="89"/>
        <v>—</v>
      </c>
      <c r="E1889" s="16">
        <f t="shared" ca="1" si="90"/>
        <v>7</v>
      </c>
    </row>
    <row r="1890" spans="1:5" x14ac:dyDescent="0.25">
      <c r="A1890" s="3">
        <f t="shared" si="88"/>
        <v>78989</v>
      </c>
      <c r="B1890" t="str">
        <f ca="1">TEXT(DATE(YEAR(Invoer!$A$5),1,1)+INT((ROWS(B$2:B1890)-1)/24),"""18""jjmmdd")</f>
        <v>18980320</v>
      </c>
      <c r="C1890" s="11" t="str">
        <f>INDEX(Data,2,2+MOD(ROWS(C$2:C1890)-1,24))</f>
        <v>17.00</v>
      </c>
      <c r="D1890" s="8" t="str">
        <f t="shared" ca="1" si="89"/>
        <v>—</v>
      </c>
      <c r="E1890" s="16">
        <f t="shared" ca="1" si="90"/>
        <v>7</v>
      </c>
    </row>
    <row r="1891" spans="1:5" x14ac:dyDescent="0.25">
      <c r="A1891" s="3">
        <f t="shared" si="88"/>
        <v>78989</v>
      </c>
      <c r="B1891" t="str">
        <f ca="1">TEXT(DATE(YEAR(Invoer!$A$5),1,1)+INT((ROWS(B$2:B1891)-1)/24),"""18""jjmmdd")</f>
        <v>18980320</v>
      </c>
      <c r="C1891" s="11" t="str">
        <f>INDEX(Data,2,2+MOD(ROWS(C$2:C1891)-1,24))</f>
        <v>18.00</v>
      </c>
      <c r="D1891" s="8" t="str">
        <f t="shared" ca="1" si="89"/>
        <v>—</v>
      </c>
      <c r="E1891" s="16">
        <f t="shared" ca="1" si="90"/>
        <v>7</v>
      </c>
    </row>
    <row r="1892" spans="1:5" x14ac:dyDescent="0.25">
      <c r="A1892" s="3">
        <f t="shared" si="88"/>
        <v>78989</v>
      </c>
      <c r="B1892" t="str">
        <f ca="1">TEXT(DATE(YEAR(Invoer!$A$5),1,1)+INT((ROWS(B$2:B1892)-1)/24),"""18""jjmmdd")</f>
        <v>18980320</v>
      </c>
      <c r="C1892" s="11" t="str">
        <f>INDEX(Data,2,2+MOD(ROWS(C$2:C1892)-1,24))</f>
        <v>19.00</v>
      </c>
      <c r="D1892" s="8" t="str">
        <f t="shared" ca="1" si="89"/>
        <v>—</v>
      </c>
      <c r="E1892" s="16">
        <f t="shared" ca="1" si="90"/>
        <v>7</v>
      </c>
    </row>
    <row r="1893" spans="1:5" x14ac:dyDescent="0.25">
      <c r="A1893" s="3">
        <f t="shared" si="88"/>
        <v>78989</v>
      </c>
      <c r="B1893" t="str">
        <f ca="1">TEXT(DATE(YEAR(Invoer!$A$5),1,1)+INT((ROWS(B$2:B1893)-1)/24),"""18""jjmmdd")</f>
        <v>18980320</v>
      </c>
      <c r="C1893" s="11" t="str">
        <f>INDEX(Data,2,2+MOD(ROWS(C$2:C1893)-1,24))</f>
        <v>20.00</v>
      </c>
      <c r="D1893" s="8" t="str">
        <f t="shared" ca="1" si="89"/>
        <v>—</v>
      </c>
      <c r="E1893" s="16">
        <f t="shared" ca="1" si="90"/>
        <v>7</v>
      </c>
    </row>
    <row r="1894" spans="1:5" x14ac:dyDescent="0.25">
      <c r="A1894" s="3">
        <f t="shared" si="88"/>
        <v>78989</v>
      </c>
      <c r="B1894" t="str">
        <f ca="1">TEXT(DATE(YEAR(Invoer!$A$5),1,1)+INT((ROWS(B$2:B1894)-1)/24),"""18""jjmmdd")</f>
        <v>18980320</v>
      </c>
      <c r="C1894" s="11" t="str">
        <f>INDEX(Data,2,2+MOD(ROWS(C$2:C1894)-1,24))</f>
        <v>21.00</v>
      </c>
      <c r="D1894" s="8" t="str">
        <f t="shared" ca="1" si="89"/>
        <v>—</v>
      </c>
      <c r="E1894" s="16">
        <f t="shared" ca="1" si="90"/>
        <v>7</v>
      </c>
    </row>
    <row r="1895" spans="1:5" x14ac:dyDescent="0.25">
      <c r="A1895" s="3">
        <f t="shared" si="88"/>
        <v>78989</v>
      </c>
      <c r="B1895" t="str">
        <f ca="1">TEXT(DATE(YEAR(Invoer!$A$5),1,1)+INT((ROWS(B$2:B1895)-1)/24),"""18""jjmmdd")</f>
        <v>18980320</v>
      </c>
      <c r="C1895" s="11" t="str">
        <f>INDEX(Data,2,2+MOD(ROWS(C$2:C1895)-1,24))</f>
        <v>22.00</v>
      </c>
      <c r="D1895" s="8" t="str">
        <f t="shared" ca="1" si="89"/>
        <v>—</v>
      </c>
      <c r="E1895" s="16">
        <f t="shared" ca="1" si="90"/>
        <v>7</v>
      </c>
    </row>
    <row r="1896" spans="1:5" x14ac:dyDescent="0.25">
      <c r="A1896" s="3">
        <f t="shared" si="88"/>
        <v>78989</v>
      </c>
      <c r="B1896" t="str">
        <f ca="1">TEXT(DATE(YEAR(Invoer!$A$5),1,1)+INT((ROWS(B$2:B1896)-1)/24),"""18""jjmmdd")</f>
        <v>18980320</v>
      </c>
      <c r="C1896" s="11" t="str">
        <f>INDEX(Data,2,2+MOD(ROWS(C$2:C1896)-1,24))</f>
        <v>23.00</v>
      </c>
      <c r="D1896" s="8" t="str">
        <f t="shared" ca="1" si="89"/>
        <v>—</v>
      </c>
      <c r="E1896" s="16">
        <f t="shared" ca="1" si="90"/>
        <v>7</v>
      </c>
    </row>
    <row r="1897" spans="1:5" x14ac:dyDescent="0.25">
      <c r="A1897" s="3">
        <f t="shared" si="88"/>
        <v>78989</v>
      </c>
      <c r="B1897" t="str">
        <f ca="1">TEXT(DATE(YEAR(Invoer!$A$5),1,1)+INT((ROWS(B$2:B1897)-1)/24),"""18""jjmmdd")</f>
        <v>18980320</v>
      </c>
      <c r="C1897" s="11" t="str">
        <f>INDEX(Data,2,2+MOD(ROWS(C$2:C1897)-1,24))</f>
        <v>24.00</v>
      </c>
      <c r="D1897" s="8" t="str">
        <f t="shared" ca="1" si="89"/>
        <v>—</v>
      </c>
      <c r="E1897" s="16">
        <f t="shared" ca="1" si="90"/>
        <v>7</v>
      </c>
    </row>
    <row r="1898" spans="1:5" x14ac:dyDescent="0.25">
      <c r="A1898" s="3">
        <f t="shared" si="88"/>
        <v>78989</v>
      </c>
      <c r="B1898" t="str">
        <f ca="1">TEXT(DATE(YEAR(Invoer!$A$5),1,1)+INT((ROWS(B$2:B1898)-1)/24),"""18""jjmmdd")</f>
        <v>18980321</v>
      </c>
      <c r="C1898" s="11" t="str">
        <f>INDEX(Data,2,2+MOD(ROWS(C$2:C1898)-1,24))</f>
        <v>01.00</v>
      </c>
      <c r="D1898" s="8" t="str">
        <f t="shared" ca="1" si="89"/>
        <v>—</v>
      </c>
      <c r="E1898" s="16">
        <f t="shared" ca="1" si="90"/>
        <v>7</v>
      </c>
    </row>
    <row r="1899" spans="1:5" x14ac:dyDescent="0.25">
      <c r="A1899" s="3">
        <f t="shared" si="88"/>
        <v>78989</v>
      </c>
      <c r="B1899" t="str">
        <f ca="1">TEXT(DATE(YEAR(Invoer!$A$5),1,1)+INT((ROWS(B$2:B1899)-1)/24),"""18""jjmmdd")</f>
        <v>18980321</v>
      </c>
      <c r="C1899" s="11" t="str">
        <f>INDEX(Data,2,2+MOD(ROWS(C$2:C1899)-1,24))</f>
        <v>02.00</v>
      </c>
      <c r="D1899" s="8" t="str">
        <f t="shared" ca="1" si="89"/>
        <v>—</v>
      </c>
      <c r="E1899" s="16">
        <f t="shared" ca="1" si="90"/>
        <v>7</v>
      </c>
    </row>
    <row r="1900" spans="1:5" x14ac:dyDescent="0.25">
      <c r="A1900" s="3">
        <f t="shared" si="88"/>
        <v>78989</v>
      </c>
      <c r="B1900" t="str">
        <f ca="1">TEXT(DATE(YEAR(Invoer!$A$5),1,1)+INT((ROWS(B$2:B1900)-1)/24),"""18""jjmmdd")</f>
        <v>18980321</v>
      </c>
      <c r="C1900" s="11" t="str">
        <f>INDEX(Data,2,2+MOD(ROWS(C$2:C1900)-1,24))</f>
        <v>03.00</v>
      </c>
      <c r="D1900" s="8" t="str">
        <f t="shared" ca="1" si="89"/>
        <v>—</v>
      </c>
      <c r="E1900" s="16">
        <f t="shared" ca="1" si="90"/>
        <v>7</v>
      </c>
    </row>
    <row r="1901" spans="1:5" x14ac:dyDescent="0.25">
      <c r="A1901" s="3">
        <f t="shared" si="88"/>
        <v>78989</v>
      </c>
      <c r="B1901" t="str">
        <f ca="1">TEXT(DATE(YEAR(Invoer!$A$5),1,1)+INT((ROWS(B$2:B1901)-1)/24),"""18""jjmmdd")</f>
        <v>18980321</v>
      </c>
      <c r="C1901" s="11" t="str">
        <f>INDEX(Data,2,2+MOD(ROWS(C$2:C1901)-1,24))</f>
        <v>04.00</v>
      </c>
      <c r="D1901" s="8" t="str">
        <f t="shared" ca="1" si="89"/>
        <v>—</v>
      </c>
      <c r="E1901" s="16">
        <f t="shared" ca="1" si="90"/>
        <v>7</v>
      </c>
    </row>
    <row r="1902" spans="1:5" x14ac:dyDescent="0.25">
      <c r="A1902" s="3">
        <f t="shared" si="88"/>
        <v>78989</v>
      </c>
      <c r="B1902" t="str">
        <f ca="1">TEXT(DATE(YEAR(Invoer!$A$5),1,1)+INT((ROWS(B$2:B1902)-1)/24),"""18""jjmmdd")</f>
        <v>18980321</v>
      </c>
      <c r="C1902" s="11" t="str">
        <f>INDEX(Data,2,2+MOD(ROWS(C$2:C1902)-1,24))</f>
        <v>05.00</v>
      </c>
      <c r="D1902" s="8" t="str">
        <f t="shared" ca="1" si="89"/>
        <v>—</v>
      </c>
      <c r="E1902" s="16">
        <f t="shared" ca="1" si="90"/>
        <v>7</v>
      </c>
    </row>
    <row r="1903" spans="1:5" x14ac:dyDescent="0.25">
      <c r="A1903" s="3">
        <f t="shared" si="88"/>
        <v>78989</v>
      </c>
      <c r="B1903" t="str">
        <f ca="1">TEXT(DATE(YEAR(Invoer!$A$5),1,1)+INT((ROWS(B$2:B1903)-1)/24),"""18""jjmmdd")</f>
        <v>18980321</v>
      </c>
      <c r="C1903" s="11" t="str">
        <f>INDEX(Data,2,2+MOD(ROWS(C$2:C1903)-1,24))</f>
        <v>06.00</v>
      </c>
      <c r="D1903" s="8" t="str">
        <f t="shared" ca="1" si="89"/>
        <v>—</v>
      </c>
      <c r="E1903" s="16">
        <f t="shared" ca="1" si="90"/>
        <v>7</v>
      </c>
    </row>
    <row r="1904" spans="1:5" x14ac:dyDescent="0.25">
      <c r="A1904" s="3">
        <f t="shared" si="88"/>
        <v>78989</v>
      </c>
      <c r="B1904" t="str">
        <f ca="1">TEXT(DATE(YEAR(Invoer!$A$5),1,1)+INT((ROWS(B$2:B1904)-1)/24),"""18""jjmmdd")</f>
        <v>18980321</v>
      </c>
      <c r="C1904" s="11" t="str">
        <f>INDEX(Data,2,2+MOD(ROWS(C$2:C1904)-1,24))</f>
        <v>07.00</v>
      </c>
      <c r="D1904" s="8" t="str">
        <f t="shared" ca="1" si="89"/>
        <v>—</v>
      </c>
      <c r="E1904" s="16">
        <f t="shared" ca="1" si="90"/>
        <v>7</v>
      </c>
    </row>
    <row r="1905" spans="1:5" x14ac:dyDescent="0.25">
      <c r="A1905" s="3">
        <f t="shared" si="88"/>
        <v>78989</v>
      </c>
      <c r="B1905" t="str">
        <f ca="1">TEXT(DATE(YEAR(Invoer!$A$5),1,1)+INT((ROWS(B$2:B1905)-1)/24),"""18""jjmmdd")</f>
        <v>18980321</v>
      </c>
      <c r="C1905" s="11" t="str">
        <f>INDEX(Data,2,2+MOD(ROWS(C$2:C1905)-1,24))</f>
        <v>08.00</v>
      </c>
      <c r="D1905" s="8" t="str">
        <f t="shared" ca="1" si="89"/>
        <v>—</v>
      </c>
      <c r="E1905" s="16">
        <f t="shared" ca="1" si="90"/>
        <v>7</v>
      </c>
    </row>
    <row r="1906" spans="1:5" x14ac:dyDescent="0.25">
      <c r="A1906" s="3">
        <f t="shared" si="88"/>
        <v>78989</v>
      </c>
      <c r="B1906" t="str">
        <f ca="1">TEXT(DATE(YEAR(Invoer!$A$5),1,1)+INT((ROWS(B$2:B1906)-1)/24),"""18""jjmmdd")</f>
        <v>18980321</v>
      </c>
      <c r="C1906" s="11" t="str">
        <f>INDEX(Data,2,2+MOD(ROWS(C$2:C1906)-1,24))</f>
        <v>09.00</v>
      </c>
      <c r="D1906" s="8" t="str">
        <f t="shared" ca="1" si="89"/>
        <v>—</v>
      </c>
      <c r="E1906" s="16">
        <f t="shared" ca="1" si="90"/>
        <v>7</v>
      </c>
    </row>
    <row r="1907" spans="1:5" x14ac:dyDescent="0.25">
      <c r="A1907" s="3">
        <f t="shared" si="88"/>
        <v>78989</v>
      </c>
      <c r="B1907" t="str">
        <f ca="1">TEXT(DATE(YEAR(Invoer!$A$5),1,1)+INT((ROWS(B$2:B1907)-1)/24),"""18""jjmmdd")</f>
        <v>18980321</v>
      </c>
      <c r="C1907" s="11" t="str">
        <f>INDEX(Data,2,2+MOD(ROWS(C$2:C1907)-1,24))</f>
        <v>10.00</v>
      </c>
      <c r="D1907" s="8" t="str">
        <f t="shared" ca="1" si="89"/>
        <v>—</v>
      </c>
      <c r="E1907" s="16">
        <f t="shared" ca="1" si="90"/>
        <v>7</v>
      </c>
    </row>
    <row r="1908" spans="1:5" x14ac:dyDescent="0.25">
      <c r="A1908" s="3">
        <f t="shared" si="88"/>
        <v>78989</v>
      </c>
      <c r="B1908" t="str">
        <f ca="1">TEXT(DATE(YEAR(Invoer!$A$5),1,1)+INT((ROWS(B$2:B1908)-1)/24),"""18""jjmmdd")</f>
        <v>18980321</v>
      </c>
      <c r="C1908" s="11" t="str">
        <f>INDEX(Data,2,2+MOD(ROWS(C$2:C1908)-1,24))</f>
        <v>11.00</v>
      </c>
      <c r="D1908" s="8" t="str">
        <f t="shared" ca="1" si="89"/>
        <v>—</v>
      </c>
      <c r="E1908" s="16">
        <f t="shared" ca="1" si="90"/>
        <v>7</v>
      </c>
    </row>
    <row r="1909" spans="1:5" x14ac:dyDescent="0.25">
      <c r="A1909" s="3">
        <f t="shared" si="88"/>
        <v>78989</v>
      </c>
      <c r="B1909" t="str">
        <f ca="1">TEXT(DATE(YEAR(Invoer!$A$5),1,1)+INT((ROWS(B$2:B1909)-1)/24),"""18""jjmmdd")</f>
        <v>18980321</v>
      </c>
      <c r="C1909" s="11" t="str">
        <f>INDEX(Data,2,2+MOD(ROWS(C$2:C1909)-1,24))</f>
        <v>12.00</v>
      </c>
      <c r="D1909" s="8" t="str">
        <f t="shared" ca="1" si="89"/>
        <v>—</v>
      </c>
      <c r="E1909" s="16">
        <f t="shared" ca="1" si="90"/>
        <v>7</v>
      </c>
    </row>
    <row r="1910" spans="1:5" x14ac:dyDescent="0.25">
      <c r="A1910" s="3">
        <f t="shared" si="88"/>
        <v>78989</v>
      </c>
      <c r="B1910" t="str">
        <f ca="1">TEXT(DATE(YEAR(Invoer!$A$5),1,1)+INT((ROWS(B$2:B1910)-1)/24),"""18""jjmmdd")</f>
        <v>18980321</v>
      </c>
      <c r="C1910" s="11" t="str">
        <f>INDEX(Data,2,2+MOD(ROWS(C$2:C1910)-1,24))</f>
        <v>13.00</v>
      </c>
      <c r="D1910" s="8" t="str">
        <f t="shared" ca="1" si="89"/>
        <v>—</v>
      </c>
      <c r="E1910" s="16">
        <f t="shared" ca="1" si="90"/>
        <v>7</v>
      </c>
    </row>
    <row r="1911" spans="1:5" x14ac:dyDescent="0.25">
      <c r="A1911" s="3">
        <f t="shared" si="88"/>
        <v>78989</v>
      </c>
      <c r="B1911" t="str">
        <f ca="1">TEXT(DATE(YEAR(Invoer!$A$5),1,1)+INT((ROWS(B$2:B1911)-1)/24),"""18""jjmmdd")</f>
        <v>18980321</v>
      </c>
      <c r="C1911" s="11" t="str">
        <f>INDEX(Data,2,2+MOD(ROWS(C$2:C1911)-1,24))</f>
        <v>14.00</v>
      </c>
      <c r="D1911" s="8" t="str">
        <f t="shared" ca="1" si="89"/>
        <v>—</v>
      </c>
      <c r="E1911" s="16">
        <f t="shared" ca="1" si="90"/>
        <v>7</v>
      </c>
    </row>
    <row r="1912" spans="1:5" x14ac:dyDescent="0.25">
      <c r="A1912" s="3">
        <f t="shared" si="88"/>
        <v>78989</v>
      </c>
      <c r="B1912" t="str">
        <f ca="1">TEXT(DATE(YEAR(Invoer!$A$5),1,1)+INT((ROWS(B$2:B1912)-1)/24),"""18""jjmmdd")</f>
        <v>18980321</v>
      </c>
      <c r="C1912" s="11" t="str">
        <f>INDEX(Data,2,2+MOD(ROWS(C$2:C1912)-1,24))</f>
        <v>15.00</v>
      </c>
      <c r="D1912" s="8" t="str">
        <f t="shared" ca="1" si="89"/>
        <v>—</v>
      </c>
      <c r="E1912" s="16">
        <f t="shared" ca="1" si="90"/>
        <v>7</v>
      </c>
    </row>
    <row r="1913" spans="1:5" x14ac:dyDescent="0.25">
      <c r="A1913" s="3">
        <f t="shared" si="88"/>
        <v>78989</v>
      </c>
      <c r="B1913" t="str">
        <f ca="1">TEXT(DATE(YEAR(Invoer!$A$5),1,1)+INT((ROWS(B$2:B1913)-1)/24),"""18""jjmmdd")</f>
        <v>18980321</v>
      </c>
      <c r="C1913" s="11" t="str">
        <f>INDEX(Data,2,2+MOD(ROWS(C$2:C1913)-1,24))</f>
        <v>16.00</v>
      </c>
      <c r="D1913" s="8" t="str">
        <f t="shared" ca="1" si="89"/>
        <v>—</v>
      </c>
      <c r="E1913" s="16">
        <f t="shared" ca="1" si="90"/>
        <v>7</v>
      </c>
    </row>
    <row r="1914" spans="1:5" x14ac:dyDescent="0.25">
      <c r="A1914" s="3">
        <f t="shared" si="88"/>
        <v>78989</v>
      </c>
      <c r="B1914" t="str">
        <f ca="1">TEXT(DATE(YEAR(Invoer!$A$5),1,1)+INT((ROWS(B$2:B1914)-1)/24),"""18""jjmmdd")</f>
        <v>18980321</v>
      </c>
      <c r="C1914" s="11" t="str">
        <f>INDEX(Data,2,2+MOD(ROWS(C$2:C1914)-1,24))</f>
        <v>17.00</v>
      </c>
      <c r="D1914" s="8" t="str">
        <f t="shared" ca="1" si="89"/>
        <v>—</v>
      </c>
      <c r="E1914" s="16">
        <f t="shared" ca="1" si="90"/>
        <v>7</v>
      </c>
    </row>
    <row r="1915" spans="1:5" x14ac:dyDescent="0.25">
      <c r="A1915" s="3">
        <f t="shared" si="88"/>
        <v>78989</v>
      </c>
      <c r="B1915" t="str">
        <f ca="1">TEXT(DATE(YEAR(Invoer!$A$5),1,1)+INT((ROWS(B$2:B1915)-1)/24),"""18""jjmmdd")</f>
        <v>18980321</v>
      </c>
      <c r="C1915" s="11" t="str">
        <f>INDEX(Data,2,2+MOD(ROWS(C$2:C1915)-1,24))</f>
        <v>18.00</v>
      </c>
      <c r="D1915" s="8" t="str">
        <f t="shared" ca="1" si="89"/>
        <v>—</v>
      </c>
      <c r="E1915" s="16">
        <f t="shared" ca="1" si="90"/>
        <v>7</v>
      </c>
    </row>
    <row r="1916" spans="1:5" x14ac:dyDescent="0.25">
      <c r="A1916" s="3">
        <f t="shared" si="88"/>
        <v>78989</v>
      </c>
      <c r="B1916" t="str">
        <f ca="1">TEXT(DATE(YEAR(Invoer!$A$5),1,1)+INT((ROWS(B$2:B1916)-1)/24),"""18""jjmmdd")</f>
        <v>18980321</v>
      </c>
      <c r="C1916" s="11" t="str">
        <f>INDEX(Data,2,2+MOD(ROWS(C$2:C1916)-1,24))</f>
        <v>19.00</v>
      </c>
      <c r="D1916" s="8" t="str">
        <f t="shared" ca="1" si="89"/>
        <v>—</v>
      </c>
      <c r="E1916" s="16">
        <f t="shared" ca="1" si="90"/>
        <v>7</v>
      </c>
    </row>
    <row r="1917" spans="1:5" x14ac:dyDescent="0.25">
      <c r="A1917" s="3">
        <f t="shared" si="88"/>
        <v>78989</v>
      </c>
      <c r="B1917" t="str">
        <f ca="1">TEXT(DATE(YEAR(Invoer!$A$5),1,1)+INT((ROWS(B$2:B1917)-1)/24),"""18""jjmmdd")</f>
        <v>18980321</v>
      </c>
      <c r="C1917" s="11" t="str">
        <f>INDEX(Data,2,2+MOD(ROWS(C$2:C1917)-1,24))</f>
        <v>20.00</v>
      </c>
      <c r="D1917" s="8" t="str">
        <f t="shared" ca="1" si="89"/>
        <v>—</v>
      </c>
      <c r="E1917" s="16">
        <f t="shared" ca="1" si="90"/>
        <v>7</v>
      </c>
    </row>
    <row r="1918" spans="1:5" x14ac:dyDescent="0.25">
      <c r="A1918" s="3">
        <f t="shared" si="88"/>
        <v>78989</v>
      </c>
      <c r="B1918" t="str">
        <f ca="1">TEXT(DATE(YEAR(Invoer!$A$5),1,1)+INT((ROWS(B$2:B1918)-1)/24),"""18""jjmmdd")</f>
        <v>18980321</v>
      </c>
      <c r="C1918" s="11" t="str">
        <f>INDEX(Data,2,2+MOD(ROWS(C$2:C1918)-1,24))</f>
        <v>21.00</v>
      </c>
      <c r="D1918" s="8" t="str">
        <f t="shared" ca="1" si="89"/>
        <v>—</v>
      </c>
      <c r="E1918" s="16">
        <f t="shared" ca="1" si="90"/>
        <v>7</v>
      </c>
    </row>
    <row r="1919" spans="1:5" x14ac:dyDescent="0.25">
      <c r="A1919" s="3">
        <f t="shared" si="88"/>
        <v>78989</v>
      </c>
      <c r="B1919" t="str">
        <f ca="1">TEXT(DATE(YEAR(Invoer!$A$5),1,1)+INT((ROWS(B$2:B1919)-1)/24),"""18""jjmmdd")</f>
        <v>18980321</v>
      </c>
      <c r="C1919" s="11" t="str">
        <f>INDEX(Data,2,2+MOD(ROWS(C$2:C1919)-1,24))</f>
        <v>22.00</v>
      </c>
      <c r="D1919" s="8" t="str">
        <f t="shared" ca="1" si="89"/>
        <v>—</v>
      </c>
      <c r="E1919" s="16">
        <f t="shared" ca="1" si="90"/>
        <v>7</v>
      </c>
    </row>
    <row r="1920" spans="1:5" x14ac:dyDescent="0.25">
      <c r="A1920" s="3">
        <f t="shared" si="88"/>
        <v>78989</v>
      </c>
      <c r="B1920" t="str">
        <f ca="1">TEXT(DATE(YEAR(Invoer!$A$5),1,1)+INT((ROWS(B$2:B1920)-1)/24),"""18""jjmmdd")</f>
        <v>18980321</v>
      </c>
      <c r="C1920" s="11" t="str">
        <f>INDEX(Data,2,2+MOD(ROWS(C$2:C1920)-1,24))</f>
        <v>23.00</v>
      </c>
      <c r="D1920" s="8" t="str">
        <f t="shared" ca="1" si="89"/>
        <v>—</v>
      </c>
      <c r="E1920" s="16">
        <f t="shared" ca="1" si="90"/>
        <v>7</v>
      </c>
    </row>
    <row r="1921" spans="1:5" x14ac:dyDescent="0.25">
      <c r="A1921" s="3">
        <f t="shared" si="88"/>
        <v>78989</v>
      </c>
      <c r="B1921" t="str">
        <f ca="1">TEXT(DATE(YEAR(Invoer!$A$5),1,1)+INT((ROWS(B$2:B1921)-1)/24),"""18""jjmmdd")</f>
        <v>18980321</v>
      </c>
      <c r="C1921" s="11" t="str">
        <f>INDEX(Data,2,2+MOD(ROWS(C$2:C1921)-1,24))</f>
        <v>24.00</v>
      </c>
      <c r="D1921" s="8" t="str">
        <f t="shared" ca="1" si="89"/>
        <v>—</v>
      </c>
      <c r="E1921" s="16">
        <f t="shared" ca="1" si="90"/>
        <v>7</v>
      </c>
    </row>
    <row r="1922" spans="1:5" x14ac:dyDescent="0.25">
      <c r="A1922" s="3">
        <f t="shared" ref="A1922:A1985" si="91">INDEX(Stations,2,1)</f>
        <v>78989</v>
      </c>
      <c r="B1922" t="str">
        <f ca="1">TEXT(DATE(YEAR(Invoer!$A$5),1,1)+INT((ROWS(B$2:B1922)-1)/24),"""18""jjmmdd")</f>
        <v>18980322</v>
      </c>
      <c r="C1922" s="11" t="str">
        <f>INDEX(Data,2,2+MOD(ROWS(C$2:C1922)-1,24))</f>
        <v>01.00</v>
      </c>
      <c r="D1922" s="8" t="str">
        <f t="shared" ref="D1922:D1985" ca="1" si="92">IF(OR(ISBLANK(VLOOKUP(DATEVALUE("37"&amp;MID($B1922,3,2)&amp;"-"&amp;MID($B1922,5,2)&amp;"-"&amp;RIGHT($B1922,2)),Data,MATCH(LEFT(VLOOKUP(D$1,Parameters,2,FALSE()),4)&amp;"*",OFFSET(Data,0,0,1),0)+MATCH($C1922,OFFSET(Data,1,0,1),0)-2,FALSE())),ISTEXT(VLOOKUP(DATEVALUE("37"&amp;MID($B1922,3,2)&amp;"-"&amp;MID($B1922,5,2)&amp;"-"&amp;RIGHT($B1922,2)),Data,MATCH(LEFT(VLOOKUP(D$1,Parameters,2,FALSE()),4)&amp;"*",OFFSET(Data,0,0,1),0)+MATCH($C1922,OFFSET(Data,1,0,1),0)-2,FALSE()))),"—",VLOOKUP(DATEVALUE("37"&amp;MID($B1922,3,2)&amp;"-"&amp;MID($B1922,5,2)&amp;"-"&amp;RIGHT($B1922,2)),Data,MATCH(LEFT(VLOOKUP(D$1,Parameters,2,FALSE()),4)&amp;"*",OFFSET(Data,0,0,1),0)+MATCH($C1922,OFFSET(Data,1,0,1),0)-2,FALSE()))</f>
        <v>—</v>
      </c>
      <c r="E1922" s="16">
        <f t="shared" ca="1" si="90"/>
        <v>7</v>
      </c>
    </row>
    <row r="1923" spans="1:5" x14ac:dyDescent="0.25">
      <c r="A1923" s="3">
        <f t="shared" si="91"/>
        <v>78989</v>
      </c>
      <c r="B1923" t="str">
        <f ca="1">TEXT(DATE(YEAR(Invoer!$A$5),1,1)+INT((ROWS(B$2:B1923)-1)/24),"""18""jjmmdd")</f>
        <v>18980322</v>
      </c>
      <c r="C1923" s="11" t="str">
        <f>INDEX(Data,2,2+MOD(ROWS(C$2:C1923)-1,24))</f>
        <v>02.00</v>
      </c>
      <c r="D1923" s="8" t="str">
        <f t="shared" ca="1" si="92"/>
        <v>—</v>
      </c>
      <c r="E1923" s="16">
        <f t="shared" ref="E1923:E1986" ca="1" si="93">IF(OR(ISBLANK(VLOOKUP(DATEVALUE("37"&amp;MID($B1923,3,2)&amp;"-"&amp;MID($B1923,5,2)&amp;"-"&amp;RIGHT($B1923,2)),Data,MATCH(LEFT(VLOOKUP(D$1,Parameters,2,FALSE()),4)&amp;"*",OFFSET(Data,0,0,1),0)+MATCH($C1923,OFFSET(Data,1,0,1),0)-2,FALSE())),ISTEXT(VLOOKUP(DATEVALUE("37"&amp;MID($B1923,3,2)&amp;"-"&amp;MID($B1923,5,2)&amp;"-"&amp;RIGHT($B1923,2)),Data,MATCH(LEFT(VLOOKUP(D$1,Parameters,2,FALSE()),4)&amp;"*",OFFSET(Data,0,0,1),0)+MATCH($C1923,OFFSET(Data,1,0,1),0)-2,FALSE()))),Lacking,IF(ISNA(MATCH(DATEVALUE("37"&amp;MID($B1923,3,2)&amp;"-"&amp;MID($B1923,5,2)&amp;"-"&amp;RIGHT($B1923,2)),OFFSET(Catalogus,0,0,,1),0)),Ok,VLOOKUP(DATEVALUE("37"&amp;MID($B1923,3,2)&amp;"-"&amp;MID($B1923,5,2)&amp;"-"&amp;RIGHT($B1923,2)),Catalogus,MATCH(LEFT(VLOOKUP(MID(E$1,2,LEN(E$1)-1),Parameters,2,FALSE()),4)&amp;"*",OFFSET(Catalogus,0,0,1),0)+MATCH($C1923,OFFSET(Catalogus,1,0,1),0)-2,FALSE())))</f>
        <v>7</v>
      </c>
    </row>
    <row r="1924" spans="1:5" x14ac:dyDescent="0.25">
      <c r="A1924" s="3">
        <f t="shared" si="91"/>
        <v>78989</v>
      </c>
      <c r="B1924" t="str">
        <f ca="1">TEXT(DATE(YEAR(Invoer!$A$5),1,1)+INT((ROWS(B$2:B1924)-1)/24),"""18""jjmmdd")</f>
        <v>18980322</v>
      </c>
      <c r="C1924" s="11" t="str">
        <f>INDEX(Data,2,2+MOD(ROWS(C$2:C1924)-1,24))</f>
        <v>03.00</v>
      </c>
      <c r="D1924" s="8" t="str">
        <f t="shared" ca="1" si="92"/>
        <v>—</v>
      </c>
      <c r="E1924" s="16">
        <f t="shared" ca="1" si="93"/>
        <v>7</v>
      </c>
    </row>
    <row r="1925" spans="1:5" x14ac:dyDescent="0.25">
      <c r="A1925" s="3">
        <f t="shared" si="91"/>
        <v>78989</v>
      </c>
      <c r="B1925" t="str">
        <f ca="1">TEXT(DATE(YEAR(Invoer!$A$5),1,1)+INT((ROWS(B$2:B1925)-1)/24),"""18""jjmmdd")</f>
        <v>18980322</v>
      </c>
      <c r="C1925" s="11" t="str">
        <f>INDEX(Data,2,2+MOD(ROWS(C$2:C1925)-1,24))</f>
        <v>04.00</v>
      </c>
      <c r="D1925" s="8" t="str">
        <f t="shared" ca="1" si="92"/>
        <v>—</v>
      </c>
      <c r="E1925" s="16">
        <f t="shared" ca="1" si="93"/>
        <v>7</v>
      </c>
    </row>
    <row r="1926" spans="1:5" x14ac:dyDescent="0.25">
      <c r="A1926" s="3">
        <f t="shared" si="91"/>
        <v>78989</v>
      </c>
      <c r="B1926" t="str">
        <f ca="1">TEXT(DATE(YEAR(Invoer!$A$5),1,1)+INT((ROWS(B$2:B1926)-1)/24),"""18""jjmmdd")</f>
        <v>18980322</v>
      </c>
      <c r="C1926" s="11" t="str">
        <f>INDEX(Data,2,2+MOD(ROWS(C$2:C1926)-1,24))</f>
        <v>05.00</v>
      </c>
      <c r="D1926" s="8" t="str">
        <f t="shared" ca="1" si="92"/>
        <v>—</v>
      </c>
      <c r="E1926" s="16">
        <f t="shared" ca="1" si="93"/>
        <v>7</v>
      </c>
    </row>
    <row r="1927" spans="1:5" x14ac:dyDescent="0.25">
      <c r="A1927" s="3">
        <f t="shared" si="91"/>
        <v>78989</v>
      </c>
      <c r="B1927" t="str">
        <f ca="1">TEXT(DATE(YEAR(Invoer!$A$5),1,1)+INT((ROWS(B$2:B1927)-1)/24),"""18""jjmmdd")</f>
        <v>18980322</v>
      </c>
      <c r="C1927" s="11" t="str">
        <f>INDEX(Data,2,2+MOD(ROWS(C$2:C1927)-1,24))</f>
        <v>06.00</v>
      </c>
      <c r="D1927" s="8" t="str">
        <f t="shared" ca="1" si="92"/>
        <v>—</v>
      </c>
      <c r="E1927" s="16">
        <f t="shared" ca="1" si="93"/>
        <v>7</v>
      </c>
    </row>
    <row r="1928" spans="1:5" x14ac:dyDescent="0.25">
      <c r="A1928" s="3">
        <f t="shared" si="91"/>
        <v>78989</v>
      </c>
      <c r="B1928" t="str">
        <f ca="1">TEXT(DATE(YEAR(Invoer!$A$5),1,1)+INT((ROWS(B$2:B1928)-1)/24),"""18""jjmmdd")</f>
        <v>18980322</v>
      </c>
      <c r="C1928" s="11" t="str">
        <f>INDEX(Data,2,2+MOD(ROWS(C$2:C1928)-1,24))</f>
        <v>07.00</v>
      </c>
      <c r="D1928" s="8" t="str">
        <f t="shared" ca="1" si="92"/>
        <v>—</v>
      </c>
      <c r="E1928" s="16">
        <f t="shared" ca="1" si="93"/>
        <v>7</v>
      </c>
    </row>
    <row r="1929" spans="1:5" x14ac:dyDescent="0.25">
      <c r="A1929" s="3">
        <f t="shared" si="91"/>
        <v>78989</v>
      </c>
      <c r="B1929" t="str">
        <f ca="1">TEXT(DATE(YEAR(Invoer!$A$5),1,1)+INT((ROWS(B$2:B1929)-1)/24),"""18""jjmmdd")</f>
        <v>18980322</v>
      </c>
      <c r="C1929" s="11" t="str">
        <f>INDEX(Data,2,2+MOD(ROWS(C$2:C1929)-1,24))</f>
        <v>08.00</v>
      </c>
      <c r="D1929" s="8" t="str">
        <f t="shared" ca="1" si="92"/>
        <v>—</v>
      </c>
      <c r="E1929" s="16">
        <f t="shared" ca="1" si="93"/>
        <v>7</v>
      </c>
    </row>
    <row r="1930" spans="1:5" x14ac:dyDescent="0.25">
      <c r="A1930" s="3">
        <f t="shared" si="91"/>
        <v>78989</v>
      </c>
      <c r="B1930" t="str">
        <f ca="1">TEXT(DATE(YEAR(Invoer!$A$5),1,1)+INT((ROWS(B$2:B1930)-1)/24),"""18""jjmmdd")</f>
        <v>18980322</v>
      </c>
      <c r="C1930" s="11" t="str">
        <f>INDEX(Data,2,2+MOD(ROWS(C$2:C1930)-1,24))</f>
        <v>09.00</v>
      </c>
      <c r="D1930" s="8" t="str">
        <f t="shared" ca="1" si="92"/>
        <v>—</v>
      </c>
      <c r="E1930" s="16">
        <f t="shared" ca="1" si="93"/>
        <v>7</v>
      </c>
    </row>
    <row r="1931" spans="1:5" x14ac:dyDescent="0.25">
      <c r="A1931" s="3">
        <f t="shared" si="91"/>
        <v>78989</v>
      </c>
      <c r="B1931" t="str">
        <f ca="1">TEXT(DATE(YEAR(Invoer!$A$5),1,1)+INT((ROWS(B$2:B1931)-1)/24),"""18""jjmmdd")</f>
        <v>18980322</v>
      </c>
      <c r="C1931" s="11" t="str">
        <f>INDEX(Data,2,2+MOD(ROWS(C$2:C1931)-1,24))</f>
        <v>10.00</v>
      </c>
      <c r="D1931" s="8" t="str">
        <f t="shared" ca="1" si="92"/>
        <v>—</v>
      </c>
      <c r="E1931" s="16">
        <f t="shared" ca="1" si="93"/>
        <v>7</v>
      </c>
    </row>
    <row r="1932" spans="1:5" x14ac:dyDescent="0.25">
      <c r="A1932" s="3">
        <f t="shared" si="91"/>
        <v>78989</v>
      </c>
      <c r="B1932" t="str">
        <f ca="1">TEXT(DATE(YEAR(Invoer!$A$5),1,1)+INT((ROWS(B$2:B1932)-1)/24),"""18""jjmmdd")</f>
        <v>18980322</v>
      </c>
      <c r="C1932" s="11" t="str">
        <f>INDEX(Data,2,2+MOD(ROWS(C$2:C1932)-1,24))</f>
        <v>11.00</v>
      </c>
      <c r="D1932" s="8" t="str">
        <f t="shared" ca="1" si="92"/>
        <v>—</v>
      </c>
      <c r="E1932" s="16">
        <f t="shared" ca="1" si="93"/>
        <v>7</v>
      </c>
    </row>
    <row r="1933" spans="1:5" x14ac:dyDescent="0.25">
      <c r="A1933" s="3">
        <f t="shared" si="91"/>
        <v>78989</v>
      </c>
      <c r="B1933" t="str">
        <f ca="1">TEXT(DATE(YEAR(Invoer!$A$5),1,1)+INT((ROWS(B$2:B1933)-1)/24),"""18""jjmmdd")</f>
        <v>18980322</v>
      </c>
      <c r="C1933" s="11" t="str">
        <f>INDEX(Data,2,2+MOD(ROWS(C$2:C1933)-1,24))</f>
        <v>12.00</v>
      </c>
      <c r="D1933" s="8" t="str">
        <f t="shared" ca="1" si="92"/>
        <v>—</v>
      </c>
      <c r="E1933" s="16">
        <f t="shared" ca="1" si="93"/>
        <v>7</v>
      </c>
    </row>
    <row r="1934" spans="1:5" x14ac:dyDescent="0.25">
      <c r="A1934" s="3">
        <f t="shared" si="91"/>
        <v>78989</v>
      </c>
      <c r="B1934" t="str">
        <f ca="1">TEXT(DATE(YEAR(Invoer!$A$5),1,1)+INT((ROWS(B$2:B1934)-1)/24),"""18""jjmmdd")</f>
        <v>18980322</v>
      </c>
      <c r="C1934" s="11" t="str">
        <f>INDEX(Data,2,2+MOD(ROWS(C$2:C1934)-1,24))</f>
        <v>13.00</v>
      </c>
      <c r="D1934" s="8" t="str">
        <f t="shared" ca="1" si="92"/>
        <v>—</v>
      </c>
      <c r="E1934" s="16">
        <f t="shared" ca="1" si="93"/>
        <v>7</v>
      </c>
    </row>
    <row r="1935" spans="1:5" x14ac:dyDescent="0.25">
      <c r="A1935" s="3">
        <f t="shared" si="91"/>
        <v>78989</v>
      </c>
      <c r="B1935" t="str">
        <f ca="1">TEXT(DATE(YEAR(Invoer!$A$5),1,1)+INT((ROWS(B$2:B1935)-1)/24),"""18""jjmmdd")</f>
        <v>18980322</v>
      </c>
      <c r="C1935" s="11" t="str">
        <f>INDEX(Data,2,2+MOD(ROWS(C$2:C1935)-1,24))</f>
        <v>14.00</v>
      </c>
      <c r="D1935" s="8" t="str">
        <f t="shared" ca="1" si="92"/>
        <v>—</v>
      </c>
      <c r="E1935" s="16">
        <f t="shared" ca="1" si="93"/>
        <v>7</v>
      </c>
    </row>
    <row r="1936" spans="1:5" x14ac:dyDescent="0.25">
      <c r="A1936" s="3">
        <f t="shared" si="91"/>
        <v>78989</v>
      </c>
      <c r="B1936" t="str">
        <f ca="1">TEXT(DATE(YEAR(Invoer!$A$5),1,1)+INT((ROWS(B$2:B1936)-1)/24),"""18""jjmmdd")</f>
        <v>18980322</v>
      </c>
      <c r="C1936" s="11" t="str">
        <f>INDEX(Data,2,2+MOD(ROWS(C$2:C1936)-1,24))</f>
        <v>15.00</v>
      </c>
      <c r="D1936" s="8" t="str">
        <f t="shared" ca="1" si="92"/>
        <v>—</v>
      </c>
      <c r="E1936" s="16">
        <f t="shared" ca="1" si="93"/>
        <v>7</v>
      </c>
    </row>
    <row r="1937" spans="1:5" x14ac:dyDescent="0.25">
      <c r="A1937" s="3">
        <f t="shared" si="91"/>
        <v>78989</v>
      </c>
      <c r="B1937" t="str">
        <f ca="1">TEXT(DATE(YEAR(Invoer!$A$5),1,1)+INT((ROWS(B$2:B1937)-1)/24),"""18""jjmmdd")</f>
        <v>18980322</v>
      </c>
      <c r="C1937" s="11" t="str">
        <f>INDEX(Data,2,2+MOD(ROWS(C$2:C1937)-1,24))</f>
        <v>16.00</v>
      </c>
      <c r="D1937" s="8" t="str">
        <f t="shared" ca="1" si="92"/>
        <v>—</v>
      </c>
      <c r="E1937" s="16">
        <f t="shared" ca="1" si="93"/>
        <v>7</v>
      </c>
    </row>
    <row r="1938" spans="1:5" x14ac:dyDescent="0.25">
      <c r="A1938" s="3">
        <f t="shared" si="91"/>
        <v>78989</v>
      </c>
      <c r="B1938" t="str">
        <f ca="1">TEXT(DATE(YEAR(Invoer!$A$5),1,1)+INT((ROWS(B$2:B1938)-1)/24),"""18""jjmmdd")</f>
        <v>18980322</v>
      </c>
      <c r="C1938" s="11" t="str">
        <f>INDEX(Data,2,2+MOD(ROWS(C$2:C1938)-1,24))</f>
        <v>17.00</v>
      </c>
      <c r="D1938" s="8" t="str">
        <f t="shared" ca="1" si="92"/>
        <v>—</v>
      </c>
      <c r="E1938" s="16">
        <f t="shared" ca="1" si="93"/>
        <v>7</v>
      </c>
    </row>
    <row r="1939" spans="1:5" x14ac:dyDescent="0.25">
      <c r="A1939" s="3">
        <f t="shared" si="91"/>
        <v>78989</v>
      </c>
      <c r="B1939" t="str">
        <f ca="1">TEXT(DATE(YEAR(Invoer!$A$5),1,1)+INT((ROWS(B$2:B1939)-1)/24),"""18""jjmmdd")</f>
        <v>18980322</v>
      </c>
      <c r="C1939" s="11" t="str">
        <f>INDEX(Data,2,2+MOD(ROWS(C$2:C1939)-1,24))</f>
        <v>18.00</v>
      </c>
      <c r="D1939" s="8" t="str">
        <f t="shared" ca="1" si="92"/>
        <v>—</v>
      </c>
      <c r="E1939" s="16">
        <f t="shared" ca="1" si="93"/>
        <v>7</v>
      </c>
    </row>
    <row r="1940" spans="1:5" x14ac:dyDescent="0.25">
      <c r="A1940" s="3">
        <f t="shared" si="91"/>
        <v>78989</v>
      </c>
      <c r="B1940" t="str">
        <f ca="1">TEXT(DATE(YEAR(Invoer!$A$5),1,1)+INT((ROWS(B$2:B1940)-1)/24),"""18""jjmmdd")</f>
        <v>18980322</v>
      </c>
      <c r="C1940" s="11" t="str">
        <f>INDEX(Data,2,2+MOD(ROWS(C$2:C1940)-1,24))</f>
        <v>19.00</v>
      </c>
      <c r="D1940" s="8" t="str">
        <f t="shared" ca="1" si="92"/>
        <v>—</v>
      </c>
      <c r="E1940" s="16">
        <f t="shared" ca="1" si="93"/>
        <v>7</v>
      </c>
    </row>
    <row r="1941" spans="1:5" x14ac:dyDescent="0.25">
      <c r="A1941" s="3">
        <f t="shared" si="91"/>
        <v>78989</v>
      </c>
      <c r="B1941" t="str">
        <f ca="1">TEXT(DATE(YEAR(Invoer!$A$5),1,1)+INT((ROWS(B$2:B1941)-1)/24),"""18""jjmmdd")</f>
        <v>18980322</v>
      </c>
      <c r="C1941" s="11" t="str">
        <f>INDEX(Data,2,2+MOD(ROWS(C$2:C1941)-1,24))</f>
        <v>20.00</v>
      </c>
      <c r="D1941" s="8" t="str">
        <f t="shared" ca="1" si="92"/>
        <v>—</v>
      </c>
      <c r="E1941" s="16">
        <f t="shared" ca="1" si="93"/>
        <v>7</v>
      </c>
    </row>
    <row r="1942" spans="1:5" x14ac:dyDescent="0.25">
      <c r="A1942" s="3">
        <f t="shared" si="91"/>
        <v>78989</v>
      </c>
      <c r="B1942" t="str">
        <f ca="1">TEXT(DATE(YEAR(Invoer!$A$5),1,1)+INT((ROWS(B$2:B1942)-1)/24),"""18""jjmmdd")</f>
        <v>18980322</v>
      </c>
      <c r="C1942" s="11" t="str">
        <f>INDEX(Data,2,2+MOD(ROWS(C$2:C1942)-1,24))</f>
        <v>21.00</v>
      </c>
      <c r="D1942" s="8" t="str">
        <f t="shared" ca="1" si="92"/>
        <v>—</v>
      </c>
      <c r="E1942" s="16">
        <f t="shared" ca="1" si="93"/>
        <v>7</v>
      </c>
    </row>
    <row r="1943" spans="1:5" x14ac:dyDescent="0.25">
      <c r="A1943" s="3">
        <f t="shared" si="91"/>
        <v>78989</v>
      </c>
      <c r="B1943" t="str">
        <f ca="1">TEXT(DATE(YEAR(Invoer!$A$5),1,1)+INT((ROWS(B$2:B1943)-1)/24),"""18""jjmmdd")</f>
        <v>18980322</v>
      </c>
      <c r="C1943" s="11" t="str">
        <f>INDEX(Data,2,2+MOD(ROWS(C$2:C1943)-1,24))</f>
        <v>22.00</v>
      </c>
      <c r="D1943" s="8" t="str">
        <f t="shared" ca="1" si="92"/>
        <v>—</v>
      </c>
      <c r="E1943" s="16">
        <f t="shared" ca="1" si="93"/>
        <v>7</v>
      </c>
    </row>
    <row r="1944" spans="1:5" x14ac:dyDescent="0.25">
      <c r="A1944" s="3">
        <f t="shared" si="91"/>
        <v>78989</v>
      </c>
      <c r="B1944" t="str">
        <f ca="1">TEXT(DATE(YEAR(Invoer!$A$5),1,1)+INT((ROWS(B$2:B1944)-1)/24),"""18""jjmmdd")</f>
        <v>18980322</v>
      </c>
      <c r="C1944" s="11" t="str">
        <f>INDEX(Data,2,2+MOD(ROWS(C$2:C1944)-1,24))</f>
        <v>23.00</v>
      </c>
      <c r="D1944" s="8" t="str">
        <f t="shared" ca="1" si="92"/>
        <v>—</v>
      </c>
      <c r="E1944" s="16">
        <f t="shared" ca="1" si="93"/>
        <v>7</v>
      </c>
    </row>
    <row r="1945" spans="1:5" x14ac:dyDescent="0.25">
      <c r="A1945" s="3">
        <f t="shared" si="91"/>
        <v>78989</v>
      </c>
      <c r="B1945" t="str">
        <f ca="1">TEXT(DATE(YEAR(Invoer!$A$5),1,1)+INT((ROWS(B$2:B1945)-1)/24),"""18""jjmmdd")</f>
        <v>18980322</v>
      </c>
      <c r="C1945" s="11" t="str">
        <f>INDEX(Data,2,2+MOD(ROWS(C$2:C1945)-1,24))</f>
        <v>24.00</v>
      </c>
      <c r="D1945" s="8" t="str">
        <f t="shared" ca="1" si="92"/>
        <v>—</v>
      </c>
      <c r="E1945" s="16">
        <f t="shared" ca="1" si="93"/>
        <v>7</v>
      </c>
    </row>
    <row r="1946" spans="1:5" x14ac:dyDescent="0.25">
      <c r="A1946" s="3">
        <f t="shared" si="91"/>
        <v>78989</v>
      </c>
      <c r="B1946" t="str">
        <f ca="1">TEXT(DATE(YEAR(Invoer!$A$5),1,1)+INT((ROWS(B$2:B1946)-1)/24),"""18""jjmmdd")</f>
        <v>18980323</v>
      </c>
      <c r="C1946" s="11" t="str">
        <f>INDEX(Data,2,2+MOD(ROWS(C$2:C1946)-1,24))</f>
        <v>01.00</v>
      </c>
      <c r="D1946" s="8" t="str">
        <f t="shared" ca="1" si="92"/>
        <v>—</v>
      </c>
      <c r="E1946" s="16">
        <f t="shared" ca="1" si="93"/>
        <v>7</v>
      </c>
    </row>
    <row r="1947" spans="1:5" x14ac:dyDescent="0.25">
      <c r="A1947" s="3">
        <f t="shared" si="91"/>
        <v>78989</v>
      </c>
      <c r="B1947" t="str">
        <f ca="1">TEXT(DATE(YEAR(Invoer!$A$5),1,1)+INT((ROWS(B$2:B1947)-1)/24),"""18""jjmmdd")</f>
        <v>18980323</v>
      </c>
      <c r="C1947" s="11" t="str">
        <f>INDEX(Data,2,2+MOD(ROWS(C$2:C1947)-1,24))</f>
        <v>02.00</v>
      </c>
      <c r="D1947" s="8" t="str">
        <f t="shared" ca="1" si="92"/>
        <v>—</v>
      </c>
      <c r="E1947" s="16">
        <f t="shared" ca="1" si="93"/>
        <v>7</v>
      </c>
    </row>
    <row r="1948" spans="1:5" x14ac:dyDescent="0.25">
      <c r="A1948" s="3">
        <f t="shared" si="91"/>
        <v>78989</v>
      </c>
      <c r="B1948" t="str">
        <f ca="1">TEXT(DATE(YEAR(Invoer!$A$5),1,1)+INT((ROWS(B$2:B1948)-1)/24),"""18""jjmmdd")</f>
        <v>18980323</v>
      </c>
      <c r="C1948" s="11" t="str">
        <f>INDEX(Data,2,2+MOD(ROWS(C$2:C1948)-1,24))</f>
        <v>03.00</v>
      </c>
      <c r="D1948" s="8" t="str">
        <f t="shared" ca="1" si="92"/>
        <v>—</v>
      </c>
      <c r="E1948" s="16">
        <f t="shared" ca="1" si="93"/>
        <v>7</v>
      </c>
    </row>
    <row r="1949" spans="1:5" x14ac:dyDescent="0.25">
      <c r="A1949" s="3">
        <f t="shared" si="91"/>
        <v>78989</v>
      </c>
      <c r="B1949" t="str">
        <f ca="1">TEXT(DATE(YEAR(Invoer!$A$5),1,1)+INT((ROWS(B$2:B1949)-1)/24),"""18""jjmmdd")</f>
        <v>18980323</v>
      </c>
      <c r="C1949" s="11" t="str">
        <f>INDEX(Data,2,2+MOD(ROWS(C$2:C1949)-1,24))</f>
        <v>04.00</v>
      </c>
      <c r="D1949" s="8" t="str">
        <f t="shared" ca="1" si="92"/>
        <v>—</v>
      </c>
      <c r="E1949" s="16">
        <f t="shared" ca="1" si="93"/>
        <v>7</v>
      </c>
    </row>
    <row r="1950" spans="1:5" x14ac:dyDescent="0.25">
      <c r="A1950" s="3">
        <f t="shared" si="91"/>
        <v>78989</v>
      </c>
      <c r="B1950" t="str">
        <f ca="1">TEXT(DATE(YEAR(Invoer!$A$5),1,1)+INT((ROWS(B$2:B1950)-1)/24),"""18""jjmmdd")</f>
        <v>18980323</v>
      </c>
      <c r="C1950" s="11" t="str">
        <f>INDEX(Data,2,2+MOD(ROWS(C$2:C1950)-1,24))</f>
        <v>05.00</v>
      </c>
      <c r="D1950" s="8" t="str">
        <f t="shared" ca="1" si="92"/>
        <v>—</v>
      </c>
      <c r="E1950" s="16">
        <f t="shared" ca="1" si="93"/>
        <v>7</v>
      </c>
    </row>
    <row r="1951" spans="1:5" x14ac:dyDescent="0.25">
      <c r="A1951" s="3">
        <f t="shared" si="91"/>
        <v>78989</v>
      </c>
      <c r="B1951" t="str">
        <f ca="1">TEXT(DATE(YEAR(Invoer!$A$5),1,1)+INT((ROWS(B$2:B1951)-1)/24),"""18""jjmmdd")</f>
        <v>18980323</v>
      </c>
      <c r="C1951" s="11" t="str">
        <f>INDEX(Data,2,2+MOD(ROWS(C$2:C1951)-1,24))</f>
        <v>06.00</v>
      </c>
      <c r="D1951" s="8" t="str">
        <f t="shared" ca="1" si="92"/>
        <v>—</v>
      </c>
      <c r="E1951" s="16">
        <f t="shared" ca="1" si="93"/>
        <v>7</v>
      </c>
    </row>
    <row r="1952" spans="1:5" x14ac:dyDescent="0.25">
      <c r="A1952" s="3">
        <f t="shared" si="91"/>
        <v>78989</v>
      </c>
      <c r="B1952" t="str">
        <f ca="1">TEXT(DATE(YEAR(Invoer!$A$5),1,1)+INT((ROWS(B$2:B1952)-1)/24),"""18""jjmmdd")</f>
        <v>18980323</v>
      </c>
      <c r="C1952" s="11" t="str">
        <f>INDEX(Data,2,2+MOD(ROWS(C$2:C1952)-1,24))</f>
        <v>07.00</v>
      </c>
      <c r="D1952" s="8" t="str">
        <f t="shared" ca="1" si="92"/>
        <v>—</v>
      </c>
      <c r="E1952" s="16">
        <f t="shared" ca="1" si="93"/>
        <v>7</v>
      </c>
    </row>
    <row r="1953" spans="1:5" x14ac:dyDescent="0.25">
      <c r="A1953" s="3">
        <f t="shared" si="91"/>
        <v>78989</v>
      </c>
      <c r="B1953" t="str">
        <f ca="1">TEXT(DATE(YEAR(Invoer!$A$5),1,1)+INT((ROWS(B$2:B1953)-1)/24),"""18""jjmmdd")</f>
        <v>18980323</v>
      </c>
      <c r="C1953" s="11" t="str">
        <f>INDEX(Data,2,2+MOD(ROWS(C$2:C1953)-1,24))</f>
        <v>08.00</v>
      </c>
      <c r="D1953" s="8" t="str">
        <f t="shared" ca="1" si="92"/>
        <v>—</v>
      </c>
      <c r="E1953" s="16">
        <f t="shared" ca="1" si="93"/>
        <v>7</v>
      </c>
    </row>
    <row r="1954" spans="1:5" x14ac:dyDescent="0.25">
      <c r="A1954" s="3">
        <f t="shared" si="91"/>
        <v>78989</v>
      </c>
      <c r="B1954" t="str">
        <f ca="1">TEXT(DATE(YEAR(Invoer!$A$5),1,1)+INT((ROWS(B$2:B1954)-1)/24),"""18""jjmmdd")</f>
        <v>18980323</v>
      </c>
      <c r="C1954" s="11" t="str">
        <f>INDEX(Data,2,2+MOD(ROWS(C$2:C1954)-1,24))</f>
        <v>09.00</v>
      </c>
      <c r="D1954" s="8" t="str">
        <f t="shared" ca="1" si="92"/>
        <v>—</v>
      </c>
      <c r="E1954" s="16">
        <f t="shared" ca="1" si="93"/>
        <v>7</v>
      </c>
    </row>
    <row r="1955" spans="1:5" x14ac:dyDescent="0.25">
      <c r="A1955" s="3">
        <f t="shared" si="91"/>
        <v>78989</v>
      </c>
      <c r="B1955" t="str">
        <f ca="1">TEXT(DATE(YEAR(Invoer!$A$5),1,1)+INT((ROWS(B$2:B1955)-1)/24),"""18""jjmmdd")</f>
        <v>18980323</v>
      </c>
      <c r="C1955" s="11" t="str">
        <f>INDEX(Data,2,2+MOD(ROWS(C$2:C1955)-1,24))</f>
        <v>10.00</v>
      </c>
      <c r="D1955" s="8" t="str">
        <f t="shared" ca="1" si="92"/>
        <v>—</v>
      </c>
      <c r="E1955" s="16">
        <f t="shared" ca="1" si="93"/>
        <v>7</v>
      </c>
    </row>
    <row r="1956" spans="1:5" x14ac:dyDescent="0.25">
      <c r="A1956" s="3">
        <f t="shared" si="91"/>
        <v>78989</v>
      </c>
      <c r="B1956" t="str">
        <f ca="1">TEXT(DATE(YEAR(Invoer!$A$5),1,1)+INT((ROWS(B$2:B1956)-1)/24),"""18""jjmmdd")</f>
        <v>18980323</v>
      </c>
      <c r="C1956" s="11" t="str">
        <f>INDEX(Data,2,2+MOD(ROWS(C$2:C1956)-1,24))</f>
        <v>11.00</v>
      </c>
      <c r="D1956" s="8" t="str">
        <f t="shared" ca="1" si="92"/>
        <v>—</v>
      </c>
      <c r="E1956" s="16">
        <f t="shared" ca="1" si="93"/>
        <v>7</v>
      </c>
    </row>
    <row r="1957" spans="1:5" x14ac:dyDescent="0.25">
      <c r="A1957" s="3">
        <f t="shared" si="91"/>
        <v>78989</v>
      </c>
      <c r="B1957" t="str">
        <f ca="1">TEXT(DATE(YEAR(Invoer!$A$5),1,1)+INT((ROWS(B$2:B1957)-1)/24),"""18""jjmmdd")</f>
        <v>18980323</v>
      </c>
      <c r="C1957" s="11" t="str">
        <f>INDEX(Data,2,2+MOD(ROWS(C$2:C1957)-1,24))</f>
        <v>12.00</v>
      </c>
      <c r="D1957" s="8" t="str">
        <f t="shared" ca="1" si="92"/>
        <v>—</v>
      </c>
      <c r="E1957" s="16">
        <f t="shared" ca="1" si="93"/>
        <v>7</v>
      </c>
    </row>
    <row r="1958" spans="1:5" x14ac:dyDescent="0.25">
      <c r="A1958" s="3">
        <f t="shared" si="91"/>
        <v>78989</v>
      </c>
      <c r="B1958" t="str">
        <f ca="1">TEXT(DATE(YEAR(Invoer!$A$5),1,1)+INT((ROWS(B$2:B1958)-1)/24),"""18""jjmmdd")</f>
        <v>18980323</v>
      </c>
      <c r="C1958" s="11" t="str">
        <f>INDEX(Data,2,2+MOD(ROWS(C$2:C1958)-1,24))</f>
        <v>13.00</v>
      </c>
      <c r="D1958" s="8" t="str">
        <f t="shared" ca="1" si="92"/>
        <v>—</v>
      </c>
      <c r="E1958" s="16">
        <f t="shared" ca="1" si="93"/>
        <v>7</v>
      </c>
    </row>
    <row r="1959" spans="1:5" x14ac:dyDescent="0.25">
      <c r="A1959" s="3">
        <f t="shared" si="91"/>
        <v>78989</v>
      </c>
      <c r="B1959" t="str">
        <f ca="1">TEXT(DATE(YEAR(Invoer!$A$5),1,1)+INT((ROWS(B$2:B1959)-1)/24),"""18""jjmmdd")</f>
        <v>18980323</v>
      </c>
      <c r="C1959" s="11" t="str">
        <f>INDEX(Data,2,2+MOD(ROWS(C$2:C1959)-1,24))</f>
        <v>14.00</v>
      </c>
      <c r="D1959" s="8" t="str">
        <f t="shared" ca="1" si="92"/>
        <v>—</v>
      </c>
      <c r="E1959" s="16">
        <f t="shared" ca="1" si="93"/>
        <v>7</v>
      </c>
    </row>
    <row r="1960" spans="1:5" x14ac:dyDescent="0.25">
      <c r="A1960" s="3">
        <f t="shared" si="91"/>
        <v>78989</v>
      </c>
      <c r="B1960" t="str">
        <f ca="1">TEXT(DATE(YEAR(Invoer!$A$5),1,1)+INT((ROWS(B$2:B1960)-1)/24),"""18""jjmmdd")</f>
        <v>18980323</v>
      </c>
      <c r="C1960" s="11" t="str">
        <f>INDEX(Data,2,2+MOD(ROWS(C$2:C1960)-1,24))</f>
        <v>15.00</v>
      </c>
      <c r="D1960" s="8" t="str">
        <f t="shared" ca="1" si="92"/>
        <v>—</v>
      </c>
      <c r="E1960" s="16">
        <f t="shared" ca="1" si="93"/>
        <v>7</v>
      </c>
    </row>
    <row r="1961" spans="1:5" x14ac:dyDescent="0.25">
      <c r="A1961" s="3">
        <f t="shared" si="91"/>
        <v>78989</v>
      </c>
      <c r="B1961" t="str">
        <f ca="1">TEXT(DATE(YEAR(Invoer!$A$5),1,1)+INT((ROWS(B$2:B1961)-1)/24),"""18""jjmmdd")</f>
        <v>18980323</v>
      </c>
      <c r="C1961" s="11" t="str">
        <f>INDEX(Data,2,2+MOD(ROWS(C$2:C1961)-1,24))</f>
        <v>16.00</v>
      </c>
      <c r="D1961" s="8" t="str">
        <f t="shared" ca="1" si="92"/>
        <v>—</v>
      </c>
      <c r="E1961" s="16">
        <f t="shared" ca="1" si="93"/>
        <v>7</v>
      </c>
    </row>
    <row r="1962" spans="1:5" x14ac:dyDescent="0.25">
      <c r="A1962" s="3">
        <f t="shared" si="91"/>
        <v>78989</v>
      </c>
      <c r="B1962" t="str">
        <f ca="1">TEXT(DATE(YEAR(Invoer!$A$5),1,1)+INT((ROWS(B$2:B1962)-1)/24),"""18""jjmmdd")</f>
        <v>18980323</v>
      </c>
      <c r="C1962" s="11" t="str">
        <f>INDEX(Data,2,2+MOD(ROWS(C$2:C1962)-1,24))</f>
        <v>17.00</v>
      </c>
      <c r="D1962" s="8" t="str">
        <f t="shared" ca="1" si="92"/>
        <v>—</v>
      </c>
      <c r="E1962" s="16">
        <f t="shared" ca="1" si="93"/>
        <v>7</v>
      </c>
    </row>
    <row r="1963" spans="1:5" x14ac:dyDescent="0.25">
      <c r="A1963" s="3">
        <f t="shared" si="91"/>
        <v>78989</v>
      </c>
      <c r="B1963" t="str">
        <f ca="1">TEXT(DATE(YEAR(Invoer!$A$5),1,1)+INT((ROWS(B$2:B1963)-1)/24),"""18""jjmmdd")</f>
        <v>18980323</v>
      </c>
      <c r="C1963" s="11" t="str">
        <f>INDEX(Data,2,2+MOD(ROWS(C$2:C1963)-1,24))</f>
        <v>18.00</v>
      </c>
      <c r="D1963" s="8" t="str">
        <f t="shared" ca="1" si="92"/>
        <v>—</v>
      </c>
      <c r="E1963" s="16">
        <f t="shared" ca="1" si="93"/>
        <v>7</v>
      </c>
    </row>
    <row r="1964" spans="1:5" x14ac:dyDescent="0.25">
      <c r="A1964" s="3">
        <f t="shared" si="91"/>
        <v>78989</v>
      </c>
      <c r="B1964" t="str">
        <f ca="1">TEXT(DATE(YEAR(Invoer!$A$5),1,1)+INT((ROWS(B$2:B1964)-1)/24),"""18""jjmmdd")</f>
        <v>18980323</v>
      </c>
      <c r="C1964" s="11" t="str">
        <f>INDEX(Data,2,2+MOD(ROWS(C$2:C1964)-1,24))</f>
        <v>19.00</v>
      </c>
      <c r="D1964" s="8" t="str">
        <f t="shared" ca="1" si="92"/>
        <v>—</v>
      </c>
      <c r="E1964" s="16">
        <f t="shared" ca="1" si="93"/>
        <v>7</v>
      </c>
    </row>
    <row r="1965" spans="1:5" x14ac:dyDescent="0.25">
      <c r="A1965" s="3">
        <f t="shared" si="91"/>
        <v>78989</v>
      </c>
      <c r="B1965" t="str">
        <f ca="1">TEXT(DATE(YEAR(Invoer!$A$5),1,1)+INT((ROWS(B$2:B1965)-1)/24),"""18""jjmmdd")</f>
        <v>18980323</v>
      </c>
      <c r="C1965" s="11" t="str">
        <f>INDEX(Data,2,2+MOD(ROWS(C$2:C1965)-1,24))</f>
        <v>20.00</v>
      </c>
      <c r="D1965" s="8" t="str">
        <f t="shared" ca="1" si="92"/>
        <v>—</v>
      </c>
      <c r="E1965" s="16">
        <f t="shared" ca="1" si="93"/>
        <v>7</v>
      </c>
    </row>
    <row r="1966" spans="1:5" x14ac:dyDescent="0.25">
      <c r="A1966" s="3">
        <f t="shared" si="91"/>
        <v>78989</v>
      </c>
      <c r="B1966" t="str">
        <f ca="1">TEXT(DATE(YEAR(Invoer!$A$5),1,1)+INT((ROWS(B$2:B1966)-1)/24),"""18""jjmmdd")</f>
        <v>18980323</v>
      </c>
      <c r="C1966" s="11" t="str">
        <f>INDEX(Data,2,2+MOD(ROWS(C$2:C1966)-1,24))</f>
        <v>21.00</v>
      </c>
      <c r="D1966" s="8" t="str">
        <f t="shared" ca="1" si="92"/>
        <v>—</v>
      </c>
      <c r="E1966" s="16">
        <f t="shared" ca="1" si="93"/>
        <v>7</v>
      </c>
    </row>
    <row r="1967" spans="1:5" x14ac:dyDescent="0.25">
      <c r="A1967" s="3">
        <f t="shared" si="91"/>
        <v>78989</v>
      </c>
      <c r="B1967" t="str">
        <f ca="1">TEXT(DATE(YEAR(Invoer!$A$5),1,1)+INT((ROWS(B$2:B1967)-1)/24),"""18""jjmmdd")</f>
        <v>18980323</v>
      </c>
      <c r="C1967" s="11" t="str">
        <f>INDEX(Data,2,2+MOD(ROWS(C$2:C1967)-1,24))</f>
        <v>22.00</v>
      </c>
      <c r="D1967" s="8" t="str">
        <f t="shared" ca="1" si="92"/>
        <v>—</v>
      </c>
      <c r="E1967" s="16">
        <f t="shared" ca="1" si="93"/>
        <v>7</v>
      </c>
    </row>
    <row r="1968" spans="1:5" x14ac:dyDescent="0.25">
      <c r="A1968" s="3">
        <f t="shared" si="91"/>
        <v>78989</v>
      </c>
      <c r="B1968" t="str">
        <f ca="1">TEXT(DATE(YEAR(Invoer!$A$5),1,1)+INT((ROWS(B$2:B1968)-1)/24),"""18""jjmmdd")</f>
        <v>18980323</v>
      </c>
      <c r="C1968" s="11" t="str">
        <f>INDEX(Data,2,2+MOD(ROWS(C$2:C1968)-1,24))</f>
        <v>23.00</v>
      </c>
      <c r="D1968" s="8" t="str">
        <f t="shared" ca="1" si="92"/>
        <v>—</v>
      </c>
      <c r="E1968" s="16">
        <f t="shared" ca="1" si="93"/>
        <v>7</v>
      </c>
    </row>
    <row r="1969" spans="1:5" x14ac:dyDescent="0.25">
      <c r="A1969" s="3">
        <f t="shared" si="91"/>
        <v>78989</v>
      </c>
      <c r="B1969" t="str">
        <f ca="1">TEXT(DATE(YEAR(Invoer!$A$5),1,1)+INT((ROWS(B$2:B1969)-1)/24),"""18""jjmmdd")</f>
        <v>18980323</v>
      </c>
      <c r="C1969" s="11" t="str">
        <f>INDEX(Data,2,2+MOD(ROWS(C$2:C1969)-1,24))</f>
        <v>24.00</v>
      </c>
      <c r="D1969" s="8" t="str">
        <f t="shared" ca="1" si="92"/>
        <v>—</v>
      </c>
      <c r="E1969" s="16">
        <f t="shared" ca="1" si="93"/>
        <v>7</v>
      </c>
    </row>
    <row r="1970" spans="1:5" x14ac:dyDescent="0.25">
      <c r="A1970" s="3">
        <f t="shared" si="91"/>
        <v>78989</v>
      </c>
      <c r="B1970" t="str">
        <f ca="1">TEXT(DATE(YEAR(Invoer!$A$5),1,1)+INT((ROWS(B$2:B1970)-1)/24),"""18""jjmmdd")</f>
        <v>18980324</v>
      </c>
      <c r="C1970" s="11" t="str">
        <f>INDEX(Data,2,2+MOD(ROWS(C$2:C1970)-1,24))</f>
        <v>01.00</v>
      </c>
      <c r="D1970" s="8" t="str">
        <f t="shared" ca="1" si="92"/>
        <v>—</v>
      </c>
      <c r="E1970" s="16">
        <f t="shared" ca="1" si="93"/>
        <v>7</v>
      </c>
    </row>
    <row r="1971" spans="1:5" x14ac:dyDescent="0.25">
      <c r="A1971" s="3">
        <f t="shared" si="91"/>
        <v>78989</v>
      </c>
      <c r="B1971" t="str">
        <f ca="1">TEXT(DATE(YEAR(Invoer!$A$5),1,1)+INT((ROWS(B$2:B1971)-1)/24),"""18""jjmmdd")</f>
        <v>18980324</v>
      </c>
      <c r="C1971" s="11" t="str">
        <f>INDEX(Data,2,2+MOD(ROWS(C$2:C1971)-1,24))</f>
        <v>02.00</v>
      </c>
      <c r="D1971" s="8" t="str">
        <f t="shared" ca="1" si="92"/>
        <v>—</v>
      </c>
      <c r="E1971" s="16">
        <f t="shared" ca="1" si="93"/>
        <v>7</v>
      </c>
    </row>
    <row r="1972" spans="1:5" x14ac:dyDescent="0.25">
      <c r="A1972" s="3">
        <f t="shared" si="91"/>
        <v>78989</v>
      </c>
      <c r="B1972" t="str">
        <f ca="1">TEXT(DATE(YEAR(Invoer!$A$5),1,1)+INT((ROWS(B$2:B1972)-1)/24),"""18""jjmmdd")</f>
        <v>18980324</v>
      </c>
      <c r="C1972" s="11" t="str">
        <f>INDEX(Data,2,2+MOD(ROWS(C$2:C1972)-1,24))</f>
        <v>03.00</v>
      </c>
      <c r="D1972" s="8" t="str">
        <f t="shared" ca="1" si="92"/>
        <v>—</v>
      </c>
      <c r="E1972" s="16">
        <f t="shared" ca="1" si="93"/>
        <v>7</v>
      </c>
    </row>
    <row r="1973" spans="1:5" x14ac:dyDescent="0.25">
      <c r="A1973" s="3">
        <f t="shared" si="91"/>
        <v>78989</v>
      </c>
      <c r="B1973" t="str">
        <f ca="1">TEXT(DATE(YEAR(Invoer!$A$5),1,1)+INT((ROWS(B$2:B1973)-1)/24),"""18""jjmmdd")</f>
        <v>18980324</v>
      </c>
      <c r="C1973" s="11" t="str">
        <f>INDEX(Data,2,2+MOD(ROWS(C$2:C1973)-1,24))</f>
        <v>04.00</v>
      </c>
      <c r="D1973" s="8" t="str">
        <f t="shared" ca="1" si="92"/>
        <v>—</v>
      </c>
      <c r="E1973" s="16">
        <f t="shared" ca="1" si="93"/>
        <v>7</v>
      </c>
    </row>
    <row r="1974" spans="1:5" x14ac:dyDescent="0.25">
      <c r="A1974" s="3">
        <f t="shared" si="91"/>
        <v>78989</v>
      </c>
      <c r="B1974" t="str">
        <f ca="1">TEXT(DATE(YEAR(Invoer!$A$5),1,1)+INT((ROWS(B$2:B1974)-1)/24),"""18""jjmmdd")</f>
        <v>18980324</v>
      </c>
      <c r="C1974" s="11" t="str">
        <f>INDEX(Data,2,2+MOD(ROWS(C$2:C1974)-1,24))</f>
        <v>05.00</v>
      </c>
      <c r="D1974" s="8" t="str">
        <f t="shared" ca="1" si="92"/>
        <v>—</v>
      </c>
      <c r="E1974" s="16">
        <f t="shared" ca="1" si="93"/>
        <v>7</v>
      </c>
    </row>
    <row r="1975" spans="1:5" x14ac:dyDescent="0.25">
      <c r="A1975" s="3">
        <f t="shared" si="91"/>
        <v>78989</v>
      </c>
      <c r="B1975" t="str">
        <f ca="1">TEXT(DATE(YEAR(Invoer!$A$5),1,1)+INT((ROWS(B$2:B1975)-1)/24),"""18""jjmmdd")</f>
        <v>18980324</v>
      </c>
      <c r="C1975" s="11" t="str">
        <f>INDEX(Data,2,2+MOD(ROWS(C$2:C1975)-1,24))</f>
        <v>06.00</v>
      </c>
      <c r="D1975" s="8" t="str">
        <f t="shared" ca="1" si="92"/>
        <v>—</v>
      </c>
      <c r="E1975" s="16">
        <f t="shared" ca="1" si="93"/>
        <v>7</v>
      </c>
    </row>
    <row r="1976" spans="1:5" x14ac:dyDescent="0.25">
      <c r="A1976" s="3">
        <f t="shared" si="91"/>
        <v>78989</v>
      </c>
      <c r="B1976" t="str">
        <f ca="1">TEXT(DATE(YEAR(Invoer!$A$5),1,1)+INT((ROWS(B$2:B1976)-1)/24),"""18""jjmmdd")</f>
        <v>18980324</v>
      </c>
      <c r="C1976" s="11" t="str">
        <f>INDEX(Data,2,2+MOD(ROWS(C$2:C1976)-1,24))</f>
        <v>07.00</v>
      </c>
      <c r="D1976" s="8" t="str">
        <f t="shared" ca="1" si="92"/>
        <v>—</v>
      </c>
      <c r="E1976" s="16">
        <f t="shared" ca="1" si="93"/>
        <v>7</v>
      </c>
    </row>
    <row r="1977" spans="1:5" x14ac:dyDescent="0.25">
      <c r="A1977" s="3">
        <f t="shared" si="91"/>
        <v>78989</v>
      </c>
      <c r="B1977" t="str">
        <f ca="1">TEXT(DATE(YEAR(Invoer!$A$5),1,1)+INT((ROWS(B$2:B1977)-1)/24),"""18""jjmmdd")</f>
        <v>18980324</v>
      </c>
      <c r="C1977" s="11" t="str">
        <f>INDEX(Data,2,2+MOD(ROWS(C$2:C1977)-1,24))</f>
        <v>08.00</v>
      </c>
      <c r="D1977" s="8" t="str">
        <f t="shared" ca="1" si="92"/>
        <v>—</v>
      </c>
      <c r="E1977" s="16">
        <f t="shared" ca="1" si="93"/>
        <v>7</v>
      </c>
    </row>
    <row r="1978" spans="1:5" x14ac:dyDescent="0.25">
      <c r="A1978" s="3">
        <f t="shared" si="91"/>
        <v>78989</v>
      </c>
      <c r="B1978" t="str">
        <f ca="1">TEXT(DATE(YEAR(Invoer!$A$5),1,1)+INT((ROWS(B$2:B1978)-1)/24),"""18""jjmmdd")</f>
        <v>18980324</v>
      </c>
      <c r="C1978" s="11" t="str">
        <f>INDEX(Data,2,2+MOD(ROWS(C$2:C1978)-1,24))</f>
        <v>09.00</v>
      </c>
      <c r="D1978" s="8" t="str">
        <f t="shared" ca="1" si="92"/>
        <v>—</v>
      </c>
      <c r="E1978" s="16">
        <f t="shared" ca="1" si="93"/>
        <v>7</v>
      </c>
    </row>
    <row r="1979" spans="1:5" x14ac:dyDescent="0.25">
      <c r="A1979" s="3">
        <f t="shared" si="91"/>
        <v>78989</v>
      </c>
      <c r="B1979" t="str">
        <f ca="1">TEXT(DATE(YEAR(Invoer!$A$5),1,1)+INT((ROWS(B$2:B1979)-1)/24),"""18""jjmmdd")</f>
        <v>18980324</v>
      </c>
      <c r="C1979" s="11" t="str">
        <f>INDEX(Data,2,2+MOD(ROWS(C$2:C1979)-1,24))</f>
        <v>10.00</v>
      </c>
      <c r="D1979" s="8" t="str">
        <f t="shared" ca="1" si="92"/>
        <v>—</v>
      </c>
      <c r="E1979" s="16">
        <f t="shared" ca="1" si="93"/>
        <v>7</v>
      </c>
    </row>
    <row r="1980" spans="1:5" x14ac:dyDescent="0.25">
      <c r="A1980" s="3">
        <f t="shared" si="91"/>
        <v>78989</v>
      </c>
      <c r="B1980" t="str">
        <f ca="1">TEXT(DATE(YEAR(Invoer!$A$5),1,1)+INT((ROWS(B$2:B1980)-1)/24),"""18""jjmmdd")</f>
        <v>18980324</v>
      </c>
      <c r="C1980" s="11" t="str">
        <f>INDEX(Data,2,2+MOD(ROWS(C$2:C1980)-1,24))</f>
        <v>11.00</v>
      </c>
      <c r="D1980" s="8" t="str">
        <f t="shared" ca="1" si="92"/>
        <v>—</v>
      </c>
      <c r="E1980" s="16">
        <f t="shared" ca="1" si="93"/>
        <v>7</v>
      </c>
    </row>
    <row r="1981" spans="1:5" x14ac:dyDescent="0.25">
      <c r="A1981" s="3">
        <f t="shared" si="91"/>
        <v>78989</v>
      </c>
      <c r="B1981" t="str">
        <f ca="1">TEXT(DATE(YEAR(Invoer!$A$5),1,1)+INT((ROWS(B$2:B1981)-1)/24),"""18""jjmmdd")</f>
        <v>18980324</v>
      </c>
      <c r="C1981" s="11" t="str">
        <f>INDEX(Data,2,2+MOD(ROWS(C$2:C1981)-1,24))</f>
        <v>12.00</v>
      </c>
      <c r="D1981" s="8" t="str">
        <f t="shared" ca="1" si="92"/>
        <v>—</v>
      </c>
      <c r="E1981" s="16">
        <f t="shared" ca="1" si="93"/>
        <v>7</v>
      </c>
    </row>
    <row r="1982" spans="1:5" x14ac:dyDescent="0.25">
      <c r="A1982" s="3">
        <f t="shared" si="91"/>
        <v>78989</v>
      </c>
      <c r="B1982" t="str">
        <f ca="1">TEXT(DATE(YEAR(Invoer!$A$5),1,1)+INT((ROWS(B$2:B1982)-1)/24),"""18""jjmmdd")</f>
        <v>18980324</v>
      </c>
      <c r="C1982" s="11" t="str">
        <f>INDEX(Data,2,2+MOD(ROWS(C$2:C1982)-1,24))</f>
        <v>13.00</v>
      </c>
      <c r="D1982" s="8" t="str">
        <f t="shared" ca="1" si="92"/>
        <v>—</v>
      </c>
      <c r="E1982" s="16">
        <f t="shared" ca="1" si="93"/>
        <v>7</v>
      </c>
    </row>
    <row r="1983" spans="1:5" x14ac:dyDescent="0.25">
      <c r="A1983" s="3">
        <f t="shared" si="91"/>
        <v>78989</v>
      </c>
      <c r="B1983" t="str">
        <f ca="1">TEXT(DATE(YEAR(Invoer!$A$5),1,1)+INT((ROWS(B$2:B1983)-1)/24),"""18""jjmmdd")</f>
        <v>18980324</v>
      </c>
      <c r="C1983" s="11" t="str">
        <f>INDEX(Data,2,2+MOD(ROWS(C$2:C1983)-1,24))</f>
        <v>14.00</v>
      </c>
      <c r="D1983" s="8" t="str">
        <f t="shared" ca="1" si="92"/>
        <v>—</v>
      </c>
      <c r="E1983" s="16">
        <f t="shared" ca="1" si="93"/>
        <v>7</v>
      </c>
    </row>
    <row r="1984" spans="1:5" x14ac:dyDescent="0.25">
      <c r="A1984" s="3">
        <f t="shared" si="91"/>
        <v>78989</v>
      </c>
      <c r="B1984" t="str">
        <f ca="1">TEXT(DATE(YEAR(Invoer!$A$5),1,1)+INT((ROWS(B$2:B1984)-1)/24),"""18""jjmmdd")</f>
        <v>18980324</v>
      </c>
      <c r="C1984" s="11" t="str">
        <f>INDEX(Data,2,2+MOD(ROWS(C$2:C1984)-1,24))</f>
        <v>15.00</v>
      </c>
      <c r="D1984" s="8" t="str">
        <f t="shared" ca="1" si="92"/>
        <v>—</v>
      </c>
      <c r="E1984" s="16">
        <f t="shared" ca="1" si="93"/>
        <v>7</v>
      </c>
    </row>
    <row r="1985" spans="1:5" x14ac:dyDescent="0.25">
      <c r="A1985" s="3">
        <f t="shared" si="91"/>
        <v>78989</v>
      </c>
      <c r="B1985" t="str">
        <f ca="1">TEXT(DATE(YEAR(Invoer!$A$5),1,1)+INT((ROWS(B$2:B1985)-1)/24),"""18""jjmmdd")</f>
        <v>18980324</v>
      </c>
      <c r="C1985" s="11" t="str">
        <f>INDEX(Data,2,2+MOD(ROWS(C$2:C1985)-1,24))</f>
        <v>16.00</v>
      </c>
      <c r="D1985" s="8" t="str">
        <f t="shared" ca="1" si="92"/>
        <v>—</v>
      </c>
      <c r="E1985" s="16">
        <f t="shared" ca="1" si="93"/>
        <v>7</v>
      </c>
    </row>
    <row r="1986" spans="1:5" x14ac:dyDescent="0.25">
      <c r="A1986" s="3">
        <f t="shared" ref="A1986:A2049" si="94">INDEX(Stations,2,1)</f>
        <v>78989</v>
      </c>
      <c r="B1986" t="str">
        <f ca="1">TEXT(DATE(YEAR(Invoer!$A$5),1,1)+INT((ROWS(B$2:B1986)-1)/24),"""18""jjmmdd")</f>
        <v>18980324</v>
      </c>
      <c r="C1986" s="11" t="str">
        <f>INDEX(Data,2,2+MOD(ROWS(C$2:C1986)-1,24))</f>
        <v>17.00</v>
      </c>
      <c r="D1986" s="8" t="str">
        <f t="shared" ref="D1986:D2049" ca="1" si="95">IF(OR(ISBLANK(VLOOKUP(DATEVALUE("37"&amp;MID($B1986,3,2)&amp;"-"&amp;MID($B1986,5,2)&amp;"-"&amp;RIGHT($B1986,2)),Data,MATCH(LEFT(VLOOKUP(D$1,Parameters,2,FALSE()),4)&amp;"*",OFFSET(Data,0,0,1),0)+MATCH($C1986,OFFSET(Data,1,0,1),0)-2,FALSE())),ISTEXT(VLOOKUP(DATEVALUE("37"&amp;MID($B1986,3,2)&amp;"-"&amp;MID($B1986,5,2)&amp;"-"&amp;RIGHT($B1986,2)),Data,MATCH(LEFT(VLOOKUP(D$1,Parameters,2,FALSE()),4)&amp;"*",OFFSET(Data,0,0,1),0)+MATCH($C1986,OFFSET(Data,1,0,1),0)-2,FALSE()))),"—",VLOOKUP(DATEVALUE("37"&amp;MID($B1986,3,2)&amp;"-"&amp;MID($B1986,5,2)&amp;"-"&amp;RIGHT($B1986,2)),Data,MATCH(LEFT(VLOOKUP(D$1,Parameters,2,FALSE()),4)&amp;"*",OFFSET(Data,0,0,1),0)+MATCH($C1986,OFFSET(Data,1,0,1),0)-2,FALSE()))</f>
        <v>—</v>
      </c>
      <c r="E1986" s="16">
        <f t="shared" ca="1" si="93"/>
        <v>7</v>
      </c>
    </row>
    <row r="1987" spans="1:5" x14ac:dyDescent="0.25">
      <c r="A1987" s="3">
        <f t="shared" si="94"/>
        <v>78989</v>
      </c>
      <c r="B1987" t="str">
        <f ca="1">TEXT(DATE(YEAR(Invoer!$A$5),1,1)+INT((ROWS(B$2:B1987)-1)/24),"""18""jjmmdd")</f>
        <v>18980324</v>
      </c>
      <c r="C1987" s="11" t="str">
        <f>INDEX(Data,2,2+MOD(ROWS(C$2:C1987)-1,24))</f>
        <v>18.00</v>
      </c>
      <c r="D1987" s="8" t="str">
        <f t="shared" ca="1" si="95"/>
        <v>—</v>
      </c>
      <c r="E1987" s="16">
        <f t="shared" ref="E1987:E2050" ca="1" si="96">IF(OR(ISBLANK(VLOOKUP(DATEVALUE("37"&amp;MID($B1987,3,2)&amp;"-"&amp;MID($B1987,5,2)&amp;"-"&amp;RIGHT($B1987,2)),Data,MATCH(LEFT(VLOOKUP(D$1,Parameters,2,FALSE()),4)&amp;"*",OFFSET(Data,0,0,1),0)+MATCH($C1987,OFFSET(Data,1,0,1),0)-2,FALSE())),ISTEXT(VLOOKUP(DATEVALUE("37"&amp;MID($B1987,3,2)&amp;"-"&amp;MID($B1987,5,2)&amp;"-"&amp;RIGHT($B1987,2)),Data,MATCH(LEFT(VLOOKUP(D$1,Parameters,2,FALSE()),4)&amp;"*",OFFSET(Data,0,0,1),0)+MATCH($C1987,OFFSET(Data,1,0,1),0)-2,FALSE()))),Lacking,IF(ISNA(MATCH(DATEVALUE("37"&amp;MID($B1987,3,2)&amp;"-"&amp;MID($B1987,5,2)&amp;"-"&amp;RIGHT($B1987,2)),OFFSET(Catalogus,0,0,,1),0)),Ok,VLOOKUP(DATEVALUE("37"&amp;MID($B1987,3,2)&amp;"-"&amp;MID($B1987,5,2)&amp;"-"&amp;RIGHT($B1987,2)),Catalogus,MATCH(LEFT(VLOOKUP(MID(E$1,2,LEN(E$1)-1),Parameters,2,FALSE()),4)&amp;"*",OFFSET(Catalogus,0,0,1),0)+MATCH($C1987,OFFSET(Catalogus,1,0,1),0)-2,FALSE())))</f>
        <v>7</v>
      </c>
    </row>
    <row r="1988" spans="1:5" x14ac:dyDescent="0.25">
      <c r="A1988" s="3">
        <f t="shared" si="94"/>
        <v>78989</v>
      </c>
      <c r="B1988" t="str">
        <f ca="1">TEXT(DATE(YEAR(Invoer!$A$5),1,1)+INT((ROWS(B$2:B1988)-1)/24),"""18""jjmmdd")</f>
        <v>18980324</v>
      </c>
      <c r="C1988" s="11" t="str">
        <f>INDEX(Data,2,2+MOD(ROWS(C$2:C1988)-1,24))</f>
        <v>19.00</v>
      </c>
      <c r="D1988" s="8" t="str">
        <f t="shared" ca="1" si="95"/>
        <v>—</v>
      </c>
      <c r="E1988" s="16">
        <f t="shared" ca="1" si="96"/>
        <v>7</v>
      </c>
    </row>
    <row r="1989" spans="1:5" x14ac:dyDescent="0.25">
      <c r="A1989" s="3">
        <f t="shared" si="94"/>
        <v>78989</v>
      </c>
      <c r="B1989" t="str">
        <f ca="1">TEXT(DATE(YEAR(Invoer!$A$5),1,1)+INT((ROWS(B$2:B1989)-1)/24),"""18""jjmmdd")</f>
        <v>18980324</v>
      </c>
      <c r="C1989" s="11" t="str">
        <f>INDEX(Data,2,2+MOD(ROWS(C$2:C1989)-1,24))</f>
        <v>20.00</v>
      </c>
      <c r="D1989" s="8" t="str">
        <f t="shared" ca="1" si="95"/>
        <v>—</v>
      </c>
      <c r="E1989" s="16">
        <f t="shared" ca="1" si="96"/>
        <v>7</v>
      </c>
    </row>
    <row r="1990" spans="1:5" x14ac:dyDescent="0.25">
      <c r="A1990" s="3">
        <f t="shared" si="94"/>
        <v>78989</v>
      </c>
      <c r="B1990" t="str">
        <f ca="1">TEXT(DATE(YEAR(Invoer!$A$5),1,1)+INT((ROWS(B$2:B1990)-1)/24),"""18""jjmmdd")</f>
        <v>18980324</v>
      </c>
      <c r="C1990" s="11" t="str">
        <f>INDEX(Data,2,2+MOD(ROWS(C$2:C1990)-1,24))</f>
        <v>21.00</v>
      </c>
      <c r="D1990" s="8" t="str">
        <f t="shared" ca="1" si="95"/>
        <v>—</v>
      </c>
      <c r="E1990" s="16">
        <f t="shared" ca="1" si="96"/>
        <v>7</v>
      </c>
    </row>
    <row r="1991" spans="1:5" x14ac:dyDescent="0.25">
      <c r="A1991" s="3">
        <f t="shared" si="94"/>
        <v>78989</v>
      </c>
      <c r="B1991" t="str">
        <f ca="1">TEXT(DATE(YEAR(Invoer!$A$5),1,1)+INT((ROWS(B$2:B1991)-1)/24),"""18""jjmmdd")</f>
        <v>18980324</v>
      </c>
      <c r="C1991" s="11" t="str">
        <f>INDEX(Data,2,2+MOD(ROWS(C$2:C1991)-1,24))</f>
        <v>22.00</v>
      </c>
      <c r="D1991" s="8" t="str">
        <f t="shared" ca="1" si="95"/>
        <v>—</v>
      </c>
      <c r="E1991" s="16">
        <f t="shared" ca="1" si="96"/>
        <v>7</v>
      </c>
    </row>
    <row r="1992" spans="1:5" x14ac:dyDescent="0.25">
      <c r="A1992" s="3">
        <f t="shared" si="94"/>
        <v>78989</v>
      </c>
      <c r="B1992" t="str">
        <f ca="1">TEXT(DATE(YEAR(Invoer!$A$5),1,1)+INT((ROWS(B$2:B1992)-1)/24),"""18""jjmmdd")</f>
        <v>18980324</v>
      </c>
      <c r="C1992" s="11" t="str">
        <f>INDEX(Data,2,2+MOD(ROWS(C$2:C1992)-1,24))</f>
        <v>23.00</v>
      </c>
      <c r="D1992" s="8" t="str">
        <f t="shared" ca="1" si="95"/>
        <v>—</v>
      </c>
      <c r="E1992" s="16">
        <f t="shared" ca="1" si="96"/>
        <v>7</v>
      </c>
    </row>
    <row r="1993" spans="1:5" x14ac:dyDescent="0.25">
      <c r="A1993" s="3">
        <f t="shared" si="94"/>
        <v>78989</v>
      </c>
      <c r="B1993" t="str">
        <f ca="1">TEXT(DATE(YEAR(Invoer!$A$5),1,1)+INT((ROWS(B$2:B1993)-1)/24),"""18""jjmmdd")</f>
        <v>18980324</v>
      </c>
      <c r="C1993" s="11" t="str">
        <f>INDEX(Data,2,2+MOD(ROWS(C$2:C1993)-1,24))</f>
        <v>24.00</v>
      </c>
      <c r="D1993" s="8" t="str">
        <f t="shared" ca="1" si="95"/>
        <v>—</v>
      </c>
      <c r="E1993" s="16">
        <f t="shared" ca="1" si="96"/>
        <v>7</v>
      </c>
    </row>
    <row r="1994" spans="1:5" x14ac:dyDescent="0.25">
      <c r="A1994" s="3">
        <f t="shared" si="94"/>
        <v>78989</v>
      </c>
      <c r="B1994" t="str">
        <f ca="1">TEXT(DATE(YEAR(Invoer!$A$5),1,1)+INT((ROWS(B$2:B1994)-1)/24),"""18""jjmmdd")</f>
        <v>18980325</v>
      </c>
      <c r="C1994" s="11" t="str">
        <f>INDEX(Data,2,2+MOD(ROWS(C$2:C1994)-1,24))</f>
        <v>01.00</v>
      </c>
      <c r="D1994" s="8" t="str">
        <f t="shared" ca="1" si="95"/>
        <v>—</v>
      </c>
      <c r="E1994" s="16">
        <f t="shared" ca="1" si="96"/>
        <v>7</v>
      </c>
    </row>
    <row r="1995" spans="1:5" x14ac:dyDescent="0.25">
      <c r="A1995" s="3">
        <f t="shared" si="94"/>
        <v>78989</v>
      </c>
      <c r="B1995" t="str">
        <f ca="1">TEXT(DATE(YEAR(Invoer!$A$5),1,1)+INT((ROWS(B$2:B1995)-1)/24),"""18""jjmmdd")</f>
        <v>18980325</v>
      </c>
      <c r="C1995" s="11" t="str">
        <f>INDEX(Data,2,2+MOD(ROWS(C$2:C1995)-1,24))</f>
        <v>02.00</v>
      </c>
      <c r="D1995" s="8" t="str">
        <f t="shared" ca="1" si="95"/>
        <v>—</v>
      </c>
      <c r="E1995" s="16">
        <f t="shared" ca="1" si="96"/>
        <v>7</v>
      </c>
    </row>
    <row r="1996" spans="1:5" x14ac:dyDescent="0.25">
      <c r="A1996" s="3">
        <f t="shared" si="94"/>
        <v>78989</v>
      </c>
      <c r="B1996" t="str">
        <f ca="1">TEXT(DATE(YEAR(Invoer!$A$5),1,1)+INT((ROWS(B$2:B1996)-1)/24),"""18""jjmmdd")</f>
        <v>18980325</v>
      </c>
      <c r="C1996" s="11" t="str">
        <f>INDEX(Data,2,2+MOD(ROWS(C$2:C1996)-1,24))</f>
        <v>03.00</v>
      </c>
      <c r="D1996" s="8" t="str">
        <f t="shared" ca="1" si="95"/>
        <v>—</v>
      </c>
      <c r="E1996" s="16">
        <f t="shared" ca="1" si="96"/>
        <v>7</v>
      </c>
    </row>
    <row r="1997" spans="1:5" x14ac:dyDescent="0.25">
      <c r="A1997" s="3">
        <f t="shared" si="94"/>
        <v>78989</v>
      </c>
      <c r="B1997" t="str">
        <f ca="1">TEXT(DATE(YEAR(Invoer!$A$5),1,1)+INT((ROWS(B$2:B1997)-1)/24),"""18""jjmmdd")</f>
        <v>18980325</v>
      </c>
      <c r="C1997" s="11" t="str">
        <f>INDEX(Data,2,2+MOD(ROWS(C$2:C1997)-1,24))</f>
        <v>04.00</v>
      </c>
      <c r="D1997" s="8" t="str">
        <f t="shared" ca="1" si="95"/>
        <v>—</v>
      </c>
      <c r="E1997" s="16">
        <f t="shared" ca="1" si="96"/>
        <v>7</v>
      </c>
    </row>
    <row r="1998" spans="1:5" x14ac:dyDescent="0.25">
      <c r="A1998" s="3">
        <f t="shared" si="94"/>
        <v>78989</v>
      </c>
      <c r="B1998" t="str">
        <f ca="1">TEXT(DATE(YEAR(Invoer!$A$5),1,1)+INT((ROWS(B$2:B1998)-1)/24),"""18""jjmmdd")</f>
        <v>18980325</v>
      </c>
      <c r="C1998" s="11" t="str">
        <f>INDEX(Data,2,2+MOD(ROWS(C$2:C1998)-1,24))</f>
        <v>05.00</v>
      </c>
      <c r="D1998" s="8" t="str">
        <f t="shared" ca="1" si="95"/>
        <v>—</v>
      </c>
      <c r="E1998" s="16">
        <f t="shared" ca="1" si="96"/>
        <v>7</v>
      </c>
    </row>
    <row r="1999" spans="1:5" x14ac:dyDescent="0.25">
      <c r="A1999" s="3">
        <f t="shared" si="94"/>
        <v>78989</v>
      </c>
      <c r="B1999" t="str">
        <f ca="1">TEXT(DATE(YEAR(Invoer!$A$5),1,1)+INT((ROWS(B$2:B1999)-1)/24),"""18""jjmmdd")</f>
        <v>18980325</v>
      </c>
      <c r="C1999" s="11" t="str">
        <f>INDEX(Data,2,2+MOD(ROWS(C$2:C1999)-1,24))</f>
        <v>06.00</v>
      </c>
      <c r="D1999" s="8" t="str">
        <f t="shared" ca="1" si="95"/>
        <v>—</v>
      </c>
      <c r="E1999" s="16">
        <f t="shared" ca="1" si="96"/>
        <v>7</v>
      </c>
    </row>
    <row r="2000" spans="1:5" x14ac:dyDescent="0.25">
      <c r="A2000" s="3">
        <f t="shared" si="94"/>
        <v>78989</v>
      </c>
      <c r="B2000" t="str">
        <f ca="1">TEXT(DATE(YEAR(Invoer!$A$5),1,1)+INT((ROWS(B$2:B2000)-1)/24),"""18""jjmmdd")</f>
        <v>18980325</v>
      </c>
      <c r="C2000" s="11" t="str">
        <f>INDEX(Data,2,2+MOD(ROWS(C$2:C2000)-1,24))</f>
        <v>07.00</v>
      </c>
      <c r="D2000" s="8" t="str">
        <f t="shared" ca="1" si="95"/>
        <v>—</v>
      </c>
      <c r="E2000" s="16">
        <f t="shared" ca="1" si="96"/>
        <v>7</v>
      </c>
    </row>
    <row r="2001" spans="1:5" x14ac:dyDescent="0.25">
      <c r="A2001" s="3">
        <f t="shared" si="94"/>
        <v>78989</v>
      </c>
      <c r="B2001" t="str">
        <f ca="1">TEXT(DATE(YEAR(Invoer!$A$5),1,1)+INT((ROWS(B$2:B2001)-1)/24),"""18""jjmmdd")</f>
        <v>18980325</v>
      </c>
      <c r="C2001" s="11" t="str">
        <f>INDEX(Data,2,2+MOD(ROWS(C$2:C2001)-1,24))</f>
        <v>08.00</v>
      </c>
      <c r="D2001" s="8" t="str">
        <f t="shared" ca="1" si="95"/>
        <v>—</v>
      </c>
      <c r="E2001" s="16">
        <f t="shared" ca="1" si="96"/>
        <v>7</v>
      </c>
    </row>
    <row r="2002" spans="1:5" x14ac:dyDescent="0.25">
      <c r="A2002" s="3">
        <f t="shared" si="94"/>
        <v>78989</v>
      </c>
      <c r="B2002" t="str">
        <f ca="1">TEXT(DATE(YEAR(Invoer!$A$5),1,1)+INT((ROWS(B$2:B2002)-1)/24),"""18""jjmmdd")</f>
        <v>18980325</v>
      </c>
      <c r="C2002" s="11" t="str">
        <f>INDEX(Data,2,2+MOD(ROWS(C$2:C2002)-1,24))</f>
        <v>09.00</v>
      </c>
      <c r="D2002" s="8" t="str">
        <f t="shared" ca="1" si="95"/>
        <v>—</v>
      </c>
      <c r="E2002" s="16">
        <f t="shared" ca="1" si="96"/>
        <v>7</v>
      </c>
    </row>
    <row r="2003" spans="1:5" x14ac:dyDescent="0.25">
      <c r="A2003" s="3">
        <f t="shared" si="94"/>
        <v>78989</v>
      </c>
      <c r="B2003" t="str">
        <f ca="1">TEXT(DATE(YEAR(Invoer!$A$5),1,1)+INT((ROWS(B$2:B2003)-1)/24),"""18""jjmmdd")</f>
        <v>18980325</v>
      </c>
      <c r="C2003" s="11" t="str">
        <f>INDEX(Data,2,2+MOD(ROWS(C$2:C2003)-1,24))</f>
        <v>10.00</v>
      </c>
      <c r="D2003" s="8" t="str">
        <f t="shared" ca="1" si="95"/>
        <v>—</v>
      </c>
      <c r="E2003" s="16">
        <f t="shared" ca="1" si="96"/>
        <v>7</v>
      </c>
    </row>
    <row r="2004" spans="1:5" x14ac:dyDescent="0.25">
      <c r="A2004" s="3">
        <f t="shared" si="94"/>
        <v>78989</v>
      </c>
      <c r="B2004" t="str">
        <f ca="1">TEXT(DATE(YEAR(Invoer!$A$5),1,1)+INT((ROWS(B$2:B2004)-1)/24),"""18""jjmmdd")</f>
        <v>18980325</v>
      </c>
      <c r="C2004" s="11" t="str">
        <f>INDEX(Data,2,2+MOD(ROWS(C$2:C2004)-1,24))</f>
        <v>11.00</v>
      </c>
      <c r="D2004" s="8" t="str">
        <f t="shared" ca="1" si="95"/>
        <v>—</v>
      </c>
      <c r="E2004" s="16">
        <f t="shared" ca="1" si="96"/>
        <v>7</v>
      </c>
    </row>
    <row r="2005" spans="1:5" x14ac:dyDescent="0.25">
      <c r="A2005" s="3">
        <f t="shared" si="94"/>
        <v>78989</v>
      </c>
      <c r="B2005" t="str">
        <f ca="1">TEXT(DATE(YEAR(Invoer!$A$5),1,1)+INT((ROWS(B$2:B2005)-1)/24),"""18""jjmmdd")</f>
        <v>18980325</v>
      </c>
      <c r="C2005" s="11" t="str">
        <f>INDEX(Data,2,2+MOD(ROWS(C$2:C2005)-1,24))</f>
        <v>12.00</v>
      </c>
      <c r="D2005" s="8" t="str">
        <f t="shared" ca="1" si="95"/>
        <v>—</v>
      </c>
      <c r="E2005" s="16">
        <f t="shared" ca="1" si="96"/>
        <v>7</v>
      </c>
    </row>
    <row r="2006" spans="1:5" x14ac:dyDescent="0.25">
      <c r="A2006" s="3">
        <f t="shared" si="94"/>
        <v>78989</v>
      </c>
      <c r="B2006" t="str">
        <f ca="1">TEXT(DATE(YEAR(Invoer!$A$5),1,1)+INT((ROWS(B$2:B2006)-1)/24),"""18""jjmmdd")</f>
        <v>18980325</v>
      </c>
      <c r="C2006" s="11" t="str">
        <f>INDEX(Data,2,2+MOD(ROWS(C$2:C2006)-1,24))</f>
        <v>13.00</v>
      </c>
      <c r="D2006" s="8" t="str">
        <f t="shared" ca="1" si="95"/>
        <v>—</v>
      </c>
      <c r="E2006" s="16">
        <f t="shared" ca="1" si="96"/>
        <v>7</v>
      </c>
    </row>
    <row r="2007" spans="1:5" x14ac:dyDescent="0.25">
      <c r="A2007" s="3">
        <f t="shared" si="94"/>
        <v>78989</v>
      </c>
      <c r="B2007" t="str">
        <f ca="1">TEXT(DATE(YEAR(Invoer!$A$5),1,1)+INT((ROWS(B$2:B2007)-1)/24),"""18""jjmmdd")</f>
        <v>18980325</v>
      </c>
      <c r="C2007" s="11" t="str">
        <f>INDEX(Data,2,2+MOD(ROWS(C$2:C2007)-1,24))</f>
        <v>14.00</v>
      </c>
      <c r="D2007" s="8" t="str">
        <f t="shared" ca="1" si="95"/>
        <v>—</v>
      </c>
      <c r="E2007" s="16">
        <f t="shared" ca="1" si="96"/>
        <v>7</v>
      </c>
    </row>
    <row r="2008" spans="1:5" x14ac:dyDescent="0.25">
      <c r="A2008" s="3">
        <f t="shared" si="94"/>
        <v>78989</v>
      </c>
      <c r="B2008" t="str">
        <f ca="1">TEXT(DATE(YEAR(Invoer!$A$5),1,1)+INT((ROWS(B$2:B2008)-1)/24),"""18""jjmmdd")</f>
        <v>18980325</v>
      </c>
      <c r="C2008" s="11" t="str">
        <f>INDEX(Data,2,2+MOD(ROWS(C$2:C2008)-1,24))</f>
        <v>15.00</v>
      </c>
      <c r="D2008" s="8" t="str">
        <f t="shared" ca="1" si="95"/>
        <v>—</v>
      </c>
      <c r="E2008" s="16">
        <f t="shared" ca="1" si="96"/>
        <v>7</v>
      </c>
    </row>
    <row r="2009" spans="1:5" x14ac:dyDescent="0.25">
      <c r="A2009" s="3">
        <f t="shared" si="94"/>
        <v>78989</v>
      </c>
      <c r="B2009" t="str">
        <f ca="1">TEXT(DATE(YEAR(Invoer!$A$5),1,1)+INT((ROWS(B$2:B2009)-1)/24),"""18""jjmmdd")</f>
        <v>18980325</v>
      </c>
      <c r="C2009" s="11" t="str">
        <f>INDEX(Data,2,2+MOD(ROWS(C$2:C2009)-1,24))</f>
        <v>16.00</v>
      </c>
      <c r="D2009" s="8" t="str">
        <f t="shared" ca="1" si="95"/>
        <v>—</v>
      </c>
      <c r="E2009" s="16">
        <f t="shared" ca="1" si="96"/>
        <v>7</v>
      </c>
    </row>
    <row r="2010" spans="1:5" x14ac:dyDescent="0.25">
      <c r="A2010" s="3">
        <f t="shared" si="94"/>
        <v>78989</v>
      </c>
      <c r="B2010" t="str">
        <f ca="1">TEXT(DATE(YEAR(Invoer!$A$5),1,1)+INT((ROWS(B$2:B2010)-1)/24),"""18""jjmmdd")</f>
        <v>18980325</v>
      </c>
      <c r="C2010" s="11" t="str">
        <f>INDEX(Data,2,2+MOD(ROWS(C$2:C2010)-1,24))</f>
        <v>17.00</v>
      </c>
      <c r="D2010" s="8" t="str">
        <f t="shared" ca="1" si="95"/>
        <v>—</v>
      </c>
      <c r="E2010" s="16">
        <f t="shared" ca="1" si="96"/>
        <v>7</v>
      </c>
    </row>
    <row r="2011" spans="1:5" x14ac:dyDescent="0.25">
      <c r="A2011" s="3">
        <f t="shared" si="94"/>
        <v>78989</v>
      </c>
      <c r="B2011" t="str">
        <f ca="1">TEXT(DATE(YEAR(Invoer!$A$5),1,1)+INT((ROWS(B$2:B2011)-1)/24),"""18""jjmmdd")</f>
        <v>18980325</v>
      </c>
      <c r="C2011" s="11" t="str">
        <f>INDEX(Data,2,2+MOD(ROWS(C$2:C2011)-1,24))</f>
        <v>18.00</v>
      </c>
      <c r="D2011" s="8" t="str">
        <f t="shared" ca="1" si="95"/>
        <v>—</v>
      </c>
      <c r="E2011" s="16">
        <f t="shared" ca="1" si="96"/>
        <v>7</v>
      </c>
    </row>
    <row r="2012" spans="1:5" x14ac:dyDescent="0.25">
      <c r="A2012" s="3">
        <f t="shared" si="94"/>
        <v>78989</v>
      </c>
      <c r="B2012" t="str">
        <f ca="1">TEXT(DATE(YEAR(Invoer!$A$5),1,1)+INT((ROWS(B$2:B2012)-1)/24),"""18""jjmmdd")</f>
        <v>18980325</v>
      </c>
      <c r="C2012" s="11" t="str">
        <f>INDEX(Data,2,2+MOD(ROWS(C$2:C2012)-1,24))</f>
        <v>19.00</v>
      </c>
      <c r="D2012" s="8" t="str">
        <f t="shared" ca="1" si="95"/>
        <v>—</v>
      </c>
      <c r="E2012" s="16">
        <f t="shared" ca="1" si="96"/>
        <v>7</v>
      </c>
    </row>
    <row r="2013" spans="1:5" x14ac:dyDescent="0.25">
      <c r="A2013" s="3">
        <f t="shared" si="94"/>
        <v>78989</v>
      </c>
      <c r="B2013" t="str">
        <f ca="1">TEXT(DATE(YEAR(Invoer!$A$5),1,1)+INT((ROWS(B$2:B2013)-1)/24),"""18""jjmmdd")</f>
        <v>18980325</v>
      </c>
      <c r="C2013" s="11" t="str">
        <f>INDEX(Data,2,2+MOD(ROWS(C$2:C2013)-1,24))</f>
        <v>20.00</v>
      </c>
      <c r="D2013" s="8" t="str">
        <f t="shared" ca="1" si="95"/>
        <v>—</v>
      </c>
      <c r="E2013" s="16">
        <f t="shared" ca="1" si="96"/>
        <v>7</v>
      </c>
    </row>
    <row r="2014" spans="1:5" x14ac:dyDescent="0.25">
      <c r="A2014" s="3">
        <f t="shared" si="94"/>
        <v>78989</v>
      </c>
      <c r="B2014" t="str">
        <f ca="1">TEXT(DATE(YEAR(Invoer!$A$5),1,1)+INT((ROWS(B$2:B2014)-1)/24),"""18""jjmmdd")</f>
        <v>18980325</v>
      </c>
      <c r="C2014" s="11" t="str">
        <f>INDEX(Data,2,2+MOD(ROWS(C$2:C2014)-1,24))</f>
        <v>21.00</v>
      </c>
      <c r="D2014" s="8" t="str">
        <f t="shared" ca="1" si="95"/>
        <v>—</v>
      </c>
      <c r="E2014" s="16">
        <f t="shared" ca="1" si="96"/>
        <v>7</v>
      </c>
    </row>
    <row r="2015" spans="1:5" x14ac:dyDescent="0.25">
      <c r="A2015" s="3">
        <f t="shared" si="94"/>
        <v>78989</v>
      </c>
      <c r="B2015" t="str">
        <f ca="1">TEXT(DATE(YEAR(Invoer!$A$5),1,1)+INT((ROWS(B$2:B2015)-1)/24),"""18""jjmmdd")</f>
        <v>18980325</v>
      </c>
      <c r="C2015" s="11" t="str">
        <f>INDEX(Data,2,2+MOD(ROWS(C$2:C2015)-1,24))</f>
        <v>22.00</v>
      </c>
      <c r="D2015" s="8" t="str">
        <f t="shared" ca="1" si="95"/>
        <v>—</v>
      </c>
      <c r="E2015" s="16">
        <f t="shared" ca="1" si="96"/>
        <v>7</v>
      </c>
    </row>
    <row r="2016" spans="1:5" x14ac:dyDescent="0.25">
      <c r="A2016" s="3">
        <f t="shared" si="94"/>
        <v>78989</v>
      </c>
      <c r="B2016" t="str">
        <f ca="1">TEXT(DATE(YEAR(Invoer!$A$5),1,1)+INT((ROWS(B$2:B2016)-1)/24),"""18""jjmmdd")</f>
        <v>18980325</v>
      </c>
      <c r="C2016" s="11" t="str">
        <f>INDEX(Data,2,2+MOD(ROWS(C$2:C2016)-1,24))</f>
        <v>23.00</v>
      </c>
      <c r="D2016" s="8" t="str">
        <f t="shared" ca="1" si="95"/>
        <v>—</v>
      </c>
      <c r="E2016" s="16">
        <f t="shared" ca="1" si="96"/>
        <v>7</v>
      </c>
    </row>
    <row r="2017" spans="1:5" x14ac:dyDescent="0.25">
      <c r="A2017" s="3">
        <f t="shared" si="94"/>
        <v>78989</v>
      </c>
      <c r="B2017" t="str">
        <f ca="1">TEXT(DATE(YEAR(Invoer!$A$5),1,1)+INT((ROWS(B$2:B2017)-1)/24),"""18""jjmmdd")</f>
        <v>18980325</v>
      </c>
      <c r="C2017" s="11" t="str">
        <f>INDEX(Data,2,2+MOD(ROWS(C$2:C2017)-1,24))</f>
        <v>24.00</v>
      </c>
      <c r="D2017" s="8" t="str">
        <f t="shared" ca="1" si="95"/>
        <v>—</v>
      </c>
      <c r="E2017" s="16">
        <f t="shared" ca="1" si="96"/>
        <v>7</v>
      </c>
    </row>
    <row r="2018" spans="1:5" x14ac:dyDescent="0.25">
      <c r="A2018" s="3">
        <f t="shared" si="94"/>
        <v>78989</v>
      </c>
      <c r="B2018" t="str">
        <f ca="1">TEXT(DATE(YEAR(Invoer!$A$5),1,1)+INT((ROWS(B$2:B2018)-1)/24),"""18""jjmmdd")</f>
        <v>18980326</v>
      </c>
      <c r="C2018" s="11" t="str">
        <f>INDEX(Data,2,2+MOD(ROWS(C$2:C2018)-1,24))</f>
        <v>01.00</v>
      </c>
      <c r="D2018" s="8" t="str">
        <f t="shared" ca="1" si="95"/>
        <v>—</v>
      </c>
      <c r="E2018" s="16">
        <f t="shared" ca="1" si="96"/>
        <v>7</v>
      </c>
    </row>
    <row r="2019" spans="1:5" x14ac:dyDescent="0.25">
      <c r="A2019" s="3">
        <f t="shared" si="94"/>
        <v>78989</v>
      </c>
      <c r="B2019" t="str">
        <f ca="1">TEXT(DATE(YEAR(Invoer!$A$5),1,1)+INT((ROWS(B$2:B2019)-1)/24),"""18""jjmmdd")</f>
        <v>18980326</v>
      </c>
      <c r="C2019" s="11" t="str">
        <f>INDEX(Data,2,2+MOD(ROWS(C$2:C2019)-1,24))</f>
        <v>02.00</v>
      </c>
      <c r="D2019" s="8" t="str">
        <f t="shared" ca="1" si="95"/>
        <v>—</v>
      </c>
      <c r="E2019" s="16">
        <f t="shared" ca="1" si="96"/>
        <v>7</v>
      </c>
    </row>
    <row r="2020" spans="1:5" x14ac:dyDescent="0.25">
      <c r="A2020" s="3">
        <f t="shared" si="94"/>
        <v>78989</v>
      </c>
      <c r="B2020" t="str">
        <f ca="1">TEXT(DATE(YEAR(Invoer!$A$5),1,1)+INT((ROWS(B$2:B2020)-1)/24),"""18""jjmmdd")</f>
        <v>18980326</v>
      </c>
      <c r="C2020" s="11" t="str">
        <f>INDEX(Data,2,2+MOD(ROWS(C$2:C2020)-1,24))</f>
        <v>03.00</v>
      </c>
      <c r="D2020" s="8" t="str">
        <f t="shared" ca="1" si="95"/>
        <v>—</v>
      </c>
      <c r="E2020" s="16">
        <f t="shared" ca="1" si="96"/>
        <v>7</v>
      </c>
    </row>
    <row r="2021" spans="1:5" x14ac:dyDescent="0.25">
      <c r="A2021" s="3">
        <f t="shared" si="94"/>
        <v>78989</v>
      </c>
      <c r="B2021" t="str">
        <f ca="1">TEXT(DATE(YEAR(Invoer!$A$5),1,1)+INT((ROWS(B$2:B2021)-1)/24),"""18""jjmmdd")</f>
        <v>18980326</v>
      </c>
      <c r="C2021" s="11" t="str">
        <f>INDEX(Data,2,2+MOD(ROWS(C$2:C2021)-1,24))</f>
        <v>04.00</v>
      </c>
      <c r="D2021" s="8" t="str">
        <f t="shared" ca="1" si="95"/>
        <v>—</v>
      </c>
      <c r="E2021" s="16">
        <f t="shared" ca="1" si="96"/>
        <v>7</v>
      </c>
    </row>
    <row r="2022" spans="1:5" x14ac:dyDescent="0.25">
      <c r="A2022" s="3">
        <f t="shared" si="94"/>
        <v>78989</v>
      </c>
      <c r="B2022" t="str">
        <f ca="1">TEXT(DATE(YEAR(Invoer!$A$5),1,1)+INT((ROWS(B$2:B2022)-1)/24),"""18""jjmmdd")</f>
        <v>18980326</v>
      </c>
      <c r="C2022" s="11" t="str">
        <f>INDEX(Data,2,2+MOD(ROWS(C$2:C2022)-1,24))</f>
        <v>05.00</v>
      </c>
      <c r="D2022" s="8" t="str">
        <f t="shared" ca="1" si="95"/>
        <v>—</v>
      </c>
      <c r="E2022" s="16">
        <f t="shared" ca="1" si="96"/>
        <v>7</v>
      </c>
    </row>
    <row r="2023" spans="1:5" x14ac:dyDescent="0.25">
      <c r="A2023" s="3">
        <f t="shared" si="94"/>
        <v>78989</v>
      </c>
      <c r="B2023" t="str">
        <f ca="1">TEXT(DATE(YEAR(Invoer!$A$5),1,1)+INT((ROWS(B$2:B2023)-1)/24),"""18""jjmmdd")</f>
        <v>18980326</v>
      </c>
      <c r="C2023" s="11" t="str">
        <f>INDEX(Data,2,2+MOD(ROWS(C$2:C2023)-1,24))</f>
        <v>06.00</v>
      </c>
      <c r="D2023" s="8" t="str">
        <f t="shared" ca="1" si="95"/>
        <v>—</v>
      </c>
      <c r="E2023" s="16">
        <f t="shared" ca="1" si="96"/>
        <v>7</v>
      </c>
    </row>
    <row r="2024" spans="1:5" x14ac:dyDescent="0.25">
      <c r="A2024" s="3">
        <f t="shared" si="94"/>
        <v>78989</v>
      </c>
      <c r="B2024" t="str">
        <f ca="1">TEXT(DATE(YEAR(Invoer!$A$5),1,1)+INT((ROWS(B$2:B2024)-1)/24),"""18""jjmmdd")</f>
        <v>18980326</v>
      </c>
      <c r="C2024" s="11" t="str">
        <f>INDEX(Data,2,2+MOD(ROWS(C$2:C2024)-1,24))</f>
        <v>07.00</v>
      </c>
      <c r="D2024" s="8" t="str">
        <f t="shared" ca="1" si="95"/>
        <v>—</v>
      </c>
      <c r="E2024" s="16">
        <f t="shared" ca="1" si="96"/>
        <v>7</v>
      </c>
    </row>
    <row r="2025" spans="1:5" x14ac:dyDescent="0.25">
      <c r="A2025" s="3">
        <f t="shared" si="94"/>
        <v>78989</v>
      </c>
      <c r="B2025" t="str">
        <f ca="1">TEXT(DATE(YEAR(Invoer!$A$5),1,1)+INT((ROWS(B$2:B2025)-1)/24),"""18""jjmmdd")</f>
        <v>18980326</v>
      </c>
      <c r="C2025" s="11" t="str">
        <f>INDEX(Data,2,2+MOD(ROWS(C$2:C2025)-1,24))</f>
        <v>08.00</v>
      </c>
      <c r="D2025" s="8" t="str">
        <f t="shared" ca="1" si="95"/>
        <v>—</v>
      </c>
      <c r="E2025" s="16">
        <f t="shared" ca="1" si="96"/>
        <v>7</v>
      </c>
    </row>
    <row r="2026" spans="1:5" x14ac:dyDescent="0.25">
      <c r="A2026" s="3">
        <f t="shared" si="94"/>
        <v>78989</v>
      </c>
      <c r="B2026" t="str">
        <f ca="1">TEXT(DATE(YEAR(Invoer!$A$5),1,1)+INT((ROWS(B$2:B2026)-1)/24),"""18""jjmmdd")</f>
        <v>18980326</v>
      </c>
      <c r="C2026" s="11" t="str">
        <f>INDEX(Data,2,2+MOD(ROWS(C$2:C2026)-1,24))</f>
        <v>09.00</v>
      </c>
      <c r="D2026" s="8" t="str">
        <f t="shared" ca="1" si="95"/>
        <v>—</v>
      </c>
      <c r="E2026" s="16">
        <f t="shared" ca="1" si="96"/>
        <v>7</v>
      </c>
    </row>
    <row r="2027" spans="1:5" x14ac:dyDescent="0.25">
      <c r="A2027" s="3">
        <f t="shared" si="94"/>
        <v>78989</v>
      </c>
      <c r="B2027" t="str">
        <f ca="1">TEXT(DATE(YEAR(Invoer!$A$5),1,1)+INT((ROWS(B$2:B2027)-1)/24),"""18""jjmmdd")</f>
        <v>18980326</v>
      </c>
      <c r="C2027" s="11" t="str">
        <f>INDEX(Data,2,2+MOD(ROWS(C$2:C2027)-1,24))</f>
        <v>10.00</v>
      </c>
      <c r="D2027" s="8" t="str">
        <f t="shared" ca="1" si="95"/>
        <v>—</v>
      </c>
      <c r="E2027" s="16">
        <f t="shared" ca="1" si="96"/>
        <v>7</v>
      </c>
    </row>
    <row r="2028" spans="1:5" x14ac:dyDescent="0.25">
      <c r="A2028" s="3">
        <f t="shared" si="94"/>
        <v>78989</v>
      </c>
      <c r="B2028" t="str">
        <f ca="1">TEXT(DATE(YEAR(Invoer!$A$5),1,1)+INT((ROWS(B$2:B2028)-1)/24),"""18""jjmmdd")</f>
        <v>18980326</v>
      </c>
      <c r="C2028" s="11" t="str">
        <f>INDEX(Data,2,2+MOD(ROWS(C$2:C2028)-1,24))</f>
        <v>11.00</v>
      </c>
      <c r="D2028" s="8" t="str">
        <f t="shared" ca="1" si="95"/>
        <v>—</v>
      </c>
      <c r="E2028" s="16">
        <f t="shared" ca="1" si="96"/>
        <v>7</v>
      </c>
    </row>
    <row r="2029" spans="1:5" x14ac:dyDescent="0.25">
      <c r="A2029" s="3">
        <f t="shared" si="94"/>
        <v>78989</v>
      </c>
      <c r="B2029" t="str">
        <f ca="1">TEXT(DATE(YEAR(Invoer!$A$5),1,1)+INT((ROWS(B$2:B2029)-1)/24),"""18""jjmmdd")</f>
        <v>18980326</v>
      </c>
      <c r="C2029" s="11" t="str">
        <f>INDEX(Data,2,2+MOD(ROWS(C$2:C2029)-1,24))</f>
        <v>12.00</v>
      </c>
      <c r="D2029" s="8" t="str">
        <f t="shared" ca="1" si="95"/>
        <v>—</v>
      </c>
      <c r="E2029" s="16">
        <f t="shared" ca="1" si="96"/>
        <v>7</v>
      </c>
    </row>
    <row r="2030" spans="1:5" x14ac:dyDescent="0.25">
      <c r="A2030" s="3">
        <f t="shared" si="94"/>
        <v>78989</v>
      </c>
      <c r="B2030" t="str">
        <f ca="1">TEXT(DATE(YEAR(Invoer!$A$5),1,1)+INT((ROWS(B$2:B2030)-1)/24),"""18""jjmmdd")</f>
        <v>18980326</v>
      </c>
      <c r="C2030" s="11" t="str">
        <f>INDEX(Data,2,2+MOD(ROWS(C$2:C2030)-1,24))</f>
        <v>13.00</v>
      </c>
      <c r="D2030" s="8" t="str">
        <f t="shared" ca="1" si="95"/>
        <v>—</v>
      </c>
      <c r="E2030" s="16">
        <f t="shared" ca="1" si="96"/>
        <v>7</v>
      </c>
    </row>
    <row r="2031" spans="1:5" x14ac:dyDescent="0.25">
      <c r="A2031" s="3">
        <f t="shared" si="94"/>
        <v>78989</v>
      </c>
      <c r="B2031" t="str">
        <f ca="1">TEXT(DATE(YEAR(Invoer!$A$5),1,1)+INT((ROWS(B$2:B2031)-1)/24),"""18""jjmmdd")</f>
        <v>18980326</v>
      </c>
      <c r="C2031" s="11" t="str">
        <f>INDEX(Data,2,2+MOD(ROWS(C$2:C2031)-1,24))</f>
        <v>14.00</v>
      </c>
      <c r="D2031" s="8" t="str">
        <f t="shared" ca="1" si="95"/>
        <v>—</v>
      </c>
      <c r="E2031" s="16">
        <f t="shared" ca="1" si="96"/>
        <v>7</v>
      </c>
    </row>
    <row r="2032" spans="1:5" x14ac:dyDescent="0.25">
      <c r="A2032" s="3">
        <f t="shared" si="94"/>
        <v>78989</v>
      </c>
      <c r="B2032" t="str">
        <f ca="1">TEXT(DATE(YEAR(Invoer!$A$5),1,1)+INT((ROWS(B$2:B2032)-1)/24),"""18""jjmmdd")</f>
        <v>18980326</v>
      </c>
      <c r="C2032" s="11" t="str">
        <f>INDEX(Data,2,2+MOD(ROWS(C$2:C2032)-1,24))</f>
        <v>15.00</v>
      </c>
      <c r="D2032" s="8" t="str">
        <f t="shared" ca="1" si="95"/>
        <v>—</v>
      </c>
      <c r="E2032" s="16">
        <f t="shared" ca="1" si="96"/>
        <v>7</v>
      </c>
    </row>
    <row r="2033" spans="1:5" x14ac:dyDescent="0.25">
      <c r="A2033" s="3">
        <f t="shared" si="94"/>
        <v>78989</v>
      </c>
      <c r="B2033" t="str">
        <f ca="1">TEXT(DATE(YEAR(Invoer!$A$5),1,1)+INT((ROWS(B$2:B2033)-1)/24),"""18""jjmmdd")</f>
        <v>18980326</v>
      </c>
      <c r="C2033" s="11" t="str">
        <f>INDEX(Data,2,2+MOD(ROWS(C$2:C2033)-1,24))</f>
        <v>16.00</v>
      </c>
      <c r="D2033" s="8" t="str">
        <f t="shared" ca="1" si="95"/>
        <v>—</v>
      </c>
      <c r="E2033" s="16">
        <f t="shared" ca="1" si="96"/>
        <v>7</v>
      </c>
    </row>
    <row r="2034" spans="1:5" x14ac:dyDescent="0.25">
      <c r="A2034" s="3">
        <f t="shared" si="94"/>
        <v>78989</v>
      </c>
      <c r="B2034" t="str">
        <f ca="1">TEXT(DATE(YEAR(Invoer!$A$5),1,1)+INT((ROWS(B$2:B2034)-1)/24),"""18""jjmmdd")</f>
        <v>18980326</v>
      </c>
      <c r="C2034" s="11" t="str">
        <f>INDEX(Data,2,2+MOD(ROWS(C$2:C2034)-1,24))</f>
        <v>17.00</v>
      </c>
      <c r="D2034" s="8" t="str">
        <f t="shared" ca="1" si="95"/>
        <v>—</v>
      </c>
      <c r="E2034" s="16">
        <f t="shared" ca="1" si="96"/>
        <v>7</v>
      </c>
    </row>
    <row r="2035" spans="1:5" x14ac:dyDescent="0.25">
      <c r="A2035" s="3">
        <f t="shared" si="94"/>
        <v>78989</v>
      </c>
      <c r="B2035" t="str">
        <f ca="1">TEXT(DATE(YEAR(Invoer!$A$5),1,1)+INT((ROWS(B$2:B2035)-1)/24),"""18""jjmmdd")</f>
        <v>18980326</v>
      </c>
      <c r="C2035" s="11" t="str">
        <f>INDEX(Data,2,2+MOD(ROWS(C$2:C2035)-1,24))</f>
        <v>18.00</v>
      </c>
      <c r="D2035" s="8" t="str">
        <f t="shared" ca="1" si="95"/>
        <v>—</v>
      </c>
      <c r="E2035" s="16">
        <f t="shared" ca="1" si="96"/>
        <v>7</v>
      </c>
    </row>
    <row r="2036" spans="1:5" x14ac:dyDescent="0.25">
      <c r="A2036" s="3">
        <f t="shared" si="94"/>
        <v>78989</v>
      </c>
      <c r="B2036" t="str">
        <f ca="1">TEXT(DATE(YEAR(Invoer!$A$5),1,1)+INT((ROWS(B$2:B2036)-1)/24),"""18""jjmmdd")</f>
        <v>18980326</v>
      </c>
      <c r="C2036" s="11" t="str">
        <f>INDEX(Data,2,2+MOD(ROWS(C$2:C2036)-1,24))</f>
        <v>19.00</v>
      </c>
      <c r="D2036" s="8" t="str">
        <f t="shared" ca="1" si="95"/>
        <v>—</v>
      </c>
      <c r="E2036" s="16">
        <f t="shared" ca="1" si="96"/>
        <v>7</v>
      </c>
    </row>
    <row r="2037" spans="1:5" x14ac:dyDescent="0.25">
      <c r="A2037" s="3">
        <f t="shared" si="94"/>
        <v>78989</v>
      </c>
      <c r="B2037" t="str">
        <f ca="1">TEXT(DATE(YEAR(Invoer!$A$5),1,1)+INT((ROWS(B$2:B2037)-1)/24),"""18""jjmmdd")</f>
        <v>18980326</v>
      </c>
      <c r="C2037" s="11" t="str">
        <f>INDEX(Data,2,2+MOD(ROWS(C$2:C2037)-1,24))</f>
        <v>20.00</v>
      </c>
      <c r="D2037" s="8" t="str">
        <f t="shared" ca="1" si="95"/>
        <v>—</v>
      </c>
      <c r="E2037" s="16">
        <f t="shared" ca="1" si="96"/>
        <v>7</v>
      </c>
    </row>
    <row r="2038" spans="1:5" x14ac:dyDescent="0.25">
      <c r="A2038" s="3">
        <f t="shared" si="94"/>
        <v>78989</v>
      </c>
      <c r="B2038" t="str">
        <f ca="1">TEXT(DATE(YEAR(Invoer!$A$5),1,1)+INT((ROWS(B$2:B2038)-1)/24),"""18""jjmmdd")</f>
        <v>18980326</v>
      </c>
      <c r="C2038" s="11" t="str">
        <f>INDEX(Data,2,2+MOD(ROWS(C$2:C2038)-1,24))</f>
        <v>21.00</v>
      </c>
      <c r="D2038" s="8" t="str">
        <f t="shared" ca="1" si="95"/>
        <v>—</v>
      </c>
      <c r="E2038" s="16">
        <f t="shared" ca="1" si="96"/>
        <v>7</v>
      </c>
    </row>
    <row r="2039" spans="1:5" x14ac:dyDescent="0.25">
      <c r="A2039" s="3">
        <f t="shared" si="94"/>
        <v>78989</v>
      </c>
      <c r="B2039" t="str">
        <f ca="1">TEXT(DATE(YEAR(Invoer!$A$5),1,1)+INT((ROWS(B$2:B2039)-1)/24),"""18""jjmmdd")</f>
        <v>18980326</v>
      </c>
      <c r="C2039" s="11" t="str">
        <f>INDEX(Data,2,2+MOD(ROWS(C$2:C2039)-1,24))</f>
        <v>22.00</v>
      </c>
      <c r="D2039" s="8" t="str">
        <f t="shared" ca="1" si="95"/>
        <v>—</v>
      </c>
      <c r="E2039" s="16">
        <f t="shared" ca="1" si="96"/>
        <v>7</v>
      </c>
    </row>
    <row r="2040" spans="1:5" x14ac:dyDescent="0.25">
      <c r="A2040" s="3">
        <f t="shared" si="94"/>
        <v>78989</v>
      </c>
      <c r="B2040" t="str">
        <f ca="1">TEXT(DATE(YEAR(Invoer!$A$5),1,1)+INT((ROWS(B$2:B2040)-1)/24),"""18""jjmmdd")</f>
        <v>18980326</v>
      </c>
      <c r="C2040" s="11" t="str">
        <f>INDEX(Data,2,2+MOD(ROWS(C$2:C2040)-1,24))</f>
        <v>23.00</v>
      </c>
      <c r="D2040" s="8" t="str">
        <f t="shared" ca="1" si="95"/>
        <v>—</v>
      </c>
      <c r="E2040" s="16">
        <f t="shared" ca="1" si="96"/>
        <v>7</v>
      </c>
    </row>
    <row r="2041" spans="1:5" x14ac:dyDescent="0.25">
      <c r="A2041" s="3">
        <f t="shared" si="94"/>
        <v>78989</v>
      </c>
      <c r="B2041" t="str">
        <f ca="1">TEXT(DATE(YEAR(Invoer!$A$5),1,1)+INT((ROWS(B$2:B2041)-1)/24),"""18""jjmmdd")</f>
        <v>18980326</v>
      </c>
      <c r="C2041" s="11" t="str">
        <f>INDEX(Data,2,2+MOD(ROWS(C$2:C2041)-1,24))</f>
        <v>24.00</v>
      </c>
      <c r="D2041" s="8" t="str">
        <f t="shared" ca="1" si="95"/>
        <v>—</v>
      </c>
      <c r="E2041" s="16">
        <f t="shared" ca="1" si="96"/>
        <v>7</v>
      </c>
    </row>
    <row r="2042" spans="1:5" x14ac:dyDescent="0.25">
      <c r="A2042" s="3">
        <f t="shared" si="94"/>
        <v>78989</v>
      </c>
      <c r="B2042" t="str">
        <f ca="1">TEXT(DATE(YEAR(Invoer!$A$5),1,1)+INT((ROWS(B$2:B2042)-1)/24),"""18""jjmmdd")</f>
        <v>18980327</v>
      </c>
      <c r="C2042" s="11" t="str">
        <f>INDEX(Data,2,2+MOD(ROWS(C$2:C2042)-1,24))</f>
        <v>01.00</v>
      </c>
      <c r="D2042" s="8" t="str">
        <f t="shared" ca="1" si="95"/>
        <v>—</v>
      </c>
      <c r="E2042" s="16">
        <f t="shared" ca="1" si="96"/>
        <v>7</v>
      </c>
    </row>
    <row r="2043" spans="1:5" x14ac:dyDescent="0.25">
      <c r="A2043" s="3">
        <f t="shared" si="94"/>
        <v>78989</v>
      </c>
      <c r="B2043" t="str">
        <f ca="1">TEXT(DATE(YEAR(Invoer!$A$5),1,1)+INT((ROWS(B$2:B2043)-1)/24),"""18""jjmmdd")</f>
        <v>18980327</v>
      </c>
      <c r="C2043" s="11" t="str">
        <f>INDEX(Data,2,2+MOD(ROWS(C$2:C2043)-1,24))</f>
        <v>02.00</v>
      </c>
      <c r="D2043" s="8" t="str">
        <f t="shared" ca="1" si="95"/>
        <v>—</v>
      </c>
      <c r="E2043" s="16">
        <f t="shared" ca="1" si="96"/>
        <v>7</v>
      </c>
    </row>
    <row r="2044" spans="1:5" x14ac:dyDescent="0.25">
      <c r="A2044" s="3">
        <f t="shared" si="94"/>
        <v>78989</v>
      </c>
      <c r="B2044" t="str">
        <f ca="1">TEXT(DATE(YEAR(Invoer!$A$5),1,1)+INT((ROWS(B$2:B2044)-1)/24),"""18""jjmmdd")</f>
        <v>18980327</v>
      </c>
      <c r="C2044" s="11" t="str">
        <f>INDEX(Data,2,2+MOD(ROWS(C$2:C2044)-1,24))</f>
        <v>03.00</v>
      </c>
      <c r="D2044" s="8" t="str">
        <f t="shared" ca="1" si="95"/>
        <v>—</v>
      </c>
      <c r="E2044" s="16">
        <f t="shared" ca="1" si="96"/>
        <v>7</v>
      </c>
    </row>
    <row r="2045" spans="1:5" x14ac:dyDescent="0.25">
      <c r="A2045" s="3">
        <f t="shared" si="94"/>
        <v>78989</v>
      </c>
      <c r="B2045" t="str">
        <f ca="1">TEXT(DATE(YEAR(Invoer!$A$5),1,1)+INT((ROWS(B$2:B2045)-1)/24),"""18""jjmmdd")</f>
        <v>18980327</v>
      </c>
      <c r="C2045" s="11" t="str">
        <f>INDEX(Data,2,2+MOD(ROWS(C$2:C2045)-1,24))</f>
        <v>04.00</v>
      </c>
      <c r="D2045" s="8" t="str">
        <f t="shared" ca="1" si="95"/>
        <v>—</v>
      </c>
      <c r="E2045" s="16">
        <f t="shared" ca="1" si="96"/>
        <v>7</v>
      </c>
    </row>
    <row r="2046" spans="1:5" x14ac:dyDescent="0.25">
      <c r="A2046" s="3">
        <f t="shared" si="94"/>
        <v>78989</v>
      </c>
      <c r="B2046" t="str">
        <f ca="1">TEXT(DATE(YEAR(Invoer!$A$5),1,1)+INT((ROWS(B$2:B2046)-1)/24),"""18""jjmmdd")</f>
        <v>18980327</v>
      </c>
      <c r="C2046" s="11" t="str">
        <f>INDEX(Data,2,2+MOD(ROWS(C$2:C2046)-1,24))</f>
        <v>05.00</v>
      </c>
      <c r="D2046" s="8" t="str">
        <f t="shared" ca="1" si="95"/>
        <v>—</v>
      </c>
      <c r="E2046" s="16">
        <f t="shared" ca="1" si="96"/>
        <v>7</v>
      </c>
    </row>
    <row r="2047" spans="1:5" x14ac:dyDescent="0.25">
      <c r="A2047" s="3">
        <f t="shared" si="94"/>
        <v>78989</v>
      </c>
      <c r="B2047" t="str">
        <f ca="1">TEXT(DATE(YEAR(Invoer!$A$5),1,1)+INT((ROWS(B$2:B2047)-1)/24),"""18""jjmmdd")</f>
        <v>18980327</v>
      </c>
      <c r="C2047" s="11" t="str">
        <f>INDEX(Data,2,2+MOD(ROWS(C$2:C2047)-1,24))</f>
        <v>06.00</v>
      </c>
      <c r="D2047" s="8" t="str">
        <f t="shared" ca="1" si="95"/>
        <v>—</v>
      </c>
      <c r="E2047" s="16">
        <f t="shared" ca="1" si="96"/>
        <v>7</v>
      </c>
    </row>
    <row r="2048" spans="1:5" x14ac:dyDescent="0.25">
      <c r="A2048" s="3">
        <f t="shared" si="94"/>
        <v>78989</v>
      </c>
      <c r="B2048" t="str">
        <f ca="1">TEXT(DATE(YEAR(Invoer!$A$5),1,1)+INT((ROWS(B$2:B2048)-1)/24),"""18""jjmmdd")</f>
        <v>18980327</v>
      </c>
      <c r="C2048" s="11" t="str">
        <f>INDEX(Data,2,2+MOD(ROWS(C$2:C2048)-1,24))</f>
        <v>07.00</v>
      </c>
      <c r="D2048" s="8" t="str">
        <f t="shared" ca="1" si="95"/>
        <v>—</v>
      </c>
      <c r="E2048" s="16">
        <f t="shared" ca="1" si="96"/>
        <v>7</v>
      </c>
    </row>
    <row r="2049" spans="1:5" x14ac:dyDescent="0.25">
      <c r="A2049" s="3">
        <f t="shared" si="94"/>
        <v>78989</v>
      </c>
      <c r="B2049" t="str">
        <f ca="1">TEXT(DATE(YEAR(Invoer!$A$5),1,1)+INT((ROWS(B$2:B2049)-1)/24),"""18""jjmmdd")</f>
        <v>18980327</v>
      </c>
      <c r="C2049" s="11" t="str">
        <f>INDEX(Data,2,2+MOD(ROWS(C$2:C2049)-1,24))</f>
        <v>08.00</v>
      </c>
      <c r="D2049" s="8" t="str">
        <f t="shared" ca="1" si="95"/>
        <v>—</v>
      </c>
      <c r="E2049" s="16">
        <f t="shared" ca="1" si="96"/>
        <v>7</v>
      </c>
    </row>
    <row r="2050" spans="1:5" x14ac:dyDescent="0.25">
      <c r="A2050" s="3">
        <f t="shared" ref="A2050:A2113" si="97">INDEX(Stations,2,1)</f>
        <v>78989</v>
      </c>
      <c r="B2050" t="str">
        <f ca="1">TEXT(DATE(YEAR(Invoer!$A$5),1,1)+INT((ROWS(B$2:B2050)-1)/24),"""18""jjmmdd")</f>
        <v>18980327</v>
      </c>
      <c r="C2050" s="11" t="str">
        <f>INDEX(Data,2,2+MOD(ROWS(C$2:C2050)-1,24))</f>
        <v>09.00</v>
      </c>
      <c r="D2050" s="8" t="str">
        <f t="shared" ref="D2050:D2113" ca="1" si="98">IF(OR(ISBLANK(VLOOKUP(DATEVALUE("37"&amp;MID($B2050,3,2)&amp;"-"&amp;MID($B2050,5,2)&amp;"-"&amp;RIGHT($B2050,2)),Data,MATCH(LEFT(VLOOKUP(D$1,Parameters,2,FALSE()),4)&amp;"*",OFFSET(Data,0,0,1),0)+MATCH($C2050,OFFSET(Data,1,0,1),0)-2,FALSE())),ISTEXT(VLOOKUP(DATEVALUE("37"&amp;MID($B2050,3,2)&amp;"-"&amp;MID($B2050,5,2)&amp;"-"&amp;RIGHT($B2050,2)),Data,MATCH(LEFT(VLOOKUP(D$1,Parameters,2,FALSE()),4)&amp;"*",OFFSET(Data,0,0,1),0)+MATCH($C2050,OFFSET(Data,1,0,1),0)-2,FALSE()))),"—",VLOOKUP(DATEVALUE("37"&amp;MID($B2050,3,2)&amp;"-"&amp;MID($B2050,5,2)&amp;"-"&amp;RIGHT($B2050,2)),Data,MATCH(LEFT(VLOOKUP(D$1,Parameters,2,FALSE()),4)&amp;"*",OFFSET(Data,0,0,1),0)+MATCH($C2050,OFFSET(Data,1,0,1),0)-2,FALSE()))</f>
        <v>—</v>
      </c>
      <c r="E2050" s="16">
        <f t="shared" ca="1" si="96"/>
        <v>7</v>
      </c>
    </row>
    <row r="2051" spans="1:5" x14ac:dyDescent="0.25">
      <c r="A2051" s="3">
        <f t="shared" si="97"/>
        <v>78989</v>
      </c>
      <c r="B2051" t="str">
        <f ca="1">TEXT(DATE(YEAR(Invoer!$A$5),1,1)+INT((ROWS(B$2:B2051)-1)/24),"""18""jjmmdd")</f>
        <v>18980327</v>
      </c>
      <c r="C2051" s="11" t="str">
        <f>INDEX(Data,2,2+MOD(ROWS(C$2:C2051)-1,24))</f>
        <v>10.00</v>
      </c>
      <c r="D2051" s="8" t="str">
        <f t="shared" ca="1" si="98"/>
        <v>—</v>
      </c>
      <c r="E2051" s="16">
        <f t="shared" ref="E2051:E2114" ca="1" si="99">IF(OR(ISBLANK(VLOOKUP(DATEVALUE("37"&amp;MID($B2051,3,2)&amp;"-"&amp;MID($B2051,5,2)&amp;"-"&amp;RIGHT($B2051,2)),Data,MATCH(LEFT(VLOOKUP(D$1,Parameters,2,FALSE()),4)&amp;"*",OFFSET(Data,0,0,1),0)+MATCH($C2051,OFFSET(Data,1,0,1),0)-2,FALSE())),ISTEXT(VLOOKUP(DATEVALUE("37"&amp;MID($B2051,3,2)&amp;"-"&amp;MID($B2051,5,2)&amp;"-"&amp;RIGHT($B2051,2)),Data,MATCH(LEFT(VLOOKUP(D$1,Parameters,2,FALSE()),4)&amp;"*",OFFSET(Data,0,0,1),0)+MATCH($C2051,OFFSET(Data,1,0,1),0)-2,FALSE()))),Lacking,IF(ISNA(MATCH(DATEVALUE("37"&amp;MID($B2051,3,2)&amp;"-"&amp;MID($B2051,5,2)&amp;"-"&amp;RIGHT($B2051,2)),OFFSET(Catalogus,0,0,,1),0)),Ok,VLOOKUP(DATEVALUE("37"&amp;MID($B2051,3,2)&amp;"-"&amp;MID($B2051,5,2)&amp;"-"&amp;RIGHT($B2051,2)),Catalogus,MATCH(LEFT(VLOOKUP(MID(E$1,2,LEN(E$1)-1),Parameters,2,FALSE()),4)&amp;"*",OFFSET(Catalogus,0,0,1),0)+MATCH($C2051,OFFSET(Catalogus,1,0,1),0)-2,FALSE())))</f>
        <v>7</v>
      </c>
    </row>
    <row r="2052" spans="1:5" x14ac:dyDescent="0.25">
      <c r="A2052" s="3">
        <f t="shared" si="97"/>
        <v>78989</v>
      </c>
      <c r="B2052" t="str">
        <f ca="1">TEXT(DATE(YEAR(Invoer!$A$5),1,1)+INT((ROWS(B$2:B2052)-1)/24),"""18""jjmmdd")</f>
        <v>18980327</v>
      </c>
      <c r="C2052" s="11" t="str">
        <f>INDEX(Data,2,2+MOD(ROWS(C$2:C2052)-1,24))</f>
        <v>11.00</v>
      </c>
      <c r="D2052" s="8" t="str">
        <f t="shared" ca="1" si="98"/>
        <v>—</v>
      </c>
      <c r="E2052" s="16">
        <f t="shared" ca="1" si="99"/>
        <v>7</v>
      </c>
    </row>
    <row r="2053" spans="1:5" x14ac:dyDescent="0.25">
      <c r="A2053" s="3">
        <f t="shared" si="97"/>
        <v>78989</v>
      </c>
      <c r="B2053" t="str">
        <f ca="1">TEXT(DATE(YEAR(Invoer!$A$5),1,1)+INT((ROWS(B$2:B2053)-1)/24),"""18""jjmmdd")</f>
        <v>18980327</v>
      </c>
      <c r="C2053" s="11" t="str">
        <f>INDEX(Data,2,2+MOD(ROWS(C$2:C2053)-1,24))</f>
        <v>12.00</v>
      </c>
      <c r="D2053" s="8" t="str">
        <f t="shared" ca="1" si="98"/>
        <v>—</v>
      </c>
      <c r="E2053" s="16">
        <f t="shared" ca="1" si="99"/>
        <v>7</v>
      </c>
    </row>
    <row r="2054" spans="1:5" x14ac:dyDescent="0.25">
      <c r="A2054" s="3">
        <f t="shared" si="97"/>
        <v>78989</v>
      </c>
      <c r="B2054" t="str">
        <f ca="1">TEXT(DATE(YEAR(Invoer!$A$5),1,1)+INT((ROWS(B$2:B2054)-1)/24),"""18""jjmmdd")</f>
        <v>18980327</v>
      </c>
      <c r="C2054" s="11" t="str">
        <f>INDEX(Data,2,2+MOD(ROWS(C$2:C2054)-1,24))</f>
        <v>13.00</v>
      </c>
      <c r="D2054" s="8" t="str">
        <f t="shared" ca="1" si="98"/>
        <v>—</v>
      </c>
      <c r="E2054" s="16">
        <f t="shared" ca="1" si="99"/>
        <v>7</v>
      </c>
    </row>
    <row r="2055" spans="1:5" x14ac:dyDescent="0.25">
      <c r="A2055" s="3">
        <f t="shared" si="97"/>
        <v>78989</v>
      </c>
      <c r="B2055" t="str">
        <f ca="1">TEXT(DATE(YEAR(Invoer!$A$5),1,1)+INT((ROWS(B$2:B2055)-1)/24),"""18""jjmmdd")</f>
        <v>18980327</v>
      </c>
      <c r="C2055" s="11" t="str">
        <f>INDEX(Data,2,2+MOD(ROWS(C$2:C2055)-1,24))</f>
        <v>14.00</v>
      </c>
      <c r="D2055" s="8" t="str">
        <f t="shared" ca="1" si="98"/>
        <v>—</v>
      </c>
      <c r="E2055" s="16">
        <f t="shared" ca="1" si="99"/>
        <v>7</v>
      </c>
    </row>
    <row r="2056" spans="1:5" x14ac:dyDescent="0.25">
      <c r="A2056" s="3">
        <f t="shared" si="97"/>
        <v>78989</v>
      </c>
      <c r="B2056" t="str">
        <f ca="1">TEXT(DATE(YEAR(Invoer!$A$5),1,1)+INT((ROWS(B$2:B2056)-1)/24),"""18""jjmmdd")</f>
        <v>18980327</v>
      </c>
      <c r="C2056" s="11" t="str">
        <f>INDEX(Data,2,2+MOD(ROWS(C$2:C2056)-1,24))</f>
        <v>15.00</v>
      </c>
      <c r="D2056" s="8" t="str">
        <f t="shared" ca="1" si="98"/>
        <v>—</v>
      </c>
      <c r="E2056" s="16">
        <f t="shared" ca="1" si="99"/>
        <v>7</v>
      </c>
    </row>
    <row r="2057" spans="1:5" x14ac:dyDescent="0.25">
      <c r="A2057" s="3">
        <f t="shared" si="97"/>
        <v>78989</v>
      </c>
      <c r="B2057" t="str">
        <f ca="1">TEXT(DATE(YEAR(Invoer!$A$5),1,1)+INT((ROWS(B$2:B2057)-1)/24),"""18""jjmmdd")</f>
        <v>18980327</v>
      </c>
      <c r="C2057" s="11" t="str">
        <f>INDEX(Data,2,2+MOD(ROWS(C$2:C2057)-1,24))</f>
        <v>16.00</v>
      </c>
      <c r="D2057" s="8" t="str">
        <f t="shared" ca="1" si="98"/>
        <v>—</v>
      </c>
      <c r="E2057" s="16">
        <f t="shared" ca="1" si="99"/>
        <v>7</v>
      </c>
    </row>
    <row r="2058" spans="1:5" x14ac:dyDescent="0.25">
      <c r="A2058" s="3">
        <f t="shared" si="97"/>
        <v>78989</v>
      </c>
      <c r="B2058" t="str">
        <f ca="1">TEXT(DATE(YEAR(Invoer!$A$5),1,1)+INT((ROWS(B$2:B2058)-1)/24),"""18""jjmmdd")</f>
        <v>18980327</v>
      </c>
      <c r="C2058" s="11" t="str">
        <f>INDEX(Data,2,2+MOD(ROWS(C$2:C2058)-1,24))</f>
        <v>17.00</v>
      </c>
      <c r="D2058" s="8" t="str">
        <f t="shared" ca="1" si="98"/>
        <v>—</v>
      </c>
      <c r="E2058" s="16">
        <f t="shared" ca="1" si="99"/>
        <v>7</v>
      </c>
    </row>
    <row r="2059" spans="1:5" x14ac:dyDescent="0.25">
      <c r="A2059" s="3">
        <f t="shared" si="97"/>
        <v>78989</v>
      </c>
      <c r="B2059" t="str">
        <f ca="1">TEXT(DATE(YEAR(Invoer!$A$5),1,1)+INT((ROWS(B$2:B2059)-1)/24),"""18""jjmmdd")</f>
        <v>18980327</v>
      </c>
      <c r="C2059" s="11" t="str">
        <f>INDEX(Data,2,2+MOD(ROWS(C$2:C2059)-1,24))</f>
        <v>18.00</v>
      </c>
      <c r="D2059" s="8" t="str">
        <f t="shared" ca="1" si="98"/>
        <v>—</v>
      </c>
      <c r="E2059" s="16">
        <f t="shared" ca="1" si="99"/>
        <v>7</v>
      </c>
    </row>
    <row r="2060" spans="1:5" x14ac:dyDescent="0.25">
      <c r="A2060" s="3">
        <f t="shared" si="97"/>
        <v>78989</v>
      </c>
      <c r="B2060" t="str">
        <f ca="1">TEXT(DATE(YEAR(Invoer!$A$5),1,1)+INT((ROWS(B$2:B2060)-1)/24),"""18""jjmmdd")</f>
        <v>18980327</v>
      </c>
      <c r="C2060" s="11" t="str">
        <f>INDEX(Data,2,2+MOD(ROWS(C$2:C2060)-1,24))</f>
        <v>19.00</v>
      </c>
      <c r="D2060" s="8" t="str">
        <f t="shared" ca="1" si="98"/>
        <v>—</v>
      </c>
      <c r="E2060" s="16">
        <f t="shared" ca="1" si="99"/>
        <v>7</v>
      </c>
    </row>
    <row r="2061" spans="1:5" x14ac:dyDescent="0.25">
      <c r="A2061" s="3">
        <f t="shared" si="97"/>
        <v>78989</v>
      </c>
      <c r="B2061" t="str">
        <f ca="1">TEXT(DATE(YEAR(Invoer!$A$5),1,1)+INT((ROWS(B$2:B2061)-1)/24),"""18""jjmmdd")</f>
        <v>18980327</v>
      </c>
      <c r="C2061" s="11" t="str">
        <f>INDEX(Data,2,2+MOD(ROWS(C$2:C2061)-1,24))</f>
        <v>20.00</v>
      </c>
      <c r="D2061" s="8" t="str">
        <f t="shared" ca="1" si="98"/>
        <v>—</v>
      </c>
      <c r="E2061" s="16">
        <f t="shared" ca="1" si="99"/>
        <v>7</v>
      </c>
    </row>
    <row r="2062" spans="1:5" x14ac:dyDescent="0.25">
      <c r="A2062" s="3">
        <f t="shared" si="97"/>
        <v>78989</v>
      </c>
      <c r="B2062" t="str">
        <f ca="1">TEXT(DATE(YEAR(Invoer!$A$5),1,1)+INT((ROWS(B$2:B2062)-1)/24),"""18""jjmmdd")</f>
        <v>18980327</v>
      </c>
      <c r="C2062" s="11" t="str">
        <f>INDEX(Data,2,2+MOD(ROWS(C$2:C2062)-1,24))</f>
        <v>21.00</v>
      </c>
      <c r="D2062" s="8" t="str">
        <f t="shared" ca="1" si="98"/>
        <v>—</v>
      </c>
      <c r="E2062" s="16">
        <f t="shared" ca="1" si="99"/>
        <v>7</v>
      </c>
    </row>
    <row r="2063" spans="1:5" x14ac:dyDescent="0.25">
      <c r="A2063" s="3">
        <f t="shared" si="97"/>
        <v>78989</v>
      </c>
      <c r="B2063" t="str">
        <f ca="1">TEXT(DATE(YEAR(Invoer!$A$5),1,1)+INT((ROWS(B$2:B2063)-1)/24),"""18""jjmmdd")</f>
        <v>18980327</v>
      </c>
      <c r="C2063" s="11" t="str">
        <f>INDEX(Data,2,2+MOD(ROWS(C$2:C2063)-1,24))</f>
        <v>22.00</v>
      </c>
      <c r="D2063" s="8" t="str">
        <f t="shared" ca="1" si="98"/>
        <v>—</v>
      </c>
      <c r="E2063" s="16">
        <f t="shared" ca="1" si="99"/>
        <v>7</v>
      </c>
    </row>
    <row r="2064" spans="1:5" x14ac:dyDescent="0.25">
      <c r="A2064" s="3">
        <f t="shared" si="97"/>
        <v>78989</v>
      </c>
      <c r="B2064" t="str">
        <f ca="1">TEXT(DATE(YEAR(Invoer!$A$5),1,1)+INT((ROWS(B$2:B2064)-1)/24),"""18""jjmmdd")</f>
        <v>18980327</v>
      </c>
      <c r="C2064" s="11" t="str">
        <f>INDEX(Data,2,2+MOD(ROWS(C$2:C2064)-1,24))</f>
        <v>23.00</v>
      </c>
      <c r="D2064" s="8" t="str">
        <f t="shared" ca="1" si="98"/>
        <v>—</v>
      </c>
      <c r="E2064" s="16">
        <f t="shared" ca="1" si="99"/>
        <v>7</v>
      </c>
    </row>
    <row r="2065" spans="1:5" x14ac:dyDescent="0.25">
      <c r="A2065" s="3">
        <f t="shared" si="97"/>
        <v>78989</v>
      </c>
      <c r="B2065" t="str">
        <f ca="1">TEXT(DATE(YEAR(Invoer!$A$5),1,1)+INT((ROWS(B$2:B2065)-1)/24),"""18""jjmmdd")</f>
        <v>18980327</v>
      </c>
      <c r="C2065" s="11" t="str">
        <f>INDEX(Data,2,2+MOD(ROWS(C$2:C2065)-1,24))</f>
        <v>24.00</v>
      </c>
      <c r="D2065" s="8" t="str">
        <f t="shared" ca="1" si="98"/>
        <v>—</v>
      </c>
      <c r="E2065" s="16">
        <f t="shared" ca="1" si="99"/>
        <v>7</v>
      </c>
    </row>
    <row r="2066" spans="1:5" x14ac:dyDescent="0.25">
      <c r="A2066" s="3">
        <f t="shared" si="97"/>
        <v>78989</v>
      </c>
      <c r="B2066" t="str">
        <f ca="1">TEXT(DATE(YEAR(Invoer!$A$5),1,1)+INT((ROWS(B$2:B2066)-1)/24),"""18""jjmmdd")</f>
        <v>18980328</v>
      </c>
      <c r="C2066" s="11" t="str">
        <f>INDEX(Data,2,2+MOD(ROWS(C$2:C2066)-1,24))</f>
        <v>01.00</v>
      </c>
      <c r="D2066" s="8" t="str">
        <f t="shared" ca="1" si="98"/>
        <v>—</v>
      </c>
      <c r="E2066" s="16">
        <f t="shared" ca="1" si="99"/>
        <v>7</v>
      </c>
    </row>
    <row r="2067" spans="1:5" x14ac:dyDescent="0.25">
      <c r="A2067" s="3">
        <f t="shared" si="97"/>
        <v>78989</v>
      </c>
      <c r="B2067" t="str">
        <f ca="1">TEXT(DATE(YEAR(Invoer!$A$5),1,1)+INT((ROWS(B$2:B2067)-1)/24),"""18""jjmmdd")</f>
        <v>18980328</v>
      </c>
      <c r="C2067" s="11" t="str">
        <f>INDEX(Data,2,2+MOD(ROWS(C$2:C2067)-1,24))</f>
        <v>02.00</v>
      </c>
      <c r="D2067" s="8" t="str">
        <f t="shared" ca="1" si="98"/>
        <v>—</v>
      </c>
      <c r="E2067" s="16">
        <f t="shared" ca="1" si="99"/>
        <v>7</v>
      </c>
    </row>
    <row r="2068" spans="1:5" x14ac:dyDescent="0.25">
      <c r="A2068" s="3">
        <f t="shared" si="97"/>
        <v>78989</v>
      </c>
      <c r="B2068" t="str">
        <f ca="1">TEXT(DATE(YEAR(Invoer!$A$5),1,1)+INT((ROWS(B$2:B2068)-1)/24),"""18""jjmmdd")</f>
        <v>18980328</v>
      </c>
      <c r="C2068" s="11" t="str">
        <f>INDEX(Data,2,2+MOD(ROWS(C$2:C2068)-1,24))</f>
        <v>03.00</v>
      </c>
      <c r="D2068" s="8" t="str">
        <f t="shared" ca="1" si="98"/>
        <v>—</v>
      </c>
      <c r="E2068" s="16">
        <f t="shared" ca="1" si="99"/>
        <v>7</v>
      </c>
    </row>
    <row r="2069" spans="1:5" x14ac:dyDescent="0.25">
      <c r="A2069" s="3">
        <f t="shared" si="97"/>
        <v>78989</v>
      </c>
      <c r="B2069" t="str">
        <f ca="1">TEXT(DATE(YEAR(Invoer!$A$5),1,1)+INT((ROWS(B$2:B2069)-1)/24),"""18""jjmmdd")</f>
        <v>18980328</v>
      </c>
      <c r="C2069" s="11" t="str">
        <f>INDEX(Data,2,2+MOD(ROWS(C$2:C2069)-1,24))</f>
        <v>04.00</v>
      </c>
      <c r="D2069" s="8" t="str">
        <f t="shared" ca="1" si="98"/>
        <v>—</v>
      </c>
      <c r="E2069" s="16">
        <f t="shared" ca="1" si="99"/>
        <v>7</v>
      </c>
    </row>
    <row r="2070" spans="1:5" x14ac:dyDescent="0.25">
      <c r="A2070" s="3">
        <f t="shared" si="97"/>
        <v>78989</v>
      </c>
      <c r="B2070" t="str">
        <f ca="1">TEXT(DATE(YEAR(Invoer!$A$5),1,1)+INT((ROWS(B$2:B2070)-1)/24),"""18""jjmmdd")</f>
        <v>18980328</v>
      </c>
      <c r="C2070" s="11" t="str">
        <f>INDEX(Data,2,2+MOD(ROWS(C$2:C2070)-1,24))</f>
        <v>05.00</v>
      </c>
      <c r="D2070" s="8" t="str">
        <f t="shared" ca="1" si="98"/>
        <v>—</v>
      </c>
      <c r="E2070" s="16">
        <f t="shared" ca="1" si="99"/>
        <v>7</v>
      </c>
    </row>
    <row r="2071" spans="1:5" x14ac:dyDescent="0.25">
      <c r="A2071" s="3">
        <f t="shared" si="97"/>
        <v>78989</v>
      </c>
      <c r="B2071" t="str">
        <f ca="1">TEXT(DATE(YEAR(Invoer!$A$5),1,1)+INT((ROWS(B$2:B2071)-1)/24),"""18""jjmmdd")</f>
        <v>18980328</v>
      </c>
      <c r="C2071" s="11" t="str">
        <f>INDEX(Data,2,2+MOD(ROWS(C$2:C2071)-1,24))</f>
        <v>06.00</v>
      </c>
      <c r="D2071" s="8" t="str">
        <f t="shared" ca="1" si="98"/>
        <v>—</v>
      </c>
      <c r="E2071" s="16">
        <f t="shared" ca="1" si="99"/>
        <v>7</v>
      </c>
    </row>
    <row r="2072" spans="1:5" x14ac:dyDescent="0.25">
      <c r="A2072" s="3">
        <f t="shared" si="97"/>
        <v>78989</v>
      </c>
      <c r="B2072" t="str">
        <f ca="1">TEXT(DATE(YEAR(Invoer!$A$5),1,1)+INT((ROWS(B$2:B2072)-1)/24),"""18""jjmmdd")</f>
        <v>18980328</v>
      </c>
      <c r="C2072" s="11" t="str">
        <f>INDEX(Data,2,2+MOD(ROWS(C$2:C2072)-1,24))</f>
        <v>07.00</v>
      </c>
      <c r="D2072" s="8" t="str">
        <f t="shared" ca="1" si="98"/>
        <v>—</v>
      </c>
      <c r="E2072" s="16">
        <f t="shared" ca="1" si="99"/>
        <v>7</v>
      </c>
    </row>
    <row r="2073" spans="1:5" x14ac:dyDescent="0.25">
      <c r="A2073" s="3">
        <f t="shared" si="97"/>
        <v>78989</v>
      </c>
      <c r="B2073" t="str">
        <f ca="1">TEXT(DATE(YEAR(Invoer!$A$5),1,1)+INT((ROWS(B$2:B2073)-1)/24),"""18""jjmmdd")</f>
        <v>18980328</v>
      </c>
      <c r="C2073" s="11" t="str">
        <f>INDEX(Data,2,2+MOD(ROWS(C$2:C2073)-1,24))</f>
        <v>08.00</v>
      </c>
      <c r="D2073" s="8" t="str">
        <f t="shared" ca="1" si="98"/>
        <v>—</v>
      </c>
      <c r="E2073" s="16">
        <f t="shared" ca="1" si="99"/>
        <v>7</v>
      </c>
    </row>
    <row r="2074" spans="1:5" x14ac:dyDescent="0.25">
      <c r="A2074" s="3">
        <f t="shared" si="97"/>
        <v>78989</v>
      </c>
      <c r="B2074" t="str">
        <f ca="1">TEXT(DATE(YEAR(Invoer!$A$5),1,1)+INT((ROWS(B$2:B2074)-1)/24),"""18""jjmmdd")</f>
        <v>18980328</v>
      </c>
      <c r="C2074" s="11" t="str">
        <f>INDEX(Data,2,2+MOD(ROWS(C$2:C2074)-1,24))</f>
        <v>09.00</v>
      </c>
      <c r="D2074" s="8" t="str">
        <f t="shared" ca="1" si="98"/>
        <v>—</v>
      </c>
      <c r="E2074" s="16">
        <f t="shared" ca="1" si="99"/>
        <v>7</v>
      </c>
    </row>
    <row r="2075" spans="1:5" x14ac:dyDescent="0.25">
      <c r="A2075" s="3">
        <f t="shared" si="97"/>
        <v>78989</v>
      </c>
      <c r="B2075" t="str">
        <f ca="1">TEXT(DATE(YEAR(Invoer!$A$5),1,1)+INT((ROWS(B$2:B2075)-1)/24),"""18""jjmmdd")</f>
        <v>18980328</v>
      </c>
      <c r="C2075" s="11" t="str">
        <f>INDEX(Data,2,2+MOD(ROWS(C$2:C2075)-1,24))</f>
        <v>10.00</v>
      </c>
      <c r="D2075" s="8" t="str">
        <f t="shared" ca="1" si="98"/>
        <v>—</v>
      </c>
      <c r="E2075" s="16">
        <f t="shared" ca="1" si="99"/>
        <v>7</v>
      </c>
    </row>
    <row r="2076" spans="1:5" x14ac:dyDescent="0.25">
      <c r="A2076" s="3">
        <f t="shared" si="97"/>
        <v>78989</v>
      </c>
      <c r="B2076" t="str">
        <f ca="1">TEXT(DATE(YEAR(Invoer!$A$5),1,1)+INT((ROWS(B$2:B2076)-1)/24),"""18""jjmmdd")</f>
        <v>18980328</v>
      </c>
      <c r="C2076" s="11" t="str">
        <f>INDEX(Data,2,2+MOD(ROWS(C$2:C2076)-1,24))</f>
        <v>11.00</v>
      </c>
      <c r="D2076" s="8" t="str">
        <f t="shared" ca="1" si="98"/>
        <v>—</v>
      </c>
      <c r="E2076" s="16">
        <f t="shared" ca="1" si="99"/>
        <v>7</v>
      </c>
    </row>
    <row r="2077" spans="1:5" x14ac:dyDescent="0.25">
      <c r="A2077" s="3">
        <f t="shared" si="97"/>
        <v>78989</v>
      </c>
      <c r="B2077" t="str">
        <f ca="1">TEXT(DATE(YEAR(Invoer!$A$5),1,1)+INT((ROWS(B$2:B2077)-1)/24),"""18""jjmmdd")</f>
        <v>18980328</v>
      </c>
      <c r="C2077" s="11" t="str">
        <f>INDEX(Data,2,2+MOD(ROWS(C$2:C2077)-1,24))</f>
        <v>12.00</v>
      </c>
      <c r="D2077" s="8" t="str">
        <f t="shared" ca="1" si="98"/>
        <v>—</v>
      </c>
      <c r="E2077" s="16">
        <f t="shared" ca="1" si="99"/>
        <v>7</v>
      </c>
    </row>
    <row r="2078" spans="1:5" x14ac:dyDescent="0.25">
      <c r="A2078" s="3">
        <f t="shared" si="97"/>
        <v>78989</v>
      </c>
      <c r="B2078" t="str">
        <f ca="1">TEXT(DATE(YEAR(Invoer!$A$5),1,1)+INT((ROWS(B$2:B2078)-1)/24),"""18""jjmmdd")</f>
        <v>18980328</v>
      </c>
      <c r="C2078" s="11" t="str">
        <f>INDEX(Data,2,2+MOD(ROWS(C$2:C2078)-1,24))</f>
        <v>13.00</v>
      </c>
      <c r="D2078" s="8" t="str">
        <f t="shared" ca="1" si="98"/>
        <v>—</v>
      </c>
      <c r="E2078" s="16">
        <f t="shared" ca="1" si="99"/>
        <v>7</v>
      </c>
    </row>
    <row r="2079" spans="1:5" x14ac:dyDescent="0.25">
      <c r="A2079" s="3">
        <f t="shared" si="97"/>
        <v>78989</v>
      </c>
      <c r="B2079" t="str">
        <f ca="1">TEXT(DATE(YEAR(Invoer!$A$5),1,1)+INT((ROWS(B$2:B2079)-1)/24),"""18""jjmmdd")</f>
        <v>18980328</v>
      </c>
      <c r="C2079" s="11" t="str">
        <f>INDEX(Data,2,2+MOD(ROWS(C$2:C2079)-1,24))</f>
        <v>14.00</v>
      </c>
      <c r="D2079" s="8" t="str">
        <f t="shared" ca="1" si="98"/>
        <v>—</v>
      </c>
      <c r="E2079" s="16">
        <f t="shared" ca="1" si="99"/>
        <v>7</v>
      </c>
    </row>
    <row r="2080" spans="1:5" x14ac:dyDescent="0.25">
      <c r="A2080" s="3">
        <f t="shared" si="97"/>
        <v>78989</v>
      </c>
      <c r="B2080" t="str">
        <f ca="1">TEXT(DATE(YEAR(Invoer!$A$5),1,1)+INT((ROWS(B$2:B2080)-1)/24),"""18""jjmmdd")</f>
        <v>18980328</v>
      </c>
      <c r="C2080" s="11" t="str">
        <f>INDEX(Data,2,2+MOD(ROWS(C$2:C2080)-1,24))</f>
        <v>15.00</v>
      </c>
      <c r="D2080" s="8" t="str">
        <f t="shared" ca="1" si="98"/>
        <v>—</v>
      </c>
      <c r="E2080" s="16">
        <f t="shared" ca="1" si="99"/>
        <v>7</v>
      </c>
    </row>
    <row r="2081" spans="1:5" x14ac:dyDescent="0.25">
      <c r="A2081" s="3">
        <f t="shared" si="97"/>
        <v>78989</v>
      </c>
      <c r="B2081" t="str">
        <f ca="1">TEXT(DATE(YEAR(Invoer!$A$5),1,1)+INT((ROWS(B$2:B2081)-1)/24),"""18""jjmmdd")</f>
        <v>18980328</v>
      </c>
      <c r="C2081" s="11" t="str">
        <f>INDEX(Data,2,2+MOD(ROWS(C$2:C2081)-1,24))</f>
        <v>16.00</v>
      </c>
      <c r="D2081" s="8" t="str">
        <f t="shared" ca="1" si="98"/>
        <v>—</v>
      </c>
      <c r="E2081" s="16">
        <f t="shared" ca="1" si="99"/>
        <v>7</v>
      </c>
    </row>
    <row r="2082" spans="1:5" x14ac:dyDescent="0.25">
      <c r="A2082" s="3">
        <f t="shared" si="97"/>
        <v>78989</v>
      </c>
      <c r="B2082" t="str">
        <f ca="1">TEXT(DATE(YEAR(Invoer!$A$5),1,1)+INT((ROWS(B$2:B2082)-1)/24),"""18""jjmmdd")</f>
        <v>18980328</v>
      </c>
      <c r="C2082" s="11" t="str">
        <f>INDEX(Data,2,2+MOD(ROWS(C$2:C2082)-1,24))</f>
        <v>17.00</v>
      </c>
      <c r="D2082" s="8" t="str">
        <f t="shared" ca="1" si="98"/>
        <v>—</v>
      </c>
      <c r="E2082" s="16">
        <f t="shared" ca="1" si="99"/>
        <v>7</v>
      </c>
    </row>
    <row r="2083" spans="1:5" x14ac:dyDescent="0.25">
      <c r="A2083" s="3">
        <f t="shared" si="97"/>
        <v>78989</v>
      </c>
      <c r="B2083" t="str">
        <f ca="1">TEXT(DATE(YEAR(Invoer!$A$5),1,1)+INT((ROWS(B$2:B2083)-1)/24),"""18""jjmmdd")</f>
        <v>18980328</v>
      </c>
      <c r="C2083" s="11" t="str">
        <f>INDEX(Data,2,2+MOD(ROWS(C$2:C2083)-1,24))</f>
        <v>18.00</v>
      </c>
      <c r="D2083" s="8" t="str">
        <f t="shared" ca="1" si="98"/>
        <v>—</v>
      </c>
      <c r="E2083" s="16">
        <f t="shared" ca="1" si="99"/>
        <v>7</v>
      </c>
    </row>
    <row r="2084" spans="1:5" x14ac:dyDescent="0.25">
      <c r="A2084" s="3">
        <f t="shared" si="97"/>
        <v>78989</v>
      </c>
      <c r="B2084" t="str">
        <f ca="1">TEXT(DATE(YEAR(Invoer!$A$5),1,1)+INT((ROWS(B$2:B2084)-1)/24),"""18""jjmmdd")</f>
        <v>18980328</v>
      </c>
      <c r="C2084" s="11" t="str">
        <f>INDEX(Data,2,2+MOD(ROWS(C$2:C2084)-1,24))</f>
        <v>19.00</v>
      </c>
      <c r="D2084" s="8" t="str">
        <f t="shared" ca="1" si="98"/>
        <v>—</v>
      </c>
      <c r="E2084" s="16">
        <f t="shared" ca="1" si="99"/>
        <v>7</v>
      </c>
    </row>
    <row r="2085" spans="1:5" x14ac:dyDescent="0.25">
      <c r="A2085" s="3">
        <f t="shared" si="97"/>
        <v>78989</v>
      </c>
      <c r="B2085" t="str">
        <f ca="1">TEXT(DATE(YEAR(Invoer!$A$5),1,1)+INT((ROWS(B$2:B2085)-1)/24),"""18""jjmmdd")</f>
        <v>18980328</v>
      </c>
      <c r="C2085" s="11" t="str">
        <f>INDEX(Data,2,2+MOD(ROWS(C$2:C2085)-1,24))</f>
        <v>20.00</v>
      </c>
      <c r="D2085" s="8" t="str">
        <f t="shared" ca="1" si="98"/>
        <v>—</v>
      </c>
      <c r="E2085" s="16">
        <f t="shared" ca="1" si="99"/>
        <v>7</v>
      </c>
    </row>
    <row r="2086" spans="1:5" x14ac:dyDescent="0.25">
      <c r="A2086" s="3">
        <f t="shared" si="97"/>
        <v>78989</v>
      </c>
      <c r="B2086" t="str">
        <f ca="1">TEXT(DATE(YEAR(Invoer!$A$5),1,1)+INT((ROWS(B$2:B2086)-1)/24),"""18""jjmmdd")</f>
        <v>18980328</v>
      </c>
      <c r="C2086" s="11" t="str">
        <f>INDEX(Data,2,2+MOD(ROWS(C$2:C2086)-1,24))</f>
        <v>21.00</v>
      </c>
      <c r="D2086" s="8" t="str">
        <f t="shared" ca="1" si="98"/>
        <v>—</v>
      </c>
      <c r="E2086" s="16">
        <f t="shared" ca="1" si="99"/>
        <v>7</v>
      </c>
    </row>
    <row r="2087" spans="1:5" x14ac:dyDescent="0.25">
      <c r="A2087" s="3">
        <f t="shared" si="97"/>
        <v>78989</v>
      </c>
      <c r="B2087" t="str">
        <f ca="1">TEXT(DATE(YEAR(Invoer!$A$5),1,1)+INT((ROWS(B$2:B2087)-1)/24),"""18""jjmmdd")</f>
        <v>18980328</v>
      </c>
      <c r="C2087" s="11" t="str">
        <f>INDEX(Data,2,2+MOD(ROWS(C$2:C2087)-1,24))</f>
        <v>22.00</v>
      </c>
      <c r="D2087" s="8" t="str">
        <f t="shared" ca="1" si="98"/>
        <v>—</v>
      </c>
      <c r="E2087" s="16">
        <f t="shared" ca="1" si="99"/>
        <v>7</v>
      </c>
    </row>
    <row r="2088" spans="1:5" x14ac:dyDescent="0.25">
      <c r="A2088" s="3">
        <f t="shared" si="97"/>
        <v>78989</v>
      </c>
      <c r="B2088" t="str">
        <f ca="1">TEXT(DATE(YEAR(Invoer!$A$5),1,1)+INT((ROWS(B$2:B2088)-1)/24),"""18""jjmmdd")</f>
        <v>18980328</v>
      </c>
      <c r="C2088" s="11" t="str">
        <f>INDEX(Data,2,2+MOD(ROWS(C$2:C2088)-1,24))</f>
        <v>23.00</v>
      </c>
      <c r="D2088" s="8" t="str">
        <f t="shared" ca="1" si="98"/>
        <v>—</v>
      </c>
      <c r="E2088" s="16">
        <f t="shared" ca="1" si="99"/>
        <v>7</v>
      </c>
    </row>
    <row r="2089" spans="1:5" x14ac:dyDescent="0.25">
      <c r="A2089" s="3">
        <f t="shared" si="97"/>
        <v>78989</v>
      </c>
      <c r="B2089" t="str">
        <f ca="1">TEXT(DATE(YEAR(Invoer!$A$5),1,1)+INT((ROWS(B$2:B2089)-1)/24),"""18""jjmmdd")</f>
        <v>18980328</v>
      </c>
      <c r="C2089" s="11" t="str">
        <f>INDEX(Data,2,2+MOD(ROWS(C$2:C2089)-1,24))</f>
        <v>24.00</v>
      </c>
      <c r="D2089" s="8" t="str">
        <f t="shared" ca="1" si="98"/>
        <v>—</v>
      </c>
      <c r="E2089" s="16">
        <f t="shared" ca="1" si="99"/>
        <v>7</v>
      </c>
    </row>
    <row r="2090" spans="1:5" x14ac:dyDescent="0.25">
      <c r="A2090" s="3">
        <f t="shared" si="97"/>
        <v>78989</v>
      </c>
      <c r="B2090" t="str">
        <f ca="1">TEXT(DATE(YEAR(Invoer!$A$5),1,1)+INT((ROWS(B$2:B2090)-1)/24),"""18""jjmmdd")</f>
        <v>18980329</v>
      </c>
      <c r="C2090" s="11" t="str">
        <f>INDEX(Data,2,2+MOD(ROWS(C$2:C2090)-1,24))</f>
        <v>01.00</v>
      </c>
      <c r="D2090" s="8" t="str">
        <f t="shared" ca="1" si="98"/>
        <v>—</v>
      </c>
      <c r="E2090" s="16">
        <f t="shared" ca="1" si="99"/>
        <v>7</v>
      </c>
    </row>
    <row r="2091" spans="1:5" x14ac:dyDescent="0.25">
      <c r="A2091" s="3">
        <f t="shared" si="97"/>
        <v>78989</v>
      </c>
      <c r="B2091" t="str">
        <f ca="1">TEXT(DATE(YEAR(Invoer!$A$5),1,1)+INT((ROWS(B$2:B2091)-1)/24),"""18""jjmmdd")</f>
        <v>18980329</v>
      </c>
      <c r="C2091" s="11" t="str">
        <f>INDEX(Data,2,2+MOD(ROWS(C$2:C2091)-1,24))</f>
        <v>02.00</v>
      </c>
      <c r="D2091" s="8" t="str">
        <f t="shared" ca="1" si="98"/>
        <v>—</v>
      </c>
      <c r="E2091" s="16">
        <f t="shared" ca="1" si="99"/>
        <v>7</v>
      </c>
    </row>
    <row r="2092" spans="1:5" x14ac:dyDescent="0.25">
      <c r="A2092" s="3">
        <f t="shared" si="97"/>
        <v>78989</v>
      </c>
      <c r="B2092" t="str">
        <f ca="1">TEXT(DATE(YEAR(Invoer!$A$5),1,1)+INT((ROWS(B$2:B2092)-1)/24),"""18""jjmmdd")</f>
        <v>18980329</v>
      </c>
      <c r="C2092" s="11" t="str">
        <f>INDEX(Data,2,2+MOD(ROWS(C$2:C2092)-1,24))</f>
        <v>03.00</v>
      </c>
      <c r="D2092" s="8" t="str">
        <f t="shared" ca="1" si="98"/>
        <v>—</v>
      </c>
      <c r="E2092" s="16">
        <f t="shared" ca="1" si="99"/>
        <v>7</v>
      </c>
    </row>
    <row r="2093" spans="1:5" x14ac:dyDescent="0.25">
      <c r="A2093" s="3">
        <f t="shared" si="97"/>
        <v>78989</v>
      </c>
      <c r="B2093" t="str">
        <f ca="1">TEXT(DATE(YEAR(Invoer!$A$5),1,1)+INT((ROWS(B$2:B2093)-1)/24),"""18""jjmmdd")</f>
        <v>18980329</v>
      </c>
      <c r="C2093" s="11" t="str">
        <f>INDEX(Data,2,2+MOD(ROWS(C$2:C2093)-1,24))</f>
        <v>04.00</v>
      </c>
      <c r="D2093" s="8" t="str">
        <f t="shared" ca="1" si="98"/>
        <v>—</v>
      </c>
      <c r="E2093" s="16">
        <f t="shared" ca="1" si="99"/>
        <v>7</v>
      </c>
    </row>
    <row r="2094" spans="1:5" x14ac:dyDescent="0.25">
      <c r="A2094" s="3">
        <f t="shared" si="97"/>
        <v>78989</v>
      </c>
      <c r="B2094" t="str">
        <f ca="1">TEXT(DATE(YEAR(Invoer!$A$5),1,1)+INT((ROWS(B$2:B2094)-1)/24),"""18""jjmmdd")</f>
        <v>18980329</v>
      </c>
      <c r="C2094" s="11" t="str">
        <f>INDEX(Data,2,2+MOD(ROWS(C$2:C2094)-1,24))</f>
        <v>05.00</v>
      </c>
      <c r="D2094" s="8" t="str">
        <f t="shared" ca="1" si="98"/>
        <v>—</v>
      </c>
      <c r="E2094" s="16">
        <f t="shared" ca="1" si="99"/>
        <v>7</v>
      </c>
    </row>
    <row r="2095" spans="1:5" x14ac:dyDescent="0.25">
      <c r="A2095" s="3">
        <f t="shared" si="97"/>
        <v>78989</v>
      </c>
      <c r="B2095" t="str">
        <f ca="1">TEXT(DATE(YEAR(Invoer!$A$5),1,1)+INT((ROWS(B$2:B2095)-1)/24),"""18""jjmmdd")</f>
        <v>18980329</v>
      </c>
      <c r="C2095" s="11" t="str">
        <f>INDEX(Data,2,2+MOD(ROWS(C$2:C2095)-1,24))</f>
        <v>06.00</v>
      </c>
      <c r="D2095" s="8" t="str">
        <f t="shared" ca="1" si="98"/>
        <v>—</v>
      </c>
      <c r="E2095" s="16">
        <f t="shared" ca="1" si="99"/>
        <v>7</v>
      </c>
    </row>
    <row r="2096" spans="1:5" x14ac:dyDescent="0.25">
      <c r="A2096" s="3">
        <f t="shared" si="97"/>
        <v>78989</v>
      </c>
      <c r="B2096" t="str">
        <f ca="1">TEXT(DATE(YEAR(Invoer!$A$5),1,1)+INT((ROWS(B$2:B2096)-1)/24),"""18""jjmmdd")</f>
        <v>18980329</v>
      </c>
      <c r="C2096" s="11" t="str">
        <f>INDEX(Data,2,2+MOD(ROWS(C$2:C2096)-1,24))</f>
        <v>07.00</v>
      </c>
      <c r="D2096" s="8" t="str">
        <f t="shared" ca="1" si="98"/>
        <v>—</v>
      </c>
      <c r="E2096" s="16">
        <f t="shared" ca="1" si="99"/>
        <v>7</v>
      </c>
    </row>
    <row r="2097" spans="1:5" x14ac:dyDescent="0.25">
      <c r="A2097" s="3">
        <f t="shared" si="97"/>
        <v>78989</v>
      </c>
      <c r="B2097" t="str">
        <f ca="1">TEXT(DATE(YEAR(Invoer!$A$5),1,1)+INT((ROWS(B$2:B2097)-1)/24),"""18""jjmmdd")</f>
        <v>18980329</v>
      </c>
      <c r="C2097" s="11" t="str">
        <f>INDEX(Data,2,2+MOD(ROWS(C$2:C2097)-1,24))</f>
        <v>08.00</v>
      </c>
      <c r="D2097" s="8" t="str">
        <f t="shared" ca="1" si="98"/>
        <v>—</v>
      </c>
      <c r="E2097" s="16">
        <f t="shared" ca="1" si="99"/>
        <v>7</v>
      </c>
    </row>
    <row r="2098" spans="1:5" x14ac:dyDescent="0.25">
      <c r="A2098" s="3">
        <f t="shared" si="97"/>
        <v>78989</v>
      </c>
      <c r="B2098" t="str">
        <f ca="1">TEXT(DATE(YEAR(Invoer!$A$5),1,1)+INT((ROWS(B$2:B2098)-1)/24),"""18""jjmmdd")</f>
        <v>18980329</v>
      </c>
      <c r="C2098" s="11" t="str">
        <f>INDEX(Data,2,2+MOD(ROWS(C$2:C2098)-1,24))</f>
        <v>09.00</v>
      </c>
      <c r="D2098" s="8" t="str">
        <f t="shared" ca="1" si="98"/>
        <v>—</v>
      </c>
      <c r="E2098" s="16">
        <f t="shared" ca="1" si="99"/>
        <v>7</v>
      </c>
    </row>
    <row r="2099" spans="1:5" x14ac:dyDescent="0.25">
      <c r="A2099" s="3">
        <f t="shared" si="97"/>
        <v>78989</v>
      </c>
      <c r="B2099" t="str">
        <f ca="1">TEXT(DATE(YEAR(Invoer!$A$5),1,1)+INT((ROWS(B$2:B2099)-1)/24),"""18""jjmmdd")</f>
        <v>18980329</v>
      </c>
      <c r="C2099" s="11" t="str">
        <f>INDEX(Data,2,2+MOD(ROWS(C$2:C2099)-1,24))</f>
        <v>10.00</v>
      </c>
      <c r="D2099" s="8" t="str">
        <f t="shared" ca="1" si="98"/>
        <v>—</v>
      </c>
      <c r="E2099" s="16">
        <f t="shared" ca="1" si="99"/>
        <v>7</v>
      </c>
    </row>
    <row r="2100" spans="1:5" x14ac:dyDescent="0.25">
      <c r="A2100" s="3">
        <f t="shared" si="97"/>
        <v>78989</v>
      </c>
      <c r="B2100" t="str">
        <f ca="1">TEXT(DATE(YEAR(Invoer!$A$5),1,1)+INT((ROWS(B$2:B2100)-1)/24),"""18""jjmmdd")</f>
        <v>18980329</v>
      </c>
      <c r="C2100" s="11" t="str">
        <f>INDEX(Data,2,2+MOD(ROWS(C$2:C2100)-1,24))</f>
        <v>11.00</v>
      </c>
      <c r="D2100" s="8" t="str">
        <f t="shared" ca="1" si="98"/>
        <v>—</v>
      </c>
      <c r="E2100" s="16">
        <f t="shared" ca="1" si="99"/>
        <v>7</v>
      </c>
    </row>
    <row r="2101" spans="1:5" x14ac:dyDescent="0.25">
      <c r="A2101" s="3">
        <f t="shared" si="97"/>
        <v>78989</v>
      </c>
      <c r="B2101" t="str">
        <f ca="1">TEXT(DATE(YEAR(Invoer!$A$5),1,1)+INT((ROWS(B$2:B2101)-1)/24),"""18""jjmmdd")</f>
        <v>18980329</v>
      </c>
      <c r="C2101" s="11" t="str">
        <f>INDEX(Data,2,2+MOD(ROWS(C$2:C2101)-1,24))</f>
        <v>12.00</v>
      </c>
      <c r="D2101" s="8" t="str">
        <f t="shared" ca="1" si="98"/>
        <v>—</v>
      </c>
      <c r="E2101" s="16">
        <f t="shared" ca="1" si="99"/>
        <v>7</v>
      </c>
    </row>
    <row r="2102" spans="1:5" x14ac:dyDescent="0.25">
      <c r="A2102" s="3">
        <f t="shared" si="97"/>
        <v>78989</v>
      </c>
      <c r="B2102" t="str">
        <f ca="1">TEXT(DATE(YEAR(Invoer!$A$5),1,1)+INT((ROWS(B$2:B2102)-1)/24),"""18""jjmmdd")</f>
        <v>18980329</v>
      </c>
      <c r="C2102" s="11" t="str">
        <f>INDEX(Data,2,2+MOD(ROWS(C$2:C2102)-1,24))</f>
        <v>13.00</v>
      </c>
      <c r="D2102" s="8" t="str">
        <f t="shared" ca="1" si="98"/>
        <v>—</v>
      </c>
      <c r="E2102" s="16">
        <f t="shared" ca="1" si="99"/>
        <v>7</v>
      </c>
    </row>
    <row r="2103" spans="1:5" x14ac:dyDescent="0.25">
      <c r="A2103" s="3">
        <f t="shared" si="97"/>
        <v>78989</v>
      </c>
      <c r="B2103" t="str">
        <f ca="1">TEXT(DATE(YEAR(Invoer!$A$5),1,1)+INT((ROWS(B$2:B2103)-1)/24),"""18""jjmmdd")</f>
        <v>18980329</v>
      </c>
      <c r="C2103" s="11" t="str">
        <f>INDEX(Data,2,2+MOD(ROWS(C$2:C2103)-1,24))</f>
        <v>14.00</v>
      </c>
      <c r="D2103" s="8" t="str">
        <f t="shared" ca="1" si="98"/>
        <v>—</v>
      </c>
      <c r="E2103" s="16">
        <f t="shared" ca="1" si="99"/>
        <v>7</v>
      </c>
    </row>
    <row r="2104" spans="1:5" x14ac:dyDescent="0.25">
      <c r="A2104" s="3">
        <f t="shared" si="97"/>
        <v>78989</v>
      </c>
      <c r="B2104" t="str">
        <f ca="1">TEXT(DATE(YEAR(Invoer!$A$5),1,1)+INT((ROWS(B$2:B2104)-1)/24),"""18""jjmmdd")</f>
        <v>18980329</v>
      </c>
      <c r="C2104" s="11" t="str">
        <f>INDEX(Data,2,2+MOD(ROWS(C$2:C2104)-1,24))</f>
        <v>15.00</v>
      </c>
      <c r="D2104" s="8" t="str">
        <f t="shared" ca="1" si="98"/>
        <v>—</v>
      </c>
      <c r="E2104" s="16">
        <f t="shared" ca="1" si="99"/>
        <v>7</v>
      </c>
    </row>
    <row r="2105" spans="1:5" x14ac:dyDescent="0.25">
      <c r="A2105" s="3">
        <f t="shared" si="97"/>
        <v>78989</v>
      </c>
      <c r="B2105" t="str">
        <f ca="1">TEXT(DATE(YEAR(Invoer!$A$5),1,1)+INT((ROWS(B$2:B2105)-1)/24),"""18""jjmmdd")</f>
        <v>18980329</v>
      </c>
      <c r="C2105" s="11" t="str">
        <f>INDEX(Data,2,2+MOD(ROWS(C$2:C2105)-1,24))</f>
        <v>16.00</v>
      </c>
      <c r="D2105" s="8" t="str">
        <f t="shared" ca="1" si="98"/>
        <v>—</v>
      </c>
      <c r="E2105" s="16">
        <f t="shared" ca="1" si="99"/>
        <v>7</v>
      </c>
    </row>
    <row r="2106" spans="1:5" x14ac:dyDescent="0.25">
      <c r="A2106" s="3">
        <f t="shared" si="97"/>
        <v>78989</v>
      </c>
      <c r="B2106" t="str">
        <f ca="1">TEXT(DATE(YEAR(Invoer!$A$5),1,1)+INT((ROWS(B$2:B2106)-1)/24),"""18""jjmmdd")</f>
        <v>18980329</v>
      </c>
      <c r="C2106" s="11" t="str">
        <f>INDEX(Data,2,2+MOD(ROWS(C$2:C2106)-1,24))</f>
        <v>17.00</v>
      </c>
      <c r="D2106" s="8" t="str">
        <f t="shared" ca="1" si="98"/>
        <v>—</v>
      </c>
      <c r="E2106" s="16">
        <f t="shared" ca="1" si="99"/>
        <v>7</v>
      </c>
    </row>
    <row r="2107" spans="1:5" x14ac:dyDescent="0.25">
      <c r="A2107" s="3">
        <f t="shared" si="97"/>
        <v>78989</v>
      </c>
      <c r="B2107" t="str">
        <f ca="1">TEXT(DATE(YEAR(Invoer!$A$5),1,1)+INT((ROWS(B$2:B2107)-1)/24),"""18""jjmmdd")</f>
        <v>18980329</v>
      </c>
      <c r="C2107" s="11" t="str">
        <f>INDEX(Data,2,2+MOD(ROWS(C$2:C2107)-1,24))</f>
        <v>18.00</v>
      </c>
      <c r="D2107" s="8" t="str">
        <f t="shared" ca="1" si="98"/>
        <v>—</v>
      </c>
      <c r="E2107" s="16">
        <f t="shared" ca="1" si="99"/>
        <v>7</v>
      </c>
    </row>
    <row r="2108" spans="1:5" x14ac:dyDescent="0.25">
      <c r="A2108" s="3">
        <f t="shared" si="97"/>
        <v>78989</v>
      </c>
      <c r="B2108" t="str">
        <f ca="1">TEXT(DATE(YEAR(Invoer!$A$5),1,1)+INT((ROWS(B$2:B2108)-1)/24),"""18""jjmmdd")</f>
        <v>18980329</v>
      </c>
      <c r="C2108" s="11" t="str">
        <f>INDEX(Data,2,2+MOD(ROWS(C$2:C2108)-1,24))</f>
        <v>19.00</v>
      </c>
      <c r="D2108" s="8" t="str">
        <f t="shared" ca="1" si="98"/>
        <v>—</v>
      </c>
      <c r="E2108" s="16">
        <f t="shared" ca="1" si="99"/>
        <v>7</v>
      </c>
    </row>
    <row r="2109" spans="1:5" x14ac:dyDescent="0.25">
      <c r="A2109" s="3">
        <f t="shared" si="97"/>
        <v>78989</v>
      </c>
      <c r="B2109" t="str">
        <f ca="1">TEXT(DATE(YEAR(Invoer!$A$5),1,1)+INT((ROWS(B$2:B2109)-1)/24),"""18""jjmmdd")</f>
        <v>18980329</v>
      </c>
      <c r="C2109" s="11" t="str">
        <f>INDEX(Data,2,2+MOD(ROWS(C$2:C2109)-1,24))</f>
        <v>20.00</v>
      </c>
      <c r="D2109" s="8" t="str">
        <f t="shared" ca="1" si="98"/>
        <v>—</v>
      </c>
      <c r="E2109" s="16">
        <f t="shared" ca="1" si="99"/>
        <v>7</v>
      </c>
    </row>
    <row r="2110" spans="1:5" x14ac:dyDescent="0.25">
      <c r="A2110" s="3">
        <f t="shared" si="97"/>
        <v>78989</v>
      </c>
      <c r="B2110" t="str">
        <f ca="1">TEXT(DATE(YEAR(Invoer!$A$5),1,1)+INT((ROWS(B$2:B2110)-1)/24),"""18""jjmmdd")</f>
        <v>18980329</v>
      </c>
      <c r="C2110" s="11" t="str">
        <f>INDEX(Data,2,2+MOD(ROWS(C$2:C2110)-1,24))</f>
        <v>21.00</v>
      </c>
      <c r="D2110" s="8" t="str">
        <f t="shared" ca="1" si="98"/>
        <v>—</v>
      </c>
      <c r="E2110" s="16">
        <f t="shared" ca="1" si="99"/>
        <v>7</v>
      </c>
    </row>
    <row r="2111" spans="1:5" x14ac:dyDescent="0.25">
      <c r="A2111" s="3">
        <f t="shared" si="97"/>
        <v>78989</v>
      </c>
      <c r="B2111" t="str">
        <f ca="1">TEXT(DATE(YEAR(Invoer!$A$5),1,1)+INT((ROWS(B$2:B2111)-1)/24),"""18""jjmmdd")</f>
        <v>18980329</v>
      </c>
      <c r="C2111" s="11" t="str">
        <f>INDEX(Data,2,2+MOD(ROWS(C$2:C2111)-1,24))</f>
        <v>22.00</v>
      </c>
      <c r="D2111" s="8" t="str">
        <f t="shared" ca="1" si="98"/>
        <v>—</v>
      </c>
      <c r="E2111" s="16">
        <f t="shared" ca="1" si="99"/>
        <v>7</v>
      </c>
    </row>
    <row r="2112" spans="1:5" x14ac:dyDescent="0.25">
      <c r="A2112" s="3">
        <f t="shared" si="97"/>
        <v>78989</v>
      </c>
      <c r="B2112" t="str">
        <f ca="1">TEXT(DATE(YEAR(Invoer!$A$5),1,1)+INT((ROWS(B$2:B2112)-1)/24),"""18""jjmmdd")</f>
        <v>18980329</v>
      </c>
      <c r="C2112" s="11" t="str">
        <f>INDEX(Data,2,2+MOD(ROWS(C$2:C2112)-1,24))</f>
        <v>23.00</v>
      </c>
      <c r="D2112" s="8" t="str">
        <f t="shared" ca="1" si="98"/>
        <v>—</v>
      </c>
      <c r="E2112" s="16">
        <f t="shared" ca="1" si="99"/>
        <v>7</v>
      </c>
    </row>
    <row r="2113" spans="1:5" x14ac:dyDescent="0.25">
      <c r="A2113" s="3">
        <f t="shared" si="97"/>
        <v>78989</v>
      </c>
      <c r="B2113" t="str">
        <f ca="1">TEXT(DATE(YEAR(Invoer!$A$5),1,1)+INT((ROWS(B$2:B2113)-1)/24),"""18""jjmmdd")</f>
        <v>18980329</v>
      </c>
      <c r="C2113" s="11" t="str">
        <f>INDEX(Data,2,2+MOD(ROWS(C$2:C2113)-1,24))</f>
        <v>24.00</v>
      </c>
      <c r="D2113" s="8" t="str">
        <f t="shared" ca="1" si="98"/>
        <v>—</v>
      </c>
      <c r="E2113" s="16">
        <f t="shared" ca="1" si="99"/>
        <v>7</v>
      </c>
    </row>
    <row r="2114" spans="1:5" x14ac:dyDescent="0.25">
      <c r="A2114" s="3">
        <f t="shared" ref="A2114:A2177" si="100">INDEX(Stations,2,1)</f>
        <v>78989</v>
      </c>
      <c r="B2114" t="str">
        <f ca="1">TEXT(DATE(YEAR(Invoer!$A$5),1,1)+INT((ROWS(B$2:B2114)-1)/24),"""18""jjmmdd")</f>
        <v>18980330</v>
      </c>
      <c r="C2114" s="11" t="str">
        <f>INDEX(Data,2,2+MOD(ROWS(C$2:C2114)-1,24))</f>
        <v>01.00</v>
      </c>
      <c r="D2114" s="8" t="str">
        <f t="shared" ref="D2114:D2177" ca="1" si="101">IF(OR(ISBLANK(VLOOKUP(DATEVALUE("37"&amp;MID($B2114,3,2)&amp;"-"&amp;MID($B2114,5,2)&amp;"-"&amp;RIGHT($B2114,2)),Data,MATCH(LEFT(VLOOKUP(D$1,Parameters,2,FALSE()),4)&amp;"*",OFFSET(Data,0,0,1),0)+MATCH($C2114,OFFSET(Data,1,0,1),0)-2,FALSE())),ISTEXT(VLOOKUP(DATEVALUE("37"&amp;MID($B2114,3,2)&amp;"-"&amp;MID($B2114,5,2)&amp;"-"&amp;RIGHT($B2114,2)),Data,MATCH(LEFT(VLOOKUP(D$1,Parameters,2,FALSE()),4)&amp;"*",OFFSET(Data,0,0,1),0)+MATCH($C2114,OFFSET(Data,1,0,1),0)-2,FALSE()))),"—",VLOOKUP(DATEVALUE("37"&amp;MID($B2114,3,2)&amp;"-"&amp;MID($B2114,5,2)&amp;"-"&amp;RIGHT($B2114,2)),Data,MATCH(LEFT(VLOOKUP(D$1,Parameters,2,FALSE()),4)&amp;"*",OFFSET(Data,0,0,1),0)+MATCH($C2114,OFFSET(Data,1,0,1),0)-2,FALSE()))</f>
        <v>—</v>
      </c>
      <c r="E2114" s="16">
        <f t="shared" ca="1" si="99"/>
        <v>7</v>
      </c>
    </row>
    <row r="2115" spans="1:5" x14ac:dyDescent="0.25">
      <c r="A2115" s="3">
        <f t="shared" si="100"/>
        <v>78989</v>
      </c>
      <c r="B2115" t="str">
        <f ca="1">TEXT(DATE(YEAR(Invoer!$A$5),1,1)+INT((ROWS(B$2:B2115)-1)/24),"""18""jjmmdd")</f>
        <v>18980330</v>
      </c>
      <c r="C2115" s="11" t="str">
        <f>INDEX(Data,2,2+MOD(ROWS(C$2:C2115)-1,24))</f>
        <v>02.00</v>
      </c>
      <c r="D2115" s="8" t="str">
        <f t="shared" ca="1" si="101"/>
        <v>—</v>
      </c>
      <c r="E2115" s="16">
        <f t="shared" ref="E2115:E2178" ca="1" si="102">IF(OR(ISBLANK(VLOOKUP(DATEVALUE("37"&amp;MID($B2115,3,2)&amp;"-"&amp;MID($B2115,5,2)&amp;"-"&amp;RIGHT($B2115,2)),Data,MATCH(LEFT(VLOOKUP(D$1,Parameters,2,FALSE()),4)&amp;"*",OFFSET(Data,0,0,1),0)+MATCH($C2115,OFFSET(Data,1,0,1),0)-2,FALSE())),ISTEXT(VLOOKUP(DATEVALUE("37"&amp;MID($B2115,3,2)&amp;"-"&amp;MID($B2115,5,2)&amp;"-"&amp;RIGHT($B2115,2)),Data,MATCH(LEFT(VLOOKUP(D$1,Parameters,2,FALSE()),4)&amp;"*",OFFSET(Data,0,0,1),0)+MATCH($C2115,OFFSET(Data,1,0,1),0)-2,FALSE()))),Lacking,IF(ISNA(MATCH(DATEVALUE("37"&amp;MID($B2115,3,2)&amp;"-"&amp;MID($B2115,5,2)&amp;"-"&amp;RIGHT($B2115,2)),OFFSET(Catalogus,0,0,,1),0)),Ok,VLOOKUP(DATEVALUE("37"&amp;MID($B2115,3,2)&amp;"-"&amp;MID($B2115,5,2)&amp;"-"&amp;RIGHT($B2115,2)),Catalogus,MATCH(LEFT(VLOOKUP(MID(E$1,2,LEN(E$1)-1),Parameters,2,FALSE()),4)&amp;"*",OFFSET(Catalogus,0,0,1),0)+MATCH($C2115,OFFSET(Catalogus,1,0,1),0)-2,FALSE())))</f>
        <v>7</v>
      </c>
    </row>
    <row r="2116" spans="1:5" x14ac:dyDescent="0.25">
      <c r="A2116" s="3">
        <f t="shared" si="100"/>
        <v>78989</v>
      </c>
      <c r="B2116" t="str">
        <f ca="1">TEXT(DATE(YEAR(Invoer!$A$5),1,1)+INT((ROWS(B$2:B2116)-1)/24),"""18""jjmmdd")</f>
        <v>18980330</v>
      </c>
      <c r="C2116" s="11" t="str">
        <f>INDEX(Data,2,2+MOD(ROWS(C$2:C2116)-1,24))</f>
        <v>03.00</v>
      </c>
      <c r="D2116" s="8" t="str">
        <f t="shared" ca="1" si="101"/>
        <v>—</v>
      </c>
      <c r="E2116" s="16">
        <f t="shared" ca="1" si="102"/>
        <v>7</v>
      </c>
    </row>
    <row r="2117" spans="1:5" x14ac:dyDescent="0.25">
      <c r="A2117" s="3">
        <f t="shared" si="100"/>
        <v>78989</v>
      </c>
      <c r="B2117" t="str">
        <f ca="1">TEXT(DATE(YEAR(Invoer!$A$5),1,1)+INT((ROWS(B$2:B2117)-1)/24),"""18""jjmmdd")</f>
        <v>18980330</v>
      </c>
      <c r="C2117" s="11" t="str">
        <f>INDEX(Data,2,2+MOD(ROWS(C$2:C2117)-1,24))</f>
        <v>04.00</v>
      </c>
      <c r="D2117" s="8" t="str">
        <f t="shared" ca="1" si="101"/>
        <v>—</v>
      </c>
      <c r="E2117" s="16">
        <f t="shared" ca="1" si="102"/>
        <v>7</v>
      </c>
    </row>
    <row r="2118" spans="1:5" x14ac:dyDescent="0.25">
      <c r="A2118" s="3">
        <f t="shared" si="100"/>
        <v>78989</v>
      </c>
      <c r="B2118" t="str">
        <f ca="1">TEXT(DATE(YEAR(Invoer!$A$5),1,1)+INT((ROWS(B$2:B2118)-1)/24),"""18""jjmmdd")</f>
        <v>18980330</v>
      </c>
      <c r="C2118" s="11" t="str">
        <f>INDEX(Data,2,2+MOD(ROWS(C$2:C2118)-1,24))</f>
        <v>05.00</v>
      </c>
      <c r="D2118" s="8" t="str">
        <f t="shared" ca="1" si="101"/>
        <v>—</v>
      </c>
      <c r="E2118" s="16">
        <f t="shared" ca="1" si="102"/>
        <v>7</v>
      </c>
    </row>
    <row r="2119" spans="1:5" x14ac:dyDescent="0.25">
      <c r="A2119" s="3">
        <f t="shared" si="100"/>
        <v>78989</v>
      </c>
      <c r="B2119" t="str">
        <f ca="1">TEXT(DATE(YEAR(Invoer!$A$5),1,1)+INT((ROWS(B$2:B2119)-1)/24),"""18""jjmmdd")</f>
        <v>18980330</v>
      </c>
      <c r="C2119" s="11" t="str">
        <f>INDEX(Data,2,2+MOD(ROWS(C$2:C2119)-1,24))</f>
        <v>06.00</v>
      </c>
      <c r="D2119" s="8" t="str">
        <f t="shared" ca="1" si="101"/>
        <v>—</v>
      </c>
      <c r="E2119" s="16">
        <f t="shared" ca="1" si="102"/>
        <v>7</v>
      </c>
    </row>
    <row r="2120" spans="1:5" x14ac:dyDescent="0.25">
      <c r="A2120" s="3">
        <f t="shared" si="100"/>
        <v>78989</v>
      </c>
      <c r="B2120" t="str">
        <f ca="1">TEXT(DATE(YEAR(Invoer!$A$5),1,1)+INT((ROWS(B$2:B2120)-1)/24),"""18""jjmmdd")</f>
        <v>18980330</v>
      </c>
      <c r="C2120" s="11" t="str">
        <f>INDEX(Data,2,2+MOD(ROWS(C$2:C2120)-1,24))</f>
        <v>07.00</v>
      </c>
      <c r="D2120" s="8" t="str">
        <f t="shared" ca="1" si="101"/>
        <v>—</v>
      </c>
      <c r="E2120" s="16">
        <f t="shared" ca="1" si="102"/>
        <v>7</v>
      </c>
    </row>
    <row r="2121" spans="1:5" x14ac:dyDescent="0.25">
      <c r="A2121" s="3">
        <f t="shared" si="100"/>
        <v>78989</v>
      </c>
      <c r="B2121" t="str">
        <f ca="1">TEXT(DATE(YEAR(Invoer!$A$5),1,1)+INT((ROWS(B$2:B2121)-1)/24),"""18""jjmmdd")</f>
        <v>18980330</v>
      </c>
      <c r="C2121" s="11" t="str">
        <f>INDEX(Data,2,2+MOD(ROWS(C$2:C2121)-1,24))</f>
        <v>08.00</v>
      </c>
      <c r="D2121" s="8" t="str">
        <f t="shared" ca="1" si="101"/>
        <v>—</v>
      </c>
      <c r="E2121" s="16">
        <f t="shared" ca="1" si="102"/>
        <v>7</v>
      </c>
    </row>
    <row r="2122" spans="1:5" x14ac:dyDescent="0.25">
      <c r="A2122" s="3">
        <f t="shared" si="100"/>
        <v>78989</v>
      </c>
      <c r="B2122" t="str">
        <f ca="1">TEXT(DATE(YEAR(Invoer!$A$5),1,1)+INT((ROWS(B$2:B2122)-1)/24),"""18""jjmmdd")</f>
        <v>18980330</v>
      </c>
      <c r="C2122" s="11" t="str">
        <f>INDEX(Data,2,2+MOD(ROWS(C$2:C2122)-1,24))</f>
        <v>09.00</v>
      </c>
      <c r="D2122" s="8" t="str">
        <f t="shared" ca="1" si="101"/>
        <v>—</v>
      </c>
      <c r="E2122" s="16">
        <f t="shared" ca="1" si="102"/>
        <v>7</v>
      </c>
    </row>
    <row r="2123" spans="1:5" x14ac:dyDescent="0.25">
      <c r="A2123" s="3">
        <f t="shared" si="100"/>
        <v>78989</v>
      </c>
      <c r="B2123" t="str">
        <f ca="1">TEXT(DATE(YEAR(Invoer!$A$5),1,1)+INT((ROWS(B$2:B2123)-1)/24),"""18""jjmmdd")</f>
        <v>18980330</v>
      </c>
      <c r="C2123" s="11" t="str">
        <f>INDEX(Data,2,2+MOD(ROWS(C$2:C2123)-1,24))</f>
        <v>10.00</v>
      </c>
      <c r="D2123" s="8" t="str">
        <f t="shared" ca="1" si="101"/>
        <v>—</v>
      </c>
      <c r="E2123" s="16">
        <f t="shared" ca="1" si="102"/>
        <v>7</v>
      </c>
    </row>
    <row r="2124" spans="1:5" x14ac:dyDescent="0.25">
      <c r="A2124" s="3">
        <f t="shared" si="100"/>
        <v>78989</v>
      </c>
      <c r="B2124" t="str">
        <f ca="1">TEXT(DATE(YEAR(Invoer!$A$5),1,1)+INT((ROWS(B$2:B2124)-1)/24),"""18""jjmmdd")</f>
        <v>18980330</v>
      </c>
      <c r="C2124" s="11" t="str">
        <f>INDEX(Data,2,2+MOD(ROWS(C$2:C2124)-1,24))</f>
        <v>11.00</v>
      </c>
      <c r="D2124" s="8" t="str">
        <f t="shared" ca="1" si="101"/>
        <v>—</v>
      </c>
      <c r="E2124" s="16">
        <f t="shared" ca="1" si="102"/>
        <v>7</v>
      </c>
    </row>
    <row r="2125" spans="1:5" x14ac:dyDescent="0.25">
      <c r="A2125" s="3">
        <f t="shared" si="100"/>
        <v>78989</v>
      </c>
      <c r="B2125" t="str">
        <f ca="1">TEXT(DATE(YEAR(Invoer!$A$5),1,1)+INT((ROWS(B$2:B2125)-1)/24),"""18""jjmmdd")</f>
        <v>18980330</v>
      </c>
      <c r="C2125" s="11" t="str">
        <f>INDEX(Data,2,2+MOD(ROWS(C$2:C2125)-1,24))</f>
        <v>12.00</v>
      </c>
      <c r="D2125" s="8" t="str">
        <f t="shared" ca="1" si="101"/>
        <v>—</v>
      </c>
      <c r="E2125" s="16">
        <f t="shared" ca="1" si="102"/>
        <v>7</v>
      </c>
    </row>
    <row r="2126" spans="1:5" x14ac:dyDescent="0.25">
      <c r="A2126" s="3">
        <f t="shared" si="100"/>
        <v>78989</v>
      </c>
      <c r="B2126" t="str">
        <f ca="1">TEXT(DATE(YEAR(Invoer!$A$5),1,1)+INT((ROWS(B$2:B2126)-1)/24),"""18""jjmmdd")</f>
        <v>18980330</v>
      </c>
      <c r="C2126" s="11" t="str">
        <f>INDEX(Data,2,2+MOD(ROWS(C$2:C2126)-1,24))</f>
        <v>13.00</v>
      </c>
      <c r="D2126" s="8" t="str">
        <f t="shared" ca="1" si="101"/>
        <v>—</v>
      </c>
      <c r="E2126" s="16">
        <f t="shared" ca="1" si="102"/>
        <v>7</v>
      </c>
    </row>
    <row r="2127" spans="1:5" x14ac:dyDescent="0.25">
      <c r="A2127" s="3">
        <f t="shared" si="100"/>
        <v>78989</v>
      </c>
      <c r="B2127" t="str">
        <f ca="1">TEXT(DATE(YEAR(Invoer!$A$5),1,1)+INT((ROWS(B$2:B2127)-1)/24),"""18""jjmmdd")</f>
        <v>18980330</v>
      </c>
      <c r="C2127" s="11" t="str">
        <f>INDEX(Data,2,2+MOD(ROWS(C$2:C2127)-1,24))</f>
        <v>14.00</v>
      </c>
      <c r="D2127" s="8" t="str">
        <f t="shared" ca="1" si="101"/>
        <v>—</v>
      </c>
      <c r="E2127" s="16">
        <f t="shared" ca="1" si="102"/>
        <v>7</v>
      </c>
    </row>
    <row r="2128" spans="1:5" x14ac:dyDescent="0.25">
      <c r="A2128" s="3">
        <f t="shared" si="100"/>
        <v>78989</v>
      </c>
      <c r="B2128" t="str">
        <f ca="1">TEXT(DATE(YEAR(Invoer!$A$5),1,1)+INT((ROWS(B$2:B2128)-1)/24),"""18""jjmmdd")</f>
        <v>18980330</v>
      </c>
      <c r="C2128" s="11" t="str">
        <f>INDEX(Data,2,2+MOD(ROWS(C$2:C2128)-1,24))</f>
        <v>15.00</v>
      </c>
      <c r="D2128" s="8" t="str">
        <f t="shared" ca="1" si="101"/>
        <v>—</v>
      </c>
      <c r="E2128" s="16">
        <f t="shared" ca="1" si="102"/>
        <v>7</v>
      </c>
    </row>
    <row r="2129" spans="1:5" x14ac:dyDescent="0.25">
      <c r="A2129" s="3">
        <f t="shared" si="100"/>
        <v>78989</v>
      </c>
      <c r="B2129" t="str">
        <f ca="1">TEXT(DATE(YEAR(Invoer!$A$5),1,1)+INT((ROWS(B$2:B2129)-1)/24),"""18""jjmmdd")</f>
        <v>18980330</v>
      </c>
      <c r="C2129" s="11" t="str">
        <f>INDEX(Data,2,2+MOD(ROWS(C$2:C2129)-1,24))</f>
        <v>16.00</v>
      </c>
      <c r="D2129" s="8" t="str">
        <f t="shared" ca="1" si="101"/>
        <v>—</v>
      </c>
      <c r="E2129" s="16">
        <f t="shared" ca="1" si="102"/>
        <v>7</v>
      </c>
    </row>
    <row r="2130" spans="1:5" x14ac:dyDescent="0.25">
      <c r="A2130" s="3">
        <f t="shared" si="100"/>
        <v>78989</v>
      </c>
      <c r="B2130" t="str">
        <f ca="1">TEXT(DATE(YEAR(Invoer!$A$5),1,1)+INT((ROWS(B$2:B2130)-1)/24),"""18""jjmmdd")</f>
        <v>18980330</v>
      </c>
      <c r="C2130" s="11" t="str">
        <f>INDEX(Data,2,2+MOD(ROWS(C$2:C2130)-1,24))</f>
        <v>17.00</v>
      </c>
      <c r="D2130" s="8" t="str">
        <f t="shared" ca="1" si="101"/>
        <v>—</v>
      </c>
      <c r="E2130" s="16">
        <f t="shared" ca="1" si="102"/>
        <v>7</v>
      </c>
    </row>
    <row r="2131" spans="1:5" x14ac:dyDescent="0.25">
      <c r="A2131" s="3">
        <f t="shared" si="100"/>
        <v>78989</v>
      </c>
      <c r="B2131" t="str">
        <f ca="1">TEXT(DATE(YEAR(Invoer!$A$5),1,1)+INT((ROWS(B$2:B2131)-1)/24),"""18""jjmmdd")</f>
        <v>18980330</v>
      </c>
      <c r="C2131" s="11" t="str">
        <f>INDEX(Data,2,2+MOD(ROWS(C$2:C2131)-1,24))</f>
        <v>18.00</v>
      </c>
      <c r="D2131" s="8" t="str">
        <f t="shared" ca="1" si="101"/>
        <v>—</v>
      </c>
      <c r="E2131" s="16">
        <f t="shared" ca="1" si="102"/>
        <v>7</v>
      </c>
    </row>
    <row r="2132" spans="1:5" x14ac:dyDescent="0.25">
      <c r="A2132" s="3">
        <f t="shared" si="100"/>
        <v>78989</v>
      </c>
      <c r="B2132" t="str">
        <f ca="1">TEXT(DATE(YEAR(Invoer!$A$5),1,1)+INT((ROWS(B$2:B2132)-1)/24),"""18""jjmmdd")</f>
        <v>18980330</v>
      </c>
      <c r="C2132" s="11" t="str">
        <f>INDEX(Data,2,2+MOD(ROWS(C$2:C2132)-1,24))</f>
        <v>19.00</v>
      </c>
      <c r="D2132" s="8" t="str">
        <f t="shared" ca="1" si="101"/>
        <v>—</v>
      </c>
      <c r="E2132" s="16">
        <f t="shared" ca="1" si="102"/>
        <v>7</v>
      </c>
    </row>
    <row r="2133" spans="1:5" x14ac:dyDescent="0.25">
      <c r="A2133" s="3">
        <f t="shared" si="100"/>
        <v>78989</v>
      </c>
      <c r="B2133" t="str">
        <f ca="1">TEXT(DATE(YEAR(Invoer!$A$5),1,1)+INT((ROWS(B$2:B2133)-1)/24),"""18""jjmmdd")</f>
        <v>18980330</v>
      </c>
      <c r="C2133" s="11" t="str">
        <f>INDEX(Data,2,2+MOD(ROWS(C$2:C2133)-1,24))</f>
        <v>20.00</v>
      </c>
      <c r="D2133" s="8" t="str">
        <f t="shared" ca="1" si="101"/>
        <v>—</v>
      </c>
      <c r="E2133" s="16">
        <f t="shared" ca="1" si="102"/>
        <v>7</v>
      </c>
    </row>
    <row r="2134" spans="1:5" x14ac:dyDescent="0.25">
      <c r="A2134" s="3">
        <f t="shared" si="100"/>
        <v>78989</v>
      </c>
      <c r="B2134" t="str">
        <f ca="1">TEXT(DATE(YEAR(Invoer!$A$5),1,1)+INT((ROWS(B$2:B2134)-1)/24),"""18""jjmmdd")</f>
        <v>18980330</v>
      </c>
      <c r="C2134" s="11" t="str">
        <f>INDEX(Data,2,2+MOD(ROWS(C$2:C2134)-1,24))</f>
        <v>21.00</v>
      </c>
      <c r="D2134" s="8" t="str">
        <f t="shared" ca="1" si="101"/>
        <v>—</v>
      </c>
      <c r="E2134" s="16">
        <f t="shared" ca="1" si="102"/>
        <v>7</v>
      </c>
    </row>
    <row r="2135" spans="1:5" x14ac:dyDescent="0.25">
      <c r="A2135" s="3">
        <f t="shared" si="100"/>
        <v>78989</v>
      </c>
      <c r="B2135" t="str">
        <f ca="1">TEXT(DATE(YEAR(Invoer!$A$5),1,1)+INT((ROWS(B$2:B2135)-1)/24),"""18""jjmmdd")</f>
        <v>18980330</v>
      </c>
      <c r="C2135" s="11" t="str">
        <f>INDEX(Data,2,2+MOD(ROWS(C$2:C2135)-1,24))</f>
        <v>22.00</v>
      </c>
      <c r="D2135" s="8" t="str">
        <f t="shared" ca="1" si="101"/>
        <v>—</v>
      </c>
      <c r="E2135" s="16">
        <f t="shared" ca="1" si="102"/>
        <v>7</v>
      </c>
    </row>
    <row r="2136" spans="1:5" x14ac:dyDescent="0.25">
      <c r="A2136" s="3">
        <f t="shared" si="100"/>
        <v>78989</v>
      </c>
      <c r="B2136" t="str">
        <f ca="1">TEXT(DATE(YEAR(Invoer!$A$5),1,1)+INT((ROWS(B$2:B2136)-1)/24),"""18""jjmmdd")</f>
        <v>18980330</v>
      </c>
      <c r="C2136" s="11" t="str">
        <f>INDEX(Data,2,2+MOD(ROWS(C$2:C2136)-1,24))</f>
        <v>23.00</v>
      </c>
      <c r="D2136" s="8" t="str">
        <f t="shared" ca="1" si="101"/>
        <v>—</v>
      </c>
      <c r="E2136" s="16">
        <f t="shared" ca="1" si="102"/>
        <v>7</v>
      </c>
    </row>
    <row r="2137" spans="1:5" x14ac:dyDescent="0.25">
      <c r="A2137" s="3">
        <f t="shared" si="100"/>
        <v>78989</v>
      </c>
      <c r="B2137" t="str">
        <f ca="1">TEXT(DATE(YEAR(Invoer!$A$5),1,1)+INT((ROWS(B$2:B2137)-1)/24),"""18""jjmmdd")</f>
        <v>18980330</v>
      </c>
      <c r="C2137" s="11" t="str">
        <f>INDEX(Data,2,2+MOD(ROWS(C$2:C2137)-1,24))</f>
        <v>24.00</v>
      </c>
      <c r="D2137" s="8" t="str">
        <f t="shared" ca="1" si="101"/>
        <v>—</v>
      </c>
      <c r="E2137" s="16">
        <f t="shared" ca="1" si="102"/>
        <v>7</v>
      </c>
    </row>
    <row r="2138" spans="1:5" x14ac:dyDescent="0.25">
      <c r="A2138" s="3">
        <f t="shared" si="100"/>
        <v>78989</v>
      </c>
      <c r="B2138" t="str">
        <f ca="1">TEXT(DATE(YEAR(Invoer!$A$5),1,1)+INT((ROWS(B$2:B2138)-1)/24),"""18""jjmmdd")</f>
        <v>18980331</v>
      </c>
      <c r="C2138" s="11" t="str">
        <f>INDEX(Data,2,2+MOD(ROWS(C$2:C2138)-1,24))</f>
        <v>01.00</v>
      </c>
      <c r="D2138" s="8" t="str">
        <f t="shared" ca="1" si="101"/>
        <v>—</v>
      </c>
      <c r="E2138" s="16">
        <f t="shared" ca="1" si="102"/>
        <v>7</v>
      </c>
    </row>
    <row r="2139" spans="1:5" x14ac:dyDescent="0.25">
      <c r="A2139" s="3">
        <f t="shared" si="100"/>
        <v>78989</v>
      </c>
      <c r="B2139" t="str">
        <f ca="1">TEXT(DATE(YEAR(Invoer!$A$5),1,1)+INT((ROWS(B$2:B2139)-1)/24),"""18""jjmmdd")</f>
        <v>18980331</v>
      </c>
      <c r="C2139" s="11" t="str">
        <f>INDEX(Data,2,2+MOD(ROWS(C$2:C2139)-1,24))</f>
        <v>02.00</v>
      </c>
      <c r="D2139" s="8" t="str">
        <f t="shared" ca="1" si="101"/>
        <v>—</v>
      </c>
      <c r="E2139" s="16">
        <f t="shared" ca="1" si="102"/>
        <v>7</v>
      </c>
    </row>
    <row r="2140" spans="1:5" x14ac:dyDescent="0.25">
      <c r="A2140" s="3">
        <f t="shared" si="100"/>
        <v>78989</v>
      </c>
      <c r="B2140" t="str">
        <f ca="1">TEXT(DATE(YEAR(Invoer!$A$5),1,1)+INT((ROWS(B$2:B2140)-1)/24),"""18""jjmmdd")</f>
        <v>18980331</v>
      </c>
      <c r="C2140" s="11" t="str">
        <f>INDEX(Data,2,2+MOD(ROWS(C$2:C2140)-1,24))</f>
        <v>03.00</v>
      </c>
      <c r="D2140" s="8" t="str">
        <f t="shared" ca="1" si="101"/>
        <v>—</v>
      </c>
      <c r="E2140" s="16">
        <f t="shared" ca="1" si="102"/>
        <v>7</v>
      </c>
    </row>
    <row r="2141" spans="1:5" x14ac:dyDescent="0.25">
      <c r="A2141" s="3">
        <f t="shared" si="100"/>
        <v>78989</v>
      </c>
      <c r="B2141" t="str">
        <f ca="1">TEXT(DATE(YEAR(Invoer!$A$5),1,1)+INT((ROWS(B$2:B2141)-1)/24),"""18""jjmmdd")</f>
        <v>18980331</v>
      </c>
      <c r="C2141" s="11" t="str">
        <f>INDEX(Data,2,2+MOD(ROWS(C$2:C2141)-1,24))</f>
        <v>04.00</v>
      </c>
      <c r="D2141" s="8" t="str">
        <f t="shared" ca="1" si="101"/>
        <v>—</v>
      </c>
      <c r="E2141" s="16">
        <f t="shared" ca="1" si="102"/>
        <v>7</v>
      </c>
    </row>
    <row r="2142" spans="1:5" x14ac:dyDescent="0.25">
      <c r="A2142" s="3">
        <f t="shared" si="100"/>
        <v>78989</v>
      </c>
      <c r="B2142" t="str">
        <f ca="1">TEXT(DATE(YEAR(Invoer!$A$5),1,1)+INT((ROWS(B$2:B2142)-1)/24),"""18""jjmmdd")</f>
        <v>18980331</v>
      </c>
      <c r="C2142" s="11" t="str">
        <f>INDEX(Data,2,2+MOD(ROWS(C$2:C2142)-1,24))</f>
        <v>05.00</v>
      </c>
      <c r="D2142" s="8" t="str">
        <f t="shared" ca="1" si="101"/>
        <v>—</v>
      </c>
      <c r="E2142" s="16">
        <f t="shared" ca="1" si="102"/>
        <v>7</v>
      </c>
    </row>
    <row r="2143" spans="1:5" x14ac:dyDescent="0.25">
      <c r="A2143" s="3">
        <f t="shared" si="100"/>
        <v>78989</v>
      </c>
      <c r="B2143" t="str">
        <f ca="1">TEXT(DATE(YEAR(Invoer!$A$5),1,1)+INT((ROWS(B$2:B2143)-1)/24),"""18""jjmmdd")</f>
        <v>18980331</v>
      </c>
      <c r="C2143" s="11" t="str">
        <f>INDEX(Data,2,2+MOD(ROWS(C$2:C2143)-1,24))</f>
        <v>06.00</v>
      </c>
      <c r="D2143" s="8" t="str">
        <f t="shared" ca="1" si="101"/>
        <v>—</v>
      </c>
      <c r="E2143" s="16">
        <f t="shared" ca="1" si="102"/>
        <v>7</v>
      </c>
    </row>
    <row r="2144" spans="1:5" x14ac:dyDescent="0.25">
      <c r="A2144" s="3">
        <f t="shared" si="100"/>
        <v>78989</v>
      </c>
      <c r="B2144" t="str">
        <f ca="1">TEXT(DATE(YEAR(Invoer!$A$5),1,1)+INT((ROWS(B$2:B2144)-1)/24),"""18""jjmmdd")</f>
        <v>18980331</v>
      </c>
      <c r="C2144" s="11" t="str">
        <f>INDEX(Data,2,2+MOD(ROWS(C$2:C2144)-1,24))</f>
        <v>07.00</v>
      </c>
      <c r="D2144" s="8" t="str">
        <f t="shared" ca="1" si="101"/>
        <v>—</v>
      </c>
      <c r="E2144" s="16">
        <f t="shared" ca="1" si="102"/>
        <v>7</v>
      </c>
    </row>
    <row r="2145" spans="1:5" x14ac:dyDescent="0.25">
      <c r="A2145" s="3">
        <f t="shared" si="100"/>
        <v>78989</v>
      </c>
      <c r="B2145" t="str">
        <f ca="1">TEXT(DATE(YEAR(Invoer!$A$5),1,1)+INT((ROWS(B$2:B2145)-1)/24),"""18""jjmmdd")</f>
        <v>18980331</v>
      </c>
      <c r="C2145" s="11" t="str">
        <f>INDEX(Data,2,2+MOD(ROWS(C$2:C2145)-1,24))</f>
        <v>08.00</v>
      </c>
      <c r="D2145" s="8" t="str">
        <f t="shared" ca="1" si="101"/>
        <v>—</v>
      </c>
      <c r="E2145" s="16">
        <f t="shared" ca="1" si="102"/>
        <v>7</v>
      </c>
    </row>
    <row r="2146" spans="1:5" x14ac:dyDescent="0.25">
      <c r="A2146" s="3">
        <f t="shared" si="100"/>
        <v>78989</v>
      </c>
      <c r="B2146" t="str">
        <f ca="1">TEXT(DATE(YEAR(Invoer!$A$5),1,1)+INT((ROWS(B$2:B2146)-1)/24),"""18""jjmmdd")</f>
        <v>18980331</v>
      </c>
      <c r="C2146" s="11" t="str">
        <f>INDEX(Data,2,2+MOD(ROWS(C$2:C2146)-1,24))</f>
        <v>09.00</v>
      </c>
      <c r="D2146" s="8" t="str">
        <f t="shared" ca="1" si="101"/>
        <v>—</v>
      </c>
      <c r="E2146" s="16">
        <f t="shared" ca="1" si="102"/>
        <v>7</v>
      </c>
    </row>
    <row r="2147" spans="1:5" x14ac:dyDescent="0.25">
      <c r="A2147" s="3">
        <f t="shared" si="100"/>
        <v>78989</v>
      </c>
      <c r="B2147" t="str">
        <f ca="1">TEXT(DATE(YEAR(Invoer!$A$5),1,1)+INT((ROWS(B$2:B2147)-1)/24),"""18""jjmmdd")</f>
        <v>18980331</v>
      </c>
      <c r="C2147" s="11" t="str">
        <f>INDEX(Data,2,2+MOD(ROWS(C$2:C2147)-1,24))</f>
        <v>10.00</v>
      </c>
      <c r="D2147" s="8" t="str">
        <f t="shared" ca="1" si="101"/>
        <v>—</v>
      </c>
      <c r="E2147" s="16">
        <f t="shared" ca="1" si="102"/>
        <v>7</v>
      </c>
    </row>
    <row r="2148" spans="1:5" x14ac:dyDescent="0.25">
      <c r="A2148" s="3">
        <f t="shared" si="100"/>
        <v>78989</v>
      </c>
      <c r="B2148" t="str">
        <f ca="1">TEXT(DATE(YEAR(Invoer!$A$5),1,1)+INT((ROWS(B$2:B2148)-1)/24),"""18""jjmmdd")</f>
        <v>18980331</v>
      </c>
      <c r="C2148" s="11" t="str">
        <f>INDEX(Data,2,2+MOD(ROWS(C$2:C2148)-1,24))</f>
        <v>11.00</v>
      </c>
      <c r="D2148" s="8" t="str">
        <f t="shared" ca="1" si="101"/>
        <v>—</v>
      </c>
      <c r="E2148" s="16">
        <f t="shared" ca="1" si="102"/>
        <v>7</v>
      </c>
    </row>
    <row r="2149" spans="1:5" x14ac:dyDescent="0.25">
      <c r="A2149" s="3">
        <f t="shared" si="100"/>
        <v>78989</v>
      </c>
      <c r="B2149" t="str">
        <f ca="1">TEXT(DATE(YEAR(Invoer!$A$5),1,1)+INT((ROWS(B$2:B2149)-1)/24),"""18""jjmmdd")</f>
        <v>18980331</v>
      </c>
      <c r="C2149" s="11" t="str">
        <f>INDEX(Data,2,2+MOD(ROWS(C$2:C2149)-1,24))</f>
        <v>12.00</v>
      </c>
      <c r="D2149" s="8" t="str">
        <f t="shared" ca="1" si="101"/>
        <v>—</v>
      </c>
      <c r="E2149" s="16">
        <f t="shared" ca="1" si="102"/>
        <v>7</v>
      </c>
    </row>
    <row r="2150" spans="1:5" x14ac:dyDescent="0.25">
      <c r="A2150" s="3">
        <f t="shared" si="100"/>
        <v>78989</v>
      </c>
      <c r="B2150" t="str">
        <f ca="1">TEXT(DATE(YEAR(Invoer!$A$5),1,1)+INT((ROWS(B$2:B2150)-1)/24),"""18""jjmmdd")</f>
        <v>18980331</v>
      </c>
      <c r="C2150" s="11" t="str">
        <f>INDEX(Data,2,2+MOD(ROWS(C$2:C2150)-1,24))</f>
        <v>13.00</v>
      </c>
      <c r="D2150" s="8" t="str">
        <f t="shared" ca="1" si="101"/>
        <v>—</v>
      </c>
      <c r="E2150" s="16">
        <f t="shared" ca="1" si="102"/>
        <v>7</v>
      </c>
    </row>
    <row r="2151" spans="1:5" x14ac:dyDescent="0.25">
      <c r="A2151" s="3">
        <f t="shared" si="100"/>
        <v>78989</v>
      </c>
      <c r="B2151" t="str">
        <f ca="1">TEXT(DATE(YEAR(Invoer!$A$5),1,1)+INT((ROWS(B$2:B2151)-1)/24),"""18""jjmmdd")</f>
        <v>18980331</v>
      </c>
      <c r="C2151" s="11" t="str">
        <f>INDEX(Data,2,2+MOD(ROWS(C$2:C2151)-1,24))</f>
        <v>14.00</v>
      </c>
      <c r="D2151" s="8" t="str">
        <f t="shared" ca="1" si="101"/>
        <v>—</v>
      </c>
      <c r="E2151" s="16">
        <f t="shared" ca="1" si="102"/>
        <v>7</v>
      </c>
    </row>
    <row r="2152" spans="1:5" x14ac:dyDescent="0.25">
      <c r="A2152" s="3">
        <f t="shared" si="100"/>
        <v>78989</v>
      </c>
      <c r="B2152" t="str">
        <f ca="1">TEXT(DATE(YEAR(Invoer!$A$5),1,1)+INT((ROWS(B$2:B2152)-1)/24),"""18""jjmmdd")</f>
        <v>18980331</v>
      </c>
      <c r="C2152" s="11" t="str">
        <f>INDEX(Data,2,2+MOD(ROWS(C$2:C2152)-1,24))</f>
        <v>15.00</v>
      </c>
      <c r="D2152" s="8" t="str">
        <f t="shared" ca="1" si="101"/>
        <v>—</v>
      </c>
      <c r="E2152" s="16">
        <f t="shared" ca="1" si="102"/>
        <v>7</v>
      </c>
    </row>
    <row r="2153" spans="1:5" x14ac:dyDescent="0.25">
      <c r="A2153" s="3">
        <f t="shared" si="100"/>
        <v>78989</v>
      </c>
      <c r="B2153" t="str">
        <f ca="1">TEXT(DATE(YEAR(Invoer!$A$5),1,1)+INT((ROWS(B$2:B2153)-1)/24),"""18""jjmmdd")</f>
        <v>18980331</v>
      </c>
      <c r="C2153" s="11" t="str">
        <f>INDEX(Data,2,2+MOD(ROWS(C$2:C2153)-1,24))</f>
        <v>16.00</v>
      </c>
      <c r="D2153" s="8" t="str">
        <f t="shared" ca="1" si="101"/>
        <v>—</v>
      </c>
      <c r="E2153" s="16">
        <f t="shared" ca="1" si="102"/>
        <v>7</v>
      </c>
    </row>
    <row r="2154" spans="1:5" x14ac:dyDescent="0.25">
      <c r="A2154" s="3">
        <f t="shared" si="100"/>
        <v>78989</v>
      </c>
      <c r="B2154" t="str">
        <f ca="1">TEXT(DATE(YEAR(Invoer!$A$5),1,1)+INT((ROWS(B$2:B2154)-1)/24),"""18""jjmmdd")</f>
        <v>18980331</v>
      </c>
      <c r="C2154" s="11" t="str">
        <f>INDEX(Data,2,2+MOD(ROWS(C$2:C2154)-1,24))</f>
        <v>17.00</v>
      </c>
      <c r="D2154" s="8" t="str">
        <f t="shared" ca="1" si="101"/>
        <v>—</v>
      </c>
      <c r="E2154" s="16">
        <f t="shared" ca="1" si="102"/>
        <v>7</v>
      </c>
    </row>
    <row r="2155" spans="1:5" x14ac:dyDescent="0.25">
      <c r="A2155" s="3">
        <f t="shared" si="100"/>
        <v>78989</v>
      </c>
      <c r="B2155" t="str">
        <f ca="1">TEXT(DATE(YEAR(Invoer!$A$5),1,1)+INT((ROWS(B$2:B2155)-1)/24),"""18""jjmmdd")</f>
        <v>18980331</v>
      </c>
      <c r="C2155" s="11" t="str">
        <f>INDEX(Data,2,2+MOD(ROWS(C$2:C2155)-1,24))</f>
        <v>18.00</v>
      </c>
      <c r="D2155" s="8" t="str">
        <f t="shared" ca="1" si="101"/>
        <v>—</v>
      </c>
      <c r="E2155" s="16">
        <f t="shared" ca="1" si="102"/>
        <v>7</v>
      </c>
    </row>
    <row r="2156" spans="1:5" x14ac:dyDescent="0.25">
      <c r="A2156" s="3">
        <f t="shared" si="100"/>
        <v>78989</v>
      </c>
      <c r="B2156" t="str">
        <f ca="1">TEXT(DATE(YEAR(Invoer!$A$5),1,1)+INT((ROWS(B$2:B2156)-1)/24),"""18""jjmmdd")</f>
        <v>18980331</v>
      </c>
      <c r="C2156" s="11" t="str">
        <f>INDEX(Data,2,2+MOD(ROWS(C$2:C2156)-1,24))</f>
        <v>19.00</v>
      </c>
      <c r="D2156" s="8" t="str">
        <f t="shared" ca="1" si="101"/>
        <v>—</v>
      </c>
      <c r="E2156" s="16">
        <f t="shared" ca="1" si="102"/>
        <v>7</v>
      </c>
    </row>
    <row r="2157" spans="1:5" x14ac:dyDescent="0.25">
      <c r="A2157" s="3">
        <f t="shared" si="100"/>
        <v>78989</v>
      </c>
      <c r="B2157" t="str">
        <f ca="1">TEXT(DATE(YEAR(Invoer!$A$5),1,1)+INT((ROWS(B$2:B2157)-1)/24),"""18""jjmmdd")</f>
        <v>18980331</v>
      </c>
      <c r="C2157" s="11" t="str">
        <f>INDEX(Data,2,2+MOD(ROWS(C$2:C2157)-1,24))</f>
        <v>20.00</v>
      </c>
      <c r="D2157" s="8" t="str">
        <f t="shared" ca="1" si="101"/>
        <v>—</v>
      </c>
      <c r="E2157" s="16">
        <f t="shared" ca="1" si="102"/>
        <v>7</v>
      </c>
    </row>
    <row r="2158" spans="1:5" x14ac:dyDescent="0.25">
      <c r="A2158" s="3">
        <f t="shared" si="100"/>
        <v>78989</v>
      </c>
      <c r="B2158" t="str">
        <f ca="1">TEXT(DATE(YEAR(Invoer!$A$5),1,1)+INT((ROWS(B$2:B2158)-1)/24),"""18""jjmmdd")</f>
        <v>18980331</v>
      </c>
      <c r="C2158" s="11" t="str">
        <f>INDEX(Data,2,2+MOD(ROWS(C$2:C2158)-1,24))</f>
        <v>21.00</v>
      </c>
      <c r="D2158" s="8" t="str">
        <f t="shared" ca="1" si="101"/>
        <v>—</v>
      </c>
      <c r="E2158" s="16">
        <f t="shared" ca="1" si="102"/>
        <v>7</v>
      </c>
    </row>
    <row r="2159" spans="1:5" x14ac:dyDescent="0.25">
      <c r="A2159" s="3">
        <f t="shared" si="100"/>
        <v>78989</v>
      </c>
      <c r="B2159" t="str">
        <f ca="1">TEXT(DATE(YEAR(Invoer!$A$5),1,1)+INT((ROWS(B$2:B2159)-1)/24),"""18""jjmmdd")</f>
        <v>18980331</v>
      </c>
      <c r="C2159" s="11" t="str">
        <f>INDEX(Data,2,2+MOD(ROWS(C$2:C2159)-1,24))</f>
        <v>22.00</v>
      </c>
      <c r="D2159" s="8" t="str">
        <f t="shared" ca="1" si="101"/>
        <v>—</v>
      </c>
      <c r="E2159" s="16">
        <f t="shared" ca="1" si="102"/>
        <v>7</v>
      </c>
    </row>
    <row r="2160" spans="1:5" x14ac:dyDescent="0.25">
      <c r="A2160" s="3">
        <f t="shared" si="100"/>
        <v>78989</v>
      </c>
      <c r="B2160" t="str">
        <f ca="1">TEXT(DATE(YEAR(Invoer!$A$5),1,1)+INT((ROWS(B$2:B2160)-1)/24),"""18""jjmmdd")</f>
        <v>18980331</v>
      </c>
      <c r="C2160" s="11" t="str">
        <f>INDEX(Data,2,2+MOD(ROWS(C$2:C2160)-1,24))</f>
        <v>23.00</v>
      </c>
      <c r="D2160" s="8" t="str">
        <f t="shared" ca="1" si="101"/>
        <v>—</v>
      </c>
      <c r="E2160" s="16">
        <f t="shared" ca="1" si="102"/>
        <v>7</v>
      </c>
    </row>
    <row r="2161" spans="1:5" x14ac:dyDescent="0.25">
      <c r="A2161" s="3">
        <f t="shared" si="100"/>
        <v>78989</v>
      </c>
      <c r="B2161" t="str">
        <f ca="1">TEXT(DATE(YEAR(Invoer!$A$5),1,1)+INT((ROWS(B$2:B2161)-1)/24),"""18""jjmmdd")</f>
        <v>18980331</v>
      </c>
      <c r="C2161" s="11" t="str">
        <f>INDEX(Data,2,2+MOD(ROWS(C$2:C2161)-1,24))</f>
        <v>24.00</v>
      </c>
      <c r="D2161" s="8" t="str">
        <f t="shared" ca="1" si="101"/>
        <v>—</v>
      </c>
      <c r="E2161" s="16">
        <f t="shared" ca="1" si="102"/>
        <v>7</v>
      </c>
    </row>
    <row r="2162" spans="1:5" x14ac:dyDescent="0.25">
      <c r="A2162" s="3">
        <f t="shared" si="100"/>
        <v>78989</v>
      </c>
      <c r="B2162" t="str">
        <f ca="1">TEXT(DATE(YEAR(Invoer!$A$5),1,1)+INT((ROWS(B$2:B2162)-1)/24),"""18""jjmmdd")</f>
        <v>18980401</v>
      </c>
      <c r="C2162" s="11" t="str">
        <f>INDEX(Data,2,2+MOD(ROWS(C$2:C2162)-1,24))</f>
        <v>01.00</v>
      </c>
      <c r="D2162" s="8" t="str">
        <f t="shared" ca="1" si="101"/>
        <v>—</v>
      </c>
      <c r="E2162" s="16">
        <f t="shared" ca="1" si="102"/>
        <v>7</v>
      </c>
    </row>
    <row r="2163" spans="1:5" x14ac:dyDescent="0.25">
      <c r="A2163" s="3">
        <f t="shared" si="100"/>
        <v>78989</v>
      </c>
      <c r="B2163" t="str">
        <f ca="1">TEXT(DATE(YEAR(Invoer!$A$5),1,1)+INT((ROWS(B$2:B2163)-1)/24),"""18""jjmmdd")</f>
        <v>18980401</v>
      </c>
      <c r="C2163" s="11" t="str">
        <f>INDEX(Data,2,2+MOD(ROWS(C$2:C2163)-1,24))</f>
        <v>02.00</v>
      </c>
      <c r="D2163" s="8" t="str">
        <f t="shared" ca="1" si="101"/>
        <v>—</v>
      </c>
      <c r="E2163" s="16">
        <f t="shared" ca="1" si="102"/>
        <v>7</v>
      </c>
    </row>
    <row r="2164" spans="1:5" x14ac:dyDescent="0.25">
      <c r="A2164" s="3">
        <f t="shared" si="100"/>
        <v>78989</v>
      </c>
      <c r="B2164" t="str">
        <f ca="1">TEXT(DATE(YEAR(Invoer!$A$5),1,1)+INT((ROWS(B$2:B2164)-1)/24),"""18""jjmmdd")</f>
        <v>18980401</v>
      </c>
      <c r="C2164" s="11" t="str">
        <f>INDEX(Data,2,2+MOD(ROWS(C$2:C2164)-1,24))</f>
        <v>03.00</v>
      </c>
      <c r="D2164" s="8" t="str">
        <f t="shared" ca="1" si="101"/>
        <v>—</v>
      </c>
      <c r="E2164" s="16">
        <f t="shared" ca="1" si="102"/>
        <v>7</v>
      </c>
    </row>
    <row r="2165" spans="1:5" x14ac:dyDescent="0.25">
      <c r="A2165" s="3">
        <f t="shared" si="100"/>
        <v>78989</v>
      </c>
      <c r="B2165" t="str">
        <f ca="1">TEXT(DATE(YEAR(Invoer!$A$5),1,1)+INT((ROWS(B$2:B2165)-1)/24),"""18""jjmmdd")</f>
        <v>18980401</v>
      </c>
      <c r="C2165" s="11" t="str">
        <f>INDEX(Data,2,2+MOD(ROWS(C$2:C2165)-1,24))</f>
        <v>04.00</v>
      </c>
      <c r="D2165" s="8" t="str">
        <f t="shared" ca="1" si="101"/>
        <v>—</v>
      </c>
      <c r="E2165" s="16">
        <f t="shared" ca="1" si="102"/>
        <v>7</v>
      </c>
    </row>
    <row r="2166" spans="1:5" x14ac:dyDescent="0.25">
      <c r="A2166" s="3">
        <f t="shared" si="100"/>
        <v>78989</v>
      </c>
      <c r="B2166" t="str">
        <f ca="1">TEXT(DATE(YEAR(Invoer!$A$5),1,1)+INT((ROWS(B$2:B2166)-1)/24),"""18""jjmmdd")</f>
        <v>18980401</v>
      </c>
      <c r="C2166" s="11" t="str">
        <f>INDEX(Data,2,2+MOD(ROWS(C$2:C2166)-1,24))</f>
        <v>05.00</v>
      </c>
      <c r="D2166" s="8" t="str">
        <f t="shared" ca="1" si="101"/>
        <v>—</v>
      </c>
      <c r="E2166" s="16">
        <f t="shared" ca="1" si="102"/>
        <v>7</v>
      </c>
    </row>
    <row r="2167" spans="1:5" x14ac:dyDescent="0.25">
      <c r="A2167" s="3">
        <f t="shared" si="100"/>
        <v>78989</v>
      </c>
      <c r="B2167" t="str">
        <f ca="1">TEXT(DATE(YEAR(Invoer!$A$5),1,1)+INT((ROWS(B$2:B2167)-1)/24),"""18""jjmmdd")</f>
        <v>18980401</v>
      </c>
      <c r="C2167" s="11" t="str">
        <f>INDEX(Data,2,2+MOD(ROWS(C$2:C2167)-1,24))</f>
        <v>06.00</v>
      </c>
      <c r="D2167" s="8" t="str">
        <f t="shared" ca="1" si="101"/>
        <v>—</v>
      </c>
      <c r="E2167" s="16">
        <f t="shared" ca="1" si="102"/>
        <v>7</v>
      </c>
    </row>
    <row r="2168" spans="1:5" x14ac:dyDescent="0.25">
      <c r="A2168" s="3">
        <f t="shared" si="100"/>
        <v>78989</v>
      </c>
      <c r="B2168" t="str">
        <f ca="1">TEXT(DATE(YEAR(Invoer!$A$5),1,1)+INT((ROWS(B$2:B2168)-1)/24),"""18""jjmmdd")</f>
        <v>18980401</v>
      </c>
      <c r="C2168" s="11" t="str">
        <f>INDEX(Data,2,2+MOD(ROWS(C$2:C2168)-1,24))</f>
        <v>07.00</v>
      </c>
      <c r="D2168" s="8" t="str">
        <f t="shared" ca="1" si="101"/>
        <v>—</v>
      </c>
      <c r="E2168" s="16">
        <f t="shared" ca="1" si="102"/>
        <v>7</v>
      </c>
    </row>
    <row r="2169" spans="1:5" x14ac:dyDescent="0.25">
      <c r="A2169" s="3">
        <f t="shared" si="100"/>
        <v>78989</v>
      </c>
      <c r="B2169" t="str">
        <f ca="1">TEXT(DATE(YEAR(Invoer!$A$5),1,1)+INT((ROWS(B$2:B2169)-1)/24),"""18""jjmmdd")</f>
        <v>18980401</v>
      </c>
      <c r="C2169" s="11" t="str">
        <f>INDEX(Data,2,2+MOD(ROWS(C$2:C2169)-1,24))</f>
        <v>08.00</v>
      </c>
      <c r="D2169" s="8" t="str">
        <f t="shared" ca="1" si="101"/>
        <v>—</v>
      </c>
      <c r="E2169" s="16">
        <f t="shared" ca="1" si="102"/>
        <v>7</v>
      </c>
    </row>
    <row r="2170" spans="1:5" x14ac:dyDescent="0.25">
      <c r="A2170" s="3">
        <f t="shared" si="100"/>
        <v>78989</v>
      </c>
      <c r="B2170" t="str">
        <f ca="1">TEXT(DATE(YEAR(Invoer!$A$5),1,1)+INT((ROWS(B$2:B2170)-1)/24),"""18""jjmmdd")</f>
        <v>18980401</v>
      </c>
      <c r="C2170" s="11" t="str">
        <f>INDEX(Data,2,2+MOD(ROWS(C$2:C2170)-1,24))</f>
        <v>09.00</v>
      </c>
      <c r="D2170" s="8" t="str">
        <f t="shared" ca="1" si="101"/>
        <v>—</v>
      </c>
      <c r="E2170" s="16">
        <f t="shared" ca="1" si="102"/>
        <v>7</v>
      </c>
    </row>
    <row r="2171" spans="1:5" x14ac:dyDescent="0.25">
      <c r="A2171" s="3">
        <f t="shared" si="100"/>
        <v>78989</v>
      </c>
      <c r="B2171" t="str">
        <f ca="1">TEXT(DATE(YEAR(Invoer!$A$5),1,1)+INT((ROWS(B$2:B2171)-1)/24),"""18""jjmmdd")</f>
        <v>18980401</v>
      </c>
      <c r="C2171" s="11" t="str">
        <f>INDEX(Data,2,2+MOD(ROWS(C$2:C2171)-1,24))</f>
        <v>10.00</v>
      </c>
      <c r="D2171" s="8" t="str">
        <f t="shared" ca="1" si="101"/>
        <v>—</v>
      </c>
      <c r="E2171" s="16">
        <f t="shared" ca="1" si="102"/>
        <v>7</v>
      </c>
    </row>
    <row r="2172" spans="1:5" x14ac:dyDescent="0.25">
      <c r="A2172" s="3">
        <f t="shared" si="100"/>
        <v>78989</v>
      </c>
      <c r="B2172" t="str">
        <f ca="1">TEXT(DATE(YEAR(Invoer!$A$5),1,1)+INT((ROWS(B$2:B2172)-1)/24),"""18""jjmmdd")</f>
        <v>18980401</v>
      </c>
      <c r="C2172" s="11" t="str">
        <f>INDEX(Data,2,2+MOD(ROWS(C$2:C2172)-1,24))</f>
        <v>11.00</v>
      </c>
      <c r="D2172" s="8" t="str">
        <f t="shared" ca="1" si="101"/>
        <v>—</v>
      </c>
      <c r="E2172" s="16">
        <f t="shared" ca="1" si="102"/>
        <v>7</v>
      </c>
    </row>
    <row r="2173" spans="1:5" x14ac:dyDescent="0.25">
      <c r="A2173" s="3">
        <f t="shared" si="100"/>
        <v>78989</v>
      </c>
      <c r="B2173" t="str">
        <f ca="1">TEXT(DATE(YEAR(Invoer!$A$5),1,1)+INT((ROWS(B$2:B2173)-1)/24),"""18""jjmmdd")</f>
        <v>18980401</v>
      </c>
      <c r="C2173" s="11" t="str">
        <f>INDEX(Data,2,2+MOD(ROWS(C$2:C2173)-1,24))</f>
        <v>12.00</v>
      </c>
      <c r="D2173" s="8" t="str">
        <f t="shared" ca="1" si="101"/>
        <v>—</v>
      </c>
      <c r="E2173" s="16">
        <f t="shared" ca="1" si="102"/>
        <v>7</v>
      </c>
    </row>
    <row r="2174" spans="1:5" x14ac:dyDescent="0.25">
      <c r="A2174" s="3">
        <f t="shared" si="100"/>
        <v>78989</v>
      </c>
      <c r="B2174" t="str">
        <f ca="1">TEXT(DATE(YEAR(Invoer!$A$5),1,1)+INT((ROWS(B$2:B2174)-1)/24),"""18""jjmmdd")</f>
        <v>18980401</v>
      </c>
      <c r="C2174" s="11" t="str">
        <f>INDEX(Data,2,2+MOD(ROWS(C$2:C2174)-1,24))</f>
        <v>13.00</v>
      </c>
      <c r="D2174" s="8" t="str">
        <f t="shared" ca="1" si="101"/>
        <v>—</v>
      </c>
      <c r="E2174" s="16">
        <f t="shared" ca="1" si="102"/>
        <v>7</v>
      </c>
    </row>
    <row r="2175" spans="1:5" x14ac:dyDescent="0.25">
      <c r="A2175" s="3">
        <f t="shared" si="100"/>
        <v>78989</v>
      </c>
      <c r="B2175" t="str">
        <f ca="1">TEXT(DATE(YEAR(Invoer!$A$5),1,1)+INT((ROWS(B$2:B2175)-1)/24),"""18""jjmmdd")</f>
        <v>18980401</v>
      </c>
      <c r="C2175" s="11" t="str">
        <f>INDEX(Data,2,2+MOD(ROWS(C$2:C2175)-1,24))</f>
        <v>14.00</v>
      </c>
      <c r="D2175" s="8" t="str">
        <f t="shared" ca="1" si="101"/>
        <v>—</v>
      </c>
      <c r="E2175" s="16">
        <f t="shared" ca="1" si="102"/>
        <v>7</v>
      </c>
    </row>
    <row r="2176" spans="1:5" x14ac:dyDescent="0.25">
      <c r="A2176" s="3">
        <f t="shared" si="100"/>
        <v>78989</v>
      </c>
      <c r="B2176" t="str">
        <f ca="1">TEXT(DATE(YEAR(Invoer!$A$5),1,1)+INT((ROWS(B$2:B2176)-1)/24),"""18""jjmmdd")</f>
        <v>18980401</v>
      </c>
      <c r="C2176" s="11" t="str">
        <f>INDEX(Data,2,2+MOD(ROWS(C$2:C2176)-1,24))</f>
        <v>15.00</v>
      </c>
      <c r="D2176" s="8" t="str">
        <f t="shared" ca="1" si="101"/>
        <v>—</v>
      </c>
      <c r="E2176" s="16">
        <f t="shared" ca="1" si="102"/>
        <v>7</v>
      </c>
    </row>
    <row r="2177" spans="1:5" x14ac:dyDescent="0.25">
      <c r="A2177" s="3">
        <f t="shared" si="100"/>
        <v>78989</v>
      </c>
      <c r="B2177" t="str">
        <f ca="1">TEXT(DATE(YEAR(Invoer!$A$5),1,1)+INT((ROWS(B$2:B2177)-1)/24),"""18""jjmmdd")</f>
        <v>18980401</v>
      </c>
      <c r="C2177" s="11" t="str">
        <f>INDEX(Data,2,2+MOD(ROWS(C$2:C2177)-1,24))</f>
        <v>16.00</v>
      </c>
      <c r="D2177" s="8" t="str">
        <f t="shared" ca="1" si="101"/>
        <v>—</v>
      </c>
      <c r="E2177" s="16">
        <f t="shared" ca="1" si="102"/>
        <v>7</v>
      </c>
    </row>
    <row r="2178" spans="1:5" x14ac:dyDescent="0.25">
      <c r="A2178" s="3">
        <f t="shared" ref="A2178:A2241" si="103">INDEX(Stations,2,1)</f>
        <v>78989</v>
      </c>
      <c r="B2178" t="str">
        <f ca="1">TEXT(DATE(YEAR(Invoer!$A$5),1,1)+INT((ROWS(B$2:B2178)-1)/24),"""18""jjmmdd")</f>
        <v>18980401</v>
      </c>
      <c r="C2178" s="11" t="str">
        <f>INDEX(Data,2,2+MOD(ROWS(C$2:C2178)-1,24))</f>
        <v>17.00</v>
      </c>
      <c r="D2178" s="8" t="str">
        <f t="shared" ref="D2178:D2241" ca="1" si="104">IF(OR(ISBLANK(VLOOKUP(DATEVALUE("37"&amp;MID($B2178,3,2)&amp;"-"&amp;MID($B2178,5,2)&amp;"-"&amp;RIGHT($B2178,2)),Data,MATCH(LEFT(VLOOKUP(D$1,Parameters,2,FALSE()),4)&amp;"*",OFFSET(Data,0,0,1),0)+MATCH($C2178,OFFSET(Data,1,0,1),0)-2,FALSE())),ISTEXT(VLOOKUP(DATEVALUE("37"&amp;MID($B2178,3,2)&amp;"-"&amp;MID($B2178,5,2)&amp;"-"&amp;RIGHT($B2178,2)),Data,MATCH(LEFT(VLOOKUP(D$1,Parameters,2,FALSE()),4)&amp;"*",OFFSET(Data,0,0,1),0)+MATCH($C2178,OFFSET(Data,1,0,1),0)-2,FALSE()))),"—",VLOOKUP(DATEVALUE("37"&amp;MID($B2178,3,2)&amp;"-"&amp;MID($B2178,5,2)&amp;"-"&amp;RIGHT($B2178,2)),Data,MATCH(LEFT(VLOOKUP(D$1,Parameters,2,FALSE()),4)&amp;"*",OFFSET(Data,0,0,1),0)+MATCH($C2178,OFFSET(Data,1,0,1),0)-2,FALSE()))</f>
        <v>—</v>
      </c>
      <c r="E2178" s="16">
        <f t="shared" ca="1" si="102"/>
        <v>7</v>
      </c>
    </row>
    <row r="2179" spans="1:5" x14ac:dyDescent="0.25">
      <c r="A2179" s="3">
        <f t="shared" si="103"/>
        <v>78989</v>
      </c>
      <c r="B2179" t="str">
        <f ca="1">TEXT(DATE(YEAR(Invoer!$A$5),1,1)+INT((ROWS(B$2:B2179)-1)/24),"""18""jjmmdd")</f>
        <v>18980401</v>
      </c>
      <c r="C2179" s="11" t="str">
        <f>INDEX(Data,2,2+MOD(ROWS(C$2:C2179)-1,24))</f>
        <v>18.00</v>
      </c>
      <c r="D2179" s="8" t="str">
        <f t="shared" ca="1" si="104"/>
        <v>—</v>
      </c>
      <c r="E2179" s="16">
        <f t="shared" ref="E2179:E2242" ca="1" si="105">IF(OR(ISBLANK(VLOOKUP(DATEVALUE("37"&amp;MID($B2179,3,2)&amp;"-"&amp;MID($B2179,5,2)&amp;"-"&amp;RIGHT($B2179,2)),Data,MATCH(LEFT(VLOOKUP(D$1,Parameters,2,FALSE()),4)&amp;"*",OFFSET(Data,0,0,1),0)+MATCH($C2179,OFFSET(Data,1,0,1),0)-2,FALSE())),ISTEXT(VLOOKUP(DATEVALUE("37"&amp;MID($B2179,3,2)&amp;"-"&amp;MID($B2179,5,2)&amp;"-"&amp;RIGHT($B2179,2)),Data,MATCH(LEFT(VLOOKUP(D$1,Parameters,2,FALSE()),4)&amp;"*",OFFSET(Data,0,0,1),0)+MATCH($C2179,OFFSET(Data,1,0,1),0)-2,FALSE()))),Lacking,IF(ISNA(MATCH(DATEVALUE("37"&amp;MID($B2179,3,2)&amp;"-"&amp;MID($B2179,5,2)&amp;"-"&amp;RIGHT($B2179,2)),OFFSET(Catalogus,0,0,,1),0)),Ok,VLOOKUP(DATEVALUE("37"&amp;MID($B2179,3,2)&amp;"-"&amp;MID($B2179,5,2)&amp;"-"&amp;RIGHT($B2179,2)),Catalogus,MATCH(LEFT(VLOOKUP(MID(E$1,2,LEN(E$1)-1),Parameters,2,FALSE()),4)&amp;"*",OFFSET(Catalogus,0,0,1),0)+MATCH($C2179,OFFSET(Catalogus,1,0,1),0)-2,FALSE())))</f>
        <v>7</v>
      </c>
    </row>
    <row r="2180" spans="1:5" x14ac:dyDescent="0.25">
      <c r="A2180" s="3">
        <f t="shared" si="103"/>
        <v>78989</v>
      </c>
      <c r="B2180" t="str">
        <f ca="1">TEXT(DATE(YEAR(Invoer!$A$5),1,1)+INT((ROWS(B$2:B2180)-1)/24),"""18""jjmmdd")</f>
        <v>18980401</v>
      </c>
      <c r="C2180" s="11" t="str">
        <f>INDEX(Data,2,2+MOD(ROWS(C$2:C2180)-1,24))</f>
        <v>19.00</v>
      </c>
      <c r="D2180" s="8" t="str">
        <f t="shared" ca="1" si="104"/>
        <v>—</v>
      </c>
      <c r="E2180" s="16">
        <f t="shared" ca="1" si="105"/>
        <v>7</v>
      </c>
    </row>
    <row r="2181" spans="1:5" x14ac:dyDescent="0.25">
      <c r="A2181" s="3">
        <f t="shared" si="103"/>
        <v>78989</v>
      </c>
      <c r="B2181" t="str">
        <f ca="1">TEXT(DATE(YEAR(Invoer!$A$5),1,1)+INT((ROWS(B$2:B2181)-1)/24),"""18""jjmmdd")</f>
        <v>18980401</v>
      </c>
      <c r="C2181" s="11" t="str">
        <f>INDEX(Data,2,2+MOD(ROWS(C$2:C2181)-1,24))</f>
        <v>20.00</v>
      </c>
      <c r="D2181" s="8" t="str">
        <f t="shared" ca="1" si="104"/>
        <v>—</v>
      </c>
      <c r="E2181" s="16">
        <f t="shared" ca="1" si="105"/>
        <v>7</v>
      </c>
    </row>
    <row r="2182" spans="1:5" x14ac:dyDescent="0.25">
      <c r="A2182" s="3">
        <f t="shared" si="103"/>
        <v>78989</v>
      </c>
      <c r="B2182" t="str">
        <f ca="1">TEXT(DATE(YEAR(Invoer!$A$5),1,1)+INT((ROWS(B$2:B2182)-1)/24),"""18""jjmmdd")</f>
        <v>18980401</v>
      </c>
      <c r="C2182" s="11" t="str">
        <f>INDEX(Data,2,2+MOD(ROWS(C$2:C2182)-1,24))</f>
        <v>21.00</v>
      </c>
      <c r="D2182" s="8" t="str">
        <f t="shared" ca="1" si="104"/>
        <v>—</v>
      </c>
      <c r="E2182" s="16">
        <f t="shared" ca="1" si="105"/>
        <v>7</v>
      </c>
    </row>
    <row r="2183" spans="1:5" x14ac:dyDescent="0.25">
      <c r="A2183" s="3">
        <f t="shared" si="103"/>
        <v>78989</v>
      </c>
      <c r="B2183" t="str">
        <f ca="1">TEXT(DATE(YEAR(Invoer!$A$5),1,1)+INT((ROWS(B$2:B2183)-1)/24),"""18""jjmmdd")</f>
        <v>18980401</v>
      </c>
      <c r="C2183" s="11" t="str">
        <f>INDEX(Data,2,2+MOD(ROWS(C$2:C2183)-1,24))</f>
        <v>22.00</v>
      </c>
      <c r="D2183" s="8" t="str">
        <f t="shared" ca="1" si="104"/>
        <v>—</v>
      </c>
      <c r="E2183" s="16">
        <f t="shared" ca="1" si="105"/>
        <v>7</v>
      </c>
    </row>
    <row r="2184" spans="1:5" x14ac:dyDescent="0.25">
      <c r="A2184" s="3">
        <f t="shared" si="103"/>
        <v>78989</v>
      </c>
      <c r="B2184" t="str">
        <f ca="1">TEXT(DATE(YEAR(Invoer!$A$5),1,1)+INT((ROWS(B$2:B2184)-1)/24),"""18""jjmmdd")</f>
        <v>18980401</v>
      </c>
      <c r="C2184" s="11" t="str">
        <f>INDEX(Data,2,2+MOD(ROWS(C$2:C2184)-1,24))</f>
        <v>23.00</v>
      </c>
      <c r="D2184" s="8" t="str">
        <f t="shared" ca="1" si="104"/>
        <v>—</v>
      </c>
      <c r="E2184" s="16">
        <f t="shared" ca="1" si="105"/>
        <v>7</v>
      </c>
    </row>
    <row r="2185" spans="1:5" x14ac:dyDescent="0.25">
      <c r="A2185" s="3">
        <f t="shared" si="103"/>
        <v>78989</v>
      </c>
      <c r="B2185" t="str">
        <f ca="1">TEXT(DATE(YEAR(Invoer!$A$5),1,1)+INT((ROWS(B$2:B2185)-1)/24),"""18""jjmmdd")</f>
        <v>18980401</v>
      </c>
      <c r="C2185" s="11" t="str">
        <f>INDEX(Data,2,2+MOD(ROWS(C$2:C2185)-1,24))</f>
        <v>24.00</v>
      </c>
      <c r="D2185" s="8" t="str">
        <f t="shared" ca="1" si="104"/>
        <v>—</v>
      </c>
      <c r="E2185" s="16">
        <f t="shared" ca="1" si="105"/>
        <v>7</v>
      </c>
    </row>
    <row r="2186" spans="1:5" x14ac:dyDescent="0.25">
      <c r="A2186" s="3">
        <f t="shared" si="103"/>
        <v>78989</v>
      </c>
      <c r="B2186" t="str">
        <f ca="1">TEXT(DATE(YEAR(Invoer!$A$5),1,1)+INT((ROWS(B$2:B2186)-1)/24),"""18""jjmmdd")</f>
        <v>18980402</v>
      </c>
      <c r="C2186" s="11" t="str">
        <f>INDEX(Data,2,2+MOD(ROWS(C$2:C2186)-1,24))</f>
        <v>01.00</v>
      </c>
      <c r="D2186" s="8" t="str">
        <f t="shared" ca="1" si="104"/>
        <v>—</v>
      </c>
      <c r="E2186" s="16">
        <f t="shared" ca="1" si="105"/>
        <v>7</v>
      </c>
    </row>
    <row r="2187" spans="1:5" x14ac:dyDescent="0.25">
      <c r="A2187" s="3">
        <f t="shared" si="103"/>
        <v>78989</v>
      </c>
      <c r="B2187" t="str">
        <f ca="1">TEXT(DATE(YEAR(Invoer!$A$5),1,1)+INT((ROWS(B$2:B2187)-1)/24),"""18""jjmmdd")</f>
        <v>18980402</v>
      </c>
      <c r="C2187" s="11" t="str">
        <f>INDEX(Data,2,2+MOD(ROWS(C$2:C2187)-1,24))</f>
        <v>02.00</v>
      </c>
      <c r="D2187" s="8" t="str">
        <f t="shared" ca="1" si="104"/>
        <v>—</v>
      </c>
      <c r="E2187" s="16">
        <f t="shared" ca="1" si="105"/>
        <v>7</v>
      </c>
    </row>
    <row r="2188" spans="1:5" x14ac:dyDescent="0.25">
      <c r="A2188" s="3">
        <f t="shared" si="103"/>
        <v>78989</v>
      </c>
      <c r="B2188" t="str">
        <f ca="1">TEXT(DATE(YEAR(Invoer!$A$5),1,1)+INT((ROWS(B$2:B2188)-1)/24),"""18""jjmmdd")</f>
        <v>18980402</v>
      </c>
      <c r="C2188" s="11" t="str">
        <f>INDEX(Data,2,2+MOD(ROWS(C$2:C2188)-1,24))</f>
        <v>03.00</v>
      </c>
      <c r="D2188" s="8" t="str">
        <f t="shared" ca="1" si="104"/>
        <v>—</v>
      </c>
      <c r="E2188" s="16">
        <f t="shared" ca="1" si="105"/>
        <v>7</v>
      </c>
    </row>
    <row r="2189" spans="1:5" x14ac:dyDescent="0.25">
      <c r="A2189" s="3">
        <f t="shared" si="103"/>
        <v>78989</v>
      </c>
      <c r="B2189" t="str">
        <f ca="1">TEXT(DATE(YEAR(Invoer!$A$5),1,1)+INT((ROWS(B$2:B2189)-1)/24),"""18""jjmmdd")</f>
        <v>18980402</v>
      </c>
      <c r="C2189" s="11" t="str">
        <f>INDEX(Data,2,2+MOD(ROWS(C$2:C2189)-1,24))</f>
        <v>04.00</v>
      </c>
      <c r="D2189" s="8" t="str">
        <f t="shared" ca="1" si="104"/>
        <v>—</v>
      </c>
      <c r="E2189" s="16">
        <f t="shared" ca="1" si="105"/>
        <v>7</v>
      </c>
    </row>
    <row r="2190" spans="1:5" x14ac:dyDescent="0.25">
      <c r="A2190" s="3">
        <f t="shared" si="103"/>
        <v>78989</v>
      </c>
      <c r="B2190" t="str">
        <f ca="1">TEXT(DATE(YEAR(Invoer!$A$5),1,1)+INT((ROWS(B$2:B2190)-1)/24),"""18""jjmmdd")</f>
        <v>18980402</v>
      </c>
      <c r="C2190" s="11" t="str">
        <f>INDEX(Data,2,2+MOD(ROWS(C$2:C2190)-1,24))</f>
        <v>05.00</v>
      </c>
      <c r="D2190" s="8" t="str">
        <f t="shared" ca="1" si="104"/>
        <v>—</v>
      </c>
      <c r="E2190" s="16">
        <f t="shared" ca="1" si="105"/>
        <v>7</v>
      </c>
    </row>
    <row r="2191" spans="1:5" x14ac:dyDescent="0.25">
      <c r="A2191" s="3">
        <f t="shared" si="103"/>
        <v>78989</v>
      </c>
      <c r="B2191" t="str">
        <f ca="1">TEXT(DATE(YEAR(Invoer!$A$5),1,1)+INT((ROWS(B$2:B2191)-1)/24),"""18""jjmmdd")</f>
        <v>18980402</v>
      </c>
      <c r="C2191" s="11" t="str">
        <f>INDEX(Data,2,2+MOD(ROWS(C$2:C2191)-1,24))</f>
        <v>06.00</v>
      </c>
      <c r="D2191" s="8" t="str">
        <f t="shared" ca="1" si="104"/>
        <v>—</v>
      </c>
      <c r="E2191" s="16">
        <f t="shared" ca="1" si="105"/>
        <v>7</v>
      </c>
    </row>
    <row r="2192" spans="1:5" x14ac:dyDescent="0.25">
      <c r="A2192" s="3">
        <f t="shared" si="103"/>
        <v>78989</v>
      </c>
      <c r="B2192" t="str">
        <f ca="1">TEXT(DATE(YEAR(Invoer!$A$5),1,1)+INT((ROWS(B$2:B2192)-1)/24),"""18""jjmmdd")</f>
        <v>18980402</v>
      </c>
      <c r="C2192" s="11" t="str">
        <f>INDEX(Data,2,2+MOD(ROWS(C$2:C2192)-1,24))</f>
        <v>07.00</v>
      </c>
      <c r="D2192" s="8" t="str">
        <f t="shared" ca="1" si="104"/>
        <v>—</v>
      </c>
      <c r="E2192" s="16">
        <f t="shared" ca="1" si="105"/>
        <v>7</v>
      </c>
    </row>
    <row r="2193" spans="1:5" x14ac:dyDescent="0.25">
      <c r="A2193" s="3">
        <f t="shared" si="103"/>
        <v>78989</v>
      </c>
      <c r="B2193" t="str">
        <f ca="1">TEXT(DATE(YEAR(Invoer!$A$5),1,1)+INT((ROWS(B$2:B2193)-1)/24),"""18""jjmmdd")</f>
        <v>18980402</v>
      </c>
      <c r="C2193" s="11" t="str">
        <f>INDEX(Data,2,2+MOD(ROWS(C$2:C2193)-1,24))</f>
        <v>08.00</v>
      </c>
      <c r="D2193" s="8" t="str">
        <f t="shared" ca="1" si="104"/>
        <v>—</v>
      </c>
      <c r="E2193" s="16">
        <f t="shared" ca="1" si="105"/>
        <v>7</v>
      </c>
    </row>
    <row r="2194" spans="1:5" x14ac:dyDescent="0.25">
      <c r="A2194" s="3">
        <f t="shared" si="103"/>
        <v>78989</v>
      </c>
      <c r="B2194" t="str">
        <f ca="1">TEXT(DATE(YEAR(Invoer!$A$5),1,1)+INT((ROWS(B$2:B2194)-1)/24),"""18""jjmmdd")</f>
        <v>18980402</v>
      </c>
      <c r="C2194" s="11" t="str">
        <f>INDEX(Data,2,2+MOD(ROWS(C$2:C2194)-1,24))</f>
        <v>09.00</v>
      </c>
      <c r="D2194" s="8" t="str">
        <f t="shared" ca="1" si="104"/>
        <v>—</v>
      </c>
      <c r="E2194" s="16">
        <f t="shared" ca="1" si="105"/>
        <v>7</v>
      </c>
    </row>
    <row r="2195" spans="1:5" x14ac:dyDescent="0.25">
      <c r="A2195" s="3">
        <f t="shared" si="103"/>
        <v>78989</v>
      </c>
      <c r="B2195" t="str">
        <f ca="1">TEXT(DATE(YEAR(Invoer!$A$5),1,1)+INT((ROWS(B$2:B2195)-1)/24),"""18""jjmmdd")</f>
        <v>18980402</v>
      </c>
      <c r="C2195" s="11" t="str">
        <f>INDEX(Data,2,2+MOD(ROWS(C$2:C2195)-1,24))</f>
        <v>10.00</v>
      </c>
      <c r="D2195" s="8" t="str">
        <f t="shared" ca="1" si="104"/>
        <v>—</v>
      </c>
      <c r="E2195" s="16">
        <f t="shared" ca="1" si="105"/>
        <v>7</v>
      </c>
    </row>
    <row r="2196" spans="1:5" x14ac:dyDescent="0.25">
      <c r="A2196" s="3">
        <f t="shared" si="103"/>
        <v>78989</v>
      </c>
      <c r="B2196" t="str">
        <f ca="1">TEXT(DATE(YEAR(Invoer!$A$5),1,1)+INT((ROWS(B$2:B2196)-1)/24),"""18""jjmmdd")</f>
        <v>18980402</v>
      </c>
      <c r="C2196" s="11" t="str">
        <f>INDEX(Data,2,2+MOD(ROWS(C$2:C2196)-1,24))</f>
        <v>11.00</v>
      </c>
      <c r="D2196" s="8" t="str">
        <f t="shared" ca="1" si="104"/>
        <v>—</v>
      </c>
      <c r="E2196" s="16">
        <f t="shared" ca="1" si="105"/>
        <v>7</v>
      </c>
    </row>
    <row r="2197" spans="1:5" x14ac:dyDescent="0.25">
      <c r="A2197" s="3">
        <f t="shared" si="103"/>
        <v>78989</v>
      </c>
      <c r="B2197" t="str">
        <f ca="1">TEXT(DATE(YEAR(Invoer!$A$5),1,1)+INT((ROWS(B$2:B2197)-1)/24),"""18""jjmmdd")</f>
        <v>18980402</v>
      </c>
      <c r="C2197" s="11" t="str">
        <f>INDEX(Data,2,2+MOD(ROWS(C$2:C2197)-1,24))</f>
        <v>12.00</v>
      </c>
      <c r="D2197" s="8" t="str">
        <f t="shared" ca="1" si="104"/>
        <v>—</v>
      </c>
      <c r="E2197" s="16">
        <f t="shared" ca="1" si="105"/>
        <v>7</v>
      </c>
    </row>
    <row r="2198" spans="1:5" x14ac:dyDescent="0.25">
      <c r="A2198" s="3">
        <f t="shared" si="103"/>
        <v>78989</v>
      </c>
      <c r="B2198" t="str">
        <f ca="1">TEXT(DATE(YEAR(Invoer!$A$5),1,1)+INT((ROWS(B$2:B2198)-1)/24),"""18""jjmmdd")</f>
        <v>18980402</v>
      </c>
      <c r="C2198" s="11" t="str">
        <f>INDEX(Data,2,2+MOD(ROWS(C$2:C2198)-1,24))</f>
        <v>13.00</v>
      </c>
      <c r="D2198" s="8" t="str">
        <f t="shared" ca="1" si="104"/>
        <v>—</v>
      </c>
      <c r="E2198" s="16">
        <f t="shared" ca="1" si="105"/>
        <v>7</v>
      </c>
    </row>
    <row r="2199" spans="1:5" x14ac:dyDescent="0.25">
      <c r="A2199" s="3">
        <f t="shared" si="103"/>
        <v>78989</v>
      </c>
      <c r="B2199" t="str">
        <f ca="1">TEXT(DATE(YEAR(Invoer!$A$5),1,1)+INT((ROWS(B$2:B2199)-1)/24),"""18""jjmmdd")</f>
        <v>18980402</v>
      </c>
      <c r="C2199" s="11" t="str">
        <f>INDEX(Data,2,2+MOD(ROWS(C$2:C2199)-1,24))</f>
        <v>14.00</v>
      </c>
      <c r="D2199" s="8" t="str">
        <f t="shared" ca="1" si="104"/>
        <v>—</v>
      </c>
      <c r="E2199" s="16">
        <f t="shared" ca="1" si="105"/>
        <v>7</v>
      </c>
    </row>
    <row r="2200" spans="1:5" x14ac:dyDescent="0.25">
      <c r="A2200" s="3">
        <f t="shared" si="103"/>
        <v>78989</v>
      </c>
      <c r="B2200" t="str">
        <f ca="1">TEXT(DATE(YEAR(Invoer!$A$5),1,1)+INT((ROWS(B$2:B2200)-1)/24),"""18""jjmmdd")</f>
        <v>18980402</v>
      </c>
      <c r="C2200" s="11" t="str">
        <f>INDEX(Data,2,2+MOD(ROWS(C$2:C2200)-1,24))</f>
        <v>15.00</v>
      </c>
      <c r="D2200" s="8" t="str">
        <f t="shared" ca="1" si="104"/>
        <v>—</v>
      </c>
      <c r="E2200" s="16">
        <f t="shared" ca="1" si="105"/>
        <v>7</v>
      </c>
    </row>
    <row r="2201" spans="1:5" x14ac:dyDescent="0.25">
      <c r="A2201" s="3">
        <f t="shared" si="103"/>
        <v>78989</v>
      </c>
      <c r="B2201" t="str">
        <f ca="1">TEXT(DATE(YEAR(Invoer!$A$5),1,1)+INT((ROWS(B$2:B2201)-1)/24),"""18""jjmmdd")</f>
        <v>18980402</v>
      </c>
      <c r="C2201" s="11" t="str">
        <f>INDEX(Data,2,2+MOD(ROWS(C$2:C2201)-1,24))</f>
        <v>16.00</v>
      </c>
      <c r="D2201" s="8" t="str">
        <f t="shared" ca="1" si="104"/>
        <v>—</v>
      </c>
      <c r="E2201" s="16">
        <f t="shared" ca="1" si="105"/>
        <v>7</v>
      </c>
    </row>
    <row r="2202" spans="1:5" x14ac:dyDescent="0.25">
      <c r="A2202" s="3">
        <f t="shared" si="103"/>
        <v>78989</v>
      </c>
      <c r="B2202" t="str">
        <f ca="1">TEXT(DATE(YEAR(Invoer!$A$5),1,1)+INT((ROWS(B$2:B2202)-1)/24),"""18""jjmmdd")</f>
        <v>18980402</v>
      </c>
      <c r="C2202" s="11" t="str">
        <f>INDEX(Data,2,2+MOD(ROWS(C$2:C2202)-1,24))</f>
        <v>17.00</v>
      </c>
      <c r="D2202" s="8" t="str">
        <f t="shared" ca="1" si="104"/>
        <v>—</v>
      </c>
      <c r="E2202" s="16">
        <f t="shared" ca="1" si="105"/>
        <v>7</v>
      </c>
    </row>
    <row r="2203" spans="1:5" x14ac:dyDescent="0.25">
      <c r="A2203" s="3">
        <f t="shared" si="103"/>
        <v>78989</v>
      </c>
      <c r="B2203" t="str">
        <f ca="1">TEXT(DATE(YEAR(Invoer!$A$5),1,1)+INT((ROWS(B$2:B2203)-1)/24),"""18""jjmmdd")</f>
        <v>18980402</v>
      </c>
      <c r="C2203" s="11" t="str">
        <f>INDEX(Data,2,2+MOD(ROWS(C$2:C2203)-1,24))</f>
        <v>18.00</v>
      </c>
      <c r="D2203" s="8" t="str">
        <f t="shared" ca="1" si="104"/>
        <v>—</v>
      </c>
      <c r="E2203" s="16">
        <f t="shared" ca="1" si="105"/>
        <v>7</v>
      </c>
    </row>
    <row r="2204" spans="1:5" x14ac:dyDescent="0.25">
      <c r="A2204" s="3">
        <f t="shared" si="103"/>
        <v>78989</v>
      </c>
      <c r="B2204" t="str">
        <f ca="1">TEXT(DATE(YEAR(Invoer!$A$5),1,1)+INT((ROWS(B$2:B2204)-1)/24),"""18""jjmmdd")</f>
        <v>18980402</v>
      </c>
      <c r="C2204" s="11" t="str">
        <f>INDEX(Data,2,2+MOD(ROWS(C$2:C2204)-1,24))</f>
        <v>19.00</v>
      </c>
      <c r="D2204" s="8" t="str">
        <f t="shared" ca="1" si="104"/>
        <v>—</v>
      </c>
      <c r="E2204" s="16">
        <f t="shared" ca="1" si="105"/>
        <v>7</v>
      </c>
    </row>
    <row r="2205" spans="1:5" x14ac:dyDescent="0.25">
      <c r="A2205" s="3">
        <f t="shared" si="103"/>
        <v>78989</v>
      </c>
      <c r="B2205" t="str">
        <f ca="1">TEXT(DATE(YEAR(Invoer!$A$5),1,1)+INT((ROWS(B$2:B2205)-1)/24),"""18""jjmmdd")</f>
        <v>18980402</v>
      </c>
      <c r="C2205" s="11" t="str">
        <f>INDEX(Data,2,2+MOD(ROWS(C$2:C2205)-1,24))</f>
        <v>20.00</v>
      </c>
      <c r="D2205" s="8" t="str">
        <f t="shared" ca="1" si="104"/>
        <v>—</v>
      </c>
      <c r="E2205" s="16">
        <f t="shared" ca="1" si="105"/>
        <v>7</v>
      </c>
    </row>
    <row r="2206" spans="1:5" x14ac:dyDescent="0.25">
      <c r="A2206" s="3">
        <f t="shared" si="103"/>
        <v>78989</v>
      </c>
      <c r="B2206" t="str">
        <f ca="1">TEXT(DATE(YEAR(Invoer!$A$5),1,1)+INT((ROWS(B$2:B2206)-1)/24),"""18""jjmmdd")</f>
        <v>18980402</v>
      </c>
      <c r="C2206" s="11" t="str">
        <f>INDEX(Data,2,2+MOD(ROWS(C$2:C2206)-1,24))</f>
        <v>21.00</v>
      </c>
      <c r="D2206" s="8" t="str">
        <f t="shared" ca="1" si="104"/>
        <v>—</v>
      </c>
      <c r="E2206" s="16">
        <f t="shared" ca="1" si="105"/>
        <v>7</v>
      </c>
    </row>
    <row r="2207" spans="1:5" x14ac:dyDescent="0.25">
      <c r="A2207" s="3">
        <f t="shared" si="103"/>
        <v>78989</v>
      </c>
      <c r="B2207" t="str">
        <f ca="1">TEXT(DATE(YEAR(Invoer!$A$5),1,1)+INT((ROWS(B$2:B2207)-1)/24),"""18""jjmmdd")</f>
        <v>18980402</v>
      </c>
      <c r="C2207" s="11" t="str">
        <f>INDEX(Data,2,2+MOD(ROWS(C$2:C2207)-1,24))</f>
        <v>22.00</v>
      </c>
      <c r="D2207" s="8" t="str">
        <f t="shared" ca="1" si="104"/>
        <v>—</v>
      </c>
      <c r="E2207" s="16">
        <f t="shared" ca="1" si="105"/>
        <v>7</v>
      </c>
    </row>
    <row r="2208" spans="1:5" x14ac:dyDescent="0.25">
      <c r="A2208" s="3">
        <f t="shared" si="103"/>
        <v>78989</v>
      </c>
      <c r="B2208" t="str">
        <f ca="1">TEXT(DATE(YEAR(Invoer!$A$5),1,1)+INT((ROWS(B$2:B2208)-1)/24),"""18""jjmmdd")</f>
        <v>18980402</v>
      </c>
      <c r="C2208" s="11" t="str">
        <f>INDEX(Data,2,2+MOD(ROWS(C$2:C2208)-1,24))</f>
        <v>23.00</v>
      </c>
      <c r="D2208" s="8" t="str">
        <f t="shared" ca="1" si="104"/>
        <v>—</v>
      </c>
      <c r="E2208" s="16">
        <f t="shared" ca="1" si="105"/>
        <v>7</v>
      </c>
    </row>
    <row r="2209" spans="1:5" x14ac:dyDescent="0.25">
      <c r="A2209" s="3">
        <f t="shared" si="103"/>
        <v>78989</v>
      </c>
      <c r="B2209" t="str">
        <f ca="1">TEXT(DATE(YEAR(Invoer!$A$5),1,1)+INT((ROWS(B$2:B2209)-1)/24),"""18""jjmmdd")</f>
        <v>18980402</v>
      </c>
      <c r="C2209" s="11" t="str">
        <f>INDEX(Data,2,2+MOD(ROWS(C$2:C2209)-1,24))</f>
        <v>24.00</v>
      </c>
      <c r="D2209" s="8" t="str">
        <f t="shared" ca="1" si="104"/>
        <v>—</v>
      </c>
      <c r="E2209" s="16">
        <f t="shared" ca="1" si="105"/>
        <v>7</v>
      </c>
    </row>
    <row r="2210" spans="1:5" x14ac:dyDescent="0.25">
      <c r="A2210" s="3">
        <f t="shared" si="103"/>
        <v>78989</v>
      </c>
      <c r="B2210" t="str">
        <f ca="1">TEXT(DATE(YEAR(Invoer!$A$5),1,1)+INT((ROWS(B$2:B2210)-1)/24),"""18""jjmmdd")</f>
        <v>18980403</v>
      </c>
      <c r="C2210" s="11" t="str">
        <f>INDEX(Data,2,2+MOD(ROWS(C$2:C2210)-1,24))</f>
        <v>01.00</v>
      </c>
      <c r="D2210" s="8" t="str">
        <f t="shared" ca="1" si="104"/>
        <v>—</v>
      </c>
      <c r="E2210" s="16">
        <f t="shared" ca="1" si="105"/>
        <v>7</v>
      </c>
    </row>
    <row r="2211" spans="1:5" x14ac:dyDescent="0.25">
      <c r="A2211" s="3">
        <f t="shared" si="103"/>
        <v>78989</v>
      </c>
      <c r="B2211" t="str">
        <f ca="1">TEXT(DATE(YEAR(Invoer!$A$5),1,1)+INT((ROWS(B$2:B2211)-1)/24),"""18""jjmmdd")</f>
        <v>18980403</v>
      </c>
      <c r="C2211" s="11" t="str">
        <f>INDEX(Data,2,2+MOD(ROWS(C$2:C2211)-1,24))</f>
        <v>02.00</v>
      </c>
      <c r="D2211" s="8" t="str">
        <f t="shared" ca="1" si="104"/>
        <v>—</v>
      </c>
      <c r="E2211" s="16">
        <f t="shared" ca="1" si="105"/>
        <v>7</v>
      </c>
    </row>
    <row r="2212" spans="1:5" x14ac:dyDescent="0.25">
      <c r="A2212" s="3">
        <f t="shared" si="103"/>
        <v>78989</v>
      </c>
      <c r="B2212" t="str">
        <f ca="1">TEXT(DATE(YEAR(Invoer!$A$5),1,1)+INT((ROWS(B$2:B2212)-1)/24),"""18""jjmmdd")</f>
        <v>18980403</v>
      </c>
      <c r="C2212" s="11" t="str">
        <f>INDEX(Data,2,2+MOD(ROWS(C$2:C2212)-1,24))</f>
        <v>03.00</v>
      </c>
      <c r="D2212" s="8" t="str">
        <f t="shared" ca="1" si="104"/>
        <v>—</v>
      </c>
      <c r="E2212" s="16">
        <f t="shared" ca="1" si="105"/>
        <v>7</v>
      </c>
    </row>
    <row r="2213" spans="1:5" x14ac:dyDescent="0.25">
      <c r="A2213" s="3">
        <f t="shared" si="103"/>
        <v>78989</v>
      </c>
      <c r="B2213" t="str">
        <f ca="1">TEXT(DATE(YEAR(Invoer!$A$5),1,1)+INT((ROWS(B$2:B2213)-1)/24),"""18""jjmmdd")</f>
        <v>18980403</v>
      </c>
      <c r="C2213" s="11" t="str">
        <f>INDEX(Data,2,2+MOD(ROWS(C$2:C2213)-1,24))</f>
        <v>04.00</v>
      </c>
      <c r="D2213" s="8" t="str">
        <f t="shared" ca="1" si="104"/>
        <v>—</v>
      </c>
      <c r="E2213" s="16">
        <f t="shared" ca="1" si="105"/>
        <v>7</v>
      </c>
    </row>
    <row r="2214" spans="1:5" x14ac:dyDescent="0.25">
      <c r="A2214" s="3">
        <f t="shared" si="103"/>
        <v>78989</v>
      </c>
      <c r="B2214" t="str">
        <f ca="1">TEXT(DATE(YEAR(Invoer!$A$5),1,1)+INT((ROWS(B$2:B2214)-1)/24),"""18""jjmmdd")</f>
        <v>18980403</v>
      </c>
      <c r="C2214" s="11" t="str">
        <f>INDEX(Data,2,2+MOD(ROWS(C$2:C2214)-1,24))</f>
        <v>05.00</v>
      </c>
      <c r="D2214" s="8" t="str">
        <f t="shared" ca="1" si="104"/>
        <v>—</v>
      </c>
      <c r="E2214" s="16">
        <f t="shared" ca="1" si="105"/>
        <v>7</v>
      </c>
    </row>
    <row r="2215" spans="1:5" x14ac:dyDescent="0.25">
      <c r="A2215" s="3">
        <f t="shared" si="103"/>
        <v>78989</v>
      </c>
      <c r="B2215" t="str">
        <f ca="1">TEXT(DATE(YEAR(Invoer!$A$5),1,1)+INT((ROWS(B$2:B2215)-1)/24),"""18""jjmmdd")</f>
        <v>18980403</v>
      </c>
      <c r="C2215" s="11" t="str">
        <f>INDEX(Data,2,2+MOD(ROWS(C$2:C2215)-1,24))</f>
        <v>06.00</v>
      </c>
      <c r="D2215" s="8" t="str">
        <f t="shared" ca="1" si="104"/>
        <v>—</v>
      </c>
      <c r="E2215" s="16">
        <f t="shared" ca="1" si="105"/>
        <v>7</v>
      </c>
    </row>
    <row r="2216" spans="1:5" x14ac:dyDescent="0.25">
      <c r="A2216" s="3">
        <f t="shared" si="103"/>
        <v>78989</v>
      </c>
      <c r="B2216" t="str">
        <f ca="1">TEXT(DATE(YEAR(Invoer!$A$5),1,1)+INT((ROWS(B$2:B2216)-1)/24),"""18""jjmmdd")</f>
        <v>18980403</v>
      </c>
      <c r="C2216" s="11" t="str">
        <f>INDEX(Data,2,2+MOD(ROWS(C$2:C2216)-1,24))</f>
        <v>07.00</v>
      </c>
      <c r="D2216" s="8" t="str">
        <f t="shared" ca="1" si="104"/>
        <v>—</v>
      </c>
      <c r="E2216" s="16">
        <f t="shared" ca="1" si="105"/>
        <v>7</v>
      </c>
    </row>
    <row r="2217" spans="1:5" x14ac:dyDescent="0.25">
      <c r="A2217" s="3">
        <f t="shared" si="103"/>
        <v>78989</v>
      </c>
      <c r="B2217" t="str">
        <f ca="1">TEXT(DATE(YEAR(Invoer!$A$5),1,1)+INT((ROWS(B$2:B2217)-1)/24),"""18""jjmmdd")</f>
        <v>18980403</v>
      </c>
      <c r="C2217" s="11" t="str">
        <f>INDEX(Data,2,2+MOD(ROWS(C$2:C2217)-1,24))</f>
        <v>08.00</v>
      </c>
      <c r="D2217" s="8" t="str">
        <f t="shared" ca="1" si="104"/>
        <v>—</v>
      </c>
      <c r="E2217" s="16">
        <f t="shared" ca="1" si="105"/>
        <v>7</v>
      </c>
    </row>
    <row r="2218" spans="1:5" x14ac:dyDescent="0.25">
      <c r="A2218" s="3">
        <f t="shared" si="103"/>
        <v>78989</v>
      </c>
      <c r="B2218" t="str">
        <f ca="1">TEXT(DATE(YEAR(Invoer!$A$5),1,1)+INT((ROWS(B$2:B2218)-1)/24),"""18""jjmmdd")</f>
        <v>18980403</v>
      </c>
      <c r="C2218" s="11" t="str">
        <f>INDEX(Data,2,2+MOD(ROWS(C$2:C2218)-1,24))</f>
        <v>09.00</v>
      </c>
      <c r="D2218" s="8" t="str">
        <f t="shared" ca="1" si="104"/>
        <v>—</v>
      </c>
      <c r="E2218" s="16">
        <f t="shared" ca="1" si="105"/>
        <v>7</v>
      </c>
    </row>
    <row r="2219" spans="1:5" x14ac:dyDescent="0.25">
      <c r="A2219" s="3">
        <f t="shared" si="103"/>
        <v>78989</v>
      </c>
      <c r="B2219" t="str">
        <f ca="1">TEXT(DATE(YEAR(Invoer!$A$5),1,1)+INT((ROWS(B$2:B2219)-1)/24),"""18""jjmmdd")</f>
        <v>18980403</v>
      </c>
      <c r="C2219" s="11" t="str">
        <f>INDEX(Data,2,2+MOD(ROWS(C$2:C2219)-1,24))</f>
        <v>10.00</v>
      </c>
      <c r="D2219" s="8" t="str">
        <f t="shared" ca="1" si="104"/>
        <v>—</v>
      </c>
      <c r="E2219" s="16">
        <f t="shared" ca="1" si="105"/>
        <v>7</v>
      </c>
    </row>
    <row r="2220" spans="1:5" x14ac:dyDescent="0.25">
      <c r="A2220" s="3">
        <f t="shared" si="103"/>
        <v>78989</v>
      </c>
      <c r="B2220" t="str">
        <f ca="1">TEXT(DATE(YEAR(Invoer!$A$5),1,1)+INT((ROWS(B$2:B2220)-1)/24),"""18""jjmmdd")</f>
        <v>18980403</v>
      </c>
      <c r="C2220" s="11" t="str">
        <f>INDEX(Data,2,2+MOD(ROWS(C$2:C2220)-1,24))</f>
        <v>11.00</v>
      </c>
      <c r="D2220" s="8" t="str">
        <f t="shared" ca="1" si="104"/>
        <v>—</v>
      </c>
      <c r="E2220" s="16">
        <f t="shared" ca="1" si="105"/>
        <v>7</v>
      </c>
    </row>
    <row r="2221" spans="1:5" x14ac:dyDescent="0.25">
      <c r="A2221" s="3">
        <f t="shared" si="103"/>
        <v>78989</v>
      </c>
      <c r="B2221" t="str">
        <f ca="1">TEXT(DATE(YEAR(Invoer!$A$5),1,1)+INT((ROWS(B$2:B2221)-1)/24),"""18""jjmmdd")</f>
        <v>18980403</v>
      </c>
      <c r="C2221" s="11" t="str">
        <f>INDEX(Data,2,2+MOD(ROWS(C$2:C2221)-1,24))</f>
        <v>12.00</v>
      </c>
      <c r="D2221" s="8" t="str">
        <f t="shared" ca="1" si="104"/>
        <v>—</v>
      </c>
      <c r="E2221" s="16">
        <f t="shared" ca="1" si="105"/>
        <v>7</v>
      </c>
    </row>
    <row r="2222" spans="1:5" x14ac:dyDescent="0.25">
      <c r="A2222" s="3">
        <f t="shared" si="103"/>
        <v>78989</v>
      </c>
      <c r="B2222" t="str">
        <f ca="1">TEXT(DATE(YEAR(Invoer!$A$5),1,1)+INT((ROWS(B$2:B2222)-1)/24),"""18""jjmmdd")</f>
        <v>18980403</v>
      </c>
      <c r="C2222" s="11" t="str">
        <f>INDEX(Data,2,2+MOD(ROWS(C$2:C2222)-1,24))</f>
        <v>13.00</v>
      </c>
      <c r="D2222" s="8" t="str">
        <f t="shared" ca="1" si="104"/>
        <v>—</v>
      </c>
      <c r="E2222" s="16">
        <f t="shared" ca="1" si="105"/>
        <v>7</v>
      </c>
    </row>
    <row r="2223" spans="1:5" x14ac:dyDescent="0.25">
      <c r="A2223" s="3">
        <f t="shared" si="103"/>
        <v>78989</v>
      </c>
      <c r="B2223" t="str">
        <f ca="1">TEXT(DATE(YEAR(Invoer!$A$5),1,1)+INT((ROWS(B$2:B2223)-1)/24),"""18""jjmmdd")</f>
        <v>18980403</v>
      </c>
      <c r="C2223" s="11" t="str">
        <f>INDEX(Data,2,2+MOD(ROWS(C$2:C2223)-1,24))</f>
        <v>14.00</v>
      </c>
      <c r="D2223" s="8" t="str">
        <f t="shared" ca="1" si="104"/>
        <v>—</v>
      </c>
      <c r="E2223" s="16">
        <f t="shared" ca="1" si="105"/>
        <v>7</v>
      </c>
    </row>
    <row r="2224" spans="1:5" x14ac:dyDescent="0.25">
      <c r="A2224" s="3">
        <f t="shared" si="103"/>
        <v>78989</v>
      </c>
      <c r="B2224" t="str">
        <f ca="1">TEXT(DATE(YEAR(Invoer!$A$5),1,1)+INT((ROWS(B$2:B2224)-1)/24),"""18""jjmmdd")</f>
        <v>18980403</v>
      </c>
      <c r="C2224" s="11" t="str">
        <f>INDEX(Data,2,2+MOD(ROWS(C$2:C2224)-1,24))</f>
        <v>15.00</v>
      </c>
      <c r="D2224" s="8" t="str">
        <f t="shared" ca="1" si="104"/>
        <v>—</v>
      </c>
      <c r="E2224" s="16">
        <f t="shared" ca="1" si="105"/>
        <v>7</v>
      </c>
    </row>
    <row r="2225" spans="1:5" x14ac:dyDescent="0.25">
      <c r="A2225" s="3">
        <f t="shared" si="103"/>
        <v>78989</v>
      </c>
      <c r="B2225" t="str">
        <f ca="1">TEXT(DATE(YEAR(Invoer!$A$5),1,1)+INT((ROWS(B$2:B2225)-1)/24),"""18""jjmmdd")</f>
        <v>18980403</v>
      </c>
      <c r="C2225" s="11" t="str">
        <f>INDEX(Data,2,2+MOD(ROWS(C$2:C2225)-1,24))</f>
        <v>16.00</v>
      </c>
      <c r="D2225" s="8" t="str">
        <f t="shared" ca="1" si="104"/>
        <v>—</v>
      </c>
      <c r="E2225" s="16">
        <f t="shared" ca="1" si="105"/>
        <v>7</v>
      </c>
    </row>
    <row r="2226" spans="1:5" x14ac:dyDescent="0.25">
      <c r="A2226" s="3">
        <f t="shared" si="103"/>
        <v>78989</v>
      </c>
      <c r="B2226" t="str">
        <f ca="1">TEXT(DATE(YEAR(Invoer!$A$5),1,1)+INT((ROWS(B$2:B2226)-1)/24),"""18""jjmmdd")</f>
        <v>18980403</v>
      </c>
      <c r="C2226" s="11" t="str">
        <f>INDEX(Data,2,2+MOD(ROWS(C$2:C2226)-1,24))</f>
        <v>17.00</v>
      </c>
      <c r="D2226" s="8" t="str">
        <f t="shared" ca="1" si="104"/>
        <v>—</v>
      </c>
      <c r="E2226" s="16">
        <f t="shared" ca="1" si="105"/>
        <v>7</v>
      </c>
    </row>
    <row r="2227" spans="1:5" x14ac:dyDescent="0.25">
      <c r="A2227" s="3">
        <f t="shared" si="103"/>
        <v>78989</v>
      </c>
      <c r="B2227" t="str">
        <f ca="1">TEXT(DATE(YEAR(Invoer!$A$5),1,1)+INT((ROWS(B$2:B2227)-1)/24),"""18""jjmmdd")</f>
        <v>18980403</v>
      </c>
      <c r="C2227" s="11" t="str">
        <f>INDEX(Data,2,2+MOD(ROWS(C$2:C2227)-1,24))</f>
        <v>18.00</v>
      </c>
      <c r="D2227" s="8" t="str">
        <f t="shared" ca="1" si="104"/>
        <v>—</v>
      </c>
      <c r="E2227" s="16">
        <f t="shared" ca="1" si="105"/>
        <v>7</v>
      </c>
    </row>
    <row r="2228" spans="1:5" x14ac:dyDescent="0.25">
      <c r="A2228" s="3">
        <f t="shared" si="103"/>
        <v>78989</v>
      </c>
      <c r="B2228" t="str">
        <f ca="1">TEXT(DATE(YEAR(Invoer!$A$5),1,1)+INT((ROWS(B$2:B2228)-1)/24),"""18""jjmmdd")</f>
        <v>18980403</v>
      </c>
      <c r="C2228" s="11" t="str">
        <f>INDEX(Data,2,2+MOD(ROWS(C$2:C2228)-1,24))</f>
        <v>19.00</v>
      </c>
      <c r="D2228" s="8" t="str">
        <f t="shared" ca="1" si="104"/>
        <v>—</v>
      </c>
      <c r="E2228" s="16">
        <f t="shared" ca="1" si="105"/>
        <v>7</v>
      </c>
    </row>
    <row r="2229" spans="1:5" x14ac:dyDescent="0.25">
      <c r="A2229" s="3">
        <f t="shared" si="103"/>
        <v>78989</v>
      </c>
      <c r="B2229" t="str">
        <f ca="1">TEXT(DATE(YEAR(Invoer!$A$5),1,1)+INT((ROWS(B$2:B2229)-1)/24),"""18""jjmmdd")</f>
        <v>18980403</v>
      </c>
      <c r="C2229" s="11" t="str">
        <f>INDEX(Data,2,2+MOD(ROWS(C$2:C2229)-1,24))</f>
        <v>20.00</v>
      </c>
      <c r="D2229" s="8" t="str">
        <f t="shared" ca="1" si="104"/>
        <v>—</v>
      </c>
      <c r="E2229" s="16">
        <f t="shared" ca="1" si="105"/>
        <v>7</v>
      </c>
    </row>
    <row r="2230" spans="1:5" x14ac:dyDescent="0.25">
      <c r="A2230" s="3">
        <f t="shared" si="103"/>
        <v>78989</v>
      </c>
      <c r="B2230" t="str">
        <f ca="1">TEXT(DATE(YEAR(Invoer!$A$5),1,1)+INT((ROWS(B$2:B2230)-1)/24),"""18""jjmmdd")</f>
        <v>18980403</v>
      </c>
      <c r="C2230" s="11" t="str">
        <f>INDEX(Data,2,2+MOD(ROWS(C$2:C2230)-1,24))</f>
        <v>21.00</v>
      </c>
      <c r="D2230" s="8" t="str">
        <f t="shared" ca="1" si="104"/>
        <v>—</v>
      </c>
      <c r="E2230" s="16">
        <f t="shared" ca="1" si="105"/>
        <v>7</v>
      </c>
    </row>
    <row r="2231" spans="1:5" x14ac:dyDescent="0.25">
      <c r="A2231" s="3">
        <f t="shared" si="103"/>
        <v>78989</v>
      </c>
      <c r="B2231" t="str">
        <f ca="1">TEXT(DATE(YEAR(Invoer!$A$5),1,1)+INT((ROWS(B$2:B2231)-1)/24),"""18""jjmmdd")</f>
        <v>18980403</v>
      </c>
      <c r="C2231" s="11" t="str">
        <f>INDEX(Data,2,2+MOD(ROWS(C$2:C2231)-1,24))</f>
        <v>22.00</v>
      </c>
      <c r="D2231" s="8" t="str">
        <f t="shared" ca="1" si="104"/>
        <v>—</v>
      </c>
      <c r="E2231" s="16">
        <f t="shared" ca="1" si="105"/>
        <v>7</v>
      </c>
    </row>
    <row r="2232" spans="1:5" x14ac:dyDescent="0.25">
      <c r="A2232" s="3">
        <f t="shared" si="103"/>
        <v>78989</v>
      </c>
      <c r="B2232" t="str">
        <f ca="1">TEXT(DATE(YEAR(Invoer!$A$5),1,1)+INT((ROWS(B$2:B2232)-1)/24),"""18""jjmmdd")</f>
        <v>18980403</v>
      </c>
      <c r="C2232" s="11" t="str">
        <f>INDEX(Data,2,2+MOD(ROWS(C$2:C2232)-1,24))</f>
        <v>23.00</v>
      </c>
      <c r="D2232" s="8" t="str">
        <f t="shared" ca="1" si="104"/>
        <v>—</v>
      </c>
      <c r="E2232" s="16">
        <f t="shared" ca="1" si="105"/>
        <v>7</v>
      </c>
    </row>
    <row r="2233" spans="1:5" x14ac:dyDescent="0.25">
      <c r="A2233" s="3">
        <f t="shared" si="103"/>
        <v>78989</v>
      </c>
      <c r="B2233" t="str">
        <f ca="1">TEXT(DATE(YEAR(Invoer!$A$5),1,1)+INT((ROWS(B$2:B2233)-1)/24),"""18""jjmmdd")</f>
        <v>18980403</v>
      </c>
      <c r="C2233" s="11" t="str">
        <f>INDEX(Data,2,2+MOD(ROWS(C$2:C2233)-1,24))</f>
        <v>24.00</v>
      </c>
      <c r="D2233" s="8" t="str">
        <f t="shared" ca="1" si="104"/>
        <v>—</v>
      </c>
      <c r="E2233" s="16">
        <f t="shared" ca="1" si="105"/>
        <v>7</v>
      </c>
    </row>
    <row r="2234" spans="1:5" x14ac:dyDescent="0.25">
      <c r="A2234" s="3">
        <f t="shared" si="103"/>
        <v>78989</v>
      </c>
      <c r="B2234" t="str">
        <f ca="1">TEXT(DATE(YEAR(Invoer!$A$5),1,1)+INT((ROWS(B$2:B2234)-1)/24),"""18""jjmmdd")</f>
        <v>18980404</v>
      </c>
      <c r="C2234" s="11" t="str">
        <f>INDEX(Data,2,2+MOD(ROWS(C$2:C2234)-1,24))</f>
        <v>01.00</v>
      </c>
      <c r="D2234" s="8" t="str">
        <f t="shared" ca="1" si="104"/>
        <v>—</v>
      </c>
      <c r="E2234" s="16">
        <f t="shared" ca="1" si="105"/>
        <v>7</v>
      </c>
    </row>
    <row r="2235" spans="1:5" x14ac:dyDescent="0.25">
      <c r="A2235" s="3">
        <f t="shared" si="103"/>
        <v>78989</v>
      </c>
      <c r="B2235" t="str">
        <f ca="1">TEXT(DATE(YEAR(Invoer!$A$5),1,1)+INT((ROWS(B$2:B2235)-1)/24),"""18""jjmmdd")</f>
        <v>18980404</v>
      </c>
      <c r="C2235" s="11" t="str">
        <f>INDEX(Data,2,2+MOD(ROWS(C$2:C2235)-1,24))</f>
        <v>02.00</v>
      </c>
      <c r="D2235" s="8" t="str">
        <f t="shared" ca="1" si="104"/>
        <v>—</v>
      </c>
      <c r="E2235" s="16">
        <f t="shared" ca="1" si="105"/>
        <v>7</v>
      </c>
    </row>
    <row r="2236" spans="1:5" x14ac:dyDescent="0.25">
      <c r="A2236" s="3">
        <f t="shared" si="103"/>
        <v>78989</v>
      </c>
      <c r="B2236" t="str">
        <f ca="1">TEXT(DATE(YEAR(Invoer!$A$5),1,1)+INT((ROWS(B$2:B2236)-1)/24),"""18""jjmmdd")</f>
        <v>18980404</v>
      </c>
      <c r="C2236" s="11" t="str">
        <f>INDEX(Data,2,2+MOD(ROWS(C$2:C2236)-1,24))</f>
        <v>03.00</v>
      </c>
      <c r="D2236" s="8" t="str">
        <f t="shared" ca="1" si="104"/>
        <v>—</v>
      </c>
      <c r="E2236" s="16">
        <f t="shared" ca="1" si="105"/>
        <v>7</v>
      </c>
    </row>
    <row r="2237" spans="1:5" x14ac:dyDescent="0.25">
      <c r="A2237" s="3">
        <f t="shared" si="103"/>
        <v>78989</v>
      </c>
      <c r="B2237" t="str">
        <f ca="1">TEXT(DATE(YEAR(Invoer!$A$5),1,1)+INT((ROWS(B$2:B2237)-1)/24),"""18""jjmmdd")</f>
        <v>18980404</v>
      </c>
      <c r="C2237" s="11" t="str">
        <f>INDEX(Data,2,2+MOD(ROWS(C$2:C2237)-1,24))</f>
        <v>04.00</v>
      </c>
      <c r="D2237" s="8" t="str">
        <f t="shared" ca="1" si="104"/>
        <v>—</v>
      </c>
      <c r="E2237" s="16">
        <f t="shared" ca="1" si="105"/>
        <v>7</v>
      </c>
    </row>
    <row r="2238" spans="1:5" x14ac:dyDescent="0.25">
      <c r="A2238" s="3">
        <f t="shared" si="103"/>
        <v>78989</v>
      </c>
      <c r="B2238" t="str">
        <f ca="1">TEXT(DATE(YEAR(Invoer!$A$5),1,1)+INT((ROWS(B$2:B2238)-1)/24),"""18""jjmmdd")</f>
        <v>18980404</v>
      </c>
      <c r="C2238" s="11" t="str">
        <f>INDEX(Data,2,2+MOD(ROWS(C$2:C2238)-1,24))</f>
        <v>05.00</v>
      </c>
      <c r="D2238" s="8" t="str">
        <f t="shared" ca="1" si="104"/>
        <v>—</v>
      </c>
      <c r="E2238" s="16">
        <f t="shared" ca="1" si="105"/>
        <v>7</v>
      </c>
    </row>
    <row r="2239" spans="1:5" x14ac:dyDescent="0.25">
      <c r="A2239" s="3">
        <f t="shared" si="103"/>
        <v>78989</v>
      </c>
      <c r="B2239" t="str">
        <f ca="1">TEXT(DATE(YEAR(Invoer!$A$5),1,1)+INT((ROWS(B$2:B2239)-1)/24),"""18""jjmmdd")</f>
        <v>18980404</v>
      </c>
      <c r="C2239" s="11" t="str">
        <f>INDEX(Data,2,2+MOD(ROWS(C$2:C2239)-1,24))</f>
        <v>06.00</v>
      </c>
      <c r="D2239" s="8" t="str">
        <f t="shared" ca="1" si="104"/>
        <v>—</v>
      </c>
      <c r="E2239" s="16">
        <f t="shared" ca="1" si="105"/>
        <v>7</v>
      </c>
    </row>
    <row r="2240" spans="1:5" x14ac:dyDescent="0.25">
      <c r="A2240" s="3">
        <f t="shared" si="103"/>
        <v>78989</v>
      </c>
      <c r="B2240" t="str">
        <f ca="1">TEXT(DATE(YEAR(Invoer!$A$5),1,1)+INT((ROWS(B$2:B2240)-1)/24),"""18""jjmmdd")</f>
        <v>18980404</v>
      </c>
      <c r="C2240" s="11" t="str">
        <f>INDEX(Data,2,2+MOD(ROWS(C$2:C2240)-1,24))</f>
        <v>07.00</v>
      </c>
      <c r="D2240" s="8" t="str">
        <f t="shared" ca="1" si="104"/>
        <v>—</v>
      </c>
      <c r="E2240" s="16">
        <f t="shared" ca="1" si="105"/>
        <v>7</v>
      </c>
    </row>
    <row r="2241" spans="1:5" x14ac:dyDescent="0.25">
      <c r="A2241" s="3">
        <f t="shared" si="103"/>
        <v>78989</v>
      </c>
      <c r="B2241" t="str">
        <f ca="1">TEXT(DATE(YEAR(Invoer!$A$5),1,1)+INT((ROWS(B$2:B2241)-1)/24),"""18""jjmmdd")</f>
        <v>18980404</v>
      </c>
      <c r="C2241" s="11" t="str">
        <f>INDEX(Data,2,2+MOD(ROWS(C$2:C2241)-1,24))</f>
        <v>08.00</v>
      </c>
      <c r="D2241" s="8" t="str">
        <f t="shared" ca="1" si="104"/>
        <v>—</v>
      </c>
      <c r="E2241" s="16">
        <f t="shared" ca="1" si="105"/>
        <v>7</v>
      </c>
    </row>
    <row r="2242" spans="1:5" x14ac:dyDescent="0.25">
      <c r="A2242" s="3">
        <f t="shared" ref="A2242:A2305" si="106">INDEX(Stations,2,1)</f>
        <v>78989</v>
      </c>
      <c r="B2242" t="str">
        <f ca="1">TEXT(DATE(YEAR(Invoer!$A$5),1,1)+INT((ROWS(B$2:B2242)-1)/24),"""18""jjmmdd")</f>
        <v>18980404</v>
      </c>
      <c r="C2242" s="11" t="str">
        <f>INDEX(Data,2,2+MOD(ROWS(C$2:C2242)-1,24))</f>
        <v>09.00</v>
      </c>
      <c r="D2242" s="8" t="str">
        <f t="shared" ref="D2242:D2305" ca="1" si="107">IF(OR(ISBLANK(VLOOKUP(DATEVALUE("37"&amp;MID($B2242,3,2)&amp;"-"&amp;MID($B2242,5,2)&amp;"-"&amp;RIGHT($B2242,2)),Data,MATCH(LEFT(VLOOKUP(D$1,Parameters,2,FALSE()),4)&amp;"*",OFFSET(Data,0,0,1),0)+MATCH($C2242,OFFSET(Data,1,0,1),0)-2,FALSE())),ISTEXT(VLOOKUP(DATEVALUE("37"&amp;MID($B2242,3,2)&amp;"-"&amp;MID($B2242,5,2)&amp;"-"&amp;RIGHT($B2242,2)),Data,MATCH(LEFT(VLOOKUP(D$1,Parameters,2,FALSE()),4)&amp;"*",OFFSET(Data,0,0,1),0)+MATCH($C2242,OFFSET(Data,1,0,1),0)-2,FALSE()))),"—",VLOOKUP(DATEVALUE("37"&amp;MID($B2242,3,2)&amp;"-"&amp;MID($B2242,5,2)&amp;"-"&amp;RIGHT($B2242,2)),Data,MATCH(LEFT(VLOOKUP(D$1,Parameters,2,FALSE()),4)&amp;"*",OFFSET(Data,0,0,1),0)+MATCH($C2242,OFFSET(Data,1,0,1),0)-2,FALSE()))</f>
        <v>—</v>
      </c>
      <c r="E2242" s="16">
        <f t="shared" ca="1" si="105"/>
        <v>7</v>
      </c>
    </row>
    <row r="2243" spans="1:5" x14ac:dyDescent="0.25">
      <c r="A2243" s="3">
        <f t="shared" si="106"/>
        <v>78989</v>
      </c>
      <c r="B2243" t="str">
        <f ca="1">TEXT(DATE(YEAR(Invoer!$A$5),1,1)+INT((ROWS(B$2:B2243)-1)/24),"""18""jjmmdd")</f>
        <v>18980404</v>
      </c>
      <c r="C2243" s="11" t="str">
        <f>INDEX(Data,2,2+MOD(ROWS(C$2:C2243)-1,24))</f>
        <v>10.00</v>
      </c>
      <c r="D2243" s="8" t="str">
        <f t="shared" ca="1" si="107"/>
        <v>—</v>
      </c>
      <c r="E2243" s="16">
        <f t="shared" ref="E2243:E2306" ca="1" si="108">IF(OR(ISBLANK(VLOOKUP(DATEVALUE("37"&amp;MID($B2243,3,2)&amp;"-"&amp;MID($B2243,5,2)&amp;"-"&amp;RIGHT($B2243,2)),Data,MATCH(LEFT(VLOOKUP(D$1,Parameters,2,FALSE()),4)&amp;"*",OFFSET(Data,0,0,1),0)+MATCH($C2243,OFFSET(Data,1,0,1),0)-2,FALSE())),ISTEXT(VLOOKUP(DATEVALUE("37"&amp;MID($B2243,3,2)&amp;"-"&amp;MID($B2243,5,2)&amp;"-"&amp;RIGHT($B2243,2)),Data,MATCH(LEFT(VLOOKUP(D$1,Parameters,2,FALSE()),4)&amp;"*",OFFSET(Data,0,0,1),0)+MATCH($C2243,OFFSET(Data,1,0,1),0)-2,FALSE()))),Lacking,IF(ISNA(MATCH(DATEVALUE("37"&amp;MID($B2243,3,2)&amp;"-"&amp;MID($B2243,5,2)&amp;"-"&amp;RIGHT($B2243,2)),OFFSET(Catalogus,0,0,,1),0)),Ok,VLOOKUP(DATEVALUE("37"&amp;MID($B2243,3,2)&amp;"-"&amp;MID($B2243,5,2)&amp;"-"&amp;RIGHT($B2243,2)),Catalogus,MATCH(LEFT(VLOOKUP(MID(E$1,2,LEN(E$1)-1),Parameters,2,FALSE()),4)&amp;"*",OFFSET(Catalogus,0,0,1),0)+MATCH($C2243,OFFSET(Catalogus,1,0,1),0)-2,FALSE())))</f>
        <v>7</v>
      </c>
    </row>
    <row r="2244" spans="1:5" x14ac:dyDescent="0.25">
      <c r="A2244" s="3">
        <f t="shared" si="106"/>
        <v>78989</v>
      </c>
      <c r="B2244" t="str">
        <f ca="1">TEXT(DATE(YEAR(Invoer!$A$5),1,1)+INT((ROWS(B$2:B2244)-1)/24),"""18""jjmmdd")</f>
        <v>18980404</v>
      </c>
      <c r="C2244" s="11" t="str">
        <f>INDEX(Data,2,2+MOD(ROWS(C$2:C2244)-1,24))</f>
        <v>11.00</v>
      </c>
      <c r="D2244" s="8" t="str">
        <f t="shared" ca="1" si="107"/>
        <v>—</v>
      </c>
      <c r="E2244" s="16">
        <f t="shared" ca="1" si="108"/>
        <v>7</v>
      </c>
    </row>
    <row r="2245" spans="1:5" x14ac:dyDescent="0.25">
      <c r="A2245" s="3">
        <f t="shared" si="106"/>
        <v>78989</v>
      </c>
      <c r="B2245" t="str">
        <f ca="1">TEXT(DATE(YEAR(Invoer!$A$5),1,1)+INT((ROWS(B$2:B2245)-1)/24),"""18""jjmmdd")</f>
        <v>18980404</v>
      </c>
      <c r="C2245" s="11" t="str">
        <f>INDEX(Data,2,2+MOD(ROWS(C$2:C2245)-1,24))</f>
        <v>12.00</v>
      </c>
      <c r="D2245" s="8" t="str">
        <f t="shared" ca="1" si="107"/>
        <v>—</v>
      </c>
      <c r="E2245" s="16">
        <f t="shared" ca="1" si="108"/>
        <v>7</v>
      </c>
    </row>
    <row r="2246" spans="1:5" x14ac:dyDescent="0.25">
      <c r="A2246" s="3">
        <f t="shared" si="106"/>
        <v>78989</v>
      </c>
      <c r="B2246" t="str">
        <f ca="1">TEXT(DATE(YEAR(Invoer!$A$5),1,1)+INT((ROWS(B$2:B2246)-1)/24),"""18""jjmmdd")</f>
        <v>18980404</v>
      </c>
      <c r="C2246" s="11" t="str">
        <f>INDEX(Data,2,2+MOD(ROWS(C$2:C2246)-1,24))</f>
        <v>13.00</v>
      </c>
      <c r="D2246" s="8" t="str">
        <f t="shared" ca="1" si="107"/>
        <v>—</v>
      </c>
      <c r="E2246" s="16">
        <f t="shared" ca="1" si="108"/>
        <v>7</v>
      </c>
    </row>
    <row r="2247" spans="1:5" x14ac:dyDescent="0.25">
      <c r="A2247" s="3">
        <f t="shared" si="106"/>
        <v>78989</v>
      </c>
      <c r="B2247" t="str">
        <f ca="1">TEXT(DATE(YEAR(Invoer!$A$5),1,1)+INT((ROWS(B$2:B2247)-1)/24),"""18""jjmmdd")</f>
        <v>18980404</v>
      </c>
      <c r="C2247" s="11" t="str">
        <f>INDEX(Data,2,2+MOD(ROWS(C$2:C2247)-1,24))</f>
        <v>14.00</v>
      </c>
      <c r="D2247" s="8" t="str">
        <f t="shared" ca="1" si="107"/>
        <v>—</v>
      </c>
      <c r="E2247" s="16">
        <f t="shared" ca="1" si="108"/>
        <v>7</v>
      </c>
    </row>
    <row r="2248" spans="1:5" x14ac:dyDescent="0.25">
      <c r="A2248" s="3">
        <f t="shared" si="106"/>
        <v>78989</v>
      </c>
      <c r="B2248" t="str">
        <f ca="1">TEXT(DATE(YEAR(Invoer!$A$5),1,1)+INT((ROWS(B$2:B2248)-1)/24),"""18""jjmmdd")</f>
        <v>18980404</v>
      </c>
      <c r="C2248" s="11" t="str">
        <f>INDEX(Data,2,2+MOD(ROWS(C$2:C2248)-1,24))</f>
        <v>15.00</v>
      </c>
      <c r="D2248" s="8" t="str">
        <f t="shared" ca="1" si="107"/>
        <v>—</v>
      </c>
      <c r="E2248" s="16">
        <f t="shared" ca="1" si="108"/>
        <v>7</v>
      </c>
    </row>
    <row r="2249" spans="1:5" x14ac:dyDescent="0.25">
      <c r="A2249" s="3">
        <f t="shared" si="106"/>
        <v>78989</v>
      </c>
      <c r="B2249" t="str">
        <f ca="1">TEXT(DATE(YEAR(Invoer!$A$5),1,1)+INT((ROWS(B$2:B2249)-1)/24),"""18""jjmmdd")</f>
        <v>18980404</v>
      </c>
      <c r="C2249" s="11" t="str">
        <f>INDEX(Data,2,2+MOD(ROWS(C$2:C2249)-1,24))</f>
        <v>16.00</v>
      </c>
      <c r="D2249" s="8" t="str">
        <f t="shared" ca="1" si="107"/>
        <v>—</v>
      </c>
      <c r="E2249" s="16">
        <f t="shared" ca="1" si="108"/>
        <v>7</v>
      </c>
    </row>
    <row r="2250" spans="1:5" x14ac:dyDescent="0.25">
      <c r="A2250" s="3">
        <f t="shared" si="106"/>
        <v>78989</v>
      </c>
      <c r="B2250" t="str">
        <f ca="1">TEXT(DATE(YEAR(Invoer!$A$5),1,1)+INT((ROWS(B$2:B2250)-1)/24),"""18""jjmmdd")</f>
        <v>18980404</v>
      </c>
      <c r="C2250" s="11" t="str">
        <f>INDEX(Data,2,2+MOD(ROWS(C$2:C2250)-1,24))</f>
        <v>17.00</v>
      </c>
      <c r="D2250" s="8" t="str">
        <f t="shared" ca="1" si="107"/>
        <v>—</v>
      </c>
      <c r="E2250" s="16">
        <f t="shared" ca="1" si="108"/>
        <v>7</v>
      </c>
    </row>
    <row r="2251" spans="1:5" x14ac:dyDescent="0.25">
      <c r="A2251" s="3">
        <f t="shared" si="106"/>
        <v>78989</v>
      </c>
      <c r="B2251" t="str">
        <f ca="1">TEXT(DATE(YEAR(Invoer!$A$5),1,1)+INT((ROWS(B$2:B2251)-1)/24),"""18""jjmmdd")</f>
        <v>18980404</v>
      </c>
      <c r="C2251" s="11" t="str">
        <f>INDEX(Data,2,2+MOD(ROWS(C$2:C2251)-1,24))</f>
        <v>18.00</v>
      </c>
      <c r="D2251" s="8" t="str">
        <f t="shared" ca="1" si="107"/>
        <v>—</v>
      </c>
      <c r="E2251" s="16">
        <f t="shared" ca="1" si="108"/>
        <v>7</v>
      </c>
    </row>
    <row r="2252" spans="1:5" x14ac:dyDescent="0.25">
      <c r="A2252" s="3">
        <f t="shared" si="106"/>
        <v>78989</v>
      </c>
      <c r="B2252" t="str">
        <f ca="1">TEXT(DATE(YEAR(Invoer!$A$5),1,1)+INT((ROWS(B$2:B2252)-1)/24),"""18""jjmmdd")</f>
        <v>18980404</v>
      </c>
      <c r="C2252" s="11" t="str">
        <f>INDEX(Data,2,2+MOD(ROWS(C$2:C2252)-1,24))</f>
        <v>19.00</v>
      </c>
      <c r="D2252" s="8" t="str">
        <f t="shared" ca="1" si="107"/>
        <v>—</v>
      </c>
      <c r="E2252" s="16">
        <f t="shared" ca="1" si="108"/>
        <v>7</v>
      </c>
    </row>
    <row r="2253" spans="1:5" x14ac:dyDescent="0.25">
      <c r="A2253" s="3">
        <f t="shared" si="106"/>
        <v>78989</v>
      </c>
      <c r="B2253" t="str">
        <f ca="1">TEXT(DATE(YEAR(Invoer!$A$5),1,1)+INT((ROWS(B$2:B2253)-1)/24),"""18""jjmmdd")</f>
        <v>18980404</v>
      </c>
      <c r="C2253" s="11" t="str">
        <f>INDEX(Data,2,2+MOD(ROWS(C$2:C2253)-1,24))</f>
        <v>20.00</v>
      </c>
      <c r="D2253" s="8" t="str">
        <f t="shared" ca="1" si="107"/>
        <v>—</v>
      </c>
      <c r="E2253" s="16">
        <f t="shared" ca="1" si="108"/>
        <v>7</v>
      </c>
    </row>
    <row r="2254" spans="1:5" x14ac:dyDescent="0.25">
      <c r="A2254" s="3">
        <f t="shared" si="106"/>
        <v>78989</v>
      </c>
      <c r="B2254" t="str">
        <f ca="1">TEXT(DATE(YEAR(Invoer!$A$5),1,1)+INT((ROWS(B$2:B2254)-1)/24),"""18""jjmmdd")</f>
        <v>18980404</v>
      </c>
      <c r="C2254" s="11" t="str">
        <f>INDEX(Data,2,2+MOD(ROWS(C$2:C2254)-1,24))</f>
        <v>21.00</v>
      </c>
      <c r="D2254" s="8" t="str">
        <f t="shared" ca="1" si="107"/>
        <v>—</v>
      </c>
      <c r="E2254" s="16">
        <f t="shared" ca="1" si="108"/>
        <v>7</v>
      </c>
    </row>
    <row r="2255" spans="1:5" x14ac:dyDescent="0.25">
      <c r="A2255" s="3">
        <f t="shared" si="106"/>
        <v>78989</v>
      </c>
      <c r="B2255" t="str">
        <f ca="1">TEXT(DATE(YEAR(Invoer!$A$5),1,1)+INT((ROWS(B$2:B2255)-1)/24),"""18""jjmmdd")</f>
        <v>18980404</v>
      </c>
      <c r="C2255" s="11" t="str">
        <f>INDEX(Data,2,2+MOD(ROWS(C$2:C2255)-1,24))</f>
        <v>22.00</v>
      </c>
      <c r="D2255" s="8" t="str">
        <f t="shared" ca="1" si="107"/>
        <v>—</v>
      </c>
      <c r="E2255" s="16">
        <f t="shared" ca="1" si="108"/>
        <v>7</v>
      </c>
    </row>
    <row r="2256" spans="1:5" x14ac:dyDescent="0.25">
      <c r="A2256" s="3">
        <f t="shared" si="106"/>
        <v>78989</v>
      </c>
      <c r="B2256" t="str">
        <f ca="1">TEXT(DATE(YEAR(Invoer!$A$5),1,1)+INT((ROWS(B$2:B2256)-1)/24),"""18""jjmmdd")</f>
        <v>18980404</v>
      </c>
      <c r="C2256" s="11" t="str">
        <f>INDEX(Data,2,2+MOD(ROWS(C$2:C2256)-1,24))</f>
        <v>23.00</v>
      </c>
      <c r="D2256" s="8" t="str">
        <f t="shared" ca="1" si="107"/>
        <v>—</v>
      </c>
      <c r="E2256" s="16">
        <f t="shared" ca="1" si="108"/>
        <v>7</v>
      </c>
    </row>
    <row r="2257" spans="1:5" x14ac:dyDescent="0.25">
      <c r="A2257" s="3">
        <f t="shared" si="106"/>
        <v>78989</v>
      </c>
      <c r="B2257" t="str">
        <f ca="1">TEXT(DATE(YEAR(Invoer!$A$5),1,1)+INT((ROWS(B$2:B2257)-1)/24),"""18""jjmmdd")</f>
        <v>18980404</v>
      </c>
      <c r="C2257" s="11" t="str">
        <f>INDEX(Data,2,2+MOD(ROWS(C$2:C2257)-1,24))</f>
        <v>24.00</v>
      </c>
      <c r="D2257" s="8" t="str">
        <f t="shared" ca="1" si="107"/>
        <v>—</v>
      </c>
      <c r="E2257" s="16">
        <f t="shared" ca="1" si="108"/>
        <v>7</v>
      </c>
    </row>
    <row r="2258" spans="1:5" x14ac:dyDescent="0.25">
      <c r="A2258" s="3">
        <f t="shared" si="106"/>
        <v>78989</v>
      </c>
      <c r="B2258" t="str">
        <f ca="1">TEXT(DATE(YEAR(Invoer!$A$5),1,1)+INT((ROWS(B$2:B2258)-1)/24),"""18""jjmmdd")</f>
        <v>18980405</v>
      </c>
      <c r="C2258" s="11" t="str">
        <f>INDEX(Data,2,2+MOD(ROWS(C$2:C2258)-1,24))</f>
        <v>01.00</v>
      </c>
      <c r="D2258" s="8" t="str">
        <f t="shared" ca="1" si="107"/>
        <v>—</v>
      </c>
      <c r="E2258" s="16">
        <f t="shared" ca="1" si="108"/>
        <v>7</v>
      </c>
    </row>
    <row r="2259" spans="1:5" x14ac:dyDescent="0.25">
      <c r="A2259" s="3">
        <f t="shared" si="106"/>
        <v>78989</v>
      </c>
      <c r="B2259" t="str">
        <f ca="1">TEXT(DATE(YEAR(Invoer!$A$5),1,1)+INT((ROWS(B$2:B2259)-1)/24),"""18""jjmmdd")</f>
        <v>18980405</v>
      </c>
      <c r="C2259" s="11" t="str">
        <f>INDEX(Data,2,2+MOD(ROWS(C$2:C2259)-1,24))</f>
        <v>02.00</v>
      </c>
      <c r="D2259" s="8" t="str">
        <f t="shared" ca="1" si="107"/>
        <v>—</v>
      </c>
      <c r="E2259" s="16">
        <f t="shared" ca="1" si="108"/>
        <v>7</v>
      </c>
    </row>
    <row r="2260" spans="1:5" x14ac:dyDescent="0.25">
      <c r="A2260" s="3">
        <f t="shared" si="106"/>
        <v>78989</v>
      </c>
      <c r="B2260" t="str">
        <f ca="1">TEXT(DATE(YEAR(Invoer!$A$5),1,1)+INT((ROWS(B$2:B2260)-1)/24),"""18""jjmmdd")</f>
        <v>18980405</v>
      </c>
      <c r="C2260" s="11" t="str">
        <f>INDEX(Data,2,2+MOD(ROWS(C$2:C2260)-1,24))</f>
        <v>03.00</v>
      </c>
      <c r="D2260" s="8" t="str">
        <f t="shared" ca="1" si="107"/>
        <v>—</v>
      </c>
      <c r="E2260" s="16">
        <f t="shared" ca="1" si="108"/>
        <v>7</v>
      </c>
    </row>
    <row r="2261" spans="1:5" x14ac:dyDescent="0.25">
      <c r="A2261" s="3">
        <f t="shared" si="106"/>
        <v>78989</v>
      </c>
      <c r="B2261" t="str">
        <f ca="1">TEXT(DATE(YEAR(Invoer!$A$5),1,1)+INT((ROWS(B$2:B2261)-1)/24),"""18""jjmmdd")</f>
        <v>18980405</v>
      </c>
      <c r="C2261" s="11" t="str">
        <f>INDEX(Data,2,2+MOD(ROWS(C$2:C2261)-1,24))</f>
        <v>04.00</v>
      </c>
      <c r="D2261" s="8" t="str">
        <f t="shared" ca="1" si="107"/>
        <v>—</v>
      </c>
      <c r="E2261" s="16">
        <f t="shared" ca="1" si="108"/>
        <v>7</v>
      </c>
    </row>
    <row r="2262" spans="1:5" x14ac:dyDescent="0.25">
      <c r="A2262" s="3">
        <f t="shared" si="106"/>
        <v>78989</v>
      </c>
      <c r="B2262" t="str">
        <f ca="1">TEXT(DATE(YEAR(Invoer!$A$5),1,1)+INT((ROWS(B$2:B2262)-1)/24),"""18""jjmmdd")</f>
        <v>18980405</v>
      </c>
      <c r="C2262" s="11" t="str">
        <f>INDEX(Data,2,2+MOD(ROWS(C$2:C2262)-1,24))</f>
        <v>05.00</v>
      </c>
      <c r="D2262" s="8" t="str">
        <f t="shared" ca="1" si="107"/>
        <v>—</v>
      </c>
      <c r="E2262" s="16">
        <f t="shared" ca="1" si="108"/>
        <v>7</v>
      </c>
    </row>
    <row r="2263" spans="1:5" x14ac:dyDescent="0.25">
      <c r="A2263" s="3">
        <f t="shared" si="106"/>
        <v>78989</v>
      </c>
      <c r="B2263" t="str">
        <f ca="1">TEXT(DATE(YEAR(Invoer!$A$5),1,1)+INT((ROWS(B$2:B2263)-1)/24),"""18""jjmmdd")</f>
        <v>18980405</v>
      </c>
      <c r="C2263" s="11" t="str">
        <f>INDEX(Data,2,2+MOD(ROWS(C$2:C2263)-1,24))</f>
        <v>06.00</v>
      </c>
      <c r="D2263" s="8" t="str">
        <f t="shared" ca="1" si="107"/>
        <v>—</v>
      </c>
      <c r="E2263" s="16">
        <f t="shared" ca="1" si="108"/>
        <v>7</v>
      </c>
    </row>
    <row r="2264" spans="1:5" x14ac:dyDescent="0.25">
      <c r="A2264" s="3">
        <f t="shared" si="106"/>
        <v>78989</v>
      </c>
      <c r="B2264" t="str">
        <f ca="1">TEXT(DATE(YEAR(Invoer!$A$5),1,1)+INT((ROWS(B$2:B2264)-1)/24),"""18""jjmmdd")</f>
        <v>18980405</v>
      </c>
      <c r="C2264" s="11" t="str">
        <f>INDEX(Data,2,2+MOD(ROWS(C$2:C2264)-1,24))</f>
        <v>07.00</v>
      </c>
      <c r="D2264" s="8" t="str">
        <f t="shared" ca="1" si="107"/>
        <v>—</v>
      </c>
      <c r="E2264" s="16">
        <f t="shared" ca="1" si="108"/>
        <v>7</v>
      </c>
    </row>
    <row r="2265" spans="1:5" x14ac:dyDescent="0.25">
      <c r="A2265" s="3">
        <f t="shared" si="106"/>
        <v>78989</v>
      </c>
      <c r="B2265" t="str">
        <f ca="1">TEXT(DATE(YEAR(Invoer!$A$5),1,1)+INT((ROWS(B$2:B2265)-1)/24),"""18""jjmmdd")</f>
        <v>18980405</v>
      </c>
      <c r="C2265" s="11" t="str">
        <f>INDEX(Data,2,2+MOD(ROWS(C$2:C2265)-1,24))</f>
        <v>08.00</v>
      </c>
      <c r="D2265" s="8" t="str">
        <f t="shared" ca="1" si="107"/>
        <v>—</v>
      </c>
      <c r="E2265" s="16">
        <f t="shared" ca="1" si="108"/>
        <v>7</v>
      </c>
    </row>
    <row r="2266" spans="1:5" x14ac:dyDescent="0.25">
      <c r="A2266" s="3">
        <f t="shared" si="106"/>
        <v>78989</v>
      </c>
      <c r="B2266" t="str">
        <f ca="1">TEXT(DATE(YEAR(Invoer!$A$5),1,1)+INT((ROWS(B$2:B2266)-1)/24),"""18""jjmmdd")</f>
        <v>18980405</v>
      </c>
      <c r="C2266" s="11" t="str">
        <f>INDEX(Data,2,2+MOD(ROWS(C$2:C2266)-1,24))</f>
        <v>09.00</v>
      </c>
      <c r="D2266" s="8" t="str">
        <f t="shared" ca="1" si="107"/>
        <v>—</v>
      </c>
      <c r="E2266" s="16">
        <f t="shared" ca="1" si="108"/>
        <v>7</v>
      </c>
    </row>
    <row r="2267" spans="1:5" x14ac:dyDescent="0.25">
      <c r="A2267" s="3">
        <f t="shared" si="106"/>
        <v>78989</v>
      </c>
      <c r="B2267" t="str">
        <f ca="1">TEXT(DATE(YEAR(Invoer!$A$5),1,1)+INT((ROWS(B$2:B2267)-1)/24),"""18""jjmmdd")</f>
        <v>18980405</v>
      </c>
      <c r="C2267" s="11" t="str">
        <f>INDEX(Data,2,2+MOD(ROWS(C$2:C2267)-1,24))</f>
        <v>10.00</v>
      </c>
      <c r="D2267" s="8" t="str">
        <f t="shared" ca="1" si="107"/>
        <v>—</v>
      </c>
      <c r="E2267" s="16">
        <f t="shared" ca="1" si="108"/>
        <v>7</v>
      </c>
    </row>
    <row r="2268" spans="1:5" x14ac:dyDescent="0.25">
      <c r="A2268" s="3">
        <f t="shared" si="106"/>
        <v>78989</v>
      </c>
      <c r="B2268" t="str">
        <f ca="1">TEXT(DATE(YEAR(Invoer!$A$5),1,1)+INT((ROWS(B$2:B2268)-1)/24),"""18""jjmmdd")</f>
        <v>18980405</v>
      </c>
      <c r="C2268" s="11" t="str">
        <f>INDEX(Data,2,2+MOD(ROWS(C$2:C2268)-1,24))</f>
        <v>11.00</v>
      </c>
      <c r="D2268" s="8" t="str">
        <f t="shared" ca="1" si="107"/>
        <v>—</v>
      </c>
      <c r="E2268" s="16">
        <f t="shared" ca="1" si="108"/>
        <v>7</v>
      </c>
    </row>
    <row r="2269" spans="1:5" x14ac:dyDescent="0.25">
      <c r="A2269" s="3">
        <f t="shared" si="106"/>
        <v>78989</v>
      </c>
      <c r="B2269" t="str">
        <f ca="1">TEXT(DATE(YEAR(Invoer!$A$5),1,1)+INT((ROWS(B$2:B2269)-1)/24),"""18""jjmmdd")</f>
        <v>18980405</v>
      </c>
      <c r="C2269" s="11" t="str">
        <f>INDEX(Data,2,2+MOD(ROWS(C$2:C2269)-1,24))</f>
        <v>12.00</v>
      </c>
      <c r="D2269" s="8" t="str">
        <f t="shared" ca="1" si="107"/>
        <v>—</v>
      </c>
      <c r="E2269" s="16">
        <f t="shared" ca="1" si="108"/>
        <v>7</v>
      </c>
    </row>
    <row r="2270" spans="1:5" x14ac:dyDescent="0.25">
      <c r="A2270" s="3">
        <f t="shared" si="106"/>
        <v>78989</v>
      </c>
      <c r="B2270" t="str">
        <f ca="1">TEXT(DATE(YEAR(Invoer!$A$5),1,1)+INT((ROWS(B$2:B2270)-1)/24),"""18""jjmmdd")</f>
        <v>18980405</v>
      </c>
      <c r="C2270" s="11" t="str">
        <f>INDEX(Data,2,2+MOD(ROWS(C$2:C2270)-1,24))</f>
        <v>13.00</v>
      </c>
      <c r="D2270" s="8" t="str">
        <f t="shared" ca="1" si="107"/>
        <v>—</v>
      </c>
      <c r="E2270" s="16">
        <f t="shared" ca="1" si="108"/>
        <v>7</v>
      </c>
    </row>
    <row r="2271" spans="1:5" x14ac:dyDescent="0.25">
      <c r="A2271" s="3">
        <f t="shared" si="106"/>
        <v>78989</v>
      </c>
      <c r="B2271" t="str">
        <f ca="1">TEXT(DATE(YEAR(Invoer!$A$5),1,1)+INT((ROWS(B$2:B2271)-1)/24),"""18""jjmmdd")</f>
        <v>18980405</v>
      </c>
      <c r="C2271" s="11" t="str">
        <f>INDEX(Data,2,2+MOD(ROWS(C$2:C2271)-1,24))</f>
        <v>14.00</v>
      </c>
      <c r="D2271" s="8" t="str">
        <f t="shared" ca="1" si="107"/>
        <v>—</v>
      </c>
      <c r="E2271" s="16">
        <f t="shared" ca="1" si="108"/>
        <v>7</v>
      </c>
    </row>
    <row r="2272" spans="1:5" x14ac:dyDescent="0.25">
      <c r="A2272" s="3">
        <f t="shared" si="106"/>
        <v>78989</v>
      </c>
      <c r="B2272" t="str">
        <f ca="1">TEXT(DATE(YEAR(Invoer!$A$5),1,1)+INT((ROWS(B$2:B2272)-1)/24),"""18""jjmmdd")</f>
        <v>18980405</v>
      </c>
      <c r="C2272" s="11" t="str">
        <f>INDEX(Data,2,2+MOD(ROWS(C$2:C2272)-1,24))</f>
        <v>15.00</v>
      </c>
      <c r="D2272" s="8" t="str">
        <f t="shared" ca="1" si="107"/>
        <v>—</v>
      </c>
      <c r="E2272" s="16">
        <f t="shared" ca="1" si="108"/>
        <v>7</v>
      </c>
    </row>
    <row r="2273" spans="1:5" x14ac:dyDescent="0.25">
      <c r="A2273" s="3">
        <f t="shared" si="106"/>
        <v>78989</v>
      </c>
      <c r="B2273" t="str">
        <f ca="1">TEXT(DATE(YEAR(Invoer!$A$5),1,1)+INT((ROWS(B$2:B2273)-1)/24),"""18""jjmmdd")</f>
        <v>18980405</v>
      </c>
      <c r="C2273" s="11" t="str">
        <f>INDEX(Data,2,2+MOD(ROWS(C$2:C2273)-1,24))</f>
        <v>16.00</v>
      </c>
      <c r="D2273" s="8" t="str">
        <f t="shared" ca="1" si="107"/>
        <v>—</v>
      </c>
      <c r="E2273" s="16">
        <f t="shared" ca="1" si="108"/>
        <v>7</v>
      </c>
    </row>
    <row r="2274" spans="1:5" x14ac:dyDescent="0.25">
      <c r="A2274" s="3">
        <f t="shared" si="106"/>
        <v>78989</v>
      </c>
      <c r="B2274" t="str">
        <f ca="1">TEXT(DATE(YEAR(Invoer!$A$5),1,1)+INT((ROWS(B$2:B2274)-1)/24),"""18""jjmmdd")</f>
        <v>18980405</v>
      </c>
      <c r="C2274" s="11" t="str">
        <f>INDEX(Data,2,2+MOD(ROWS(C$2:C2274)-1,24))</f>
        <v>17.00</v>
      </c>
      <c r="D2274" s="8" t="str">
        <f t="shared" ca="1" si="107"/>
        <v>—</v>
      </c>
      <c r="E2274" s="16">
        <f t="shared" ca="1" si="108"/>
        <v>7</v>
      </c>
    </row>
    <row r="2275" spans="1:5" x14ac:dyDescent="0.25">
      <c r="A2275" s="3">
        <f t="shared" si="106"/>
        <v>78989</v>
      </c>
      <c r="B2275" t="str">
        <f ca="1">TEXT(DATE(YEAR(Invoer!$A$5),1,1)+INT((ROWS(B$2:B2275)-1)/24),"""18""jjmmdd")</f>
        <v>18980405</v>
      </c>
      <c r="C2275" s="11" t="str">
        <f>INDEX(Data,2,2+MOD(ROWS(C$2:C2275)-1,24))</f>
        <v>18.00</v>
      </c>
      <c r="D2275" s="8" t="str">
        <f t="shared" ca="1" si="107"/>
        <v>—</v>
      </c>
      <c r="E2275" s="16">
        <f t="shared" ca="1" si="108"/>
        <v>7</v>
      </c>
    </row>
    <row r="2276" spans="1:5" x14ac:dyDescent="0.25">
      <c r="A2276" s="3">
        <f t="shared" si="106"/>
        <v>78989</v>
      </c>
      <c r="B2276" t="str">
        <f ca="1">TEXT(DATE(YEAR(Invoer!$A$5),1,1)+INT((ROWS(B$2:B2276)-1)/24),"""18""jjmmdd")</f>
        <v>18980405</v>
      </c>
      <c r="C2276" s="11" t="str">
        <f>INDEX(Data,2,2+MOD(ROWS(C$2:C2276)-1,24))</f>
        <v>19.00</v>
      </c>
      <c r="D2276" s="8" t="str">
        <f t="shared" ca="1" si="107"/>
        <v>—</v>
      </c>
      <c r="E2276" s="16">
        <f t="shared" ca="1" si="108"/>
        <v>7</v>
      </c>
    </row>
    <row r="2277" spans="1:5" x14ac:dyDescent="0.25">
      <c r="A2277" s="3">
        <f t="shared" si="106"/>
        <v>78989</v>
      </c>
      <c r="B2277" t="str">
        <f ca="1">TEXT(DATE(YEAR(Invoer!$A$5),1,1)+INT((ROWS(B$2:B2277)-1)/24),"""18""jjmmdd")</f>
        <v>18980405</v>
      </c>
      <c r="C2277" s="11" t="str">
        <f>INDEX(Data,2,2+MOD(ROWS(C$2:C2277)-1,24))</f>
        <v>20.00</v>
      </c>
      <c r="D2277" s="8" t="str">
        <f t="shared" ca="1" si="107"/>
        <v>—</v>
      </c>
      <c r="E2277" s="16">
        <f t="shared" ca="1" si="108"/>
        <v>7</v>
      </c>
    </row>
    <row r="2278" spans="1:5" x14ac:dyDescent="0.25">
      <c r="A2278" s="3">
        <f t="shared" si="106"/>
        <v>78989</v>
      </c>
      <c r="B2278" t="str">
        <f ca="1">TEXT(DATE(YEAR(Invoer!$A$5),1,1)+INT((ROWS(B$2:B2278)-1)/24),"""18""jjmmdd")</f>
        <v>18980405</v>
      </c>
      <c r="C2278" s="11" t="str">
        <f>INDEX(Data,2,2+MOD(ROWS(C$2:C2278)-1,24))</f>
        <v>21.00</v>
      </c>
      <c r="D2278" s="8" t="str">
        <f t="shared" ca="1" si="107"/>
        <v>—</v>
      </c>
      <c r="E2278" s="16">
        <f t="shared" ca="1" si="108"/>
        <v>7</v>
      </c>
    </row>
    <row r="2279" spans="1:5" x14ac:dyDescent="0.25">
      <c r="A2279" s="3">
        <f t="shared" si="106"/>
        <v>78989</v>
      </c>
      <c r="B2279" t="str">
        <f ca="1">TEXT(DATE(YEAR(Invoer!$A$5),1,1)+INT((ROWS(B$2:B2279)-1)/24),"""18""jjmmdd")</f>
        <v>18980405</v>
      </c>
      <c r="C2279" s="11" t="str">
        <f>INDEX(Data,2,2+MOD(ROWS(C$2:C2279)-1,24))</f>
        <v>22.00</v>
      </c>
      <c r="D2279" s="8" t="str">
        <f t="shared" ca="1" si="107"/>
        <v>—</v>
      </c>
      <c r="E2279" s="16">
        <f t="shared" ca="1" si="108"/>
        <v>7</v>
      </c>
    </row>
    <row r="2280" spans="1:5" x14ac:dyDescent="0.25">
      <c r="A2280" s="3">
        <f t="shared" si="106"/>
        <v>78989</v>
      </c>
      <c r="B2280" t="str">
        <f ca="1">TEXT(DATE(YEAR(Invoer!$A$5),1,1)+INT((ROWS(B$2:B2280)-1)/24),"""18""jjmmdd")</f>
        <v>18980405</v>
      </c>
      <c r="C2280" s="11" t="str">
        <f>INDEX(Data,2,2+MOD(ROWS(C$2:C2280)-1,24))</f>
        <v>23.00</v>
      </c>
      <c r="D2280" s="8" t="str">
        <f t="shared" ca="1" si="107"/>
        <v>—</v>
      </c>
      <c r="E2280" s="16">
        <f t="shared" ca="1" si="108"/>
        <v>7</v>
      </c>
    </row>
    <row r="2281" spans="1:5" x14ac:dyDescent="0.25">
      <c r="A2281" s="3">
        <f t="shared" si="106"/>
        <v>78989</v>
      </c>
      <c r="B2281" t="str">
        <f ca="1">TEXT(DATE(YEAR(Invoer!$A$5),1,1)+INT((ROWS(B$2:B2281)-1)/24),"""18""jjmmdd")</f>
        <v>18980405</v>
      </c>
      <c r="C2281" s="11" t="str">
        <f>INDEX(Data,2,2+MOD(ROWS(C$2:C2281)-1,24))</f>
        <v>24.00</v>
      </c>
      <c r="D2281" s="8" t="str">
        <f t="shared" ca="1" si="107"/>
        <v>—</v>
      </c>
      <c r="E2281" s="16">
        <f t="shared" ca="1" si="108"/>
        <v>7</v>
      </c>
    </row>
    <row r="2282" spans="1:5" x14ac:dyDescent="0.25">
      <c r="A2282" s="3">
        <f t="shared" si="106"/>
        <v>78989</v>
      </c>
      <c r="B2282" t="str">
        <f ca="1">TEXT(DATE(YEAR(Invoer!$A$5),1,1)+INT((ROWS(B$2:B2282)-1)/24),"""18""jjmmdd")</f>
        <v>18980406</v>
      </c>
      <c r="C2282" s="11" t="str">
        <f>INDEX(Data,2,2+MOD(ROWS(C$2:C2282)-1,24))</f>
        <v>01.00</v>
      </c>
      <c r="D2282" s="8" t="str">
        <f t="shared" ca="1" si="107"/>
        <v>—</v>
      </c>
      <c r="E2282" s="16">
        <f t="shared" ca="1" si="108"/>
        <v>7</v>
      </c>
    </row>
    <row r="2283" spans="1:5" x14ac:dyDescent="0.25">
      <c r="A2283" s="3">
        <f t="shared" si="106"/>
        <v>78989</v>
      </c>
      <c r="B2283" t="str">
        <f ca="1">TEXT(DATE(YEAR(Invoer!$A$5),1,1)+INT((ROWS(B$2:B2283)-1)/24),"""18""jjmmdd")</f>
        <v>18980406</v>
      </c>
      <c r="C2283" s="11" t="str">
        <f>INDEX(Data,2,2+MOD(ROWS(C$2:C2283)-1,24))</f>
        <v>02.00</v>
      </c>
      <c r="D2283" s="8" t="str">
        <f t="shared" ca="1" si="107"/>
        <v>—</v>
      </c>
      <c r="E2283" s="16">
        <f t="shared" ca="1" si="108"/>
        <v>7</v>
      </c>
    </row>
    <row r="2284" spans="1:5" x14ac:dyDescent="0.25">
      <c r="A2284" s="3">
        <f t="shared" si="106"/>
        <v>78989</v>
      </c>
      <c r="B2284" t="str">
        <f ca="1">TEXT(DATE(YEAR(Invoer!$A$5),1,1)+INT((ROWS(B$2:B2284)-1)/24),"""18""jjmmdd")</f>
        <v>18980406</v>
      </c>
      <c r="C2284" s="11" t="str">
        <f>INDEX(Data,2,2+MOD(ROWS(C$2:C2284)-1,24))</f>
        <v>03.00</v>
      </c>
      <c r="D2284" s="8" t="str">
        <f t="shared" ca="1" si="107"/>
        <v>—</v>
      </c>
      <c r="E2284" s="16">
        <f t="shared" ca="1" si="108"/>
        <v>7</v>
      </c>
    </row>
    <row r="2285" spans="1:5" x14ac:dyDescent="0.25">
      <c r="A2285" s="3">
        <f t="shared" si="106"/>
        <v>78989</v>
      </c>
      <c r="B2285" t="str">
        <f ca="1">TEXT(DATE(YEAR(Invoer!$A$5),1,1)+INT((ROWS(B$2:B2285)-1)/24),"""18""jjmmdd")</f>
        <v>18980406</v>
      </c>
      <c r="C2285" s="11" t="str">
        <f>INDEX(Data,2,2+MOD(ROWS(C$2:C2285)-1,24))</f>
        <v>04.00</v>
      </c>
      <c r="D2285" s="8" t="str">
        <f t="shared" ca="1" si="107"/>
        <v>—</v>
      </c>
      <c r="E2285" s="16">
        <f t="shared" ca="1" si="108"/>
        <v>7</v>
      </c>
    </row>
    <row r="2286" spans="1:5" x14ac:dyDescent="0.25">
      <c r="A2286" s="3">
        <f t="shared" si="106"/>
        <v>78989</v>
      </c>
      <c r="B2286" t="str">
        <f ca="1">TEXT(DATE(YEAR(Invoer!$A$5),1,1)+INT((ROWS(B$2:B2286)-1)/24),"""18""jjmmdd")</f>
        <v>18980406</v>
      </c>
      <c r="C2286" s="11" t="str">
        <f>INDEX(Data,2,2+MOD(ROWS(C$2:C2286)-1,24))</f>
        <v>05.00</v>
      </c>
      <c r="D2286" s="8" t="str">
        <f t="shared" ca="1" si="107"/>
        <v>—</v>
      </c>
      <c r="E2286" s="16">
        <f t="shared" ca="1" si="108"/>
        <v>7</v>
      </c>
    </row>
    <row r="2287" spans="1:5" x14ac:dyDescent="0.25">
      <c r="A2287" s="3">
        <f t="shared" si="106"/>
        <v>78989</v>
      </c>
      <c r="B2287" t="str">
        <f ca="1">TEXT(DATE(YEAR(Invoer!$A$5),1,1)+INT((ROWS(B$2:B2287)-1)/24),"""18""jjmmdd")</f>
        <v>18980406</v>
      </c>
      <c r="C2287" s="11" t="str">
        <f>INDEX(Data,2,2+MOD(ROWS(C$2:C2287)-1,24))</f>
        <v>06.00</v>
      </c>
      <c r="D2287" s="8" t="str">
        <f t="shared" ca="1" si="107"/>
        <v>—</v>
      </c>
      <c r="E2287" s="16">
        <f t="shared" ca="1" si="108"/>
        <v>7</v>
      </c>
    </row>
    <row r="2288" spans="1:5" x14ac:dyDescent="0.25">
      <c r="A2288" s="3">
        <f t="shared" si="106"/>
        <v>78989</v>
      </c>
      <c r="B2288" t="str">
        <f ca="1">TEXT(DATE(YEAR(Invoer!$A$5),1,1)+INT((ROWS(B$2:B2288)-1)/24),"""18""jjmmdd")</f>
        <v>18980406</v>
      </c>
      <c r="C2288" s="11" t="str">
        <f>INDEX(Data,2,2+MOD(ROWS(C$2:C2288)-1,24))</f>
        <v>07.00</v>
      </c>
      <c r="D2288" s="8" t="str">
        <f t="shared" ca="1" si="107"/>
        <v>—</v>
      </c>
      <c r="E2288" s="16">
        <f t="shared" ca="1" si="108"/>
        <v>7</v>
      </c>
    </row>
    <row r="2289" spans="1:5" x14ac:dyDescent="0.25">
      <c r="A2289" s="3">
        <f t="shared" si="106"/>
        <v>78989</v>
      </c>
      <c r="B2289" t="str">
        <f ca="1">TEXT(DATE(YEAR(Invoer!$A$5),1,1)+INT((ROWS(B$2:B2289)-1)/24),"""18""jjmmdd")</f>
        <v>18980406</v>
      </c>
      <c r="C2289" s="11" t="str">
        <f>INDEX(Data,2,2+MOD(ROWS(C$2:C2289)-1,24))</f>
        <v>08.00</v>
      </c>
      <c r="D2289" s="8" t="str">
        <f t="shared" ca="1" si="107"/>
        <v>—</v>
      </c>
      <c r="E2289" s="16">
        <f t="shared" ca="1" si="108"/>
        <v>7</v>
      </c>
    </row>
    <row r="2290" spans="1:5" x14ac:dyDescent="0.25">
      <c r="A2290" s="3">
        <f t="shared" si="106"/>
        <v>78989</v>
      </c>
      <c r="B2290" t="str">
        <f ca="1">TEXT(DATE(YEAR(Invoer!$A$5),1,1)+INT((ROWS(B$2:B2290)-1)/24),"""18""jjmmdd")</f>
        <v>18980406</v>
      </c>
      <c r="C2290" s="11" t="str">
        <f>INDEX(Data,2,2+MOD(ROWS(C$2:C2290)-1,24))</f>
        <v>09.00</v>
      </c>
      <c r="D2290" s="8" t="str">
        <f t="shared" ca="1" si="107"/>
        <v>—</v>
      </c>
      <c r="E2290" s="16">
        <f t="shared" ca="1" si="108"/>
        <v>7</v>
      </c>
    </row>
    <row r="2291" spans="1:5" x14ac:dyDescent="0.25">
      <c r="A2291" s="3">
        <f t="shared" si="106"/>
        <v>78989</v>
      </c>
      <c r="B2291" t="str">
        <f ca="1">TEXT(DATE(YEAR(Invoer!$A$5),1,1)+INT((ROWS(B$2:B2291)-1)/24),"""18""jjmmdd")</f>
        <v>18980406</v>
      </c>
      <c r="C2291" s="11" t="str">
        <f>INDEX(Data,2,2+MOD(ROWS(C$2:C2291)-1,24))</f>
        <v>10.00</v>
      </c>
      <c r="D2291" s="8" t="str">
        <f t="shared" ca="1" si="107"/>
        <v>—</v>
      </c>
      <c r="E2291" s="16">
        <f t="shared" ca="1" si="108"/>
        <v>7</v>
      </c>
    </row>
    <row r="2292" spans="1:5" x14ac:dyDescent="0.25">
      <c r="A2292" s="3">
        <f t="shared" si="106"/>
        <v>78989</v>
      </c>
      <c r="B2292" t="str">
        <f ca="1">TEXT(DATE(YEAR(Invoer!$A$5),1,1)+INT((ROWS(B$2:B2292)-1)/24),"""18""jjmmdd")</f>
        <v>18980406</v>
      </c>
      <c r="C2292" s="11" t="str">
        <f>INDEX(Data,2,2+MOD(ROWS(C$2:C2292)-1,24))</f>
        <v>11.00</v>
      </c>
      <c r="D2292" s="8" t="str">
        <f t="shared" ca="1" si="107"/>
        <v>—</v>
      </c>
      <c r="E2292" s="16">
        <f t="shared" ca="1" si="108"/>
        <v>7</v>
      </c>
    </row>
    <row r="2293" spans="1:5" x14ac:dyDescent="0.25">
      <c r="A2293" s="3">
        <f t="shared" si="106"/>
        <v>78989</v>
      </c>
      <c r="B2293" t="str">
        <f ca="1">TEXT(DATE(YEAR(Invoer!$A$5),1,1)+INT((ROWS(B$2:B2293)-1)/24),"""18""jjmmdd")</f>
        <v>18980406</v>
      </c>
      <c r="C2293" s="11" t="str">
        <f>INDEX(Data,2,2+MOD(ROWS(C$2:C2293)-1,24))</f>
        <v>12.00</v>
      </c>
      <c r="D2293" s="8" t="str">
        <f t="shared" ca="1" si="107"/>
        <v>—</v>
      </c>
      <c r="E2293" s="16">
        <f t="shared" ca="1" si="108"/>
        <v>7</v>
      </c>
    </row>
    <row r="2294" spans="1:5" x14ac:dyDescent="0.25">
      <c r="A2294" s="3">
        <f t="shared" si="106"/>
        <v>78989</v>
      </c>
      <c r="B2294" t="str">
        <f ca="1">TEXT(DATE(YEAR(Invoer!$A$5),1,1)+INT((ROWS(B$2:B2294)-1)/24),"""18""jjmmdd")</f>
        <v>18980406</v>
      </c>
      <c r="C2294" s="11" t="str">
        <f>INDEX(Data,2,2+MOD(ROWS(C$2:C2294)-1,24))</f>
        <v>13.00</v>
      </c>
      <c r="D2294" s="8" t="str">
        <f t="shared" ca="1" si="107"/>
        <v>—</v>
      </c>
      <c r="E2294" s="16">
        <f t="shared" ca="1" si="108"/>
        <v>7</v>
      </c>
    </row>
    <row r="2295" spans="1:5" x14ac:dyDescent="0.25">
      <c r="A2295" s="3">
        <f t="shared" si="106"/>
        <v>78989</v>
      </c>
      <c r="B2295" t="str">
        <f ca="1">TEXT(DATE(YEAR(Invoer!$A$5),1,1)+INT((ROWS(B$2:B2295)-1)/24),"""18""jjmmdd")</f>
        <v>18980406</v>
      </c>
      <c r="C2295" s="11" t="str">
        <f>INDEX(Data,2,2+MOD(ROWS(C$2:C2295)-1,24))</f>
        <v>14.00</v>
      </c>
      <c r="D2295" s="8" t="str">
        <f t="shared" ca="1" si="107"/>
        <v>—</v>
      </c>
      <c r="E2295" s="16">
        <f t="shared" ca="1" si="108"/>
        <v>7</v>
      </c>
    </row>
    <row r="2296" spans="1:5" x14ac:dyDescent="0.25">
      <c r="A2296" s="3">
        <f t="shared" si="106"/>
        <v>78989</v>
      </c>
      <c r="B2296" t="str">
        <f ca="1">TEXT(DATE(YEAR(Invoer!$A$5),1,1)+INT((ROWS(B$2:B2296)-1)/24),"""18""jjmmdd")</f>
        <v>18980406</v>
      </c>
      <c r="C2296" s="11" t="str">
        <f>INDEX(Data,2,2+MOD(ROWS(C$2:C2296)-1,24))</f>
        <v>15.00</v>
      </c>
      <c r="D2296" s="8" t="str">
        <f t="shared" ca="1" si="107"/>
        <v>—</v>
      </c>
      <c r="E2296" s="16">
        <f t="shared" ca="1" si="108"/>
        <v>7</v>
      </c>
    </row>
    <row r="2297" spans="1:5" x14ac:dyDescent="0.25">
      <c r="A2297" s="3">
        <f t="shared" si="106"/>
        <v>78989</v>
      </c>
      <c r="B2297" t="str">
        <f ca="1">TEXT(DATE(YEAR(Invoer!$A$5),1,1)+INT((ROWS(B$2:B2297)-1)/24),"""18""jjmmdd")</f>
        <v>18980406</v>
      </c>
      <c r="C2297" s="11" t="str">
        <f>INDEX(Data,2,2+MOD(ROWS(C$2:C2297)-1,24))</f>
        <v>16.00</v>
      </c>
      <c r="D2297" s="8" t="str">
        <f t="shared" ca="1" si="107"/>
        <v>—</v>
      </c>
      <c r="E2297" s="16">
        <f t="shared" ca="1" si="108"/>
        <v>7</v>
      </c>
    </row>
    <row r="2298" spans="1:5" x14ac:dyDescent="0.25">
      <c r="A2298" s="3">
        <f t="shared" si="106"/>
        <v>78989</v>
      </c>
      <c r="B2298" t="str">
        <f ca="1">TEXT(DATE(YEAR(Invoer!$A$5),1,1)+INT((ROWS(B$2:B2298)-1)/24),"""18""jjmmdd")</f>
        <v>18980406</v>
      </c>
      <c r="C2298" s="11" t="str">
        <f>INDEX(Data,2,2+MOD(ROWS(C$2:C2298)-1,24))</f>
        <v>17.00</v>
      </c>
      <c r="D2298" s="8" t="str">
        <f t="shared" ca="1" si="107"/>
        <v>—</v>
      </c>
      <c r="E2298" s="16">
        <f t="shared" ca="1" si="108"/>
        <v>7</v>
      </c>
    </row>
    <row r="2299" spans="1:5" x14ac:dyDescent="0.25">
      <c r="A2299" s="3">
        <f t="shared" si="106"/>
        <v>78989</v>
      </c>
      <c r="B2299" t="str">
        <f ca="1">TEXT(DATE(YEAR(Invoer!$A$5),1,1)+INT((ROWS(B$2:B2299)-1)/24),"""18""jjmmdd")</f>
        <v>18980406</v>
      </c>
      <c r="C2299" s="11" t="str">
        <f>INDEX(Data,2,2+MOD(ROWS(C$2:C2299)-1,24))</f>
        <v>18.00</v>
      </c>
      <c r="D2299" s="8" t="str">
        <f t="shared" ca="1" si="107"/>
        <v>—</v>
      </c>
      <c r="E2299" s="16">
        <f t="shared" ca="1" si="108"/>
        <v>7</v>
      </c>
    </row>
    <row r="2300" spans="1:5" x14ac:dyDescent="0.25">
      <c r="A2300" s="3">
        <f t="shared" si="106"/>
        <v>78989</v>
      </c>
      <c r="B2300" t="str">
        <f ca="1">TEXT(DATE(YEAR(Invoer!$A$5),1,1)+INT((ROWS(B$2:B2300)-1)/24),"""18""jjmmdd")</f>
        <v>18980406</v>
      </c>
      <c r="C2300" s="11" t="str">
        <f>INDEX(Data,2,2+MOD(ROWS(C$2:C2300)-1,24))</f>
        <v>19.00</v>
      </c>
      <c r="D2300" s="8" t="str">
        <f t="shared" ca="1" si="107"/>
        <v>—</v>
      </c>
      <c r="E2300" s="16">
        <f t="shared" ca="1" si="108"/>
        <v>7</v>
      </c>
    </row>
    <row r="2301" spans="1:5" x14ac:dyDescent="0.25">
      <c r="A2301" s="3">
        <f t="shared" si="106"/>
        <v>78989</v>
      </c>
      <c r="B2301" t="str">
        <f ca="1">TEXT(DATE(YEAR(Invoer!$A$5),1,1)+INT((ROWS(B$2:B2301)-1)/24),"""18""jjmmdd")</f>
        <v>18980406</v>
      </c>
      <c r="C2301" s="11" t="str">
        <f>INDEX(Data,2,2+MOD(ROWS(C$2:C2301)-1,24))</f>
        <v>20.00</v>
      </c>
      <c r="D2301" s="8" t="str">
        <f t="shared" ca="1" si="107"/>
        <v>—</v>
      </c>
      <c r="E2301" s="16">
        <f t="shared" ca="1" si="108"/>
        <v>7</v>
      </c>
    </row>
    <row r="2302" spans="1:5" x14ac:dyDescent="0.25">
      <c r="A2302" s="3">
        <f t="shared" si="106"/>
        <v>78989</v>
      </c>
      <c r="B2302" t="str">
        <f ca="1">TEXT(DATE(YEAR(Invoer!$A$5),1,1)+INT((ROWS(B$2:B2302)-1)/24),"""18""jjmmdd")</f>
        <v>18980406</v>
      </c>
      <c r="C2302" s="11" t="str">
        <f>INDEX(Data,2,2+MOD(ROWS(C$2:C2302)-1,24))</f>
        <v>21.00</v>
      </c>
      <c r="D2302" s="8" t="str">
        <f t="shared" ca="1" si="107"/>
        <v>—</v>
      </c>
      <c r="E2302" s="16">
        <f t="shared" ca="1" si="108"/>
        <v>7</v>
      </c>
    </row>
    <row r="2303" spans="1:5" x14ac:dyDescent="0.25">
      <c r="A2303" s="3">
        <f t="shared" si="106"/>
        <v>78989</v>
      </c>
      <c r="B2303" t="str">
        <f ca="1">TEXT(DATE(YEAR(Invoer!$A$5),1,1)+INT((ROWS(B$2:B2303)-1)/24),"""18""jjmmdd")</f>
        <v>18980406</v>
      </c>
      <c r="C2303" s="11" t="str">
        <f>INDEX(Data,2,2+MOD(ROWS(C$2:C2303)-1,24))</f>
        <v>22.00</v>
      </c>
      <c r="D2303" s="8" t="str">
        <f t="shared" ca="1" si="107"/>
        <v>—</v>
      </c>
      <c r="E2303" s="16">
        <f t="shared" ca="1" si="108"/>
        <v>7</v>
      </c>
    </row>
    <row r="2304" spans="1:5" x14ac:dyDescent="0.25">
      <c r="A2304" s="3">
        <f t="shared" si="106"/>
        <v>78989</v>
      </c>
      <c r="B2304" t="str">
        <f ca="1">TEXT(DATE(YEAR(Invoer!$A$5),1,1)+INT((ROWS(B$2:B2304)-1)/24),"""18""jjmmdd")</f>
        <v>18980406</v>
      </c>
      <c r="C2304" s="11" t="str">
        <f>INDEX(Data,2,2+MOD(ROWS(C$2:C2304)-1,24))</f>
        <v>23.00</v>
      </c>
      <c r="D2304" s="8" t="str">
        <f t="shared" ca="1" si="107"/>
        <v>—</v>
      </c>
      <c r="E2304" s="16">
        <f t="shared" ca="1" si="108"/>
        <v>7</v>
      </c>
    </row>
    <row r="2305" spans="1:5" x14ac:dyDescent="0.25">
      <c r="A2305" s="3">
        <f t="shared" si="106"/>
        <v>78989</v>
      </c>
      <c r="B2305" t="str">
        <f ca="1">TEXT(DATE(YEAR(Invoer!$A$5),1,1)+INT((ROWS(B$2:B2305)-1)/24),"""18""jjmmdd")</f>
        <v>18980406</v>
      </c>
      <c r="C2305" s="11" t="str">
        <f>INDEX(Data,2,2+MOD(ROWS(C$2:C2305)-1,24))</f>
        <v>24.00</v>
      </c>
      <c r="D2305" s="8" t="str">
        <f t="shared" ca="1" si="107"/>
        <v>—</v>
      </c>
      <c r="E2305" s="16">
        <f t="shared" ca="1" si="108"/>
        <v>7</v>
      </c>
    </row>
    <row r="2306" spans="1:5" x14ac:dyDescent="0.25">
      <c r="A2306" s="3">
        <f t="shared" ref="A2306:A2369" si="109">INDEX(Stations,2,1)</f>
        <v>78989</v>
      </c>
      <c r="B2306" t="str">
        <f ca="1">TEXT(DATE(YEAR(Invoer!$A$5),1,1)+INT((ROWS(B$2:B2306)-1)/24),"""18""jjmmdd")</f>
        <v>18980407</v>
      </c>
      <c r="C2306" s="11" t="str">
        <f>INDEX(Data,2,2+MOD(ROWS(C$2:C2306)-1,24))</f>
        <v>01.00</v>
      </c>
      <c r="D2306" s="8" t="str">
        <f t="shared" ref="D2306:D2369" ca="1" si="110">IF(OR(ISBLANK(VLOOKUP(DATEVALUE("37"&amp;MID($B2306,3,2)&amp;"-"&amp;MID($B2306,5,2)&amp;"-"&amp;RIGHT($B2306,2)),Data,MATCH(LEFT(VLOOKUP(D$1,Parameters,2,FALSE()),4)&amp;"*",OFFSET(Data,0,0,1),0)+MATCH($C2306,OFFSET(Data,1,0,1),0)-2,FALSE())),ISTEXT(VLOOKUP(DATEVALUE("37"&amp;MID($B2306,3,2)&amp;"-"&amp;MID($B2306,5,2)&amp;"-"&amp;RIGHT($B2306,2)),Data,MATCH(LEFT(VLOOKUP(D$1,Parameters,2,FALSE()),4)&amp;"*",OFFSET(Data,0,0,1),0)+MATCH($C2306,OFFSET(Data,1,0,1),0)-2,FALSE()))),"—",VLOOKUP(DATEVALUE("37"&amp;MID($B2306,3,2)&amp;"-"&amp;MID($B2306,5,2)&amp;"-"&amp;RIGHT($B2306,2)),Data,MATCH(LEFT(VLOOKUP(D$1,Parameters,2,FALSE()),4)&amp;"*",OFFSET(Data,0,0,1),0)+MATCH($C2306,OFFSET(Data,1,0,1),0)-2,FALSE()))</f>
        <v>—</v>
      </c>
      <c r="E2306" s="16">
        <f t="shared" ca="1" si="108"/>
        <v>7</v>
      </c>
    </row>
    <row r="2307" spans="1:5" x14ac:dyDescent="0.25">
      <c r="A2307" s="3">
        <f t="shared" si="109"/>
        <v>78989</v>
      </c>
      <c r="B2307" t="str">
        <f ca="1">TEXT(DATE(YEAR(Invoer!$A$5),1,1)+INT((ROWS(B$2:B2307)-1)/24),"""18""jjmmdd")</f>
        <v>18980407</v>
      </c>
      <c r="C2307" s="11" t="str">
        <f>INDEX(Data,2,2+MOD(ROWS(C$2:C2307)-1,24))</f>
        <v>02.00</v>
      </c>
      <c r="D2307" s="8" t="str">
        <f t="shared" ca="1" si="110"/>
        <v>—</v>
      </c>
      <c r="E2307" s="16">
        <f t="shared" ref="E2307:E2370" ca="1" si="111">IF(OR(ISBLANK(VLOOKUP(DATEVALUE("37"&amp;MID($B2307,3,2)&amp;"-"&amp;MID($B2307,5,2)&amp;"-"&amp;RIGHT($B2307,2)),Data,MATCH(LEFT(VLOOKUP(D$1,Parameters,2,FALSE()),4)&amp;"*",OFFSET(Data,0,0,1),0)+MATCH($C2307,OFFSET(Data,1,0,1),0)-2,FALSE())),ISTEXT(VLOOKUP(DATEVALUE("37"&amp;MID($B2307,3,2)&amp;"-"&amp;MID($B2307,5,2)&amp;"-"&amp;RIGHT($B2307,2)),Data,MATCH(LEFT(VLOOKUP(D$1,Parameters,2,FALSE()),4)&amp;"*",OFFSET(Data,0,0,1),0)+MATCH($C2307,OFFSET(Data,1,0,1),0)-2,FALSE()))),Lacking,IF(ISNA(MATCH(DATEVALUE("37"&amp;MID($B2307,3,2)&amp;"-"&amp;MID($B2307,5,2)&amp;"-"&amp;RIGHT($B2307,2)),OFFSET(Catalogus,0,0,,1),0)),Ok,VLOOKUP(DATEVALUE("37"&amp;MID($B2307,3,2)&amp;"-"&amp;MID($B2307,5,2)&amp;"-"&amp;RIGHT($B2307,2)),Catalogus,MATCH(LEFT(VLOOKUP(MID(E$1,2,LEN(E$1)-1),Parameters,2,FALSE()),4)&amp;"*",OFFSET(Catalogus,0,0,1),0)+MATCH($C2307,OFFSET(Catalogus,1,0,1),0)-2,FALSE())))</f>
        <v>7</v>
      </c>
    </row>
    <row r="2308" spans="1:5" x14ac:dyDescent="0.25">
      <c r="A2308" s="3">
        <f t="shared" si="109"/>
        <v>78989</v>
      </c>
      <c r="B2308" t="str">
        <f ca="1">TEXT(DATE(YEAR(Invoer!$A$5),1,1)+INT((ROWS(B$2:B2308)-1)/24),"""18""jjmmdd")</f>
        <v>18980407</v>
      </c>
      <c r="C2308" s="11" t="str">
        <f>INDEX(Data,2,2+MOD(ROWS(C$2:C2308)-1,24))</f>
        <v>03.00</v>
      </c>
      <c r="D2308" s="8" t="str">
        <f t="shared" ca="1" si="110"/>
        <v>—</v>
      </c>
      <c r="E2308" s="16">
        <f t="shared" ca="1" si="111"/>
        <v>7</v>
      </c>
    </row>
    <row r="2309" spans="1:5" x14ac:dyDescent="0.25">
      <c r="A2309" s="3">
        <f t="shared" si="109"/>
        <v>78989</v>
      </c>
      <c r="B2309" t="str">
        <f ca="1">TEXT(DATE(YEAR(Invoer!$A$5),1,1)+INT((ROWS(B$2:B2309)-1)/24),"""18""jjmmdd")</f>
        <v>18980407</v>
      </c>
      <c r="C2309" s="11" t="str">
        <f>INDEX(Data,2,2+MOD(ROWS(C$2:C2309)-1,24))</f>
        <v>04.00</v>
      </c>
      <c r="D2309" s="8" t="str">
        <f t="shared" ca="1" si="110"/>
        <v>—</v>
      </c>
      <c r="E2309" s="16">
        <f t="shared" ca="1" si="111"/>
        <v>7</v>
      </c>
    </row>
    <row r="2310" spans="1:5" x14ac:dyDescent="0.25">
      <c r="A2310" s="3">
        <f t="shared" si="109"/>
        <v>78989</v>
      </c>
      <c r="B2310" t="str">
        <f ca="1">TEXT(DATE(YEAR(Invoer!$A$5),1,1)+INT((ROWS(B$2:B2310)-1)/24),"""18""jjmmdd")</f>
        <v>18980407</v>
      </c>
      <c r="C2310" s="11" t="str">
        <f>INDEX(Data,2,2+MOD(ROWS(C$2:C2310)-1,24))</f>
        <v>05.00</v>
      </c>
      <c r="D2310" s="8" t="str">
        <f t="shared" ca="1" si="110"/>
        <v>—</v>
      </c>
      <c r="E2310" s="16">
        <f t="shared" ca="1" si="111"/>
        <v>7</v>
      </c>
    </row>
    <row r="2311" spans="1:5" x14ac:dyDescent="0.25">
      <c r="A2311" s="3">
        <f t="shared" si="109"/>
        <v>78989</v>
      </c>
      <c r="B2311" t="str">
        <f ca="1">TEXT(DATE(YEAR(Invoer!$A$5),1,1)+INT((ROWS(B$2:B2311)-1)/24),"""18""jjmmdd")</f>
        <v>18980407</v>
      </c>
      <c r="C2311" s="11" t="str">
        <f>INDEX(Data,2,2+MOD(ROWS(C$2:C2311)-1,24))</f>
        <v>06.00</v>
      </c>
      <c r="D2311" s="8" t="str">
        <f t="shared" ca="1" si="110"/>
        <v>—</v>
      </c>
      <c r="E2311" s="16">
        <f t="shared" ca="1" si="111"/>
        <v>7</v>
      </c>
    </row>
    <row r="2312" spans="1:5" x14ac:dyDescent="0.25">
      <c r="A2312" s="3">
        <f t="shared" si="109"/>
        <v>78989</v>
      </c>
      <c r="B2312" t="str">
        <f ca="1">TEXT(DATE(YEAR(Invoer!$A$5),1,1)+INT((ROWS(B$2:B2312)-1)/24),"""18""jjmmdd")</f>
        <v>18980407</v>
      </c>
      <c r="C2312" s="11" t="str">
        <f>INDEX(Data,2,2+MOD(ROWS(C$2:C2312)-1,24))</f>
        <v>07.00</v>
      </c>
      <c r="D2312" s="8" t="str">
        <f t="shared" ca="1" si="110"/>
        <v>—</v>
      </c>
      <c r="E2312" s="16">
        <f t="shared" ca="1" si="111"/>
        <v>7</v>
      </c>
    </row>
    <row r="2313" spans="1:5" x14ac:dyDescent="0.25">
      <c r="A2313" s="3">
        <f t="shared" si="109"/>
        <v>78989</v>
      </c>
      <c r="B2313" t="str">
        <f ca="1">TEXT(DATE(YEAR(Invoer!$A$5),1,1)+INT((ROWS(B$2:B2313)-1)/24),"""18""jjmmdd")</f>
        <v>18980407</v>
      </c>
      <c r="C2313" s="11" t="str">
        <f>INDEX(Data,2,2+MOD(ROWS(C$2:C2313)-1,24))</f>
        <v>08.00</v>
      </c>
      <c r="D2313" s="8" t="str">
        <f t="shared" ca="1" si="110"/>
        <v>—</v>
      </c>
      <c r="E2313" s="16">
        <f t="shared" ca="1" si="111"/>
        <v>7</v>
      </c>
    </row>
    <row r="2314" spans="1:5" x14ac:dyDescent="0.25">
      <c r="A2314" s="3">
        <f t="shared" si="109"/>
        <v>78989</v>
      </c>
      <c r="B2314" t="str">
        <f ca="1">TEXT(DATE(YEAR(Invoer!$A$5),1,1)+INT((ROWS(B$2:B2314)-1)/24),"""18""jjmmdd")</f>
        <v>18980407</v>
      </c>
      <c r="C2314" s="11" t="str">
        <f>INDEX(Data,2,2+MOD(ROWS(C$2:C2314)-1,24))</f>
        <v>09.00</v>
      </c>
      <c r="D2314" s="8" t="str">
        <f t="shared" ca="1" si="110"/>
        <v>—</v>
      </c>
      <c r="E2314" s="16">
        <f t="shared" ca="1" si="111"/>
        <v>7</v>
      </c>
    </row>
    <row r="2315" spans="1:5" x14ac:dyDescent="0.25">
      <c r="A2315" s="3">
        <f t="shared" si="109"/>
        <v>78989</v>
      </c>
      <c r="B2315" t="str">
        <f ca="1">TEXT(DATE(YEAR(Invoer!$A$5),1,1)+INT((ROWS(B$2:B2315)-1)/24),"""18""jjmmdd")</f>
        <v>18980407</v>
      </c>
      <c r="C2315" s="11" t="str">
        <f>INDEX(Data,2,2+MOD(ROWS(C$2:C2315)-1,24))</f>
        <v>10.00</v>
      </c>
      <c r="D2315" s="8" t="str">
        <f t="shared" ca="1" si="110"/>
        <v>—</v>
      </c>
      <c r="E2315" s="16">
        <f t="shared" ca="1" si="111"/>
        <v>7</v>
      </c>
    </row>
    <row r="2316" spans="1:5" x14ac:dyDescent="0.25">
      <c r="A2316" s="3">
        <f t="shared" si="109"/>
        <v>78989</v>
      </c>
      <c r="B2316" t="str">
        <f ca="1">TEXT(DATE(YEAR(Invoer!$A$5),1,1)+INT((ROWS(B$2:B2316)-1)/24),"""18""jjmmdd")</f>
        <v>18980407</v>
      </c>
      <c r="C2316" s="11" t="str">
        <f>INDEX(Data,2,2+MOD(ROWS(C$2:C2316)-1,24))</f>
        <v>11.00</v>
      </c>
      <c r="D2316" s="8" t="str">
        <f t="shared" ca="1" si="110"/>
        <v>—</v>
      </c>
      <c r="E2316" s="16">
        <f t="shared" ca="1" si="111"/>
        <v>7</v>
      </c>
    </row>
    <row r="2317" spans="1:5" x14ac:dyDescent="0.25">
      <c r="A2317" s="3">
        <f t="shared" si="109"/>
        <v>78989</v>
      </c>
      <c r="B2317" t="str">
        <f ca="1">TEXT(DATE(YEAR(Invoer!$A$5),1,1)+INT((ROWS(B$2:B2317)-1)/24),"""18""jjmmdd")</f>
        <v>18980407</v>
      </c>
      <c r="C2317" s="11" t="str">
        <f>INDEX(Data,2,2+MOD(ROWS(C$2:C2317)-1,24))</f>
        <v>12.00</v>
      </c>
      <c r="D2317" s="8" t="str">
        <f t="shared" ca="1" si="110"/>
        <v>—</v>
      </c>
      <c r="E2317" s="16">
        <f t="shared" ca="1" si="111"/>
        <v>7</v>
      </c>
    </row>
    <row r="2318" spans="1:5" x14ac:dyDescent="0.25">
      <c r="A2318" s="3">
        <f t="shared" si="109"/>
        <v>78989</v>
      </c>
      <c r="B2318" t="str">
        <f ca="1">TEXT(DATE(YEAR(Invoer!$A$5),1,1)+INT((ROWS(B$2:B2318)-1)/24),"""18""jjmmdd")</f>
        <v>18980407</v>
      </c>
      <c r="C2318" s="11" t="str">
        <f>INDEX(Data,2,2+MOD(ROWS(C$2:C2318)-1,24))</f>
        <v>13.00</v>
      </c>
      <c r="D2318" s="8" t="str">
        <f t="shared" ca="1" si="110"/>
        <v>—</v>
      </c>
      <c r="E2318" s="16">
        <f t="shared" ca="1" si="111"/>
        <v>7</v>
      </c>
    </row>
    <row r="2319" spans="1:5" x14ac:dyDescent="0.25">
      <c r="A2319" s="3">
        <f t="shared" si="109"/>
        <v>78989</v>
      </c>
      <c r="B2319" t="str">
        <f ca="1">TEXT(DATE(YEAR(Invoer!$A$5),1,1)+INT((ROWS(B$2:B2319)-1)/24),"""18""jjmmdd")</f>
        <v>18980407</v>
      </c>
      <c r="C2319" s="11" t="str">
        <f>INDEX(Data,2,2+MOD(ROWS(C$2:C2319)-1,24))</f>
        <v>14.00</v>
      </c>
      <c r="D2319" s="8" t="str">
        <f t="shared" ca="1" si="110"/>
        <v>—</v>
      </c>
      <c r="E2319" s="16">
        <f t="shared" ca="1" si="111"/>
        <v>7</v>
      </c>
    </row>
    <row r="2320" spans="1:5" x14ac:dyDescent="0.25">
      <c r="A2320" s="3">
        <f t="shared" si="109"/>
        <v>78989</v>
      </c>
      <c r="B2320" t="str">
        <f ca="1">TEXT(DATE(YEAR(Invoer!$A$5),1,1)+INT((ROWS(B$2:B2320)-1)/24),"""18""jjmmdd")</f>
        <v>18980407</v>
      </c>
      <c r="C2320" s="11" t="str">
        <f>INDEX(Data,2,2+MOD(ROWS(C$2:C2320)-1,24))</f>
        <v>15.00</v>
      </c>
      <c r="D2320" s="8" t="str">
        <f t="shared" ca="1" si="110"/>
        <v>—</v>
      </c>
      <c r="E2320" s="16">
        <f t="shared" ca="1" si="111"/>
        <v>7</v>
      </c>
    </row>
    <row r="2321" spans="1:5" x14ac:dyDescent="0.25">
      <c r="A2321" s="3">
        <f t="shared" si="109"/>
        <v>78989</v>
      </c>
      <c r="B2321" t="str">
        <f ca="1">TEXT(DATE(YEAR(Invoer!$A$5),1,1)+INT((ROWS(B$2:B2321)-1)/24),"""18""jjmmdd")</f>
        <v>18980407</v>
      </c>
      <c r="C2321" s="11" t="str">
        <f>INDEX(Data,2,2+MOD(ROWS(C$2:C2321)-1,24))</f>
        <v>16.00</v>
      </c>
      <c r="D2321" s="8" t="str">
        <f t="shared" ca="1" si="110"/>
        <v>—</v>
      </c>
      <c r="E2321" s="16">
        <f t="shared" ca="1" si="111"/>
        <v>7</v>
      </c>
    </row>
    <row r="2322" spans="1:5" x14ac:dyDescent="0.25">
      <c r="A2322" s="3">
        <f t="shared" si="109"/>
        <v>78989</v>
      </c>
      <c r="B2322" t="str">
        <f ca="1">TEXT(DATE(YEAR(Invoer!$A$5),1,1)+INT((ROWS(B$2:B2322)-1)/24),"""18""jjmmdd")</f>
        <v>18980407</v>
      </c>
      <c r="C2322" s="11" t="str">
        <f>INDEX(Data,2,2+MOD(ROWS(C$2:C2322)-1,24))</f>
        <v>17.00</v>
      </c>
      <c r="D2322" s="8" t="str">
        <f t="shared" ca="1" si="110"/>
        <v>—</v>
      </c>
      <c r="E2322" s="16">
        <f t="shared" ca="1" si="111"/>
        <v>7</v>
      </c>
    </row>
    <row r="2323" spans="1:5" x14ac:dyDescent="0.25">
      <c r="A2323" s="3">
        <f t="shared" si="109"/>
        <v>78989</v>
      </c>
      <c r="B2323" t="str">
        <f ca="1">TEXT(DATE(YEAR(Invoer!$A$5),1,1)+INT((ROWS(B$2:B2323)-1)/24),"""18""jjmmdd")</f>
        <v>18980407</v>
      </c>
      <c r="C2323" s="11" t="str">
        <f>INDEX(Data,2,2+MOD(ROWS(C$2:C2323)-1,24))</f>
        <v>18.00</v>
      </c>
      <c r="D2323" s="8" t="str">
        <f t="shared" ca="1" si="110"/>
        <v>—</v>
      </c>
      <c r="E2323" s="16">
        <f t="shared" ca="1" si="111"/>
        <v>7</v>
      </c>
    </row>
    <row r="2324" spans="1:5" x14ac:dyDescent="0.25">
      <c r="A2324" s="3">
        <f t="shared" si="109"/>
        <v>78989</v>
      </c>
      <c r="B2324" t="str">
        <f ca="1">TEXT(DATE(YEAR(Invoer!$A$5),1,1)+INT((ROWS(B$2:B2324)-1)/24),"""18""jjmmdd")</f>
        <v>18980407</v>
      </c>
      <c r="C2324" s="11" t="str">
        <f>INDEX(Data,2,2+MOD(ROWS(C$2:C2324)-1,24))</f>
        <v>19.00</v>
      </c>
      <c r="D2324" s="8" t="str">
        <f t="shared" ca="1" si="110"/>
        <v>—</v>
      </c>
      <c r="E2324" s="16">
        <f t="shared" ca="1" si="111"/>
        <v>7</v>
      </c>
    </row>
    <row r="2325" spans="1:5" x14ac:dyDescent="0.25">
      <c r="A2325" s="3">
        <f t="shared" si="109"/>
        <v>78989</v>
      </c>
      <c r="B2325" t="str">
        <f ca="1">TEXT(DATE(YEAR(Invoer!$A$5),1,1)+INT((ROWS(B$2:B2325)-1)/24),"""18""jjmmdd")</f>
        <v>18980407</v>
      </c>
      <c r="C2325" s="11" t="str">
        <f>INDEX(Data,2,2+MOD(ROWS(C$2:C2325)-1,24))</f>
        <v>20.00</v>
      </c>
      <c r="D2325" s="8" t="str">
        <f t="shared" ca="1" si="110"/>
        <v>—</v>
      </c>
      <c r="E2325" s="16">
        <f t="shared" ca="1" si="111"/>
        <v>7</v>
      </c>
    </row>
    <row r="2326" spans="1:5" x14ac:dyDescent="0.25">
      <c r="A2326" s="3">
        <f t="shared" si="109"/>
        <v>78989</v>
      </c>
      <c r="B2326" t="str">
        <f ca="1">TEXT(DATE(YEAR(Invoer!$A$5),1,1)+INT((ROWS(B$2:B2326)-1)/24),"""18""jjmmdd")</f>
        <v>18980407</v>
      </c>
      <c r="C2326" s="11" t="str">
        <f>INDEX(Data,2,2+MOD(ROWS(C$2:C2326)-1,24))</f>
        <v>21.00</v>
      </c>
      <c r="D2326" s="8" t="str">
        <f t="shared" ca="1" si="110"/>
        <v>—</v>
      </c>
      <c r="E2326" s="16">
        <f t="shared" ca="1" si="111"/>
        <v>7</v>
      </c>
    </row>
    <row r="2327" spans="1:5" x14ac:dyDescent="0.25">
      <c r="A2327" s="3">
        <f t="shared" si="109"/>
        <v>78989</v>
      </c>
      <c r="B2327" t="str">
        <f ca="1">TEXT(DATE(YEAR(Invoer!$A$5),1,1)+INT((ROWS(B$2:B2327)-1)/24),"""18""jjmmdd")</f>
        <v>18980407</v>
      </c>
      <c r="C2327" s="11" t="str">
        <f>INDEX(Data,2,2+MOD(ROWS(C$2:C2327)-1,24))</f>
        <v>22.00</v>
      </c>
      <c r="D2327" s="8" t="str">
        <f t="shared" ca="1" si="110"/>
        <v>—</v>
      </c>
      <c r="E2327" s="16">
        <f t="shared" ca="1" si="111"/>
        <v>7</v>
      </c>
    </row>
    <row r="2328" spans="1:5" x14ac:dyDescent="0.25">
      <c r="A2328" s="3">
        <f t="shared" si="109"/>
        <v>78989</v>
      </c>
      <c r="B2328" t="str">
        <f ca="1">TEXT(DATE(YEAR(Invoer!$A$5),1,1)+INT((ROWS(B$2:B2328)-1)/24),"""18""jjmmdd")</f>
        <v>18980407</v>
      </c>
      <c r="C2328" s="11" t="str">
        <f>INDEX(Data,2,2+MOD(ROWS(C$2:C2328)-1,24))</f>
        <v>23.00</v>
      </c>
      <c r="D2328" s="8" t="str">
        <f t="shared" ca="1" si="110"/>
        <v>—</v>
      </c>
      <c r="E2328" s="16">
        <f t="shared" ca="1" si="111"/>
        <v>7</v>
      </c>
    </row>
    <row r="2329" spans="1:5" x14ac:dyDescent="0.25">
      <c r="A2329" s="3">
        <f t="shared" si="109"/>
        <v>78989</v>
      </c>
      <c r="B2329" t="str">
        <f ca="1">TEXT(DATE(YEAR(Invoer!$A$5),1,1)+INT((ROWS(B$2:B2329)-1)/24),"""18""jjmmdd")</f>
        <v>18980407</v>
      </c>
      <c r="C2329" s="11" t="str">
        <f>INDEX(Data,2,2+MOD(ROWS(C$2:C2329)-1,24))</f>
        <v>24.00</v>
      </c>
      <c r="D2329" s="8" t="str">
        <f t="shared" ca="1" si="110"/>
        <v>—</v>
      </c>
      <c r="E2329" s="16">
        <f t="shared" ca="1" si="111"/>
        <v>7</v>
      </c>
    </row>
    <row r="2330" spans="1:5" x14ac:dyDescent="0.25">
      <c r="A2330" s="3">
        <f t="shared" si="109"/>
        <v>78989</v>
      </c>
      <c r="B2330" t="str">
        <f ca="1">TEXT(DATE(YEAR(Invoer!$A$5),1,1)+INT((ROWS(B$2:B2330)-1)/24),"""18""jjmmdd")</f>
        <v>18980408</v>
      </c>
      <c r="C2330" s="11" t="str">
        <f>INDEX(Data,2,2+MOD(ROWS(C$2:C2330)-1,24))</f>
        <v>01.00</v>
      </c>
      <c r="D2330" s="8" t="str">
        <f t="shared" ca="1" si="110"/>
        <v>—</v>
      </c>
      <c r="E2330" s="16">
        <f t="shared" ca="1" si="111"/>
        <v>7</v>
      </c>
    </row>
    <row r="2331" spans="1:5" x14ac:dyDescent="0.25">
      <c r="A2331" s="3">
        <f t="shared" si="109"/>
        <v>78989</v>
      </c>
      <c r="B2331" t="str">
        <f ca="1">TEXT(DATE(YEAR(Invoer!$A$5),1,1)+INT((ROWS(B$2:B2331)-1)/24),"""18""jjmmdd")</f>
        <v>18980408</v>
      </c>
      <c r="C2331" s="11" t="str">
        <f>INDEX(Data,2,2+MOD(ROWS(C$2:C2331)-1,24))</f>
        <v>02.00</v>
      </c>
      <c r="D2331" s="8" t="str">
        <f t="shared" ca="1" si="110"/>
        <v>—</v>
      </c>
      <c r="E2331" s="16">
        <f t="shared" ca="1" si="111"/>
        <v>7</v>
      </c>
    </row>
    <row r="2332" spans="1:5" x14ac:dyDescent="0.25">
      <c r="A2332" s="3">
        <f t="shared" si="109"/>
        <v>78989</v>
      </c>
      <c r="B2332" t="str">
        <f ca="1">TEXT(DATE(YEAR(Invoer!$A$5),1,1)+INT((ROWS(B$2:B2332)-1)/24),"""18""jjmmdd")</f>
        <v>18980408</v>
      </c>
      <c r="C2332" s="11" t="str">
        <f>INDEX(Data,2,2+MOD(ROWS(C$2:C2332)-1,24))</f>
        <v>03.00</v>
      </c>
      <c r="D2332" s="8" t="str">
        <f t="shared" ca="1" si="110"/>
        <v>—</v>
      </c>
      <c r="E2332" s="16">
        <f t="shared" ca="1" si="111"/>
        <v>7</v>
      </c>
    </row>
    <row r="2333" spans="1:5" x14ac:dyDescent="0.25">
      <c r="A2333" s="3">
        <f t="shared" si="109"/>
        <v>78989</v>
      </c>
      <c r="B2333" t="str">
        <f ca="1">TEXT(DATE(YEAR(Invoer!$A$5),1,1)+INT((ROWS(B$2:B2333)-1)/24),"""18""jjmmdd")</f>
        <v>18980408</v>
      </c>
      <c r="C2333" s="11" t="str">
        <f>INDEX(Data,2,2+MOD(ROWS(C$2:C2333)-1,24))</f>
        <v>04.00</v>
      </c>
      <c r="D2333" s="8" t="str">
        <f t="shared" ca="1" si="110"/>
        <v>—</v>
      </c>
      <c r="E2333" s="16">
        <f t="shared" ca="1" si="111"/>
        <v>7</v>
      </c>
    </row>
    <row r="2334" spans="1:5" x14ac:dyDescent="0.25">
      <c r="A2334" s="3">
        <f t="shared" si="109"/>
        <v>78989</v>
      </c>
      <c r="B2334" t="str">
        <f ca="1">TEXT(DATE(YEAR(Invoer!$A$5),1,1)+INT((ROWS(B$2:B2334)-1)/24),"""18""jjmmdd")</f>
        <v>18980408</v>
      </c>
      <c r="C2334" s="11" t="str">
        <f>INDEX(Data,2,2+MOD(ROWS(C$2:C2334)-1,24))</f>
        <v>05.00</v>
      </c>
      <c r="D2334" s="8" t="str">
        <f t="shared" ca="1" si="110"/>
        <v>—</v>
      </c>
      <c r="E2334" s="16">
        <f t="shared" ca="1" si="111"/>
        <v>7</v>
      </c>
    </row>
    <row r="2335" spans="1:5" x14ac:dyDescent="0.25">
      <c r="A2335" s="3">
        <f t="shared" si="109"/>
        <v>78989</v>
      </c>
      <c r="B2335" t="str">
        <f ca="1">TEXT(DATE(YEAR(Invoer!$A$5),1,1)+INT((ROWS(B$2:B2335)-1)/24),"""18""jjmmdd")</f>
        <v>18980408</v>
      </c>
      <c r="C2335" s="11" t="str">
        <f>INDEX(Data,2,2+MOD(ROWS(C$2:C2335)-1,24))</f>
        <v>06.00</v>
      </c>
      <c r="D2335" s="8" t="str">
        <f t="shared" ca="1" si="110"/>
        <v>—</v>
      </c>
      <c r="E2335" s="16">
        <f t="shared" ca="1" si="111"/>
        <v>7</v>
      </c>
    </row>
    <row r="2336" spans="1:5" x14ac:dyDescent="0.25">
      <c r="A2336" s="3">
        <f t="shared" si="109"/>
        <v>78989</v>
      </c>
      <c r="B2336" t="str">
        <f ca="1">TEXT(DATE(YEAR(Invoer!$A$5),1,1)+INT((ROWS(B$2:B2336)-1)/24),"""18""jjmmdd")</f>
        <v>18980408</v>
      </c>
      <c r="C2336" s="11" t="str">
        <f>INDEX(Data,2,2+MOD(ROWS(C$2:C2336)-1,24))</f>
        <v>07.00</v>
      </c>
      <c r="D2336" s="8" t="str">
        <f t="shared" ca="1" si="110"/>
        <v>—</v>
      </c>
      <c r="E2336" s="16">
        <f t="shared" ca="1" si="111"/>
        <v>7</v>
      </c>
    </row>
    <row r="2337" spans="1:5" x14ac:dyDescent="0.25">
      <c r="A2337" s="3">
        <f t="shared" si="109"/>
        <v>78989</v>
      </c>
      <c r="B2337" t="str">
        <f ca="1">TEXT(DATE(YEAR(Invoer!$A$5),1,1)+INT((ROWS(B$2:B2337)-1)/24),"""18""jjmmdd")</f>
        <v>18980408</v>
      </c>
      <c r="C2337" s="11" t="str">
        <f>INDEX(Data,2,2+MOD(ROWS(C$2:C2337)-1,24))</f>
        <v>08.00</v>
      </c>
      <c r="D2337" s="8" t="str">
        <f t="shared" ca="1" si="110"/>
        <v>—</v>
      </c>
      <c r="E2337" s="16">
        <f t="shared" ca="1" si="111"/>
        <v>7</v>
      </c>
    </row>
    <row r="2338" spans="1:5" x14ac:dyDescent="0.25">
      <c r="A2338" s="3">
        <f t="shared" si="109"/>
        <v>78989</v>
      </c>
      <c r="B2338" t="str">
        <f ca="1">TEXT(DATE(YEAR(Invoer!$A$5),1,1)+INT((ROWS(B$2:B2338)-1)/24),"""18""jjmmdd")</f>
        <v>18980408</v>
      </c>
      <c r="C2338" s="11" t="str">
        <f>INDEX(Data,2,2+MOD(ROWS(C$2:C2338)-1,24))</f>
        <v>09.00</v>
      </c>
      <c r="D2338" s="8" t="str">
        <f t="shared" ca="1" si="110"/>
        <v>—</v>
      </c>
      <c r="E2338" s="16">
        <f t="shared" ca="1" si="111"/>
        <v>7</v>
      </c>
    </row>
    <row r="2339" spans="1:5" x14ac:dyDescent="0.25">
      <c r="A2339" s="3">
        <f t="shared" si="109"/>
        <v>78989</v>
      </c>
      <c r="B2339" t="str">
        <f ca="1">TEXT(DATE(YEAR(Invoer!$A$5),1,1)+INT((ROWS(B$2:B2339)-1)/24),"""18""jjmmdd")</f>
        <v>18980408</v>
      </c>
      <c r="C2339" s="11" t="str">
        <f>INDEX(Data,2,2+MOD(ROWS(C$2:C2339)-1,24))</f>
        <v>10.00</v>
      </c>
      <c r="D2339" s="8" t="str">
        <f t="shared" ca="1" si="110"/>
        <v>—</v>
      </c>
      <c r="E2339" s="16">
        <f t="shared" ca="1" si="111"/>
        <v>7</v>
      </c>
    </row>
    <row r="2340" spans="1:5" x14ac:dyDescent="0.25">
      <c r="A2340" s="3">
        <f t="shared" si="109"/>
        <v>78989</v>
      </c>
      <c r="B2340" t="str">
        <f ca="1">TEXT(DATE(YEAR(Invoer!$A$5),1,1)+INT((ROWS(B$2:B2340)-1)/24),"""18""jjmmdd")</f>
        <v>18980408</v>
      </c>
      <c r="C2340" s="11" t="str">
        <f>INDEX(Data,2,2+MOD(ROWS(C$2:C2340)-1,24))</f>
        <v>11.00</v>
      </c>
      <c r="D2340" s="8" t="str">
        <f t="shared" ca="1" si="110"/>
        <v>—</v>
      </c>
      <c r="E2340" s="16">
        <f t="shared" ca="1" si="111"/>
        <v>7</v>
      </c>
    </row>
    <row r="2341" spans="1:5" x14ac:dyDescent="0.25">
      <c r="A2341" s="3">
        <f t="shared" si="109"/>
        <v>78989</v>
      </c>
      <c r="B2341" t="str">
        <f ca="1">TEXT(DATE(YEAR(Invoer!$A$5),1,1)+INT((ROWS(B$2:B2341)-1)/24),"""18""jjmmdd")</f>
        <v>18980408</v>
      </c>
      <c r="C2341" s="11" t="str">
        <f>INDEX(Data,2,2+MOD(ROWS(C$2:C2341)-1,24))</f>
        <v>12.00</v>
      </c>
      <c r="D2341" s="8" t="str">
        <f t="shared" ca="1" si="110"/>
        <v>—</v>
      </c>
      <c r="E2341" s="16">
        <f t="shared" ca="1" si="111"/>
        <v>7</v>
      </c>
    </row>
    <row r="2342" spans="1:5" x14ac:dyDescent="0.25">
      <c r="A2342" s="3">
        <f t="shared" si="109"/>
        <v>78989</v>
      </c>
      <c r="B2342" t="str">
        <f ca="1">TEXT(DATE(YEAR(Invoer!$A$5),1,1)+INT((ROWS(B$2:B2342)-1)/24),"""18""jjmmdd")</f>
        <v>18980408</v>
      </c>
      <c r="C2342" s="11" t="str">
        <f>INDEX(Data,2,2+MOD(ROWS(C$2:C2342)-1,24))</f>
        <v>13.00</v>
      </c>
      <c r="D2342" s="8" t="str">
        <f t="shared" ca="1" si="110"/>
        <v>—</v>
      </c>
      <c r="E2342" s="16">
        <f t="shared" ca="1" si="111"/>
        <v>7</v>
      </c>
    </row>
    <row r="2343" spans="1:5" x14ac:dyDescent="0.25">
      <c r="A2343" s="3">
        <f t="shared" si="109"/>
        <v>78989</v>
      </c>
      <c r="B2343" t="str">
        <f ca="1">TEXT(DATE(YEAR(Invoer!$A$5),1,1)+INT((ROWS(B$2:B2343)-1)/24),"""18""jjmmdd")</f>
        <v>18980408</v>
      </c>
      <c r="C2343" s="11" t="str">
        <f>INDEX(Data,2,2+MOD(ROWS(C$2:C2343)-1,24))</f>
        <v>14.00</v>
      </c>
      <c r="D2343" s="8" t="str">
        <f t="shared" ca="1" si="110"/>
        <v>—</v>
      </c>
      <c r="E2343" s="16">
        <f t="shared" ca="1" si="111"/>
        <v>7</v>
      </c>
    </row>
    <row r="2344" spans="1:5" x14ac:dyDescent="0.25">
      <c r="A2344" s="3">
        <f t="shared" si="109"/>
        <v>78989</v>
      </c>
      <c r="B2344" t="str">
        <f ca="1">TEXT(DATE(YEAR(Invoer!$A$5),1,1)+INT((ROWS(B$2:B2344)-1)/24),"""18""jjmmdd")</f>
        <v>18980408</v>
      </c>
      <c r="C2344" s="11" t="str">
        <f>INDEX(Data,2,2+MOD(ROWS(C$2:C2344)-1,24))</f>
        <v>15.00</v>
      </c>
      <c r="D2344" s="8" t="str">
        <f t="shared" ca="1" si="110"/>
        <v>—</v>
      </c>
      <c r="E2344" s="16">
        <f t="shared" ca="1" si="111"/>
        <v>7</v>
      </c>
    </row>
    <row r="2345" spans="1:5" x14ac:dyDescent="0.25">
      <c r="A2345" s="3">
        <f t="shared" si="109"/>
        <v>78989</v>
      </c>
      <c r="B2345" t="str">
        <f ca="1">TEXT(DATE(YEAR(Invoer!$A$5),1,1)+INT((ROWS(B$2:B2345)-1)/24),"""18""jjmmdd")</f>
        <v>18980408</v>
      </c>
      <c r="C2345" s="11" t="str">
        <f>INDEX(Data,2,2+MOD(ROWS(C$2:C2345)-1,24))</f>
        <v>16.00</v>
      </c>
      <c r="D2345" s="8" t="str">
        <f t="shared" ca="1" si="110"/>
        <v>—</v>
      </c>
      <c r="E2345" s="16">
        <f t="shared" ca="1" si="111"/>
        <v>7</v>
      </c>
    </row>
    <row r="2346" spans="1:5" x14ac:dyDescent="0.25">
      <c r="A2346" s="3">
        <f t="shared" si="109"/>
        <v>78989</v>
      </c>
      <c r="B2346" t="str">
        <f ca="1">TEXT(DATE(YEAR(Invoer!$A$5),1,1)+INT((ROWS(B$2:B2346)-1)/24),"""18""jjmmdd")</f>
        <v>18980408</v>
      </c>
      <c r="C2346" s="11" t="str">
        <f>INDEX(Data,2,2+MOD(ROWS(C$2:C2346)-1,24))</f>
        <v>17.00</v>
      </c>
      <c r="D2346" s="8" t="str">
        <f t="shared" ca="1" si="110"/>
        <v>—</v>
      </c>
      <c r="E2346" s="16">
        <f t="shared" ca="1" si="111"/>
        <v>7</v>
      </c>
    </row>
    <row r="2347" spans="1:5" x14ac:dyDescent="0.25">
      <c r="A2347" s="3">
        <f t="shared" si="109"/>
        <v>78989</v>
      </c>
      <c r="B2347" t="str">
        <f ca="1">TEXT(DATE(YEAR(Invoer!$A$5),1,1)+INT((ROWS(B$2:B2347)-1)/24),"""18""jjmmdd")</f>
        <v>18980408</v>
      </c>
      <c r="C2347" s="11" t="str">
        <f>INDEX(Data,2,2+MOD(ROWS(C$2:C2347)-1,24))</f>
        <v>18.00</v>
      </c>
      <c r="D2347" s="8" t="str">
        <f t="shared" ca="1" si="110"/>
        <v>—</v>
      </c>
      <c r="E2347" s="16">
        <f t="shared" ca="1" si="111"/>
        <v>7</v>
      </c>
    </row>
    <row r="2348" spans="1:5" x14ac:dyDescent="0.25">
      <c r="A2348" s="3">
        <f t="shared" si="109"/>
        <v>78989</v>
      </c>
      <c r="B2348" t="str">
        <f ca="1">TEXT(DATE(YEAR(Invoer!$A$5),1,1)+INT((ROWS(B$2:B2348)-1)/24),"""18""jjmmdd")</f>
        <v>18980408</v>
      </c>
      <c r="C2348" s="11" t="str">
        <f>INDEX(Data,2,2+MOD(ROWS(C$2:C2348)-1,24))</f>
        <v>19.00</v>
      </c>
      <c r="D2348" s="8" t="str">
        <f t="shared" ca="1" si="110"/>
        <v>—</v>
      </c>
      <c r="E2348" s="16">
        <f t="shared" ca="1" si="111"/>
        <v>7</v>
      </c>
    </row>
    <row r="2349" spans="1:5" x14ac:dyDescent="0.25">
      <c r="A2349" s="3">
        <f t="shared" si="109"/>
        <v>78989</v>
      </c>
      <c r="B2349" t="str">
        <f ca="1">TEXT(DATE(YEAR(Invoer!$A$5),1,1)+INT((ROWS(B$2:B2349)-1)/24),"""18""jjmmdd")</f>
        <v>18980408</v>
      </c>
      <c r="C2349" s="11" t="str">
        <f>INDEX(Data,2,2+MOD(ROWS(C$2:C2349)-1,24))</f>
        <v>20.00</v>
      </c>
      <c r="D2349" s="8" t="str">
        <f t="shared" ca="1" si="110"/>
        <v>—</v>
      </c>
      <c r="E2349" s="16">
        <f t="shared" ca="1" si="111"/>
        <v>7</v>
      </c>
    </row>
    <row r="2350" spans="1:5" x14ac:dyDescent="0.25">
      <c r="A2350" s="3">
        <f t="shared" si="109"/>
        <v>78989</v>
      </c>
      <c r="B2350" t="str">
        <f ca="1">TEXT(DATE(YEAR(Invoer!$A$5),1,1)+INT((ROWS(B$2:B2350)-1)/24),"""18""jjmmdd")</f>
        <v>18980408</v>
      </c>
      <c r="C2350" s="11" t="str">
        <f>INDEX(Data,2,2+MOD(ROWS(C$2:C2350)-1,24))</f>
        <v>21.00</v>
      </c>
      <c r="D2350" s="8" t="str">
        <f t="shared" ca="1" si="110"/>
        <v>—</v>
      </c>
      <c r="E2350" s="16">
        <f t="shared" ca="1" si="111"/>
        <v>7</v>
      </c>
    </row>
    <row r="2351" spans="1:5" x14ac:dyDescent="0.25">
      <c r="A2351" s="3">
        <f t="shared" si="109"/>
        <v>78989</v>
      </c>
      <c r="B2351" t="str">
        <f ca="1">TEXT(DATE(YEAR(Invoer!$A$5),1,1)+INT((ROWS(B$2:B2351)-1)/24),"""18""jjmmdd")</f>
        <v>18980408</v>
      </c>
      <c r="C2351" s="11" t="str">
        <f>INDEX(Data,2,2+MOD(ROWS(C$2:C2351)-1,24))</f>
        <v>22.00</v>
      </c>
      <c r="D2351" s="8" t="str">
        <f t="shared" ca="1" si="110"/>
        <v>—</v>
      </c>
      <c r="E2351" s="16">
        <f t="shared" ca="1" si="111"/>
        <v>7</v>
      </c>
    </row>
    <row r="2352" spans="1:5" x14ac:dyDescent="0.25">
      <c r="A2352" s="3">
        <f t="shared" si="109"/>
        <v>78989</v>
      </c>
      <c r="B2352" t="str">
        <f ca="1">TEXT(DATE(YEAR(Invoer!$A$5),1,1)+INT((ROWS(B$2:B2352)-1)/24),"""18""jjmmdd")</f>
        <v>18980408</v>
      </c>
      <c r="C2352" s="11" t="str">
        <f>INDEX(Data,2,2+MOD(ROWS(C$2:C2352)-1,24))</f>
        <v>23.00</v>
      </c>
      <c r="D2352" s="8" t="str">
        <f t="shared" ca="1" si="110"/>
        <v>—</v>
      </c>
      <c r="E2352" s="16">
        <f t="shared" ca="1" si="111"/>
        <v>7</v>
      </c>
    </row>
    <row r="2353" spans="1:5" x14ac:dyDescent="0.25">
      <c r="A2353" s="3">
        <f t="shared" si="109"/>
        <v>78989</v>
      </c>
      <c r="B2353" t="str">
        <f ca="1">TEXT(DATE(YEAR(Invoer!$A$5),1,1)+INT((ROWS(B$2:B2353)-1)/24),"""18""jjmmdd")</f>
        <v>18980408</v>
      </c>
      <c r="C2353" s="11" t="str">
        <f>INDEX(Data,2,2+MOD(ROWS(C$2:C2353)-1,24))</f>
        <v>24.00</v>
      </c>
      <c r="D2353" s="8" t="str">
        <f t="shared" ca="1" si="110"/>
        <v>—</v>
      </c>
      <c r="E2353" s="16">
        <f t="shared" ca="1" si="111"/>
        <v>7</v>
      </c>
    </row>
    <row r="2354" spans="1:5" x14ac:dyDescent="0.25">
      <c r="A2354" s="3">
        <f t="shared" si="109"/>
        <v>78989</v>
      </c>
      <c r="B2354" t="str">
        <f ca="1">TEXT(DATE(YEAR(Invoer!$A$5),1,1)+INT((ROWS(B$2:B2354)-1)/24),"""18""jjmmdd")</f>
        <v>18980409</v>
      </c>
      <c r="C2354" s="11" t="str">
        <f>INDEX(Data,2,2+MOD(ROWS(C$2:C2354)-1,24))</f>
        <v>01.00</v>
      </c>
      <c r="D2354" s="8" t="str">
        <f t="shared" ca="1" si="110"/>
        <v>—</v>
      </c>
      <c r="E2354" s="16">
        <f t="shared" ca="1" si="111"/>
        <v>7</v>
      </c>
    </row>
    <row r="2355" spans="1:5" x14ac:dyDescent="0.25">
      <c r="A2355" s="3">
        <f t="shared" si="109"/>
        <v>78989</v>
      </c>
      <c r="B2355" t="str">
        <f ca="1">TEXT(DATE(YEAR(Invoer!$A$5),1,1)+INT((ROWS(B$2:B2355)-1)/24),"""18""jjmmdd")</f>
        <v>18980409</v>
      </c>
      <c r="C2355" s="11" t="str">
        <f>INDEX(Data,2,2+MOD(ROWS(C$2:C2355)-1,24))</f>
        <v>02.00</v>
      </c>
      <c r="D2355" s="8" t="str">
        <f t="shared" ca="1" si="110"/>
        <v>—</v>
      </c>
      <c r="E2355" s="16">
        <f t="shared" ca="1" si="111"/>
        <v>7</v>
      </c>
    </row>
    <row r="2356" spans="1:5" x14ac:dyDescent="0.25">
      <c r="A2356" s="3">
        <f t="shared" si="109"/>
        <v>78989</v>
      </c>
      <c r="B2356" t="str">
        <f ca="1">TEXT(DATE(YEAR(Invoer!$A$5),1,1)+INT((ROWS(B$2:B2356)-1)/24),"""18""jjmmdd")</f>
        <v>18980409</v>
      </c>
      <c r="C2356" s="11" t="str">
        <f>INDEX(Data,2,2+MOD(ROWS(C$2:C2356)-1,24))</f>
        <v>03.00</v>
      </c>
      <c r="D2356" s="8" t="str">
        <f t="shared" ca="1" si="110"/>
        <v>—</v>
      </c>
      <c r="E2356" s="16">
        <f t="shared" ca="1" si="111"/>
        <v>7</v>
      </c>
    </row>
    <row r="2357" spans="1:5" x14ac:dyDescent="0.25">
      <c r="A2357" s="3">
        <f t="shared" si="109"/>
        <v>78989</v>
      </c>
      <c r="B2357" t="str">
        <f ca="1">TEXT(DATE(YEAR(Invoer!$A$5),1,1)+INT((ROWS(B$2:B2357)-1)/24),"""18""jjmmdd")</f>
        <v>18980409</v>
      </c>
      <c r="C2357" s="11" t="str">
        <f>INDEX(Data,2,2+MOD(ROWS(C$2:C2357)-1,24))</f>
        <v>04.00</v>
      </c>
      <c r="D2357" s="8" t="str">
        <f t="shared" ca="1" si="110"/>
        <v>—</v>
      </c>
      <c r="E2357" s="16">
        <f t="shared" ca="1" si="111"/>
        <v>7</v>
      </c>
    </row>
    <row r="2358" spans="1:5" x14ac:dyDescent="0.25">
      <c r="A2358" s="3">
        <f t="shared" si="109"/>
        <v>78989</v>
      </c>
      <c r="B2358" t="str">
        <f ca="1">TEXT(DATE(YEAR(Invoer!$A$5),1,1)+INT((ROWS(B$2:B2358)-1)/24),"""18""jjmmdd")</f>
        <v>18980409</v>
      </c>
      <c r="C2358" s="11" t="str">
        <f>INDEX(Data,2,2+MOD(ROWS(C$2:C2358)-1,24))</f>
        <v>05.00</v>
      </c>
      <c r="D2358" s="8" t="str">
        <f t="shared" ca="1" si="110"/>
        <v>—</v>
      </c>
      <c r="E2358" s="16">
        <f t="shared" ca="1" si="111"/>
        <v>7</v>
      </c>
    </row>
    <row r="2359" spans="1:5" x14ac:dyDescent="0.25">
      <c r="A2359" s="3">
        <f t="shared" si="109"/>
        <v>78989</v>
      </c>
      <c r="B2359" t="str">
        <f ca="1">TEXT(DATE(YEAR(Invoer!$A$5),1,1)+INT((ROWS(B$2:B2359)-1)/24),"""18""jjmmdd")</f>
        <v>18980409</v>
      </c>
      <c r="C2359" s="11" t="str">
        <f>INDEX(Data,2,2+MOD(ROWS(C$2:C2359)-1,24))</f>
        <v>06.00</v>
      </c>
      <c r="D2359" s="8" t="str">
        <f t="shared" ca="1" si="110"/>
        <v>—</v>
      </c>
      <c r="E2359" s="16">
        <f t="shared" ca="1" si="111"/>
        <v>7</v>
      </c>
    </row>
    <row r="2360" spans="1:5" x14ac:dyDescent="0.25">
      <c r="A2360" s="3">
        <f t="shared" si="109"/>
        <v>78989</v>
      </c>
      <c r="B2360" t="str">
        <f ca="1">TEXT(DATE(YEAR(Invoer!$A$5),1,1)+INT((ROWS(B$2:B2360)-1)/24),"""18""jjmmdd")</f>
        <v>18980409</v>
      </c>
      <c r="C2360" s="11" t="str">
        <f>INDEX(Data,2,2+MOD(ROWS(C$2:C2360)-1,24))</f>
        <v>07.00</v>
      </c>
      <c r="D2360" s="8" t="str">
        <f t="shared" ca="1" si="110"/>
        <v>—</v>
      </c>
      <c r="E2360" s="16">
        <f t="shared" ca="1" si="111"/>
        <v>7</v>
      </c>
    </row>
    <row r="2361" spans="1:5" x14ac:dyDescent="0.25">
      <c r="A2361" s="3">
        <f t="shared" si="109"/>
        <v>78989</v>
      </c>
      <c r="B2361" t="str">
        <f ca="1">TEXT(DATE(YEAR(Invoer!$A$5),1,1)+INT((ROWS(B$2:B2361)-1)/24),"""18""jjmmdd")</f>
        <v>18980409</v>
      </c>
      <c r="C2361" s="11" t="str">
        <f>INDEX(Data,2,2+MOD(ROWS(C$2:C2361)-1,24))</f>
        <v>08.00</v>
      </c>
      <c r="D2361" s="8" t="str">
        <f t="shared" ca="1" si="110"/>
        <v>—</v>
      </c>
      <c r="E2361" s="16">
        <f t="shared" ca="1" si="111"/>
        <v>7</v>
      </c>
    </row>
    <row r="2362" spans="1:5" x14ac:dyDescent="0.25">
      <c r="A2362" s="3">
        <f t="shared" si="109"/>
        <v>78989</v>
      </c>
      <c r="B2362" t="str">
        <f ca="1">TEXT(DATE(YEAR(Invoer!$A$5),1,1)+INT((ROWS(B$2:B2362)-1)/24),"""18""jjmmdd")</f>
        <v>18980409</v>
      </c>
      <c r="C2362" s="11" t="str">
        <f>INDEX(Data,2,2+MOD(ROWS(C$2:C2362)-1,24))</f>
        <v>09.00</v>
      </c>
      <c r="D2362" s="8" t="str">
        <f t="shared" ca="1" si="110"/>
        <v>—</v>
      </c>
      <c r="E2362" s="16">
        <f t="shared" ca="1" si="111"/>
        <v>7</v>
      </c>
    </row>
    <row r="2363" spans="1:5" x14ac:dyDescent="0.25">
      <c r="A2363" s="3">
        <f t="shared" si="109"/>
        <v>78989</v>
      </c>
      <c r="B2363" t="str">
        <f ca="1">TEXT(DATE(YEAR(Invoer!$A$5),1,1)+INT((ROWS(B$2:B2363)-1)/24),"""18""jjmmdd")</f>
        <v>18980409</v>
      </c>
      <c r="C2363" s="11" t="str">
        <f>INDEX(Data,2,2+MOD(ROWS(C$2:C2363)-1,24))</f>
        <v>10.00</v>
      </c>
      <c r="D2363" s="8" t="str">
        <f t="shared" ca="1" si="110"/>
        <v>—</v>
      </c>
      <c r="E2363" s="16">
        <f t="shared" ca="1" si="111"/>
        <v>7</v>
      </c>
    </row>
    <row r="2364" spans="1:5" x14ac:dyDescent="0.25">
      <c r="A2364" s="3">
        <f t="shared" si="109"/>
        <v>78989</v>
      </c>
      <c r="B2364" t="str">
        <f ca="1">TEXT(DATE(YEAR(Invoer!$A$5),1,1)+INT((ROWS(B$2:B2364)-1)/24),"""18""jjmmdd")</f>
        <v>18980409</v>
      </c>
      <c r="C2364" s="11" t="str">
        <f>INDEX(Data,2,2+MOD(ROWS(C$2:C2364)-1,24))</f>
        <v>11.00</v>
      </c>
      <c r="D2364" s="8" t="str">
        <f t="shared" ca="1" si="110"/>
        <v>—</v>
      </c>
      <c r="E2364" s="16">
        <f t="shared" ca="1" si="111"/>
        <v>7</v>
      </c>
    </row>
    <row r="2365" spans="1:5" x14ac:dyDescent="0.25">
      <c r="A2365" s="3">
        <f t="shared" si="109"/>
        <v>78989</v>
      </c>
      <c r="B2365" t="str">
        <f ca="1">TEXT(DATE(YEAR(Invoer!$A$5),1,1)+INT((ROWS(B$2:B2365)-1)/24),"""18""jjmmdd")</f>
        <v>18980409</v>
      </c>
      <c r="C2365" s="11" t="str">
        <f>INDEX(Data,2,2+MOD(ROWS(C$2:C2365)-1,24))</f>
        <v>12.00</v>
      </c>
      <c r="D2365" s="8" t="str">
        <f t="shared" ca="1" si="110"/>
        <v>—</v>
      </c>
      <c r="E2365" s="16">
        <f t="shared" ca="1" si="111"/>
        <v>7</v>
      </c>
    </row>
    <row r="2366" spans="1:5" x14ac:dyDescent="0.25">
      <c r="A2366" s="3">
        <f t="shared" si="109"/>
        <v>78989</v>
      </c>
      <c r="B2366" t="str">
        <f ca="1">TEXT(DATE(YEAR(Invoer!$A$5),1,1)+INT((ROWS(B$2:B2366)-1)/24),"""18""jjmmdd")</f>
        <v>18980409</v>
      </c>
      <c r="C2366" s="11" t="str">
        <f>INDEX(Data,2,2+MOD(ROWS(C$2:C2366)-1,24))</f>
        <v>13.00</v>
      </c>
      <c r="D2366" s="8" t="str">
        <f t="shared" ca="1" si="110"/>
        <v>—</v>
      </c>
      <c r="E2366" s="16">
        <f t="shared" ca="1" si="111"/>
        <v>7</v>
      </c>
    </row>
    <row r="2367" spans="1:5" x14ac:dyDescent="0.25">
      <c r="A2367" s="3">
        <f t="shared" si="109"/>
        <v>78989</v>
      </c>
      <c r="B2367" t="str">
        <f ca="1">TEXT(DATE(YEAR(Invoer!$A$5),1,1)+INT((ROWS(B$2:B2367)-1)/24),"""18""jjmmdd")</f>
        <v>18980409</v>
      </c>
      <c r="C2367" s="11" t="str">
        <f>INDEX(Data,2,2+MOD(ROWS(C$2:C2367)-1,24))</f>
        <v>14.00</v>
      </c>
      <c r="D2367" s="8" t="str">
        <f t="shared" ca="1" si="110"/>
        <v>—</v>
      </c>
      <c r="E2367" s="16">
        <f t="shared" ca="1" si="111"/>
        <v>7</v>
      </c>
    </row>
    <row r="2368" spans="1:5" x14ac:dyDescent="0.25">
      <c r="A2368" s="3">
        <f t="shared" si="109"/>
        <v>78989</v>
      </c>
      <c r="B2368" t="str">
        <f ca="1">TEXT(DATE(YEAR(Invoer!$A$5),1,1)+INT((ROWS(B$2:B2368)-1)/24),"""18""jjmmdd")</f>
        <v>18980409</v>
      </c>
      <c r="C2368" s="11" t="str">
        <f>INDEX(Data,2,2+MOD(ROWS(C$2:C2368)-1,24))</f>
        <v>15.00</v>
      </c>
      <c r="D2368" s="8" t="str">
        <f t="shared" ca="1" si="110"/>
        <v>—</v>
      </c>
      <c r="E2368" s="16">
        <f t="shared" ca="1" si="111"/>
        <v>7</v>
      </c>
    </row>
    <row r="2369" spans="1:5" x14ac:dyDescent="0.25">
      <c r="A2369" s="3">
        <f t="shared" si="109"/>
        <v>78989</v>
      </c>
      <c r="B2369" t="str">
        <f ca="1">TEXT(DATE(YEAR(Invoer!$A$5),1,1)+INT((ROWS(B$2:B2369)-1)/24),"""18""jjmmdd")</f>
        <v>18980409</v>
      </c>
      <c r="C2369" s="11" t="str">
        <f>INDEX(Data,2,2+MOD(ROWS(C$2:C2369)-1,24))</f>
        <v>16.00</v>
      </c>
      <c r="D2369" s="8" t="str">
        <f t="shared" ca="1" si="110"/>
        <v>—</v>
      </c>
      <c r="E2369" s="16">
        <f t="shared" ca="1" si="111"/>
        <v>7</v>
      </c>
    </row>
    <row r="2370" spans="1:5" x14ac:dyDescent="0.25">
      <c r="A2370" s="3">
        <f t="shared" ref="A2370:A2433" si="112">INDEX(Stations,2,1)</f>
        <v>78989</v>
      </c>
      <c r="B2370" t="str">
        <f ca="1">TEXT(DATE(YEAR(Invoer!$A$5),1,1)+INT((ROWS(B$2:B2370)-1)/24),"""18""jjmmdd")</f>
        <v>18980409</v>
      </c>
      <c r="C2370" s="11" t="str">
        <f>INDEX(Data,2,2+MOD(ROWS(C$2:C2370)-1,24))</f>
        <v>17.00</v>
      </c>
      <c r="D2370" s="8" t="str">
        <f t="shared" ref="D2370:D2433" ca="1" si="113">IF(OR(ISBLANK(VLOOKUP(DATEVALUE("37"&amp;MID($B2370,3,2)&amp;"-"&amp;MID($B2370,5,2)&amp;"-"&amp;RIGHT($B2370,2)),Data,MATCH(LEFT(VLOOKUP(D$1,Parameters,2,FALSE()),4)&amp;"*",OFFSET(Data,0,0,1),0)+MATCH($C2370,OFFSET(Data,1,0,1),0)-2,FALSE())),ISTEXT(VLOOKUP(DATEVALUE("37"&amp;MID($B2370,3,2)&amp;"-"&amp;MID($B2370,5,2)&amp;"-"&amp;RIGHT($B2370,2)),Data,MATCH(LEFT(VLOOKUP(D$1,Parameters,2,FALSE()),4)&amp;"*",OFFSET(Data,0,0,1),0)+MATCH($C2370,OFFSET(Data,1,0,1),0)-2,FALSE()))),"—",VLOOKUP(DATEVALUE("37"&amp;MID($B2370,3,2)&amp;"-"&amp;MID($B2370,5,2)&amp;"-"&amp;RIGHT($B2370,2)),Data,MATCH(LEFT(VLOOKUP(D$1,Parameters,2,FALSE()),4)&amp;"*",OFFSET(Data,0,0,1),0)+MATCH($C2370,OFFSET(Data,1,0,1),0)-2,FALSE()))</f>
        <v>—</v>
      </c>
      <c r="E2370" s="16">
        <f t="shared" ca="1" si="111"/>
        <v>7</v>
      </c>
    </row>
    <row r="2371" spans="1:5" x14ac:dyDescent="0.25">
      <c r="A2371" s="3">
        <f t="shared" si="112"/>
        <v>78989</v>
      </c>
      <c r="B2371" t="str">
        <f ca="1">TEXT(DATE(YEAR(Invoer!$A$5),1,1)+INT((ROWS(B$2:B2371)-1)/24),"""18""jjmmdd")</f>
        <v>18980409</v>
      </c>
      <c r="C2371" s="11" t="str">
        <f>INDEX(Data,2,2+MOD(ROWS(C$2:C2371)-1,24))</f>
        <v>18.00</v>
      </c>
      <c r="D2371" s="8" t="str">
        <f t="shared" ca="1" si="113"/>
        <v>—</v>
      </c>
      <c r="E2371" s="16">
        <f t="shared" ref="E2371:E2434" ca="1" si="114">IF(OR(ISBLANK(VLOOKUP(DATEVALUE("37"&amp;MID($B2371,3,2)&amp;"-"&amp;MID($B2371,5,2)&amp;"-"&amp;RIGHT($B2371,2)),Data,MATCH(LEFT(VLOOKUP(D$1,Parameters,2,FALSE()),4)&amp;"*",OFFSET(Data,0,0,1),0)+MATCH($C2371,OFFSET(Data,1,0,1),0)-2,FALSE())),ISTEXT(VLOOKUP(DATEVALUE("37"&amp;MID($B2371,3,2)&amp;"-"&amp;MID($B2371,5,2)&amp;"-"&amp;RIGHT($B2371,2)),Data,MATCH(LEFT(VLOOKUP(D$1,Parameters,2,FALSE()),4)&amp;"*",OFFSET(Data,0,0,1),0)+MATCH($C2371,OFFSET(Data,1,0,1),0)-2,FALSE()))),Lacking,IF(ISNA(MATCH(DATEVALUE("37"&amp;MID($B2371,3,2)&amp;"-"&amp;MID($B2371,5,2)&amp;"-"&amp;RIGHT($B2371,2)),OFFSET(Catalogus,0,0,,1),0)),Ok,VLOOKUP(DATEVALUE("37"&amp;MID($B2371,3,2)&amp;"-"&amp;MID($B2371,5,2)&amp;"-"&amp;RIGHT($B2371,2)),Catalogus,MATCH(LEFT(VLOOKUP(MID(E$1,2,LEN(E$1)-1),Parameters,2,FALSE()),4)&amp;"*",OFFSET(Catalogus,0,0,1),0)+MATCH($C2371,OFFSET(Catalogus,1,0,1),0)-2,FALSE())))</f>
        <v>7</v>
      </c>
    </row>
    <row r="2372" spans="1:5" x14ac:dyDescent="0.25">
      <c r="A2372" s="3">
        <f t="shared" si="112"/>
        <v>78989</v>
      </c>
      <c r="B2372" t="str">
        <f ca="1">TEXT(DATE(YEAR(Invoer!$A$5),1,1)+INT((ROWS(B$2:B2372)-1)/24),"""18""jjmmdd")</f>
        <v>18980409</v>
      </c>
      <c r="C2372" s="11" t="str">
        <f>INDEX(Data,2,2+MOD(ROWS(C$2:C2372)-1,24))</f>
        <v>19.00</v>
      </c>
      <c r="D2372" s="8" t="str">
        <f t="shared" ca="1" si="113"/>
        <v>—</v>
      </c>
      <c r="E2372" s="16">
        <f t="shared" ca="1" si="114"/>
        <v>7</v>
      </c>
    </row>
    <row r="2373" spans="1:5" x14ac:dyDescent="0.25">
      <c r="A2373" s="3">
        <f t="shared" si="112"/>
        <v>78989</v>
      </c>
      <c r="B2373" t="str">
        <f ca="1">TEXT(DATE(YEAR(Invoer!$A$5),1,1)+INT((ROWS(B$2:B2373)-1)/24),"""18""jjmmdd")</f>
        <v>18980409</v>
      </c>
      <c r="C2373" s="11" t="str">
        <f>INDEX(Data,2,2+MOD(ROWS(C$2:C2373)-1,24))</f>
        <v>20.00</v>
      </c>
      <c r="D2373" s="8" t="str">
        <f t="shared" ca="1" si="113"/>
        <v>—</v>
      </c>
      <c r="E2373" s="16">
        <f t="shared" ca="1" si="114"/>
        <v>7</v>
      </c>
    </row>
    <row r="2374" spans="1:5" x14ac:dyDescent="0.25">
      <c r="A2374" s="3">
        <f t="shared" si="112"/>
        <v>78989</v>
      </c>
      <c r="B2374" t="str">
        <f ca="1">TEXT(DATE(YEAR(Invoer!$A$5),1,1)+INT((ROWS(B$2:B2374)-1)/24),"""18""jjmmdd")</f>
        <v>18980409</v>
      </c>
      <c r="C2374" s="11" t="str">
        <f>INDEX(Data,2,2+MOD(ROWS(C$2:C2374)-1,24))</f>
        <v>21.00</v>
      </c>
      <c r="D2374" s="8" t="str">
        <f t="shared" ca="1" si="113"/>
        <v>—</v>
      </c>
      <c r="E2374" s="16">
        <f t="shared" ca="1" si="114"/>
        <v>7</v>
      </c>
    </row>
    <row r="2375" spans="1:5" x14ac:dyDescent="0.25">
      <c r="A2375" s="3">
        <f t="shared" si="112"/>
        <v>78989</v>
      </c>
      <c r="B2375" t="str">
        <f ca="1">TEXT(DATE(YEAR(Invoer!$A$5),1,1)+INT((ROWS(B$2:B2375)-1)/24),"""18""jjmmdd")</f>
        <v>18980409</v>
      </c>
      <c r="C2375" s="11" t="str">
        <f>INDEX(Data,2,2+MOD(ROWS(C$2:C2375)-1,24))</f>
        <v>22.00</v>
      </c>
      <c r="D2375" s="8" t="str">
        <f t="shared" ca="1" si="113"/>
        <v>—</v>
      </c>
      <c r="E2375" s="16">
        <f t="shared" ca="1" si="114"/>
        <v>7</v>
      </c>
    </row>
    <row r="2376" spans="1:5" x14ac:dyDescent="0.25">
      <c r="A2376" s="3">
        <f t="shared" si="112"/>
        <v>78989</v>
      </c>
      <c r="B2376" t="str">
        <f ca="1">TEXT(DATE(YEAR(Invoer!$A$5),1,1)+INT((ROWS(B$2:B2376)-1)/24),"""18""jjmmdd")</f>
        <v>18980409</v>
      </c>
      <c r="C2376" s="11" t="str">
        <f>INDEX(Data,2,2+MOD(ROWS(C$2:C2376)-1,24))</f>
        <v>23.00</v>
      </c>
      <c r="D2376" s="8" t="str">
        <f t="shared" ca="1" si="113"/>
        <v>—</v>
      </c>
      <c r="E2376" s="16">
        <f t="shared" ca="1" si="114"/>
        <v>7</v>
      </c>
    </row>
    <row r="2377" spans="1:5" x14ac:dyDescent="0.25">
      <c r="A2377" s="3">
        <f t="shared" si="112"/>
        <v>78989</v>
      </c>
      <c r="B2377" t="str">
        <f ca="1">TEXT(DATE(YEAR(Invoer!$A$5),1,1)+INT((ROWS(B$2:B2377)-1)/24),"""18""jjmmdd")</f>
        <v>18980409</v>
      </c>
      <c r="C2377" s="11" t="str">
        <f>INDEX(Data,2,2+MOD(ROWS(C$2:C2377)-1,24))</f>
        <v>24.00</v>
      </c>
      <c r="D2377" s="8" t="str">
        <f t="shared" ca="1" si="113"/>
        <v>—</v>
      </c>
      <c r="E2377" s="16">
        <f t="shared" ca="1" si="114"/>
        <v>7</v>
      </c>
    </row>
    <row r="2378" spans="1:5" x14ac:dyDescent="0.25">
      <c r="A2378" s="3">
        <f t="shared" si="112"/>
        <v>78989</v>
      </c>
      <c r="B2378" t="str">
        <f ca="1">TEXT(DATE(YEAR(Invoer!$A$5),1,1)+INT((ROWS(B$2:B2378)-1)/24),"""18""jjmmdd")</f>
        <v>18980410</v>
      </c>
      <c r="C2378" s="11" t="str">
        <f>INDEX(Data,2,2+MOD(ROWS(C$2:C2378)-1,24))</f>
        <v>01.00</v>
      </c>
      <c r="D2378" s="8" t="str">
        <f t="shared" ca="1" si="113"/>
        <v>—</v>
      </c>
      <c r="E2378" s="16">
        <f t="shared" ca="1" si="114"/>
        <v>7</v>
      </c>
    </row>
    <row r="2379" spans="1:5" x14ac:dyDescent="0.25">
      <c r="A2379" s="3">
        <f t="shared" si="112"/>
        <v>78989</v>
      </c>
      <c r="B2379" t="str">
        <f ca="1">TEXT(DATE(YEAR(Invoer!$A$5),1,1)+INT((ROWS(B$2:B2379)-1)/24),"""18""jjmmdd")</f>
        <v>18980410</v>
      </c>
      <c r="C2379" s="11" t="str">
        <f>INDEX(Data,2,2+MOD(ROWS(C$2:C2379)-1,24))</f>
        <v>02.00</v>
      </c>
      <c r="D2379" s="8" t="str">
        <f t="shared" ca="1" si="113"/>
        <v>—</v>
      </c>
      <c r="E2379" s="16">
        <f t="shared" ca="1" si="114"/>
        <v>7</v>
      </c>
    </row>
    <row r="2380" spans="1:5" x14ac:dyDescent="0.25">
      <c r="A2380" s="3">
        <f t="shared" si="112"/>
        <v>78989</v>
      </c>
      <c r="B2380" t="str">
        <f ca="1">TEXT(DATE(YEAR(Invoer!$A$5),1,1)+INT((ROWS(B$2:B2380)-1)/24),"""18""jjmmdd")</f>
        <v>18980410</v>
      </c>
      <c r="C2380" s="11" t="str">
        <f>INDEX(Data,2,2+MOD(ROWS(C$2:C2380)-1,24))</f>
        <v>03.00</v>
      </c>
      <c r="D2380" s="8" t="str">
        <f t="shared" ca="1" si="113"/>
        <v>—</v>
      </c>
      <c r="E2380" s="16">
        <f t="shared" ca="1" si="114"/>
        <v>7</v>
      </c>
    </row>
    <row r="2381" spans="1:5" x14ac:dyDescent="0.25">
      <c r="A2381" s="3">
        <f t="shared" si="112"/>
        <v>78989</v>
      </c>
      <c r="B2381" t="str">
        <f ca="1">TEXT(DATE(YEAR(Invoer!$A$5),1,1)+INT((ROWS(B$2:B2381)-1)/24),"""18""jjmmdd")</f>
        <v>18980410</v>
      </c>
      <c r="C2381" s="11" t="str">
        <f>INDEX(Data,2,2+MOD(ROWS(C$2:C2381)-1,24))</f>
        <v>04.00</v>
      </c>
      <c r="D2381" s="8" t="str">
        <f t="shared" ca="1" si="113"/>
        <v>—</v>
      </c>
      <c r="E2381" s="16">
        <f t="shared" ca="1" si="114"/>
        <v>7</v>
      </c>
    </row>
    <row r="2382" spans="1:5" x14ac:dyDescent="0.25">
      <c r="A2382" s="3">
        <f t="shared" si="112"/>
        <v>78989</v>
      </c>
      <c r="B2382" t="str">
        <f ca="1">TEXT(DATE(YEAR(Invoer!$A$5),1,1)+INT((ROWS(B$2:B2382)-1)/24),"""18""jjmmdd")</f>
        <v>18980410</v>
      </c>
      <c r="C2382" s="11" t="str">
        <f>INDEX(Data,2,2+MOD(ROWS(C$2:C2382)-1,24))</f>
        <v>05.00</v>
      </c>
      <c r="D2382" s="8" t="str">
        <f t="shared" ca="1" si="113"/>
        <v>—</v>
      </c>
      <c r="E2382" s="16">
        <f t="shared" ca="1" si="114"/>
        <v>7</v>
      </c>
    </row>
    <row r="2383" spans="1:5" x14ac:dyDescent="0.25">
      <c r="A2383" s="3">
        <f t="shared" si="112"/>
        <v>78989</v>
      </c>
      <c r="B2383" t="str">
        <f ca="1">TEXT(DATE(YEAR(Invoer!$A$5),1,1)+INT((ROWS(B$2:B2383)-1)/24),"""18""jjmmdd")</f>
        <v>18980410</v>
      </c>
      <c r="C2383" s="11" t="str">
        <f>INDEX(Data,2,2+MOD(ROWS(C$2:C2383)-1,24))</f>
        <v>06.00</v>
      </c>
      <c r="D2383" s="8" t="str">
        <f t="shared" ca="1" si="113"/>
        <v>—</v>
      </c>
      <c r="E2383" s="16">
        <f t="shared" ca="1" si="114"/>
        <v>7</v>
      </c>
    </row>
    <row r="2384" spans="1:5" x14ac:dyDescent="0.25">
      <c r="A2384" s="3">
        <f t="shared" si="112"/>
        <v>78989</v>
      </c>
      <c r="B2384" t="str">
        <f ca="1">TEXT(DATE(YEAR(Invoer!$A$5),1,1)+INT((ROWS(B$2:B2384)-1)/24),"""18""jjmmdd")</f>
        <v>18980410</v>
      </c>
      <c r="C2384" s="11" t="str">
        <f>INDEX(Data,2,2+MOD(ROWS(C$2:C2384)-1,24))</f>
        <v>07.00</v>
      </c>
      <c r="D2384" s="8" t="str">
        <f t="shared" ca="1" si="113"/>
        <v>—</v>
      </c>
      <c r="E2384" s="16">
        <f t="shared" ca="1" si="114"/>
        <v>7</v>
      </c>
    </row>
    <row r="2385" spans="1:5" x14ac:dyDescent="0.25">
      <c r="A2385" s="3">
        <f t="shared" si="112"/>
        <v>78989</v>
      </c>
      <c r="B2385" t="str">
        <f ca="1">TEXT(DATE(YEAR(Invoer!$A$5),1,1)+INT((ROWS(B$2:B2385)-1)/24),"""18""jjmmdd")</f>
        <v>18980410</v>
      </c>
      <c r="C2385" s="11" t="str">
        <f>INDEX(Data,2,2+MOD(ROWS(C$2:C2385)-1,24))</f>
        <v>08.00</v>
      </c>
      <c r="D2385" s="8" t="str">
        <f t="shared" ca="1" si="113"/>
        <v>—</v>
      </c>
      <c r="E2385" s="16">
        <f t="shared" ca="1" si="114"/>
        <v>7</v>
      </c>
    </row>
    <row r="2386" spans="1:5" x14ac:dyDescent="0.25">
      <c r="A2386" s="3">
        <f t="shared" si="112"/>
        <v>78989</v>
      </c>
      <c r="B2386" t="str">
        <f ca="1">TEXT(DATE(YEAR(Invoer!$A$5),1,1)+INT((ROWS(B$2:B2386)-1)/24),"""18""jjmmdd")</f>
        <v>18980410</v>
      </c>
      <c r="C2386" s="11" t="str">
        <f>INDEX(Data,2,2+MOD(ROWS(C$2:C2386)-1,24))</f>
        <v>09.00</v>
      </c>
      <c r="D2386" s="8" t="str">
        <f t="shared" ca="1" si="113"/>
        <v>—</v>
      </c>
      <c r="E2386" s="16">
        <f t="shared" ca="1" si="114"/>
        <v>7</v>
      </c>
    </row>
    <row r="2387" spans="1:5" x14ac:dyDescent="0.25">
      <c r="A2387" s="3">
        <f t="shared" si="112"/>
        <v>78989</v>
      </c>
      <c r="B2387" t="str">
        <f ca="1">TEXT(DATE(YEAR(Invoer!$A$5),1,1)+INT((ROWS(B$2:B2387)-1)/24),"""18""jjmmdd")</f>
        <v>18980410</v>
      </c>
      <c r="C2387" s="11" t="str">
        <f>INDEX(Data,2,2+MOD(ROWS(C$2:C2387)-1,24))</f>
        <v>10.00</v>
      </c>
      <c r="D2387" s="8" t="str">
        <f t="shared" ca="1" si="113"/>
        <v>—</v>
      </c>
      <c r="E2387" s="16">
        <f t="shared" ca="1" si="114"/>
        <v>7</v>
      </c>
    </row>
    <row r="2388" spans="1:5" x14ac:dyDescent="0.25">
      <c r="A2388" s="3">
        <f t="shared" si="112"/>
        <v>78989</v>
      </c>
      <c r="B2388" t="str">
        <f ca="1">TEXT(DATE(YEAR(Invoer!$A$5),1,1)+INT((ROWS(B$2:B2388)-1)/24),"""18""jjmmdd")</f>
        <v>18980410</v>
      </c>
      <c r="C2388" s="11" t="str">
        <f>INDEX(Data,2,2+MOD(ROWS(C$2:C2388)-1,24))</f>
        <v>11.00</v>
      </c>
      <c r="D2388" s="8" t="str">
        <f t="shared" ca="1" si="113"/>
        <v>—</v>
      </c>
      <c r="E2388" s="16">
        <f t="shared" ca="1" si="114"/>
        <v>7</v>
      </c>
    </row>
    <row r="2389" spans="1:5" x14ac:dyDescent="0.25">
      <c r="A2389" s="3">
        <f t="shared" si="112"/>
        <v>78989</v>
      </c>
      <c r="B2389" t="str">
        <f ca="1">TEXT(DATE(YEAR(Invoer!$A$5),1,1)+INT((ROWS(B$2:B2389)-1)/24),"""18""jjmmdd")</f>
        <v>18980410</v>
      </c>
      <c r="C2389" s="11" t="str">
        <f>INDEX(Data,2,2+MOD(ROWS(C$2:C2389)-1,24))</f>
        <v>12.00</v>
      </c>
      <c r="D2389" s="8" t="str">
        <f t="shared" ca="1" si="113"/>
        <v>—</v>
      </c>
      <c r="E2389" s="16">
        <f t="shared" ca="1" si="114"/>
        <v>7</v>
      </c>
    </row>
    <row r="2390" spans="1:5" x14ac:dyDescent="0.25">
      <c r="A2390" s="3">
        <f t="shared" si="112"/>
        <v>78989</v>
      </c>
      <c r="B2390" t="str">
        <f ca="1">TEXT(DATE(YEAR(Invoer!$A$5),1,1)+INT((ROWS(B$2:B2390)-1)/24),"""18""jjmmdd")</f>
        <v>18980410</v>
      </c>
      <c r="C2390" s="11" t="str">
        <f>INDEX(Data,2,2+MOD(ROWS(C$2:C2390)-1,24))</f>
        <v>13.00</v>
      </c>
      <c r="D2390" s="8" t="str">
        <f t="shared" ca="1" si="113"/>
        <v>—</v>
      </c>
      <c r="E2390" s="16">
        <f t="shared" ca="1" si="114"/>
        <v>7</v>
      </c>
    </row>
    <row r="2391" spans="1:5" x14ac:dyDescent="0.25">
      <c r="A2391" s="3">
        <f t="shared" si="112"/>
        <v>78989</v>
      </c>
      <c r="B2391" t="str">
        <f ca="1">TEXT(DATE(YEAR(Invoer!$A$5),1,1)+INT((ROWS(B$2:B2391)-1)/24),"""18""jjmmdd")</f>
        <v>18980410</v>
      </c>
      <c r="C2391" s="11" t="str">
        <f>INDEX(Data,2,2+MOD(ROWS(C$2:C2391)-1,24))</f>
        <v>14.00</v>
      </c>
      <c r="D2391" s="8" t="str">
        <f t="shared" ca="1" si="113"/>
        <v>—</v>
      </c>
      <c r="E2391" s="16">
        <f t="shared" ca="1" si="114"/>
        <v>7</v>
      </c>
    </row>
    <row r="2392" spans="1:5" x14ac:dyDescent="0.25">
      <c r="A2392" s="3">
        <f t="shared" si="112"/>
        <v>78989</v>
      </c>
      <c r="B2392" t="str">
        <f ca="1">TEXT(DATE(YEAR(Invoer!$A$5),1,1)+INT((ROWS(B$2:B2392)-1)/24),"""18""jjmmdd")</f>
        <v>18980410</v>
      </c>
      <c r="C2392" s="11" t="str">
        <f>INDEX(Data,2,2+MOD(ROWS(C$2:C2392)-1,24))</f>
        <v>15.00</v>
      </c>
      <c r="D2392" s="8" t="str">
        <f t="shared" ca="1" si="113"/>
        <v>—</v>
      </c>
      <c r="E2392" s="16">
        <f t="shared" ca="1" si="114"/>
        <v>7</v>
      </c>
    </row>
    <row r="2393" spans="1:5" x14ac:dyDescent="0.25">
      <c r="A2393" s="3">
        <f t="shared" si="112"/>
        <v>78989</v>
      </c>
      <c r="B2393" t="str">
        <f ca="1">TEXT(DATE(YEAR(Invoer!$A$5),1,1)+INT((ROWS(B$2:B2393)-1)/24),"""18""jjmmdd")</f>
        <v>18980410</v>
      </c>
      <c r="C2393" s="11" t="str">
        <f>INDEX(Data,2,2+MOD(ROWS(C$2:C2393)-1,24))</f>
        <v>16.00</v>
      </c>
      <c r="D2393" s="8" t="str">
        <f t="shared" ca="1" si="113"/>
        <v>—</v>
      </c>
      <c r="E2393" s="16">
        <f t="shared" ca="1" si="114"/>
        <v>7</v>
      </c>
    </row>
    <row r="2394" spans="1:5" x14ac:dyDescent="0.25">
      <c r="A2394" s="3">
        <f t="shared" si="112"/>
        <v>78989</v>
      </c>
      <c r="B2394" t="str">
        <f ca="1">TEXT(DATE(YEAR(Invoer!$A$5),1,1)+INT((ROWS(B$2:B2394)-1)/24),"""18""jjmmdd")</f>
        <v>18980410</v>
      </c>
      <c r="C2394" s="11" t="str">
        <f>INDEX(Data,2,2+MOD(ROWS(C$2:C2394)-1,24))</f>
        <v>17.00</v>
      </c>
      <c r="D2394" s="8" t="str">
        <f t="shared" ca="1" si="113"/>
        <v>—</v>
      </c>
      <c r="E2394" s="16">
        <f t="shared" ca="1" si="114"/>
        <v>7</v>
      </c>
    </row>
    <row r="2395" spans="1:5" x14ac:dyDescent="0.25">
      <c r="A2395" s="3">
        <f t="shared" si="112"/>
        <v>78989</v>
      </c>
      <c r="B2395" t="str">
        <f ca="1">TEXT(DATE(YEAR(Invoer!$A$5),1,1)+INT((ROWS(B$2:B2395)-1)/24),"""18""jjmmdd")</f>
        <v>18980410</v>
      </c>
      <c r="C2395" s="11" t="str">
        <f>INDEX(Data,2,2+MOD(ROWS(C$2:C2395)-1,24))</f>
        <v>18.00</v>
      </c>
      <c r="D2395" s="8" t="str">
        <f t="shared" ca="1" si="113"/>
        <v>—</v>
      </c>
      <c r="E2395" s="16">
        <f t="shared" ca="1" si="114"/>
        <v>7</v>
      </c>
    </row>
    <row r="2396" spans="1:5" x14ac:dyDescent="0.25">
      <c r="A2396" s="3">
        <f t="shared" si="112"/>
        <v>78989</v>
      </c>
      <c r="B2396" t="str">
        <f ca="1">TEXT(DATE(YEAR(Invoer!$A$5),1,1)+INT((ROWS(B$2:B2396)-1)/24),"""18""jjmmdd")</f>
        <v>18980410</v>
      </c>
      <c r="C2396" s="11" t="str">
        <f>INDEX(Data,2,2+MOD(ROWS(C$2:C2396)-1,24))</f>
        <v>19.00</v>
      </c>
      <c r="D2396" s="8" t="str">
        <f t="shared" ca="1" si="113"/>
        <v>—</v>
      </c>
      <c r="E2396" s="16">
        <f t="shared" ca="1" si="114"/>
        <v>7</v>
      </c>
    </row>
    <row r="2397" spans="1:5" x14ac:dyDescent="0.25">
      <c r="A2397" s="3">
        <f t="shared" si="112"/>
        <v>78989</v>
      </c>
      <c r="B2397" t="str">
        <f ca="1">TEXT(DATE(YEAR(Invoer!$A$5),1,1)+INT((ROWS(B$2:B2397)-1)/24),"""18""jjmmdd")</f>
        <v>18980410</v>
      </c>
      <c r="C2397" s="11" t="str">
        <f>INDEX(Data,2,2+MOD(ROWS(C$2:C2397)-1,24))</f>
        <v>20.00</v>
      </c>
      <c r="D2397" s="8" t="str">
        <f t="shared" ca="1" si="113"/>
        <v>—</v>
      </c>
      <c r="E2397" s="16">
        <f t="shared" ca="1" si="114"/>
        <v>7</v>
      </c>
    </row>
    <row r="2398" spans="1:5" x14ac:dyDescent="0.25">
      <c r="A2398" s="3">
        <f t="shared" si="112"/>
        <v>78989</v>
      </c>
      <c r="B2398" t="str">
        <f ca="1">TEXT(DATE(YEAR(Invoer!$A$5),1,1)+INT((ROWS(B$2:B2398)-1)/24),"""18""jjmmdd")</f>
        <v>18980410</v>
      </c>
      <c r="C2398" s="11" t="str">
        <f>INDEX(Data,2,2+MOD(ROWS(C$2:C2398)-1,24))</f>
        <v>21.00</v>
      </c>
      <c r="D2398" s="8" t="str">
        <f t="shared" ca="1" si="113"/>
        <v>—</v>
      </c>
      <c r="E2398" s="16">
        <f t="shared" ca="1" si="114"/>
        <v>7</v>
      </c>
    </row>
    <row r="2399" spans="1:5" x14ac:dyDescent="0.25">
      <c r="A2399" s="3">
        <f t="shared" si="112"/>
        <v>78989</v>
      </c>
      <c r="B2399" t="str">
        <f ca="1">TEXT(DATE(YEAR(Invoer!$A$5),1,1)+INT((ROWS(B$2:B2399)-1)/24),"""18""jjmmdd")</f>
        <v>18980410</v>
      </c>
      <c r="C2399" s="11" t="str">
        <f>INDEX(Data,2,2+MOD(ROWS(C$2:C2399)-1,24))</f>
        <v>22.00</v>
      </c>
      <c r="D2399" s="8" t="str">
        <f t="shared" ca="1" si="113"/>
        <v>—</v>
      </c>
      <c r="E2399" s="16">
        <f t="shared" ca="1" si="114"/>
        <v>7</v>
      </c>
    </row>
    <row r="2400" spans="1:5" x14ac:dyDescent="0.25">
      <c r="A2400" s="3">
        <f t="shared" si="112"/>
        <v>78989</v>
      </c>
      <c r="B2400" t="str">
        <f ca="1">TEXT(DATE(YEAR(Invoer!$A$5),1,1)+INT((ROWS(B$2:B2400)-1)/24),"""18""jjmmdd")</f>
        <v>18980410</v>
      </c>
      <c r="C2400" s="11" t="str">
        <f>INDEX(Data,2,2+MOD(ROWS(C$2:C2400)-1,24))</f>
        <v>23.00</v>
      </c>
      <c r="D2400" s="8" t="str">
        <f t="shared" ca="1" si="113"/>
        <v>—</v>
      </c>
      <c r="E2400" s="16">
        <f t="shared" ca="1" si="114"/>
        <v>7</v>
      </c>
    </row>
    <row r="2401" spans="1:5" x14ac:dyDescent="0.25">
      <c r="A2401" s="3">
        <f t="shared" si="112"/>
        <v>78989</v>
      </c>
      <c r="B2401" t="str">
        <f ca="1">TEXT(DATE(YEAR(Invoer!$A$5),1,1)+INT((ROWS(B$2:B2401)-1)/24),"""18""jjmmdd")</f>
        <v>18980410</v>
      </c>
      <c r="C2401" s="11" t="str">
        <f>INDEX(Data,2,2+MOD(ROWS(C$2:C2401)-1,24))</f>
        <v>24.00</v>
      </c>
      <c r="D2401" s="8" t="str">
        <f t="shared" ca="1" si="113"/>
        <v>—</v>
      </c>
      <c r="E2401" s="16">
        <f t="shared" ca="1" si="114"/>
        <v>7</v>
      </c>
    </row>
    <row r="2402" spans="1:5" x14ac:dyDescent="0.25">
      <c r="A2402" s="3">
        <f t="shared" si="112"/>
        <v>78989</v>
      </c>
      <c r="B2402" t="str">
        <f ca="1">TEXT(DATE(YEAR(Invoer!$A$5),1,1)+INT((ROWS(B$2:B2402)-1)/24),"""18""jjmmdd")</f>
        <v>18980411</v>
      </c>
      <c r="C2402" s="11" t="str">
        <f>INDEX(Data,2,2+MOD(ROWS(C$2:C2402)-1,24))</f>
        <v>01.00</v>
      </c>
      <c r="D2402" s="8" t="str">
        <f t="shared" ca="1" si="113"/>
        <v>—</v>
      </c>
      <c r="E2402" s="16">
        <f t="shared" ca="1" si="114"/>
        <v>7</v>
      </c>
    </row>
    <row r="2403" spans="1:5" x14ac:dyDescent="0.25">
      <c r="A2403" s="3">
        <f t="shared" si="112"/>
        <v>78989</v>
      </c>
      <c r="B2403" t="str">
        <f ca="1">TEXT(DATE(YEAR(Invoer!$A$5),1,1)+INT((ROWS(B$2:B2403)-1)/24),"""18""jjmmdd")</f>
        <v>18980411</v>
      </c>
      <c r="C2403" s="11" t="str">
        <f>INDEX(Data,2,2+MOD(ROWS(C$2:C2403)-1,24))</f>
        <v>02.00</v>
      </c>
      <c r="D2403" s="8" t="str">
        <f t="shared" ca="1" si="113"/>
        <v>—</v>
      </c>
      <c r="E2403" s="16">
        <f t="shared" ca="1" si="114"/>
        <v>7</v>
      </c>
    </row>
    <row r="2404" spans="1:5" x14ac:dyDescent="0.25">
      <c r="A2404" s="3">
        <f t="shared" si="112"/>
        <v>78989</v>
      </c>
      <c r="B2404" t="str">
        <f ca="1">TEXT(DATE(YEAR(Invoer!$A$5),1,1)+INT((ROWS(B$2:B2404)-1)/24),"""18""jjmmdd")</f>
        <v>18980411</v>
      </c>
      <c r="C2404" s="11" t="str">
        <f>INDEX(Data,2,2+MOD(ROWS(C$2:C2404)-1,24))</f>
        <v>03.00</v>
      </c>
      <c r="D2404" s="8" t="str">
        <f t="shared" ca="1" si="113"/>
        <v>—</v>
      </c>
      <c r="E2404" s="16">
        <f t="shared" ca="1" si="114"/>
        <v>7</v>
      </c>
    </row>
    <row r="2405" spans="1:5" x14ac:dyDescent="0.25">
      <c r="A2405" s="3">
        <f t="shared" si="112"/>
        <v>78989</v>
      </c>
      <c r="B2405" t="str">
        <f ca="1">TEXT(DATE(YEAR(Invoer!$A$5),1,1)+INT((ROWS(B$2:B2405)-1)/24),"""18""jjmmdd")</f>
        <v>18980411</v>
      </c>
      <c r="C2405" s="11" t="str">
        <f>INDEX(Data,2,2+MOD(ROWS(C$2:C2405)-1,24))</f>
        <v>04.00</v>
      </c>
      <c r="D2405" s="8" t="str">
        <f t="shared" ca="1" si="113"/>
        <v>—</v>
      </c>
      <c r="E2405" s="16">
        <f t="shared" ca="1" si="114"/>
        <v>7</v>
      </c>
    </row>
    <row r="2406" spans="1:5" x14ac:dyDescent="0.25">
      <c r="A2406" s="3">
        <f t="shared" si="112"/>
        <v>78989</v>
      </c>
      <c r="B2406" t="str">
        <f ca="1">TEXT(DATE(YEAR(Invoer!$A$5),1,1)+INT((ROWS(B$2:B2406)-1)/24),"""18""jjmmdd")</f>
        <v>18980411</v>
      </c>
      <c r="C2406" s="11" t="str">
        <f>INDEX(Data,2,2+MOD(ROWS(C$2:C2406)-1,24))</f>
        <v>05.00</v>
      </c>
      <c r="D2406" s="8" t="str">
        <f t="shared" ca="1" si="113"/>
        <v>—</v>
      </c>
      <c r="E2406" s="16">
        <f t="shared" ca="1" si="114"/>
        <v>7</v>
      </c>
    </row>
    <row r="2407" spans="1:5" x14ac:dyDescent="0.25">
      <c r="A2407" s="3">
        <f t="shared" si="112"/>
        <v>78989</v>
      </c>
      <c r="B2407" t="str">
        <f ca="1">TEXT(DATE(YEAR(Invoer!$A$5),1,1)+INT((ROWS(B$2:B2407)-1)/24),"""18""jjmmdd")</f>
        <v>18980411</v>
      </c>
      <c r="C2407" s="11" t="str">
        <f>INDEX(Data,2,2+MOD(ROWS(C$2:C2407)-1,24))</f>
        <v>06.00</v>
      </c>
      <c r="D2407" s="8" t="str">
        <f t="shared" ca="1" si="113"/>
        <v>—</v>
      </c>
      <c r="E2407" s="16">
        <f t="shared" ca="1" si="114"/>
        <v>7</v>
      </c>
    </row>
    <row r="2408" spans="1:5" x14ac:dyDescent="0.25">
      <c r="A2408" s="3">
        <f t="shared" si="112"/>
        <v>78989</v>
      </c>
      <c r="B2408" t="str">
        <f ca="1">TEXT(DATE(YEAR(Invoer!$A$5),1,1)+INT((ROWS(B$2:B2408)-1)/24),"""18""jjmmdd")</f>
        <v>18980411</v>
      </c>
      <c r="C2408" s="11" t="str">
        <f>INDEX(Data,2,2+MOD(ROWS(C$2:C2408)-1,24))</f>
        <v>07.00</v>
      </c>
      <c r="D2408" s="8" t="str">
        <f t="shared" ca="1" si="113"/>
        <v>—</v>
      </c>
      <c r="E2408" s="16">
        <f t="shared" ca="1" si="114"/>
        <v>7</v>
      </c>
    </row>
    <row r="2409" spans="1:5" x14ac:dyDescent="0.25">
      <c r="A2409" s="3">
        <f t="shared" si="112"/>
        <v>78989</v>
      </c>
      <c r="B2409" t="str">
        <f ca="1">TEXT(DATE(YEAR(Invoer!$A$5),1,1)+INT((ROWS(B$2:B2409)-1)/24),"""18""jjmmdd")</f>
        <v>18980411</v>
      </c>
      <c r="C2409" s="11" t="str">
        <f>INDEX(Data,2,2+MOD(ROWS(C$2:C2409)-1,24))</f>
        <v>08.00</v>
      </c>
      <c r="D2409" s="8" t="str">
        <f t="shared" ca="1" si="113"/>
        <v>—</v>
      </c>
      <c r="E2409" s="16">
        <f t="shared" ca="1" si="114"/>
        <v>7</v>
      </c>
    </row>
    <row r="2410" spans="1:5" x14ac:dyDescent="0.25">
      <c r="A2410" s="3">
        <f t="shared" si="112"/>
        <v>78989</v>
      </c>
      <c r="B2410" t="str">
        <f ca="1">TEXT(DATE(YEAR(Invoer!$A$5),1,1)+INT((ROWS(B$2:B2410)-1)/24),"""18""jjmmdd")</f>
        <v>18980411</v>
      </c>
      <c r="C2410" s="11" t="str">
        <f>INDEX(Data,2,2+MOD(ROWS(C$2:C2410)-1,24))</f>
        <v>09.00</v>
      </c>
      <c r="D2410" s="8" t="str">
        <f t="shared" ca="1" si="113"/>
        <v>—</v>
      </c>
      <c r="E2410" s="16">
        <f t="shared" ca="1" si="114"/>
        <v>7</v>
      </c>
    </row>
    <row r="2411" spans="1:5" x14ac:dyDescent="0.25">
      <c r="A2411" s="3">
        <f t="shared" si="112"/>
        <v>78989</v>
      </c>
      <c r="B2411" t="str">
        <f ca="1">TEXT(DATE(YEAR(Invoer!$A$5),1,1)+INT((ROWS(B$2:B2411)-1)/24),"""18""jjmmdd")</f>
        <v>18980411</v>
      </c>
      <c r="C2411" s="11" t="str">
        <f>INDEX(Data,2,2+MOD(ROWS(C$2:C2411)-1,24))</f>
        <v>10.00</v>
      </c>
      <c r="D2411" s="8" t="str">
        <f t="shared" ca="1" si="113"/>
        <v>—</v>
      </c>
      <c r="E2411" s="16">
        <f t="shared" ca="1" si="114"/>
        <v>7</v>
      </c>
    </row>
    <row r="2412" spans="1:5" x14ac:dyDescent="0.25">
      <c r="A2412" s="3">
        <f t="shared" si="112"/>
        <v>78989</v>
      </c>
      <c r="B2412" t="str">
        <f ca="1">TEXT(DATE(YEAR(Invoer!$A$5),1,1)+INT((ROWS(B$2:B2412)-1)/24),"""18""jjmmdd")</f>
        <v>18980411</v>
      </c>
      <c r="C2412" s="11" t="str">
        <f>INDEX(Data,2,2+MOD(ROWS(C$2:C2412)-1,24))</f>
        <v>11.00</v>
      </c>
      <c r="D2412" s="8" t="str">
        <f t="shared" ca="1" si="113"/>
        <v>—</v>
      </c>
      <c r="E2412" s="16">
        <f t="shared" ca="1" si="114"/>
        <v>7</v>
      </c>
    </row>
    <row r="2413" spans="1:5" x14ac:dyDescent="0.25">
      <c r="A2413" s="3">
        <f t="shared" si="112"/>
        <v>78989</v>
      </c>
      <c r="B2413" t="str">
        <f ca="1">TEXT(DATE(YEAR(Invoer!$A$5),1,1)+INT((ROWS(B$2:B2413)-1)/24),"""18""jjmmdd")</f>
        <v>18980411</v>
      </c>
      <c r="C2413" s="11" t="str">
        <f>INDEX(Data,2,2+MOD(ROWS(C$2:C2413)-1,24))</f>
        <v>12.00</v>
      </c>
      <c r="D2413" s="8" t="str">
        <f t="shared" ca="1" si="113"/>
        <v>—</v>
      </c>
      <c r="E2413" s="16">
        <f t="shared" ca="1" si="114"/>
        <v>7</v>
      </c>
    </row>
    <row r="2414" spans="1:5" x14ac:dyDescent="0.25">
      <c r="A2414" s="3">
        <f t="shared" si="112"/>
        <v>78989</v>
      </c>
      <c r="B2414" t="str">
        <f ca="1">TEXT(DATE(YEAR(Invoer!$A$5),1,1)+INT((ROWS(B$2:B2414)-1)/24),"""18""jjmmdd")</f>
        <v>18980411</v>
      </c>
      <c r="C2414" s="11" t="str">
        <f>INDEX(Data,2,2+MOD(ROWS(C$2:C2414)-1,24))</f>
        <v>13.00</v>
      </c>
      <c r="D2414" s="8" t="str">
        <f t="shared" ca="1" si="113"/>
        <v>—</v>
      </c>
      <c r="E2414" s="16">
        <f t="shared" ca="1" si="114"/>
        <v>7</v>
      </c>
    </row>
    <row r="2415" spans="1:5" x14ac:dyDescent="0.25">
      <c r="A2415" s="3">
        <f t="shared" si="112"/>
        <v>78989</v>
      </c>
      <c r="B2415" t="str">
        <f ca="1">TEXT(DATE(YEAR(Invoer!$A$5),1,1)+INT((ROWS(B$2:B2415)-1)/24),"""18""jjmmdd")</f>
        <v>18980411</v>
      </c>
      <c r="C2415" s="11" t="str">
        <f>INDEX(Data,2,2+MOD(ROWS(C$2:C2415)-1,24))</f>
        <v>14.00</v>
      </c>
      <c r="D2415" s="8" t="str">
        <f t="shared" ca="1" si="113"/>
        <v>—</v>
      </c>
      <c r="E2415" s="16">
        <f t="shared" ca="1" si="114"/>
        <v>7</v>
      </c>
    </row>
    <row r="2416" spans="1:5" x14ac:dyDescent="0.25">
      <c r="A2416" s="3">
        <f t="shared" si="112"/>
        <v>78989</v>
      </c>
      <c r="B2416" t="str">
        <f ca="1">TEXT(DATE(YEAR(Invoer!$A$5),1,1)+INT((ROWS(B$2:B2416)-1)/24),"""18""jjmmdd")</f>
        <v>18980411</v>
      </c>
      <c r="C2416" s="11" t="str">
        <f>INDEX(Data,2,2+MOD(ROWS(C$2:C2416)-1,24))</f>
        <v>15.00</v>
      </c>
      <c r="D2416" s="8" t="str">
        <f t="shared" ca="1" si="113"/>
        <v>—</v>
      </c>
      <c r="E2416" s="16">
        <f t="shared" ca="1" si="114"/>
        <v>7</v>
      </c>
    </row>
    <row r="2417" spans="1:5" x14ac:dyDescent="0.25">
      <c r="A2417" s="3">
        <f t="shared" si="112"/>
        <v>78989</v>
      </c>
      <c r="B2417" t="str">
        <f ca="1">TEXT(DATE(YEAR(Invoer!$A$5),1,1)+INT((ROWS(B$2:B2417)-1)/24),"""18""jjmmdd")</f>
        <v>18980411</v>
      </c>
      <c r="C2417" s="11" t="str">
        <f>INDEX(Data,2,2+MOD(ROWS(C$2:C2417)-1,24))</f>
        <v>16.00</v>
      </c>
      <c r="D2417" s="8" t="str">
        <f t="shared" ca="1" si="113"/>
        <v>—</v>
      </c>
      <c r="E2417" s="16">
        <f t="shared" ca="1" si="114"/>
        <v>7</v>
      </c>
    </row>
    <row r="2418" spans="1:5" x14ac:dyDescent="0.25">
      <c r="A2418" s="3">
        <f t="shared" si="112"/>
        <v>78989</v>
      </c>
      <c r="B2418" t="str">
        <f ca="1">TEXT(DATE(YEAR(Invoer!$A$5),1,1)+INT((ROWS(B$2:B2418)-1)/24),"""18""jjmmdd")</f>
        <v>18980411</v>
      </c>
      <c r="C2418" s="11" t="str">
        <f>INDEX(Data,2,2+MOD(ROWS(C$2:C2418)-1,24))</f>
        <v>17.00</v>
      </c>
      <c r="D2418" s="8" t="str">
        <f t="shared" ca="1" si="113"/>
        <v>—</v>
      </c>
      <c r="E2418" s="16">
        <f t="shared" ca="1" si="114"/>
        <v>7</v>
      </c>
    </row>
    <row r="2419" spans="1:5" x14ac:dyDescent="0.25">
      <c r="A2419" s="3">
        <f t="shared" si="112"/>
        <v>78989</v>
      </c>
      <c r="B2419" t="str">
        <f ca="1">TEXT(DATE(YEAR(Invoer!$A$5),1,1)+INT((ROWS(B$2:B2419)-1)/24),"""18""jjmmdd")</f>
        <v>18980411</v>
      </c>
      <c r="C2419" s="11" t="str">
        <f>INDEX(Data,2,2+MOD(ROWS(C$2:C2419)-1,24))</f>
        <v>18.00</v>
      </c>
      <c r="D2419" s="8" t="str">
        <f t="shared" ca="1" si="113"/>
        <v>—</v>
      </c>
      <c r="E2419" s="16">
        <f t="shared" ca="1" si="114"/>
        <v>7</v>
      </c>
    </row>
    <row r="2420" spans="1:5" x14ac:dyDescent="0.25">
      <c r="A2420" s="3">
        <f t="shared" si="112"/>
        <v>78989</v>
      </c>
      <c r="B2420" t="str">
        <f ca="1">TEXT(DATE(YEAR(Invoer!$A$5),1,1)+INT((ROWS(B$2:B2420)-1)/24),"""18""jjmmdd")</f>
        <v>18980411</v>
      </c>
      <c r="C2420" s="11" t="str">
        <f>INDEX(Data,2,2+MOD(ROWS(C$2:C2420)-1,24))</f>
        <v>19.00</v>
      </c>
      <c r="D2420" s="8" t="str">
        <f t="shared" ca="1" si="113"/>
        <v>—</v>
      </c>
      <c r="E2420" s="16">
        <f t="shared" ca="1" si="114"/>
        <v>7</v>
      </c>
    </row>
    <row r="2421" spans="1:5" x14ac:dyDescent="0.25">
      <c r="A2421" s="3">
        <f t="shared" si="112"/>
        <v>78989</v>
      </c>
      <c r="B2421" t="str">
        <f ca="1">TEXT(DATE(YEAR(Invoer!$A$5),1,1)+INT((ROWS(B$2:B2421)-1)/24),"""18""jjmmdd")</f>
        <v>18980411</v>
      </c>
      <c r="C2421" s="11" t="str">
        <f>INDEX(Data,2,2+MOD(ROWS(C$2:C2421)-1,24))</f>
        <v>20.00</v>
      </c>
      <c r="D2421" s="8" t="str">
        <f t="shared" ca="1" si="113"/>
        <v>—</v>
      </c>
      <c r="E2421" s="16">
        <f t="shared" ca="1" si="114"/>
        <v>7</v>
      </c>
    </row>
    <row r="2422" spans="1:5" x14ac:dyDescent="0.25">
      <c r="A2422" s="3">
        <f t="shared" si="112"/>
        <v>78989</v>
      </c>
      <c r="B2422" t="str">
        <f ca="1">TEXT(DATE(YEAR(Invoer!$A$5),1,1)+INT((ROWS(B$2:B2422)-1)/24),"""18""jjmmdd")</f>
        <v>18980411</v>
      </c>
      <c r="C2422" s="11" t="str">
        <f>INDEX(Data,2,2+MOD(ROWS(C$2:C2422)-1,24))</f>
        <v>21.00</v>
      </c>
      <c r="D2422" s="8" t="str">
        <f t="shared" ca="1" si="113"/>
        <v>—</v>
      </c>
      <c r="E2422" s="16">
        <f t="shared" ca="1" si="114"/>
        <v>7</v>
      </c>
    </row>
    <row r="2423" spans="1:5" x14ac:dyDescent="0.25">
      <c r="A2423" s="3">
        <f t="shared" si="112"/>
        <v>78989</v>
      </c>
      <c r="B2423" t="str">
        <f ca="1">TEXT(DATE(YEAR(Invoer!$A$5),1,1)+INT((ROWS(B$2:B2423)-1)/24),"""18""jjmmdd")</f>
        <v>18980411</v>
      </c>
      <c r="C2423" s="11" t="str">
        <f>INDEX(Data,2,2+MOD(ROWS(C$2:C2423)-1,24))</f>
        <v>22.00</v>
      </c>
      <c r="D2423" s="8" t="str">
        <f t="shared" ca="1" si="113"/>
        <v>—</v>
      </c>
      <c r="E2423" s="16">
        <f t="shared" ca="1" si="114"/>
        <v>7</v>
      </c>
    </row>
    <row r="2424" spans="1:5" x14ac:dyDescent="0.25">
      <c r="A2424" s="3">
        <f t="shared" si="112"/>
        <v>78989</v>
      </c>
      <c r="B2424" t="str">
        <f ca="1">TEXT(DATE(YEAR(Invoer!$A$5),1,1)+INT((ROWS(B$2:B2424)-1)/24),"""18""jjmmdd")</f>
        <v>18980411</v>
      </c>
      <c r="C2424" s="11" t="str">
        <f>INDEX(Data,2,2+MOD(ROWS(C$2:C2424)-1,24))</f>
        <v>23.00</v>
      </c>
      <c r="D2424" s="8" t="str">
        <f t="shared" ca="1" si="113"/>
        <v>—</v>
      </c>
      <c r="E2424" s="16">
        <f t="shared" ca="1" si="114"/>
        <v>7</v>
      </c>
    </row>
    <row r="2425" spans="1:5" x14ac:dyDescent="0.25">
      <c r="A2425" s="3">
        <f t="shared" si="112"/>
        <v>78989</v>
      </c>
      <c r="B2425" t="str">
        <f ca="1">TEXT(DATE(YEAR(Invoer!$A$5),1,1)+INT((ROWS(B$2:B2425)-1)/24),"""18""jjmmdd")</f>
        <v>18980411</v>
      </c>
      <c r="C2425" s="11" t="str">
        <f>INDEX(Data,2,2+MOD(ROWS(C$2:C2425)-1,24))</f>
        <v>24.00</v>
      </c>
      <c r="D2425" s="8" t="str">
        <f t="shared" ca="1" si="113"/>
        <v>—</v>
      </c>
      <c r="E2425" s="16">
        <f t="shared" ca="1" si="114"/>
        <v>7</v>
      </c>
    </row>
    <row r="2426" spans="1:5" x14ac:dyDescent="0.25">
      <c r="A2426" s="3">
        <f t="shared" si="112"/>
        <v>78989</v>
      </c>
      <c r="B2426" t="str">
        <f ca="1">TEXT(DATE(YEAR(Invoer!$A$5),1,1)+INT((ROWS(B$2:B2426)-1)/24),"""18""jjmmdd")</f>
        <v>18980412</v>
      </c>
      <c r="C2426" s="11" t="str">
        <f>INDEX(Data,2,2+MOD(ROWS(C$2:C2426)-1,24))</f>
        <v>01.00</v>
      </c>
      <c r="D2426" s="8" t="str">
        <f t="shared" ca="1" si="113"/>
        <v>—</v>
      </c>
      <c r="E2426" s="16">
        <f t="shared" ca="1" si="114"/>
        <v>7</v>
      </c>
    </row>
    <row r="2427" spans="1:5" x14ac:dyDescent="0.25">
      <c r="A2427" s="3">
        <f t="shared" si="112"/>
        <v>78989</v>
      </c>
      <c r="B2427" t="str">
        <f ca="1">TEXT(DATE(YEAR(Invoer!$A$5),1,1)+INT((ROWS(B$2:B2427)-1)/24),"""18""jjmmdd")</f>
        <v>18980412</v>
      </c>
      <c r="C2427" s="11" t="str">
        <f>INDEX(Data,2,2+MOD(ROWS(C$2:C2427)-1,24))</f>
        <v>02.00</v>
      </c>
      <c r="D2427" s="8" t="str">
        <f t="shared" ca="1" si="113"/>
        <v>—</v>
      </c>
      <c r="E2427" s="16">
        <f t="shared" ca="1" si="114"/>
        <v>7</v>
      </c>
    </row>
    <row r="2428" spans="1:5" x14ac:dyDescent="0.25">
      <c r="A2428" s="3">
        <f t="shared" si="112"/>
        <v>78989</v>
      </c>
      <c r="B2428" t="str">
        <f ca="1">TEXT(DATE(YEAR(Invoer!$A$5),1,1)+INT((ROWS(B$2:B2428)-1)/24),"""18""jjmmdd")</f>
        <v>18980412</v>
      </c>
      <c r="C2428" s="11" t="str">
        <f>INDEX(Data,2,2+MOD(ROWS(C$2:C2428)-1,24))</f>
        <v>03.00</v>
      </c>
      <c r="D2428" s="8" t="str">
        <f t="shared" ca="1" si="113"/>
        <v>—</v>
      </c>
      <c r="E2428" s="16">
        <f t="shared" ca="1" si="114"/>
        <v>7</v>
      </c>
    </row>
    <row r="2429" spans="1:5" x14ac:dyDescent="0.25">
      <c r="A2429" s="3">
        <f t="shared" si="112"/>
        <v>78989</v>
      </c>
      <c r="B2429" t="str">
        <f ca="1">TEXT(DATE(YEAR(Invoer!$A$5),1,1)+INT((ROWS(B$2:B2429)-1)/24),"""18""jjmmdd")</f>
        <v>18980412</v>
      </c>
      <c r="C2429" s="11" t="str">
        <f>INDEX(Data,2,2+MOD(ROWS(C$2:C2429)-1,24))</f>
        <v>04.00</v>
      </c>
      <c r="D2429" s="8" t="str">
        <f t="shared" ca="1" si="113"/>
        <v>—</v>
      </c>
      <c r="E2429" s="16">
        <f t="shared" ca="1" si="114"/>
        <v>7</v>
      </c>
    </row>
    <row r="2430" spans="1:5" x14ac:dyDescent="0.25">
      <c r="A2430" s="3">
        <f t="shared" si="112"/>
        <v>78989</v>
      </c>
      <c r="B2430" t="str">
        <f ca="1">TEXT(DATE(YEAR(Invoer!$A$5),1,1)+INT((ROWS(B$2:B2430)-1)/24),"""18""jjmmdd")</f>
        <v>18980412</v>
      </c>
      <c r="C2430" s="11" t="str">
        <f>INDEX(Data,2,2+MOD(ROWS(C$2:C2430)-1,24))</f>
        <v>05.00</v>
      </c>
      <c r="D2430" s="8" t="str">
        <f t="shared" ca="1" si="113"/>
        <v>—</v>
      </c>
      <c r="E2430" s="16">
        <f t="shared" ca="1" si="114"/>
        <v>7</v>
      </c>
    </row>
    <row r="2431" spans="1:5" x14ac:dyDescent="0.25">
      <c r="A2431" s="3">
        <f t="shared" si="112"/>
        <v>78989</v>
      </c>
      <c r="B2431" t="str">
        <f ca="1">TEXT(DATE(YEAR(Invoer!$A$5),1,1)+INT((ROWS(B$2:B2431)-1)/24),"""18""jjmmdd")</f>
        <v>18980412</v>
      </c>
      <c r="C2431" s="11" t="str">
        <f>INDEX(Data,2,2+MOD(ROWS(C$2:C2431)-1,24))</f>
        <v>06.00</v>
      </c>
      <c r="D2431" s="8" t="str">
        <f t="shared" ca="1" si="113"/>
        <v>—</v>
      </c>
      <c r="E2431" s="16">
        <f t="shared" ca="1" si="114"/>
        <v>7</v>
      </c>
    </row>
    <row r="2432" spans="1:5" x14ac:dyDescent="0.25">
      <c r="A2432" s="3">
        <f t="shared" si="112"/>
        <v>78989</v>
      </c>
      <c r="B2432" t="str">
        <f ca="1">TEXT(DATE(YEAR(Invoer!$A$5),1,1)+INT((ROWS(B$2:B2432)-1)/24),"""18""jjmmdd")</f>
        <v>18980412</v>
      </c>
      <c r="C2432" s="11" t="str">
        <f>INDEX(Data,2,2+MOD(ROWS(C$2:C2432)-1,24))</f>
        <v>07.00</v>
      </c>
      <c r="D2432" s="8" t="str">
        <f t="shared" ca="1" si="113"/>
        <v>—</v>
      </c>
      <c r="E2432" s="16">
        <f t="shared" ca="1" si="114"/>
        <v>7</v>
      </c>
    </row>
    <row r="2433" spans="1:5" x14ac:dyDescent="0.25">
      <c r="A2433" s="3">
        <f t="shared" si="112"/>
        <v>78989</v>
      </c>
      <c r="B2433" t="str">
        <f ca="1">TEXT(DATE(YEAR(Invoer!$A$5),1,1)+INT((ROWS(B$2:B2433)-1)/24),"""18""jjmmdd")</f>
        <v>18980412</v>
      </c>
      <c r="C2433" s="11" t="str">
        <f>INDEX(Data,2,2+MOD(ROWS(C$2:C2433)-1,24))</f>
        <v>08.00</v>
      </c>
      <c r="D2433" s="8" t="str">
        <f t="shared" ca="1" si="113"/>
        <v>—</v>
      </c>
      <c r="E2433" s="16">
        <f t="shared" ca="1" si="114"/>
        <v>7</v>
      </c>
    </row>
    <row r="2434" spans="1:5" x14ac:dyDescent="0.25">
      <c r="A2434" s="3">
        <f t="shared" ref="A2434:A2497" si="115">INDEX(Stations,2,1)</f>
        <v>78989</v>
      </c>
      <c r="B2434" t="str">
        <f ca="1">TEXT(DATE(YEAR(Invoer!$A$5),1,1)+INT((ROWS(B$2:B2434)-1)/24),"""18""jjmmdd")</f>
        <v>18980412</v>
      </c>
      <c r="C2434" s="11" t="str">
        <f>INDEX(Data,2,2+MOD(ROWS(C$2:C2434)-1,24))</f>
        <v>09.00</v>
      </c>
      <c r="D2434" s="8" t="str">
        <f t="shared" ref="D2434:D2497" ca="1" si="116">IF(OR(ISBLANK(VLOOKUP(DATEVALUE("37"&amp;MID($B2434,3,2)&amp;"-"&amp;MID($B2434,5,2)&amp;"-"&amp;RIGHT($B2434,2)),Data,MATCH(LEFT(VLOOKUP(D$1,Parameters,2,FALSE()),4)&amp;"*",OFFSET(Data,0,0,1),0)+MATCH($C2434,OFFSET(Data,1,0,1),0)-2,FALSE())),ISTEXT(VLOOKUP(DATEVALUE("37"&amp;MID($B2434,3,2)&amp;"-"&amp;MID($B2434,5,2)&amp;"-"&amp;RIGHT($B2434,2)),Data,MATCH(LEFT(VLOOKUP(D$1,Parameters,2,FALSE()),4)&amp;"*",OFFSET(Data,0,0,1),0)+MATCH($C2434,OFFSET(Data,1,0,1),0)-2,FALSE()))),"—",VLOOKUP(DATEVALUE("37"&amp;MID($B2434,3,2)&amp;"-"&amp;MID($B2434,5,2)&amp;"-"&amp;RIGHT($B2434,2)),Data,MATCH(LEFT(VLOOKUP(D$1,Parameters,2,FALSE()),4)&amp;"*",OFFSET(Data,0,0,1),0)+MATCH($C2434,OFFSET(Data,1,0,1),0)-2,FALSE()))</f>
        <v>—</v>
      </c>
      <c r="E2434" s="16">
        <f t="shared" ca="1" si="114"/>
        <v>7</v>
      </c>
    </row>
    <row r="2435" spans="1:5" x14ac:dyDescent="0.25">
      <c r="A2435" s="3">
        <f t="shared" si="115"/>
        <v>78989</v>
      </c>
      <c r="B2435" t="str">
        <f ca="1">TEXT(DATE(YEAR(Invoer!$A$5),1,1)+INT((ROWS(B$2:B2435)-1)/24),"""18""jjmmdd")</f>
        <v>18980412</v>
      </c>
      <c r="C2435" s="11" t="str">
        <f>INDEX(Data,2,2+MOD(ROWS(C$2:C2435)-1,24))</f>
        <v>10.00</v>
      </c>
      <c r="D2435" s="8" t="str">
        <f t="shared" ca="1" si="116"/>
        <v>—</v>
      </c>
      <c r="E2435" s="16">
        <f t="shared" ref="E2435:E2498" ca="1" si="117">IF(OR(ISBLANK(VLOOKUP(DATEVALUE("37"&amp;MID($B2435,3,2)&amp;"-"&amp;MID($B2435,5,2)&amp;"-"&amp;RIGHT($B2435,2)),Data,MATCH(LEFT(VLOOKUP(D$1,Parameters,2,FALSE()),4)&amp;"*",OFFSET(Data,0,0,1),0)+MATCH($C2435,OFFSET(Data,1,0,1),0)-2,FALSE())),ISTEXT(VLOOKUP(DATEVALUE("37"&amp;MID($B2435,3,2)&amp;"-"&amp;MID($B2435,5,2)&amp;"-"&amp;RIGHT($B2435,2)),Data,MATCH(LEFT(VLOOKUP(D$1,Parameters,2,FALSE()),4)&amp;"*",OFFSET(Data,0,0,1),0)+MATCH($C2435,OFFSET(Data,1,0,1),0)-2,FALSE()))),Lacking,IF(ISNA(MATCH(DATEVALUE("37"&amp;MID($B2435,3,2)&amp;"-"&amp;MID($B2435,5,2)&amp;"-"&amp;RIGHT($B2435,2)),OFFSET(Catalogus,0,0,,1),0)),Ok,VLOOKUP(DATEVALUE("37"&amp;MID($B2435,3,2)&amp;"-"&amp;MID($B2435,5,2)&amp;"-"&amp;RIGHT($B2435,2)),Catalogus,MATCH(LEFT(VLOOKUP(MID(E$1,2,LEN(E$1)-1),Parameters,2,FALSE()),4)&amp;"*",OFFSET(Catalogus,0,0,1),0)+MATCH($C2435,OFFSET(Catalogus,1,0,1),0)-2,FALSE())))</f>
        <v>7</v>
      </c>
    </row>
    <row r="2436" spans="1:5" x14ac:dyDescent="0.25">
      <c r="A2436" s="3">
        <f t="shared" si="115"/>
        <v>78989</v>
      </c>
      <c r="B2436" t="str">
        <f ca="1">TEXT(DATE(YEAR(Invoer!$A$5),1,1)+INT((ROWS(B$2:B2436)-1)/24),"""18""jjmmdd")</f>
        <v>18980412</v>
      </c>
      <c r="C2436" s="11" t="str">
        <f>INDEX(Data,2,2+MOD(ROWS(C$2:C2436)-1,24))</f>
        <v>11.00</v>
      </c>
      <c r="D2436" s="8" t="str">
        <f t="shared" ca="1" si="116"/>
        <v>—</v>
      </c>
      <c r="E2436" s="16">
        <f t="shared" ca="1" si="117"/>
        <v>7</v>
      </c>
    </row>
    <row r="2437" spans="1:5" x14ac:dyDescent="0.25">
      <c r="A2437" s="3">
        <f t="shared" si="115"/>
        <v>78989</v>
      </c>
      <c r="B2437" t="str">
        <f ca="1">TEXT(DATE(YEAR(Invoer!$A$5),1,1)+INT((ROWS(B$2:B2437)-1)/24),"""18""jjmmdd")</f>
        <v>18980412</v>
      </c>
      <c r="C2437" s="11" t="str">
        <f>INDEX(Data,2,2+MOD(ROWS(C$2:C2437)-1,24))</f>
        <v>12.00</v>
      </c>
      <c r="D2437" s="8" t="str">
        <f t="shared" ca="1" si="116"/>
        <v>—</v>
      </c>
      <c r="E2437" s="16">
        <f t="shared" ca="1" si="117"/>
        <v>7</v>
      </c>
    </row>
    <row r="2438" spans="1:5" x14ac:dyDescent="0.25">
      <c r="A2438" s="3">
        <f t="shared" si="115"/>
        <v>78989</v>
      </c>
      <c r="B2438" t="str">
        <f ca="1">TEXT(DATE(YEAR(Invoer!$A$5),1,1)+INT((ROWS(B$2:B2438)-1)/24),"""18""jjmmdd")</f>
        <v>18980412</v>
      </c>
      <c r="C2438" s="11" t="str">
        <f>INDEX(Data,2,2+MOD(ROWS(C$2:C2438)-1,24))</f>
        <v>13.00</v>
      </c>
      <c r="D2438" s="8" t="str">
        <f t="shared" ca="1" si="116"/>
        <v>—</v>
      </c>
      <c r="E2438" s="16">
        <f t="shared" ca="1" si="117"/>
        <v>7</v>
      </c>
    </row>
    <row r="2439" spans="1:5" x14ac:dyDescent="0.25">
      <c r="A2439" s="3">
        <f t="shared" si="115"/>
        <v>78989</v>
      </c>
      <c r="B2439" t="str">
        <f ca="1">TEXT(DATE(YEAR(Invoer!$A$5),1,1)+INT((ROWS(B$2:B2439)-1)/24),"""18""jjmmdd")</f>
        <v>18980412</v>
      </c>
      <c r="C2439" s="11" t="str">
        <f>INDEX(Data,2,2+MOD(ROWS(C$2:C2439)-1,24))</f>
        <v>14.00</v>
      </c>
      <c r="D2439" s="8" t="str">
        <f t="shared" ca="1" si="116"/>
        <v>—</v>
      </c>
      <c r="E2439" s="16">
        <f t="shared" ca="1" si="117"/>
        <v>7</v>
      </c>
    </row>
    <row r="2440" spans="1:5" x14ac:dyDescent="0.25">
      <c r="A2440" s="3">
        <f t="shared" si="115"/>
        <v>78989</v>
      </c>
      <c r="B2440" t="str">
        <f ca="1">TEXT(DATE(YEAR(Invoer!$A$5),1,1)+INT((ROWS(B$2:B2440)-1)/24),"""18""jjmmdd")</f>
        <v>18980412</v>
      </c>
      <c r="C2440" s="11" t="str">
        <f>INDEX(Data,2,2+MOD(ROWS(C$2:C2440)-1,24))</f>
        <v>15.00</v>
      </c>
      <c r="D2440" s="8" t="str">
        <f t="shared" ca="1" si="116"/>
        <v>—</v>
      </c>
      <c r="E2440" s="16">
        <f t="shared" ca="1" si="117"/>
        <v>7</v>
      </c>
    </row>
    <row r="2441" spans="1:5" x14ac:dyDescent="0.25">
      <c r="A2441" s="3">
        <f t="shared" si="115"/>
        <v>78989</v>
      </c>
      <c r="B2441" t="str">
        <f ca="1">TEXT(DATE(YEAR(Invoer!$A$5),1,1)+INT((ROWS(B$2:B2441)-1)/24),"""18""jjmmdd")</f>
        <v>18980412</v>
      </c>
      <c r="C2441" s="11" t="str">
        <f>INDEX(Data,2,2+MOD(ROWS(C$2:C2441)-1,24))</f>
        <v>16.00</v>
      </c>
      <c r="D2441" s="8" t="str">
        <f t="shared" ca="1" si="116"/>
        <v>—</v>
      </c>
      <c r="E2441" s="16">
        <f t="shared" ca="1" si="117"/>
        <v>7</v>
      </c>
    </row>
    <row r="2442" spans="1:5" x14ac:dyDescent="0.25">
      <c r="A2442" s="3">
        <f t="shared" si="115"/>
        <v>78989</v>
      </c>
      <c r="B2442" t="str">
        <f ca="1">TEXT(DATE(YEAR(Invoer!$A$5),1,1)+INT((ROWS(B$2:B2442)-1)/24),"""18""jjmmdd")</f>
        <v>18980412</v>
      </c>
      <c r="C2442" s="11" t="str">
        <f>INDEX(Data,2,2+MOD(ROWS(C$2:C2442)-1,24))</f>
        <v>17.00</v>
      </c>
      <c r="D2442" s="8" t="str">
        <f t="shared" ca="1" si="116"/>
        <v>—</v>
      </c>
      <c r="E2442" s="16">
        <f t="shared" ca="1" si="117"/>
        <v>7</v>
      </c>
    </row>
    <row r="2443" spans="1:5" x14ac:dyDescent="0.25">
      <c r="A2443" s="3">
        <f t="shared" si="115"/>
        <v>78989</v>
      </c>
      <c r="B2443" t="str">
        <f ca="1">TEXT(DATE(YEAR(Invoer!$A$5),1,1)+INT((ROWS(B$2:B2443)-1)/24),"""18""jjmmdd")</f>
        <v>18980412</v>
      </c>
      <c r="C2443" s="11" t="str">
        <f>INDEX(Data,2,2+MOD(ROWS(C$2:C2443)-1,24))</f>
        <v>18.00</v>
      </c>
      <c r="D2443" s="8" t="str">
        <f t="shared" ca="1" si="116"/>
        <v>—</v>
      </c>
      <c r="E2443" s="16">
        <f t="shared" ca="1" si="117"/>
        <v>7</v>
      </c>
    </row>
    <row r="2444" spans="1:5" x14ac:dyDescent="0.25">
      <c r="A2444" s="3">
        <f t="shared" si="115"/>
        <v>78989</v>
      </c>
      <c r="B2444" t="str">
        <f ca="1">TEXT(DATE(YEAR(Invoer!$A$5),1,1)+INT((ROWS(B$2:B2444)-1)/24),"""18""jjmmdd")</f>
        <v>18980412</v>
      </c>
      <c r="C2444" s="11" t="str">
        <f>INDEX(Data,2,2+MOD(ROWS(C$2:C2444)-1,24))</f>
        <v>19.00</v>
      </c>
      <c r="D2444" s="8" t="str">
        <f t="shared" ca="1" si="116"/>
        <v>—</v>
      </c>
      <c r="E2444" s="16">
        <f t="shared" ca="1" si="117"/>
        <v>7</v>
      </c>
    </row>
    <row r="2445" spans="1:5" x14ac:dyDescent="0.25">
      <c r="A2445" s="3">
        <f t="shared" si="115"/>
        <v>78989</v>
      </c>
      <c r="B2445" t="str">
        <f ca="1">TEXT(DATE(YEAR(Invoer!$A$5),1,1)+INT((ROWS(B$2:B2445)-1)/24),"""18""jjmmdd")</f>
        <v>18980412</v>
      </c>
      <c r="C2445" s="11" t="str">
        <f>INDEX(Data,2,2+MOD(ROWS(C$2:C2445)-1,24))</f>
        <v>20.00</v>
      </c>
      <c r="D2445" s="8" t="str">
        <f t="shared" ca="1" si="116"/>
        <v>—</v>
      </c>
      <c r="E2445" s="16">
        <f t="shared" ca="1" si="117"/>
        <v>7</v>
      </c>
    </row>
    <row r="2446" spans="1:5" x14ac:dyDescent="0.25">
      <c r="A2446" s="3">
        <f t="shared" si="115"/>
        <v>78989</v>
      </c>
      <c r="B2446" t="str">
        <f ca="1">TEXT(DATE(YEAR(Invoer!$A$5),1,1)+INT((ROWS(B$2:B2446)-1)/24),"""18""jjmmdd")</f>
        <v>18980412</v>
      </c>
      <c r="C2446" s="11" t="str">
        <f>INDEX(Data,2,2+MOD(ROWS(C$2:C2446)-1,24))</f>
        <v>21.00</v>
      </c>
      <c r="D2446" s="8" t="str">
        <f t="shared" ca="1" si="116"/>
        <v>—</v>
      </c>
      <c r="E2446" s="16">
        <f t="shared" ca="1" si="117"/>
        <v>7</v>
      </c>
    </row>
    <row r="2447" spans="1:5" x14ac:dyDescent="0.25">
      <c r="A2447" s="3">
        <f t="shared" si="115"/>
        <v>78989</v>
      </c>
      <c r="B2447" t="str">
        <f ca="1">TEXT(DATE(YEAR(Invoer!$A$5),1,1)+INT((ROWS(B$2:B2447)-1)/24),"""18""jjmmdd")</f>
        <v>18980412</v>
      </c>
      <c r="C2447" s="11" t="str">
        <f>INDEX(Data,2,2+MOD(ROWS(C$2:C2447)-1,24))</f>
        <v>22.00</v>
      </c>
      <c r="D2447" s="8" t="str">
        <f t="shared" ca="1" si="116"/>
        <v>—</v>
      </c>
      <c r="E2447" s="16">
        <f t="shared" ca="1" si="117"/>
        <v>7</v>
      </c>
    </row>
    <row r="2448" spans="1:5" x14ac:dyDescent="0.25">
      <c r="A2448" s="3">
        <f t="shared" si="115"/>
        <v>78989</v>
      </c>
      <c r="B2448" t="str">
        <f ca="1">TEXT(DATE(YEAR(Invoer!$A$5),1,1)+INT((ROWS(B$2:B2448)-1)/24),"""18""jjmmdd")</f>
        <v>18980412</v>
      </c>
      <c r="C2448" s="11" t="str">
        <f>INDEX(Data,2,2+MOD(ROWS(C$2:C2448)-1,24))</f>
        <v>23.00</v>
      </c>
      <c r="D2448" s="8" t="str">
        <f t="shared" ca="1" si="116"/>
        <v>—</v>
      </c>
      <c r="E2448" s="16">
        <f t="shared" ca="1" si="117"/>
        <v>7</v>
      </c>
    </row>
    <row r="2449" spans="1:5" x14ac:dyDescent="0.25">
      <c r="A2449" s="3">
        <f t="shared" si="115"/>
        <v>78989</v>
      </c>
      <c r="B2449" t="str">
        <f ca="1">TEXT(DATE(YEAR(Invoer!$A$5),1,1)+INT((ROWS(B$2:B2449)-1)/24),"""18""jjmmdd")</f>
        <v>18980412</v>
      </c>
      <c r="C2449" s="11" t="str">
        <f>INDEX(Data,2,2+MOD(ROWS(C$2:C2449)-1,24))</f>
        <v>24.00</v>
      </c>
      <c r="D2449" s="8" t="str">
        <f t="shared" ca="1" si="116"/>
        <v>—</v>
      </c>
      <c r="E2449" s="16">
        <f t="shared" ca="1" si="117"/>
        <v>7</v>
      </c>
    </row>
    <row r="2450" spans="1:5" x14ac:dyDescent="0.25">
      <c r="A2450" s="3">
        <f t="shared" si="115"/>
        <v>78989</v>
      </c>
      <c r="B2450" t="str">
        <f ca="1">TEXT(DATE(YEAR(Invoer!$A$5),1,1)+INT((ROWS(B$2:B2450)-1)/24),"""18""jjmmdd")</f>
        <v>18980413</v>
      </c>
      <c r="C2450" s="11" t="str">
        <f>INDEX(Data,2,2+MOD(ROWS(C$2:C2450)-1,24))</f>
        <v>01.00</v>
      </c>
      <c r="D2450" s="8" t="str">
        <f t="shared" ca="1" si="116"/>
        <v>—</v>
      </c>
      <c r="E2450" s="16">
        <f t="shared" ca="1" si="117"/>
        <v>7</v>
      </c>
    </row>
    <row r="2451" spans="1:5" x14ac:dyDescent="0.25">
      <c r="A2451" s="3">
        <f t="shared" si="115"/>
        <v>78989</v>
      </c>
      <c r="B2451" t="str">
        <f ca="1">TEXT(DATE(YEAR(Invoer!$A$5),1,1)+INT((ROWS(B$2:B2451)-1)/24),"""18""jjmmdd")</f>
        <v>18980413</v>
      </c>
      <c r="C2451" s="11" t="str">
        <f>INDEX(Data,2,2+MOD(ROWS(C$2:C2451)-1,24))</f>
        <v>02.00</v>
      </c>
      <c r="D2451" s="8" t="str">
        <f t="shared" ca="1" si="116"/>
        <v>—</v>
      </c>
      <c r="E2451" s="16">
        <f t="shared" ca="1" si="117"/>
        <v>7</v>
      </c>
    </row>
    <row r="2452" spans="1:5" x14ac:dyDescent="0.25">
      <c r="A2452" s="3">
        <f t="shared" si="115"/>
        <v>78989</v>
      </c>
      <c r="B2452" t="str">
        <f ca="1">TEXT(DATE(YEAR(Invoer!$A$5),1,1)+INT((ROWS(B$2:B2452)-1)/24),"""18""jjmmdd")</f>
        <v>18980413</v>
      </c>
      <c r="C2452" s="11" t="str">
        <f>INDEX(Data,2,2+MOD(ROWS(C$2:C2452)-1,24))</f>
        <v>03.00</v>
      </c>
      <c r="D2452" s="8" t="str">
        <f t="shared" ca="1" si="116"/>
        <v>—</v>
      </c>
      <c r="E2452" s="16">
        <f t="shared" ca="1" si="117"/>
        <v>7</v>
      </c>
    </row>
    <row r="2453" spans="1:5" x14ac:dyDescent="0.25">
      <c r="A2453" s="3">
        <f t="shared" si="115"/>
        <v>78989</v>
      </c>
      <c r="B2453" t="str">
        <f ca="1">TEXT(DATE(YEAR(Invoer!$A$5),1,1)+INT((ROWS(B$2:B2453)-1)/24),"""18""jjmmdd")</f>
        <v>18980413</v>
      </c>
      <c r="C2453" s="11" t="str">
        <f>INDEX(Data,2,2+MOD(ROWS(C$2:C2453)-1,24))</f>
        <v>04.00</v>
      </c>
      <c r="D2453" s="8" t="str">
        <f t="shared" ca="1" si="116"/>
        <v>—</v>
      </c>
      <c r="E2453" s="16">
        <f t="shared" ca="1" si="117"/>
        <v>7</v>
      </c>
    </row>
    <row r="2454" spans="1:5" x14ac:dyDescent="0.25">
      <c r="A2454" s="3">
        <f t="shared" si="115"/>
        <v>78989</v>
      </c>
      <c r="B2454" t="str">
        <f ca="1">TEXT(DATE(YEAR(Invoer!$A$5),1,1)+INT((ROWS(B$2:B2454)-1)/24),"""18""jjmmdd")</f>
        <v>18980413</v>
      </c>
      <c r="C2454" s="11" t="str">
        <f>INDEX(Data,2,2+MOD(ROWS(C$2:C2454)-1,24))</f>
        <v>05.00</v>
      </c>
      <c r="D2454" s="8" t="str">
        <f t="shared" ca="1" si="116"/>
        <v>—</v>
      </c>
      <c r="E2454" s="16">
        <f t="shared" ca="1" si="117"/>
        <v>7</v>
      </c>
    </row>
    <row r="2455" spans="1:5" x14ac:dyDescent="0.25">
      <c r="A2455" s="3">
        <f t="shared" si="115"/>
        <v>78989</v>
      </c>
      <c r="B2455" t="str">
        <f ca="1">TEXT(DATE(YEAR(Invoer!$A$5),1,1)+INT((ROWS(B$2:B2455)-1)/24),"""18""jjmmdd")</f>
        <v>18980413</v>
      </c>
      <c r="C2455" s="11" t="str">
        <f>INDEX(Data,2,2+MOD(ROWS(C$2:C2455)-1,24))</f>
        <v>06.00</v>
      </c>
      <c r="D2455" s="8" t="str">
        <f t="shared" ca="1" si="116"/>
        <v>—</v>
      </c>
      <c r="E2455" s="16">
        <f t="shared" ca="1" si="117"/>
        <v>7</v>
      </c>
    </row>
    <row r="2456" spans="1:5" x14ac:dyDescent="0.25">
      <c r="A2456" s="3">
        <f t="shared" si="115"/>
        <v>78989</v>
      </c>
      <c r="B2456" t="str">
        <f ca="1">TEXT(DATE(YEAR(Invoer!$A$5),1,1)+INT((ROWS(B$2:B2456)-1)/24),"""18""jjmmdd")</f>
        <v>18980413</v>
      </c>
      <c r="C2456" s="11" t="str">
        <f>INDEX(Data,2,2+MOD(ROWS(C$2:C2456)-1,24))</f>
        <v>07.00</v>
      </c>
      <c r="D2456" s="8" t="str">
        <f t="shared" ca="1" si="116"/>
        <v>—</v>
      </c>
      <c r="E2456" s="16">
        <f t="shared" ca="1" si="117"/>
        <v>7</v>
      </c>
    </row>
    <row r="2457" spans="1:5" x14ac:dyDescent="0.25">
      <c r="A2457" s="3">
        <f t="shared" si="115"/>
        <v>78989</v>
      </c>
      <c r="B2457" t="str">
        <f ca="1">TEXT(DATE(YEAR(Invoer!$A$5),1,1)+INT((ROWS(B$2:B2457)-1)/24),"""18""jjmmdd")</f>
        <v>18980413</v>
      </c>
      <c r="C2457" s="11" t="str">
        <f>INDEX(Data,2,2+MOD(ROWS(C$2:C2457)-1,24))</f>
        <v>08.00</v>
      </c>
      <c r="D2457" s="8" t="str">
        <f t="shared" ca="1" si="116"/>
        <v>—</v>
      </c>
      <c r="E2457" s="16">
        <f t="shared" ca="1" si="117"/>
        <v>7</v>
      </c>
    </row>
    <row r="2458" spans="1:5" x14ac:dyDescent="0.25">
      <c r="A2458" s="3">
        <f t="shared" si="115"/>
        <v>78989</v>
      </c>
      <c r="B2458" t="str">
        <f ca="1">TEXT(DATE(YEAR(Invoer!$A$5),1,1)+INT((ROWS(B$2:B2458)-1)/24),"""18""jjmmdd")</f>
        <v>18980413</v>
      </c>
      <c r="C2458" s="11" t="str">
        <f>INDEX(Data,2,2+MOD(ROWS(C$2:C2458)-1,24))</f>
        <v>09.00</v>
      </c>
      <c r="D2458" s="8" t="str">
        <f t="shared" ca="1" si="116"/>
        <v>—</v>
      </c>
      <c r="E2458" s="16">
        <f t="shared" ca="1" si="117"/>
        <v>7</v>
      </c>
    </row>
    <row r="2459" spans="1:5" x14ac:dyDescent="0.25">
      <c r="A2459" s="3">
        <f t="shared" si="115"/>
        <v>78989</v>
      </c>
      <c r="B2459" t="str">
        <f ca="1">TEXT(DATE(YEAR(Invoer!$A$5),1,1)+INT((ROWS(B$2:B2459)-1)/24),"""18""jjmmdd")</f>
        <v>18980413</v>
      </c>
      <c r="C2459" s="11" t="str">
        <f>INDEX(Data,2,2+MOD(ROWS(C$2:C2459)-1,24))</f>
        <v>10.00</v>
      </c>
      <c r="D2459" s="8" t="str">
        <f t="shared" ca="1" si="116"/>
        <v>—</v>
      </c>
      <c r="E2459" s="16">
        <f t="shared" ca="1" si="117"/>
        <v>7</v>
      </c>
    </row>
    <row r="2460" spans="1:5" x14ac:dyDescent="0.25">
      <c r="A2460" s="3">
        <f t="shared" si="115"/>
        <v>78989</v>
      </c>
      <c r="B2460" t="str">
        <f ca="1">TEXT(DATE(YEAR(Invoer!$A$5),1,1)+INT((ROWS(B$2:B2460)-1)/24),"""18""jjmmdd")</f>
        <v>18980413</v>
      </c>
      <c r="C2460" s="11" t="str">
        <f>INDEX(Data,2,2+MOD(ROWS(C$2:C2460)-1,24))</f>
        <v>11.00</v>
      </c>
      <c r="D2460" s="8" t="str">
        <f t="shared" ca="1" si="116"/>
        <v>—</v>
      </c>
      <c r="E2460" s="16">
        <f t="shared" ca="1" si="117"/>
        <v>7</v>
      </c>
    </row>
    <row r="2461" spans="1:5" x14ac:dyDescent="0.25">
      <c r="A2461" s="3">
        <f t="shared" si="115"/>
        <v>78989</v>
      </c>
      <c r="B2461" t="str">
        <f ca="1">TEXT(DATE(YEAR(Invoer!$A$5),1,1)+INT((ROWS(B$2:B2461)-1)/24),"""18""jjmmdd")</f>
        <v>18980413</v>
      </c>
      <c r="C2461" s="11" t="str">
        <f>INDEX(Data,2,2+MOD(ROWS(C$2:C2461)-1,24))</f>
        <v>12.00</v>
      </c>
      <c r="D2461" s="8" t="str">
        <f t="shared" ca="1" si="116"/>
        <v>—</v>
      </c>
      <c r="E2461" s="16">
        <f t="shared" ca="1" si="117"/>
        <v>7</v>
      </c>
    </row>
    <row r="2462" spans="1:5" x14ac:dyDescent="0.25">
      <c r="A2462" s="3">
        <f t="shared" si="115"/>
        <v>78989</v>
      </c>
      <c r="B2462" t="str">
        <f ca="1">TEXT(DATE(YEAR(Invoer!$A$5),1,1)+INT((ROWS(B$2:B2462)-1)/24),"""18""jjmmdd")</f>
        <v>18980413</v>
      </c>
      <c r="C2462" s="11" t="str">
        <f>INDEX(Data,2,2+MOD(ROWS(C$2:C2462)-1,24))</f>
        <v>13.00</v>
      </c>
      <c r="D2462" s="8" t="str">
        <f t="shared" ca="1" si="116"/>
        <v>—</v>
      </c>
      <c r="E2462" s="16">
        <f t="shared" ca="1" si="117"/>
        <v>7</v>
      </c>
    </row>
    <row r="2463" spans="1:5" x14ac:dyDescent="0.25">
      <c r="A2463" s="3">
        <f t="shared" si="115"/>
        <v>78989</v>
      </c>
      <c r="B2463" t="str">
        <f ca="1">TEXT(DATE(YEAR(Invoer!$A$5),1,1)+INT((ROWS(B$2:B2463)-1)/24),"""18""jjmmdd")</f>
        <v>18980413</v>
      </c>
      <c r="C2463" s="11" t="str">
        <f>INDEX(Data,2,2+MOD(ROWS(C$2:C2463)-1,24))</f>
        <v>14.00</v>
      </c>
      <c r="D2463" s="8" t="str">
        <f t="shared" ca="1" si="116"/>
        <v>—</v>
      </c>
      <c r="E2463" s="16">
        <f t="shared" ca="1" si="117"/>
        <v>7</v>
      </c>
    </row>
    <row r="2464" spans="1:5" x14ac:dyDescent="0.25">
      <c r="A2464" s="3">
        <f t="shared" si="115"/>
        <v>78989</v>
      </c>
      <c r="B2464" t="str">
        <f ca="1">TEXT(DATE(YEAR(Invoer!$A$5),1,1)+INT((ROWS(B$2:B2464)-1)/24),"""18""jjmmdd")</f>
        <v>18980413</v>
      </c>
      <c r="C2464" s="11" t="str">
        <f>INDEX(Data,2,2+MOD(ROWS(C$2:C2464)-1,24))</f>
        <v>15.00</v>
      </c>
      <c r="D2464" s="8" t="str">
        <f t="shared" ca="1" si="116"/>
        <v>—</v>
      </c>
      <c r="E2464" s="16">
        <f t="shared" ca="1" si="117"/>
        <v>7</v>
      </c>
    </row>
    <row r="2465" spans="1:5" x14ac:dyDescent="0.25">
      <c r="A2465" s="3">
        <f t="shared" si="115"/>
        <v>78989</v>
      </c>
      <c r="B2465" t="str">
        <f ca="1">TEXT(DATE(YEAR(Invoer!$A$5),1,1)+INT((ROWS(B$2:B2465)-1)/24),"""18""jjmmdd")</f>
        <v>18980413</v>
      </c>
      <c r="C2465" s="11" t="str">
        <f>INDEX(Data,2,2+MOD(ROWS(C$2:C2465)-1,24))</f>
        <v>16.00</v>
      </c>
      <c r="D2465" s="8" t="str">
        <f t="shared" ca="1" si="116"/>
        <v>—</v>
      </c>
      <c r="E2465" s="16">
        <f t="shared" ca="1" si="117"/>
        <v>7</v>
      </c>
    </row>
    <row r="2466" spans="1:5" x14ac:dyDescent="0.25">
      <c r="A2466" s="3">
        <f t="shared" si="115"/>
        <v>78989</v>
      </c>
      <c r="B2466" t="str">
        <f ca="1">TEXT(DATE(YEAR(Invoer!$A$5),1,1)+INT((ROWS(B$2:B2466)-1)/24),"""18""jjmmdd")</f>
        <v>18980413</v>
      </c>
      <c r="C2466" s="11" t="str">
        <f>INDEX(Data,2,2+MOD(ROWS(C$2:C2466)-1,24))</f>
        <v>17.00</v>
      </c>
      <c r="D2466" s="8" t="str">
        <f t="shared" ca="1" si="116"/>
        <v>—</v>
      </c>
      <c r="E2466" s="16">
        <f t="shared" ca="1" si="117"/>
        <v>7</v>
      </c>
    </row>
    <row r="2467" spans="1:5" x14ac:dyDescent="0.25">
      <c r="A2467" s="3">
        <f t="shared" si="115"/>
        <v>78989</v>
      </c>
      <c r="B2467" t="str">
        <f ca="1">TEXT(DATE(YEAR(Invoer!$A$5),1,1)+INT((ROWS(B$2:B2467)-1)/24),"""18""jjmmdd")</f>
        <v>18980413</v>
      </c>
      <c r="C2467" s="11" t="str">
        <f>INDEX(Data,2,2+MOD(ROWS(C$2:C2467)-1,24))</f>
        <v>18.00</v>
      </c>
      <c r="D2467" s="8" t="str">
        <f t="shared" ca="1" si="116"/>
        <v>—</v>
      </c>
      <c r="E2467" s="16">
        <f t="shared" ca="1" si="117"/>
        <v>7</v>
      </c>
    </row>
    <row r="2468" spans="1:5" x14ac:dyDescent="0.25">
      <c r="A2468" s="3">
        <f t="shared" si="115"/>
        <v>78989</v>
      </c>
      <c r="B2468" t="str">
        <f ca="1">TEXT(DATE(YEAR(Invoer!$A$5),1,1)+INT((ROWS(B$2:B2468)-1)/24),"""18""jjmmdd")</f>
        <v>18980413</v>
      </c>
      <c r="C2468" s="11" t="str">
        <f>INDEX(Data,2,2+MOD(ROWS(C$2:C2468)-1,24))</f>
        <v>19.00</v>
      </c>
      <c r="D2468" s="8" t="str">
        <f t="shared" ca="1" si="116"/>
        <v>—</v>
      </c>
      <c r="E2468" s="16">
        <f t="shared" ca="1" si="117"/>
        <v>7</v>
      </c>
    </row>
    <row r="2469" spans="1:5" x14ac:dyDescent="0.25">
      <c r="A2469" s="3">
        <f t="shared" si="115"/>
        <v>78989</v>
      </c>
      <c r="B2469" t="str">
        <f ca="1">TEXT(DATE(YEAR(Invoer!$A$5),1,1)+INT((ROWS(B$2:B2469)-1)/24),"""18""jjmmdd")</f>
        <v>18980413</v>
      </c>
      <c r="C2469" s="11" t="str">
        <f>INDEX(Data,2,2+MOD(ROWS(C$2:C2469)-1,24))</f>
        <v>20.00</v>
      </c>
      <c r="D2469" s="8" t="str">
        <f t="shared" ca="1" si="116"/>
        <v>—</v>
      </c>
      <c r="E2469" s="16">
        <f t="shared" ca="1" si="117"/>
        <v>7</v>
      </c>
    </row>
    <row r="2470" spans="1:5" x14ac:dyDescent="0.25">
      <c r="A2470" s="3">
        <f t="shared" si="115"/>
        <v>78989</v>
      </c>
      <c r="B2470" t="str">
        <f ca="1">TEXT(DATE(YEAR(Invoer!$A$5),1,1)+INT((ROWS(B$2:B2470)-1)/24),"""18""jjmmdd")</f>
        <v>18980413</v>
      </c>
      <c r="C2470" s="11" t="str">
        <f>INDEX(Data,2,2+MOD(ROWS(C$2:C2470)-1,24))</f>
        <v>21.00</v>
      </c>
      <c r="D2470" s="8" t="str">
        <f t="shared" ca="1" si="116"/>
        <v>—</v>
      </c>
      <c r="E2470" s="16">
        <f t="shared" ca="1" si="117"/>
        <v>7</v>
      </c>
    </row>
    <row r="2471" spans="1:5" x14ac:dyDescent="0.25">
      <c r="A2471" s="3">
        <f t="shared" si="115"/>
        <v>78989</v>
      </c>
      <c r="B2471" t="str">
        <f ca="1">TEXT(DATE(YEAR(Invoer!$A$5),1,1)+INT((ROWS(B$2:B2471)-1)/24),"""18""jjmmdd")</f>
        <v>18980413</v>
      </c>
      <c r="C2471" s="11" t="str">
        <f>INDEX(Data,2,2+MOD(ROWS(C$2:C2471)-1,24))</f>
        <v>22.00</v>
      </c>
      <c r="D2471" s="8" t="str">
        <f t="shared" ca="1" si="116"/>
        <v>—</v>
      </c>
      <c r="E2471" s="16">
        <f t="shared" ca="1" si="117"/>
        <v>7</v>
      </c>
    </row>
    <row r="2472" spans="1:5" x14ac:dyDescent="0.25">
      <c r="A2472" s="3">
        <f t="shared" si="115"/>
        <v>78989</v>
      </c>
      <c r="B2472" t="str">
        <f ca="1">TEXT(DATE(YEAR(Invoer!$A$5),1,1)+INT((ROWS(B$2:B2472)-1)/24),"""18""jjmmdd")</f>
        <v>18980413</v>
      </c>
      <c r="C2472" s="11" t="str">
        <f>INDEX(Data,2,2+MOD(ROWS(C$2:C2472)-1,24))</f>
        <v>23.00</v>
      </c>
      <c r="D2472" s="8" t="str">
        <f t="shared" ca="1" si="116"/>
        <v>—</v>
      </c>
      <c r="E2472" s="16">
        <f t="shared" ca="1" si="117"/>
        <v>7</v>
      </c>
    </row>
    <row r="2473" spans="1:5" x14ac:dyDescent="0.25">
      <c r="A2473" s="3">
        <f t="shared" si="115"/>
        <v>78989</v>
      </c>
      <c r="B2473" t="str">
        <f ca="1">TEXT(DATE(YEAR(Invoer!$A$5),1,1)+INT((ROWS(B$2:B2473)-1)/24),"""18""jjmmdd")</f>
        <v>18980413</v>
      </c>
      <c r="C2473" s="11" t="str">
        <f>INDEX(Data,2,2+MOD(ROWS(C$2:C2473)-1,24))</f>
        <v>24.00</v>
      </c>
      <c r="D2473" s="8" t="str">
        <f t="shared" ca="1" si="116"/>
        <v>—</v>
      </c>
      <c r="E2473" s="16">
        <f t="shared" ca="1" si="117"/>
        <v>7</v>
      </c>
    </row>
    <row r="2474" spans="1:5" x14ac:dyDescent="0.25">
      <c r="A2474" s="3">
        <f t="shared" si="115"/>
        <v>78989</v>
      </c>
      <c r="B2474" t="str">
        <f ca="1">TEXT(DATE(YEAR(Invoer!$A$5),1,1)+INT((ROWS(B$2:B2474)-1)/24),"""18""jjmmdd")</f>
        <v>18980414</v>
      </c>
      <c r="C2474" s="11" t="str">
        <f>INDEX(Data,2,2+MOD(ROWS(C$2:C2474)-1,24))</f>
        <v>01.00</v>
      </c>
      <c r="D2474" s="8" t="str">
        <f t="shared" ca="1" si="116"/>
        <v>—</v>
      </c>
      <c r="E2474" s="16">
        <f t="shared" ca="1" si="117"/>
        <v>7</v>
      </c>
    </row>
    <row r="2475" spans="1:5" x14ac:dyDescent="0.25">
      <c r="A2475" s="3">
        <f t="shared" si="115"/>
        <v>78989</v>
      </c>
      <c r="B2475" t="str">
        <f ca="1">TEXT(DATE(YEAR(Invoer!$A$5),1,1)+INT((ROWS(B$2:B2475)-1)/24),"""18""jjmmdd")</f>
        <v>18980414</v>
      </c>
      <c r="C2475" s="11" t="str">
        <f>INDEX(Data,2,2+MOD(ROWS(C$2:C2475)-1,24))</f>
        <v>02.00</v>
      </c>
      <c r="D2475" s="8" t="str">
        <f t="shared" ca="1" si="116"/>
        <v>—</v>
      </c>
      <c r="E2475" s="16">
        <f t="shared" ca="1" si="117"/>
        <v>7</v>
      </c>
    </row>
    <row r="2476" spans="1:5" x14ac:dyDescent="0.25">
      <c r="A2476" s="3">
        <f t="shared" si="115"/>
        <v>78989</v>
      </c>
      <c r="B2476" t="str">
        <f ca="1">TEXT(DATE(YEAR(Invoer!$A$5),1,1)+INT((ROWS(B$2:B2476)-1)/24),"""18""jjmmdd")</f>
        <v>18980414</v>
      </c>
      <c r="C2476" s="11" t="str">
        <f>INDEX(Data,2,2+MOD(ROWS(C$2:C2476)-1,24))</f>
        <v>03.00</v>
      </c>
      <c r="D2476" s="8" t="str">
        <f t="shared" ca="1" si="116"/>
        <v>—</v>
      </c>
      <c r="E2476" s="16">
        <f t="shared" ca="1" si="117"/>
        <v>7</v>
      </c>
    </row>
    <row r="2477" spans="1:5" x14ac:dyDescent="0.25">
      <c r="A2477" s="3">
        <f t="shared" si="115"/>
        <v>78989</v>
      </c>
      <c r="B2477" t="str">
        <f ca="1">TEXT(DATE(YEAR(Invoer!$A$5),1,1)+INT((ROWS(B$2:B2477)-1)/24),"""18""jjmmdd")</f>
        <v>18980414</v>
      </c>
      <c r="C2477" s="11" t="str">
        <f>INDEX(Data,2,2+MOD(ROWS(C$2:C2477)-1,24))</f>
        <v>04.00</v>
      </c>
      <c r="D2477" s="8" t="str">
        <f t="shared" ca="1" si="116"/>
        <v>—</v>
      </c>
      <c r="E2477" s="16">
        <f t="shared" ca="1" si="117"/>
        <v>7</v>
      </c>
    </row>
    <row r="2478" spans="1:5" x14ac:dyDescent="0.25">
      <c r="A2478" s="3">
        <f t="shared" si="115"/>
        <v>78989</v>
      </c>
      <c r="B2478" t="str">
        <f ca="1">TEXT(DATE(YEAR(Invoer!$A$5),1,1)+INT((ROWS(B$2:B2478)-1)/24),"""18""jjmmdd")</f>
        <v>18980414</v>
      </c>
      <c r="C2478" s="11" t="str">
        <f>INDEX(Data,2,2+MOD(ROWS(C$2:C2478)-1,24))</f>
        <v>05.00</v>
      </c>
      <c r="D2478" s="8" t="str">
        <f t="shared" ca="1" si="116"/>
        <v>—</v>
      </c>
      <c r="E2478" s="16">
        <f t="shared" ca="1" si="117"/>
        <v>7</v>
      </c>
    </row>
    <row r="2479" spans="1:5" x14ac:dyDescent="0.25">
      <c r="A2479" s="3">
        <f t="shared" si="115"/>
        <v>78989</v>
      </c>
      <c r="B2479" t="str">
        <f ca="1">TEXT(DATE(YEAR(Invoer!$A$5),1,1)+INT((ROWS(B$2:B2479)-1)/24),"""18""jjmmdd")</f>
        <v>18980414</v>
      </c>
      <c r="C2479" s="11" t="str">
        <f>INDEX(Data,2,2+MOD(ROWS(C$2:C2479)-1,24))</f>
        <v>06.00</v>
      </c>
      <c r="D2479" s="8" t="str">
        <f t="shared" ca="1" si="116"/>
        <v>—</v>
      </c>
      <c r="E2479" s="16">
        <f t="shared" ca="1" si="117"/>
        <v>7</v>
      </c>
    </row>
    <row r="2480" spans="1:5" x14ac:dyDescent="0.25">
      <c r="A2480" s="3">
        <f t="shared" si="115"/>
        <v>78989</v>
      </c>
      <c r="B2480" t="str">
        <f ca="1">TEXT(DATE(YEAR(Invoer!$A$5),1,1)+INT((ROWS(B$2:B2480)-1)/24),"""18""jjmmdd")</f>
        <v>18980414</v>
      </c>
      <c r="C2480" s="11" t="str">
        <f>INDEX(Data,2,2+MOD(ROWS(C$2:C2480)-1,24))</f>
        <v>07.00</v>
      </c>
      <c r="D2480" s="8" t="str">
        <f t="shared" ca="1" si="116"/>
        <v>—</v>
      </c>
      <c r="E2480" s="16">
        <f t="shared" ca="1" si="117"/>
        <v>7</v>
      </c>
    </row>
    <row r="2481" spans="1:5" x14ac:dyDescent="0.25">
      <c r="A2481" s="3">
        <f t="shared" si="115"/>
        <v>78989</v>
      </c>
      <c r="B2481" t="str">
        <f ca="1">TEXT(DATE(YEAR(Invoer!$A$5),1,1)+INT((ROWS(B$2:B2481)-1)/24),"""18""jjmmdd")</f>
        <v>18980414</v>
      </c>
      <c r="C2481" s="11" t="str">
        <f>INDEX(Data,2,2+MOD(ROWS(C$2:C2481)-1,24))</f>
        <v>08.00</v>
      </c>
      <c r="D2481" s="8" t="str">
        <f t="shared" ca="1" si="116"/>
        <v>—</v>
      </c>
      <c r="E2481" s="16">
        <f t="shared" ca="1" si="117"/>
        <v>7</v>
      </c>
    </row>
    <row r="2482" spans="1:5" x14ac:dyDescent="0.25">
      <c r="A2482" s="3">
        <f t="shared" si="115"/>
        <v>78989</v>
      </c>
      <c r="B2482" t="str">
        <f ca="1">TEXT(DATE(YEAR(Invoer!$A$5),1,1)+INT((ROWS(B$2:B2482)-1)/24),"""18""jjmmdd")</f>
        <v>18980414</v>
      </c>
      <c r="C2482" s="11" t="str">
        <f>INDEX(Data,2,2+MOD(ROWS(C$2:C2482)-1,24))</f>
        <v>09.00</v>
      </c>
      <c r="D2482" s="8" t="str">
        <f t="shared" ca="1" si="116"/>
        <v>—</v>
      </c>
      <c r="E2482" s="16">
        <f t="shared" ca="1" si="117"/>
        <v>7</v>
      </c>
    </row>
    <row r="2483" spans="1:5" x14ac:dyDescent="0.25">
      <c r="A2483" s="3">
        <f t="shared" si="115"/>
        <v>78989</v>
      </c>
      <c r="B2483" t="str">
        <f ca="1">TEXT(DATE(YEAR(Invoer!$A$5),1,1)+INT((ROWS(B$2:B2483)-1)/24),"""18""jjmmdd")</f>
        <v>18980414</v>
      </c>
      <c r="C2483" s="11" t="str">
        <f>INDEX(Data,2,2+MOD(ROWS(C$2:C2483)-1,24))</f>
        <v>10.00</v>
      </c>
      <c r="D2483" s="8" t="str">
        <f t="shared" ca="1" si="116"/>
        <v>—</v>
      </c>
      <c r="E2483" s="16">
        <f t="shared" ca="1" si="117"/>
        <v>7</v>
      </c>
    </row>
    <row r="2484" spans="1:5" x14ac:dyDescent="0.25">
      <c r="A2484" s="3">
        <f t="shared" si="115"/>
        <v>78989</v>
      </c>
      <c r="B2484" t="str">
        <f ca="1">TEXT(DATE(YEAR(Invoer!$A$5),1,1)+INT((ROWS(B$2:B2484)-1)/24),"""18""jjmmdd")</f>
        <v>18980414</v>
      </c>
      <c r="C2484" s="11" t="str">
        <f>INDEX(Data,2,2+MOD(ROWS(C$2:C2484)-1,24))</f>
        <v>11.00</v>
      </c>
      <c r="D2484" s="8" t="str">
        <f t="shared" ca="1" si="116"/>
        <v>—</v>
      </c>
      <c r="E2484" s="16">
        <f t="shared" ca="1" si="117"/>
        <v>7</v>
      </c>
    </row>
    <row r="2485" spans="1:5" x14ac:dyDescent="0.25">
      <c r="A2485" s="3">
        <f t="shared" si="115"/>
        <v>78989</v>
      </c>
      <c r="B2485" t="str">
        <f ca="1">TEXT(DATE(YEAR(Invoer!$A$5),1,1)+INT((ROWS(B$2:B2485)-1)/24),"""18""jjmmdd")</f>
        <v>18980414</v>
      </c>
      <c r="C2485" s="11" t="str">
        <f>INDEX(Data,2,2+MOD(ROWS(C$2:C2485)-1,24))</f>
        <v>12.00</v>
      </c>
      <c r="D2485" s="8" t="str">
        <f t="shared" ca="1" si="116"/>
        <v>—</v>
      </c>
      <c r="E2485" s="16">
        <f t="shared" ca="1" si="117"/>
        <v>7</v>
      </c>
    </row>
    <row r="2486" spans="1:5" x14ac:dyDescent="0.25">
      <c r="A2486" s="3">
        <f t="shared" si="115"/>
        <v>78989</v>
      </c>
      <c r="B2486" t="str">
        <f ca="1">TEXT(DATE(YEAR(Invoer!$A$5),1,1)+INT((ROWS(B$2:B2486)-1)/24),"""18""jjmmdd")</f>
        <v>18980414</v>
      </c>
      <c r="C2486" s="11" t="str">
        <f>INDEX(Data,2,2+MOD(ROWS(C$2:C2486)-1,24))</f>
        <v>13.00</v>
      </c>
      <c r="D2486" s="8" t="str">
        <f t="shared" ca="1" si="116"/>
        <v>—</v>
      </c>
      <c r="E2486" s="16">
        <f t="shared" ca="1" si="117"/>
        <v>7</v>
      </c>
    </row>
    <row r="2487" spans="1:5" x14ac:dyDescent="0.25">
      <c r="A2487" s="3">
        <f t="shared" si="115"/>
        <v>78989</v>
      </c>
      <c r="B2487" t="str">
        <f ca="1">TEXT(DATE(YEAR(Invoer!$A$5),1,1)+INT((ROWS(B$2:B2487)-1)/24),"""18""jjmmdd")</f>
        <v>18980414</v>
      </c>
      <c r="C2487" s="11" t="str">
        <f>INDEX(Data,2,2+MOD(ROWS(C$2:C2487)-1,24))</f>
        <v>14.00</v>
      </c>
      <c r="D2487" s="8" t="str">
        <f t="shared" ca="1" si="116"/>
        <v>—</v>
      </c>
      <c r="E2487" s="16">
        <f t="shared" ca="1" si="117"/>
        <v>7</v>
      </c>
    </row>
    <row r="2488" spans="1:5" x14ac:dyDescent="0.25">
      <c r="A2488" s="3">
        <f t="shared" si="115"/>
        <v>78989</v>
      </c>
      <c r="B2488" t="str">
        <f ca="1">TEXT(DATE(YEAR(Invoer!$A$5),1,1)+INT((ROWS(B$2:B2488)-1)/24),"""18""jjmmdd")</f>
        <v>18980414</v>
      </c>
      <c r="C2488" s="11" t="str">
        <f>INDEX(Data,2,2+MOD(ROWS(C$2:C2488)-1,24))</f>
        <v>15.00</v>
      </c>
      <c r="D2488" s="8" t="str">
        <f t="shared" ca="1" si="116"/>
        <v>—</v>
      </c>
      <c r="E2488" s="16">
        <f t="shared" ca="1" si="117"/>
        <v>7</v>
      </c>
    </row>
    <row r="2489" spans="1:5" x14ac:dyDescent="0.25">
      <c r="A2489" s="3">
        <f t="shared" si="115"/>
        <v>78989</v>
      </c>
      <c r="B2489" t="str">
        <f ca="1">TEXT(DATE(YEAR(Invoer!$A$5),1,1)+INT((ROWS(B$2:B2489)-1)/24),"""18""jjmmdd")</f>
        <v>18980414</v>
      </c>
      <c r="C2489" s="11" t="str">
        <f>INDEX(Data,2,2+MOD(ROWS(C$2:C2489)-1,24))</f>
        <v>16.00</v>
      </c>
      <c r="D2489" s="8" t="str">
        <f t="shared" ca="1" si="116"/>
        <v>—</v>
      </c>
      <c r="E2489" s="16">
        <f t="shared" ca="1" si="117"/>
        <v>7</v>
      </c>
    </row>
    <row r="2490" spans="1:5" x14ac:dyDescent="0.25">
      <c r="A2490" s="3">
        <f t="shared" si="115"/>
        <v>78989</v>
      </c>
      <c r="B2490" t="str">
        <f ca="1">TEXT(DATE(YEAR(Invoer!$A$5),1,1)+INT((ROWS(B$2:B2490)-1)/24),"""18""jjmmdd")</f>
        <v>18980414</v>
      </c>
      <c r="C2490" s="11" t="str">
        <f>INDEX(Data,2,2+MOD(ROWS(C$2:C2490)-1,24))</f>
        <v>17.00</v>
      </c>
      <c r="D2490" s="8" t="str">
        <f t="shared" ca="1" si="116"/>
        <v>—</v>
      </c>
      <c r="E2490" s="16">
        <f t="shared" ca="1" si="117"/>
        <v>7</v>
      </c>
    </row>
    <row r="2491" spans="1:5" x14ac:dyDescent="0.25">
      <c r="A2491" s="3">
        <f t="shared" si="115"/>
        <v>78989</v>
      </c>
      <c r="B2491" t="str">
        <f ca="1">TEXT(DATE(YEAR(Invoer!$A$5),1,1)+INT((ROWS(B$2:B2491)-1)/24),"""18""jjmmdd")</f>
        <v>18980414</v>
      </c>
      <c r="C2491" s="11" t="str">
        <f>INDEX(Data,2,2+MOD(ROWS(C$2:C2491)-1,24))</f>
        <v>18.00</v>
      </c>
      <c r="D2491" s="8" t="str">
        <f t="shared" ca="1" si="116"/>
        <v>—</v>
      </c>
      <c r="E2491" s="16">
        <f t="shared" ca="1" si="117"/>
        <v>7</v>
      </c>
    </row>
    <row r="2492" spans="1:5" x14ac:dyDescent="0.25">
      <c r="A2492" s="3">
        <f t="shared" si="115"/>
        <v>78989</v>
      </c>
      <c r="B2492" t="str">
        <f ca="1">TEXT(DATE(YEAR(Invoer!$A$5),1,1)+INT((ROWS(B$2:B2492)-1)/24),"""18""jjmmdd")</f>
        <v>18980414</v>
      </c>
      <c r="C2492" s="11" t="str">
        <f>INDEX(Data,2,2+MOD(ROWS(C$2:C2492)-1,24))</f>
        <v>19.00</v>
      </c>
      <c r="D2492" s="8" t="str">
        <f t="shared" ca="1" si="116"/>
        <v>—</v>
      </c>
      <c r="E2492" s="16">
        <f t="shared" ca="1" si="117"/>
        <v>7</v>
      </c>
    </row>
    <row r="2493" spans="1:5" x14ac:dyDescent="0.25">
      <c r="A2493" s="3">
        <f t="shared" si="115"/>
        <v>78989</v>
      </c>
      <c r="B2493" t="str">
        <f ca="1">TEXT(DATE(YEAR(Invoer!$A$5),1,1)+INT((ROWS(B$2:B2493)-1)/24),"""18""jjmmdd")</f>
        <v>18980414</v>
      </c>
      <c r="C2493" s="11" t="str">
        <f>INDEX(Data,2,2+MOD(ROWS(C$2:C2493)-1,24))</f>
        <v>20.00</v>
      </c>
      <c r="D2493" s="8" t="str">
        <f t="shared" ca="1" si="116"/>
        <v>—</v>
      </c>
      <c r="E2493" s="16">
        <f t="shared" ca="1" si="117"/>
        <v>7</v>
      </c>
    </row>
    <row r="2494" spans="1:5" x14ac:dyDescent="0.25">
      <c r="A2494" s="3">
        <f t="shared" si="115"/>
        <v>78989</v>
      </c>
      <c r="B2494" t="str">
        <f ca="1">TEXT(DATE(YEAR(Invoer!$A$5),1,1)+INT((ROWS(B$2:B2494)-1)/24),"""18""jjmmdd")</f>
        <v>18980414</v>
      </c>
      <c r="C2494" s="11" t="str">
        <f>INDEX(Data,2,2+MOD(ROWS(C$2:C2494)-1,24))</f>
        <v>21.00</v>
      </c>
      <c r="D2494" s="8" t="str">
        <f t="shared" ca="1" si="116"/>
        <v>—</v>
      </c>
      <c r="E2494" s="16">
        <f t="shared" ca="1" si="117"/>
        <v>7</v>
      </c>
    </row>
    <row r="2495" spans="1:5" x14ac:dyDescent="0.25">
      <c r="A2495" s="3">
        <f t="shared" si="115"/>
        <v>78989</v>
      </c>
      <c r="B2495" t="str">
        <f ca="1">TEXT(DATE(YEAR(Invoer!$A$5),1,1)+INT((ROWS(B$2:B2495)-1)/24),"""18""jjmmdd")</f>
        <v>18980414</v>
      </c>
      <c r="C2495" s="11" t="str">
        <f>INDEX(Data,2,2+MOD(ROWS(C$2:C2495)-1,24))</f>
        <v>22.00</v>
      </c>
      <c r="D2495" s="8" t="str">
        <f t="shared" ca="1" si="116"/>
        <v>—</v>
      </c>
      <c r="E2495" s="16">
        <f t="shared" ca="1" si="117"/>
        <v>7</v>
      </c>
    </row>
    <row r="2496" spans="1:5" x14ac:dyDescent="0.25">
      <c r="A2496" s="3">
        <f t="shared" si="115"/>
        <v>78989</v>
      </c>
      <c r="B2496" t="str">
        <f ca="1">TEXT(DATE(YEAR(Invoer!$A$5),1,1)+INT((ROWS(B$2:B2496)-1)/24),"""18""jjmmdd")</f>
        <v>18980414</v>
      </c>
      <c r="C2496" s="11" t="str">
        <f>INDEX(Data,2,2+MOD(ROWS(C$2:C2496)-1,24))</f>
        <v>23.00</v>
      </c>
      <c r="D2496" s="8" t="str">
        <f t="shared" ca="1" si="116"/>
        <v>—</v>
      </c>
      <c r="E2496" s="16">
        <f t="shared" ca="1" si="117"/>
        <v>7</v>
      </c>
    </row>
    <row r="2497" spans="1:5" x14ac:dyDescent="0.25">
      <c r="A2497" s="3">
        <f t="shared" si="115"/>
        <v>78989</v>
      </c>
      <c r="B2497" t="str">
        <f ca="1">TEXT(DATE(YEAR(Invoer!$A$5),1,1)+INT((ROWS(B$2:B2497)-1)/24),"""18""jjmmdd")</f>
        <v>18980414</v>
      </c>
      <c r="C2497" s="11" t="str">
        <f>INDEX(Data,2,2+MOD(ROWS(C$2:C2497)-1,24))</f>
        <v>24.00</v>
      </c>
      <c r="D2497" s="8" t="str">
        <f t="shared" ca="1" si="116"/>
        <v>—</v>
      </c>
      <c r="E2497" s="16">
        <f t="shared" ca="1" si="117"/>
        <v>7</v>
      </c>
    </row>
    <row r="2498" spans="1:5" x14ac:dyDescent="0.25">
      <c r="A2498" s="3">
        <f t="shared" ref="A2498:A2561" si="118">INDEX(Stations,2,1)</f>
        <v>78989</v>
      </c>
      <c r="B2498" t="str">
        <f ca="1">TEXT(DATE(YEAR(Invoer!$A$5),1,1)+INT((ROWS(B$2:B2498)-1)/24),"""18""jjmmdd")</f>
        <v>18980415</v>
      </c>
      <c r="C2498" s="11" t="str">
        <f>INDEX(Data,2,2+MOD(ROWS(C$2:C2498)-1,24))</f>
        <v>01.00</v>
      </c>
      <c r="D2498" s="8" t="str">
        <f t="shared" ref="D2498:D2561" ca="1" si="119">IF(OR(ISBLANK(VLOOKUP(DATEVALUE("37"&amp;MID($B2498,3,2)&amp;"-"&amp;MID($B2498,5,2)&amp;"-"&amp;RIGHT($B2498,2)),Data,MATCH(LEFT(VLOOKUP(D$1,Parameters,2,FALSE()),4)&amp;"*",OFFSET(Data,0,0,1),0)+MATCH($C2498,OFFSET(Data,1,0,1),0)-2,FALSE())),ISTEXT(VLOOKUP(DATEVALUE("37"&amp;MID($B2498,3,2)&amp;"-"&amp;MID($B2498,5,2)&amp;"-"&amp;RIGHT($B2498,2)),Data,MATCH(LEFT(VLOOKUP(D$1,Parameters,2,FALSE()),4)&amp;"*",OFFSET(Data,0,0,1),0)+MATCH($C2498,OFFSET(Data,1,0,1),0)-2,FALSE()))),"—",VLOOKUP(DATEVALUE("37"&amp;MID($B2498,3,2)&amp;"-"&amp;MID($B2498,5,2)&amp;"-"&amp;RIGHT($B2498,2)),Data,MATCH(LEFT(VLOOKUP(D$1,Parameters,2,FALSE()),4)&amp;"*",OFFSET(Data,0,0,1),0)+MATCH($C2498,OFFSET(Data,1,0,1),0)-2,FALSE()))</f>
        <v>—</v>
      </c>
      <c r="E2498" s="16">
        <f t="shared" ca="1" si="117"/>
        <v>7</v>
      </c>
    </row>
    <row r="2499" spans="1:5" x14ac:dyDescent="0.25">
      <c r="A2499" s="3">
        <f t="shared" si="118"/>
        <v>78989</v>
      </c>
      <c r="B2499" t="str">
        <f ca="1">TEXT(DATE(YEAR(Invoer!$A$5),1,1)+INT((ROWS(B$2:B2499)-1)/24),"""18""jjmmdd")</f>
        <v>18980415</v>
      </c>
      <c r="C2499" s="11" t="str">
        <f>INDEX(Data,2,2+MOD(ROWS(C$2:C2499)-1,24))</f>
        <v>02.00</v>
      </c>
      <c r="D2499" s="8" t="str">
        <f t="shared" ca="1" si="119"/>
        <v>—</v>
      </c>
      <c r="E2499" s="16">
        <f t="shared" ref="E2499:E2562" ca="1" si="120">IF(OR(ISBLANK(VLOOKUP(DATEVALUE("37"&amp;MID($B2499,3,2)&amp;"-"&amp;MID($B2499,5,2)&amp;"-"&amp;RIGHT($B2499,2)),Data,MATCH(LEFT(VLOOKUP(D$1,Parameters,2,FALSE()),4)&amp;"*",OFFSET(Data,0,0,1),0)+MATCH($C2499,OFFSET(Data,1,0,1),0)-2,FALSE())),ISTEXT(VLOOKUP(DATEVALUE("37"&amp;MID($B2499,3,2)&amp;"-"&amp;MID($B2499,5,2)&amp;"-"&amp;RIGHT($B2499,2)),Data,MATCH(LEFT(VLOOKUP(D$1,Parameters,2,FALSE()),4)&amp;"*",OFFSET(Data,0,0,1),0)+MATCH($C2499,OFFSET(Data,1,0,1),0)-2,FALSE()))),Lacking,IF(ISNA(MATCH(DATEVALUE("37"&amp;MID($B2499,3,2)&amp;"-"&amp;MID($B2499,5,2)&amp;"-"&amp;RIGHT($B2499,2)),OFFSET(Catalogus,0,0,,1),0)),Ok,VLOOKUP(DATEVALUE("37"&amp;MID($B2499,3,2)&amp;"-"&amp;MID($B2499,5,2)&amp;"-"&amp;RIGHT($B2499,2)),Catalogus,MATCH(LEFT(VLOOKUP(MID(E$1,2,LEN(E$1)-1),Parameters,2,FALSE()),4)&amp;"*",OFFSET(Catalogus,0,0,1),0)+MATCH($C2499,OFFSET(Catalogus,1,0,1),0)-2,FALSE())))</f>
        <v>7</v>
      </c>
    </row>
    <row r="2500" spans="1:5" x14ac:dyDescent="0.25">
      <c r="A2500" s="3">
        <f t="shared" si="118"/>
        <v>78989</v>
      </c>
      <c r="B2500" t="str">
        <f ca="1">TEXT(DATE(YEAR(Invoer!$A$5),1,1)+INT((ROWS(B$2:B2500)-1)/24),"""18""jjmmdd")</f>
        <v>18980415</v>
      </c>
      <c r="C2500" s="11" t="str">
        <f>INDEX(Data,2,2+MOD(ROWS(C$2:C2500)-1,24))</f>
        <v>03.00</v>
      </c>
      <c r="D2500" s="8" t="str">
        <f t="shared" ca="1" si="119"/>
        <v>—</v>
      </c>
      <c r="E2500" s="16">
        <f t="shared" ca="1" si="120"/>
        <v>7</v>
      </c>
    </row>
    <row r="2501" spans="1:5" x14ac:dyDescent="0.25">
      <c r="A2501" s="3">
        <f t="shared" si="118"/>
        <v>78989</v>
      </c>
      <c r="B2501" t="str">
        <f ca="1">TEXT(DATE(YEAR(Invoer!$A$5),1,1)+INT((ROWS(B$2:B2501)-1)/24),"""18""jjmmdd")</f>
        <v>18980415</v>
      </c>
      <c r="C2501" s="11" t="str">
        <f>INDEX(Data,2,2+MOD(ROWS(C$2:C2501)-1,24))</f>
        <v>04.00</v>
      </c>
      <c r="D2501" s="8" t="str">
        <f t="shared" ca="1" si="119"/>
        <v>—</v>
      </c>
      <c r="E2501" s="16">
        <f t="shared" ca="1" si="120"/>
        <v>7</v>
      </c>
    </row>
    <row r="2502" spans="1:5" x14ac:dyDescent="0.25">
      <c r="A2502" s="3">
        <f t="shared" si="118"/>
        <v>78989</v>
      </c>
      <c r="B2502" t="str">
        <f ca="1">TEXT(DATE(YEAR(Invoer!$A$5),1,1)+INT((ROWS(B$2:B2502)-1)/24),"""18""jjmmdd")</f>
        <v>18980415</v>
      </c>
      <c r="C2502" s="11" t="str">
        <f>INDEX(Data,2,2+MOD(ROWS(C$2:C2502)-1,24))</f>
        <v>05.00</v>
      </c>
      <c r="D2502" s="8" t="str">
        <f t="shared" ca="1" si="119"/>
        <v>—</v>
      </c>
      <c r="E2502" s="16">
        <f t="shared" ca="1" si="120"/>
        <v>7</v>
      </c>
    </row>
    <row r="2503" spans="1:5" x14ac:dyDescent="0.25">
      <c r="A2503" s="3">
        <f t="shared" si="118"/>
        <v>78989</v>
      </c>
      <c r="B2503" t="str">
        <f ca="1">TEXT(DATE(YEAR(Invoer!$A$5),1,1)+INT((ROWS(B$2:B2503)-1)/24),"""18""jjmmdd")</f>
        <v>18980415</v>
      </c>
      <c r="C2503" s="11" t="str">
        <f>INDEX(Data,2,2+MOD(ROWS(C$2:C2503)-1,24))</f>
        <v>06.00</v>
      </c>
      <c r="D2503" s="8" t="str">
        <f t="shared" ca="1" si="119"/>
        <v>—</v>
      </c>
      <c r="E2503" s="16">
        <f t="shared" ca="1" si="120"/>
        <v>7</v>
      </c>
    </row>
    <row r="2504" spans="1:5" x14ac:dyDescent="0.25">
      <c r="A2504" s="3">
        <f t="shared" si="118"/>
        <v>78989</v>
      </c>
      <c r="B2504" t="str">
        <f ca="1">TEXT(DATE(YEAR(Invoer!$A$5),1,1)+INT((ROWS(B$2:B2504)-1)/24),"""18""jjmmdd")</f>
        <v>18980415</v>
      </c>
      <c r="C2504" s="11" t="str">
        <f>INDEX(Data,2,2+MOD(ROWS(C$2:C2504)-1,24))</f>
        <v>07.00</v>
      </c>
      <c r="D2504" s="8" t="str">
        <f t="shared" ca="1" si="119"/>
        <v>—</v>
      </c>
      <c r="E2504" s="16">
        <f t="shared" ca="1" si="120"/>
        <v>7</v>
      </c>
    </row>
    <row r="2505" spans="1:5" x14ac:dyDescent="0.25">
      <c r="A2505" s="3">
        <f t="shared" si="118"/>
        <v>78989</v>
      </c>
      <c r="B2505" t="str">
        <f ca="1">TEXT(DATE(YEAR(Invoer!$A$5),1,1)+INT((ROWS(B$2:B2505)-1)/24),"""18""jjmmdd")</f>
        <v>18980415</v>
      </c>
      <c r="C2505" s="11" t="str">
        <f>INDEX(Data,2,2+MOD(ROWS(C$2:C2505)-1,24))</f>
        <v>08.00</v>
      </c>
      <c r="D2505" s="8" t="str">
        <f t="shared" ca="1" si="119"/>
        <v>—</v>
      </c>
      <c r="E2505" s="16">
        <f t="shared" ca="1" si="120"/>
        <v>7</v>
      </c>
    </row>
    <row r="2506" spans="1:5" x14ac:dyDescent="0.25">
      <c r="A2506" s="3">
        <f t="shared" si="118"/>
        <v>78989</v>
      </c>
      <c r="B2506" t="str">
        <f ca="1">TEXT(DATE(YEAR(Invoer!$A$5),1,1)+INT((ROWS(B$2:B2506)-1)/24),"""18""jjmmdd")</f>
        <v>18980415</v>
      </c>
      <c r="C2506" s="11" t="str">
        <f>INDEX(Data,2,2+MOD(ROWS(C$2:C2506)-1,24))</f>
        <v>09.00</v>
      </c>
      <c r="D2506" s="8" t="str">
        <f t="shared" ca="1" si="119"/>
        <v>—</v>
      </c>
      <c r="E2506" s="16">
        <f t="shared" ca="1" si="120"/>
        <v>7</v>
      </c>
    </row>
    <row r="2507" spans="1:5" x14ac:dyDescent="0.25">
      <c r="A2507" s="3">
        <f t="shared" si="118"/>
        <v>78989</v>
      </c>
      <c r="B2507" t="str">
        <f ca="1">TEXT(DATE(YEAR(Invoer!$A$5),1,1)+INT((ROWS(B$2:B2507)-1)/24),"""18""jjmmdd")</f>
        <v>18980415</v>
      </c>
      <c r="C2507" s="11" t="str">
        <f>INDEX(Data,2,2+MOD(ROWS(C$2:C2507)-1,24))</f>
        <v>10.00</v>
      </c>
      <c r="D2507" s="8" t="str">
        <f t="shared" ca="1" si="119"/>
        <v>—</v>
      </c>
      <c r="E2507" s="16">
        <f t="shared" ca="1" si="120"/>
        <v>7</v>
      </c>
    </row>
    <row r="2508" spans="1:5" x14ac:dyDescent="0.25">
      <c r="A2508" s="3">
        <f t="shared" si="118"/>
        <v>78989</v>
      </c>
      <c r="B2508" t="str">
        <f ca="1">TEXT(DATE(YEAR(Invoer!$A$5),1,1)+INT((ROWS(B$2:B2508)-1)/24),"""18""jjmmdd")</f>
        <v>18980415</v>
      </c>
      <c r="C2508" s="11" t="str">
        <f>INDEX(Data,2,2+MOD(ROWS(C$2:C2508)-1,24))</f>
        <v>11.00</v>
      </c>
      <c r="D2508" s="8" t="str">
        <f t="shared" ca="1" si="119"/>
        <v>—</v>
      </c>
      <c r="E2508" s="16">
        <f t="shared" ca="1" si="120"/>
        <v>7</v>
      </c>
    </row>
    <row r="2509" spans="1:5" x14ac:dyDescent="0.25">
      <c r="A2509" s="3">
        <f t="shared" si="118"/>
        <v>78989</v>
      </c>
      <c r="B2509" t="str">
        <f ca="1">TEXT(DATE(YEAR(Invoer!$A$5),1,1)+INT((ROWS(B$2:B2509)-1)/24),"""18""jjmmdd")</f>
        <v>18980415</v>
      </c>
      <c r="C2509" s="11" t="str">
        <f>INDEX(Data,2,2+MOD(ROWS(C$2:C2509)-1,24))</f>
        <v>12.00</v>
      </c>
      <c r="D2509" s="8" t="str">
        <f t="shared" ca="1" si="119"/>
        <v>—</v>
      </c>
      <c r="E2509" s="16">
        <f t="shared" ca="1" si="120"/>
        <v>7</v>
      </c>
    </row>
    <row r="2510" spans="1:5" x14ac:dyDescent="0.25">
      <c r="A2510" s="3">
        <f t="shared" si="118"/>
        <v>78989</v>
      </c>
      <c r="B2510" t="str">
        <f ca="1">TEXT(DATE(YEAR(Invoer!$A$5),1,1)+INT((ROWS(B$2:B2510)-1)/24),"""18""jjmmdd")</f>
        <v>18980415</v>
      </c>
      <c r="C2510" s="11" t="str">
        <f>INDEX(Data,2,2+MOD(ROWS(C$2:C2510)-1,24))</f>
        <v>13.00</v>
      </c>
      <c r="D2510" s="8" t="str">
        <f t="shared" ca="1" si="119"/>
        <v>—</v>
      </c>
      <c r="E2510" s="16">
        <f t="shared" ca="1" si="120"/>
        <v>7</v>
      </c>
    </row>
    <row r="2511" spans="1:5" x14ac:dyDescent="0.25">
      <c r="A2511" s="3">
        <f t="shared" si="118"/>
        <v>78989</v>
      </c>
      <c r="B2511" t="str">
        <f ca="1">TEXT(DATE(YEAR(Invoer!$A$5),1,1)+INT((ROWS(B$2:B2511)-1)/24),"""18""jjmmdd")</f>
        <v>18980415</v>
      </c>
      <c r="C2511" s="11" t="str">
        <f>INDEX(Data,2,2+MOD(ROWS(C$2:C2511)-1,24))</f>
        <v>14.00</v>
      </c>
      <c r="D2511" s="8" t="str">
        <f t="shared" ca="1" si="119"/>
        <v>—</v>
      </c>
      <c r="E2511" s="16">
        <f t="shared" ca="1" si="120"/>
        <v>7</v>
      </c>
    </row>
    <row r="2512" spans="1:5" x14ac:dyDescent="0.25">
      <c r="A2512" s="3">
        <f t="shared" si="118"/>
        <v>78989</v>
      </c>
      <c r="B2512" t="str">
        <f ca="1">TEXT(DATE(YEAR(Invoer!$A$5),1,1)+INT((ROWS(B$2:B2512)-1)/24),"""18""jjmmdd")</f>
        <v>18980415</v>
      </c>
      <c r="C2512" s="11" t="str">
        <f>INDEX(Data,2,2+MOD(ROWS(C$2:C2512)-1,24))</f>
        <v>15.00</v>
      </c>
      <c r="D2512" s="8" t="str">
        <f t="shared" ca="1" si="119"/>
        <v>—</v>
      </c>
      <c r="E2512" s="16">
        <f t="shared" ca="1" si="120"/>
        <v>7</v>
      </c>
    </row>
    <row r="2513" spans="1:5" x14ac:dyDescent="0.25">
      <c r="A2513" s="3">
        <f t="shared" si="118"/>
        <v>78989</v>
      </c>
      <c r="B2513" t="str">
        <f ca="1">TEXT(DATE(YEAR(Invoer!$A$5),1,1)+INT((ROWS(B$2:B2513)-1)/24),"""18""jjmmdd")</f>
        <v>18980415</v>
      </c>
      <c r="C2513" s="11" t="str">
        <f>INDEX(Data,2,2+MOD(ROWS(C$2:C2513)-1,24))</f>
        <v>16.00</v>
      </c>
      <c r="D2513" s="8" t="str">
        <f t="shared" ca="1" si="119"/>
        <v>—</v>
      </c>
      <c r="E2513" s="16">
        <f t="shared" ca="1" si="120"/>
        <v>7</v>
      </c>
    </row>
    <row r="2514" spans="1:5" x14ac:dyDescent="0.25">
      <c r="A2514" s="3">
        <f t="shared" si="118"/>
        <v>78989</v>
      </c>
      <c r="B2514" t="str">
        <f ca="1">TEXT(DATE(YEAR(Invoer!$A$5),1,1)+INT((ROWS(B$2:B2514)-1)/24),"""18""jjmmdd")</f>
        <v>18980415</v>
      </c>
      <c r="C2514" s="11" t="str">
        <f>INDEX(Data,2,2+MOD(ROWS(C$2:C2514)-1,24))</f>
        <v>17.00</v>
      </c>
      <c r="D2514" s="8" t="str">
        <f t="shared" ca="1" si="119"/>
        <v>—</v>
      </c>
      <c r="E2514" s="16">
        <f t="shared" ca="1" si="120"/>
        <v>7</v>
      </c>
    </row>
    <row r="2515" spans="1:5" x14ac:dyDescent="0.25">
      <c r="A2515" s="3">
        <f t="shared" si="118"/>
        <v>78989</v>
      </c>
      <c r="B2515" t="str">
        <f ca="1">TEXT(DATE(YEAR(Invoer!$A$5),1,1)+INT((ROWS(B$2:B2515)-1)/24),"""18""jjmmdd")</f>
        <v>18980415</v>
      </c>
      <c r="C2515" s="11" t="str">
        <f>INDEX(Data,2,2+MOD(ROWS(C$2:C2515)-1,24))</f>
        <v>18.00</v>
      </c>
      <c r="D2515" s="8" t="str">
        <f t="shared" ca="1" si="119"/>
        <v>—</v>
      </c>
      <c r="E2515" s="16">
        <f t="shared" ca="1" si="120"/>
        <v>7</v>
      </c>
    </row>
    <row r="2516" spans="1:5" x14ac:dyDescent="0.25">
      <c r="A2516" s="3">
        <f t="shared" si="118"/>
        <v>78989</v>
      </c>
      <c r="B2516" t="str">
        <f ca="1">TEXT(DATE(YEAR(Invoer!$A$5),1,1)+INT((ROWS(B$2:B2516)-1)/24),"""18""jjmmdd")</f>
        <v>18980415</v>
      </c>
      <c r="C2516" s="11" t="str">
        <f>INDEX(Data,2,2+MOD(ROWS(C$2:C2516)-1,24))</f>
        <v>19.00</v>
      </c>
      <c r="D2516" s="8" t="str">
        <f t="shared" ca="1" si="119"/>
        <v>—</v>
      </c>
      <c r="E2516" s="16">
        <f t="shared" ca="1" si="120"/>
        <v>7</v>
      </c>
    </row>
    <row r="2517" spans="1:5" x14ac:dyDescent="0.25">
      <c r="A2517" s="3">
        <f t="shared" si="118"/>
        <v>78989</v>
      </c>
      <c r="B2517" t="str">
        <f ca="1">TEXT(DATE(YEAR(Invoer!$A$5),1,1)+INT((ROWS(B$2:B2517)-1)/24),"""18""jjmmdd")</f>
        <v>18980415</v>
      </c>
      <c r="C2517" s="11" t="str">
        <f>INDEX(Data,2,2+MOD(ROWS(C$2:C2517)-1,24))</f>
        <v>20.00</v>
      </c>
      <c r="D2517" s="8" t="str">
        <f t="shared" ca="1" si="119"/>
        <v>—</v>
      </c>
      <c r="E2517" s="16">
        <f t="shared" ca="1" si="120"/>
        <v>7</v>
      </c>
    </row>
    <row r="2518" spans="1:5" x14ac:dyDescent="0.25">
      <c r="A2518" s="3">
        <f t="shared" si="118"/>
        <v>78989</v>
      </c>
      <c r="B2518" t="str">
        <f ca="1">TEXT(DATE(YEAR(Invoer!$A$5),1,1)+INT((ROWS(B$2:B2518)-1)/24),"""18""jjmmdd")</f>
        <v>18980415</v>
      </c>
      <c r="C2518" s="11" t="str">
        <f>INDEX(Data,2,2+MOD(ROWS(C$2:C2518)-1,24))</f>
        <v>21.00</v>
      </c>
      <c r="D2518" s="8" t="str">
        <f t="shared" ca="1" si="119"/>
        <v>—</v>
      </c>
      <c r="E2518" s="16">
        <f t="shared" ca="1" si="120"/>
        <v>7</v>
      </c>
    </row>
    <row r="2519" spans="1:5" x14ac:dyDescent="0.25">
      <c r="A2519" s="3">
        <f t="shared" si="118"/>
        <v>78989</v>
      </c>
      <c r="B2519" t="str">
        <f ca="1">TEXT(DATE(YEAR(Invoer!$A$5),1,1)+INT((ROWS(B$2:B2519)-1)/24),"""18""jjmmdd")</f>
        <v>18980415</v>
      </c>
      <c r="C2519" s="11" t="str">
        <f>INDEX(Data,2,2+MOD(ROWS(C$2:C2519)-1,24))</f>
        <v>22.00</v>
      </c>
      <c r="D2519" s="8" t="str">
        <f t="shared" ca="1" si="119"/>
        <v>—</v>
      </c>
      <c r="E2519" s="16">
        <f t="shared" ca="1" si="120"/>
        <v>7</v>
      </c>
    </row>
    <row r="2520" spans="1:5" x14ac:dyDescent="0.25">
      <c r="A2520" s="3">
        <f t="shared" si="118"/>
        <v>78989</v>
      </c>
      <c r="B2520" t="str">
        <f ca="1">TEXT(DATE(YEAR(Invoer!$A$5),1,1)+INT((ROWS(B$2:B2520)-1)/24),"""18""jjmmdd")</f>
        <v>18980415</v>
      </c>
      <c r="C2520" s="11" t="str">
        <f>INDEX(Data,2,2+MOD(ROWS(C$2:C2520)-1,24))</f>
        <v>23.00</v>
      </c>
      <c r="D2520" s="8" t="str">
        <f t="shared" ca="1" si="119"/>
        <v>—</v>
      </c>
      <c r="E2520" s="16">
        <f t="shared" ca="1" si="120"/>
        <v>7</v>
      </c>
    </row>
    <row r="2521" spans="1:5" x14ac:dyDescent="0.25">
      <c r="A2521" s="3">
        <f t="shared" si="118"/>
        <v>78989</v>
      </c>
      <c r="B2521" t="str">
        <f ca="1">TEXT(DATE(YEAR(Invoer!$A$5),1,1)+INT((ROWS(B$2:B2521)-1)/24),"""18""jjmmdd")</f>
        <v>18980415</v>
      </c>
      <c r="C2521" s="11" t="str">
        <f>INDEX(Data,2,2+MOD(ROWS(C$2:C2521)-1,24))</f>
        <v>24.00</v>
      </c>
      <c r="D2521" s="8" t="str">
        <f t="shared" ca="1" si="119"/>
        <v>—</v>
      </c>
      <c r="E2521" s="16">
        <f t="shared" ca="1" si="120"/>
        <v>7</v>
      </c>
    </row>
    <row r="2522" spans="1:5" x14ac:dyDescent="0.25">
      <c r="A2522" s="3">
        <f t="shared" si="118"/>
        <v>78989</v>
      </c>
      <c r="B2522" t="str">
        <f ca="1">TEXT(DATE(YEAR(Invoer!$A$5),1,1)+INT((ROWS(B$2:B2522)-1)/24),"""18""jjmmdd")</f>
        <v>18980416</v>
      </c>
      <c r="C2522" s="11" t="str">
        <f>INDEX(Data,2,2+MOD(ROWS(C$2:C2522)-1,24))</f>
        <v>01.00</v>
      </c>
      <c r="D2522" s="8" t="str">
        <f t="shared" ca="1" si="119"/>
        <v>—</v>
      </c>
      <c r="E2522" s="16">
        <f t="shared" ca="1" si="120"/>
        <v>7</v>
      </c>
    </row>
    <row r="2523" spans="1:5" x14ac:dyDescent="0.25">
      <c r="A2523" s="3">
        <f t="shared" si="118"/>
        <v>78989</v>
      </c>
      <c r="B2523" t="str">
        <f ca="1">TEXT(DATE(YEAR(Invoer!$A$5),1,1)+INT((ROWS(B$2:B2523)-1)/24),"""18""jjmmdd")</f>
        <v>18980416</v>
      </c>
      <c r="C2523" s="11" t="str">
        <f>INDEX(Data,2,2+MOD(ROWS(C$2:C2523)-1,24))</f>
        <v>02.00</v>
      </c>
      <c r="D2523" s="8" t="str">
        <f t="shared" ca="1" si="119"/>
        <v>—</v>
      </c>
      <c r="E2523" s="16">
        <f t="shared" ca="1" si="120"/>
        <v>7</v>
      </c>
    </row>
    <row r="2524" spans="1:5" x14ac:dyDescent="0.25">
      <c r="A2524" s="3">
        <f t="shared" si="118"/>
        <v>78989</v>
      </c>
      <c r="B2524" t="str">
        <f ca="1">TEXT(DATE(YEAR(Invoer!$A$5),1,1)+INT((ROWS(B$2:B2524)-1)/24),"""18""jjmmdd")</f>
        <v>18980416</v>
      </c>
      <c r="C2524" s="11" t="str">
        <f>INDEX(Data,2,2+MOD(ROWS(C$2:C2524)-1,24))</f>
        <v>03.00</v>
      </c>
      <c r="D2524" s="8" t="str">
        <f t="shared" ca="1" si="119"/>
        <v>—</v>
      </c>
      <c r="E2524" s="16">
        <f t="shared" ca="1" si="120"/>
        <v>7</v>
      </c>
    </row>
    <row r="2525" spans="1:5" x14ac:dyDescent="0.25">
      <c r="A2525" s="3">
        <f t="shared" si="118"/>
        <v>78989</v>
      </c>
      <c r="B2525" t="str">
        <f ca="1">TEXT(DATE(YEAR(Invoer!$A$5),1,1)+INT((ROWS(B$2:B2525)-1)/24),"""18""jjmmdd")</f>
        <v>18980416</v>
      </c>
      <c r="C2525" s="11" t="str">
        <f>INDEX(Data,2,2+MOD(ROWS(C$2:C2525)-1,24))</f>
        <v>04.00</v>
      </c>
      <c r="D2525" s="8" t="str">
        <f t="shared" ca="1" si="119"/>
        <v>—</v>
      </c>
      <c r="E2525" s="16">
        <f t="shared" ca="1" si="120"/>
        <v>7</v>
      </c>
    </row>
    <row r="2526" spans="1:5" x14ac:dyDescent="0.25">
      <c r="A2526" s="3">
        <f t="shared" si="118"/>
        <v>78989</v>
      </c>
      <c r="B2526" t="str">
        <f ca="1">TEXT(DATE(YEAR(Invoer!$A$5),1,1)+INT((ROWS(B$2:B2526)-1)/24),"""18""jjmmdd")</f>
        <v>18980416</v>
      </c>
      <c r="C2526" s="11" t="str">
        <f>INDEX(Data,2,2+MOD(ROWS(C$2:C2526)-1,24))</f>
        <v>05.00</v>
      </c>
      <c r="D2526" s="8" t="str">
        <f t="shared" ca="1" si="119"/>
        <v>—</v>
      </c>
      <c r="E2526" s="16">
        <f t="shared" ca="1" si="120"/>
        <v>7</v>
      </c>
    </row>
    <row r="2527" spans="1:5" x14ac:dyDescent="0.25">
      <c r="A2527" s="3">
        <f t="shared" si="118"/>
        <v>78989</v>
      </c>
      <c r="B2527" t="str">
        <f ca="1">TEXT(DATE(YEAR(Invoer!$A$5),1,1)+INT((ROWS(B$2:B2527)-1)/24),"""18""jjmmdd")</f>
        <v>18980416</v>
      </c>
      <c r="C2527" s="11" t="str">
        <f>INDEX(Data,2,2+MOD(ROWS(C$2:C2527)-1,24))</f>
        <v>06.00</v>
      </c>
      <c r="D2527" s="8" t="str">
        <f t="shared" ca="1" si="119"/>
        <v>—</v>
      </c>
      <c r="E2527" s="16">
        <f t="shared" ca="1" si="120"/>
        <v>7</v>
      </c>
    </row>
    <row r="2528" spans="1:5" x14ac:dyDescent="0.25">
      <c r="A2528" s="3">
        <f t="shared" si="118"/>
        <v>78989</v>
      </c>
      <c r="B2528" t="str">
        <f ca="1">TEXT(DATE(YEAR(Invoer!$A$5),1,1)+INT((ROWS(B$2:B2528)-1)/24),"""18""jjmmdd")</f>
        <v>18980416</v>
      </c>
      <c r="C2528" s="11" t="str">
        <f>INDEX(Data,2,2+MOD(ROWS(C$2:C2528)-1,24))</f>
        <v>07.00</v>
      </c>
      <c r="D2528" s="8" t="str">
        <f t="shared" ca="1" si="119"/>
        <v>—</v>
      </c>
      <c r="E2528" s="16">
        <f t="shared" ca="1" si="120"/>
        <v>7</v>
      </c>
    </row>
    <row r="2529" spans="1:5" x14ac:dyDescent="0.25">
      <c r="A2529" s="3">
        <f t="shared" si="118"/>
        <v>78989</v>
      </c>
      <c r="B2529" t="str">
        <f ca="1">TEXT(DATE(YEAR(Invoer!$A$5),1,1)+INT((ROWS(B$2:B2529)-1)/24),"""18""jjmmdd")</f>
        <v>18980416</v>
      </c>
      <c r="C2529" s="11" t="str">
        <f>INDEX(Data,2,2+MOD(ROWS(C$2:C2529)-1,24))</f>
        <v>08.00</v>
      </c>
      <c r="D2529" s="8" t="str">
        <f t="shared" ca="1" si="119"/>
        <v>—</v>
      </c>
      <c r="E2529" s="16">
        <f t="shared" ca="1" si="120"/>
        <v>7</v>
      </c>
    </row>
    <row r="2530" spans="1:5" x14ac:dyDescent="0.25">
      <c r="A2530" s="3">
        <f t="shared" si="118"/>
        <v>78989</v>
      </c>
      <c r="B2530" t="str">
        <f ca="1">TEXT(DATE(YEAR(Invoer!$A$5),1,1)+INT((ROWS(B$2:B2530)-1)/24),"""18""jjmmdd")</f>
        <v>18980416</v>
      </c>
      <c r="C2530" s="11" t="str">
        <f>INDEX(Data,2,2+MOD(ROWS(C$2:C2530)-1,24))</f>
        <v>09.00</v>
      </c>
      <c r="D2530" s="8" t="str">
        <f t="shared" ca="1" si="119"/>
        <v>—</v>
      </c>
      <c r="E2530" s="16">
        <f t="shared" ca="1" si="120"/>
        <v>7</v>
      </c>
    </row>
    <row r="2531" spans="1:5" x14ac:dyDescent="0.25">
      <c r="A2531" s="3">
        <f t="shared" si="118"/>
        <v>78989</v>
      </c>
      <c r="B2531" t="str">
        <f ca="1">TEXT(DATE(YEAR(Invoer!$A$5),1,1)+INT((ROWS(B$2:B2531)-1)/24),"""18""jjmmdd")</f>
        <v>18980416</v>
      </c>
      <c r="C2531" s="11" t="str">
        <f>INDEX(Data,2,2+MOD(ROWS(C$2:C2531)-1,24))</f>
        <v>10.00</v>
      </c>
      <c r="D2531" s="8" t="str">
        <f t="shared" ca="1" si="119"/>
        <v>—</v>
      </c>
      <c r="E2531" s="16">
        <f t="shared" ca="1" si="120"/>
        <v>7</v>
      </c>
    </row>
    <row r="2532" spans="1:5" x14ac:dyDescent="0.25">
      <c r="A2532" s="3">
        <f t="shared" si="118"/>
        <v>78989</v>
      </c>
      <c r="B2532" t="str">
        <f ca="1">TEXT(DATE(YEAR(Invoer!$A$5),1,1)+INT((ROWS(B$2:B2532)-1)/24),"""18""jjmmdd")</f>
        <v>18980416</v>
      </c>
      <c r="C2532" s="11" t="str">
        <f>INDEX(Data,2,2+MOD(ROWS(C$2:C2532)-1,24))</f>
        <v>11.00</v>
      </c>
      <c r="D2532" s="8" t="str">
        <f t="shared" ca="1" si="119"/>
        <v>—</v>
      </c>
      <c r="E2532" s="16">
        <f t="shared" ca="1" si="120"/>
        <v>7</v>
      </c>
    </row>
    <row r="2533" spans="1:5" x14ac:dyDescent="0.25">
      <c r="A2533" s="3">
        <f t="shared" si="118"/>
        <v>78989</v>
      </c>
      <c r="B2533" t="str">
        <f ca="1">TEXT(DATE(YEAR(Invoer!$A$5),1,1)+INT((ROWS(B$2:B2533)-1)/24),"""18""jjmmdd")</f>
        <v>18980416</v>
      </c>
      <c r="C2533" s="11" t="str">
        <f>INDEX(Data,2,2+MOD(ROWS(C$2:C2533)-1,24))</f>
        <v>12.00</v>
      </c>
      <c r="D2533" s="8" t="str">
        <f t="shared" ca="1" si="119"/>
        <v>—</v>
      </c>
      <c r="E2533" s="16">
        <f t="shared" ca="1" si="120"/>
        <v>7</v>
      </c>
    </row>
    <row r="2534" spans="1:5" x14ac:dyDescent="0.25">
      <c r="A2534" s="3">
        <f t="shared" si="118"/>
        <v>78989</v>
      </c>
      <c r="B2534" t="str">
        <f ca="1">TEXT(DATE(YEAR(Invoer!$A$5),1,1)+INT((ROWS(B$2:B2534)-1)/24),"""18""jjmmdd")</f>
        <v>18980416</v>
      </c>
      <c r="C2534" s="11" t="str">
        <f>INDEX(Data,2,2+MOD(ROWS(C$2:C2534)-1,24))</f>
        <v>13.00</v>
      </c>
      <c r="D2534" s="8" t="str">
        <f t="shared" ca="1" si="119"/>
        <v>—</v>
      </c>
      <c r="E2534" s="16">
        <f t="shared" ca="1" si="120"/>
        <v>7</v>
      </c>
    </row>
    <row r="2535" spans="1:5" x14ac:dyDescent="0.25">
      <c r="A2535" s="3">
        <f t="shared" si="118"/>
        <v>78989</v>
      </c>
      <c r="B2535" t="str">
        <f ca="1">TEXT(DATE(YEAR(Invoer!$A$5),1,1)+INT((ROWS(B$2:B2535)-1)/24),"""18""jjmmdd")</f>
        <v>18980416</v>
      </c>
      <c r="C2535" s="11" t="str">
        <f>INDEX(Data,2,2+MOD(ROWS(C$2:C2535)-1,24))</f>
        <v>14.00</v>
      </c>
      <c r="D2535" s="8" t="str">
        <f t="shared" ca="1" si="119"/>
        <v>—</v>
      </c>
      <c r="E2535" s="16">
        <f t="shared" ca="1" si="120"/>
        <v>7</v>
      </c>
    </row>
    <row r="2536" spans="1:5" x14ac:dyDescent="0.25">
      <c r="A2536" s="3">
        <f t="shared" si="118"/>
        <v>78989</v>
      </c>
      <c r="B2536" t="str">
        <f ca="1">TEXT(DATE(YEAR(Invoer!$A$5),1,1)+INT((ROWS(B$2:B2536)-1)/24),"""18""jjmmdd")</f>
        <v>18980416</v>
      </c>
      <c r="C2536" s="11" t="str">
        <f>INDEX(Data,2,2+MOD(ROWS(C$2:C2536)-1,24))</f>
        <v>15.00</v>
      </c>
      <c r="D2536" s="8" t="str">
        <f t="shared" ca="1" si="119"/>
        <v>—</v>
      </c>
      <c r="E2536" s="16">
        <f t="shared" ca="1" si="120"/>
        <v>7</v>
      </c>
    </row>
    <row r="2537" spans="1:5" x14ac:dyDescent="0.25">
      <c r="A2537" s="3">
        <f t="shared" si="118"/>
        <v>78989</v>
      </c>
      <c r="B2537" t="str">
        <f ca="1">TEXT(DATE(YEAR(Invoer!$A$5),1,1)+INT((ROWS(B$2:B2537)-1)/24),"""18""jjmmdd")</f>
        <v>18980416</v>
      </c>
      <c r="C2537" s="11" t="str">
        <f>INDEX(Data,2,2+MOD(ROWS(C$2:C2537)-1,24))</f>
        <v>16.00</v>
      </c>
      <c r="D2537" s="8" t="str">
        <f t="shared" ca="1" si="119"/>
        <v>—</v>
      </c>
      <c r="E2537" s="16">
        <f t="shared" ca="1" si="120"/>
        <v>7</v>
      </c>
    </row>
    <row r="2538" spans="1:5" x14ac:dyDescent="0.25">
      <c r="A2538" s="3">
        <f t="shared" si="118"/>
        <v>78989</v>
      </c>
      <c r="B2538" t="str">
        <f ca="1">TEXT(DATE(YEAR(Invoer!$A$5),1,1)+INT((ROWS(B$2:B2538)-1)/24),"""18""jjmmdd")</f>
        <v>18980416</v>
      </c>
      <c r="C2538" s="11" t="str">
        <f>INDEX(Data,2,2+MOD(ROWS(C$2:C2538)-1,24))</f>
        <v>17.00</v>
      </c>
      <c r="D2538" s="8" t="str">
        <f t="shared" ca="1" si="119"/>
        <v>—</v>
      </c>
      <c r="E2538" s="16">
        <f t="shared" ca="1" si="120"/>
        <v>7</v>
      </c>
    </row>
    <row r="2539" spans="1:5" x14ac:dyDescent="0.25">
      <c r="A2539" s="3">
        <f t="shared" si="118"/>
        <v>78989</v>
      </c>
      <c r="B2539" t="str">
        <f ca="1">TEXT(DATE(YEAR(Invoer!$A$5),1,1)+INT((ROWS(B$2:B2539)-1)/24),"""18""jjmmdd")</f>
        <v>18980416</v>
      </c>
      <c r="C2539" s="11" t="str">
        <f>INDEX(Data,2,2+MOD(ROWS(C$2:C2539)-1,24))</f>
        <v>18.00</v>
      </c>
      <c r="D2539" s="8" t="str">
        <f t="shared" ca="1" si="119"/>
        <v>—</v>
      </c>
      <c r="E2539" s="16">
        <f t="shared" ca="1" si="120"/>
        <v>7</v>
      </c>
    </row>
    <row r="2540" spans="1:5" x14ac:dyDescent="0.25">
      <c r="A2540" s="3">
        <f t="shared" si="118"/>
        <v>78989</v>
      </c>
      <c r="B2540" t="str">
        <f ca="1">TEXT(DATE(YEAR(Invoer!$A$5),1,1)+INT((ROWS(B$2:B2540)-1)/24),"""18""jjmmdd")</f>
        <v>18980416</v>
      </c>
      <c r="C2540" s="11" t="str">
        <f>INDEX(Data,2,2+MOD(ROWS(C$2:C2540)-1,24))</f>
        <v>19.00</v>
      </c>
      <c r="D2540" s="8" t="str">
        <f t="shared" ca="1" si="119"/>
        <v>—</v>
      </c>
      <c r="E2540" s="16">
        <f t="shared" ca="1" si="120"/>
        <v>7</v>
      </c>
    </row>
    <row r="2541" spans="1:5" x14ac:dyDescent="0.25">
      <c r="A2541" s="3">
        <f t="shared" si="118"/>
        <v>78989</v>
      </c>
      <c r="B2541" t="str">
        <f ca="1">TEXT(DATE(YEAR(Invoer!$A$5),1,1)+INT((ROWS(B$2:B2541)-1)/24),"""18""jjmmdd")</f>
        <v>18980416</v>
      </c>
      <c r="C2541" s="11" t="str">
        <f>INDEX(Data,2,2+MOD(ROWS(C$2:C2541)-1,24))</f>
        <v>20.00</v>
      </c>
      <c r="D2541" s="8" t="str">
        <f t="shared" ca="1" si="119"/>
        <v>—</v>
      </c>
      <c r="E2541" s="16">
        <f t="shared" ca="1" si="120"/>
        <v>7</v>
      </c>
    </row>
    <row r="2542" spans="1:5" x14ac:dyDescent="0.25">
      <c r="A2542" s="3">
        <f t="shared" si="118"/>
        <v>78989</v>
      </c>
      <c r="B2542" t="str">
        <f ca="1">TEXT(DATE(YEAR(Invoer!$A$5),1,1)+INT((ROWS(B$2:B2542)-1)/24),"""18""jjmmdd")</f>
        <v>18980416</v>
      </c>
      <c r="C2542" s="11" t="str">
        <f>INDEX(Data,2,2+MOD(ROWS(C$2:C2542)-1,24))</f>
        <v>21.00</v>
      </c>
      <c r="D2542" s="8" t="str">
        <f t="shared" ca="1" si="119"/>
        <v>—</v>
      </c>
      <c r="E2542" s="16">
        <f t="shared" ca="1" si="120"/>
        <v>7</v>
      </c>
    </row>
    <row r="2543" spans="1:5" x14ac:dyDescent="0.25">
      <c r="A2543" s="3">
        <f t="shared" si="118"/>
        <v>78989</v>
      </c>
      <c r="B2543" t="str">
        <f ca="1">TEXT(DATE(YEAR(Invoer!$A$5),1,1)+INT((ROWS(B$2:B2543)-1)/24),"""18""jjmmdd")</f>
        <v>18980416</v>
      </c>
      <c r="C2543" s="11" t="str">
        <f>INDEX(Data,2,2+MOD(ROWS(C$2:C2543)-1,24))</f>
        <v>22.00</v>
      </c>
      <c r="D2543" s="8" t="str">
        <f t="shared" ca="1" si="119"/>
        <v>—</v>
      </c>
      <c r="E2543" s="16">
        <f t="shared" ca="1" si="120"/>
        <v>7</v>
      </c>
    </row>
    <row r="2544" spans="1:5" x14ac:dyDescent="0.25">
      <c r="A2544" s="3">
        <f t="shared" si="118"/>
        <v>78989</v>
      </c>
      <c r="B2544" t="str">
        <f ca="1">TEXT(DATE(YEAR(Invoer!$A$5),1,1)+INT((ROWS(B$2:B2544)-1)/24),"""18""jjmmdd")</f>
        <v>18980416</v>
      </c>
      <c r="C2544" s="11" t="str">
        <f>INDEX(Data,2,2+MOD(ROWS(C$2:C2544)-1,24))</f>
        <v>23.00</v>
      </c>
      <c r="D2544" s="8" t="str">
        <f t="shared" ca="1" si="119"/>
        <v>—</v>
      </c>
      <c r="E2544" s="16">
        <f t="shared" ca="1" si="120"/>
        <v>7</v>
      </c>
    </row>
    <row r="2545" spans="1:5" x14ac:dyDescent="0.25">
      <c r="A2545" s="3">
        <f t="shared" si="118"/>
        <v>78989</v>
      </c>
      <c r="B2545" t="str">
        <f ca="1">TEXT(DATE(YEAR(Invoer!$A$5),1,1)+INT((ROWS(B$2:B2545)-1)/24),"""18""jjmmdd")</f>
        <v>18980416</v>
      </c>
      <c r="C2545" s="11" t="str">
        <f>INDEX(Data,2,2+MOD(ROWS(C$2:C2545)-1,24))</f>
        <v>24.00</v>
      </c>
      <c r="D2545" s="8" t="str">
        <f t="shared" ca="1" si="119"/>
        <v>—</v>
      </c>
      <c r="E2545" s="16">
        <f t="shared" ca="1" si="120"/>
        <v>7</v>
      </c>
    </row>
    <row r="2546" spans="1:5" x14ac:dyDescent="0.25">
      <c r="A2546" s="3">
        <f t="shared" si="118"/>
        <v>78989</v>
      </c>
      <c r="B2546" t="str">
        <f ca="1">TEXT(DATE(YEAR(Invoer!$A$5),1,1)+INT((ROWS(B$2:B2546)-1)/24),"""18""jjmmdd")</f>
        <v>18980417</v>
      </c>
      <c r="C2546" s="11" t="str">
        <f>INDEX(Data,2,2+MOD(ROWS(C$2:C2546)-1,24))</f>
        <v>01.00</v>
      </c>
      <c r="D2546" s="8" t="str">
        <f t="shared" ca="1" si="119"/>
        <v>—</v>
      </c>
      <c r="E2546" s="16">
        <f t="shared" ca="1" si="120"/>
        <v>7</v>
      </c>
    </row>
    <row r="2547" spans="1:5" x14ac:dyDescent="0.25">
      <c r="A2547" s="3">
        <f t="shared" si="118"/>
        <v>78989</v>
      </c>
      <c r="B2547" t="str">
        <f ca="1">TEXT(DATE(YEAR(Invoer!$A$5),1,1)+INT((ROWS(B$2:B2547)-1)/24),"""18""jjmmdd")</f>
        <v>18980417</v>
      </c>
      <c r="C2547" s="11" t="str">
        <f>INDEX(Data,2,2+MOD(ROWS(C$2:C2547)-1,24))</f>
        <v>02.00</v>
      </c>
      <c r="D2547" s="8" t="str">
        <f t="shared" ca="1" si="119"/>
        <v>—</v>
      </c>
      <c r="E2547" s="16">
        <f t="shared" ca="1" si="120"/>
        <v>7</v>
      </c>
    </row>
    <row r="2548" spans="1:5" x14ac:dyDescent="0.25">
      <c r="A2548" s="3">
        <f t="shared" si="118"/>
        <v>78989</v>
      </c>
      <c r="B2548" t="str">
        <f ca="1">TEXT(DATE(YEAR(Invoer!$A$5),1,1)+INT((ROWS(B$2:B2548)-1)/24),"""18""jjmmdd")</f>
        <v>18980417</v>
      </c>
      <c r="C2548" s="11" t="str">
        <f>INDEX(Data,2,2+MOD(ROWS(C$2:C2548)-1,24))</f>
        <v>03.00</v>
      </c>
      <c r="D2548" s="8" t="str">
        <f t="shared" ca="1" si="119"/>
        <v>—</v>
      </c>
      <c r="E2548" s="16">
        <f t="shared" ca="1" si="120"/>
        <v>7</v>
      </c>
    </row>
    <row r="2549" spans="1:5" x14ac:dyDescent="0.25">
      <c r="A2549" s="3">
        <f t="shared" si="118"/>
        <v>78989</v>
      </c>
      <c r="B2549" t="str">
        <f ca="1">TEXT(DATE(YEAR(Invoer!$A$5),1,1)+INT((ROWS(B$2:B2549)-1)/24),"""18""jjmmdd")</f>
        <v>18980417</v>
      </c>
      <c r="C2549" s="11" t="str">
        <f>INDEX(Data,2,2+MOD(ROWS(C$2:C2549)-1,24))</f>
        <v>04.00</v>
      </c>
      <c r="D2549" s="8" t="str">
        <f t="shared" ca="1" si="119"/>
        <v>—</v>
      </c>
      <c r="E2549" s="16">
        <f t="shared" ca="1" si="120"/>
        <v>7</v>
      </c>
    </row>
    <row r="2550" spans="1:5" x14ac:dyDescent="0.25">
      <c r="A2550" s="3">
        <f t="shared" si="118"/>
        <v>78989</v>
      </c>
      <c r="B2550" t="str">
        <f ca="1">TEXT(DATE(YEAR(Invoer!$A$5),1,1)+INT((ROWS(B$2:B2550)-1)/24),"""18""jjmmdd")</f>
        <v>18980417</v>
      </c>
      <c r="C2550" s="11" t="str">
        <f>INDEX(Data,2,2+MOD(ROWS(C$2:C2550)-1,24))</f>
        <v>05.00</v>
      </c>
      <c r="D2550" s="8" t="str">
        <f t="shared" ca="1" si="119"/>
        <v>—</v>
      </c>
      <c r="E2550" s="16">
        <f t="shared" ca="1" si="120"/>
        <v>7</v>
      </c>
    </row>
    <row r="2551" spans="1:5" x14ac:dyDescent="0.25">
      <c r="A2551" s="3">
        <f t="shared" si="118"/>
        <v>78989</v>
      </c>
      <c r="B2551" t="str">
        <f ca="1">TEXT(DATE(YEAR(Invoer!$A$5),1,1)+INT((ROWS(B$2:B2551)-1)/24),"""18""jjmmdd")</f>
        <v>18980417</v>
      </c>
      <c r="C2551" s="11" t="str">
        <f>INDEX(Data,2,2+MOD(ROWS(C$2:C2551)-1,24))</f>
        <v>06.00</v>
      </c>
      <c r="D2551" s="8" t="str">
        <f t="shared" ca="1" si="119"/>
        <v>—</v>
      </c>
      <c r="E2551" s="16">
        <f t="shared" ca="1" si="120"/>
        <v>7</v>
      </c>
    </row>
    <row r="2552" spans="1:5" x14ac:dyDescent="0.25">
      <c r="A2552" s="3">
        <f t="shared" si="118"/>
        <v>78989</v>
      </c>
      <c r="B2552" t="str">
        <f ca="1">TEXT(DATE(YEAR(Invoer!$A$5),1,1)+INT((ROWS(B$2:B2552)-1)/24),"""18""jjmmdd")</f>
        <v>18980417</v>
      </c>
      <c r="C2552" s="11" t="str">
        <f>INDEX(Data,2,2+MOD(ROWS(C$2:C2552)-1,24))</f>
        <v>07.00</v>
      </c>
      <c r="D2552" s="8" t="str">
        <f t="shared" ca="1" si="119"/>
        <v>—</v>
      </c>
      <c r="E2552" s="16">
        <f t="shared" ca="1" si="120"/>
        <v>7</v>
      </c>
    </row>
    <row r="2553" spans="1:5" x14ac:dyDescent="0.25">
      <c r="A2553" s="3">
        <f t="shared" si="118"/>
        <v>78989</v>
      </c>
      <c r="B2553" t="str">
        <f ca="1">TEXT(DATE(YEAR(Invoer!$A$5),1,1)+INT((ROWS(B$2:B2553)-1)/24),"""18""jjmmdd")</f>
        <v>18980417</v>
      </c>
      <c r="C2553" s="11" t="str">
        <f>INDEX(Data,2,2+MOD(ROWS(C$2:C2553)-1,24))</f>
        <v>08.00</v>
      </c>
      <c r="D2553" s="8" t="str">
        <f t="shared" ca="1" si="119"/>
        <v>—</v>
      </c>
      <c r="E2553" s="16">
        <f t="shared" ca="1" si="120"/>
        <v>7</v>
      </c>
    </row>
    <row r="2554" spans="1:5" x14ac:dyDescent="0.25">
      <c r="A2554" s="3">
        <f t="shared" si="118"/>
        <v>78989</v>
      </c>
      <c r="B2554" t="str">
        <f ca="1">TEXT(DATE(YEAR(Invoer!$A$5),1,1)+INT((ROWS(B$2:B2554)-1)/24),"""18""jjmmdd")</f>
        <v>18980417</v>
      </c>
      <c r="C2554" s="11" t="str">
        <f>INDEX(Data,2,2+MOD(ROWS(C$2:C2554)-1,24))</f>
        <v>09.00</v>
      </c>
      <c r="D2554" s="8" t="str">
        <f t="shared" ca="1" si="119"/>
        <v>—</v>
      </c>
      <c r="E2554" s="16">
        <f t="shared" ca="1" si="120"/>
        <v>7</v>
      </c>
    </row>
    <row r="2555" spans="1:5" x14ac:dyDescent="0.25">
      <c r="A2555" s="3">
        <f t="shared" si="118"/>
        <v>78989</v>
      </c>
      <c r="B2555" t="str">
        <f ca="1">TEXT(DATE(YEAR(Invoer!$A$5),1,1)+INT((ROWS(B$2:B2555)-1)/24),"""18""jjmmdd")</f>
        <v>18980417</v>
      </c>
      <c r="C2555" s="11" t="str">
        <f>INDEX(Data,2,2+MOD(ROWS(C$2:C2555)-1,24))</f>
        <v>10.00</v>
      </c>
      <c r="D2555" s="8" t="str">
        <f t="shared" ca="1" si="119"/>
        <v>—</v>
      </c>
      <c r="E2555" s="16">
        <f t="shared" ca="1" si="120"/>
        <v>7</v>
      </c>
    </row>
    <row r="2556" spans="1:5" x14ac:dyDescent="0.25">
      <c r="A2556" s="3">
        <f t="shared" si="118"/>
        <v>78989</v>
      </c>
      <c r="B2556" t="str">
        <f ca="1">TEXT(DATE(YEAR(Invoer!$A$5),1,1)+INT((ROWS(B$2:B2556)-1)/24),"""18""jjmmdd")</f>
        <v>18980417</v>
      </c>
      <c r="C2556" s="11" t="str">
        <f>INDEX(Data,2,2+MOD(ROWS(C$2:C2556)-1,24))</f>
        <v>11.00</v>
      </c>
      <c r="D2556" s="8" t="str">
        <f t="shared" ca="1" si="119"/>
        <v>—</v>
      </c>
      <c r="E2556" s="16">
        <f t="shared" ca="1" si="120"/>
        <v>7</v>
      </c>
    </row>
    <row r="2557" spans="1:5" x14ac:dyDescent="0.25">
      <c r="A2557" s="3">
        <f t="shared" si="118"/>
        <v>78989</v>
      </c>
      <c r="B2557" t="str">
        <f ca="1">TEXT(DATE(YEAR(Invoer!$A$5),1,1)+INT((ROWS(B$2:B2557)-1)/24),"""18""jjmmdd")</f>
        <v>18980417</v>
      </c>
      <c r="C2557" s="11" t="str">
        <f>INDEX(Data,2,2+MOD(ROWS(C$2:C2557)-1,24))</f>
        <v>12.00</v>
      </c>
      <c r="D2557" s="8" t="str">
        <f t="shared" ca="1" si="119"/>
        <v>—</v>
      </c>
      <c r="E2557" s="16">
        <f t="shared" ca="1" si="120"/>
        <v>7</v>
      </c>
    </row>
    <row r="2558" spans="1:5" x14ac:dyDescent="0.25">
      <c r="A2558" s="3">
        <f t="shared" si="118"/>
        <v>78989</v>
      </c>
      <c r="B2558" t="str">
        <f ca="1">TEXT(DATE(YEAR(Invoer!$A$5),1,1)+INT((ROWS(B$2:B2558)-1)/24),"""18""jjmmdd")</f>
        <v>18980417</v>
      </c>
      <c r="C2558" s="11" t="str">
        <f>INDEX(Data,2,2+MOD(ROWS(C$2:C2558)-1,24))</f>
        <v>13.00</v>
      </c>
      <c r="D2558" s="8" t="str">
        <f t="shared" ca="1" si="119"/>
        <v>—</v>
      </c>
      <c r="E2558" s="16">
        <f t="shared" ca="1" si="120"/>
        <v>7</v>
      </c>
    </row>
    <row r="2559" spans="1:5" x14ac:dyDescent="0.25">
      <c r="A2559" s="3">
        <f t="shared" si="118"/>
        <v>78989</v>
      </c>
      <c r="B2559" t="str">
        <f ca="1">TEXT(DATE(YEAR(Invoer!$A$5),1,1)+INT((ROWS(B$2:B2559)-1)/24),"""18""jjmmdd")</f>
        <v>18980417</v>
      </c>
      <c r="C2559" s="11" t="str">
        <f>INDEX(Data,2,2+MOD(ROWS(C$2:C2559)-1,24))</f>
        <v>14.00</v>
      </c>
      <c r="D2559" s="8" t="str">
        <f t="shared" ca="1" si="119"/>
        <v>—</v>
      </c>
      <c r="E2559" s="16">
        <f t="shared" ca="1" si="120"/>
        <v>7</v>
      </c>
    </row>
    <row r="2560" spans="1:5" x14ac:dyDescent="0.25">
      <c r="A2560" s="3">
        <f t="shared" si="118"/>
        <v>78989</v>
      </c>
      <c r="B2560" t="str">
        <f ca="1">TEXT(DATE(YEAR(Invoer!$A$5),1,1)+INT((ROWS(B$2:B2560)-1)/24),"""18""jjmmdd")</f>
        <v>18980417</v>
      </c>
      <c r="C2560" s="11" t="str">
        <f>INDEX(Data,2,2+MOD(ROWS(C$2:C2560)-1,24))</f>
        <v>15.00</v>
      </c>
      <c r="D2560" s="8" t="str">
        <f t="shared" ca="1" si="119"/>
        <v>—</v>
      </c>
      <c r="E2560" s="16">
        <f t="shared" ca="1" si="120"/>
        <v>7</v>
      </c>
    </row>
    <row r="2561" spans="1:5" x14ac:dyDescent="0.25">
      <c r="A2561" s="3">
        <f t="shared" si="118"/>
        <v>78989</v>
      </c>
      <c r="B2561" t="str">
        <f ca="1">TEXT(DATE(YEAR(Invoer!$A$5),1,1)+INT((ROWS(B$2:B2561)-1)/24),"""18""jjmmdd")</f>
        <v>18980417</v>
      </c>
      <c r="C2561" s="11" t="str">
        <f>INDEX(Data,2,2+MOD(ROWS(C$2:C2561)-1,24))</f>
        <v>16.00</v>
      </c>
      <c r="D2561" s="8" t="str">
        <f t="shared" ca="1" si="119"/>
        <v>—</v>
      </c>
      <c r="E2561" s="16">
        <f t="shared" ca="1" si="120"/>
        <v>7</v>
      </c>
    </row>
    <row r="2562" spans="1:5" x14ac:dyDescent="0.25">
      <c r="A2562" s="3">
        <f t="shared" ref="A2562:A2625" si="121">INDEX(Stations,2,1)</f>
        <v>78989</v>
      </c>
      <c r="B2562" t="str">
        <f ca="1">TEXT(DATE(YEAR(Invoer!$A$5),1,1)+INT((ROWS(B$2:B2562)-1)/24),"""18""jjmmdd")</f>
        <v>18980417</v>
      </c>
      <c r="C2562" s="11" t="str">
        <f>INDEX(Data,2,2+MOD(ROWS(C$2:C2562)-1,24))</f>
        <v>17.00</v>
      </c>
      <c r="D2562" s="8" t="str">
        <f t="shared" ref="D2562:D2625" ca="1" si="122">IF(OR(ISBLANK(VLOOKUP(DATEVALUE("37"&amp;MID($B2562,3,2)&amp;"-"&amp;MID($B2562,5,2)&amp;"-"&amp;RIGHT($B2562,2)),Data,MATCH(LEFT(VLOOKUP(D$1,Parameters,2,FALSE()),4)&amp;"*",OFFSET(Data,0,0,1),0)+MATCH($C2562,OFFSET(Data,1,0,1),0)-2,FALSE())),ISTEXT(VLOOKUP(DATEVALUE("37"&amp;MID($B2562,3,2)&amp;"-"&amp;MID($B2562,5,2)&amp;"-"&amp;RIGHT($B2562,2)),Data,MATCH(LEFT(VLOOKUP(D$1,Parameters,2,FALSE()),4)&amp;"*",OFFSET(Data,0,0,1),0)+MATCH($C2562,OFFSET(Data,1,0,1),0)-2,FALSE()))),"—",VLOOKUP(DATEVALUE("37"&amp;MID($B2562,3,2)&amp;"-"&amp;MID($B2562,5,2)&amp;"-"&amp;RIGHT($B2562,2)),Data,MATCH(LEFT(VLOOKUP(D$1,Parameters,2,FALSE()),4)&amp;"*",OFFSET(Data,0,0,1),0)+MATCH($C2562,OFFSET(Data,1,0,1),0)-2,FALSE()))</f>
        <v>—</v>
      </c>
      <c r="E2562" s="16">
        <f t="shared" ca="1" si="120"/>
        <v>7</v>
      </c>
    </row>
    <row r="2563" spans="1:5" x14ac:dyDescent="0.25">
      <c r="A2563" s="3">
        <f t="shared" si="121"/>
        <v>78989</v>
      </c>
      <c r="B2563" t="str">
        <f ca="1">TEXT(DATE(YEAR(Invoer!$A$5),1,1)+INT((ROWS(B$2:B2563)-1)/24),"""18""jjmmdd")</f>
        <v>18980417</v>
      </c>
      <c r="C2563" s="11" t="str">
        <f>INDEX(Data,2,2+MOD(ROWS(C$2:C2563)-1,24))</f>
        <v>18.00</v>
      </c>
      <c r="D2563" s="8" t="str">
        <f t="shared" ca="1" si="122"/>
        <v>—</v>
      </c>
      <c r="E2563" s="16">
        <f t="shared" ref="E2563:E2626" ca="1" si="123">IF(OR(ISBLANK(VLOOKUP(DATEVALUE("37"&amp;MID($B2563,3,2)&amp;"-"&amp;MID($B2563,5,2)&amp;"-"&amp;RIGHT($B2563,2)),Data,MATCH(LEFT(VLOOKUP(D$1,Parameters,2,FALSE()),4)&amp;"*",OFFSET(Data,0,0,1),0)+MATCH($C2563,OFFSET(Data,1,0,1),0)-2,FALSE())),ISTEXT(VLOOKUP(DATEVALUE("37"&amp;MID($B2563,3,2)&amp;"-"&amp;MID($B2563,5,2)&amp;"-"&amp;RIGHT($B2563,2)),Data,MATCH(LEFT(VLOOKUP(D$1,Parameters,2,FALSE()),4)&amp;"*",OFFSET(Data,0,0,1),0)+MATCH($C2563,OFFSET(Data,1,0,1),0)-2,FALSE()))),Lacking,IF(ISNA(MATCH(DATEVALUE("37"&amp;MID($B2563,3,2)&amp;"-"&amp;MID($B2563,5,2)&amp;"-"&amp;RIGHT($B2563,2)),OFFSET(Catalogus,0,0,,1),0)),Ok,VLOOKUP(DATEVALUE("37"&amp;MID($B2563,3,2)&amp;"-"&amp;MID($B2563,5,2)&amp;"-"&amp;RIGHT($B2563,2)),Catalogus,MATCH(LEFT(VLOOKUP(MID(E$1,2,LEN(E$1)-1),Parameters,2,FALSE()),4)&amp;"*",OFFSET(Catalogus,0,0,1),0)+MATCH($C2563,OFFSET(Catalogus,1,0,1),0)-2,FALSE())))</f>
        <v>7</v>
      </c>
    </row>
    <row r="2564" spans="1:5" x14ac:dyDescent="0.25">
      <c r="A2564" s="3">
        <f t="shared" si="121"/>
        <v>78989</v>
      </c>
      <c r="B2564" t="str">
        <f ca="1">TEXT(DATE(YEAR(Invoer!$A$5),1,1)+INT((ROWS(B$2:B2564)-1)/24),"""18""jjmmdd")</f>
        <v>18980417</v>
      </c>
      <c r="C2564" s="11" t="str">
        <f>INDEX(Data,2,2+MOD(ROWS(C$2:C2564)-1,24))</f>
        <v>19.00</v>
      </c>
      <c r="D2564" s="8" t="str">
        <f t="shared" ca="1" si="122"/>
        <v>—</v>
      </c>
      <c r="E2564" s="16">
        <f t="shared" ca="1" si="123"/>
        <v>7</v>
      </c>
    </row>
    <row r="2565" spans="1:5" x14ac:dyDescent="0.25">
      <c r="A2565" s="3">
        <f t="shared" si="121"/>
        <v>78989</v>
      </c>
      <c r="B2565" t="str">
        <f ca="1">TEXT(DATE(YEAR(Invoer!$A$5),1,1)+INT((ROWS(B$2:B2565)-1)/24),"""18""jjmmdd")</f>
        <v>18980417</v>
      </c>
      <c r="C2565" s="11" t="str">
        <f>INDEX(Data,2,2+MOD(ROWS(C$2:C2565)-1,24))</f>
        <v>20.00</v>
      </c>
      <c r="D2565" s="8" t="str">
        <f t="shared" ca="1" si="122"/>
        <v>—</v>
      </c>
      <c r="E2565" s="16">
        <f t="shared" ca="1" si="123"/>
        <v>7</v>
      </c>
    </row>
    <row r="2566" spans="1:5" x14ac:dyDescent="0.25">
      <c r="A2566" s="3">
        <f t="shared" si="121"/>
        <v>78989</v>
      </c>
      <c r="B2566" t="str">
        <f ca="1">TEXT(DATE(YEAR(Invoer!$A$5),1,1)+INT((ROWS(B$2:B2566)-1)/24),"""18""jjmmdd")</f>
        <v>18980417</v>
      </c>
      <c r="C2566" s="11" t="str">
        <f>INDEX(Data,2,2+MOD(ROWS(C$2:C2566)-1,24))</f>
        <v>21.00</v>
      </c>
      <c r="D2566" s="8" t="str">
        <f t="shared" ca="1" si="122"/>
        <v>—</v>
      </c>
      <c r="E2566" s="16">
        <f t="shared" ca="1" si="123"/>
        <v>7</v>
      </c>
    </row>
    <row r="2567" spans="1:5" x14ac:dyDescent="0.25">
      <c r="A2567" s="3">
        <f t="shared" si="121"/>
        <v>78989</v>
      </c>
      <c r="B2567" t="str">
        <f ca="1">TEXT(DATE(YEAR(Invoer!$A$5),1,1)+INT((ROWS(B$2:B2567)-1)/24),"""18""jjmmdd")</f>
        <v>18980417</v>
      </c>
      <c r="C2567" s="11" t="str">
        <f>INDEX(Data,2,2+MOD(ROWS(C$2:C2567)-1,24))</f>
        <v>22.00</v>
      </c>
      <c r="D2567" s="8" t="str">
        <f t="shared" ca="1" si="122"/>
        <v>—</v>
      </c>
      <c r="E2567" s="16">
        <f t="shared" ca="1" si="123"/>
        <v>7</v>
      </c>
    </row>
    <row r="2568" spans="1:5" x14ac:dyDescent="0.25">
      <c r="A2568" s="3">
        <f t="shared" si="121"/>
        <v>78989</v>
      </c>
      <c r="B2568" t="str">
        <f ca="1">TEXT(DATE(YEAR(Invoer!$A$5),1,1)+INT((ROWS(B$2:B2568)-1)/24),"""18""jjmmdd")</f>
        <v>18980417</v>
      </c>
      <c r="C2568" s="11" t="str">
        <f>INDEX(Data,2,2+MOD(ROWS(C$2:C2568)-1,24))</f>
        <v>23.00</v>
      </c>
      <c r="D2568" s="8" t="str">
        <f t="shared" ca="1" si="122"/>
        <v>—</v>
      </c>
      <c r="E2568" s="16">
        <f t="shared" ca="1" si="123"/>
        <v>7</v>
      </c>
    </row>
    <row r="2569" spans="1:5" x14ac:dyDescent="0.25">
      <c r="A2569" s="3">
        <f t="shared" si="121"/>
        <v>78989</v>
      </c>
      <c r="B2569" t="str">
        <f ca="1">TEXT(DATE(YEAR(Invoer!$A$5),1,1)+INT((ROWS(B$2:B2569)-1)/24),"""18""jjmmdd")</f>
        <v>18980417</v>
      </c>
      <c r="C2569" s="11" t="str">
        <f>INDEX(Data,2,2+MOD(ROWS(C$2:C2569)-1,24))</f>
        <v>24.00</v>
      </c>
      <c r="D2569" s="8" t="str">
        <f t="shared" ca="1" si="122"/>
        <v>—</v>
      </c>
      <c r="E2569" s="16">
        <f t="shared" ca="1" si="123"/>
        <v>7</v>
      </c>
    </row>
    <row r="2570" spans="1:5" x14ac:dyDescent="0.25">
      <c r="A2570" s="3">
        <f t="shared" si="121"/>
        <v>78989</v>
      </c>
      <c r="B2570" t="str">
        <f ca="1">TEXT(DATE(YEAR(Invoer!$A$5),1,1)+INT((ROWS(B$2:B2570)-1)/24),"""18""jjmmdd")</f>
        <v>18980418</v>
      </c>
      <c r="C2570" s="11" t="str">
        <f>INDEX(Data,2,2+MOD(ROWS(C$2:C2570)-1,24))</f>
        <v>01.00</v>
      </c>
      <c r="D2570" s="8" t="str">
        <f t="shared" ca="1" si="122"/>
        <v>—</v>
      </c>
      <c r="E2570" s="16">
        <f t="shared" ca="1" si="123"/>
        <v>7</v>
      </c>
    </row>
    <row r="2571" spans="1:5" x14ac:dyDescent="0.25">
      <c r="A2571" s="3">
        <f t="shared" si="121"/>
        <v>78989</v>
      </c>
      <c r="B2571" t="str">
        <f ca="1">TEXT(DATE(YEAR(Invoer!$A$5),1,1)+INT((ROWS(B$2:B2571)-1)/24),"""18""jjmmdd")</f>
        <v>18980418</v>
      </c>
      <c r="C2571" s="11" t="str">
        <f>INDEX(Data,2,2+MOD(ROWS(C$2:C2571)-1,24))</f>
        <v>02.00</v>
      </c>
      <c r="D2571" s="8" t="str">
        <f t="shared" ca="1" si="122"/>
        <v>—</v>
      </c>
      <c r="E2571" s="16">
        <f t="shared" ca="1" si="123"/>
        <v>7</v>
      </c>
    </row>
    <row r="2572" spans="1:5" x14ac:dyDescent="0.25">
      <c r="A2572" s="3">
        <f t="shared" si="121"/>
        <v>78989</v>
      </c>
      <c r="B2572" t="str">
        <f ca="1">TEXT(DATE(YEAR(Invoer!$A$5),1,1)+INT((ROWS(B$2:B2572)-1)/24),"""18""jjmmdd")</f>
        <v>18980418</v>
      </c>
      <c r="C2572" s="11" t="str">
        <f>INDEX(Data,2,2+MOD(ROWS(C$2:C2572)-1,24))</f>
        <v>03.00</v>
      </c>
      <c r="D2572" s="8" t="str">
        <f t="shared" ca="1" si="122"/>
        <v>—</v>
      </c>
      <c r="E2572" s="16">
        <f t="shared" ca="1" si="123"/>
        <v>7</v>
      </c>
    </row>
    <row r="2573" spans="1:5" x14ac:dyDescent="0.25">
      <c r="A2573" s="3">
        <f t="shared" si="121"/>
        <v>78989</v>
      </c>
      <c r="B2573" t="str">
        <f ca="1">TEXT(DATE(YEAR(Invoer!$A$5),1,1)+INT((ROWS(B$2:B2573)-1)/24),"""18""jjmmdd")</f>
        <v>18980418</v>
      </c>
      <c r="C2573" s="11" t="str">
        <f>INDEX(Data,2,2+MOD(ROWS(C$2:C2573)-1,24))</f>
        <v>04.00</v>
      </c>
      <c r="D2573" s="8" t="str">
        <f t="shared" ca="1" si="122"/>
        <v>—</v>
      </c>
      <c r="E2573" s="16">
        <f t="shared" ca="1" si="123"/>
        <v>7</v>
      </c>
    </row>
    <row r="2574" spans="1:5" x14ac:dyDescent="0.25">
      <c r="A2574" s="3">
        <f t="shared" si="121"/>
        <v>78989</v>
      </c>
      <c r="B2574" t="str">
        <f ca="1">TEXT(DATE(YEAR(Invoer!$A$5),1,1)+INT((ROWS(B$2:B2574)-1)/24),"""18""jjmmdd")</f>
        <v>18980418</v>
      </c>
      <c r="C2574" s="11" t="str">
        <f>INDEX(Data,2,2+MOD(ROWS(C$2:C2574)-1,24))</f>
        <v>05.00</v>
      </c>
      <c r="D2574" s="8" t="str">
        <f t="shared" ca="1" si="122"/>
        <v>—</v>
      </c>
      <c r="E2574" s="16">
        <f t="shared" ca="1" si="123"/>
        <v>7</v>
      </c>
    </row>
    <row r="2575" spans="1:5" x14ac:dyDescent="0.25">
      <c r="A2575" s="3">
        <f t="shared" si="121"/>
        <v>78989</v>
      </c>
      <c r="B2575" t="str">
        <f ca="1">TEXT(DATE(YEAR(Invoer!$A$5),1,1)+INT((ROWS(B$2:B2575)-1)/24),"""18""jjmmdd")</f>
        <v>18980418</v>
      </c>
      <c r="C2575" s="11" t="str">
        <f>INDEX(Data,2,2+MOD(ROWS(C$2:C2575)-1,24))</f>
        <v>06.00</v>
      </c>
      <c r="D2575" s="8" t="str">
        <f t="shared" ca="1" si="122"/>
        <v>—</v>
      </c>
      <c r="E2575" s="16">
        <f t="shared" ca="1" si="123"/>
        <v>7</v>
      </c>
    </row>
    <row r="2576" spans="1:5" x14ac:dyDescent="0.25">
      <c r="A2576" s="3">
        <f t="shared" si="121"/>
        <v>78989</v>
      </c>
      <c r="B2576" t="str">
        <f ca="1">TEXT(DATE(YEAR(Invoer!$A$5),1,1)+INT((ROWS(B$2:B2576)-1)/24),"""18""jjmmdd")</f>
        <v>18980418</v>
      </c>
      <c r="C2576" s="11" t="str">
        <f>INDEX(Data,2,2+MOD(ROWS(C$2:C2576)-1,24))</f>
        <v>07.00</v>
      </c>
      <c r="D2576" s="8" t="str">
        <f t="shared" ca="1" si="122"/>
        <v>—</v>
      </c>
      <c r="E2576" s="16">
        <f t="shared" ca="1" si="123"/>
        <v>7</v>
      </c>
    </row>
    <row r="2577" spans="1:5" x14ac:dyDescent="0.25">
      <c r="A2577" s="3">
        <f t="shared" si="121"/>
        <v>78989</v>
      </c>
      <c r="B2577" t="str">
        <f ca="1">TEXT(DATE(YEAR(Invoer!$A$5),1,1)+INT((ROWS(B$2:B2577)-1)/24),"""18""jjmmdd")</f>
        <v>18980418</v>
      </c>
      <c r="C2577" s="11" t="str">
        <f>INDEX(Data,2,2+MOD(ROWS(C$2:C2577)-1,24))</f>
        <v>08.00</v>
      </c>
      <c r="D2577" s="8" t="str">
        <f t="shared" ca="1" si="122"/>
        <v>—</v>
      </c>
      <c r="E2577" s="16">
        <f t="shared" ca="1" si="123"/>
        <v>7</v>
      </c>
    </row>
    <row r="2578" spans="1:5" x14ac:dyDescent="0.25">
      <c r="A2578" s="3">
        <f t="shared" si="121"/>
        <v>78989</v>
      </c>
      <c r="B2578" t="str">
        <f ca="1">TEXT(DATE(YEAR(Invoer!$A$5),1,1)+INT((ROWS(B$2:B2578)-1)/24),"""18""jjmmdd")</f>
        <v>18980418</v>
      </c>
      <c r="C2578" s="11" t="str">
        <f>INDEX(Data,2,2+MOD(ROWS(C$2:C2578)-1,24))</f>
        <v>09.00</v>
      </c>
      <c r="D2578" s="8" t="str">
        <f t="shared" ca="1" si="122"/>
        <v>—</v>
      </c>
      <c r="E2578" s="16">
        <f t="shared" ca="1" si="123"/>
        <v>7</v>
      </c>
    </row>
    <row r="2579" spans="1:5" x14ac:dyDescent="0.25">
      <c r="A2579" s="3">
        <f t="shared" si="121"/>
        <v>78989</v>
      </c>
      <c r="B2579" t="str">
        <f ca="1">TEXT(DATE(YEAR(Invoer!$A$5),1,1)+INT((ROWS(B$2:B2579)-1)/24),"""18""jjmmdd")</f>
        <v>18980418</v>
      </c>
      <c r="C2579" s="11" t="str">
        <f>INDEX(Data,2,2+MOD(ROWS(C$2:C2579)-1,24))</f>
        <v>10.00</v>
      </c>
      <c r="D2579" s="8" t="str">
        <f t="shared" ca="1" si="122"/>
        <v>—</v>
      </c>
      <c r="E2579" s="16">
        <f t="shared" ca="1" si="123"/>
        <v>7</v>
      </c>
    </row>
    <row r="2580" spans="1:5" x14ac:dyDescent="0.25">
      <c r="A2580" s="3">
        <f t="shared" si="121"/>
        <v>78989</v>
      </c>
      <c r="B2580" t="str">
        <f ca="1">TEXT(DATE(YEAR(Invoer!$A$5),1,1)+INT((ROWS(B$2:B2580)-1)/24),"""18""jjmmdd")</f>
        <v>18980418</v>
      </c>
      <c r="C2580" s="11" t="str">
        <f>INDEX(Data,2,2+MOD(ROWS(C$2:C2580)-1,24))</f>
        <v>11.00</v>
      </c>
      <c r="D2580" s="8" t="str">
        <f t="shared" ca="1" si="122"/>
        <v>—</v>
      </c>
      <c r="E2580" s="16">
        <f t="shared" ca="1" si="123"/>
        <v>7</v>
      </c>
    </row>
    <row r="2581" spans="1:5" x14ac:dyDescent="0.25">
      <c r="A2581" s="3">
        <f t="shared" si="121"/>
        <v>78989</v>
      </c>
      <c r="B2581" t="str">
        <f ca="1">TEXT(DATE(YEAR(Invoer!$A$5),1,1)+INT((ROWS(B$2:B2581)-1)/24),"""18""jjmmdd")</f>
        <v>18980418</v>
      </c>
      <c r="C2581" s="11" t="str">
        <f>INDEX(Data,2,2+MOD(ROWS(C$2:C2581)-1,24))</f>
        <v>12.00</v>
      </c>
      <c r="D2581" s="8" t="str">
        <f t="shared" ca="1" si="122"/>
        <v>—</v>
      </c>
      <c r="E2581" s="16">
        <f t="shared" ca="1" si="123"/>
        <v>7</v>
      </c>
    </row>
    <row r="2582" spans="1:5" x14ac:dyDescent="0.25">
      <c r="A2582" s="3">
        <f t="shared" si="121"/>
        <v>78989</v>
      </c>
      <c r="B2582" t="str">
        <f ca="1">TEXT(DATE(YEAR(Invoer!$A$5),1,1)+INT((ROWS(B$2:B2582)-1)/24),"""18""jjmmdd")</f>
        <v>18980418</v>
      </c>
      <c r="C2582" s="11" t="str">
        <f>INDEX(Data,2,2+MOD(ROWS(C$2:C2582)-1,24))</f>
        <v>13.00</v>
      </c>
      <c r="D2582" s="8" t="str">
        <f t="shared" ca="1" si="122"/>
        <v>—</v>
      </c>
      <c r="E2582" s="16">
        <f t="shared" ca="1" si="123"/>
        <v>7</v>
      </c>
    </row>
    <row r="2583" spans="1:5" x14ac:dyDescent="0.25">
      <c r="A2583" s="3">
        <f t="shared" si="121"/>
        <v>78989</v>
      </c>
      <c r="B2583" t="str">
        <f ca="1">TEXT(DATE(YEAR(Invoer!$A$5),1,1)+INT((ROWS(B$2:B2583)-1)/24),"""18""jjmmdd")</f>
        <v>18980418</v>
      </c>
      <c r="C2583" s="11" t="str">
        <f>INDEX(Data,2,2+MOD(ROWS(C$2:C2583)-1,24))</f>
        <v>14.00</v>
      </c>
      <c r="D2583" s="8" t="str">
        <f t="shared" ca="1" si="122"/>
        <v>—</v>
      </c>
      <c r="E2583" s="16">
        <f t="shared" ca="1" si="123"/>
        <v>7</v>
      </c>
    </row>
    <row r="2584" spans="1:5" x14ac:dyDescent="0.25">
      <c r="A2584" s="3">
        <f t="shared" si="121"/>
        <v>78989</v>
      </c>
      <c r="B2584" t="str">
        <f ca="1">TEXT(DATE(YEAR(Invoer!$A$5),1,1)+INT((ROWS(B$2:B2584)-1)/24),"""18""jjmmdd")</f>
        <v>18980418</v>
      </c>
      <c r="C2584" s="11" t="str">
        <f>INDEX(Data,2,2+MOD(ROWS(C$2:C2584)-1,24))</f>
        <v>15.00</v>
      </c>
      <c r="D2584" s="8" t="str">
        <f t="shared" ca="1" si="122"/>
        <v>—</v>
      </c>
      <c r="E2584" s="16">
        <f t="shared" ca="1" si="123"/>
        <v>7</v>
      </c>
    </row>
    <row r="2585" spans="1:5" x14ac:dyDescent="0.25">
      <c r="A2585" s="3">
        <f t="shared" si="121"/>
        <v>78989</v>
      </c>
      <c r="B2585" t="str">
        <f ca="1">TEXT(DATE(YEAR(Invoer!$A$5),1,1)+INT((ROWS(B$2:B2585)-1)/24),"""18""jjmmdd")</f>
        <v>18980418</v>
      </c>
      <c r="C2585" s="11" t="str">
        <f>INDEX(Data,2,2+MOD(ROWS(C$2:C2585)-1,24))</f>
        <v>16.00</v>
      </c>
      <c r="D2585" s="8" t="str">
        <f t="shared" ca="1" si="122"/>
        <v>—</v>
      </c>
      <c r="E2585" s="16">
        <f t="shared" ca="1" si="123"/>
        <v>7</v>
      </c>
    </row>
    <row r="2586" spans="1:5" x14ac:dyDescent="0.25">
      <c r="A2586" s="3">
        <f t="shared" si="121"/>
        <v>78989</v>
      </c>
      <c r="B2586" t="str">
        <f ca="1">TEXT(DATE(YEAR(Invoer!$A$5),1,1)+INT((ROWS(B$2:B2586)-1)/24),"""18""jjmmdd")</f>
        <v>18980418</v>
      </c>
      <c r="C2586" s="11" t="str">
        <f>INDEX(Data,2,2+MOD(ROWS(C$2:C2586)-1,24))</f>
        <v>17.00</v>
      </c>
      <c r="D2586" s="8" t="str">
        <f t="shared" ca="1" si="122"/>
        <v>—</v>
      </c>
      <c r="E2586" s="16">
        <f t="shared" ca="1" si="123"/>
        <v>7</v>
      </c>
    </row>
    <row r="2587" spans="1:5" x14ac:dyDescent="0.25">
      <c r="A2587" s="3">
        <f t="shared" si="121"/>
        <v>78989</v>
      </c>
      <c r="B2587" t="str">
        <f ca="1">TEXT(DATE(YEAR(Invoer!$A$5),1,1)+INT((ROWS(B$2:B2587)-1)/24),"""18""jjmmdd")</f>
        <v>18980418</v>
      </c>
      <c r="C2587" s="11" t="str">
        <f>INDEX(Data,2,2+MOD(ROWS(C$2:C2587)-1,24))</f>
        <v>18.00</v>
      </c>
      <c r="D2587" s="8" t="str">
        <f t="shared" ca="1" si="122"/>
        <v>—</v>
      </c>
      <c r="E2587" s="16">
        <f t="shared" ca="1" si="123"/>
        <v>7</v>
      </c>
    </row>
    <row r="2588" spans="1:5" x14ac:dyDescent="0.25">
      <c r="A2588" s="3">
        <f t="shared" si="121"/>
        <v>78989</v>
      </c>
      <c r="B2588" t="str">
        <f ca="1">TEXT(DATE(YEAR(Invoer!$A$5),1,1)+INT((ROWS(B$2:B2588)-1)/24),"""18""jjmmdd")</f>
        <v>18980418</v>
      </c>
      <c r="C2588" s="11" t="str">
        <f>INDEX(Data,2,2+MOD(ROWS(C$2:C2588)-1,24))</f>
        <v>19.00</v>
      </c>
      <c r="D2588" s="8" t="str">
        <f t="shared" ca="1" si="122"/>
        <v>—</v>
      </c>
      <c r="E2588" s="16">
        <f t="shared" ca="1" si="123"/>
        <v>7</v>
      </c>
    </row>
    <row r="2589" spans="1:5" x14ac:dyDescent="0.25">
      <c r="A2589" s="3">
        <f t="shared" si="121"/>
        <v>78989</v>
      </c>
      <c r="B2589" t="str">
        <f ca="1">TEXT(DATE(YEAR(Invoer!$A$5),1,1)+INT((ROWS(B$2:B2589)-1)/24),"""18""jjmmdd")</f>
        <v>18980418</v>
      </c>
      <c r="C2589" s="11" t="str">
        <f>INDEX(Data,2,2+MOD(ROWS(C$2:C2589)-1,24))</f>
        <v>20.00</v>
      </c>
      <c r="D2589" s="8" t="str">
        <f t="shared" ca="1" si="122"/>
        <v>—</v>
      </c>
      <c r="E2589" s="16">
        <f t="shared" ca="1" si="123"/>
        <v>7</v>
      </c>
    </row>
    <row r="2590" spans="1:5" x14ac:dyDescent="0.25">
      <c r="A2590" s="3">
        <f t="shared" si="121"/>
        <v>78989</v>
      </c>
      <c r="B2590" t="str">
        <f ca="1">TEXT(DATE(YEAR(Invoer!$A$5),1,1)+INT((ROWS(B$2:B2590)-1)/24),"""18""jjmmdd")</f>
        <v>18980418</v>
      </c>
      <c r="C2590" s="11" t="str">
        <f>INDEX(Data,2,2+MOD(ROWS(C$2:C2590)-1,24))</f>
        <v>21.00</v>
      </c>
      <c r="D2590" s="8" t="str">
        <f t="shared" ca="1" si="122"/>
        <v>—</v>
      </c>
      <c r="E2590" s="16">
        <f t="shared" ca="1" si="123"/>
        <v>7</v>
      </c>
    </row>
    <row r="2591" spans="1:5" x14ac:dyDescent="0.25">
      <c r="A2591" s="3">
        <f t="shared" si="121"/>
        <v>78989</v>
      </c>
      <c r="B2591" t="str">
        <f ca="1">TEXT(DATE(YEAR(Invoer!$A$5),1,1)+INT((ROWS(B$2:B2591)-1)/24),"""18""jjmmdd")</f>
        <v>18980418</v>
      </c>
      <c r="C2591" s="11" t="str">
        <f>INDEX(Data,2,2+MOD(ROWS(C$2:C2591)-1,24))</f>
        <v>22.00</v>
      </c>
      <c r="D2591" s="8" t="str">
        <f t="shared" ca="1" si="122"/>
        <v>—</v>
      </c>
      <c r="E2591" s="16">
        <f t="shared" ca="1" si="123"/>
        <v>7</v>
      </c>
    </row>
    <row r="2592" spans="1:5" x14ac:dyDescent="0.25">
      <c r="A2592" s="3">
        <f t="shared" si="121"/>
        <v>78989</v>
      </c>
      <c r="B2592" t="str">
        <f ca="1">TEXT(DATE(YEAR(Invoer!$A$5),1,1)+INT((ROWS(B$2:B2592)-1)/24),"""18""jjmmdd")</f>
        <v>18980418</v>
      </c>
      <c r="C2592" s="11" t="str">
        <f>INDEX(Data,2,2+MOD(ROWS(C$2:C2592)-1,24))</f>
        <v>23.00</v>
      </c>
      <c r="D2592" s="8" t="str">
        <f t="shared" ca="1" si="122"/>
        <v>—</v>
      </c>
      <c r="E2592" s="16">
        <f t="shared" ca="1" si="123"/>
        <v>7</v>
      </c>
    </row>
    <row r="2593" spans="1:5" x14ac:dyDescent="0.25">
      <c r="A2593" s="3">
        <f t="shared" si="121"/>
        <v>78989</v>
      </c>
      <c r="B2593" t="str">
        <f ca="1">TEXT(DATE(YEAR(Invoer!$A$5),1,1)+INT((ROWS(B$2:B2593)-1)/24),"""18""jjmmdd")</f>
        <v>18980418</v>
      </c>
      <c r="C2593" s="11" t="str">
        <f>INDEX(Data,2,2+MOD(ROWS(C$2:C2593)-1,24))</f>
        <v>24.00</v>
      </c>
      <c r="D2593" s="8" t="str">
        <f t="shared" ca="1" si="122"/>
        <v>—</v>
      </c>
      <c r="E2593" s="16">
        <f t="shared" ca="1" si="123"/>
        <v>7</v>
      </c>
    </row>
    <row r="2594" spans="1:5" x14ac:dyDescent="0.25">
      <c r="A2594" s="3">
        <f t="shared" si="121"/>
        <v>78989</v>
      </c>
      <c r="B2594" t="str">
        <f ca="1">TEXT(DATE(YEAR(Invoer!$A$5),1,1)+INT((ROWS(B$2:B2594)-1)/24),"""18""jjmmdd")</f>
        <v>18980419</v>
      </c>
      <c r="C2594" s="11" t="str">
        <f>INDEX(Data,2,2+MOD(ROWS(C$2:C2594)-1,24))</f>
        <v>01.00</v>
      </c>
      <c r="D2594" s="8" t="str">
        <f t="shared" ca="1" si="122"/>
        <v>—</v>
      </c>
      <c r="E2594" s="16">
        <f t="shared" ca="1" si="123"/>
        <v>7</v>
      </c>
    </row>
    <row r="2595" spans="1:5" x14ac:dyDescent="0.25">
      <c r="A2595" s="3">
        <f t="shared" si="121"/>
        <v>78989</v>
      </c>
      <c r="B2595" t="str">
        <f ca="1">TEXT(DATE(YEAR(Invoer!$A$5),1,1)+INT((ROWS(B$2:B2595)-1)/24),"""18""jjmmdd")</f>
        <v>18980419</v>
      </c>
      <c r="C2595" s="11" t="str">
        <f>INDEX(Data,2,2+MOD(ROWS(C$2:C2595)-1,24))</f>
        <v>02.00</v>
      </c>
      <c r="D2595" s="8" t="str">
        <f t="shared" ca="1" si="122"/>
        <v>—</v>
      </c>
      <c r="E2595" s="16">
        <f t="shared" ca="1" si="123"/>
        <v>7</v>
      </c>
    </row>
    <row r="2596" spans="1:5" x14ac:dyDescent="0.25">
      <c r="A2596" s="3">
        <f t="shared" si="121"/>
        <v>78989</v>
      </c>
      <c r="B2596" t="str">
        <f ca="1">TEXT(DATE(YEAR(Invoer!$A$5),1,1)+INT((ROWS(B$2:B2596)-1)/24),"""18""jjmmdd")</f>
        <v>18980419</v>
      </c>
      <c r="C2596" s="11" t="str">
        <f>INDEX(Data,2,2+MOD(ROWS(C$2:C2596)-1,24))</f>
        <v>03.00</v>
      </c>
      <c r="D2596" s="8" t="str">
        <f t="shared" ca="1" si="122"/>
        <v>—</v>
      </c>
      <c r="E2596" s="16">
        <f t="shared" ca="1" si="123"/>
        <v>7</v>
      </c>
    </row>
    <row r="2597" spans="1:5" x14ac:dyDescent="0.25">
      <c r="A2597" s="3">
        <f t="shared" si="121"/>
        <v>78989</v>
      </c>
      <c r="B2597" t="str">
        <f ca="1">TEXT(DATE(YEAR(Invoer!$A$5),1,1)+INT((ROWS(B$2:B2597)-1)/24),"""18""jjmmdd")</f>
        <v>18980419</v>
      </c>
      <c r="C2597" s="11" t="str">
        <f>INDEX(Data,2,2+MOD(ROWS(C$2:C2597)-1,24))</f>
        <v>04.00</v>
      </c>
      <c r="D2597" s="8" t="str">
        <f t="shared" ca="1" si="122"/>
        <v>—</v>
      </c>
      <c r="E2597" s="16">
        <f t="shared" ca="1" si="123"/>
        <v>7</v>
      </c>
    </row>
    <row r="2598" spans="1:5" x14ac:dyDescent="0.25">
      <c r="A2598" s="3">
        <f t="shared" si="121"/>
        <v>78989</v>
      </c>
      <c r="B2598" t="str">
        <f ca="1">TEXT(DATE(YEAR(Invoer!$A$5),1,1)+INT((ROWS(B$2:B2598)-1)/24),"""18""jjmmdd")</f>
        <v>18980419</v>
      </c>
      <c r="C2598" s="11" t="str">
        <f>INDEX(Data,2,2+MOD(ROWS(C$2:C2598)-1,24))</f>
        <v>05.00</v>
      </c>
      <c r="D2598" s="8" t="str">
        <f t="shared" ca="1" si="122"/>
        <v>—</v>
      </c>
      <c r="E2598" s="16">
        <f t="shared" ca="1" si="123"/>
        <v>7</v>
      </c>
    </row>
    <row r="2599" spans="1:5" x14ac:dyDescent="0.25">
      <c r="A2599" s="3">
        <f t="shared" si="121"/>
        <v>78989</v>
      </c>
      <c r="B2599" t="str">
        <f ca="1">TEXT(DATE(YEAR(Invoer!$A$5),1,1)+INT((ROWS(B$2:B2599)-1)/24),"""18""jjmmdd")</f>
        <v>18980419</v>
      </c>
      <c r="C2599" s="11" t="str">
        <f>INDEX(Data,2,2+MOD(ROWS(C$2:C2599)-1,24))</f>
        <v>06.00</v>
      </c>
      <c r="D2599" s="8" t="str">
        <f t="shared" ca="1" si="122"/>
        <v>—</v>
      </c>
      <c r="E2599" s="16">
        <f t="shared" ca="1" si="123"/>
        <v>7</v>
      </c>
    </row>
    <row r="2600" spans="1:5" x14ac:dyDescent="0.25">
      <c r="A2600" s="3">
        <f t="shared" si="121"/>
        <v>78989</v>
      </c>
      <c r="B2600" t="str">
        <f ca="1">TEXT(DATE(YEAR(Invoer!$A$5),1,1)+INT((ROWS(B$2:B2600)-1)/24),"""18""jjmmdd")</f>
        <v>18980419</v>
      </c>
      <c r="C2600" s="11" t="str">
        <f>INDEX(Data,2,2+MOD(ROWS(C$2:C2600)-1,24))</f>
        <v>07.00</v>
      </c>
      <c r="D2600" s="8" t="str">
        <f t="shared" ca="1" si="122"/>
        <v>—</v>
      </c>
      <c r="E2600" s="16">
        <f t="shared" ca="1" si="123"/>
        <v>7</v>
      </c>
    </row>
    <row r="2601" spans="1:5" x14ac:dyDescent="0.25">
      <c r="A2601" s="3">
        <f t="shared" si="121"/>
        <v>78989</v>
      </c>
      <c r="B2601" t="str">
        <f ca="1">TEXT(DATE(YEAR(Invoer!$A$5),1,1)+INT((ROWS(B$2:B2601)-1)/24),"""18""jjmmdd")</f>
        <v>18980419</v>
      </c>
      <c r="C2601" s="11" t="str">
        <f>INDEX(Data,2,2+MOD(ROWS(C$2:C2601)-1,24))</f>
        <v>08.00</v>
      </c>
      <c r="D2601" s="8" t="str">
        <f t="shared" ca="1" si="122"/>
        <v>—</v>
      </c>
      <c r="E2601" s="16">
        <f t="shared" ca="1" si="123"/>
        <v>7</v>
      </c>
    </row>
    <row r="2602" spans="1:5" x14ac:dyDescent="0.25">
      <c r="A2602" s="3">
        <f t="shared" si="121"/>
        <v>78989</v>
      </c>
      <c r="B2602" t="str">
        <f ca="1">TEXT(DATE(YEAR(Invoer!$A$5),1,1)+INT((ROWS(B$2:B2602)-1)/24),"""18""jjmmdd")</f>
        <v>18980419</v>
      </c>
      <c r="C2602" s="11" t="str">
        <f>INDEX(Data,2,2+MOD(ROWS(C$2:C2602)-1,24))</f>
        <v>09.00</v>
      </c>
      <c r="D2602" s="8" t="str">
        <f t="shared" ca="1" si="122"/>
        <v>—</v>
      </c>
      <c r="E2602" s="16">
        <f t="shared" ca="1" si="123"/>
        <v>7</v>
      </c>
    </row>
    <row r="2603" spans="1:5" x14ac:dyDescent="0.25">
      <c r="A2603" s="3">
        <f t="shared" si="121"/>
        <v>78989</v>
      </c>
      <c r="B2603" t="str">
        <f ca="1">TEXT(DATE(YEAR(Invoer!$A$5),1,1)+INT((ROWS(B$2:B2603)-1)/24),"""18""jjmmdd")</f>
        <v>18980419</v>
      </c>
      <c r="C2603" s="11" t="str">
        <f>INDEX(Data,2,2+MOD(ROWS(C$2:C2603)-1,24))</f>
        <v>10.00</v>
      </c>
      <c r="D2603" s="8" t="str">
        <f t="shared" ca="1" si="122"/>
        <v>—</v>
      </c>
      <c r="E2603" s="16">
        <f t="shared" ca="1" si="123"/>
        <v>7</v>
      </c>
    </row>
    <row r="2604" spans="1:5" x14ac:dyDescent="0.25">
      <c r="A2604" s="3">
        <f t="shared" si="121"/>
        <v>78989</v>
      </c>
      <c r="B2604" t="str">
        <f ca="1">TEXT(DATE(YEAR(Invoer!$A$5),1,1)+INT((ROWS(B$2:B2604)-1)/24),"""18""jjmmdd")</f>
        <v>18980419</v>
      </c>
      <c r="C2604" s="11" t="str">
        <f>INDEX(Data,2,2+MOD(ROWS(C$2:C2604)-1,24))</f>
        <v>11.00</v>
      </c>
      <c r="D2604" s="8" t="str">
        <f t="shared" ca="1" si="122"/>
        <v>—</v>
      </c>
      <c r="E2604" s="16">
        <f t="shared" ca="1" si="123"/>
        <v>7</v>
      </c>
    </row>
    <row r="2605" spans="1:5" x14ac:dyDescent="0.25">
      <c r="A2605" s="3">
        <f t="shared" si="121"/>
        <v>78989</v>
      </c>
      <c r="B2605" t="str">
        <f ca="1">TEXT(DATE(YEAR(Invoer!$A$5),1,1)+INT((ROWS(B$2:B2605)-1)/24),"""18""jjmmdd")</f>
        <v>18980419</v>
      </c>
      <c r="C2605" s="11" t="str">
        <f>INDEX(Data,2,2+MOD(ROWS(C$2:C2605)-1,24))</f>
        <v>12.00</v>
      </c>
      <c r="D2605" s="8" t="str">
        <f t="shared" ca="1" si="122"/>
        <v>—</v>
      </c>
      <c r="E2605" s="16">
        <f t="shared" ca="1" si="123"/>
        <v>7</v>
      </c>
    </row>
    <row r="2606" spans="1:5" x14ac:dyDescent="0.25">
      <c r="A2606" s="3">
        <f t="shared" si="121"/>
        <v>78989</v>
      </c>
      <c r="B2606" t="str">
        <f ca="1">TEXT(DATE(YEAR(Invoer!$A$5),1,1)+INT((ROWS(B$2:B2606)-1)/24),"""18""jjmmdd")</f>
        <v>18980419</v>
      </c>
      <c r="C2606" s="11" t="str">
        <f>INDEX(Data,2,2+MOD(ROWS(C$2:C2606)-1,24))</f>
        <v>13.00</v>
      </c>
      <c r="D2606" s="8" t="str">
        <f t="shared" ca="1" si="122"/>
        <v>—</v>
      </c>
      <c r="E2606" s="16">
        <f t="shared" ca="1" si="123"/>
        <v>7</v>
      </c>
    </row>
    <row r="2607" spans="1:5" x14ac:dyDescent="0.25">
      <c r="A2607" s="3">
        <f t="shared" si="121"/>
        <v>78989</v>
      </c>
      <c r="B2607" t="str">
        <f ca="1">TEXT(DATE(YEAR(Invoer!$A$5),1,1)+INT((ROWS(B$2:B2607)-1)/24),"""18""jjmmdd")</f>
        <v>18980419</v>
      </c>
      <c r="C2607" s="11" t="str">
        <f>INDEX(Data,2,2+MOD(ROWS(C$2:C2607)-1,24))</f>
        <v>14.00</v>
      </c>
      <c r="D2607" s="8" t="str">
        <f t="shared" ca="1" si="122"/>
        <v>—</v>
      </c>
      <c r="E2607" s="16">
        <f t="shared" ca="1" si="123"/>
        <v>7</v>
      </c>
    </row>
    <row r="2608" spans="1:5" x14ac:dyDescent="0.25">
      <c r="A2608" s="3">
        <f t="shared" si="121"/>
        <v>78989</v>
      </c>
      <c r="B2608" t="str">
        <f ca="1">TEXT(DATE(YEAR(Invoer!$A$5),1,1)+INT((ROWS(B$2:B2608)-1)/24),"""18""jjmmdd")</f>
        <v>18980419</v>
      </c>
      <c r="C2608" s="11" t="str">
        <f>INDEX(Data,2,2+MOD(ROWS(C$2:C2608)-1,24))</f>
        <v>15.00</v>
      </c>
      <c r="D2608" s="8" t="str">
        <f t="shared" ca="1" si="122"/>
        <v>—</v>
      </c>
      <c r="E2608" s="16">
        <f t="shared" ca="1" si="123"/>
        <v>7</v>
      </c>
    </row>
    <row r="2609" spans="1:5" x14ac:dyDescent="0.25">
      <c r="A2609" s="3">
        <f t="shared" si="121"/>
        <v>78989</v>
      </c>
      <c r="B2609" t="str">
        <f ca="1">TEXT(DATE(YEAR(Invoer!$A$5),1,1)+INT((ROWS(B$2:B2609)-1)/24),"""18""jjmmdd")</f>
        <v>18980419</v>
      </c>
      <c r="C2609" s="11" t="str">
        <f>INDEX(Data,2,2+MOD(ROWS(C$2:C2609)-1,24))</f>
        <v>16.00</v>
      </c>
      <c r="D2609" s="8" t="str">
        <f t="shared" ca="1" si="122"/>
        <v>—</v>
      </c>
      <c r="E2609" s="16">
        <f t="shared" ca="1" si="123"/>
        <v>7</v>
      </c>
    </row>
    <row r="2610" spans="1:5" x14ac:dyDescent="0.25">
      <c r="A2610" s="3">
        <f t="shared" si="121"/>
        <v>78989</v>
      </c>
      <c r="B2610" t="str">
        <f ca="1">TEXT(DATE(YEAR(Invoer!$A$5),1,1)+INT((ROWS(B$2:B2610)-1)/24),"""18""jjmmdd")</f>
        <v>18980419</v>
      </c>
      <c r="C2610" s="11" t="str">
        <f>INDEX(Data,2,2+MOD(ROWS(C$2:C2610)-1,24))</f>
        <v>17.00</v>
      </c>
      <c r="D2610" s="8" t="str">
        <f t="shared" ca="1" si="122"/>
        <v>—</v>
      </c>
      <c r="E2610" s="16">
        <f t="shared" ca="1" si="123"/>
        <v>7</v>
      </c>
    </row>
    <row r="2611" spans="1:5" x14ac:dyDescent="0.25">
      <c r="A2611" s="3">
        <f t="shared" si="121"/>
        <v>78989</v>
      </c>
      <c r="B2611" t="str">
        <f ca="1">TEXT(DATE(YEAR(Invoer!$A$5),1,1)+INT((ROWS(B$2:B2611)-1)/24),"""18""jjmmdd")</f>
        <v>18980419</v>
      </c>
      <c r="C2611" s="11" t="str">
        <f>INDEX(Data,2,2+MOD(ROWS(C$2:C2611)-1,24))</f>
        <v>18.00</v>
      </c>
      <c r="D2611" s="8" t="str">
        <f t="shared" ca="1" si="122"/>
        <v>—</v>
      </c>
      <c r="E2611" s="16">
        <f t="shared" ca="1" si="123"/>
        <v>7</v>
      </c>
    </row>
    <row r="2612" spans="1:5" x14ac:dyDescent="0.25">
      <c r="A2612" s="3">
        <f t="shared" si="121"/>
        <v>78989</v>
      </c>
      <c r="B2612" t="str">
        <f ca="1">TEXT(DATE(YEAR(Invoer!$A$5),1,1)+INT((ROWS(B$2:B2612)-1)/24),"""18""jjmmdd")</f>
        <v>18980419</v>
      </c>
      <c r="C2612" s="11" t="str">
        <f>INDEX(Data,2,2+MOD(ROWS(C$2:C2612)-1,24))</f>
        <v>19.00</v>
      </c>
      <c r="D2612" s="8" t="str">
        <f t="shared" ca="1" si="122"/>
        <v>—</v>
      </c>
      <c r="E2612" s="16">
        <f t="shared" ca="1" si="123"/>
        <v>7</v>
      </c>
    </row>
    <row r="2613" spans="1:5" x14ac:dyDescent="0.25">
      <c r="A2613" s="3">
        <f t="shared" si="121"/>
        <v>78989</v>
      </c>
      <c r="B2613" t="str">
        <f ca="1">TEXT(DATE(YEAR(Invoer!$A$5),1,1)+INT((ROWS(B$2:B2613)-1)/24),"""18""jjmmdd")</f>
        <v>18980419</v>
      </c>
      <c r="C2613" s="11" t="str">
        <f>INDEX(Data,2,2+MOD(ROWS(C$2:C2613)-1,24))</f>
        <v>20.00</v>
      </c>
      <c r="D2613" s="8" t="str">
        <f t="shared" ca="1" si="122"/>
        <v>—</v>
      </c>
      <c r="E2613" s="16">
        <f t="shared" ca="1" si="123"/>
        <v>7</v>
      </c>
    </row>
    <row r="2614" spans="1:5" x14ac:dyDescent="0.25">
      <c r="A2614" s="3">
        <f t="shared" si="121"/>
        <v>78989</v>
      </c>
      <c r="B2614" t="str">
        <f ca="1">TEXT(DATE(YEAR(Invoer!$A$5),1,1)+INT((ROWS(B$2:B2614)-1)/24),"""18""jjmmdd")</f>
        <v>18980419</v>
      </c>
      <c r="C2614" s="11" t="str">
        <f>INDEX(Data,2,2+MOD(ROWS(C$2:C2614)-1,24))</f>
        <v>21.00</v>
      </c>
      <c r="D2614" s="8" t="str">
        <f t="shared" ca="1" si="122"/>
        <v>—</v>
      </c>
      <c r="E2614" s="16">
        <f t="shared" ca="1" si="123"/>
        <v>7</v>
      </c>
    </row>
    <row r="2615" spans="1:5" x14ac:dyDescent="0.25">
      <c r="A2615" s="3">
        <f t="shared" si="121"/>
        <v>78989</v>
      </c>
      <c r="B2615" t="str">
        <f ca="1">TEXT(DATE(YEAR(Invoer!$A$5),1,1)+INT((ROWS(B$2:B2615)-1)/24),"""18""jjmmdd")</f>
        <v>18980419</v>
      </c>
      <c r="C2615" s="11" t="str">
        <f>INDEX(Data,2,2+MOD(ROWS(C$2:C2615)-1,24))</f>
        <v>22.00</v>
      </c>
      <c r="D2615" s="8" t="str">
        <f t="shared" ca="1" si="122"/>
        <v>—</v>
      </c>
      <c r="E2615" s="16">
        <f t="shared" ca="1" si="123"/>
        <v>7</v>
      </c>
    </row>
    <row r="2616" spans="1:5" x14ac:dyDescent="0.25">
      <c r="A2616" s="3">
        <f t="shared" si="121"/>
        <v>78989</v>
      </c>
      <c r="B2616" t="str">
        <f ca="1">TEXT(DATE(YEAR(Invoer!$A$5),1,1)+INT((ROWS(B$2:B2616)-1)/24),"""18""jjmmdd")</f>
        <v>18980419</v>
      </c>
      <c r="C2616" s="11" t="str">
        <f>INDEX(Data,2,2+MOD(ROWS(C$2:C2616)-1,24))</f>
        <v>23.00</v>
      </c>
      <c r="D2616" s="8" t="str">
        <f t="shared" ca="1" si="122"/>
        <v>—</v>
      </c>
      <c r="E2616" s="16">
        <f t="shared" ca="1" si="123"/>
        <v>7</v>
      </c>
    </row>
    <row r="2617" spans="1:5" x14ac:dyDescent="0.25">
      <c r="A2617" s="3">
        <f t="shared" si="121"/>
        <v>78989</v>
      </c>
      <c r="B2617" t="str">
        <f ca="1">TEXT(DATE(YEAR(Invoer!$A$5),1,1)+INT((ROWS(B$2:B2617)-1)/24),"""18""jjmmdd")</f>
        <v>18980419</v>
      </c>
      <c r="C2617" s="11" t="str">
        <f>INDEX(Data,2,2+MOD(ROWS(C$2:C2617)-1,24))</f>
        <v>24.00</v>
      </c>
      <c r="D2617" s="8" t="str">
        <f t="shared" ca="1" si="122"/>
        <v>—</v>
      </c>
      <c r="E2617" s="16">
        <f t="shared" ca="1" si="123"/>
        <v>7</v>
      </c>
    </row>
    <row r="2618" spans="1:5" x14ac:dyDescent="0.25">
      <c r="A2618" s="3">
        <f t="shared" si="121"/>
        <v>78989</v>
      </c>
      <c r="B2618" t="str">
        <f ca="1">TEXT(DATE(YEAR(Invoer!$A$5),1,1)+INT((ROWS(B$2:B2618)-1)/24),"""18""jjmmdd")</f>
        <v>18980420</v>
      </c>
      <c r="C2618" s="11" t="str">
        <f>INDEX(Data,2,2+MOD(ROWS(C$2:C2618)-1,24))</f>
        <v>01.00</v>
      </c>
      <c r="D2618" s="8" t="str">
        <f t="shared" ca="1" si="122"/>
        <v>—</v>
      </c>
      <c r="E2618" s="16">
        <f t="shared" ca="1" si="123"/>
        <v>7</v>
      </c>
    </row>
    <row r="2619" spans="1:5" x14ac:dyDescent="0.25">
      <c r="A2619" s="3">
        <f t="shared" si="121"/>
        <v>78989</v>
      </c>
      <c r="B2619" t="str">
        <f ca="1">TEXT(DATE(YEAR(Invoer!$A$5),1,1)+INT((ROWS(B$2:B2619)-1)/24),"""18""jjmmdd")</f>
        <v>18980420</v>
      </c>
      <c r="C2619" s="11" t="str">
        <f>INDEX(Data,2,2+MOD(ROWS(C$2:C2619)-1,24))</f>
        <v>02.00</v>
      </c>
      <c r="D2619" s="8" t="str">
        <f t="shared" ca="1" si="122"/>
        <v>—</v>
      </c>
      <c r="E2619" s="16">
        <f t="shared" ca="1" si="123"/>
        <v>7</v>
      </c>
    </row>
    <row r="2620" spans="1:5" x14ac:dyDescent="0.25">
      <c r="A2620" s="3">
        <f t="shared" si="121"/>
        <v>78989</v>
      </c>
      <c r="B2620" t="str">
        <f ca="1">TEXT(DATE(YEAR(Invoer!$A$5),1,1)+INT((ROWS(B$2:B2620)-1)/24),"""18""jjmmdd")</f>
        <v>18980420</v>
      </c>
      <c r="C2620" s="11" t="str">
        <f>INDEX(Data,2,2+MOD(ROWS(C$2:C2620)-1,24))</f>
        <v>03.00</v>
      </c>
      <c r="D2620" s="8" t="str">
        <f t="shared" ca="1" si="122"/>
        <v>—</v>
      </c>
      <c r="E2620" s="16">
        <f t="shared" ca="1" si="123"/>
        <v>7</v>
      </c>
    </row>
    <row r="2621" spans="1:5" x14ac:dyDescent="0.25">
      <c r="A2621" s="3">
        <f t="shared" si="121"/>
        <v>78989</v>
      </c>
      <c r="B2621" t="str">
        <f ca="1">TEXT(DATE(YEAR(Invoer!$A$5),1,1)+INT((ROWS(B$2:B2621)-1)/24),"""18""jjmmdd")</f>
        <v>18980420</v>
      </c>
      <c r="C2621" s="11" t="str">
        <f>INDEX(Data,2,2+MOD(ROWS(C$2:C2621)-1,24))</f>
        <v>04.00</v>
      </c>
      <c r="D2621" s="8" t="str">
        <f t="shared" ca="1" si="122"/>
        <v>—</v>
      </c>
      <c r="E2621" s="16">
        <f t="shared" ca="1" si="123"/>
        <v>7</v>
      </c>
    </row>
    <row r="2622" spans="1:5" x14ac:dyDescent="0.25">
      <c r="A2622" s="3">
        <f t="shared" si="121"/>
        <v>78989</v>
      </c>
      <c r="B2622" t="str">
        <f ca="1">TEXT(DATE(YEAR(Invoer!$A$5),1,1)+INT((ROWS(B$2:B2622)-1)/24),"""18""jjmmdd")</f>
        <v>18980420</v>
      </c>
      <c r="C2622" s="11" t="str">
        <f>INDEX(Data,2,2+MOD(ROWS(C$2:C2622)-1,24))</f>
        <v>05.00</v>
      </c>
      <c r="D2622" s="8" t="str">
        <f t="shared" ca="1" si="122"/>
        <v>—</v>
      </c>
      <c r="E2622" s="16">
        <f t="shared" ca="1" si="123"/>
        <v>7</v>
      </c>
    </row>
    <row r="2623" spans="1:5" x14ac:dyDescent="0.25">
      <c r="A2623" s="3">
        <f t="shared" si="121"/>
        <v>78989</v>
      </c>
      <c r="B2623" t="str">
        <f ca="1">TEXT(DATE(YEAR(Invoer!$A$5),1,1)+INT((ROWS(B$2:B2623)-1)/24),"""18""jjmmdd")</f>
        <v>18980420</v>
      </c>
      <c r="C2623" s="11" t="str">
        <f>INDEX(Data,2,2+MOD(ROWS(C$2:C2623)-1,24))</f>
        <v>06.00</v>
      </c>
      <c r="D2623" s="8" t="str">
        <f t="shared" ca="1" si="122"/>
        <v>—</v>
      </c>
      <c r="E2623" s="16">
        <f t="shared" ca="1" si="123"/>
        <v>7</v>
      </c>
    </row>
    <row r="2624" spans="1:5" x14ac:dyDescent="0.25">
      <c r="A2624" s="3">
        <f t="shared" si="121"/>
        <v>78989</v>
      </c>
      <c r="B2624" t="str">
        <f ca="1">TEXT(DATE(YEAR(Invoer!$A$5),1,1)+INT((ROWS(B$2:B2624)-1)/24),"""18""jjmmdd")</f>
        <v>18980420</v>
      </c>
      <c r="C2624" s="11" t="str">
        <f>INDEX(Data,2,2+MOD(ROWS(C$2:C2624)-1,24))</f>
        <v>07.00</v>
      </c>
      <c r="D2624" s="8" t="str">
        <f t="shared" ca="1" si="122"/>
        <v>—</v>
      </c>
      <c r="E2624" s="16">
        <f t="shared" ca="1" si="123"/>
        <v>7</v>
      </c>
    </row>
    <row r="2625" spans="1:5" x14ac:dyDescent="0.25">
      <c r="A2625" s="3">
        <f t="shared" si="121"/>
        <v>78989</v>
      </c>
      <c r="B2625" t="str">
        <f ca="1">TEXT(DATE(YEAR(Invoer!$A$5),1,1)+INT((ROWS(B$2:B2625)-1)/24),"""18""jjmmdd")</f>
        <v>18980420</v>
      </c>
      <c r="C2625" s="11" t="str">
        <f>INDEX(Data,2,2+MOD(ROWS(C$2:C2625)-1,24))</f>
        <v>08.00</v>
      </c>
      <c r="D2625" s="8" t="str">
        <f t="shared" ca="1" si="122"/>
        <v>—</v>
      </c>
      <c r="E2625" s="16">
        <f t="shared" ca="1" si="123"/>
        <v>7</v>
      </c>
    </row>
    <row r="2626" spans="1:5" x14ac:dyDescent="0.25">
      <c r="A2626" s="3">
        <f t="shared" ref="A2626:A2689" si="124">INDEX(Stations,2,1)</f>
        <v>78989</v>
      </c>
      <c r="B2626" t="str">
        <f ca="1">TEXT(DATE(YEAR(Invoer!$A$5),1,1)+INT((ROWS(B$2:B2626)-1)/24),"""18""jjmmdd")</f>
        <v>18980420</v>
      </c>
      <c r="C2626" s="11" t="str">
        <f>INDEX(Data,2,2+MOD(ROWS(C$2:C2626)-1,24))</f>
        <v>09.00</v>
      </c>
      <c r="D2626" s="8" t="str">
        <f t="shared" ref="D2626:D2689" ca="1" si="125">IF(OR(ISBLANK(VLOOKUP(DATEVALUE("37"&amp;MID($B2626,3,2)&amp;"-"&amp;MID($B2626,5,2)&amp;"-"&amp;RIGHT($B2626,2)),Data,MATCH(LEFT(VLOOKUP(D$1,Parameters,2,FALSE()),4)&amp;"*",OFFSET(Data,0,0,1),0)+MATCH($C2626,OFFSET(Data,1,0,1),0)-2,FALSE())),ISTEXT(VLOOKUP(DATEVALUE("37"&amp;MID($B2626,3,2)&amp;"-"&amp;MID($B2626,5,2)&amp;"-"&amp;RIGHT($B2626,2)),Data,MATCH(LEFT(VLOOKUP(D$1,Parameters,2,FALSE()),4)&amp;"*",OFFSET(Data,0,0,1),0)+MATCH($C2626,OFFSET(Data,1,0,1),0)-2,FALSE()))),"—",VLOOKUP(DATEVALUE("37"&amp;MID($B2626,3,2)&amp;"-"&amp;MID($B2626,5,2)&amp;"-"&amp;RIGHT($B2626,2)),Data,MATCH(LEFT(VLOOKUP(D$1,Parameters,2,FALSE()),4)&amp;"*",OFFSET(Data,0,0,1),0)+MATCH($C2626,OFFSET(Data,1,0,1),0)-2,FALSE()))</f>
        <v>—</v>
      </c>
      <c r="E2626" s="16">
        <f t="shared" ca="1" si="123"/>
        <v>7</v>
      </c>
    </row>
    <row r="2627" spans="1:5" x14ac:dyDescent="0.25">
      <c r="A2627" s="3">
        <f t="shared" si="124"/>
        <v>78989</v>
      </c>
      <c r="B2627" t="str">
        <f ca="1">TEXT(DATE(YEAR(Invoer!$A$5),1,1)+INT((ROWS(B$2:B2627)-1)/24),"""18""jjmmdd")</f>
        <v>18980420</v>
      </c>
      <c r="C2627" s="11" t="str">
        <f>INDEX(Data,2,2+MOD(ROWS(C$2:C2627)-1,24))</f>
        <v>10.00</v>
      </c>
      <c r="D2627" s="8" t="str">
        <f t="shared" ca="1" si="125"/>
        <v>—</v>
      </c>
      <c r="E2627" s="16">
        <f t="shared" ref="E2627:E2690" ca="1" si="126">IF(OR(ISBLANK(VLOOKUP(DATEVALUE("37"&amp;MID($B2627,3,2)&amp;"-"&amp;MID($B2627,5,2)&amp;"-"&amp;RIGHT($B2627,2)),Data,MATCH(LEFT(VLOOKUP(D$1,Parameters,2,FALSE()),4)&amp;"*",OFFSET(Data,0,0,1),0)+MATCH($C2627,OFFSET(Data,1,0,1),0)-2,FALSE())),ISTEXT(VLOOKUP(DATEVALUE("37"&amp;MID($B2627,3,2)&amp;"-"&amp;MID($B2627,5,2)&amp;"-"&amp;RIGHT($B2627,2)),Data,MATCH(LEFT(VLOOKUP(D$1,Parameters,2,FALSE()),4)&amp;"*",OFFSET(Data,0,0,1),0)+MATCH($C2627,OFFSET(Data,1,0,1),0)-2,FALSE()))),Lacking,IF(ISNA(MATCH(DATEVALUE("37"&amp;MID($B2627,3,2)&amp;"-"&amp;MID($B2627,5,2)&amp;"-"&amp;RIGHT($B2627,2)),OFFSET(Catalogus,0,0,,1),0)),Ok,VLOOKUP(DATEVALUE("37"&amp;MID($B2627,3,2)&amp;"-"&amp;MID($B2627,5,2)&amp;"-"&amp;RIGHT($B2627,2)),Catalogus,MATCH(LEFT(VLOOKUP(MID(E$1,2,LEN(E$1)-1),Parameters,2,FALSE()),4)&amp;"*",OFFSET(Catalogus,0,0,1),0)+MATCH($C2627,OFFSET(Catalogus,1,0,1),0)-2,FALSE())))</f>
        <v>7</v>
      </c>
    </row>
    <row r="2628" spans="1:5" x14ac:dyDescent="0.25">
      <c r="A2628" s="3">
        <f t="shared" si="124"/>
        <v>78989</v>
      </c>
      <c r="B2628" t="str">
        <f ca="1">TEXT(DATE(YEAR(Invoer!$A$5),1,1)+INT((ROWS(B$2:B2628)-1)/24),"""18""jjmmdd")</f>
        <v>18980420</v>
      </c>
      <c r="C2628" s="11" t="str">
        <f>INDEX(Data,2,2+MOD(ROWS(C$2:C2628)-1,24))</f>
        <v>11.00</v>
      </c>
      <c r="D2628" s="8" t="str">
        <f t="shared" ca="1" si="125"/>
        <v>—</v>
      </c>
      <c r="E2628" s="16">
        <f t="shared" ca="1" si="126"/>
        <v>7</v>
      </c>
    </row>
    <row r="2629" spans="1:5" x14ac:dyDescent="0.25">
      <c r="A2629" s="3">
        <f t="shared" si="124"/>
        <v>78989</v>
      </c>
      <c r="B2629" t="str">
        <f ca="1">TEXT(DATE(YEAR(Invoer!$A$5),1,1)+INT((ROWS(B$2:B2629)-1)/24),"""18""jjmmdd")</f>
        <v>18980420</v>
      </c>
      <c r="C2629" s="11" t="str">
        <f>INDEX(Data,2,2+MOD(ROWS(C$2:C2629)-1,24))</f>
        <v>12.00</v>
      </c>
      <c r="D2629" s="8" t="str">
        <f t="shared" ca="1" si="125"/>
        <v>—</v>
      </c>
      <c r="E2629" s="16">
        <f t="shared" ca="1" si="126"/>
        <v>7</v>
      </c>
    </row>
    <row r="2630" spans="1:5" x14ac:dyDescent="0.25">
      <c r="A2630" s="3">
        <f t="shared" si="124"/>
        <v>78989</v>
      </c>
      <c r="B2630" t="str">
        <f ca="1">TEXT(DATE(YEAR(Invoer!$A$5),1,1)+INT((ROWS(B$2:B2630)-1)/24),"""18""jjmmdd")</f>
        <v>18980420</v>
      </c>
      <c r="C2630" s="11" t="str">
        <f>INDEX(Data,2,2+MOD(ROWS(C$2:C2630)-1,24))</f>
        <v>13.00</v>
      </c>
      <c r="D2630" s="8" t="str">
        <f t="shared" ca="1" si="125"/>
        <v>—</v>
      </c>
      <c r="E2630" s="16">
        <f t="shared" ca="1" si="126"/>
        <v>7</v>
      </c>
    </row>
    <row r="2631" spans="1:5" x14ac:dyDescent="0.25">
      <c r="A2631" s="3">
        <f t="shared" si="124"/>
        <v>78989</v>
      </c>
      <c r="B2631" t="str">
        <f ca="1">TEXT(DATE(YEAR(Invoer!$A$5),1,1)+INT((ROWS(B$2:B2631)-1)/24),"""18""jjmmdd")</f>
        <v>18980420</v>
      </c>
      <c r="C2631" s="11" t="str">
        <f>INDEX(Data,2,2+MOD(ROWS(C$2:C2631)-1,24))</f>
        <v>14.00</v>
      </c>
      <c r="D2631" s="8" t="str">
        <f t="shared" ca="1" si="125"/>
        <v>—</v>
      </c>
      <c r="E2631" s="16">
        <f t="shared" ca="1" si="126"/>
        <v>7</v>
      </c>
    </row>
    <row r="2632" spans="1:5" x14ac:dyDescent="0.25">
      <c r="A2632" s="3">
        <f t="shared" si="124"/>
        <v>78989</v>
      </c>
      <c r="B2632" t="str">
        <f ca="1">TEXT(DATE(YEAR(Invoer!$A$5),1,1)+INT((ROWS(B$2:B2632)-1)/24),"""18""jjmmdd")</f>
        <v>18980420</v>
      </c>
      <c r="C2632" s="11" t="str">
        <f>INDEX(Data,2,2+MOD(ROWS(C$2:C2632)-1,24))</f>
        <v>15.00</v>
      </c>
      <c r="D2632" s="8" t="str">
        <f t="shared" ca="1" si="125"/>
        <v>—</v>
      </c>
      <c r="E2632" s="16">
        <f t="shared" ca="1" si="126"/>
        <v>7</v>
      </c>
    </row>
    <row r="2633" spans="1:5" x14ac:dyDescent="0.25">
      <c r="A2633" s="3">
        <f t="shared" si="124"/>
        <v>78989</v>
      </c>
      <c r="B2633" t="str">
        <f ca="1">TEXT(DATE(YEAR(Invoer!$A$5),1,1)+INT((ROWS(B$2:B2633)-1)/24),"""18""jjmmdd")</f>
        <v>18980420</v>
      </c>
      <c r="C2633" s="11" t="str">
        <f>INDEX(Data,2,2+MOD(ROWS(C$2:C2633)-1,24))</f>
        <v>16.00</v>
      </c>
      <c r="D2633" s="8" t="str">
        <f t="shared" ca="1" si="125"/>
        <v>—</v>
      </c>
      <c r="E2633" s="16">
        <f t="shared" ca="1" si="126"/>
        <v>7</v>
      </c>
    </row>
    <row r="2634" spans="1:5" x14ac:dyDescent="0.25">
      <c r="A2634" s="3">
        <f t="shared" si="124"/>
        <v>78989</v>
      </c>
      <c r="B2634" t="str">
        <f ca="1">TEXT(DATE(YEAR(Invoer!$A$5),1,1)+INT((ROWS(B$2:B2634)-1)/24),"""18""jjmmdd")</f>
        <v>18980420</v>
      </c>
      <c r="C2634" s="11" t="str">
        <f>INDEX(Data,2,2+MOD(ROWS(C$2:C2634)-1,24))</f>
        <v>17.00</v>
      </c>
      <c r="D2634" s="8" t="str">
        <f t="shared" ca="1" si="125"/>
        <v>—</v>
      </c>
      <c r="E2634" s="16">
        <f t="shared" ca="1" si="126"/>
        <v>7</v>
      </c>
    </row>
    <row r="2635" spans="1:5" x14ac:dyDescent="0.25">
      <c r="A2635" s="3">
        <f t="shared" si="124"/>
        <v>78989</v>
      </c>
      <c r="B2635" t="str">
        <f ca="1">TEXT(DATE(YEAR(Invoer!$A$5),1,1)+INT((ROWS(B$2:B2635)-1)/24),"""18""jjmmdd")</f>
        <v>18980420</v>
      </c>
      <c r="C2635" s="11" t="str">
        <f>INDEX(Data,2,2+MOD(ROWS(C$2:C2635)-1,24))</f>
        <v>18.00</v>
      </c>
      <c r="D2635" s="8" t="str">
        <f t="shared" ca="1" si="125"/>
        <v>—</v>
      </c>
      <c r="E2635" s="16">
        <f t="shared" ca="1" si="126"/>
        <v>7</v>
      </c>
    </row>
    <row r="2636" spans="1:5" x14ac:dyDescent="0.25">
      <c r="A2636" s="3">
        <f t="shared" si="124"/>
        <v>78989</v>
      </c>
      <c r="B2636" t="str">
        <f ca="1">TEXT(DATE(YEAR(Invoer!$A$5),1,1)+INT((ROWS(B$2:B2636)-1)/24),"""18""jjmmdd")</f>
        <v>18980420</v>
      </c>
      <c r="C2636" s="11" t="str">
        <f>INDEX(Data,2,2+MOD(ROWS(C$2:C2636)-1,24))</f>
        <v>19.00</v>
      </c>
      <c r="D2636" s="8" t="str">
        <f t="shared" ca="1" si="125"/>
        <v>—</v>
      </c>
      <c r="E2636" s="16">
        <f t="shared" ca="1" si="126"/>
        <v>7</v>
      </c>
    </row>
    <row r="2637" spans="1:5" x14ac:dyDescent="0.25">
      <c r="A2637" s="3">
        <f t="shared" si="124"/>
        <v>78989</v>
      </c>
      <c r="B2637" t="str">
        <f ca="1">TEXT(DATE(YEAR(Invoer!$A$5),1,1)+INT((ROWS(B$2:B2637)-1)/24),"""18""jjmmdd")</f>
        <v>18980420</v>
      </c>
      <c r="C2637" s="11" t="str">
        <f>INDEX(Data,2,2+MOD(ROWS(C$2:C2637)-1,24))</f>
        <v>20.00</v>
      </c>
      <c r="D2637" s="8" t="str">
        <f t="shared" ca="1" si="125"/>
        <v>—</v>
      </c>
      <c r="E2637" s="16">
        <f t="shared" ca="1" si="126"/>
        <v>7</v>
      </c>
    </row>
    <row r="2638" spans="1:5" x14ac:dyDescent="0.25">
      <c r="A2638" s="3">
        <f t="shared" si="124"/>
        <v>78989</v>
      </c>
      <c r="B2638" t="str">
        <f ca="1">TEXT(DATE(YEAR(Invoer!$A$5),1,1)+INT((ROWS(B$2:B2638)-1)/24),"""18""jjmmdd")</f>
        <v>18980420</v>
      </c>
      <c r="C2638" s="11" t="str">
        <f>INDEX(Data,2,2+MOD(ROWS(C$2:C2638)-1,24))</f>
        <v>21.00</v>
      </c>
      <c r="D2638" s="8" t="str">
        <f t="shared" ca="1" si="125"/>
        <v>—</v>
      </c>
      <c r="E2638" s="16">
        <f t="shared" ca="1" si="126"/>
        <v>7</v>
      </c>
    </row>
    <row r="2639" spans="1:5" x14ac:dyDescent="0.25">
      <c r="A2639" s="3">
        <f t="shared" si="124"/>
        <v>78989</v>
      </c>
      <c r="B2639" t="str">
        <f ca="1">TEXT(DATE(YEAR(Invoer!$A$5),1,1)+INT((ROWS(B$2:B2639)-1)/24),"""18""jjmmdd")</f>
        <v>18980420</v>
      </c>
      <c r="C2639" s="11" t="str">
        <f>INDEX(Data,2,2+MOD(ROWS(C$2:C2639)-1,24))</f>
        <v>22.00</v>
      </c>
      <c r="D2639" s="8" t="str">
        <f t="shared" ca="1" si="125"/>
        <v>—</v>
      </c>
      <c r="E2639" s="16">
        <f t="shared" ca="1" si="126"/>
        <v>7</v>
      </c>
    </row>
    <row r="2640" spans="1:5" x14ac:dyDescent="0.25">
      <c r="A2640" s="3">
        <f t="shared" si="124"/>
        <v>78989</v>
      </c>
      <c r="B2640" t="str">
        <f ca="1">TEXT(DATE(YEAR(Invoer!$A$5),1,1)+INT((ROWS(B$2:B2640)-1)/24),"""18""jjmmdd")</f>
        <v>18980420</v>
      </c>
      <c r="C2640" s="11" t="str">
        <f>INDEX(Data,2,2+MOD(ROWS(C$2:C2640)-1,24))</f>
        <v>23.00</v>
      </c>
      <c r="D2640" s="8" t="str">
        <f t="shared" ca="1" si="125"/>
        <v>—</v>
      </c>
      <c r="E2640" s="16">
        <f t="shared" ca="1" si="126"/>
        <v>7</v>
      </c>
    </row>
    <row r="2641" spans="1:5" x14ac:dyDescent="0.25">
      <c r="A2641" s="3">
        <f t="shared" si="124"/>
        <v>78989</v>
      </c>
      <c r="B2641" t="str">
        <f ca="1">TEXT(DATE(YEAR(Invoer!$A$5),1,1)+INT((ROWS(B$2:B2641)-1)/24),"""18""jjmmdd")</f>
        <v>18980420</v>
      </c>
      <c r="C2641" s="11" t="str">
        <f>INDEX(Data,2,2+MOD(ROWS(C$2:C2641)-1,24))</f>
        <v>24.00</v>
      </c>
      <c r="D2641" s="8" t="str">
        <f t="shared" ca="1" si="125"/>
        <v>—</v>
      </c>
      <c r="E2641" s="16">
        <f t="shared" ca="1" si="126"/>
        <v>7</v>
      </c>
    </row>
    <row r="2642" spans="1:5" x14ac:dyDescent="0.25">
      <c r="A2642" s="3">
        <f t="shared" si="124"/>
        <v>78989</v>
      </c>
      <c r="B2642" t="str">
        <f ca="1">TEXT(DATE(YEAR(Invoer!$A$5),1,1)+INT((ROWS(B$2:B2642)-1)/24),"""18""jjmmdd")</f>
        <v>18980421</v>
      </c>
      <c r="C2642" s="11" t="str">
        <f>INDEX(Data,2,2+MOD(ROWS(C$2:C2642)-1,24))</f>
        <v>01.00</v>
      </c>
      <c r="D2642" s="8" t="str">
        <f t="shared" ca="1" si="125"/>
        <v>—</v>
      </c>
      <c r="E2642" s="16">
        <f t="shared" ca="1" si="126"/>
        <v>7</v>
      </c>
    </row>
    <row r="2643" spans="1:5" x14ac:dyDescent="0.25">
      <c r="A2643" s="3">
        <f t="shared" si="124"/>
        <v>78989</v>
      </c>
      <c r="B2643" t="str">
        <f ca="1">TEXT(DATE(YEAR(Invoer!$A$5),1,1)+INT((ROWS(B$2:B2643)-1)/24),"""18""jjmmdd")</f>
        <v>18980421</v>
      </c>
      <c r="C2643" s="11" t="str">
        <f>INDEX(Data,2,2+MOD(ROWS(C$2:C2643)-1,24))</f>
        <v>02.00</v>
      </c>
      <c r="D2643" s="8" t="str">
        <f t="shared" ca="1" si="125"/>
        <v>—</v>
      </c>
      <c r="E2643" s="16">
        <f t="shared" ca="1" si="126"/>
        <v>7</v>
      </c>
    </row>
    <row r="2644" spans="1:5" x14ac:dyDescent="0.25">
      <c r="A2644" s="3">
        <f t="shared" si="124"/>
        <v>78989</v>
      </c>
      <c r="B2644" t="str">
        <f ca="1">TEXT(DATE(YEAR(Invoer!$A$5),1,1)+INT((ROWS(B$2:B2644)-1)/24),"""18""jjmmdd")</f>
        <v>18980421</v>
      </c>
      <c r="C2644" s="11" t="str">
        <f>INDEX(Data,2,2+MOD(ROWS(C$2:C2644)-1,24))</f>
        <v>03.00</v>
      </c>
      <c r="D2644" s="8" t="str">
        <f t="shared" ca="1" si="125"/>
        <v>—</v>
      </c>
      <c r="E2644" s="16">
        <f t="shared" ca="1" si="126"/>
        <v>7</v>
      </c>
    </row>
    <row r="2645" spans="1:5" x14ac:dyDescent="0.25">
      <c r="A2645" s="3">
        <f t="shared" si="124"/>
        <v>78989</v>
      </c>
      <c r="B2645" t="str">
        <f ca="1">TEXT(DATE(YEAR(Invoer!$A$5),1,1)+INT((ROWS(B$2:B2645)-1)/24),"""18""jjmmdd")</f>
        <v>18980421</v>
      </c>
      <c r="C2645" s="11" t="str">
        <f>INDEX(Data,2,2+MOD(ROWS(C$2:C2645)-1,24))</f>
        <v>04.00</v>
      </c>
      <c r="D2645" s="8" t="str">
        <f t="shared" ca="1" si="125"/>
        <v>—</v>
      </c>
      <c r="E2645" s="16">
        <f t="shared" ca="1" si="126"/>
        <v>7</v>
      </c>
    </row>
    <row r="2646" spans="1:5" x14ac:dyDescent="0.25">
      <c r="A2646" s="3">
        <f t="shared" si="124"/>
        <v>78989</v>
      </c>
      <c r="B2646" t="str">
        <f ca="1">TEXT(DATE(YEAR(Invoer!$A$5),1,1)+INT((ROWS(B$2:B2646)-1)/24),"""18""jjmmdd")</f>
        <v>18980421</v>
      </c>
      <c r="C2646" s="11" t="str">
        <f>INDEX(Data,2,2+MOD(ROWS(C$2:C2646)-1,24))</f>
        <v>05.00</v>
      </c>
      <c r="D2646" s="8" t="str">
        <f t="shared" ca="1" si="125"/>
        <v>—</v>
      </c>
      <c r="E2646" s="16">
        <f t="shared" ca="1" si="126"/>
        <v>7</v>
      </c>
    </row>
    <row r="2647" spans="1:5" x14ac:dyDescent="0.25">
      <c r="A2647" s="3">
        <f t="shared" si="124"/>
        <v>78989</v>
      </c>
      <c r="B2647" t="str">
        <f ca="1">TEXT(DATE(YEAR(Invoer!$A$5),1,1)+INT((ROWS(B$2:B2647)-1)/24),"""18""jjmmdd")</f>
        <v>18980421</v>
      </c>
      <c r="C2647" s="11" t="str">
        <f>INDEX(Data,2,2+MOD(ROWS(C$2:C2647)-1,24))</f>
        <v>06.00</v>
      </c>
      <c r="D2647" s="8" t="str">
        <f t="shared" ca="1" si="125"/>
        <v>—</v>
      </c>
      <c r="E2647" s="16">
        <f t="shared" ca="1" si="126"/>
        <v>7</v>
      </c>
    </row>
    <row r="2648" spans="1:5" x14ac:dyDescent="0.25">
      <c r="A2648" s="3">
        <f t="shared" si="124"/>
        <v>78989</v>
      </c>
      <c r="B2648" t="str">
        <f ca="1">TEXT(DATE(YEAR(Invoer!$A$5),1,1)+INT((ROWS(B$2:B2648)-1)/24),"""18""jjmmdd")</f>
        <v>18980421</v>
      </c>
      <c r="C2648" s="11" t="str">
        <f>INDEX(Data,2,2+MOD(ROWS(C$2:C2648)-1,24))</f>
        <v>07.00</v>
      </c>
      <c r="D2648" s="8" t="str">
        <f t="shared" ca="1" si="125"/>
        <v>—</v>
      </c>
      <c r="E2648" s="16">
        <f t="shared" ca="1" si="126"/>
        <v>7</v>
      </c>
    </row>
    <row r="2649" spans="1:5" x14ac:dyDescent="0.25">
      <c r="A2649" s="3">
        <f t="shared" si="124"/>
        <v>78989</v>
      </c>
      <c r="B2649" t="str">
        <f ca="1">TEXT(DATE(YEAR(Invoer!$A$5),1,1)+INT((ROWS(B$2:B2649)-1)/24),"""18""jjmmdd")</f>
        <v>18980421</v>
      </c>
      <c r="C2649" s="11" t="str">
        <f>INDEX(Data,2,2+MOD(ROWS(C$2:C2649)-1,24))</f>
        <v>08.00</v>
      </c>
      <c r="D2649" s="8" t="str">
        <f t="shared" ca="1" si="125"/>
        <v>—</v>
      </c>
      <c r="E2649" s="16">
        <f t="shared" ca="1" si="126"/>
        <v>7</v>
      </c>
    </row>
    <row r="2650" spans="1:5" x14ac:dyDescent="0.25">
      <c r="A2650" s="3">
        <f t="shared" si="124"/>
        <v>78989</v>
      </c>
      <c r="B2650" t="str">
        <f ca="1">TEXT(DATE(YEAR(Invoer!$A$5),1,1)+INT((ROWS(B$2:B2650)-1)/24),"""18""jjmmdd")</f>
        <v>18980421</v>
      </c>
      <c r="C2650" s="11" t="str">
        <f>INDEX(Data,2,2+MOD(ROWS(C$2:C2650)-1,24))</f>
        <v>09.00</v>
      </c>
      <c r="D2650" s="8" t="str">
        <f t="shared" ca="1" si="125"/>
        <v>—</v>
      </c>
      <c r="E2650" s="16">
        <f t="shared" ca="1" si="126"/>
        <v>7</v>
      </c>
    </row>
    <row r="2651" spans="1:5" x14ac:dyDescent="0.25">
      <c r="A2651" s="3">
        <f t="shared" si="124"/>
        <v>78989</v>
      </c>
      <c r="B2651" t="str">
        <f ca="1">TEXT(DATE(YEAR(Invoer!$A$5),1,1)+INT((ROWS(B$2:B2651)-1)/24),"""18""jjmmdd")</f>
        <v>18980421</v>
      </c>
      <c r="C2651" s="11" t="str">
        <f>INDEX(Data,2,2+MOD(ROWS(C$2:C2651)-1,24))</f>
        <v>10.00</v>
      </c>
      <c r="D2651" s="8" t="str">
        <f t="shared" ca="1" si="125"/>
        <v>—</v>
      </c>
      <c r="E2651" s="16">
        <f t="shared" ca="1" si="126"/>
        <v>7</v>
      </c>
    </row>
    <row r="2652" spans="1:5" x14ac:dyDescent="0.25">
      <c r="A2652" s="3">
        <f t="shared" si="124"/>
        <v>78989</v>
      </c>
      <c r="B2652" t="str">
        <f ca="1">TEXT(DATE(YEAR(Invoer!$A$5),1,1)+INT((ROWS(B$2:B2652)-1)/24),"""18""jjmmdd")</f>
        <v>18980421</v>
      </c>
      <c r="C2652" s="11" t="str">
        <f>INDEX(Data,2,2+MOD(ROWS(C$2:C2652)-1,24))</f>
        <v>11.00</v>
      </c>
      <c r="D2652" s="8" t="str">
        <f t="shared" ca="1" si="125"/>
        <v>—</v>
      </c>
      <c r="E2652" s="16">
        <f t="shared" ca="1" si="126"/>
        <v>7</v>
      </c>
    </row>
    <row r="2653" spans="1:5" x14ac:dyDescent="0.25">
      <c r="A2653" s="3">
        <f t="shared" si="124"/>
        <v>78989</v>
      </c>
      <c r="B2653" t="str">
        <f ca="1">TEXT(DATE(YEAR(Invoer!$A$5),1,1)+INT((ROWS(B$2:B2653)-1)/24),"""18""jjmmdd")</f>
        <v>18980421</v>
      </c>
      <c r="C2653" s="11" t="str">
        <f>INDEX(Data,2,2+MOD(ROWS(C$2:C2653)-1,24))</f>
        <v>12.00</v>
      </c>
      <c r="D2653" s="8" t="str">
        <f t="shared" ca="1" si="125"/>
        <v>—</v>
      </c>
      <c r="E2653" s="16">
        <f t="shared" ca="1" si="126"/>
        <v>7</v>
      </c>
    </row>
    <row r="2654" spans="1:5" x14ac:dyDescent="0.25">
      <c r="A2654" s="3">
        <f t="shared" si="124"/>
        <v>78989</v>
      </c>
      <c r="B2654" t="str">
        <f ca="1">TEXT(DATE(YEAR(Invoer!$A$5),1,1)+INT((ROWS(B$2:B2654)-1)/24),"""18""jjmmdd")</f>
        <v>18980421</v>
      </c>
      <c r="C2654" s="11" t="str">
        <f>INDEX(Data,2,2+MOD(ROWS(C$2:C2654)-1,24))</f>
        <v>13.00</v>
      </c>
      <c r="D2654" s="8" t="str">
        <f t="shared" ca="1" si="125"/>
        <v>—</v>
      </c>
      <c r="E2654" s="16">
        <f t="shared" ca="1" si="126"/>
        <v>7</v>
      </c>
    </row>
    <row r="2655" spans="1:5" x14ac:dyDescent="0.25">
      <c r="A2655" s="3">
        <f t="shared" si="124"/>
        <v>78989</v>
      </c>
      <c r="B2655" t="str">
        <f ca="1">TEXT(DATE(YEAR(Invoer!$A$5),1,1)+INT((ROWS(B$2:B2655)-1)/24),"""18""jjmmdd")</f>
        <v>18980421</v>
      </c>
      <c r="C2655" s="11" t="str">
        <f>INDEX(Data,2,2+MOD(ROWS(C$2:C2655)-1,24))</f>
        <v>14.00</v>
      </c>
      <c r="D2655" s="8" t="str">
        <f t="shared" ca="1" si="125"/>
        <v>—</v>
      </c>
      <c r="E2655" s="16">
        <f t="shared" ca="1" si="126"/>
        <v>7</v>
      </c>
    </row>
    <row r="2656" spans="1:5" x14ac:dyDescent="0.25">
      <c r="A2656" s="3">
        <f t="shared" si="124"/>
        <v>78989</v>
      </c>
      <c r="B2656" t="str">
        <f ca="1">TEXT(DATE(YEAR(Invoer!$A$5),1,1)+INT((ROWS(B$2:B2656)-1)/24),"""18""jjmmdd")</f>
        <v>18980421</v>
      </c>
      <c r="C2656" s="11" t="str">
        <f>INDEX(Data,2,2+MOD(ROWS(C$2:C2656)-1,24))</f>
        <v>15.00</v>
      </c>
      <c r="D2656" s="8" t="str">
        <f t="shared" ca="1" si="125"/>
        <v>—</v>
      </c>
      <c r="E2656" s="16">
        <f t="shared" ca="1" si="126"/>
        <v>7</v>
      </c>
    </row>
    <row r="2657" spans="1:5" x14ac:dyDescent="0.25">
      <c r="A2657" s="3">
        <f t="shared" si="124"/>
        <v>78989</v>
      </c>
      <c r="B2657" t="str">
        <f ca="1">TEXT(DATE(YEAR(Invoer!$A$5),1,1)+INT((ROWS(B$2:B2657)-1)/24),"""18""jjmmdd")</f>
        <v>18980421</v>
      </c>
      <c r="C2657" s="11" t="str">
        <f>INDEX(Data,2,2+MOD(ROWS(C$2:C2657)-1,24))</f>
        <v>16.00</v>
      </c>
      <c r="D2657" s="8" t="str">
        <f t="shared" ca="1" si="125"/>
        <v>—</v>
      </c>
      <c r="E2657" s="16">
        <f t="shared" ca="1" si="126"/>
        <v>7</v>
      </c>
    </row>
    <row r="2658" spans="1:5" x14ac:dyDescent="0.25">
      <c r="A2658" s="3">
        <f t="shared" si="124"/>
        <v>78989</v>
      </c>
      <c r="B2658" t="str">
        <f ca="1">TEXT(DATE(YEAR(Invoer!$A$5),1,1)+INT((ROWS(B$2:B2658)-1)/24),"""18""jjmmdd")</f>
        <v>18980421</v>
      </c>
      <c r="C2658" s="11" t="str">
        <f>INDEX(Data,2,2+MOD(ROWS(C$2:C2658)-1,24))</f>
        <v>17.00</v>
      </c>
      <c r="D2658" s="8" t="str">
        <f t="shared" ca="1" si="125"/>
        <v>—</v>
      </c>
      <c r="E2658" s="16">
        <f t="shared" ca="1" si="126"/>
        <v>7</v>
      </c>
    </row>
    <row r="2659" spans="1:5" x14ac:dyDescent="0.25">
      <c r="A2659" s="3">
        <f t="shared" si="124"/>
        <v>78989</v>
      </c>
      <c r="B2659" t="str">
        <f ca="1">TEXT(DATE(YEAR(Invoer!$A$5),1,1)+INT((ROWS(B$2:B2659)-1)/24),"""18""jjmmdd")</f>
        <v>18980421</v>
      </c>
      <c r="C2659" s="11" t="str">
        <f>INDEX(Data,2,2+MOD(ROWS(C$2:C2659)-1,24))</f>
        <v>18.00</v>
      </c>
      <c r="D2659" s="8" t="str">
        <f t="shared" ca="1" si="125"/>
        <v>—</v>
      </c>
      <c r="E2659" s="16">
        <f t="shared" ca="1" si="126"/>
        <v>7</v>
      </c>
    </row>
    <row r="2660" spans="1:5" x14ac:dyDescent="0.25">
      <c r="A2660" s="3">
        <f t="shared" si="124"/>
        <v>78989</v>
      </c>
      <c r="B2660" t="str">
        <f ca="1">TEXT(DATE(YEAR(Invoer!$A$5),1,1)+INT((ROWS(B$2:B2660)-1)/24),"""18""jjmmdd")</f>
        <v>18980421</v>
      </c>
      <c r="C2660" s="11" t="str">
        <f>INDEX(Data,2,2+MOD(ROWS(C$2:C2660)-1,24))</f>
        <v>19.00</v>
      </c>
      <c r="D2660" s="8" t="str">
        <f t="shared" ca="1" si="125"/>
        <v>—</v>
      </c>
      <c r="E2660" s="16">
        <f t="shared" ca="1" si="126"/>
        <v>7</v>
      </c>
    </row>
    <row r="2661" spans="1:5" x14ac:dyDescent="0.25">
      <c r="A2661" s="3">
        <f t="shared" si="124"/>
        <v>78989</v>
      </c>
      <c r="B2661" t="str">
        <f ca="1">TEXT(DATE(YEAR(Invoer!$A$5),1,1)+INT((ROWS(B$2:B2661)-1)/24),"""18""jjmmdd")</f>
        <v>18980421</v>
      </c>
      <c r="C2661" s="11" t="str">
        <f>INDEX(Data,2,2+MOD(ROWS(C$2:C2661)-1,24))</f>
        <v>20.00</v>
      </c>
      <c r="D2661" s="8" t="str">
        <f t="shared" ca="1" si="125"/>
        <v>—</v>
      </c>
      <c r="E2661" s="16">
        <f t="shared" ca="1" si="126"/>
        <v>7</v>
      </c>
    </row>
    <row r="2662" spans="1:5" x14ac:dyDescent="0.25">
      <c r="A2662" s="3">
        <f t="shared" si="124"/>
        <v>78989</v>
      </c>
      <c r="B2662" t="str">
        <f ca="1">TEXT(DATE(YEAR(Invoer!$A$5),1,1)+INT((ROWS(B$2:B2662)-1)/24),"""18""jjmmdd")</f>
        <v>18980421</v>
      </c>
      <c r="C2662" s="11" t="str">
        <f>INDEX(Data,2,2+MOD(ROWS(C$2:C2662)-1,24))</f>
        <v>21.00</v>
      </c>
      <c r="D2662" s="8" t="str">
        <f t="shared" ca="1" si="125"/>
        <v>—</v>
      </c>
      <c r="E2662" s="16">
        <f t="shared" ca="1" si="126"/>
        <v>7</v>
      </c>
    </row>
    <row r="2663" spans="1:5" x14ac:dyDescent="0.25">
      <c r="A2663" s="3">
        <f t="shared" si="124"/>
        <v>78989</v>
      </c>
      <c r="B2663" t="str">
        <f ca="1">TEXT(DATE(YEAR(Invoer!$A$5),1,1)+INT((ROWS(B$2:B2663)-1)/24),"""18""jjmmdd")</f>
        <v>18980421</v>
      </c>
      <c r="C2663" s="11" t="str">
        <f>INDEX(Data,2,2+MOD(ROWS(C$2:C2663)-1,24))</f>
        <v>22.00</v>
      </c>
      <c r="D2663" s="8" t="str">
        <f t="shared" ca="1" si="125"/>
        <v>—</v>
      </c>
      <c r="E2663" s="16">
        <f t="shared" ca="1" si="126"/>
        <v>7</v>
      </c>
    </row>
    <row r="2664" spans="1:5" x14ac:dyDescent="0.25">
      <c r="A2664" s="3">
        <f t="shared" si="124"/>
        <v>78989</v>
      </c>
      <c r="B2664" t="str">
        <f ca="1">TEXT(DATE(YEAR(Invoer!$A$5),1,1)+INT((ROWS(B$2:B2664)-1)/24),"""18""jjmmdd")</f>
        <v>18980421</v>
      </c>
      <c r="C2664" s="11" t="str">
        <f>INDEX(Data,2,2+MOD(ROWS(C$2:C2664)-1,24))</f>
        <v>23.00</v>
      </c>
      <c r="D2664" s="8" t="str">
        <f t="shared" ca="1" si="125"/>
        <v>—</v>
      </c>
      <c r="E2664" s="16">
        <f t="shared" ca="1" si="126"/>
        <v>7</v>
      </c>
    </row>
    <row r="2665" spans="1:5" x14ac:dyDescent="0.25">
      <c r="A2665" s="3">
        <f t="shared" si="124"/>
        <v>78989</v>
      </c>
      <c r="B2665" t="str">
        <f ca="1">TEXT(DATE(YEAR(Invoer!$A$5),1,1)+INT((ROWS(B$2:B2665)-1)/24),"""18""jjmmdd")</f>
        <v>18980421</v>
      </c>
      <c r="C2665" s="11" t="str">
        <f>INDEX(Data,2,2+MOD(ROWS(C$2:C2665)-1,24))</f>
        <v>24.00</v>
      </c>
      <c r="D2665" s="8" t="str">
        <f t="shared" ca="1" si="125"/>
        <v>—</v>
      </c>
      <c r="E2665" s="16">
        <f t="shared" ca="1" si="126"/>
        <v>7</v>
      </c>
    </row>
    <row r="2666" spans="1:5" x14ac:dyDescent="0.25">
      <c r="A2666" s="3">
        <f t="shared" si="124"/>
        <v>78989</v>
      </c>
      <c r="B2666" t="str">
        <f ca="1">TEXT(DATE(YEAR(Invoer!$A$5),1,1)+INT((ROWS(B$2:B2666)-1)/24),"""18""jjmmdd")</f>
        <v>18980422</v>
      </c>
      <c r="C2666" s="11" t="str">
        <f>INDEX(Data,2,2+MOD(ROWS(C$2:C2666)-1,24))</f>
        <v>01.00</v>
      </c>
      <c r="D2666" s="8" t="str">
        <f t="shared" ca="1" si="125"/>
        <v>—</v>
      </c>
      <c r="E2666" s="16">
        <f t="shared" ca="1" si="126"/>
        <v>7</v>
      </c>
    </row>
    <row r="2667" spans="1:5" x14ac:dyDescent="0.25">
      <c r="A2667" s="3">
        <f t="shared" si="124"/>
        <v>78989</v>
      </c>
      <c r="B2667" t="str">
        <f ca="1">TEXT(DATE(YEAR(Invoer!$A$5),1,1)+INT((ROWS(B$2:B2667)-1)/24),"""18""jjmmdd")</f>
        <v>18980422</v>
      </c>
      <c r="C2667" s="11" t="str">
        <f>INDEX(Data,2,2+MOD(ROWS(C$2:C2667)-1,24))</f>
        <v>02.00</v>
      </c>
      <c r="D2667" s="8" t="str">
        <f t="shared" ca="1" si="125"/>
        <v>—</v>
      </c>
      <c r="E2667" s="16">
        <f t="shared" ca="1" si="126"/>
        <v>7</v>
      </c>
    </row>
    <row r="2668" spans="1:5" x14ac:dyDescent="0.25">
      <c r="A2668" s="3">
        <f t="shared" si="124"/>
        <v>78989</v>
      </c>
      <c r="B2668" t="str">
        <f ca="1">TEXT(DATE(YEAR(Invoer!$A$5),1,1)+INT((ROWS(B$2:B2668)-1)/24),"""18""jjmmdd")</f>
        <v>18980422</v>
      </c>
      <c r="C2668" s="11" t="str">
        <f>INDEX(Data,2,2+MOD(ROWS(C$2:C2668)-1,24))</f>
        <v>03.00</v>
      </c>
      <c r="D2668" s="8" t="str">
        <f t="shared" ca="1" si="125"/>
        <v>—</v>
      </c>
      <c r="E2668" s="16">
        <f t="shared" ca="1" si="126"/>
        <v>7</v>
      </c>
    </row>
    <row r="2669" spans="1:5" x14ac:dyDescent="0.25">
      <c r="A2669" s="3">
        <f t="shared" si="124"/>
        <v>78989</v>
      </c>
      <c r="B2669" t="str">
        <f ca="1">TEXT(DATE(YEAR(Invoer!$A$5),1,1)+INT((ROWS(B$2:B2669)-1)/24),"""18""jjmmdd")</f>
        <v>18980422</v>
      </c>
      <c r="C2669" s="11" t="str">
        <f>INDEX(Data,2,2+MOD(ROWS(C$2:C2669)-1,24))</f>
        <v>04.00</v>
      </c>
      <c r="D2669" s="8" t="str">
        <f t="shared" ca="1" si="125"/>
        <v>—</v>
      </c>
      <c r="E2669" s="16">
        <f t="shared" ca="1" si="126"/>
        <v>7</v>
      </c>
    </row>
    <row r="2670" spans="1:5" x14ac:dyDescent="0.25">
      <c r="A2670" s="3">
        <f t="shared" si="124"/>
        <v>78989</v>
      </c>
      <c r="B2670" t="str">
        <f ca="1">TEXT(DATE(YEAR(Invoer!$A$5),1,1)+INT((ROWS(B$2:B2670)-1)/24),"""18""jjmmdd")</f>
        <v>18980422</v>
      </c>
      <c r="C2670" s="11" t="str">
        <f>INDEX(Data,2,2+MOD(ROWS(C$2:C2670)-1,24))</f>
        <v>05.00</v>
      </c>
      <c r="D2670" s="8" t="str">
        <f t="shared" ca="1" si="125"/>
        <v>—</v>
      </c>
      <c r="E2670" s="16">
        <f t="shared" ca="1" si="126"/>
        <v>7</v>
      </c>
    </row>
    <row r="2671" spans="1:5" x14ac:dyDescent="0.25">
      <c r="A2671" s="3">
        <f t="shared" si="124"/>
        <v>78989</v>
      </c>
      <c r="B2671" t="str">
        <f ca="1">TEXT(DATE(YEAR(Invoer!$A$5),1,1)+INT((ROWS(B$2:B2671)-1)/24),"""18""jjmmdd")</f>
        <v>18980422</v>
      </c>
      <c r="C2671" s="11" t="str">
        <f>INDEX(Data,2,2+MOD(ROWS(C$2:C2671)-1,24))</f>
        <v>06.00</v>
      </c>
      <c r="D2671" s="8" t="str">
        <f t="shared" ca="1" si="125"/>
        <v>—</v>
      </c>
      <c r="E2671" s="16">
        <f t="shared" ca="1" si="126"/>
        <v>7</v>
      </c>
    </row>
    <row r="2672" spans="1:5" x14ac:dyDescent="0.25">
      <c r="A2672" s="3">
        <f t="shared" si="124"/>
        <v>78989</v>
      </c>
      <c r="B2672" t="str">
        <f ca="1">TEXT(DATE(YEAR(Invoer!$A$5),1,1)+INT((ROWS(B$2:B2672)-1)/24),"""18""jjmmdd")</f>
        <v>18980422</v>
      </c>
      <c r="C2672" s="11" t="str">
        <f>INDEX(Data,2,2+MOD(ROWS(C$2:C2672)-1,24))</f>
        <v>07.00</v>
      </c>
      <c r="D2672" s="8" t="str">
        <f t="shared" ca="1" si="125"/>
        <v>—</v>
      </c>
      <c r="E2672" s="16">
        <f t="shared" ca="1" si="126"/>
        <v>7</v>
      </c>
    </row>
    <row r="2673" spans="1:5" x14ac:dyDescent="0.25">
      <c r="A2673" s="3">
        <f t="shared" si="124"/>
        <v>78989</v>
      </c>
      <c r="B2673" t="str">
        <f ca="1">TEXT(DATE(YEAR(Invoer!$A$5),1,1)+INT((ROWS(B$2:B2673)-1)/24),"""18""jjmmdd")</f>
        <v>18980422</v>
      </c>
      <c r="C2673" s="11" t="str">
        <f>INDEX(Data,2,2+MOD(ROWS(C$2:C2673)-1,24))</f>
        <v>08.00</v>
      </c>
      <c r="D2673" s="8" t="str">
        <f t="shared" ca="1" si="125"/>
        <v>—</v>
      </c>
      <c r="E2673" s="16">
        <f t="shared" ca="1" si="126"/>
        <v>7</v>
      </c>
    </row>
    <row r="2674" spans="1:5" x14ac:dyDescent="0.25">
      <c r="A2674" s="3">
        <f t="shared" si="124"/>
        <v>78989</v>
      </c>
      <c r="B2674" t="str">
        <f ca="1">TEXT(DATE(YEAR(Invoer!$A$5),1,1)+INT((ROWS(B$2:B2674)-1)/24),"""18""jjmmdd")</f>
        <v>18980422</v>
      </c>
      <c r="C2674" s="11" t="str">
        <f>INDEX(Data,2,2+MOD(ROWS(C$2:C2674)-1,24))</f>
        <v>09.00</v>
      </c>
      <c r="D2674" s="8" t="str">
        <f t="shared" ca="1" si="125"/>
        <v>—</v>
      </c>
      <c r="E2674" s="16">
        <f t="shared" ca="1" si="126"/>
        <v>7</v>
      </c>
    </row>
    <row r="2675" spans="1:5" x14ac:dyDescent="0.25">
      <c r="A2675" s="3">
        <f t="shared" si="124"/>
        <v>78989</v>
      </c>
      <c r="B2675" t="str">
        <f ca="1">TEXT(DATE(YEAR(Invoer!$A$5),1,1)+INT((ROWS(B$2:B2675)-1)/24),"""18""jjmmdd")</f>
        <v>18980422</v>
      </c>
      <c r="C2675" s="11" t="str">
        <f>INDEX(Data,2,2+MOD(ROWS(C$2:C2675)-1,24))</f>
        <v>10.00</v>
      </c>
      <c r="D2675" s="8" t="str">
        <f t="shared" ca="1" si="125"/>
        <v>—</v>
      </c>
      <c r="E2675" s="16">
        <f t="shared" ca="1" si="126"/>
        <v>7</v>
      </c>
    </row>
    <row r="2676" spans="1:5" x14ac:dyDescent="0.25">
      <c r="A2676" s="3">
        <f t="shared" si="124"/>
        <v>78989</v>
      </c>
      <c r="B2676" t="str">
        <f ca="1">TEXT(DATE(YEAR(Invoer!$A$5),1,1)+INT((ROWS(B$2:B2676)-1)/24),"""18""jjmmdd")</f>
        <v>18980422</v>
      </c>
      <c r="C2676" s="11" t="str">
        <f>INDEX(Data,2,2+MOD(ROWS(C$2:C2676)-1,24))</f>
        <v>11.00</v>
      </c>
      <c r="D2676" s="8" t="str">
        <f t="shared" ca="1" si="125"/>
        <v>—</v>
      </c>
      <c r="E2676" s="16">
        <f t="shared" ca="1" si="126"/>
        <v>7</v>
      </c>
    </row>
    <row r="2677" spans="1:5" x14ac:dyDescent="0.25">
      <c r="A2677" s="3">
        <f t="shared" si="124"/>
        <v>78989</v>
      </c>
      <c r="B2677" t="str">
        <f ca="1">TEXT(DATE(YEAR(Invoer!$A$5),1,1)+INT((ROWS(B$2:B2677)-1)/24),"""18""jjmmdd")</f>
        <v>18980422</v>
      </c>
      <c r="C2677" s="11" t="str">
        <f>INDEX(Data,2,2+MOD(ROWS(C$2:C2677)-1,24))</f>
        <v>12.00</v>
      </c>
      <c r="D2677" s="8" t="str">
        <f t="shared" ca="1" si="125"/>
        <v>—</v>
      </c>
      <c r="E2677" s="16">
        <f t="shared" ca="1" si="126"/>
        <v>7</v>
      </c>
    </row>
    <row r="2678" spans="1:5" x14ac:dyDescent="0.25">
      <c r="A2678" s="3">
        <f t="shared" si="124"/>
        <v>78989</v>
      </c>
      <c r="B2678" t="str">
        <f ca="1">TEXT(DATE(YEAR(Invoer!$A$5),1,1)+INT((ROWS(B$2:B2678)-1)/24),"""18""jjmmdd")</f>
        <v>18980422</v>
      </c>
      <c r="C2678" s="11" t="str">
        <f>INDEX(Data,2,2+MOD(ROWS(C$2:C2678)-1,24))</f>
        <v>13.00</v>
      </c>
      <c r="D2678" s="8" t="str">
        <f t="shared" ca="1" si="125"/>
        <v>—</v>
      </c>
      <c r="E2678" s="16">
        <f t="shared" ca="1" si="126"/>
        <v>7</v>
      </c>
    </row>
    <row r="2679" spans="1:5" x14ac:dyDescent="0.25">
      <c r="A2679" s="3">
        <f t="shared" si="124"/>
        <v>78989</v>
      </c>
      <c r="B2679" t="str">
        <f ca="1">TEXT(DATE(YEAR(Invoer!$A$5),1,1)+INT((ROWS(B$2:B2679)-1)/24),"""18""jjmmdd")</f>
        <v>18980422</v>
      </c>
      <c r="C2679" s="11" t="str">
        <f>INDEX(Data,2,2+MOD(ROWS(C$2:C2679)-1,24))</f>
        <v>14.00</v>
      </c>
      <c r="D2679" s="8" t="str">
        <f t="shared" ca="1" si="125"/>
        <v>—</v>
      </c>
      <c r="E2679" s="16">
        <f t="shared" ca="1" si="126"/>
        <v>7</v>
      </c>
    </row>
    <row r="2680" spans="1:5" x14ac:dyDescent="0.25">
      <c r="A2680" s="3">
        <f t="shared" si="124"/>
        <v>78989</v>
      </c>
      <c r="B2680" t="str">
        <f ca="1">TEXT(DATE(YEAR(Invoer!$A$5),1,1)+INT((ROWS(B$2:B2680)-1)/24),"""18""jjmmdd")</f>
        <v>18980422</v>
      </c>
      <c r="C2680" s="11" t="str">
        <f>INDEX(Data,2,2+MOD(ROWS(C$2:C2680)-1,24))</f>
        <v>15.00</v>
      </c>
      <c r="D2680" s="8" t="str">
        <f t="shared" ca="1" si="125"/>
        <v>—</v>
      </c>
      <c r="E2680" s="16">
        <f t="shared" ca="1" si="126"/>
        <v>7</v>
      </c>
    </row>
    <row r="2681" spans="1:5" x14ac:dyDescent="0.25">
      <c r="A2681" s="3">
        <f t="shared" si="124"/>
        <v>78989</v>
      </c>
      <c r="B2681" t="str">
        <f ca="1">TEXT(DATE(YEAR(Invoer!$A$5),1,1)+INT((ROWS(B$2:B2681)-1)/24),"""18""jjmmdd")</f>
        <v>18980422</v>
      </c>
      <c r="C2681" s="11" t="str">
        <f>INDEX(Data,2,2+MOD(ROWS(C$2:C2681)-1,24))</f>
        <v>16.00</v>
      </c>
      <c r="D2681" s="8" t="str">
        <f t="shared" ca="1" si="125"/>
        <v>—</v>
      </c>
      <c r="E2681" s="16">
        <f t="shared" ca="1" si="126"/>
        <v>7</v>
      </c>
    </row>
    <row r="2682" spans="1:5" x14ac:dyDescent="0.25">
      <c r="A2682" s="3">
        <f t="shared" si="124"/>
        <v>78989</v>
      </c>
      <c r="B2682" t="str">
        <f ca="1">TEXT(DATE(YEAR(Invoer!$A$5),1,1)+INT((ROWS(B$2:B2682)-1)/24),"""18""jjmmdd")</f>
        <v>18980422</v>
      </c>
      <c r="C2682" s="11" t="str">
        <f>INDEX(Data,2,2+MOD(ROWS(C$2:C2682)-1,24))</f>
        <v>17.00</v>
      </c>
      <c r="D2682" s="8" t="str">
        <f t="shared" ca="1" si="125"/>
        <v>—</v>
      </c>
      <c r="E2682" s="16">
        <f t="shared" ca="1" si="126"/>
        <v>7</v>
      </c>
    </row>
    <row r="2683" spans="1:5" x14ac:dyDescent="0.25">
      <c r="A2683" s="3">
        <f t="shared" si="124"/>
        <v>78989</v>
      </c>
      <c r="B2683" t="str">
        <f ca="1">TEXT(DATE(YEAR(Invoer!$A$5),1,1)+INT((ROWS(B$2:B2683)-1)/24),"""18""jjmmdd")</f>
        <v>18980422</v>
      </c>
      <c r="C2683" s="11" t="str">
        <f>INDEX(Data,2,2+MOD(ROWS(C$2:C2683)-1,24))</f>
        <v>18.00</v>
      </c>
      <c r="D2683" s="8" t="str">
        <f t="shared" ca="1" si="125"/>
        <v>—</v>
      </c>
      <c r="E2683" s="16">
        <f t="shared" ca="1" si="126"/>
        <v>7</v>
      </c>
    </row>
    <row r="2684" spans="1:5" x14ac:dyDescent="0.25">
      <c r="A2684" s="3">
        <f t="shared" si="124"/>
        <v>78989</v>
      </c>
      <c r="B2684" t="str">
        <f ca="1">TEXT(DATE(YEAR(Invoer!$A$5),1,1)+INT((ROWS(B$2:B2684)-1)/24),"""18""jjmmdd")</f>
        <v>18980422</v>
      </c>
      <c r="C2684" s="11" t="str">
        <f>INDEX(Data,2,2+MOD(ROWS(C$2:C2684)-1,24))</f>
        <v>19.00</v>
      </c>
      <c r="D2684" s="8" t="str">
        <f t="shared" ca="1" si="125"/>
        <v>—</v>
      </c>
      <c r="E2684" s="16">
        <f t="shared" ca="1" si="126"/>
        <v>7</v>
      </c>
    </row>
    <row r="2685" spans="1:5" x14ac:dyDescent="0.25">
      <c r="A2685" s="3">
        <f t="shared" si="124"/>
        <v>78989</v>
      </c>
      <c r="B2685" t="str">
        <f ca="1">TEXT(DATE(YEAR(Invoer!$A$5),1,1)+INT((ROWS(B$2:B2685)-1)/24),"""18""jjmmdd")</f>
        <v>18980422</v>
      </c>
      <c r="C2685" s="11" t="str">
        <f>INDEX(Data,2,2+MOD(ROWS(C$2:C2685)-1,24))</f>
        <v>20.00</v>
      </c>
      <c r="D2685" s="8" t="str">
        <f t="shared" ca="1" si="125"/>
        <v>—</v>
      </c>
      <c r="E2685" s="16">
        <f t="shared" ca="1" si="126"/>
        <v>7</v>
      </c>
    </row>
    <row r="2686" spans="1:5" x14ac:dyDescent="0.25">
      <c r="A2686" s="3">
        <f t="shared" si="124"/>
        <v>78989</v>
      </c>
      <c r="B2686" t="str">
        <f ca="1">TEXT(DATE(YEAR(Invoer!$A$5),1,1)+INT((ROWS(B$2:B2686)-1)/24),"""18""jjmmdd")</f>
        <v>18980422</v>
      </c>
      <c r="C2686" s="11" t="str">
        <f>INDEX(Data,2,2+MOD(ROWS(C$2:C2686)-1,24))</f>
        <v>21.00</v>
      </c>
      <c r="D2686" s="8" t="str">
        <f t="shared" ca="1" si="125"/>
        <v>—</v>
      </c>
      <c r="E2686" s="16">
        <f t="shared" ca="1" si="126"/>
        <v>7</v>
      </c>
    </row>
    <row r="2687" spans="1:5" x14ac:dyDescent="0.25">
      <c r="A2687" s="3">
        <f t="shared" si="124"/>
        <v>78989</v>
      </c>
      <c r="B2687" t="str">
        <f ca="1">TEXT(DATE(YEAR(Invoer!$A$5),1,1)+INT((ROWS(B$2:B2687)-1)/24),"""18""jjmmdd")</f>
        <v>18980422</v>
      </c>
      <c r="C2687" s="11" t="str">
        <f>INDEX(Data,2,2+MOD(ROWS(C$2:C2687)-1,24))</f>
        <v>22.00</v>
      </c>
      <c r="D2687" s="8" t="str">
        <f t="shared" ca="1" si="125"/>
        <v>—</v>
      </c>
      <c r="E2687" s="16">
        <f t="shared" ca="1" si="126"/>
        <v>7</v>
      </c>
    </row>
    <row r="2688" spans="1:5" x14ac:dyDescent="0.25">
      <c r="A2688" s="3">
        <f t="shared" si="124"/>
        <v>78989</v>
      </c>
      <c r="B2688" t="str">
        <f ca="1">TEXT(DATE(YEAR(Invoer!$A$5),1,1)+INT((ROWS(B$2:B2688)-1)/24),"""18""jjmmdd")</f>
        <v>18980422</v>
      </c>
      <c r="C2688" s="11" t="str">
        <f>INDEX(Data,2,2+MOD(ROWS(C$2:C2688)-1,24))</f>
        <v>23.00</v>
      </c>
      <c r="D2688" s="8" t="str">
        <f t="shared" ca="1" si="125"/>
        <v>—</v>
      </c>
      <c r="E2688" s="16">
        <f t="shared" ca="1" si="126"/>
        <v>7</v>
      </c>
    </row>
    <row r="2689" spans="1:5" x14ac:dyDescent="0.25">
      <c r="A2689" s="3">
        <f t="shared" si="124"/>
        <v>78989</v>
      </c>
      <c r="B2689" t="str">
        <f ca="1">TEXT(DATE(YEAR(Invoer!$A$5),1,1)+INT((ROWS(B$2:B2689)-1)/24),"""18""jjmmdd")</f>
        <v>18980422</v>
      </c>
      <c r="C2689" s="11" t="str">
        <f>INDEX(Data,2,2+MOD(ROWS(C$2:C2689)-1,24))</f>
        <v>24.00</v>
      </c>
      <c r="D2689" s="8" t="str">
        <f t="shared" ca="1" si="125"/>
        <v>—</v>
      </c>
      <c r="E2689" s="16">
        <f t="shared" ca="1" si="126"/>
        <v>7</v>
      </c>
    </row>
    <row r="2690" spans="1:5" x14ac:dyDescent="0.25">
      <c r="A2690" s="3">
        <f t="shared" ref="A2690:A2753" si="127">INDEX(Stations,2,1)</f>
        <v>78989</v>
      </c>
      <c r="B2690" t="str">
        <f ca="1">TEXT(DATE(YEAR(Invoer!$A$5),1,1)+INT((ROWS(B$2:B2690)-1)/24),"""18""jjmmdd")</f>
        <v>18980423</v>
      </c>
      <c r="C2690" s="11" t="str">
        <f>INDEX(Data,2,2+MOD(ROWS(C$2:C2690)-1,24))</f>
        <v>01.00</v>
      </c>
      <c r="D2690" s="8" t="str">
        <f t="shared" ref="D2690:D2753" ca="1" si="128">IF(OR(ISBLANK(VLOOKUP(DATEVALUE("37"&amp;MID($B2690,3,2)&amp;"-"&amp;MID($B2690,5,2)&amp;"-"&amp;RIGHT($B2690,2)),Data,MATCH(LEFT(VLOOKUP(D$1,Parameters,2,FALSE()),4)&amp;"*",OFFSET(Data,0,0,1),0)+MATCH($C2690,OFFSET(Data,1,0,1),0)-2,FALSE())),ISTEXT(VLOOKUP(DATEVALUE("37"&amp;MID($B2690,3,2)&amp;"-"&amp;MID($B2690,5,2)&amp;"-"&amp;RIGHT($B2690,2)),Data,MATCH(LEFT(VLOOKUP(D$1,Parameters,2,FALSE()),4)&amp;"*",OFFSET(Data,0,0,1),0)+MATCH($C2690,OFFSET(Data,1,0,1),0)-2,FALSE()))),"—",VLOOKUP(DATEVALUE("37"&amp;MID($B2690,3,2)&amp;"-"&amp;MID($B2690,5,2)&amp;"-"&amp;RIGHT($B2690,2)),Data,MATCH(LEFT(VLOOKUP(D$1,Parameters,2,FALSE()),4)&amp;"*",OFFSET(Data,0,0,1),0)+MATCH($C2690,OFFSET(Data,1,0,1),0)-2,FALSE()))</f>
        <v>—</v>
      </c>
      <c r="E2690" s="16">
        <f t="shared" ca="1" si="126"/>
        <v>7</v>
      </c>
    </row>
    <row r="2691" spans="1:5" x14ac:dyDescent="0.25">
      <c r="A2691" s="3">
        <f t="shared" si="127"/>
        <v>78989</v>
      </c>
      <c r="B2691" t="str">
        <f ca="1">TEXT(DATE(YEAR(Invoer!$A$5),1,1)+INT((ROWS(B$2:B2691)-1)/24),"""18""jjmmdd")</f>
        <v>18980423</v>
      </c>
      <c r="C2691" s="11" t="str">
        <f>INDEX(Data,2,2+MOD(ROWS(C$2:C2691)-1,24))</f>
        <v>02.00</v>
      </c>
      <c r="D2691" s="8" t="str">
        <f t="shared" ca="1" si="128"/>
        <v>—</v>
      </c>
      <c r="E2691" s="16">
        <f t="shared" ref="E2691:E2754" ca="1" si="129">IF(OR(ISBLANK(VLOOKUP(DATEVALUE("37"&amp;MID($B2691,3,2)&amp;"-"&amp;MID($B2691,5,2)&amp;"-"&amp;RIGHT($B2691,2)),Data,MATCH(LEFT(VLOOKUP(D$1,Parameters,2,FALSE()),4)&amp;"*",OFFSET(Data,0,0,1),0)+MATCH($C2691,OFFSET(Data,1,0,1),0)-2,FALSE())),ISTEXT(VLOOKUP(DATEVALUE("37"&amp;MID($B2691,3,2)&amp;"-"&amp;MID($B2691,5,2)&amp;"-"&amp;RIGHT($B2691,2)),Data,MATCH(LEFT(VLOOKUP(D$1,Parameters,2,FALSE()),4)&amp;"*",OFFSET(Data,0,0,1),0)+MATCH($C2691,OFFSET(Data,1,0,1),0)-2,FALSE()))),Lacking,IF(ISNA(MATCH(DATEVALUE("37"&amp;MID($B2691,3,2)&amp;"-"&amp;MID($B2691,5,2)&amp;"-"&amp;RIGHT($B2691,2)),OFFSET(Catalogus,0,0,,1),0)),Ok,VLOOKUP(DATEVALUE("37"&amp;MID($B2691,3,2)&amp;"-"&amp;MID($B2691,5,2)&amp;"-"&amp;RIGHT($B2691,2)),Catalogus,MATCH(LEFT(VLOOKUP(MID(E$1,2,LEN(E$1)-1),Parameters,2,FALSE()),4)&amp;"*",OFFSET(Catalogus,0,0,1),0)+MATCH($C2691,OFFSET(Catalogus,1,0,1),0)-2,FALSE())))</f>
        <v>7</v>
      </c>
    </row>
    <row r="2692" spans="1:5" x14ac:dyDescent="0.25">
      <c r="A2692" s="3">
        <f t="shared" si="127"/>
        <v>78989</v>
      </c>
      <c r="B2692" t="str">
        <f ca="1">TEXT(DATE(YEAR(Invoer!$A$5),1,1)+INT((ROWS(B$2:B2692)-1)/24),"""18""jjmmdd")</f>
        <v>18980423</v>
      </c>
      <c r="C2692" s="11" t="str">
        <f>INDEX(Data,2,2+MOD(ROWS(C$2:C2692)-1,24))</f>
        <v>03.00</v>
      </c>
      <c r="D2692" s="8" t="str">
        <f t="shared" ca="1" si="128"/>
        <v>—</v>
      </c>
      <c r="E2692" s="16">
        <f t="shared" ca="1" si="129"/>
        <v>7</v>
      </c>
    </row>
    <row r="2693" spans="1:5" x14ac:dyDescent="0.25">
      <c r="A2693" s="3">
        <f t="shared" si="127"/>
        <v>78989</v>
      </c>
      <c r="B2693" t="str">
        <f ca="1">TEXT(DATE(YEAR(Invoer!$A$5),1,1)+INT((ROWS(B$2:B2693)-1)/24),"""18""jjmmdd")</f>
        <v>18980423</v>
      </c>
      <c r="C2693" s="11" t="str">
        <f>INDEX(Data,2,2+MOD(ROWS(C$2:C2693)-1,24))</f>
        <v>04.00</v>
      </c>
      <c r="D2693" s="8" t="str">
        <f t="shared" ca="1" si="128"/>
        <v>—</v>
      </c>
      <c r="E2693" s="16">
        <f t="shared" ca="1" si="129"/>
        <v>7</v>
      </c>
    </row>
    <row r="2694" spans="1:5" x14ac:dyDescent="0.25">
      <c r="A2694" s="3">
        <f t="shared" si="127"/>
        <v>78989</v>
      </c>
      <c r="B2694" t="str">
        <f ca="1">TEXT(DATE(YEAR(Invoer!$A$5),1,1)+INT((ROWS(B$2:B2694)-1)/24),"""18""jjmmdd")</f>
        <v>18980423</v>
      </c>
      <c r="C2694" s="11" t="str">
        <f>INDEX(Data,2,2+MOD(ROWS(C$2:C2694)-1,24))</f>
        <v>05.00</v>
      </c>
      <c r="D2694" s="8" t="str">
        <f t="shared" ca="1" si="128"/>
        <v>—</v>
      </c>
      <c r="E2694" s="16">
        <f t="shared" ca="1" si="129"/>
        <v>7</v>
      </c>
    </row>
    <row r="2695" spans="1:5" x14ac:dyDescent="0.25">
      <c r="A2695" s="3">
        <f t="shared" si="127"/>
        <v>78989</v>
      </c>
      <c r="B2695" t="str">
        <f ca="1">TEXT(DATE(YEAR(Invoer!$A$5),1,1)+INT((ROWS(B$2:B2695)-1)/24),"""18""jjmmdd")</f>
        <v>18980423</v>
      </c>
      <c r="C2695" s="11" t="str">
        <f>INDEX(Data,2,2+MOD(ROWS(C$2:C2695)-1,24))</f>
        <v>06.00</v>
      </c>
      <c r="D2695" s="8" t="str">
        <f t="shared" ca="1" si="128"/>
        <v>—</v>
      </c>
      <c r="E2695" s="16">
        <f t="shared" ca="1" si="129"/>
        <v>7</v>
      </c>
    </row>
    <row r="2696" spans="1:5" x14ac:dyDescent="0.25">
      <c r="A2696" s="3">
        <f t="shared" si="127"/>
        <v>78989</v>
      </c>
      <c r="B2696" t="str">
        <f ca="1">TEXT(DATE(YEAR(Invoer!$A$5),1,1)+INT((ROWS(B$2:B2696)-1)/24),"""18""jjmmdd")</f>
        <v>18980423</v>
      </c>
      <c r="C2696" s="11" t="str">
        <f>INDEX(Data,2,2+MOD(ROWS(C$2:C2696)-1,24))</f>
        <v>07.00</v>
      </c>
      <c r="D2696" s="8" t="str">
        <f t="shared" ca="1" si="128"/>
        <v>—</v>
      </c>
      <c r="E2696" s="16">
        <f t="shared" ca="1" si="129"/>
        <v>7</v>
      </c>
    </row>
    <row r="2697" spans="1:5" x14ac:dyDescent="0.25">
      <c r="A2697" s="3">
        <f t="shared" si="127"/>
        <v>78989</v>
      </c>
      <c r="B2697" t="str">
        <f ca="1">TEXT(DATE(YEAR(Invoer!$A$5),1,1)+INT((ROWS(B$2:B2697)-1)/24),"""18""jjmmdd")</f>
        <v>18980423</v>
      </c>
      <c r="C2697" s="11" t="str">
        <f>INDEX(Data,2,2+MOD(ROWS(C$2:C2697)-1,24))</f>
        <v>08.00</v>
      </c>
      <c r="D2697" s="8" t="str">
        <f t="shared" ca="1" si="128"/>
        <v>—</v>
      </c>
      <c r="E2697" s="16">
        <f t="shared" ca="1" si="129"/>
        <v>7</v>
      </c>
    </row>
    <row r="2698" spans="1:5" x14ac:dyDescent="0.25">
      <c r="A2698" s="3">
        <f t="shared" si="127"/>
        <v>78989</v>
      </c>
      <c r="B2698" t="str">
        <f ca="1">TEXT(DATE(YEAR(Invoer!$A$5),1,1)+INT((ROWS(B$2:B2698)-1)/24),"""18""jjmmdd")</f>
        <v>18980423</v>
      </c>
      <c r="C2698" s="11" t="str">
        <f>INDEX(Data,2,2+MOD(ROWS(C$2:C2698)-1,24))</f>
        <v>09.00</v>
      </c>
      <c r="D2698" s="8" t="str">
        <f t="shared" ca="1" si="128"/>
        <v>—</v>
      </c>
      <c r="E2698" s="16">
        <f t="shared" ca="1" si="129"/>
        <v>7</v>
      </c>
    </row>
    <row r="2699" spans="1:5" x14ac:dyDescent="0.25">
      <c r="A2699" s="3">
        <f t="shared" si="127"/>
        <v>78989</v>
      </c>
      <c r="B2699" t="str">
        <f ca="1">TEXT(DATE(YEAR(Invoer!$A$5),1,1)+INT((ROWS(B$2:B2699)-1)/24),"""18""jjmmdd")</f>
        <v>18980423</v>
      </c>
      <c r="C2699" s="11" t="str">
        <f>INDEX(Data,2,2+MOD(ROWS(C$2:C2699)-1,24))</f>
        <v>10.00</v>
      </c>
      <c r="D2699" s="8" t="str">
        <f t="shared" ca="1" si="128"/>
        <v>—</v>
      </c>
      <c r="E2699" s="16">
        <f t="shared" ca="1" si="129"/>
        <v>7</v>
      </c>
    </row>
    <row r="2700" spans="1:5" x14ac:dyDescent="0.25">
      <c r="A2700" s="3">
        <f t="shared" si="127"/>
        <v>78989</v>
      </c>
      <c r="B2700" t="str">
        <f ca="1">TEXT(DATE(YEAR(Invoer!$A$5),1,1)+INT((ROWS(B$2:B2700)-1)/24),"""18""jjmmdd")</f>
        <v>18980423</v>
      </c>
      <c r="C2700" s="11" t="str">
        <f>INDEX(Data,2,2+MOD(ROWS(C$2:C2700)-1,24))</f>
        <v>11.00</v>
      </c>
      <c r="D2700" s="8" t="str">
        <f t="shared" ca="1" si="128"/>
        <v>—</v>
      </c>
      <c r="E2700" s="16">
        <f t="shared" ca="1" si="129"/>
        <v>7</v>
      </c>
    </row>
    <row r="2701" spans="1:5" x14ac:dyDescent="0.25">
      <c r="A2701" s="3">
        <f t="shared" si="127"/>
        <v>78989</v>
      </c>
      <c r="B2701" t="str">
        <f ca="1">TEXT(DATE(YEAR(Invoer!$A$5),1,1)+INT((ROWS(B$2:B2701)-1)/24),"""18""jjmmdd")</f>
        <v>18980423</v>
      </c>
      <c r="C2701" s="11" t="str">
        <f>INDEX(Data,2,2+MOD(ROWS(C$2:C2701)-1,24))</f>
        <v>12.00</v>
      </c>
      <c r="D2701" s="8" t="str">
        <f t="shared" ca="1" si="128"/>
        <v>—</v>
      </c>
      <c r="E2701" s="16">
        <f t="shared" ca="1" si="129"/>
        <v>7</v>
      </c>
    </row>
    <row r="2702" spans="1:5" x14ac:dyDescent="0.25">
      <c r="A2702" s="3">
        <f t="shared" si="127"/>
        <v>78989</v>
      </c>
      <c r="B2702" t="str">
        <f ca="1">TEXT(DATE(YEAR(Invoer!$A$5),1,1)+INT((ROWS(B$2:B2702)-1)/24),"""18""jjmmdd")</f>
        <v>18980423</v>
      </c>
      <c r="C2702" s="11" t="str">
        <f>INDEX(Data,2,2+MOD(ROWS(C$2:C2702)-1,24))</f>
        <v>13.00</v>
      </c>
      <c r="D2702" s="8" t="str">
        <f t="shared" ca="1" si="128"/>
        <v>—</v>
      </c>
      <c r="E2702" s="16">
        <f t="shared" ca="1" si="129"/>
        <v>7</v>
      </c>
    </row>
    <row r="2703" spans="1:5" x14ac:dyDescent="0.25">
      <c r="A2703" s="3">
        <f t="shared" si="127"/>
        <v>78989</v>
      </c>
      <c r="B2703" t="str">
        <f ca="1">TEXT(DATE(YEAR(Invoer!$A$5),1,1)+INT((ROWS(B$2:B2703)-1)/24),"""18""jjmmdd")</f>
        <v>18980423</v>
      </c>
      <c r="C2703" s="11" t="str">
        <f>INDEX(Data,2,2+MOD(ROWS(C$2:C2703)-1,24))</f>
        <v>14.00</v>
      </c>
      <c r="D2703" s="8" t="str">
        <f t="shared" ca="1" si="128"/>
        <v>—</v>
      </c>
      <c r="E2703" s="16">
        <f t="shared" ca="1" si="129"/>
        <v>7</v>
      </c>
    </row>
    <row r="2704" spans="1:5" x14ac:dyDescent="0.25">
      <c r="A2704" s="3">
        <f t="shared" si="127"/>
        <v>78989</v>
      </c>
      <c r="B2704" t="str">
        <f ca="1">TEXT(DATE(YEAR(Invoer!$A$5),1,1)+INT((ROWS(B$2:B2704)-1)/24),"""18""jjmmdd")</f>
        <v>18980423</v>
      </c>
      <c r="C2704" s="11" t="str">
        <f>INDEX(Data,2,2+MOD(ROWS(C$2:C2704)-1,24))</f>
        <v>15.00</v>
      </c>
      <c r="D2704" s="8" t="str">
        <f t="shared" ca="1" si="128"/>
        <v>—</v>
      </c>
      <c r="E2704" s="16">
        <f t="shared" ca="1" si="129"/>
        <v>7</v>
      </c>
    </row>
    <row r="2705" spans="1:5" x14ac:dyDescent="0.25">
      <c r="A2705" s="3">
        <f t="shared" si="127"/>
        <v>78989</v>
      </c>
      <c r="B2705" t="str">
        <f ca="1">TEXT(DATE(YEAR(Invoer!$A$5),1,1)+INT((ROWS(B$2:B2705)-1)/24),"""18""jjmmdd")</f>
        <v>18980423</v>
      </c>
      <c r="C2705" s="11" t="str">
        <f>INDEX(Data,2,2+MOD(ROWS(C$2:C2705)-1,24))</f>
        <v>16.00</v>
      </c>
      <c r="D2705" s="8" t="str">
        <f t="shared" ca="1" si="128"/>
        <v>—</v>
      </c>
      <c r="E2705" s="16">
        <f t="shared" ca="1" si="129"/>
        <v>7</v>
      </c>
    </row>
    <row r="2706" spans="1:5" x14ac:dyDescent="0.25">
      <c r="A2706" s="3">
        <f t="shared" si="127"/>
        <v>78989</v>
      </c>
      <c r="B2706" t="str">
        <f ca="1">TEXT(DATE(YEAR(Invoer!$A$5),1,1)+INT((ROWS(B$2:B2706)-1)/24),"""18""jjmmdd")</f>
        <v>18980423</v>
      </c>
      <c r="C2706" s="11" t="str">
        <f>INDEX(Data,2,2+MOD(ROWS(C$2:C2706)-1,24))</f>
        <v>17.00</v>
      </c>
      <c r="D2706" s="8" t="str">
        <f t="shared" ca="1" si="128"/>
        <v>—</v>
      </c>
      <c r="E2706" s="16">
        <f t="shared" ca="1" si="129"/>
        <v>7</v>
      </c>
    </row>
    <row r="2707" spans="1:5" x14ac:dyDescent="0.25">
      <c r="A2707" s="3">
        <f t="shared" si="127"/>
        <v>78989</v>
      </c>
      <c r="B2707" t="str">
        <f ca="1">TEXT(DATE(YEAR(Invoer!$A$5),1,1)+INT((ROWS(B$2:B2707)-1)/24),"""18""jjmmdd")</f>
        <v>18980423</v>
      </c>
      <c r="C2707" s="11" t="str">
        <f>INDEX(Data,2,2+MOD(ROWS(C$2:C2707)-1,24))</f>
        <v>18.00</v>
      </c>
      <c r="D2707" s="8" t="str">
        <f t="shared" ca="1" si="128"/>
        <v>—</v>
      </c>
      <c r="E2707" s="16">
        <f t="shared" ca="1" si="129"/>
        <v>7</v>
      </c>
    </row>
    <row r="2708" spans="1:5" x14ac:dyDescent="0.25">
      <c r="A2708" s="3">
        <f t="shared" si="127"/>
        <v>78989</v>
      </c>
      <c r="B2708" t="str">
        <f ca="1">TEXT(DATE(YEAR(Invoer!$A$5),1,1)+INT((ROWS(B$2:B2708)-1)/24),"""18""jjmmdd")</f>
        <v>18980423</v>
      </c>
      <c r="C2708" s="11" t="str">
        <f>INDEX(Data,2,2+MOD(ROWS(C$2:C2708)-1,24))</f>
        <v>19.00</v>
      </c>
      <c r="D2708" s="8" t="str">
        <f t="shared" ca="1" si="128"/>
        <v>—</v>
      </c>
      <c r="E2708" s="16">
        <f t="shared" ca="1" si="129"/>
        <v>7</v>
      </c>
    </row>
    <row r="2709" spans="1:5" x14ac:dyDescent="0.25">
      <c r="A2709" s="3">
        <f t="shared" si="127"/>
        <v>78989</v>
      </c>
      <c r="B2709" t="str">
        <f ca="1">TEXT(DATE(YEAR(Invoer!$A$5),1,1)+INT((ROWS(B$2:B2709)-1)/24),"""18""jjmmdd")</f>
        <v>18980423</v>
      </c>
      <c r="C2709" s="11" t="str">
        <f>INDEX(Data,2,2+MOD(ROWS(C$2:C2709)-1,24))</f>
        <v>20.00</v>
      </c>
      <c r="D2709" s="8" t="str">
        <f t="shared" ca="1" si="128"/>
        <v>—</v>
      </c>
      <c r="E2709" s="16">
        <f t="shared" ca="1" si="129"/>
        <v>7</v>
      </c>
    </row>
    <row r="2710" spans="1:5" x14ac:dyDescent="0.25">
      <c r="A2710" s="3">
        <f t="shared" si="127"/>
        <v>78989</v>
      </c>
      <c r="B2710" t="str">
        <f ca="1">TEXT(DATE(YEAR(Invoer!$A$5),1,1)+INT((ROWS(B$2:B2710)-1)/24),"""18""jjmmdd")</f>
        <v>18980423</v>
      </c>
      <c r="C2710" s="11" t="str">
        <f>INDEX(Data,2,2+MOD(ROWS(C$2:C2710)-1,24))</f>
        <v>21.00</v>
      </c>
      <c r="D2710" s="8" t="str">
        <f t="shared" ca="1" si="128"/>
        <v>—</v>
      </c>
      <c r="E2710" s="16">
        <f t="shared" ca="1" si="129"/>
        <v>7</v>
      </c>
    </row>
    <row r="2711" spans="1:5" x14ac:dyDescent="0.25">
      <c r="A2711" s="3">
        <f t="shared" si="127"/>
        <v>78989</v>
      </c>
      <c r="B2711" t="str">
        <f ca="1">TEXT(DATE(YEAR(Invoer!$A$5),1,1)+INT((ROWS(B$2:B2711)-1)/24),"""18""jjmmdd")</f>
        <v>18980423</v>
      </c>
      <c r="C2711" s="11" t="str">
        <f>INDEX(Data,2,2+MOD(ROWS(C$2:C2711)-1,24))</f>
        <v>22.00</v>
      </c>
      <c r="D2711" s="8" t="str">
        <f t="shared" ca="1" si="128"/>
        <v>—</v>
      </c>
      <c r="E2711" s="16">
        <f t="shared" ca="1" si="129"/>
        <v>7</v>
      </c>
    </row>
    <row r="2712" spans="1:5" x14ac:dyDescent="0.25">
      <c r="A2712" s="3">
        <f t="shared" si="127"/>
        <v>78989</v>
      </c>
      <c r="B2712" t="str">
        <f ca="1">TEXT(DATE(YEAR(Invoer!$A$5),1,1)+INT((ROWS(B$2:B2712)-1)/24),"""18""jjmmdd")</f>
        <v>18980423</v>
      </c>
      <c r="C2712" s="11" t="str">
        <f>INDEX(Data,2,2+MOD(ROWS(C$2:C2712)-1,24))</f>
        <v>23.00</v>
      </c>
      <c r="D2712" s="8" t="str">
        <f t="shared" ca="1" si="128"/>
        <v>—</v>
      </c>
      <c r="E2712" s="16">
        <f t="shared" ca="1" si="129"/>
        <v>7</v>
      </c>
    </row>
    <row r="2713" spans="1:5" x14ac:dyDescent="0.25">
      <c r="A2713" s="3">
        <f t="shared" si="127"/>
        <v>78989</v>
      </c>
      <c r="B2713" t="str">
        <f ca="1">TEXT(DATE(YEAR(Invoer!$A$5),1,1)+INT((ROWS(B$2:B2713)-1)/24),"""18""jjmmdd")</f>
        <v>18980423</v>
      </c>
      <c r="C2713" s="11" t="str">
        <f>INDEX(Data,2,2+MOD(ROWS(C$2:C2713)-1,24))</f>
        <v>24.00</v>
      </c>
      <c r="D2713" s="8" t="str">
        <f t="shared" ca="1" si="128"/>
        <v>—</v>
      </c>
      <c r="E2713" s="16">
        <f t="shared" ca="1" si="129"/>
        <v>7</v>
      </c>
    </row>
    <row r="2714" spans="1:5" x14ac:dyDescent="0.25">
      <c r="A2714" s="3">
        <f t="shared" si="127"/>
        <v>78989</v>
      </c>
      <c r="B2714" t="str">
        <f ca="1">TEXT(DATE(YEAR(Invoer!$A$5),1,1)+INT((ROWS(B$2:B2714)-1)/24),"""18""jjmmdd")</f>
        <v>18980424</v>
      </c>
      <c r="C2714" s="11" t="str">
        <f>INDEX(Data,2,2+MOD(ROWS(C$2:C2714)-1,24))</f>
        <v>01.00</v>
      </c>
      <c r="D2714" s="8" t="str">
        <f t="shared" ca="1" si="128"/>
        <v>—</v>
      </c>
      <c r="E2714" s="16">
        <f t="shared" ca="1" si="129"/>
        <v>7</v>
      </c>
    </row>
    <row r="2715" spans="1:5" x14ac:dyDescent="0.25">
      <c r="A2715" s="3">
        <f t="shared" si="127"/>
        <v>78989</v>
      </c>
      <c r="B2715" t="str">
        <f ca="1">TEXT(DATE(YEAR(Invoer!$A$5),1,1)+INT((ROWS(B$2:B2715)-1)/24),"""18""jjmmdd")</f>
        <v>18980424</v>
      </c>
      <c r="C2715" s="11" t="str">
        <f>INDEX(Data,2,2+MOD(ROWS(C$2:C2715)-1,24))</f>
        <v>02.00</v>
      </c>
      <c r="D2715" s="8" t="str">
        <f t="shared" ca="1" si="128"/>
        <v>—</v>
      </c>
      <c r="E2715" s="16">
        <f t="shared" ca="1" si="129"/>
        <v>7</v>
      </c>
    </row>
    <row r="2716" spans="1:5" x14ac:dyDescent="0.25">
      <c r="A2716" s="3">
        <f t="shared" si="127"/>
        <v>78989</v>
      </c>
      <c r="B2716" t="str">
        <f ca="1">TEXT(DATE(YEAR(Invoer!$A$5),1,1)+INT((ROWS(B$2:B2716)-1)/24),"""18""jjmmdd")</f>
        <v>18980424</v>
      </c>
      <c r="C2716" s="11" t="str">
        <f>INDEX(Data,2,2+MOD(ROWS(C$2:C2716)-1,24))</f>
        <v>03.00</v>
      </c>
      <c r="D2716" s="8" t="str">
        <f t="shared" ca="1" si="128"/>
        <v>—</v>
      </c>
      <c r="E2716" s="16">
        <f t="shared" ca="1" si="129"/>
        <v>7</v>
      </c>
    </row>
    <row r="2717" spans="1:5" x14ac:dyDescent="0.25">
      <c r="A2717" s="3">
        <f t="shared" si="127"/>
        <v>78989</v>
      </c>
      <c r="B2717" t="str">
        <f ca="1">TEXT(DATE(YEAR(Invoer!$A$5),1,1)+INT((ROWS(B$2:B2717)-1)/24),"""18""jjmmdd")</f>
        <v>18980424</v>
      </c>
      <c r="C2717" s="11" t="str">
        <f>INDEX(Data,2,2+MOD(ROWS(C$2:C2717)-1,24))</f>
        <v>04.00</v>
      </c>
      <c r="D2717" s="8" t="str">
        <f t="shared" ca="1" si="128"/>
        <v>—</v>
      </c>
      <c r="E2717" s="16">
        <f t="shared" ca="1" si="129"/>
        <v>7</v>
      </c>
    </row>
    <row r="2718" spans="1:5" x14ac:dyDescent="0.25">
      <c r="A2718" s="3">
        <f t="shared" si="127"/>
        <v>78989</v>
      </c>
      <c r="B2718" t="str">
        <f ca="1">TEXT(DATE(YEAR(Invoer!$A$5),1,1)+INT((ROWS(B$2:B2718)-1)/24),"""18""jjmmdd")</f>
        <v>18980424</v>
      </c>
      <c r="C2718" s="11" t="str">
        <f>INDEX(Data,2,2+MOD(ROWS(C$2:C2718)-1,24))</f>
        <v>05.00</v>
      </c>
      <c r="D2718" s="8" t="str">
        <f t="shared" ca="1" si="128"/>
        <v>—</v>
      </c>
      <c r="E2718" s="16">
        <f t="shared" ca="1" si="129"/>
        <v>7</v>
      </c>
    </row>
    <row r="2719" spans="1:5" x14ac:dyDescent="0.25">
      <c r="A2719" s="3">
        <f t="shared" si="127"/>
        <v>78989</v>
      </c>
      <c r="B2719" t="str">
        <f ca="1">TEXT(DATE(YEAR(Invoer!$A$5),1,1)+INT((ROWS(B$2:B2719)-1)/24),"""18""jjmmdd")</f>
        <v>18980424</v>
      </c>
      <c r="C2719" s="11" t="str">
        <f>INDEX(Data,2,2+MOD(ROWS(C$2:C2719)-1,24))</f>
        <v>06.00</v>
      </c>
      <c r="D2719" s="8" t="str">
        <f t="shared" ca="1" si="128"/>
        <v>—</v>
      </c>
      <c r="E2719" s="16">
        <f t="shared" ca="1" si="129"/>
        <v>7</v>
      </c>
    </row>
    <row r="2720" spans="1:5" x14ac:dyDescent="0.25">
      <c r="A2720" s="3">
        <f t="shared" si="127"/>
        <v>78989</v>
      </c>
      <c r="B2720" t="str">
        <f ca="1">TEXT(DATE(YEAR(Invoer!$A$5),1,1)+INT((ROWS(B$2:B2720)-1)/24),"""18""jjmmdd")</f>
        <v>18980424</v>
      </c>
      <c r="C2720" s="11" t="str">
        <f>INDEX(Data,2,2+MOD(ROWS(C$2:C2720)-1,24))</f>
        <v>07.00</v>
      </c>
      <c r="D2720" s="8" t="str">
        <f t="shared" ca="1" si="128"/>
        <v>—</v>
      </c>
      <c r="E2720" s="16">
        <f t="shared" ca="1" si="129"/>
        <v>7</v>
      </c>
    </row>
    <row r="2721" spans="1:5" x14ac:dyDescent="0.25">
      <c r="A2721" s="3">
        <f t="shared" si="127"/>
        <v>78989</v>
      </c>
      <c r="B2721" t="str">
        <f ca="1">TEXT(DATE(YEAR(Invoer!$A$5),1,1)+INT((ROWS(B$2:B2721)-1)/24),"""18""jjmmdd")</f>
        <v>18980424</v>
      </c>
      <c r="C2721" s="11" t="str">
        <f>INDEX(Data,2,2+MOD(ROWS(C$2:C2721)-1,24))</f>
        <v>08.00</v>
      </c>
      <c r="D2721" s="8" t="str">
        <f t="shared" ca="1" si="128"/>
        <v>—</v>
      </c>
      <c r="E2721" s="16">
        <f t="shared" ca="1" si="129"/>
        <v>7</v>
      </c>
    </row>
    <row r="2722" spans="1:5" x14ac:dyDescent="0.25">
      <c r="A2722" s="3">
        <f t="shared" si="127"/>
        <v>78989</v>
      </c>
      <c r="B2722" t="str">
        <f ca="1">TEXT(DATE(YEAR(Invoer!$A$5),1,1)+INT((ROWS(B$2:B2722)-1)/24),"""18""jjmmdd")</f>
        <v>18980424</v>
      </c>
      <c r="C2722" s="11" t="str">
        <f>INDEX(Data,2,2+MOD(ROWS(C$2:C2722)-1,24))</f>
        <v>09.00</v>
      </c>
      <c r="D2722" s="8" t="str">
        <f t="shared" ca="1" si="128"/>
        <v>—</v>
      </c>
      <c r="E2722" s="16">
        <f t="shared" ca="1" si="129"/>
        <v>7</v>
      </c>
    </row>
    <row r="2723" spans="1:5" x14ac:dyDescent="0.25">
      <c r="A2723" s="3">
        <f t="shared" si="127"/>
        <v>78989</v>
      </c>
      <c r="B2723" t="str">
        <f ca="1">TEXT(DATE(YEAR(Invoer!$A$5),1,1)+INT((ROWS(B$2:B2723)-1)/24),"""18""jjmmdd")</f>
        <v>18980424</v>
      </c>
      <c r="C2723" s="11" t="str">
        <f>INDEX(Data,2,2+MOD(ROWS(C$2:C2723)-1,24))</f>
        <v>10.00</v>
      </c>
      <c r="D2723" s="8" t="str">
        <f t="shared" ca="1" si="128"/>
        <v>—</v>
      </c>
      <c r="E2723" s="16">
        <f t="shared" ca="1" si="129"/>
        <v>7</v>
      </c>
    </row>
    <row r="2724" spans="1:5" x14ac:dyDescent="0.25">
      <c r="A2724" s="3">
        <f t="shared" si="127"/>
        <v>78989</v>
      </c>
      <c r="B2724" t="str">
        <f ca="1">TEXT(DATE(YEAR(Invoer!$A$5),1,1)+INT((ROWS(B$2:B2724)-1)/24),"""18""jjmmdd")</f>
        <v>18980424</v>
      </c>
      <c r="C2724" s="11" t="str">
        <f>INDEX(Data,2,2+MOD(ROWS(C$2:C2724)-1,24))</f>
        <v>11.00</v>
      </c>
      <c r="D2724" s="8" t="str">
        <f t="shared" ca="1" si="128"/>
        <v>—</v>
      </c>
      <c r="E2724" s="16">
        <f t="shared" ca="1" si="129"/>
        <v>7</v>
      </c>
    </row>
    <row r="2725" spans="1:5" x14ac:dyDescent="0.25">
      <c r="A2725" s="3">
        <f t="shared" si="127"/>
        <v>78989</v>
      </c>
      <c r="B2725" t="str">
        <f ca="1">TEXT(DATE(YEAR(Invoer!$A$5),1,1)+INT((ROWS(B$2:B2725)-1)/24),"""18""jjmmdd")</f>
        <v>18980424</v>
      </c>
      <c r="C2725" s="11" t="str">
        <f>INDEX(Data,2,2+MOD(ROWS(C$2:C2725)-1,24))</f>
        <v>12.00</v>
      </c>
      <c r="D2725" s="8" t="str">
        <f t="shared" ca="1" si="128"/>
        <v>—</v>
      </c>
      <c r="E2725" s="16">
        <f t="shared" ca="1" si="129"/>
        <v>7</v>
      </c>
    </row>
    <row r="2726" spans="1:5" x14ac:dyDescent="0.25">
      <c r="A2726" s="3">
        <f t="shared" si="127"/>
        <v>78989</v>
      </c>
      <c r="B2726" t="str">
        <f ca="1">TEXT(DATE(YEAR(Invoer!$A$5),1,1)+INT((ROWS(B$2:B2726)-1)/24),"""18""jjmmdd")</f>
        <v>18980424</v>
      </c>
      <c r="C2726" s="11" t="str">
        <f>INDEX(Data,2,2+MOD(ROWS(C$2:C2726)-1,24))</f>
        <v>13.00</v>
      </c>
      <c r="D2726" s="8" t="str">
        <f t="shared" ca="1" si="128"/>
        <v>—</v>
      </c>
      <c r="E2726" s="16">
        <f t="shared" ca="1" si="129"/>
        <v>7</v>
      </c>
    </row>
    <row r="2727" spans="1:5" x14ac:dyDescent="0.25">
      <c r="A2727" s="3">
        <f t="shared" si="127"/>
        <v>78989</v>
      </c>
      <c r="B2727" t="str">
        <f ca="1">TEXT(DATE(YEAR(Invoer!$A$5),1,1)+INT((ROWS(B$2:B2727)-1)/24),"""18""jjmmdd")</f>
        <v>18980424</v>
      </c>
      <c r="C2727" s="11" t="str">
        <f>INDEX(Data,2,2+MOD(ROWS(C$2:C2727)-1,24))</f>
        <v>14.00</v>
      </c>
      <c r="D2727" s="8" t="str">
        <f t="shared" ca="1" si="128"/>
        <v>—</v>
      </c>
      <c r="E2727" s="16">
        <f t="shared" ca="1" si="129"/>
        <v>7</v>
      </c>
    </row>
    <row r="2728" spans="1:5" x14ac:dyDescent="0.25">
      <c r="A2728" s="3">
        <f t="shared" si="127"/>
        <v>78989</v>
      </c>
      <c r="B2728" t="str">
        <f ca="1">TEXT(DATE(YEAR(Invoer!$A$5),1,1)+INT((ROWS(B$2:B2728)-1)/24),"""18""jjmmdd")</f>
        <v>18980424</v>
      </c>
      <c r="C2728" s="11" t="str">
        <f>INDEX(Data,2,2+MOD(ROWS(C$2:C2728)-1,24))</f>
        <v>15.00</v>
      </c>
      <c r="D2728" s="8" t="str">
        <f t="shared" ca="1" si="128"/>
        <v>—</v>
      </c>
      <c r="E2728" s="16">
        <f t="shared" ca="1" si="129"/>
        <v>7</v>
      </c>
    </row>
    <row r="2729" spans="1:5" x14ac:dyDescent="0.25">
      <c r="A2729" s="3">
        <f t="shared" si="127"/>
        <v>78989</v>
      </c>
      <c r="B2729" t="str">
        <f ca="1">TEXT(DATE(YEAR(Invoer!$A$5),1,1)+INT((ROWS(B$2:B2729)-1)/24),"""18""jjmmdd")</f>
        <v>18980424</v>
      </c>
      <c r="C2729" s="11" t="str">
        <f>INDEX(Data,2,2+MOD(ROWS(C$2:C2729)-1,24))</f>
        <v>16.00</v>
      </c>
      <c r="D2729" s="8" t="str">
        <f t="shared" ca="1" si="128"/>
        <v>—</v>
      </c>
      <c r="E2729" s="16">
        <f t="shared" ca="1" si="129"/>
        <v>7</v>
      </c>
    </row>
    <row r="2730" spans="1:5" x14ac:dyDescent="0.25">
      <c r="A2730" s="3">
        <f t="shared" si="127"/>
        <v>78989</v>
      </c>
      <c r="B2730" t="str">
        <f ca="1">TEXT(DATE(YEAR(Invoer!$A$5),1,1)+INT((ROWS(B$2:B2730)-1)/24),"""18""jjmmdd")</f>
        <v>18980424</v>
      </c>
      <c r="C2730" s="11" t="str">
        <f>INDEX(Data,2,2+MOD(ROWS(C$2:C2730)-1,24))</f>
        <v>17.00</v>
      </c>
      <c r="D2730" s="8" t="str">
        <f t="shared" ca="1" si="128"/>
        <v>—</v>
      </c>
      <c r="E2730" s="16">
        <f t="shared" ca="1" si="129"/>
        <v>7</v>
      </c>
    </row>
    <row r="2731" spans="1:5" x14ac:dyDescent="0.25">
      <c r="A2731" s="3">
        <f t="shared" si="127"/>
        <v>78989</v>
      </c>
      <c r="B2731" t="str">
        <f ca="1">TEXT(DATE(YEAR(Invoer!$A$5),1,1)+INT((ROWS(B$2:B2731)-1)/24),"""18""jjmmdd")</f>
        <v>18980424</v>
      </c>
      <c r="C2731" s="11" t="str">
        <f>INDEX(Data,2,2+MOD(ROWS(C$2:C2731)-1,24))</f>
        <v>18.00</v>
      </c>
      <c r="D2731" s="8" t="str">
        <f t="shared" ca="1" si="128"/>
        <v>—</v>
      </c>
      <c r="E2731" s="16">
        <f t="shared" ca="1" si="129"/>
        <v>7</v>
      </c>
    </row>
    <row r="2732" spans="1:5" x14ac:dyDescent="0.25">
      <c r="A2732" s="3">
        <f t="shared" si="127"/>
        <v>78989</v>
      </c>
      <c r="B2732" t="str">
        <f ca="1">TEXT(DATE(YEAR(Invoer!$A$5),1,1)+INT((ROWS(B$2:B2732)-1)/24),"""18""jjmmdd")</f>
        <v>18980424</v>
      </c>
      <c r="C2732" s="11" t="str">
        <f>INDEX(Data,2,2+MOD(ROWS(C$2:C2732)-1,24))</f>
        <v>19.00</v>
      </c>
      <c r="D2732" s="8" t="str">
        <f t="shared" ca="1" si="128"/>
        <v>—</v>
      </c>
      <c r="E2732" s="16">
        <f t="shared" ca="1" si="129"/>
        <v>7</v>
      </c>
    </row>
    <row r="2733" spans="1:5" x14ac:dyDescent="0.25">
      <c r="A2733" s="3">
        <f t="shared" si="127"/>
        <v>78989</v>
      </c>
      <c r="B2733" t="str">
        <f ca="1">TEXT(DATE(YEAR(Invoer!$A$5),1,1)+INT((ROWS(B$2:B2733)-1)/24),"""18""jjmmdd")</f>
        <v>18980424</v>
      </c>
      <c r="C2733" s="11" t="str">
        <f>INDEX(Data,2,2+MOD(ROWS(C$2:C2733)-1,24))</f>
        <v>20.00</v>
      </c>
      <c r="D2733" s="8" t="str">
        <f t="shared" ca="1" si="128"/>
        <v>—</v>
      </c>
      <c r="E2733" s="16">
        <f t="shared" ca="1" si="129"/>
        <v>7</v>
      </c>
    </row>
    <row r="2734" spans="1:5" x14ac:dyDescent="0.25">
      <c r="A2734" s="3">
        <f t="shared" si="127"/>
        <v>78989</v>
      </c>
      <c r="B2734" t="str">
        <f ca="1">TEXT(DATE(YEAR(Invoer!$A$5),1,1)+INT((ROWS(B$2:B2734)-1)/24),"""18""jjmmdd")</f>
        <v>18980424</v>
      </c>
      <c r="C2734" s="11" t="str">
        <f>INDEX(Data,2,2+MOD(ROWS(C$2:C2734)-1,24))</f>
        <v>21.00</v>
      </c>
      <c r="D2734" s="8" t="str">
        <f t="shared" ca="1" si="128"/>
        <v>—</v>
      </c>
      <c r="E2734" s="16">
        <f t="shared" ca="1" si="129"/>
        <v>7</v>
      </c>
    </row>
    <row r="2735" spans="1:5" x14ac:dyDescent="0.25">
      <c r="A2735" s="3">
        <f t="shared" si="127"/>
        <v>78989</v>
      </c>
      <c r="B2735" t="str">
        <f ca="1">TEXT(DATE(YEAR(Invoer!$A$5),1,1)+INT((ROWS(B$2:B2735)-1)/24),"""18""jjmmdd")</f>
        <v>18980424</v>
      </c>
      <c r="C2735" s="11" t="str">
        <f>INDEX(Data,2,2+MOD(ROWS(C$2:C2735)-1,24))</f>
        <v>22.00</v>
      </c>
      <c r="D2735" s="8" t="str">
        <f t="shared" ca="1" si="128"/>
        <v>—</v>
      </c>
      <c r="E2735" s="16">
        <f t="shared" ca="1" si="129"/>
        <v>7</v>
      </c>
    </row>
    <row r="2736" spans="1:5" x14ac:dyDescent="0.25">
      <c r="A2736" s="3">
        <f t="shared" si="127"/>
        <v>78989</v>
      </c>
      <c r="B2736" t="str">
        <f ca="1">TEXT(DATE(YEAR(Invoer!$A$5),1,1)+INT((ROWS(B$2:B2736)-1)/24),"""18""jjmmdd")</f>
        <v>18980424</v>
      </c>
      <c r="C2736" s="11" t="str">
        <f>INDEX(Data,2,2+MOD(ROWS(C$2:C2736)-1,24))</f>
        <v>23.00</v>
      </c>
      <c r="D2736" s="8" t="str">
        <f t="shared" ca="1" si="128"/>
        <v>—</v>
      </c>
      <c r="E2736" s="16">
        <f t="shared" ca="1" si="129"/>
        <v>7</v>
      </c>
    </row>
    <row r="2737" spans="1:5" x14ac:dyDescent="0.25">
      <c r="A2737" s="3">
        <f t="shared" si="127"/>
        <v>78989</v>
      </c>
      <c r="B2737" t="str">
        <f ca="1">TEXT(DATE(YEAR(Invoer!$A$5),1,1)+INT((ROWS(B$2:B2737)-1)/24),"""18""jjmmdd")</f>
        <v>18980424</v>
      </c>
      <c r="C2737" s="11" t="str">
        <f>INDEX(Data,2,2+MOD(ROWS(C$2:C2737)-1,24))</f>
        <v>24.00</v>
      </c>
      <c r="D2737" s="8" t="str">
        <f t="shared" ca="1" si="128"/>
        <v>—</v>
      </c>
      <c r="E2737" s="16">
        <f t="shared" ca="1" si="129"/>
        <v>7</v>
      </c>
    </row>
    <row r="2738" spans="1:5" x14ac:dyDescent="0.25">
      <c r="A2738" s="3">
        <f t="shared" si="127"/>
        <v>78989</v>
      </c>
      <c r="B2738" t="str">
        <f ca="1">TEXT(DATE(YEAR(Invoer!$A$5),1,1)+INT((ROWS(B$2:B2738)-1)/24),"""18""jjmmdd")</f>
        <v>18980425</v>
      </c>
      <c r="C2738" s="11" t="str">
        <f>INDEX(Data,2,2+MOD(ROWS(C$2:C2738)-1,24))</f>
        <v>01.00</v>
      </c>
      <c r="D2738" s="8" t="str">
        <f t="shared" ca="1" si="128"/>
        <v>—</v>
      </c>
      <c r="E2738" s="16">
        <f t="shared" ca="1" si="129"/>
        <v>7</v>
      </c>
    </row>
    <row r="2739" spans="1:5" x14ac:dyDescent="0.25">
      <c r="A2739" s="3">
        <f t="shared" si="127"/>
        <v>78989</v>
      </c>
      <c r="B2739" t="str">
        <f ca="1">TEXT(DATE(YEAR(Invoer!$A$5),1,1)+INT((ROWS(B$2:B2739)-1)/24),"""18""jjmmdd")</f>
        <v>18980425</v>
      </c>
      <c r="C2739" s="11" t="str">
        <f>INDEX(Data,2,2+MOD(ROWS(C$2:C2739)-1,24))</f>
        <v>02.00</v>
      </c>
      <c r="D2739" s="8" t="str">
        <f t="shared" ca="1" si="128"/>
        <v>—</v>
      </c>
      <c r="E2739" s="16">
        <f t="shared" ca="1" si="129"/>
        <v>7</v>
      </c>
    </row>
    <row r="2740" spans="1:5" x14ac:dyDescent="0.25">
      <c r="A2740" s="3">
        <f t="shared" si="127"/>
        <v>78989</v>
      </c>
      <c r="B2740" t="str">
        <f ca="1">TEXT(DATE(YEAR(Invoer!$A$5),1,1)+INT((ROWS(B$2:B2740)-1)/24),"""18""jjmmdd")</f>
        <v>18980425</v>
      </c>
      <c r="C2740" s="11" t="str">
        <f>INDEX(Data,2,2+MOD(ROWS(C$2:C2740)-1,24))</f>
        <v>03.00</v>
      </c>
      <c r="D2740" s="8" t="str">
        <f t="shared" ca="1" si="128"/>
        <v>—</v>
      </c>
      <c r="E2740" s="16">
        <f t="shared" ca="1" si="129"/>
        <v>7</v>
      </c>
    </row>
    <row r="2741" spans="1:5" x14ac:dyDescent="0.25">
      <c r="A2741" s="3">
        <f t="shared" si="127"/>
        <v>78989</v>
      </c>
      <c r="B2741" t="str">
        <f ca="1">TEXT(DATE(YEAR(Invoer!$A$5),1,1)+INT((ROWS(B$2:B2741)-1)/24),"""18""jjmmdd")</f>
        <v>18980425</v>
      </c>
      <c r="C2741" s="11" t="str">
        <f>INDEX(Data,2,2+MOD(ROWS(C$2:C2741)-1,24))</f>
        <v>04.00</v>
      </c>
      <c r="D2741" s="8" t="str">
        <f t="shared" ca="1" si="128"/>
        <v>—</v>
      </c>
      <c r="E2741" s="16">
        <f t="shared" ca="1" si="129"/>
        <v>7</v>
      </c>
    </row>
    <row r="2742" spans="1:5" x14ac:dyDescent="0.25">
      <c r="A2742" s="3">
        <f t="shared" si="127"/>
        <v>78989</v>
      </c>
      <c r="B2742" t="str">
        <f ca="1">TEXT(DATE(YEAR(Invoer!$A$5),1,1)+INT((ROWS(B$2:B2742)-1)/24),"""18""jjmmdd")</f>
        <v>18980425</v>
      </c>
      <c r="C2742" s="11" t="str">
        <f>INDEX(Data,2,2+MOD(ROWS(C$2:C2742)-1,24))</f>
        <v>05.00</v>
      </c>
      <c r="D2742" s="8" t="str">
        <f t="shared" ca="1" si="128"/>
        <v>—</v>
      </c>
      <c r="E2742" s="16">
        <f t="shared" ca="1" si="129"/>
        <v>7</v>
      </c>
    </row>
    <row r="2743" spans="1:5" x14ac:dyDescent="0.25">
      <c r="A2743" s="3">
        <f t="shared" si="127"/>
        <v>78989</v>
      </c>
      <c r="B2743" t="str">
        <f ca="1">TEXT(DATE(YEAR(Invoer!$A$5),1,1)+INT((ROWS(B$2:B2743)-1)/24),"""18""jjmmdd")</f>
        <v>18980425</v>
      </c>
      <c r="C2743" s="11" t="str">
        <f>INDEX(Data,2,2+MOD(ROWS(C$2:C2743)-1,24))</f>
        <v>06.00</v>
      </c>
      <c r="D2743" s="8" t="str">
        <f t="shared" ca="1" si="128"/>
        <v>—</v>
      </c>
      <c r="E2743" s="16">
        <f t="shared" ca="1" si="129"/>
        <v>7</v>
      </c>
    </row>
    <row r="2744" spans="1:5" x14ac:dyDescent="0.25">
      <c r="A2744" s="3">
        <f t="shared" si="127"/>
        <v>78989</v>
      </c>
      <c r="B2744" t="str">
        <f ca="1">TEXT(DATE(YEAR(Invoer!$A$5),1,1)+INT((ROWS(B$2:B2744)-1)/24),"""18""jjmmdd")</f>
        <v>18980425</v>
      </c>
      <c r="C2744" s="11" t="str">
        <f>INDEX(Data,2,2+MOD(ROWS(C$2:C2744)-1,24))</f>
        <v>07.00</v>
      </c>
      <c r="D2744" s="8" t="str">
        <f t="shared" ca="1" si="128"/>
        <v>—</v>
      </c>
      <c r="E2744" s="16">
        <f t="shared" ca="1" si="129"/>
        <v>7</v>
      </c>
    </row>
    <row r="2745" spans="1:5" x14ac:dyDescent="0.25">
      <c r="A2745" s="3">
        <f t="shared" si="127"/>
        <v>78989</v>
      </c>
      <c r="B2745" t="str">
        <f ca="1">TEXT(DATE(YEAR(Invoer!$A$5),1,1)+INT((ROWS(B$2:B2745)-1)/24),"""18""jjmmdd")</f>
        <v>18980425</v>
      </c>
      <c r="C2745" s="11" t="str">
        <f>INDEX(Data,2,2+MOD(ROWS(C$2:C2745)-1,24))</f>
        <v>08.00</v>
      </c>
      <c r="D2745" s="8" t="str">
        <f t="shared" ca="1" si="128"/>
        <v>—</v>
      </c>
      <c r="E2745" s="16">
        <f t="shared" ca="1" si="129"/>
        <v>7</v>
      </c>
    </row>
    <row r="2746" spans="1:5" x14ac:dyDescent="0.25">
      <c r="A2746" s="3">
        <f t="shared" si="127"/>
        <v>78989</v>
      </c>
      <c r="B2746" t="str">
        <f ca="1">TEXT(DATE(YEAR(Invoer!$A$5),1,1)+INT((ROWS(B$2:B2746)-1)/24),"""18""jjmmdd")</f>
        <v>18980425</v>
      </c>
      <c r="C2746" s="11" t="str">
        <f>INDEX(Data,2,2+MOD(ROWS(C$2:C2746)-1,24))</f>
        <v>09.00</v>
      </c>
      <c r="D2746" s="8" t="str">
        <f t="shared" ca="1" si="128"/>
        <v>—</v>
      </c>
      <c r="E2746" s="16">
        <f t="shared" ca="1" si="129"/>
        <v>7</v>
      </c>
    </row>
    <row r="2747" spans="1:5" x14ac:dyDescent="0.25">
      <c r="A2747" s="3">
        <f t="shared" si="127"/>
        <v>78989</v>
      </c>
      <c r="B2747" t="str">
        <f ca="1">TEXT(DATE(YEAR(Invoer!$A$5),1,1)+INT((ROWS(B$2:B2747)-1)/24),"""18""jjmmdd")</f>
        <v>18980425</v>
      </c>
      <c r="C2747" s="11" t="str">
        <f>INDEX(Data,2,2+MOD(ROWS(C$2:C2747)-1,24))</f>
        <v>10.00</v>
      </c>
      <c r="D2747" s="8" t="str">
        <f t="shared" ca="1" si="128"/>
        <v>—</v>
      </c>
      <c r="E2747" s="16">
        <f t="shared" ca="1" si="129"/>
        <v>7</v>
      </c>
    </row>
    <row r="2748" spans="1:5" x14ac:dyDescent="0.25">
      <c r="A2748" s="3">
        <f t="shared" si="127"/>
        <v>78989</v>
      </c>
      <c r="B2748" t="str">
        <f ca="1">TEXT(DATE(YEAR(Invoer!$A$5),1,1)+INT((ROWS(B$2:B2748)-1)/24),"""18""jjmmdd")</f>
        <v>18980425</v>
      </c>
      <c r="C2748" s="11" t="str">
        <f>INDEX(Data,2,2+MOD(ROWS(C$2:C2748)-1,24))</f>
        <v>11.00</v>
      </c>
      <c r="D2748" s="8" t="str">
        <f t="shared" ca="1" si="128"/>
        <v>—</v>
      </c>
      <c r="E2748" s="16">
        <f t="shared" ca="1" si="129"/>
        <v>7</v>
      </c>
    </row>
    <row r="2749" spans="1:5" x14ac:dyDescent="0.25">
      <c r="A2749" s="3">
        <f t="shared" si="127"/>
        <v>78989</v>
      </c>
      <c r="B2749" t="str">
        <f ca="1">TEXT(DATE(YEAR(Invoer!$A$5),1,1)+INT((ROWS(B$2:B2749)-1)/24),"""18""jjmmdd")</f>
        <v>18980425</v>
      </c>
      <c r="C2749" s="11" t="str">
        <f>INDEX(Data,2,2+MOD(ROWS(C$2:C2749)-1,24))</f>
        <v>12.00</v>
      </c>
      <c r="D2749" s="8" t="str">
        <f t="shared" ca="1" si="128"/>
        <v>—</v>
      </c>
      <c r="E2749" s="16">
        <f t="shared" ca="1" si="129"/>
        <v>7</v>
      </c>
    </row>
    <row r="2750" spans="1:5" x14ac:dyDescent="0.25">
      <c r="A2750" s="3">
        <f t="shared" si="127"/>
        <v>78989</v>
      </c>
      <c r="B2750" t="str">
        <f ca="1">TEXT(DATE(YEAR(Invoer!$A$5),1,1)+INT((ROWS(B$2:B2750)-1)/24),"""18""jjmmdd")</f>
        <v>18980425</v>
      </c>
      <c r="C2750" s="11" t="str">
        <f>INDEX(Data,2,2+MOD(ROWS(C$2:C2750)-1,24))</f>
        <v>13.00</v>
      </c>
      <c r="D2750" s="8" t="str">
        <f t="shared" ca="1" si="128"/>
        <v>—</v>
      </c>
      <c r="E2750" s="16">
        <f t="shared" ca="1" si="129"/>
        <v>7</v>
      </c>
    </row>
    <row r="2751" spans="1:5" x14ac:dyDescent="0.25">
      <c r="A2751" s="3">
        <f t="shared" si="127"/>
        <v>78989</v>
      </c>
      <c r="B2751" t="str">
        <f ca="1">TEXT(DATE(YEAR(Invoer!$A$5),1,1)+INT((ROWS(B$2:B2751)-1)/24),"""18""jjmmdd")</f>
        <v>18980425</v>
      </c>
      <c r="C2751" s="11" t="str">
        <f>INDEX(Data,2,2+MOD(ROWS(C$2:C2751)-1,24))</f>
        <v>14.00</v>
      </c>
      <c r="D2751" s="8" t="str">
        <f t="shared" ca="1" si="128"/>
        <v>—</v>
      </c>
      <c r="E2751" s="16">
        <f t="shared" ca="1" si="129"/>
        <v>7</v>
      </c>
    </row>
    <row r="2752" spans="1:5" x14ac:dyDescent="0.25">
      <c r="A2752" s="3">
        <f t="shared" si="127"/>
        <v>78989</v>
      </c>
      <c r="B2752" t="str">
        <f ca="1">TEXT(DATE(YEAR(Invoer!$A$5),1,1)+INT((ROWS(B$2:B2752)-1)/24),"""18""jjmmdd")</f>
        <v>18980425</v>
      </c>
      <c r="C2752" s="11" t="str">
        <f>INDEX(Data,2,2+MOD(ROWS(C$2:C2752)-1,24))</f>
        <v>15.00</v>
      </c>
      <c r="D2752" s="8" t="str">
        <f t="shared" ca="1" si="128"/>
        <v>—</v>
      </c>
      <c r="E2752" s="16">
        <f t="shared" ca="1" si="129"/>
        <v>7</v>
      </c>
    </row>
    <row r="2753" spans="1:5" x14ac:dyDescent="0.25">
      <c r="A2753" s="3">
        <f t="shared" si="127"/>
        <v>78989</v>
      </c>
      <c r="B2753" t="str">
        <f ca="1">TEXT(DATE(YEAR(Invoer!$A$5),1,1)+INT((ROWS(B$2:B2753)-1)/24),"""18""jjmmdd")</f>
        <v>18980425</v>
      </c>
      <c r="C2753" s="11" t="str">
        <f>INDEX(Data,2,2+MOD(ROWS(C$2:C2753)-1,24))</f>
        <v>16.00</v>
      </c>
      <c r="D2753" s="8" t="str">
        <f t="shared" ca="1" si="128"/>
        <v>—</v>
      </c>
      <c r="E2753" s="16">
        <f t="shared" ca="1" si="129"/>
        <v>7</v>
      </c>
    </row>
    <row r="2754" spans="1:5" x14ac:dyDescent="0.25">
      <c r="A2754" s="3">
        <f t="shared" ref="A2754:A2817" si="130">INDEX(Stations,2,1)</f>
        <v>78989</v>
      </c>
      <c r="B2754" t="str">
        <f ca="1">TEXT(DATE(YEAR(Invoer!$A$5),1,1)+INT((ROWS(B$2:B2754)-1)/24),"""18""jjmmdd")</f>
        <v>18980425</v>
      </c>
      <c r="C2754" s="11" t="str">
        <f>INDEX(Data,2,2+MOD(ROWS(C$2:C2754)-1,24))</f>
        <v>17.00</v>
      </c>
      <c r="D2754" s="8" t="str">
        <f t="shared" ref="D2754:D2817" ca="1" si="131">IF(OR(ISBLANK(VLOOKUP(DATEVALUE("37"&amp;MID($B2754,3,2)&amp;"-"&amp;MID($B2754,5,2)&amp;"-"&amp;RIGHT($B2754,2)),Data,MATCH(LEFT(VLOOKUP(D$1,Parameters,2,FALSE()),4)&amp;"*",OFFSET(Data,0,0,1),0)+MATCH($C2754,OFFSET(Data,1,0,1),0)-2,FALSE())),ISTEXT(VLOOKUP(DATEVALUE("37"&amp;MID($B2754,3,2)&amp;"-"&amp;MID($B2754,5,2)&amp;"-"&amp;RIGHT($B2754,2)),Data,MATCH(LEFT(VLOOKUP(D$1,Parameters,2,FALSE()),4)&amp;"*",OFFSET(Data,0,0,1),0)+MATCH($C2754,OFFSET(Data,1,0,1),0)-2,FALSE()))),"—",VLOOKUP(DATEVALUE("37"&amp;MID($B2754,3,2)&amp;"-"&amp;MID($B2754,5,2)&amp;"-"&amp;RIGHT($B2754,2)),Data,MATCH(LEFT(VLOOKUP(D$1,Parameters,2,FALSE()),4)&amp;"*",OFFSET(Data,0,0,1),0)+MATCH($C2754,OFFSET(Data,1,0,1),0)-2,FALSE()))</f>
        <v>—</v>
      </c>
      <c r="E2754" s="16">
        <f t="shared" ca="1" si="129"/>
        <v>7</v>
      </c>
    </row>
    <row r="2755" spans="1:5" x14ac:dyDescent="0.25">
      <c r="A2755" s="3">
        <f t="shared" si="130"/>
        <v>78989</v>
      </c>
      <c r="B2755" t="str">
        <f ca="1">TEXT(DATE(YEAR(Invoer!$A$5),1,1)+INT((ROWS(B$2:B2755)-1)/24),"""18""jjmmdd")</f>
        <v>18980425</v>
      </c>
      <c r="C2755" s="11" t="str">
        <f>INDEX(Data,2,2+MOD(ROWS(C$2:C2755)-1,24))</f>
        <v>18.00</v>
      </c>
      <c r="D2755" s="8" t="str">
        <f t="shared" ca="1" si="131"/>
        <v>—</v>
      </c>
      <c r="E2755" s="16">
        <f t="shared" ref="E2755:E2818" ca="1" si="132">IF(OR(ISBLANK(VLOOKUP(DATEVALUE("37"&amp;MID($B2755,3,2)&amp;"-"&amp;MID($B2755,5,2)&amp;"-"&amp;RIGHT($B2755,2)),Data,MATCH(LEFT(VLOOKUP(D$1,Parameters,2,FALSE()),4)&amp;"*",OFFSET(Data,0,0,1),0)+MATCH($C2755,OFFSET(Data,1,0,1),0)-2,FALSE())),ISTEXT(VLOOKUP(DATEVALUE("37"&amp;MID($B2755,3,2)&amp;"-"&amp;MID($B2755,5,2)&amp;"-"&amp;RIGHT($B2755,2)),Data,MATCH(LEFT(VLOOKUP(D$1,Parameters,2,FALSE()),4)&amp;"*",OFFSET(Data,0,0,1),0)+MATCH($C2755,OFFSET(Data,1,0,1),0)-2,FALSE()))),Lacking,IF(ISNA(MATCH(DATEVALUE("37"&amp;MID($B2755,3,2)&amp;"-"&amp;MID($B2755,5,2)&amp;"-"&amp;RIGHT($B2755,2)),OFFSET(Catalogus,0,0,,1),0)),Ok,VLOOKUP(DATEVALUE("37"&amp;MID($B2755,3,2)&amp;"-"&amp;MID($B2755,5,2)&amp;"-"&amp;RIGHT($B2755,2)),Catalogus,MATCH(LEFT(VLOOKUP(MID(E$1,2,LEN(E$1)-1),Parameters,2,FALSE()),4)&amp;"*",OFFSET(Catalogus,0,0,1),0)+MATCH($C2755,OFFSET(Catalogus,1,0,1),0)-2,FALSE())))</f>
        <v>7</v>
      </c>
    </row>
    <row r="2756" spans="1:5" x14ac:dyDescent="0.25">
      <c r="A2756" s="3">
        <f t="shared" si="130"/>
        <v>78989</v>
      </c>
      <c r="B2756" t="str">
        <f ca="1">TEXT(DATE(YEAR(Invoer!$A$5),1,1)+INT((ROWS(B$2:B2756)-1)/24),"""18""jjmmdd")</f>
        <v>18980425</v>
      </c>
      <c r="C2756" s="11" t="str">
        <f>INDEX(Data,2,2+MOD(ROWS(C$2:C2756)-1,24))</f>
        <v>19.00</v>
      </c>
      <c r="D2756" s="8" t="str">
        <f t="shared" ca="1" si="131"/>
        <v>—</v>
      </c>
      <c r="E2756" s="16">
        <f t="shared" ca="1" si="132"/>
        <v>7</v>
      </c>
    </row>
    <row r="2757" spans="1:5" x14ac:dyDescent="0.25">
      <c r="A2757" s="3">
        <f t="shared" si="130"/>
        <v>78989</v>
      </c>
      <c r="B2757" t="str">
        <f ca="1">TEXT(DATE(YEAR(Invoer!$A$5),1,1)+INT((ROWS(B$2:B2757)-1)/24),"""18""jjmmdd")</f>
        <v>18980425</v>
      </c>
      <c r="C2757" s="11" t="str">
        <f>INDEX(Data,2,2+MOD(ROWS(C$2:C2757)-1,24))</f>
        <v>20.00</v>
      </c>
      <c r="D2757" s="8" t="str">
        <f t="shared" ca="1" si="131"/>
        <v>—</v>
      </c>
      <c r="E2757" s="16">
        <f t="shared" ca="1" si="132"/>
        <v>7</v>
      </c>
    </row>
    <row r="2758" spans="1:5" x14ac:dyDescent="0.25">
      <c r="A2758" s="3">
        <f t="shared" si="130"/>
        <v>78989</v>
      </c>
      <c r="B2758" t="str">
        <f ca="1">TEXT(DATE(YEAR(Invoer!$A$5),1,1)+INT((ROWS(B$2:B2758)-1)/24),"""18""jjmmdd")</f>
        <v>18980425</v>
      </c>
      <c r="C2758" s="11" t="str">
        <f>INDEX(Data,2,2+MOD(ROWS(C$2:C2758)-1,24))</f>
        <v>21.00</v>
      </c>
      <c r="D2758" s="8" t="str">
        <f t="shared" ca="1" si="131"/>
        <v>—</v>
      </c>
      <c r="E2758" s="16">
        <f t="shared" ca="1" si="132"/>
        <v>7</v>
      </c>
    </row>
    <row r="2759" spans="1:5" x14ac:dyDescent="0.25">
      <c r="A2759" s="3">
        <f t="shared" si="130"/>
        <v>78989</v>
      </c>
      <c r="B2759" t="str">
        <f ca="1">TEXT(DATE(YEAR(Invoer!$A$5),1,1)+INT((ROWS(B$2:B2759)-1)/24),"""18""jjmmdd")</f>
        <v>18980425</v>
      </c>
      <c r="C2759" s="11" t="str">
        <f>INDEX(Data,2,2+MOD(ROWS(C$2:C2759)-1,24))</f>
        <v>22.00</v>
      </c>
      <c r="D2759" s="8" t="str">
        <f t="shared" ca="1" si="131"/>
        <v>—</v>
      </c>
      <c r="E2759" s="16">
        <f t="shared" ca="1" si="132"/>
        <v>7</v>
      </c>
    </row>
    <row r="2760" spans="1:5" x14ac:dyDescent="0.25">
      <c r="A2760" s="3">
        <f t="shared" si="130"/>
        <v>78989</v>
      </c>
      <c r="B2760" t="str">
        <f ca="1">TEXT(DATE(YEAR(Invoer!$A$5),1,1)+INT((ROWS(B$2:B2760)-1)/24),"""18""jjmmdd")</f>
        <v>18980425</v>
      </c>
      <c r="C2760" s="11" t="str">
        <f>INDEX(Data,2,2+MOD(ROWS(C$2:C2760)-1,24))</f>
        <v>23.00</v>
      </c>
      <c r="D2760" s="8" t="str">
        <f t="shared" ca="1" si="131"/>
        <v>—</v>
      </c>
      <c r="E2760" s="16">
        <f t="shared" ca="1" si="132"/>
        <v>7</v>
      </c>
    </row>
    <row r="2761" spans="1:5" x14ac:dyDescent="0.25">
      <c r="A2761" s="3">
        <f t="shared" si="130"/>
        <v>78989</v>
      </c>
      <c r="B2761" t="str">
        <f ca="1">TEXT(DATE(YEAR(Invoer!$A$5),1,1)+INT((ROWS(B$2:B2761)-1)/24),"""18""jjmmdd")</f>
        <v>18980425</v>
      </c>
      <c r="C2761" s="11" t="str">
        <f>INDEX(Data,2,2+MOD(ROWS(C$2:C2761)-1,24))</f>
        <v>24.00</v>
      </c>
      <c r="D2761" s="8" t="str">
        <f t="shared" ca="1" si="131"/>
        <v>—</v>
      </c>
      <c r="E2761" s="16">
        <f t="shared" ca="1" si="132"/>
        <v>7</v>
      </c>
    </row>
    <row r="2762" spans="1:5" x14ac:dyDescent="0.25">
      <c r="A2762" s="3">
        <f t="shared" si="130"/>
        <v>78989</v>
      </c>
      <c r="B2762" t="str">
        <f ca="1">TEXT(DATE(YEAR(Invoer!$A$5),1,1)+INT((ROWS(B$2:B2762)-1)/24),"""18""jjmmdd")</f>
        <v>18980426</v>
      </c>
      <c r="C2762" s="11" t="str">
        <f>INDEX(Data,2,2+MOD(ROWS(C$2:C2762)-1,24))</f>
        <v>01.00</v>
      </c>
      <c r="D2762" s="8" t="str">
        <f t="shared" ca="1" si="131"/>
        <v>—</v>
      </c>
      <c r="E2762" s="16">
        <f t="shared" ca="1" si="132"/>
        <v>7</v>
      </c>
    </row>
    <row r="2763" spans="1:5" x14ac:dyDescent="0.25">
      <c r="A2763" s="3">
        <f t="shared" si="130"/>
        <v>78989</v>
      </c>
      <c r="B2763" t="str">
        <f ca="1">TEXT(DATE(YEAR(Invoer!$A$5),1,1)+INT((ROWS(B$2:B2763)-1)/24),"""18""jjmmdd")</f>
        <v>18980426</v>
      </c>
      <c r="C2763" s="11" t="str">
        <f>INDEX(Data,2,2+MOD(ROWS(C$2:C2763)-1,24))</f>
        <v>02.00</v>
      </c>
      <c r="D2763" s="8" t="str">
        <f t="shared" ca="1" si="131"/>
        <v>—</v>
      </c>
      <c r="E2763" s="16">
        <f t="shared" ca="1" si="132"/>
        <v>7</v>
      </c>
    </row>
    <row r="2764" spans="1:5" x14ac:dyDescent="0.25">
      <c r="A2764" s="3">
        <f t="shared" si="130"/>
        <v>78989</v>
      </c>
      <c r="B2764" t="str">
        <f ca="1">TEXT(DATE(YEAR(Invoer!$A$5),1,1)+INT((ROWS(B$2:B2764)-1)/24),"""18""jjmmdd")</f>
        <v>18980426</v>
      </c>
      <c r="C2764" s="11" t="str">
        <f>INDEX(Data,2,2+MOD(ROWS(C$2:C2764)-1,24))</f>
        <v>03.00</v>
      </c>
      <c r="D2764" s="8" t="str">
        <f t="shared" ca="1" si="131"/>
        <v>—</v>
      </c>
      <c r="E2764" s="16">
        <f t="shared" ca="1" si="132"/>
        <v>7</v>
      </c>
    </row>
    <row r="2765" spans="1:5" x14ac:dyDescent="0.25">
      <c r="A2765" s="3">
        <f t="shared" si="130"/>
        <v>78989</v>
      </c>
      <c r="B2765" t="str">
        <f ca="1">TEXT(DATE(YEAR(Invoer!$A$5),1,1)+INT((ROWS(B$2:B2765)-1)/24),"""18""jjmmdd")</f>
        <v>18980426</v>
      </c>
      <c r="C2765" s="11" t="str">
        <f>INDEX(Data,2,2+MOD(ROWS(C$2:C2765)-1,24))</f>
        <v>04.00</v>
      </c>
      <c r="D2765" s="8" t="str">
        <f t="shared" ca="1" si="131"/>
        <v>—</v>
      </c>
      <c r="E2765" s="16">
        <f t="shared" ca="1" si="132"/>
        <v>7</v>
      </c>
    </row>
    <row r="2766" spans="1:5" x14ac:dyDescent="0.25">
      <c r="A2766" s="3">
        <f t="shared" si="130"/>
        <v>78989</v>
      </c>
      <c r="B2766" t="str">
        <f ca="1">TEXT(DATE(YEAR(Invoer!$A$5),1,1)+INT((ROWS(B$2:B2766)-1)/24),"""18""jjmmdd")</f>
        <v>18980426</v>
      </c>
      <c r="C2766" s="11" t="str">
        <f>INDEX(Data,2,2+MOD(ROWS(C$2:C2766)-1,24))</f>
        <v>05.00</v>
      </c>
      <c r="D2766" s="8" t="str">
        <f t="shared" ca="1" si="131"/>
        <v>—</v>
      </c>
      <c r="E2766" s="16">
        <f t="shared" ca="1" si="132"/>
        <v>7</v>
      </c>
    </row>
    <row r="2767" spans="1:5" x14ac:dyDescent="0.25">
      <c r="A2767" s="3">
        <f t="shared" si="130"/>
        <v>78989</v>
      </c>
      <c r="B2767" t="str">
        <f ca="1">TEXT(DATE(YEAR(Invoer!$A$5),1,1)+INT((ROWS(B$2:B2767)-1)/24),"""18""jjmmdd")</f>
        <v>18980426</v>
      </c>
      <c r="C2767" s="11" t="str">
        <f>INDEX(Data,2,2+MOD(ROWS(C$2:C2767)-1,24))</f>
        <v>06.00</v>
      </c>
      <c r="D2767" s="8" t="str">
        <f t="shared" ca="1" si="131"/>
        <v>—</v>
      </c>
      <c r="E2767" s="16">
        <f t="shared" ca="1" si="132"/>
        <v>7</v>
      </c>
    </row>
    <row r="2768" spans="1:5" x14ac:dyDescent="0.25">
      <c r="A2768" s="3">
        <f t="shared" si="130"/>
        <v>78989</v>
      </c>
      <c r="B2768" t="str">
        <f ca="1">TEXT(DATE(YEAR(Invoer!$A$5),1,1)+INT((ROWS(B$2:B2768)-1)/24),"""18""jjmmdd")</f>
        <v>18980426</v>
      </c>
      <c r="C2768" s="11" t="str">
        <f>INDEX(Data,2,2+MOD(ROWS(C$2:C2768)-1,24))</f>
        <v>07.00</v>
      </c>
      <c r="D2768" s="8" t="str">
        <f t="shared" ca="1" si="131"/>
        <v>—</v>
      </c>
      <c r="E2768" s="16">
        <f t="shared" ca="1" si="132"/>
        <v>7</v>
      </c>
    </row>
    <row r="2769" spans="1:5" x14ac:dyDescent="0.25">
      <c r="A2769" s="3">
        <f t="shared" si="130"/>
        <v>78989</v>
      </c>
      <c r="B2769" t="str">
        <f ca="1">TEXT(DATE(YEAR(Invoer!$A$5),1,1)+INT((ROWS(B$2:B2769)-1)/24),"""18""jjmmdd")</f>
        <v>18980426</v>
      </c>
      <c r="C2769" s="11" t="str">
        <f>INDEX(Data,2,2+MOD(ROWS(C$2:C2769)-1,24))</f>
        <v>08.00</v>
      </c>
      <c r="D2769" s="8" t="str">
        <f t="shared" ca="1" si="131"/>
        <v>—</v>
      </c>
      <c r="E2769" s="16">
        <f t="shared" ca="1" si="132"/>
        <v>7</v>
      </c>
    </row>
    <row r="2770" spans="1:5" x14ac:dyDescent="0.25">
      <c r="A2770" s="3">
        <f t="shared" si="130"/>
        <v>78989</v>
      </c>
      <c r="B2770" t="str">
        <f ca="1">TEXT(DATE(YEAR(Invoer!$A$5),1,1)+INT((ROWS(B$2:B2770)-1)/24),"""18""jjmmdd")</f>
        <v>18980426</v>
      </c>
      <c r="C2770" s="11" t="str">
        <f>INDEX(Data,2,2+MOD(ROWS(C$2:C2770)-1,24))</f>
        <v>09.00</v>
      </c>
      <c r="D2770" s="8" t="str">
        <f t="shared" ca="1" si="131"/>
        <v>—</v>
      </c>
      <c r="E2770" s="16">
        <f t="shared" ca="1" si="132"/>
        <v>7</v>
      </c>
    </row>
    <row r="2771" spans="1:5" x14ac:dyDescent="0.25">
      <c r="A2771" s="3">
        <f t="shared" si="130"/>
        <v>78989</v>
      </c>
      <c r="B2771" t="str">
        <f ca="1">TEXT(DATE(YEAR(Invoer!$A$5),1,1)+INT((ROWS(B$2:B2771)-1)/24),"""18""jjmmdd")</f>
        <v>18980426</v>
      </c>
      <c r="C2771" s="11" t="str">
        <f>INDEX(Data,2,2+MOD(ROWS(C$2:C2771)-1,24))</f>
        <v>10.00</v>
      </c>
      <c r="D2771" s="8" t="str">
        <f t="shared" ca="1" si="131"/>
        <v>—</v>
      </c>
      <c r="E2771" s="16">
        <f t="shared" ca="1" si="132"/>
        <v>7</v>
      </c>
    </row>
    <row r="2772" spans="1:5" x14ac:dyDescent="0.25">
      <c r="A2772" s="3">
        <f t="shared" si="130"/>
        <v>78989</v>
      </c>
      <c r="B2772" t="str">
        <f ca="1">TEXT(DATE(YEAR(Invoer!$A$5),1,1)+INT((ROWS(B$2:B2772)-1)/24),"""18""jjmmdd")</f>
        <v>18980426</v>
      </c>
      <c r="C2772" s="11" t="str">
        <f>INDEX(Data,2,2+MOD(ROWS(C$2:C2772)-1,24))</f>
        <v>11.00</v>
      </c>
      <c r="D2772" s="8" t="str">
        <f t="shared" ca="1" si="131"/>
        <v>—</v>
      </c>
      <c r="E2772" s="16">
        <f t="shared" ca="1" si="132"/>
        <v>7</v>
      </c>
    </row>
    <row r="2773" spans="1:5" x14ac:dyDescent="0.25">
      <c r="A2773" s="3">
        <f t="shared" si="130"/>
        <v>78989</v>
      </c>
      <c r="B2773" t="str">
        <f ca="1">TEXT(DATE(YEAR(Invoer!$A$5),1,1)+INT((ROWS(B$2:B2773)-1)/24),"""18""jjmmdd")</f>
        <v>18980426</v>
      </c>
      <c r="C2773" s="11" t="str">
        <f>INDEX(Data,2,2+MOD(ROWS(C$2:C2773)-1,24))</f>
        <v>12.00</v>
      </c>
      <c r="D2773" s="8" t="str">
        <f t="shared" ca="1" si="131"/>
        <v>—</v>
      </c>
      <c r="E2773" s="16">
        <f t="shared" ca="1" si="132"/>
        <v>7</v>
      </c>
    </row>
    <row r="2774" spans="1:5" x14ac:dyDescent="0.25">
      <c r="A2774" s="3">
        <f t="shared" si="130"/>
        <v>78989</v>
      </c>
      <c r="B2774" t="str">
        <f ca="1">TEXT(DATE(YEAR(Invoer!$A$5),1,1)+INT((ROWS(B$2:B2774)-1)/24),"""18""jjmmdd")</f>
        <v>18980426</v>
      </c>
      <c r="C2774" s="11" t="str">
        <f>INDEX(Data,2,2+MOD(ROWS(C$2:C2774)-1,24))</f>
        <v>13.00</v>
      </c>
      <c r="D2774" s="8" t="str">
        <f t="shared" ca="1" si="131"/>
        <v>—</v>
      </c>
      <c r="E2774" s="16">
        <f t="shared" ca="1" si="132"/>
        <v>7</v>
      </c>
    </row>
    <row r="2775" spans="1:5" x14ac:dyDescent="0.25">
      <c r="A2775" s="3">
        <f t="shared" si="130"/>
        <v>78989</v>
      </c>
      <c r="B2775" t="str">
        <f ca="1">TEXT(DATE(YEAR(Invoer!$A$5),1,1)+INT((ROWS(B$2:B2775)-1)/24),"""18""jjmmdd")</f>
        <v>18980426</v>
      </c>
      <c r="C2775" s="11" t="str">
        <f>INDEX(Data,2,2+MOD(ROWS(C$2:C2775)-1,24))</f>
        <v>14.00</v>
      </c>
      <c r="D2775" s="8" t="str">
        <f t="shared" ca="1" si="131"/>
        <v>—</v>
      </c>
      <c r="E2775" s="16">
        <f t="shared" ca="1" si="132"/>
        <v>7</v>
      </c>
    </row>
    <row r="2776" spans="1:5" x14ac:dyDescent="0.25">
      <c r="A2776" s="3">
        <f t="shared" si="130"/>
        <v>78989</v>
      </c>
      <c r="B2776" t="str">
        <f ca="1">TEXT(DATE(YEAR(Invoer!$A$5),1,1)+INT((ROWS(B$2:B2776)-1)/24),"""18""jjmmdd")</f>
        <v>18980426</v>
      </c>
      <c r="C2776" s="11" t="str">
        <f>INDEX(Data,2,2+MOD(ROWS(C$2:C2776)-1,24))</f>
        <v>15.00</v>
      </c>
      <c r="D2776" s="8" t="str">
        <f t="shared" ca="1" si="131"/>
        <v>—</v>
      </c>
      <c r="E2776" s="16">
        <f t="shared" ca="1" si="132"/>
        <v>7</v>
      </c>
    </row>
    <row r="2777" spans="1:5" x14ac:dyDescent="0.25">
      <c r="A2777" s="3">
        <f t="shared" si="130"/>
        <v>78989</v>
      </c>
      <c r="B2777" t="str">
        <f ca="1">TEXT(DATE(YEAR(Invoer!$A$5),1,1)+INT((ROWS(B$2:B2777)-1)/24),"""18""jjmmdd")</f>
        <v>18980426</v>
      </c>
      <c r="C2777" s="11" t="str">
        <f>INDEX(Data,2,2+MOD(ROWS(C$2:C2777)-1,24))</f>
        <v>16.00</v>
      </c>
      <c r="D2777" s="8" t="str">
        <f t="shared" ca="1" si="131"/>
        <v>—</v>
      </c>
      <c r="E2777" s="16">
        <f t="shared" ca="1" si="132"/>
        <v>7</v>
      </c>
    </row>
    <row r="2778" spans="1:5" x14ac:dyDescent="0.25">
      <c r="A2778" s="3">
        <f t="shared" si="130"/>
        <v>78989</v>
      </c>
      <c r="B2778" t="str">
        <f ca="1">TEXT(DATE(YEAR(Invoer!$A$5),1,1)+INT((ROWS(B$2:B2778)-1)/24),"""18""jjmmdd")</f>
        <v>18980426</v>
      </c>
      <c r="C2778" s="11" t="str">
        <f>INDEX(Data,2,2+MOD(ROWS(C$2:C2778)-1,24))</f>
        <v>17.00</v>
      </c>
      <c r="D2778" s="8" t="str">
        <f t="shared" ca="1" si="131"/>
        <v>—</v>
      </c>
      <c r="E2778" s="16">
        <f t="shared" ca="1" si="132"/>
        <v>7</v>
      </c>
    </row>
    <row r="2779" spans="1:5" x14ac:dyDescent="0.25">
      <c r="A2779" s="3">
        <f t="shared" si="130"/>
        <v>78989</v>
      </c>
      <c r="B2779" t="str">
        <f ca="1">TEXT(DATE(YEAR(Invoer!$A$5),1,1)+INT((ROWS(B$2:B2779)-1)/24),"""18""jjmmdd")</f>
        <v>18980426</v>
      </c>
      <c r="C2779" s="11" t="str">
        <f>INDEX(Data,2,2+MOD(ROWS(C$2:C2779)-1,24))</f>
        <v>18.00</v>
      </c>
      <c r="D2779" s="8" t="str">
        <f t="shared" ca="1" si="131"/>
        <v>—</v>
      </c>
      <c r="E2779" s="16">
        <f t="shared" ca="1" si="132"/>
        <v>7</v>
      </c>
    </row>
    <row r="2780" spans="1:5" x14ac:dyDescent="0.25">
      <c r="A2780" s="3">
        <f t="shared" si="130"/>
        <v>78989</v>
      </c>
      <c r="B2780" t="str">
        <f ca="1">TEXT(DATE(YEAR(Invoer!$A$5),1,1)+INT((ROWS(B$2:B2780)-1)/24),"""18""jjmmdd")</f>
        <v>18980426</v>
      </c>
      <c r="C2780" s="11" t="str">
        <f>INDEX(Data,2,2+MOD(ROWS(C$2:C2780)-1,24))</f>
        <v>19.00</v>
      </c>
      <c r="D2780" s="8" t="str">
        <f t="shared" ca="1" si="131"/>
        <v>—</v>
      </c>
      <c r="E2780" s="16">
        <f t="shared" ca="1" si="132"/>
        <v>7</v>
      </c>
    </row>
    <row r="2781" spans="1:5" x14ac:dyDescent="0.25">
      <c r="A2781" s="3">
        <f t="shared" si="130"/>
        <v>78989</v>
      </c>
      <c r="B2781" t="str">
        <f ca="1">TEXT(DATE(YEAR(Invoer!$A$5),1,1)+INT((ROWS(B$2:B2781)-1)/24),"""18""jjmmdd")</f>
        <v>18980426</v>
      </c>
      <c r="C2781" s="11" t="str">
        <f>INDEX(Data,2,2+MOD(ROWS(C$2:C2781)-1,24))</f>
        <v>20.00</v>
      </c>
      <c r="D2781" s="8" t="str">
        <f t="shared" ca="1" si="131"/>
        <v>—</v>
      </c>
      <c r="E2781" s="16">
        <f t="shared" ca="1" si="132"/>
        <v>7</v>
      </c>
    </row>
    <row r="2782" spans="1:5" x14ac:dyDescent="0.25">
      <c r="A2782" s="3">
        <f t="shared" si="130"/>
        <v>78989</v>
      </c>
      <c r="B2782" t="str">
        <f ca="1">TEXT(DATE(YEAR(Invoer!$A$5),1,1)+INT((ROWS(B$2:B2782)-1)/24),"""18""jjmmdd")</f>
        <v>18980426</v>
      </c>
      <c r="C2782" s="11" t="str">
        <f>INDEX(Data,2,2+MOD(ROWS(C$2:C2782)-1,24))</f>
        <v>21.00</v>
      </c>
      <c r="D2782" s="8" t="str">
        <f t="shared" ca="1" si="131"/>
        <v>—</v>
      </c>
      <c r="E2782" s="16">
        <f t="shared" ca="1" si="132"/>
        <v>7</v>
      </c>
    </row>
    <row r="2783" spans="1:5" x14ac:dyDescent="0.25">
      <c r="A2783" s="3">
        <f t="shared" si="130"/>
        <v>78989</v>
      </c>
      <c r="B2783" t="str">
        <f ca="1">TEXT(DATE(YEAR(Invoer!$A$5),1,1)+INT((ROWS(B$2:B2783)-1)/24),"""18""jjmmdd")</f>
        <v>18980426</v>
      </c>
      <c r="C2783" s="11" t="str">
        <f>INDEX(Data,2,2+MOD(ROWS(C$2:C2783)-1,24))</f>
        <v>22.00</v>
      </c>
      <c r="D2783" s="8" t="str">
        <f t="shared" ca="1" si="131"/>
        <v>—</v>
      </c>
      <c r="E2783" s="16">
        <f t="shared" ca="1" si="132"/>
        <v>7</v>
      </c>
    </row>
    <row r="2784" spans="1:5" x14ac:dyDescent="0.25">
      <c r="A2784" s="3">
        <f t="shared" si="130"/>
        <v>78989</v>
      </c>
      <c r="B2784" t="str">
        <f ca="1">TEXT(DATE(YEAR(Invoer!$A$5),1,1)+INT((ROWS(B$2:B2784)-1)/24),"""18""jjmmdd")</f>
        <v>18980426</v>
      </c>
      <c r="C2784" s="11" t="str">
        <f>INDEX(Data,2,2+MOD(ROWS(C$2:C2784)-1,24))</f>
        <v>23.00</v>
      </c>
      <c r="D2784" s="8" t="str">
        <f t="shared" ca="1" si="131"/>
        <v>—</v>
      </c>
      <c r="E2784" s="16">
        <f t="shared" ca="1" si="132"/>
        <v>7</v>
      </c>
    </row>
    <row r="2785" spans="1:5" x14ac:dyDescent="0.25">
      <c r="A2785" s="3">
        <f t="shared" si="130"/>
        <v>78989</v>
      </c>
      <c r="B2785" t="str">
        <f ca="1">TEXT(DATE(YEAR(Invoer!$A$5),1,1)+INT((ROWS(B$2:B2785)-1)/24),"""18""jjmmdd")</f>
        <v>18980426</v>
      </c>
      <c r="C2785" s="11" t="str">
        <f>INDEX(Data,2,2+MOD(ROWS(C$2:C2785)-1,24))</f>
        <v>24.00</v>
      </c>
      <c r="D2785" s="8" t="str">
        <f t="shared" ca="1" si="131"/>
        <v>—</v>
      </c>
      <c r="E2785" s="16">
        <f t="shared" ca="1" si="132"/>
        <v>7</v>
      </c>
    </row>
    <row r="2786" spans="1:5" x14ac:dyDescent="0.25">
      <c r="A2786" s="3">
        <f t="shared" si="130"/>
        <v>78989</v>
      </c>
      <c r="B2786" t="str">
        <f ca="1">TEXT(DATE(YEAR(Invoer!$A$5),1,1)+INT((ROWS(B$2:B2786)-1)/24),"""18""jjmmdd")</f>
        <v>18980427</v>
      </c>
      <c r="C2786" s="11" t="str">
        <f>INDEX(Data,2,2+MOD(ROWS(C$2:C2786)-1,24))</f>
        <v>01.00</v>
      </c>
      <c r="D2786" s="8" t="str">
        <f t="shared" ca="1" si="131"/>
        <v>—</v>
      </c>
      <c r="E2786" s="16">
        <f t="shared" ca="1" si="132"/>
        <v>7</v>
      </c>
    </row>
    <row r="2787" spans="1:5" x14ac:dyDescent="0.25">
      <c r="A2787" s="3">
        <f t="shared" si="130"/>
        <v>78989</v>
      </c>
      <c r="B2787" t="str">
        <f ca="1">TEXT(DATE(YEAR(Invoer!$A$5),1,1)+INT((ROWS(B$2:B2787)-1)/24),"""18""jjmmdd")</f>
        <v>18980427</v>
      </c>
      <c r="C2787" s="11" t="str">
        <f>INDEX(Data,2,2+MOD(ROWS(C$2:C2787)-1,24))</f>
        <v>02.00</v>
      </c>
      <c r="D2787" s="8" t="str">
        <f t="shared" ca="1" si="131"/>
        <v>—</v>
      </c>
      <c r="E2787" s="16">
        <f t="shared" ca="1" si="132"/>
        <v>7</v>
      </c>
    </row>
    <row r="2788" spans="1:5" x14ac:dyDescent="0.25">
      <c r="A2788" s="3">
        <f t="shared" si="130"/>
        <v>78989</v>
      </c>
      <c r="B2788" t="str">
        <f ca="1">TEXT(DATE(YEAR(Invoer!$A$5),1,1)+INT((ROWS(B$2:B2788)-1)/24),"""18""jjmmdd")</f>
        <v>18980427</v>
      </c>
      <c r="C2788" s="11" t="str">
        <f>INDEX(Data,2,2+MOD(ROWS(C$2:C2788)-1,24))</f>
        <v>03.00</v>
      </c>
      <c r="D2788" s="8" t="str">
        <f t="shared" ca="1" si="131"/>
        <v>—</v>
      </c>
      <c r="E2788" s="16">
        <f t="shared" ca="1" si="132"/>
        <v>7</v>
      </c>
    </row>
    <row r="2789" spans="1:5" x14ac:dyDescent="0.25">
      <c r="A2789" s="3">
        <f t="shared" si="130"/>
        <v>78989</v>
      </c>
      <c r="B2789" t="str">
        <f ca="1">TEXT(DATE(YEAR(Invoer!$A$5),1,1)+INT((ROWS(B$2:B2789)-1)/24),"""18""jjmmdd")</f>
        <v>18980427</v>
      </c>
      <c r="C2789" s="11" t="str">
        <f>INDEX(Data,2,2+MOD(ROWS(C$2:C2789)-1,24))</f>
        <v>04.00</v>
      </c>
      <c r="D2789" s="8" t="str">
        <f t="shared" ca="1" si="131"/>
        <v>—</v>
      </c>
      <c r="E2789" s="16">
        <f t="shared" ca="1" si="132"/>
        <v>7</v>
      </c>
    </row>
    <row r="2790" spans="1:5" x14ac:dyDescent="0.25">
      <c r="A2790" s="3">
        <f t="shared" si="130"/>
        <v>78989</v>
      </c>
      <c r="B2790" t="str">
        <f ca="1">TEXT(DATE(YEAR(Invoer!$A$5),1,1)+INT((ROWS(B$2:B2790)-1)/24),"""18""jjmmdd")</f>
        <v>18980427</v>
      </c>
      <c r="C2790" s="11" t="str">
        <f>INDEX(Data,2,2+MOD(ROWS(C$2:C2790)-1,24))</f>
        <v>05.00</v>
      </c>
      <c r="D2790" s="8" t="str">
        <f t="shared" ca="1" si="131"/>
        <v>—</v>
      </c>
      <c r="E2790" s="16">
        <f t="shared" ca="1" si="132"/>
        <v>7</v>
      </c>
    </row>
    <row r="2791" spans="1:5" x14ac:dyDescent="0.25">
      <c r="A2791" s="3">
        <f t="shared" si="130"/>
        <v>78989</v>
      </c>
      <c r="B2791" t="str">
        <f ca="1">TEXT(DATE(YEAR(Invoer!$A$5),1,1)+INT((ROWS(B$2:B2791)-1)/24),"""18""jjmmdd")</f>
        <v>18980427</v>
      </c>
      <c r="C2791" s="11" t="str">
        <f>INDEX(Data,2,2+MOD(ROWS(C$2:C2791)-1,24))</f>
        <v>06.00</v>
      </c>
      <c r="D2791" s="8" t="str">
        <f t="shared" ca="1" si="131"/>
        <v>—</v>
      </c>
      <c r="E2791" s="16">
        <f t="shared" ca="1" si="132"/>
        <v>7</v>
      </c>
    </row>
    <row r="2792" spans="1:5" x14ac:dyDescent="0.25">
      <c r="A2792" s="3">
        <f t="shared" si="130"/>
        <v>78989</v>
      </c>
      <c r="B2792" t="str">
        <f ca="1">TEXT(DATE(YEAR(Invoer!$A$5),1,1)+INT((ROWS(B$2:B2792)-1)/24),"""18""jjmmdd")</f>
        <v>18980427</v>
      </c>
      <c r="C2792" s="11" t="str">
        <f>INDEX(Data,2,2+MOD(ROWS(C$2:C2792)-1,24))</f>
        <v>07.00</v>
      </c>
      <c r="D2792" s="8" t="str">
        <f t="shared" ca="1" si="131"/>
        <v>—</v>
      </c>
      <c r="E2792" s="16">
        <f t="shared" ca="1" si="132"/>
        <v>7</v>
      </c>
    </row>
    <row r="2793" spans="1:5" x14ac:dyDescent="0.25">
      <c r="A2793" s="3">
        <f t="shared" si="130"/>
        <v>78989</v>
      </c>
      <c r="B2793" t="str">
        <f ca="1">TEXT(DATE(YEAR(Invoer!$A$5),1,1)+INT((ROWS(B$2:B2793)-1)/24),"""18""jjmmdd")</f>
        <v>18980427</v>
      </c>
      <c r="C2793" s="11" t="str">
        <f>INDEX(Data,2,2+MOD(ROWS(C$2:C2793)-1,24))</f>
        <v>08.00</v>
      </c>
      <c r="D2793" s="8" t="str">
        <f t="shared" ca="1" si="131"/>
        <v>—</v>
      </c>
      <c r="E2793" s="16">
        <f t="shared" ca="1" si="132"/>
        <v>7</v>
      </c>
    </row>
    <row r="2794" spans="1:5" x14ac:dyDescent="0.25">
      <c r="A2794" s="3">
        <f t="shared" si="130"/>
        <v>78989</v>
      </c>
      <c r="B2794" t="str">
        <f ca="1">TEXT(DATE(YEAR(Invoer!$A$5),1,1)+INT((ROWS(B$2:B2794)-1)/24),"""18""jjmmdd")</f>
        <v>18980427</v>
      </c>
      <c r="C2794" s="11" t="str">
        <f>INDEX(Data,2,2+MOD(ROWS(C$2:C2794)-1,24))</f>
        <v>09.00</v>
      </c>
      <c r="D2794" s="8" t="str">
        <f t="shared" ca="1" si="131"/>
        <v>—</v>
      </c>
      <c r="E2794" s="16">
        <f t="shared" ca="1" si="132"/>
        <v>7</v>
      </c>
    </row>
    <row r="2795" spans="1:5" x14ac:dyDescent="0.25">
      <c r="A2795" s="3">
        <f t="shared" si="130"/>
        <v>78989</v>
      </c>
      <c r="B2795" t="str">
        <f ca="1">TEXT(DATE(YEAR(Invoer!$A$5),1,1)+INT((ROWS(B$2:B2795)-1)/24),"""18""jjmmdd")</f>
        <v>18980427</v>
      </c>
      <c r="C2795" s="11" t="str">
        <f>INDEX(Data,2,2+MOD(ROWS(C$2:C2795)-1,24))</f>
        <v>10.00</v>
      </c>
      <c r="D2795" s="8" t="str">
        <f t="shared" ca="1" si="131"/>
        <v>—</v>
      </c>
      <c r="E2795" s="16">
        <f t="shared" ca="1" si="132"/>
        <v>7</v>
      </c>
    </row>
    <row r="2796" spans="1:5" x14ac:dyDescent="0.25">
      <c r="A2796" s="3">
        <f t="shared" si="130"/>
        <v>78989</v>
      </c>
      <c r="B2796" t="str">
        <f ca="1">TEXT(DATE(YEAR(Invoer!$A$5),1,1)+INT((ROWS(B$2:B2796)-1)/24),"""18""jjmmdd")</f>
        <v>18980427</v>
      </c>
      <c r="C2796" s="11" t="str">
        <f>INDEX(Data,2,2+MOD(ROWS(C$2:C2796)-1,24))</f>
        <v>11.00</v>
      </c>
      <c r="D2796" s="8" t="str">
        <f t="shared" ca="1" si="131"/>
        <v>—</v>
      </c>
      <c r="E2796" s="16">
        <f t="shared" ca="1" si="132"/>
        <v>7</v>
      </c>
    </row>
    <row r="2797" spans="1:5" x14ac:dyDescent="0.25">
      <c r="A2797" s="3">
        <f t="shared" si="130"/>
        <v>78989</v>
      </c>
      <c r="B2797" t="str">
        <f ca="1">TEXT(DATE(YEAR(Invoer!$A$5),1,1)+INT((ROWS(B$2:B2797)-1)/24),"""18""jjmmdd")</f>
        <v>18980427</v>
      </c>
      <c r="C2797" s="11" t="str">
        <f>INDEX(Data,2,2+MOD(ROWS(C$2:C2797)-1,24))</f>
        <v>12.00</v>
      </c>
      <c r="D2797" s="8" t="str">
        <f t="shared" ca="1" si="131"/>
        <v>—</v>
      </c>
      <c r="E2797" s="16">
        <f t="shared" ca="1" si="132"/>
        <v>7</v>
      </c>
    </row>
    <row r="2798" spans="1:5" x14ac:dyDescent="0.25">
      <c r="A2798" s="3">
        <f t="shared" si="130"/>
        <v>78989</v>
      </c>
      <c r="B2798" t="str">
        <f ca="1">TEXT(DATE(YEAR(Invoer!$A$5),1,1)+INT((ROWS(B$2:B2798)-1)/24),"""18""jjmmdd")</f>
        <v>18980427</v>
      </c>
      <c r="C2798" s="11" t="str">
        <f>INDEX(Data,2,2+MOD(ROWS(C$2:C2798)-1,24))</f>
        <v>13.00</v>
      </c>
      <c r="D2798" s="8" t="str">
        <f t="shared" ca="1" si="131"/>
        <v>—</v>
      </c>
      <c r="E2798" s="16">
        <f t="shared" ca="1" si="132"/>
        <v>7</v>
      </c>
    </row>
    <row r="2799" spans="1:5" x14ac:dyDescent="0.25">
      <c r="A2799" s="3">
        <f t="shared" si="130"/>
        <v>78989</v>
      </c>
      <c r="B2799" t="str">
        <f ca="1">TEXT(DATE(YEAR(Invoer!$A$5),1,1)+INT((ROWS(B$2:B2799)-1)/24),"""18""jjmmdd")</f>
        <v>18980427</v>
      </c>
      <c r="C2799" s="11" t="str">
        <f>INDEX(Data,2,2+MOD(ROWS(C$2:C2799)-1,24))</f>
        <v>14.00</v>
      </c>
      <c r="D2799" s="8" t="str">
        <f t="shared" ca="1" si="131"/>
        <v>—</v>
      </c>
      <c r="E2799" s="16">
        <f t="shared" ca="1" si="132"/>
        <v>7</v>
      </c>
    </row>
    <row r="2800" spans="1:5" x14ac:dyDescent="0.25">
      <c r="A2800" s="3">
        <f t="shared" si="130"/>
        <v>78989</v>
      </c>
      <c r="B2800" t="str">
        <f ca="1">TEXT(DATE(YEAR(Invoer!$A$5),1,1)+INT((ROWS(B$2:B2800)-1)/24),"""18""jjmmdd")</f>
        <v>18980427</v>
      </c>
      <c r="C2800" s="11" t="str">
        <f>INDEX(Data,2,2+MOD(ROWS(C$2:C2800)-1,24))</f>
        <v>15.00</v>
      </c>
      <c r="D2800" s="8" t="str">
        <f t="shared" ca="1" si="131"/>
        <v>—</v>
      </c>
      <c r="E2800" s="16">
        <f t="shared" ca="1" si="132"/>
        <v>7</v>
      </c>
    </row>
    <row r="2801" spans="1:5" x14ac:dyDescent="0.25">
      <c r="A2801" s="3">
        <f t="shared" si="130"/>
        <v>78989</v>
      </c>
      <c r="B2801" t="str">
        <f ca="1">TEXT(DATE(YEAR(Invoer!$A$5),1,1)+INT((ROWS(B$2:B2801)-1)/24),"""18""jjmmdd")</f>
        <v>18980427</v>
      </c>
      <c r="C2801" s="11" t="str">
        <f>INDEX(Data,2,2+MOD(ROWS(C$2:C2801)-1,24))</f>
        <v>16.00</v>
      </c>
      <c r="D2801" s="8" t="str">
        <f t="shared" ca="1" si="131"/>
        <v>—</v>
      </c>
      <c r="E2801" s="16">
        <f t="shared" ca="1" si="132"/>
        <v>7</v>
      </c>
    </row>
    <row r="2802" spans="1:5" x14ac:dyDescent="0.25">
      <c r="A2802" s="3">
        <f t="shared" si="130"/>
        <v>78989</v>
      </c>
      <c r="B2802" t="str">
        <f ca="1">TEXT(DATE(YEAR(Invoer!$A$5),1,1)+INT((ROWS(B$2:B2802)-1)/24),"""18""jjmmdd")</f>
        <v>18980427</v>
      </c>
      <c r="C2802" s="11" t="str">
        <f>INDEX(Data,2,2+MOD(ROWS(C$2:C2802)-1,24))</f>
        <v>17.00</v>
      </c>
      <c r="D2802" s="8" t="str">
        <f t="shared" ca="1" si="131"/>
        <v>—</v>
      </c>
      <c r="E2802" s="16">
        <f t="shared" ca="1" si="132"/>
        <v>7</v>
      </c>
    </row>
    <row r="2803" spans="1:5" x14ac:dyDescent="0.25">
      <c r="A2803" s="3">
        <f t="shared" si="130"/>
        <v>78989</v>
      </c>
      <c r="B2803" t="str">
        <f ca="1">TEXT(DATE(YEAR(Invoer!$A$5),1,1)+INT((ROWS(B$2:B2803)-1)/24),"""18""jjmmdd")</f>
        <v>18980427</v>
      </c>
      <c r="C2803" s="11" t="str">
        <f>INDEX(Data,2,2+MOD(ROWS(C$2:C2803)-1,24))</f>
        <v>18.00</v>
      </c>
      <c r="D2803" s="8" t="str">
        <f t="shared" ca="1" si="131"/>
        <v>—</v>
      </c>
      <c r="E2803" s="16">
        <f t="shared" ca="1" si="132"/>
        <v>7</v>
      </c>
    </row>
    <row r="2804" spans="1:5" x14ac:dyDescent="0.25">
      <c r="A2804" s="3">
        <f t="shared" si="130"/>
        <v>78989</v>
      </c>
      <c r="B2804" t="str">
        <f ca="1">TEXT(DATE(YEAR(Invoer!$A$5),1,1)+INT((ROWS(B$2:B2804)-1)/24),"""18""jjmmdd")</f>
        <v>18980427</v>
      </c>
      <c r="C2804" s="11" t="str">
        <f>INDEX(Data,2,2+MOD(ROWS(C$2:C2804)-1,24))</f>
        <v>19.00</v>
      </c>
      <c r="D2804" s="8" t="str">
        <f t="shared" ca="1" si="131"/>
        <v>—</v>
      </c>
      <c r="E2804" s="16">
        <f t="shared" ca="1" si="132"/>
        <v>7</v>
      </c>
    </row>
    <row r="2805" spans="1:5" x14ac:dyDescent="0.25">
      <c r="A2805" s="3">
        <f t="shared" si="130"/>
        <v>78989</v>
      </c>
      <c r="B2805" t="str">
        <f ca="1">TEXT(DATE(YEAR(Invoer!$A$5),1,1)+INT((ROWS(B$2:B2805)-1)/24),"""18""jjmmdd")</f>
        <v>18980427</v>
      </c>
      <c r="C2805" s="11" t="str">
        <f>INDEX(Data,2,2+MOD(ROWS(C$2:C2805)-1,24))</f>
        <v>20.00</v>
      </c>
      <c r="D2805" s="8" t="str">
        <f t="shared" ca="1" si="131"/>
        <v>—</v>
      </c>
      <c r="E2805" s="16">
        <f t="shared" ca="1" si="132"/>
        <v>7</v>
      </c>
    </row>
    <row r="2806" spans="1:5" x14ac:dyDescent="0.25">
      <c r="A2806" s="3">
        <f t="shared" si="130"/>
        <v>78989</v>
      </c>
      <c r="B2806" t="str">
        <f ca="1">TEXT(DATE(YEAR(Invoer!$A$5),1,1)+INT((ROWS(B$2:B2806)-1)/24),"""18""jjmmdd")</f>
        <v>18980427</v>
      </c>
      <c r="C2806" s="11" t="str">
        <f>INDEX(Data,2,2+MOD(ROWS(C$2:C2806)-1,24))</f>
        <v>21.00</v>
      </c>
      <c r="D2806" s="8" t="str">
        <f t="shared" ca="1" si="131"/>
        <v>—</v>
      </c>
      <c r="E2806" s="16">
        <f t="shared" ca="1" si="132"/>
        <v>7</v>
      </c>
    </row>
    <row r="2807" spans="1:5" x14ac:dyDescent="0.25">
      <c r="A2807" s="3">
        <f t="shared" si="130"/>
        <v>78989</v>
      </c>
      <c r="B2807" t="str">
        <f ca="1">TEXT(DATE(YEAR(Invoer!$A$5),1,1)+INT((ROWS(B$2:B2807)-1)/24),"""18""jjmmdd")</f>
        <v>18980427</v>
      </c>
      <c r="C2807" s="11" t="str">
        <f>INDEX(Data,2,2+MOD(ROWS(C$2:C2807)-1,24))</f>
        <v>22.00</v>
      </c>
      <c r="D2807" s="8" t="str">
        <f t="shared" ca="1" si="131"/>
        <v>—</v>
      </c>
      <c r="E2807" s="16">
        <f t="shared" ca="1" si="132"/>
        <v>7</v>
      </c>
    </row>
    <row r="2808" spans="1:5" x14ac:dyDescent="0.25">
      <c r="A2808" s="3">
        <f t="shared" si="130"/>
        <v>78989</v>
      </c>
      <c r="B2808" t="str">
        <f ca="1">TEXT(DATE(YEAR(Invoer!$A$5),1,1)+INT((ROWS(B$2:B2808)-1)/24),"""18""jjmmdd")</f>
        <v>18980427</v>
      </c>
      <c r="C2808" s="11" t="str">
        <f>INDEX(Data,2,2+MOD(ROWS(C$2:C2808)-1,24))</f>
        <v>23.00</v>
      </c>
      <c r="D2808" s="8" t="str">
        <f t="shared" ca="1" si="131"/>
        <v>—</v>
      </c>
      <c r="E2808" s="16">
        <f t="shared" ca="1" si="132"/>
        <v>7</v>
      </c>
    </row>
    <row r="2809" spans="1:5" x14ac:dyDescent="0.25">
      <c r="A2809" s="3">
        <f t="shared" si="130"/>
        <v>78989</v>
      </c>
      <c r="B2809" t="str">
        <f ca="1">TEXT(DATE(YEAR(Invoer!$A$5),1,1)+INT((ROWS(B$2:B2809)-1)/24),"""18""jjmmdd")</f>
        <v>18980427</v>
      </c>
      <c r="C2809" s="11" t="str">
        <f>INDEX(Data,2,2+MOD(ROWS(C$2:C2809)-1,24))</f>
        <v>24.00</v>
      </c>
      <c r="D2809" s="8" t="str">
        <f t="shared" ca="1" si="131"/>
        <v>—</v>
      </c>
      <c r="E2809" s="16">
        <f t="shared" ca="1" si="132"/>
        <v>7</v>
      </c>
    </row>
    <row r="2810" spans="1:5" x14ac:dyDescent="0.25">
      <c r="A2810" s="3">
        <f t="shared" si="130"/>
        <v>78989</v>
      </c>
      <c r="B2810" t="str">
        <f ca="1">TEXT(DATE(YEAR(Invoer!$A$5),1,1)+INT((ROWS(B$2:B2810)-1)/24),"""18""jjmmdd")</f>
        <v>18980428</v>
      </c>
      <c r="C2810" s="11" t="str">
        <f>INDEX(Data,2,2+MOD(ROWS(C$2:C2810)-1,24))</f>
        <v>01.00</v>
      </c>
      <c r="D2810" s="8" t="str">
        <f t="shared" ca="1" si="131"/>
        <v>—</v>
      </c>
      <c r="E2810" s="16">
        <f t="shared" ca="1" si="132"/>
        <v>7</v>
      </c>
    </row>
    <row r="2811" spans="1:5" x14ac:dyDescent="0.25">
      <c r="A2811" s="3">
        <f t="shared" si="130"/>
        <v>78989</v>
      </c>
      <c r="B2811" t="str">
        <f ca="1">TEXT(DATE(YEAR(Invoer!$A$5),1,1)+INT((ROWS(B$2:B2811)-1)/24),"""18""jjmmdd")</f>
        <v>18980428</v>
      </c>
      <c r="C2811" s="11" t="str">
        <f>INDEX(Data,2,2+MOD(ROWS(C$2:C2811)-1,24))</f>
        <v>02.00</v>
      </c>
      <c r="D2811" s="8" t="str">
        <f t="shared" ca="1" si="131"/>
        <v>—</v>
      </c>
      <c r="E2811" s="16">
        <f t="shared" ca="1" si="132"/>
        <v>7</v>
      </c>
    </row>
    <row r="2812" spans="1:5" x14ac:dyDescent="0.25">
      <c r="A2812" s="3">
        <f t="shared" si="130"/>
        <v>78989</v>
      </c>
      <c r="B2812" t="str">
        <f ca="1">TEXT(DATE(YEAR(Invoer!$A$5),1,1)+INT((ROWS(B$2:B2812)-1)/24),"""18""jjmmdd")</f>
        <v>18980428</v>
      </c>
      <c r="C2812" s="11" t="str">
        <f>INDEX(Data,2,2+MOD(ROWS(C$2:C2812)-1,24))</f>
        <v>03.00</v>
      </c>
      <c r="D2812" s="8" t="str">
        <f t="shared" ca="1" si="131"/>
        <v>—</v>
      </c>
      <c r="E2812" s="16">
        <f t="shared" ca="1" si="132"/>
        <v>7</v>
      </c>
    </row>
    <row r="2813" spans="1:5" x14ac:dyDescent="0.25">
      <c r="A2813" s="3">
        <f t="shared" si="130"/>
        <v>78989</v>
      </c>
      <c r="B2813" t="str">
        <f ca="1">TEXT(DATE(YEAR(Invoer!$A$5),1,1)+INT((ROWS(B$2:B2813)-1)/24),"""18""jjmmdd")</f>
        <v>18980428</v>
      </c>
      <c r="C2813" s="11" t="str">
        <f>INDEX(Data,2,2+MOD(ROWS(C$2:C2813)-1,24))</f>
        <v>04.00</v>
      </c>
      <c r="D2813" s="8" t="str">
        <f t="shared" ca="1" si="131"/>
        <v>—</v>
      </c>
      <c r="E2813" s="16">
        <f t="shared" ca="1" si="132"/>
        <v>7</v>
      </c>
    </row>
    <row r="2814" spans="1:5" x14ac:dyDescent="0.25">
      <c r="A2814" s="3">
        <f t="shared" si="130"/>
        <v>78989</v>
      </c>
      <c r="B2814" t="str">
        <f ca="1">TEXT(DATE(YEAR(Invoer!$A$5),1,1)+INT((ROWS(B$2:B2814)-1)/24),"""18""jjmmdd")</f>
        <v>18980428</v>
      </c>
      <c r="C2814" s="11" t="str">
        <f>INDEX(Data,2,2+MOD(ROWS(C$2:C2814)-1,24))</f>
        <v>05.00</v>
      </c>
      <c r="D2814" s="8" t="str">
        <f t="shared" ca="1" si="131"/>
        <v>—</v>
      </c>
      <c r="E2814" s="16">
        <f t="shared" ca="1" si="132"/>
        <v>7</v>
      </c>
    </row>
    <row r="2815" spans="1:5" x14ac:dyDescent="0.25">
      <c r="A2815" s="3">
        <f t="shared" si="130"/>
        <v>78989</v>
      </c>
      <c r="B2815" t="str">
        <f ca="1">TEXT(DATE(YEAR(Invoer!$A$5),1,1)+INT((ROWS(B$2:B2815)-1)/24),"""18""jjmmdd")</f>
        <v>18980428</v>
      </c>
      <c r="C2815" s="11" t="str">
        <f>INDEX(Data,2,2+MOD(ROWS(C$2:C2815)-1,24))</f>
        <v>06.00</v>
      </c>
      <c r="D2815" s="8" t="str">
        <f t="shared" ca="1" si="131"/>
        <v>—</v>
      </c>
      <c r="E2815" s="16">
        <f t="shared" ca="1" si="132"/>
        <v>7</v>
      </c>
    </row>
    <row r="2816" spans="1:5" x14ac:dyDescent="0.25">
      <c r="A2816" s="3">
        <f t="shared" si="130"/>
        <v>78989</v>
      </c>
      <c r="B2816" t="str">
        <f ca="1">TEXT(DATE(YEAR(Invoer!$A$5),1,1)+INT((ROWS(B$2:B2816)-1)/24),"""18""jjmmdd")</f>
        <v>18980428</v>
      </c>
      <c r="C2816" s="11" t="str">
        <f>INDEX(Data,2,2+MOD(ROWS(C$2:C2816)-1,24))</f>
        <v>07.00</v>
      </c>
      <c r="D2816" s="8" t="str">
        <f t="shared" ca="1" si="131"/>
        <v>—</v>
      </c>
      <c r="E2816" s="16">
        <f t="shared" ca="1" si="132"/>
        <v>7</v>
      </c>
    </row>
    <row r="2817" spans="1:5" x14ac:dyDescent="0.25">
      <c r="A2817" s="3">
        <f t="shared" si="130"/>
        <v>78989</v>
      </c>
      <c r="B2817" t="str">
        <f ca="1">TEXT(DATE(YEAR(Invoer!$A$5),1,1)+INT((ROWS(B$2:B2817)-1)/24),"""18""jjmmdd")</f>
        <v>18980428</v>
      </c>
      <c r="C2817" s="11" t="str">
        <f>INDEX(Data,2,2+MOD(ROWS(C$2:C2817)-1,24))</f>
        <v>08.00</v>
      </c>
      <c r="D2817" s="8" t="str">
        <f t="shared" ca="1" si="131"/>
        <v>—</v>
      </c>
      <c r="E2817" s="16">
        <f t="shared" ca="1" si="132"/>
        <v>7</v>
      </c>
    </row>
    <row r="2818" spans="1:5" x14ac:dyDescent="0.25">
      <c r="A2818" s="3">
        <f t="shared" ref="A2818:A2881" si="133">INDEX(Stations,2,1)</f>
        <v>78989</v>
      </c>
      <c r="B2818" t="str">
        <f ca="1">TEXT(DATE(YEAR(Invoer!$A$5),1,1)+INT((ROWS(B$2:B2818)-1)/24),"""18""jjmmdd")</f>
        <v>18980428</v>
      </c>
      <c r="C2818" s="11" t="str">
        <f>INDEX(Data,2,2+MOD(ROWS(C$2:C2818)-1,24))</f>
        <v>09.00</v>
      </c>
      <c r="D2818" s="8" t="str">
        <f t="shared" ref="D2818:D2881" ca="1" si="134">IF(OR(ISBLANK(VLOOKUP(DATEVALUE("37"&amp;MID($B2818,3,2)&amp;"-"&amp;MID($B2818,5,2)&amp;"-"&amp;RIGHT($B2818,2)),Data,MATCH(LEFT(VLOOKUP(D$1,Parameters,2,FALSE()),4)&amp;"*",OFFSET(Data,0,0,1),0)+MATCH($C2818,OFFSET(Data,1,0,1),0)-2,FALSE())),ISTEXT(VLOOKUP(DATEVALUE("37"&amp;MID($B2818,3,2)&amp;"-"&amp;MID($B2818,5,2)&amp;"-"&amp;RIGHT($B2818,2)),Data,MATCH(LEFT(VLOOKUP(D$1,Parameters,2,FALSE()),4)&amp;"*",OFFSET(Data,0,0,1),0)+MATCH($C2818,OFFSET(Data,1,0,1),0)-2,FALSE()))),"—",VLOOKUP(DATEVALUE("37"&amp;MID($B2818,3,2)&amp;"-"&amp;MID($B2818,5,2)&amp;"-"&amp;RIGHT($B2818,2)),Data,MATCH(LEFT(VLOOKUP(D$1,Parameters,2,FALSE()),4)&amp;"*",OFFSET(Data,0,0,1),0)+MATCH($C2818,OFFSET(Data,1,0,1),0)-2,FALSE()))</f>
        <v>—</v>
      </c>
      <c r="E2818" s="16">
        <f t="shared" ca="1" si="132"/>
        <v>7</v>
      </c>
    </row>
    <row r="2819" spans="1:5" x14ac:dyDescent="0.25">
      <c r="A2819" s="3">
        <f t="shared" si="133"/>
        <v>78989</v>
      </c>
      <c r="B2819" t="str">
        <f ca="1">TEXT(DATE(YEAR(Invoer!$A$5),1,1)+INT((ROWS(B$2:B2819)-1)/24),"""18""jjmmdd")</f>
        <v>18980428</v>
      </c>
      <c r="C2819" s="11" t="str">
        <f>INDEX(Data,2,2+MOD(ROWS(C$2:C2819)-1,24))</f>
        <v>10.00</v>
      </c>
      <c r="D2819" s="8" t="str">
        <f t="shared" ca="1" si="134"/>
        <v>—</v>
      </c>
      <c r="E2819" s="16">
        <f t="shared" ref="E2819:E2882" ca="1" si="135">IF(OR(ISBLANK(VLOOKUP(DATEVALUE("37"&amp;MID($B2819,3,2)&amp;"-"&amp;MID($B2819,5,2)&amp;"-"&amp;RIGHT($B2819,2)),Data,MATCH(LEFT(VLOOKUP(D$1,Parameters,2,FALSE()),4)&amp;"*",OFFSET(Data,0,0,1),0)+MATCH($C2819,OFFSET(Data,1,0,1),0)-2,FALSE())),ISTEXT(VLOOKUP(DATEVALUE("37"&amp;MID($B2819,3,2)&amp;"-"&amp;MID($B2819,5,2)&amp;"-"&amp;RIGHT($B2819,2)),Data,MATCH(LEFT(VLOOKUP(D$1,Parameters,2,FALSE()),4)&amp;"*",OFFSET(Data,0,0,1),0)+MATCH($C2819,OFFSET(Data,1,0,1),0)-2,FALSE()))),Lacking,IF(ISNA(MATCH(DATEVALUE("37"&amp;MID($B2819,3,2)&amp;"-"&amp;MID($B2819,5,2)&amp;"-"&amp;RIGHT($B2819,2)),OFFSET(Catalogus,0,0,,1),0)),Ok,VLOOKUP(DATEVALUE("37"&amp;MID($B2819,3,2)&amp;"-"&amp;MID($B2819,5,2)&amp;"-"&amp;RIGHT($B2819,2)),Catalogus,MATCH(LEFT(VLOOKUP(MID(E$1,2,LEN(E$1)-1),Parameters,2,FALSE()),4)&amp;"*",OFFSET(Catalogus,0,0,1),0)+MATCH($C2819,OFFSET(Catalogus,1,0,1),0)-2,FALSE())))</f>
        <v>7</v>
      </c>
    </row>
    <row r="2820" spans="1:5" x14ac:dyDescent="0.25">
      <c r="A2820" s="3">
        <f t="shared" si="133"/>
        <v>78989</v>
      </c>
      <c r="B2820" t="str">
        <f ca="1">TEXT(DATE(YEAR(Invoer!$A$5),1,1)+INT((ROWS(B$2:B2820)-1)/24),"""18""jjmmdd")</f>
        <v>18980428</v>
      </c>
      <c r="C2820" s="11" t="str">
        <f>INDEX(Data,2,2+MOD(ROWS(C$2:C2820)-1,24))</f>
        <v>11.00</v>
      </c>
      <c r="D2820" s="8" t="str">
        <f t="shared" ca="1" si="134"/>
        <v>—</v>
      </c>
      <c r="E2820" s="16">
        <f t="shared" ca="1" si="135"/>
        <v>7</v>
      </c>
    </row>
    <row r="2821" spans="1:5" x14ac:dyDescent="0.25">
      <c r="A2821" s="3">
        <f t="shared" si="133"/>
        <v>78989</v>
      </c>
      <c r="B2821" t="str">
        <f ca="1">TEXT(DATE(YEAR(Invoer!$A$5),1,1)+INT((ROWS(B$2:B2821)-1)/24),"""18""jjmmdd")</f>
        <v>18980428</v>
      </c>
      <c r="C2821" s="11" t="str">
        <f>INDEX(Data,2,2+MOD(ROWS(C$2:C2821)-1,24))</f>
        <v>12.00</v>
      </c>
      <c r="D2821" s="8" t="str">
        <f t="shared" ca="1" si="134"/>
        <v>—</v>
      </c>
      <c r="E2821" s="16">
        <f t="shared" ca="1" si="135"/>
        <v>7</v>
      </c>
    </row>
    <row r="2822" spans="1:5" x14ac:dyDescent="0.25">
      <c r="A2822" s="3">
        <f t="shared" si="133"/>
        <v>78989</v>
      </c>
      <c r="B2822" t="str">
        <f ca="1">TEXT(DATE(YEAR(Invoer!$A$5),1,1)+INT((ROWS(B$2:B2822)-1)/24),"""18""jjmmdd")</f>
        <v>18980428</v>
      </c>
      <c r="C2822" s="11" t="str">
        <f>INDEX(Data,2,2+MOD(ROWS(C$2:C2822)-1,24))</f>
        <v>13.00</v>
      </c>
      <c r="D2822" s="8" t="str">
        <f t="shared" ca="1" si="134"/>
        <v>—</v>
      </c>
      <c r="E2822" s="16">
        <f t="shared" ca="1" si="135"/>
        <v>7</v>
      </c>
    </row>
    <row r="2823" spans="1:5" x14ac:dyDescent="0.25">
      <c r="A2823" s="3">
        <f t="shared" si="133"/>
        <v>78989</v>
      </c>
      <c r="B2823" t="str">
        <f ca="1">TEXT(DATE(YEAR(Invoer!$A$5),1,1)+INT((ROWS(B$2:B2823)-1)/24),"""18""jjmmdd")</f>
        <v>18980428</v>
      </c>
      <c r="C2823" s="11" t="str">
        <f>INDEX(Data,2,2+MOD(ROWS(C$2:C2823)-1,24))</f>
        <v>14.00</v>
      </c>
      <c r="D2823" s="8" t="str">
        <f t="shared" ca="1" si="134"/>
        <v>—</v>
      </c>
      <c r="E2823" s="16">
        <f t="shared" ca="1" si="135"/>
        <v>7</v>
      </c>
    </row>
    <row r="2824" spans="1:5" x14ac:dyDescent="0.25">
      <c r="A2824" s="3">
        <f t="shared" si="133"/>
        <v>78989</v>
      </c>
      <c r="B2824" t="str">
        <f ca="1">TEXT(DATE(YEAR(Invoer!$A$5),1,1)+INT((ROWS(B$2:B2824)-1)/24),"""18""jjmmdd")</f>
        <v>18980428</v>
      </c>
      <c r="C2824" s="11" t="str">
        <f>INDEX(Data,2,2+MOD(ROWS(C$2:C2824)-1,24))</f>
        <v>15.00</v>
      </c>
      <c r="D2824" s="8" t="str">
        <f t="shared" ca="1" si="134"/>
        <v>—</v>
      </c>
      <c r="E2824" s="16">
        <f t="shared" ca="1" si="135"/>
        <v>7</v>
      </c>
    </row>
    <row r="2825" spans="1:5" x14ac:dyDescent="0.25">
      <c r="A2825" s="3">
        <f t="shared" si="133"/>
        <v>78989</v>
      </c>
      <c r="B2825" t="str">
        <f ca="1">TEXT(DATE(YEAR(Invoer!$A$5),1,1)+INT((ROWS(B$2:B2825)-1)/24),"""18""jjmmdd")</f>
        <v>18980428</v>
      </c>
      <c r="C2825" s="11" t="str">
        <f>INDEX(Data,2,2+MOD(ROWS(C$2:C2825)-1,24))</f>
        <v>16.00</v>
      </c>
      <c r="D2825" s="8" t="str">
        <f t="shared" ca="1" si="134"/>
        <v>—</v>
      </c>
      <c r="E2825" s="16">
        <f t="shared" ca="1" si="135"/>
        <v>7</v>
      </c>
    </row>
    <row r="2826" spans="1:5" x14ac:dyDescent="0.25">
      <c r="A2826" s="3">
        <f t="shared" si="133"/>
        <v>78989</v>
      </c>
      <c r="B2826" t="str">
        <f ca="1">TEXT(DATE(YEAR(Invoer!$A$5),1,1)+INT((ROWS(B$2:B2826)-1)/24),"""18""jjmmdd")</f>
        <v>18980428</v>
      </c>
      <c r="C2826" s="11" t="str">
        <f>INDEX(Data,2,2+MOD(ROWS(C$2:C2826)-1,24))</f>
        <v>17.00</v>
      </c>
      <c r="D2826" s="8" t="str">
        <f t="shared" ca="1" si="134"/>
        <v>—</v>
      </c>
      <c r="E2826" s="16">
        <f t="shared" ca="1" si="135"/>
        <v>7</v>
      </c>
    </row>
    <row r="2827" spans="1:5" x14ac:dyDescent="0.25">
      <c r="A2827" s="3">
        <f t="shared" si="133"/>
        <v>78989</v>
      </c>
      <c r="B2827" t="str">
        <f ca="1">TEXT(DATE(YEAR(Invoer!$A$5),1,1)+INT((ROWS(B$2:B2827)-1)/24),"""18""jjmmdd")</f>
        <v>18980428</v>
      </c>
      <c r="C2827" s="11" t="str">
        <f>INDEX(Data,2,2+MOD(ROWS(C$2:C2827)-1,24))</f>
        <v>18.00</v>
      </c>
      <c r="D2827" s="8" t="str">
        <f t="shared" ca="1" si="134"/>
        <v>—</v>
      </c>
      <c r="E2827" s="16">
        <f t="shared" ca="1" si="135"/>
        <v>7</v>
      </c>
    </row>
    <row r="2828" spans="1:5" x14ac:dyDescent="0.25">
      <c r="A2828" s="3">
        <f t="shared" si="133"/>
        <v>78989</v>
      </c>
      <c r="B2828" t="str">
        <f ca="1">TEXT(DATE(YEAR(Invoer!$A$5),1,1)+INT((ROWS(B$2:B2828)-1)/24),"""18""jjmmdd")</f>
        <v>18980428</v>
      </c>
      <c r="C2828" s="11" t="str">
        <f>INDEX(Data,2,2+MOD(ROWS(C$2:C2828)-1,24))</f>
        <v>19.00</v>
      </c>
      <c r="D2828" s="8" t="str">
        <f t="shared" ca="1" si="134"/>
        <v>—</v>
      </c>
      <c r="E2828" s="16">
        <f t="shared" ca="1" si="135"/>
        <v>7</v>
      </c>
    </row>
    <row r="2829" spans="1:5" x14ac:dyDescent="0.25">
      <c r="A2829" s="3">
        <f t="shared" si="133"/>
        <v>78989</v>
      </c>
      <c r="B2829" t="str">
        <f ca="1">TEXT(DATE(YEAR(Invoer!$A$5),1,1)+INT((ROWS(B$2:B2829)-1)/24),"""18""jjmmdd")</f>
        <v>18980428</v>
      </c>
      <c r="C2829" s="11" t="str">
        <f>INDEX(Data,2,2+MOD(ROWS(C$2:C2829)-1,24))</f>
        <v>20.00</v>
      </c>
      <c r="D2829" s="8" t="str">
        <f t="shared" ca="1" si="134"/>
        <v>—</v>
      </c>
      <c r="E2829" s="16">
        <f t="shared" ca="1" si="135"/>
        <v>7</v>
      </c>
    </row>
    <row r="2830" spans="1:5" x14ac:dyDescent="0.25">
      <c r="A2830" s="3">
        <f t="shared" si="133"/>
        <v>78989</v>
      </c>
      <c r="B2830" t="str">
        <f ca="1">TEXT(DATE(YEAR(Invoer!$A$5),1,1)+INT((ROWS(B$2:B2830)-1)/24),"""18""jjmmdd")</f>
        <v>18980428</v>
      </c>
      <c r="C2830" s="11" t="str">
        <f>INDEX(Data,2,2+MOD(ROWS(C$2:C2830)-1,24))</f>
        <v>21.00</v>
      </c>
      <c r="D2830" s="8" t="str">
        <f t="shared" ca="1" si="134"/>
        <v>—</v>
      </c>
      <c r="E2830" s="16">
        <f t="shared" ca="1" si="135"/>
        <v>7</v>
      </c>
    </row>
    <row r="2831" spans="1:5" x14ac:dyDescent="0.25">
      <c r="A2831" s="3">
        <f t="shared" si="133"/>
        <v>78989</v>
      </c>
      <c r="B2831" t="str">
        <f ca="1">TEXT(DATE(YEAR(Invoer!$A$5),1,1)+INT((ROWS(B$2:B2831)-1)/24),"""18""jjmmdd")</f>
        <v>18980428</v>
      </c>
      <c r="C2831" s="11" t="str">
        <f>INDEX(Data,2,2+MOD(ROWS(C$2:C2831)-1,24))</f>
        <v>22.00</v>
      </c>
      <c r="D2831" s="8" t="str">
        <f t="shared" ca="1" si="134"/>
        <v>—</v>
      </c>
      <c r="E2831" s="16">
        <f t="shared" ca="1" si="135"/>
        <v>7</v>
      </c>
    </row>
    <row r="2832" spans="1:5" x14ac:dyDescent="0.25">
      <c r="A2832" s="3">
        <f t="shared" si="133"/>
        <v>78989</v>
      </c>
      <c r="B2832" t="str">
        <f ca="1">TEXT(DATE(YEAR(Invoer!$A$5),1,1)+INT((ROWS(B$2:B2832)-1)/24),"""18""jjmmdd")</f>
        <v>18980428</v>
      </c>
      <c r="C2832" s="11" t="str">
        <f>INDEX(Data,2,2+MOD(ROWS(C$2:C2832)-1,24))</f>
        <v>23.00</v>
      </c>
      <c r="D2832" s="8" t="str">
        <f t="shared" ca="1" si="134"/>
        <v>—</v>
      </c>
      <c r="E2832" s="16">
        <f t="shared" ca="1" si="135"/>
        <v>7</v>
      </c>
    </row>
    <row r="2833" spans="1:5" x14ac:dyDescent="0.25">
      <c r="A2833" s="3">
        <f t="shared" si="133"/>
        <v>78989</v>
      </c>
      <c r="B2833" t="str">
        <f ca="1">TEXT(DATE(YEAR(Invoer!$A$5),1,1)+INT((ROWS(B$2:B2833)-1)/24),"""18""jjmmdd")</f>
        <v>18980428</v>
      </c>
      <c r="C2833" s="11" t="str">
        <f>INDEX(Data,2,2+MOD(ROWS(C$2:C2833)-1,24))</f>
        <v>24.00</v>
      </c>
      <c r="D2833" s="8" t="str">
        <f t="shared" ca="1" si="134"/>
        <v>—</v>
      </c>
      <c r="E2833" s="16">
        <f t="shared" ca="1" si="135"/>
        <v>7</v>
      </c>
    </row>
    <row r="2834" spans="1:5" x14ac:dyDescent="0.25">
      <c r="A2834" s="3">
        <f t="shared" si="133"/>
        <v>78989</v>
      </c>
      <c r="B2834" t="str">
        <f ca="1">TEXT(DATE(YEAR(Invoer!$A$5),1,1)+INT((ROWS(B$2:B2834)-1)/24),"""18""jjmmdd")</f>
        <v>18980429</v>
      </c>
      <c r="C2834" s="11" t="str">
        <f>INDEX(Data,2,2+MOD(ROWS(C$2:C2834)-1,24))</f>
        <v>01.00</v>
      </c>
      <c r="D2834" s="8" t="str">
        <f t="shared" ca="1" si="134"/>
        <v>—</v>
      </c>
      <c r="E2834" s="16">
        <f t="shared" ca="1" si="135"/>
        <v>7</v>
      </c>
    </row>
    <row r="2835" spans="1:5" x14ac:dyDescent="0.25">
      <c r="A2835" s="3">
        <f t="shared" si="133"/>
        <v>78989</v>
      </c>
      <c r="B2835" t="str">
        <f ca="1">TEXT(DATE(YEAR(Invoer!$A$5),1,1)+INT((ROWS(B$2:B2835)-1)/24),"""18""jjmmdd")</f>
        <v>18980429</v>
      </c>
      <c r="C2835" s="11" t="str">
        <f>INDEX(Data,2,2+MOD(ROWS(C$2:C2835)-1,24))</f>
        <v>02.00</v>
      </c>
      <c r="D2835" s="8" t="str">
        <f t="shared" ca="1" si="134"/>
        <v>—</v>
      </c>
      <c r="E2835" s="16">
        <f t="shared" ca="1" si="135"/>
        <v>7</v>
      </c>
    </row>
    <row r="2836" spans="1:5" x14ac:dyDescent="0.25">
      <c r="A2836" s="3">
        <f t="shared" si="133"/>
        <v>78989</v>
      </c>
      <c r="B2836" t="str">
        <f ca="1">TEXT(DATE(YEAR(Invoer!$A$5),1,1)+INT((ROWS(B$2:B2836)-1)/24),"""18""jjmmdd")</f>
        <v>18980429</v>
      </c>
      <c r="C2836" s="11" t="str">
        <f>INDEX(Data,2,2+MOD(ROWS(C$2:C2836)-1,24))</f>
        <v>03.00</v>
      </c>
      <c r="D2836" s="8" t="str">
        <f t="shared" ca="1" si="134"/>
        <v>—</v>
      </c>
      <c r="E2836" s="16">
        <f t="shared" ca="1" si="135"/>
        <v>7</v>
      </c>
    </row>
    <row r="2837" spans="1:5" x14ac:dyDescent="0.25">
      <c r="A2837" s="3">
        <f t="shared" si="133"/>
        <v>78989</v>
      </c>
      <c r="B2837" t="str">
        <f ca="1">TEXT(DATE(YEAR(Invoer!$A$5),1,1)+INT((ROWS(B$2:B2837)-1)/24),"""18""jjmmdd")</f>
        <v>18980429</v>
      </c>
      <c r="C2837" s="11" t="str">
        <f>INDEX(Data,2,2+MOD(ROWS(C$2:C2837)-1,24))</f>
        <v>04.00</v>
      </c>
      <c r="D2837" s="8" t="str">
        <f t="shared" ca="1" si="134"/>
        <v>—</v>
      </c>
      <c r="E2837" s="16">
        <f t="shared" ca="1" si="135"/>
        <v>7</v>
      </c>
    </row>
    <row r="2838" spans="1:5" x14ac:dyDescent="0.25">
      <c r="A2838" s="3">
        <f t="shared" si="133"/>
        <v>78989</v>
      </c>
      <c r="B2838" t="str">
        <f ca="1">TEXT(DATE(YEAR(Invoer!$A$5),1,1)+INT((ROWS(B$2:B2838)-1)/24),"""18""jjmmdd")</f>
        <v>18980429</v>
      </c>
      <c r="C2838" s="11" t="str">
        <f>INDEX(Data,2,2+MOD(ROWS(C$2:C2838)-1,24))</f>
        <v>05.00</v>
      </c>
      <c r="D2838" s="8" t="str">
        <f t="shared" ca="1" si="134"/>
        <v>—</v>
      </c>
      <c r="E2838" s="16">
        <f t="shared" ca="1" si="135"/>
        <v>7</v>
      </c>
    </row>
    <row r="2839" spans="1:5" x14ac:dyDescent="0.25">
      <c r="A2839" s="3">
        <f t="shared" si="133"/>
        <v>78989</v>
      </c>
      <c r="B2839" t="str">
        <f ca="1">TEXT(DATE(YEAR(Invoer!$A$5),1,1)+INT((ROWS(B$2:B2839)-1)/24),"""18""jjmmdd")</f>
        <v>18980429</v>
      </c>
      <c r="C2839" s="11" t="str">
        <f>INDEX(Data,2,2+MOD(ROWS(C$2:C2839)-1,24))</f>
        <v>06.00</v>
      </c>
      <c r="D2839" s="8" t="str">
        <f t="shared" ca="1" si="134"/>
        <v>—</v>
      </c>
      <c r="E2839" s="16">
        <f t="shared" ca="1" si="135"/>
        <v>7</v>
      </c>
    </row>
    <row r="2840" spans="1:5" x14ac:dyDescent="0.25">
      <c r="A2840" s="3">
        <f t="shared" si="133"/>
        <v>78989</v>
      </c>
      <c r="B2840" t="str">
        <f ca="1">TEXT(DATE(YEAR(Invoer!$A$5),1,1)+INT((ROWS(B$2:B2840)-1)/24),"""18""jjmmdd")</f>
        <v>18980429</v>
      </c>
      <c r="C2840" s="11" t="str">
        <f>INDEX(Data,2,2+MOD(ROWS(C$2:C2840)-1,24))</f>
        <v>07.00</v>
      </c>
      <c r="D2840" s="8" t="str">
        <f t="shared" ca="1" si="134"/>
        <v>—</v>
      </c>
      <c r="E2840" s="16">
        <f t="shared" ca="1" si="135"/>
        <v>7</v>
      </c>
    </row>
    <row r="2841" spans="1:5" x14ac:dyDescent="0.25">
      <c r="A2841" s="3">
        <f t="shared" si="133"/>
        <v>78989</v>
      </c>
      <c r="B2841" t="str">
        <f ca="1">TEXT(DATE(YEAR(Invoer!$A$5),1,1)+INT((ROWS(B$2:B2841)-1)/24),"""18""jjmmdd")</f>
        <v>18980429</v>
      </c>
      <c r="C2841" s="11" t="str">
        <f>INDEX(Data,2,2+MOD(ROWS(C$2:C2841)-1,24))</f>
        <v>08.00</v>
      </c>
      <c r="D2841" s="8" t="str">
        <f t="shared" ca="1" si="134"/>
        <v>—</v>
      </c>
      <c r="E2841" s="16">
        <f t="shared" ca="1" si="135"/>
        <v>7</v>
      </c>
    </row>
    <row r="2842" spans="1:5" x14ac:dyDescent="0.25">
      <c r="A2842" s="3">
        <f t="shared" si="133"/>
        <v>78989</v>
      </c>
      <c r="B2842" t="str">
        <f ca="1">TEXT(DATE(YEAR(Invoer!$A$5),1,1)+INT((ROWS(B$2:B2842)-1)/24),"""18""jjmmdd")</f>
        <v>18980429</v>
      </c>
      <c r="C2842" s="11" t="str">
        <f>INDEX(Data,2,2+MOD(ROWS(C$2:C2842)-1,24))</f>
        <v>09.00</v>
      </c>
      <c r="D2842" s="8" t="str">
        <f t="shared" ca="1" si="134"/>
        <v>—</v>
      </c>
      <c r="E2842" s="16">
        <f t="shared" ca="1" si="135"/>
        <v>7</v>
      </c>
    </row>
    <row r="2843" spans="1:5" x14ac:dyDescent="0.25">
      <c r="A2843" s="3">
        <f t="shared" si="133"/>
        <v>78989</v>
      </c>
      <c r="B2843" t="str">
        <f ca="1">TEXT(DATE(YEAR(Invoer!$A$5),1,1)+INT((ROWS(B$2:B2843)-1)/24),"""18""jjmmdd")</f>
        <v>18980429</v>
      </c>
      <c r="C2843" s="11" t="str">
        <f>INDEX(Data,2,2+MOD(ROWS(C$2:C2843)-1,24))</f>
        <v>10.00</v>
      </c>
      <c r="D2843" s="8" t="str">
        <f t="shared" ca="1" si="134"/>
        <v>—</v>
      </c>
      <c r="E2843" s="16">
        <f t="shared" ca="1" si="135"/>
        <v>7</v>
      </c>
    </row>
    <row r="2844" spans="1:5" x14ac:dyDescent="0.25">
      <c r="A2844" s="3">
        <f t="shared" si="133"/>
        <v>78989</v>
      </c>
      <c r="B2844" t="str">
        <f ca="1">TEXT(DATE(YEAR(Invoer!$A$5),1,1)+INT((ROWS(B$2:B2844)-1)/24),"""18""jjmmdd")</f>
        <v>18980429</v>
      </c>
      <c r="C2844" s="11" t="str">
        <f>INDEX(Data,2,2+MOD(ROWS(C$2:C2844)-1,24))</f>
        <v>11.00</v>
      </c>
      <c r="D2844" s="8" t="str">
        <f t="shared" ca="1" si="134"/>
        <v>—</v>
      </c>
      <c r="E2844" s="16">
        <f t="shared" ca="1" si="135"/>
        <v>7</v>
      </c>
    </row>
    <row r="2845" spans="1:5" x14ac:dyDescent="0.25">
      <c r="A2845" s="3">
        <f t="shared" si="133"/>
        <v>78989</v>
      </c>
      <c r="B2845" t="str">
        <f ca="1">TEXT(DATE(YEAR(Invoer!$A$5),1,1)+INT((ROWS(B$2:B2845)-1)/24),"""18""jjmmdd")</f>
        <v>18980429</v>
      </c>
      <c r="C2845" s="11" t="str">
        <f>INDEX(Data,2,2+MOD(ROWS(C$2:C2845)-1,24))</f>
        <v>12.00</v>
      </c>
      <c r="D2845" s="8" t="str">
        <f t="shared" ca="1" si="134"/>
        <v>—</v>
      </c>
      <c r="E2845" s="16">
        <f t="shared" ca="1" si="135"/>
        <v>7</v>
      </c>
    </row>
    <row r="2846" spans="1:5" x14ac:dyDescent="0.25">
      <c r="A2846" s="3">
        <f t="shared" si="133"/>
        <v>78989</v>
      </c>
      <c r="B2846" t="str">
        <f ca="1">TEXT(DATE(YEAR(Invoer!$A$5),1,1)+INT((ROWS(B$2:B2846)-1)/24),"""18""jjmmdd")</f>
        <v>18980429</v>
      </c>
      <c r="C2846" s="11" t="str">
        <f>INDEX(Data,2,2+MOD(ROWS(C$2:C2846)-1,24))</f>
        <v>13.00</v>
      </c>
      <c r="D2846" s="8" t="str">
        <f t="shared" ca="1" si="134"/>
        <v>—</v>
      </c>
      <c r="E2846" s="16">
        <f t="shared" ca="1" si="135"/>
        <v>7</v>
      </c>
    </row>
    <row r="2847" spans="1:5" x14ac:dyDescent="0.25">
      <c r="A2847" s="3">
        <f t="shared" si="133"/>
        <v>78989</v>
      </c>
      <c r="B2847" t="str">
        <f ca="1">TEXT(DATE(YEAR(Invoer!$A$5),1,1)+INT((ROWS(B$2:B2847)-1)/24),"""18""jjmmdd")</f>
        <v>18980429</v>
      </c>
      <c r="C2847" s="11" t="str">
        <f>INDEX(Data,2,2+MOD(ROWS(C$2:C2847)-1,24))</f>
        <v>14.00</v>
      </c>
      <c r="D2847" s="8" t="str">
        <f t="shared" ca="1" si="134"/>
        <v>—</v>
      </c>
      <c r="E2847" s="16">
        <f t="shared" ca="1" si="135"/>
        <v>7</v>
      </c>
    </row>
    <row r="2848" spans="1:5" x14ac:dyDescent="0.25">
      <c r="A2848" s="3">
        <f t="shared" si="133"/>
        <v>78989</v>
      </c>
      <c r="B2848" t="str">
        <f ca="1">TEXT(DATE(YEAR(Invoer!$A$5),1,1)+INT((ROWS(B$2:B2848)-1)/24),"""18""jjmmdd")</f>
        <v>18980429</v>
      </c>
      <c r="C2848" s="11" t="str">
        <f>INDEX(Data,2,2+MOD(ROWS(C$2:C2848)-1,24))</f>
        <v>15.00</v>
      </c>
      <c r="D2848" s="8" t="str">
        <f t="shared" ca="1" si="134"/>
        <v>—</v>
      </c>
      <c r="E2848" s="16">
        <f t="shared" ca="1" si="135"/>
        <v>7</v>
      </c>
    </row>
    <row r="2849" spans="1:5" x14ac:dyDescent="0.25">
      <c r="A2849" s="3">
        <f t="shared" si="133"/>
        <v>78989</v>
      </c>
      <c r="B2849" t="str">
        <f ca="1">TEXT(DATE(YEAR(Invoer!$A$5),1,1)+INT((ROWS(B$2:B2849)-1)/24),"""18""jjmmdd")</f>
        <v>18980429</v>
      </c>
      <c r="C2849" s="11" t="str">
        <f>INDEX(Data,2,2+MOD(ROWS(C$2:C2849)-1,24))</f>
        <v>16.00</v>
      </c>
      <c r="D2849" s="8" t="str">
        <f t="shared" ca="1" si="134"/>
        <v>—</v>
      </c>
      <c r="E2849" s="16">
        <f t="shared" ca="1" si="135"/>
        <v>7</v>
      </c>
    </row>
    <row r="2850" spans="1:5" x14ac:dyDescent="0.25">
      <c r="A2850" s="3">
        <f t="shared" si="133"/>
        <v>78989</v>
      </c>
      <c r="B2850" t="str">
        <f ca="1">TEXT(DATE(YEAR(Invoer!$A$5),1,1)+INT((ROWS(B$2:B2850)-1)/24),"""18""jjmmdd")</f>
        <v>18980429</v>
      </c>
      <c r="C2850" s="11" t="str">
        <f>INDEX(Data,2,2+MOD(ROWS(C$2:C2850)-1,24))</f>
        <v>17.00</v>
      </c>
      <c r="D2850" s="8" t="str">
        <f t="shared" ca="1" si="134"/>
        <v>—</v>
      </c>
      <c r="E2850" s="16">
        <f t="shared" ca="1" si="135"/>
        <v>7</v>
      </c>
    </row>
    <row r="2851" spans="1:5" x14ac:dyDescent="0.25">
      <c r="A2851" s="3">
        <f t="shared" si="133"/>
        <v>78989</v>
      </c>
      <c r="B2851" t="str">
        <f ca="1">TEXT(DATE(YEAR(Invoer!$A$5),1,1)+INT((ROWS(B$2:B2851)-1)/24),"""18""jjmmdd")</f>
        <v>18980429</v>
      </c>
      <c r="C2851" s="11" t="str">
        <f>INDEX(Data,2,2+MOD(ROWS(C$2:C2851)-1,24))</f>
        <v>18.00</v>
      </c>
      <c r="D2851" s="8" t="str">
        <f t="shared" ca="1" si="134"/>
        <v>—</v>
      </c>
      <c r="E2851" s="16">
        <f t="shared" ca="1" si="135"/>
        <v>7</v>
      </c>
    </row>
    <row r="2852" spans="1:5" x14ac:dyDescent="0.25">
      <c r="A2852" s="3">
        <f t="shared" si="133"/>
        <v>78989</v>
      </c>
      <c r="B2852" t="str">
        <f ca="1">TEXT(DATE(YEAR(Invoer!$A$5),1,1)+INT((ROWS(B$2:B2852)-1)/24),"""18""jjmmdd")</f>
        <v>18980429</v>
      </c>
      <c r="C2852" s="11" t="str">
        <f>INDEX(Data,2,2+MOD(ROWS(C$2:C2852)-1,24))</f>
        <v>19.00</v>
      </c>
      <c r="D2852" s="8" t="str">
        <f t="shared" ca="1" si="134"/>
        <v>—</v>
      </c>
      <c r="E2852" s="16">
        <f t="shared" ca="1" si="135"/>
        <v>7</v>
      </c>
    </row>
    <row r="2853" spans="1:5" x14ac:dyDescent="0.25">
      <c r="A2853" s="3">
        <f t="shared" si="133"/>
        <v>78989</v>
      </c>
      <c r="B2853" t="str">
        <f ca="1">TEXT(DATE(YEAR(Invoer!$A$5),1,1)+INT((ROWS(B$2:B2853)-1)/24),"""18""jjmmdd")</f>
        <v>18980429</v>
      </c>
      <c r="C2853" s="11" t="str">
        <f>INDEX(Data,2,2+MOD(ROWS(C$2:C2853)-1,24))</f>
        <v>20.00</v>
      </c>
      <c r="D2853" s="8" t="str">
        <f t="shared" ca="1" si="134"/>
        <v>—</v>
      </c>
      <c r="E2853" s="16">
        <f t="shared" ca="1" si="135"/>
        <v>7</v>
      </c>
    </row>
    <row r="2854" spans="1:5" x14ac:dyDescent="0.25">
      <c r="A2854" s="3">
        <f t="shared" si="133"/>
        <v>78989</v>
      </c>
      <c r="B2854" t="str">
        <f ca="1">TEXT(DATE(YEAR(Invoer!$A$5),1,1)+INT((ROWS(B$2:B2854)-1)/24),"""18""jjmmdd")</f>
        <v>18980429</v>
      </c>
      <c r="C2854" s="11" t="str">
        <f>INDEX(Data,2,2+MOD(ROWS(C$2:C2854)-1,24))</f>
        <v>21.00</v>
      </c>
      <c r="D2854" s="8" t="str">
        <f t="shared" ca="1" si="134"/>
        <v>—</v>
      </c>
      <c r="E2854" s="16">
        <f t="shared" ca="1" si="135"/>
        <v>7</v>
      </c>
    </row>
    <row r="2855" spans="1:5" x14ac:dyDescent="0.25">
      <c r="A2855" s="3">
        <f t="shared" si="133"/>
        <v>78989</v>
      </c>
      <c r="B2855" t="str">
        <f ca="1">TEXT(DATE(YEAR(Invoer!$A$5),1,1)+INT((ROWS(B$2:B2855)-1)/24),"""18""jjmmdd")</f>
        <v>18980429</v>
      </c>
      <c r="C2855" s="11" t="str">
        <f>INDEX(Data,2,2+MOD(ROWS(C$2:C2855)-1,24))</f>
        <v>22.00</v>
      </c>
      <c r="D2855" s="8" t="str">
        <f t="shared" ca="1" si="134"/>
        <v>—</v>
      </c>
      <c r="E2855" s="16">
        <f t="shared" ca="1" si="135"/>
        <v>7</v>
      </c>
    </row>
    <row r="2856" spans="1:5" x14ac:dyDescent="0.25">
      <c r="A2856" s="3">
        <f t="shared" si="133"/>
        <v>78989</v>
      </c>
      <c r="B2856" t="str">
        <f ca="1">TEXT(DATE(YEAR(Invoer!$A$5),1,1)+INT((ROWS(B$2:B2856)-1)/24),"""18""jjmmdd")</f>
        <v>18980429</v>
      </c>
      <c r="C2856" s="11" t="str">
        <f>INDEX(Data,2,2+MOD(ROWS(C$2:C2856)-1,24))</f>
        <v>23.00</v>
      </c>
      <c r="D2856" s="8" t="str">
        <f t="shared" ca="1" si="134"/>
        <v>—</v>
      </c>
      <c r="E2856" s="16">
        <f t="shared" ca="1" si="135"/>
        <v>7</v>
      </c>
    </row>
    <row r="2857" spans="1:5" x14ac:dyDescent="0.25">
      <c r="A2857" s="3">
        <f t="shared" si="133"/>
        <v>78989</v>
      </c>
      <c r="B2857" t="str">
        <f ca="1">TEXT(DATE(YEAR(Invoer!$A$5),1,1)+INT((ROWS(B$2:B2857)-1)/24),"""18""jjmmdd")</f>
        <v>18980429</v>
      </c>
      <c r="C2857" s="11" t="str">
        <f>INDEX(Data,2,2+MOD(ROWS(C$2:C2857)-1,24))</f>
        <v>24.00</v>
      </c>
      <c r="D2857" s="8" t="str">
        <f t="shared" ca="1" si="134"/>
        <v>—</v>
      </c>
      <c r="E2857" s="16">
        <f t="shared" ca="1" si="135"/>
        <v>7</v>
      </c>
    </row>
    <row r="2858" spans="1:5" x14ac:dyDescent="0.25">
      <c r="A2858" s="3">
        <f t="shared" si="133"/>
        <v>78989</v>
      </c>
      <c r="B2858" t="str">
        <f ca="1">TEXT(DATE(YEAR(Invoer!$A$5),1,1)+INT((ROWS(B$2:B2858)-1)/24),"""18""jjmmdd")</f>
        <v>18980430</v>
      </c>
      <c r="C2858" s="11" t="str">
        <f>INDEX(Data,2,2+MOD(ROWS(C$2:C2858)-1,24))</f>
        <v>01.00</v>
      </c>
      <c r="D2858" s="8" t="str">
        <f t="shared" ca="1" si="134"/>
        <v>—</v>
      </c>
      <c r="E2858" s="16">
        <f t="shared" ca="1" si="135"/>
        <v>7</v>
      </c>
    </row>
    <row r="2859" spans="1:5" x14ac:dyDescent="0.25">
      <c r="A2859" s="3">
        <f t="shared" si="133"/>
        <v>78989</v>
      </c>
      <c r="B2859" t="str">
        <f ca="1">TEXT(DATE(YEAR(Invoer!$A$5),1,1)+INT((ROWS(B$2:B2859)-1)/24),"""18""jjmmdd")</f>
        <v>18980430</v>
      </c>
      <c r="C2859" s="11" t="str">
        <f>INDEX(Data,2,2+MOD(ROWS(C$2:C2859)-1,24))</f>
        <v>02.00</v>
      </c>
      <c r="D2859" s="8" t="str">
        <f t="shared" ca="1" si="134"/>
        <v>—</v>
      </c>
      <c r="E2859" s="16">
        <f t="shared" ca="1" si="135"/>
        <v>7</v>
      </c>
    </row>
    <row r="2860" spans="1:5" x14ac:dyDescent="0.25">
      <c r="A2860" s="3">
        <f t="shared" si="133"/>
        <v>78989</v>
      </c>
      <c r="B2860" t="str">
        <f ca="1">TEXT(DATE(YEAR(Invoer!$A$5),1,1)+INT((ROWS(B$2:B2860)-1)/24),"""18""jjmmdd")</f>
        <v>18980430</v>
      </c>
      <c r="C2860" s="11" t="str">
        <f>INDEX(Data,2,2+MOD(ROWS(C$2:C2860)-1,24))</f>
        <v>03.00</v>
      </c>
      <c r="D2860" s="8" t="str">
        <f t="shared" ca="1" si="134"/>
        <v>—</v>
      </c>
      <c r="E2860" s="16">
        <f t="shared" ca="1" si="135"/>
        <v>7</v>
      </c>
    </row>
    <row r="2861" spans="1:5" x14ac:dyDescent="0.25">
      <c r="A2861" s="3">
        <f t="shared" si="133"/>
        <v>78989</v>
      </c>
      <c r="B2861" t="str">
        <f ca="1">TEXT(DATE(YEAR(Invoer!$A$5),1,1)+INT((ROWS(B$2:B2861)-1)/24),"""18""jjmmdd")</f>
        <v>18980430</v>
      </c>
      <c r="C2861" s="11" t="str">
        <f>INDEX(Data,2,2+MOD(ROWS(C$2:C2861)-1,24))</f>
        <v>04.00</v>
      </c>
      <c r="D2861" s="8" t="str">
        <f t="shared" ca="1" si="134"/>
        <v>—</v>
      </c>
      <c r="E2861" s="16">
        <f t="shared" ca="1" si="135"/>
        <v>7</v>
      </c>
    </row>
    <row r="2862" spans="1:5" x14ac:dyDescent="0.25">
      <c r="A2862" s="3">
        <f t="shared" si="133"/>
        <v>78989</v>
      </c>
      <c r="B2862" t="str">
        <f ca="1">TEXT(DATE(YEAR(Invoer!$A$5),1,1)+INT((ROWS(B$2:B2862)-1)/24),"""18""jjmmdd")</f>
        <v>18980430</v>
      </c>
      <c r="C2862" s="11" t="str">
        <f>INDEX(Data,2,2+MOD(ROWS(C$2:C2862)-1,24))</f>
        <v>05.00</v>
      </c>
      <c r="D2862" s="8" t="str">
        <f t="shared" ca="1" si="134"/>
        <v>—</v>
      </c>
      <c r="E2862" s="16">
        <f t="shared" ca="1" si="135"/>
        <v>7</v>
      </c>
    </row>
    <row r="2863" spans="1:5" x14ac:dyDescent="0.25">
      <c r="A2863" s="3">
        <f t="shared" si="133"/>
        <v>78989</v>
      </c>
      <c r="B2863" t="str">
        <f ca="1">TEXT(DATE(YEAR(Invoer!$A$5),1,1)+INT((ROWS(B$2:B2863)-1)/24),"""18""jjmmdd")</f>
        <v>18980430</v>
      </c>
      <c r="C2863" s="11" t="str">
        <f>INDEX(Data,2,2+MOD(ROWS(C$2:C2863)-1,24))</f>
        <v>06.00</v>
      </c>
      <c r="D2863" s="8" t="str">
        <f t="shared" ca="1" si="134"/>
        <v>—</v>
      </c>
      <c r="E2863" s="16">
        <f t="shared" ca="1" si="135"/>
        <v>7</v>
      </c>
    </row>
    <row r="2864" spans="1:5" x14ac:dyDescent="0.25">
      <c r="A2864" s="3">
        <f t="shared" si="133"/>
        <v>78989</v>
      </c>
      <c r="B2864" t="str">
        <f ca="1">TEXT(DATE(YEAR(Invoer!$A$5),1,1)+INT((ROWS(B$2:B2864)-1)/24),"""18""jjmmdd")</f>
        <v>18980430</v>
      </c>
      <c r="C2864" s="11" t="str">
        <f>INDEX(Data,2,2+MOD(ROWS(C$2:C2864)-1,24))</f>
        <v>07.00</v>
      </c>
      <c r="D2864" s="8" t="str">
        <f t="shared" ca="1" si="134"/>
        <v>—</v>
      </c>
      <c r="E2864" s="16">
        <f t="shared" ca="1" si="135"/>
        <v>7</v>
      </c>
    </row>
    <row r="2865" spans="1:5" x14ac:dyDescent="0.25">
      <c r="A2865" s="3">
        <f t="shared" si="133"/>
        <v>78989</v>
      </c>
      <c r="B2865" t="str">
        <f ca="1">TEXT(DATE(YEAR(Invoer!$A$5),1,1)+INT((ROWS(B$2:B2865)-1)/24),"""18""jjmmdd")</f>
        <v>18980430</v>
      </c>
      <c r="C2865" s="11" t="str">
        <f>INDEX(Data,2,2+MOD(ROWS(C$2:C2865)-1,24))</f>
        <v>08.00</v>
      </c>
      <c r="D2865" s="8" t="str">
        <f t="shared" ca="1" si="134"/>
        <v>—</v>
      </c>
      <c r="E2865" s="16">
        <f t="shared" ca="1" si="135"/>
        <v>7</v>
      </c>
    </row>
    <row r="2866" spans="1:5" x14ac:dyDescent="0.25">
      <c r="A2866" s="3">
        <f t="shared" si="133"/>
        <v>78989</v>
      </c>
      <c r="B2866" t="str">
        <f ca="1">TEXT(DATE(YEAR(Invoer!$A$5),1,1)+INT((ROWS(B$2:B2866)-1)/24),"""18""jjmmdd")</f>
        <v>18980430</v>
      </c>
      <c r="C2866" s="11" t="str">
        <f>INDEX(Data,2,2+MOD(ROWS(C$2:C2866)-1,24))</f>
        <v>09.00</v>
      </c>
      <c r="D2866" s="8" t="str">
        <f t="shared" ca="1" si="134"/>
        <v>—</v>
      </c>
      <c r="E2866" s="16">
        <f t="shared" ca="1" si="135"/>
        <v>7</v>
      </c>
    </row>
    <row r="2867" spans="1:5" x14ac:dyDescent="0.25">
      <c r="A2867" s="3">
        <f t="shared" si="133"/>
        <v>78989</v>
      </c>
      <c r="B2867" t="str">
        <f ca="1">TEXT(DATE(YEAR(Invoer!$A$5),1,1)+INT((ROWS(B$2:B2867)-1)/24),"""18""jjmmdd")</f>
        <v>18980430</v>
      </c>
      <c r="C2867" s="11" t="str">
        <f>INDEX(Data,2,2+MOD(ROWS(C$2:C2867)-1,24))</f>
        <v>10.00</v>
      </c>
      <c r="D2867" s="8" t="str">
        <f t="shared" ca="1" si="134"/>
        <v>—</v>
      </c>
      <c r="E2867" s="16">
        <f t="shared" ca="1" si="135"/>
        <v>7</v>
      </c>
    </row>
    <row r="2868" spans="1:5" x14ac:dyDescent="0.25">
      <c r="A2868" s="3">
        <f t="shared" si="133"/>
        <v>78989</v>
      </c>
      <c r="B2868" t="str">
        <f ca="1">TEXT(DATE(YEAR(Invoer!$A$5),1,1)+INT((ROWS(B$2:B2868)-1)/24),"""18""jjmmdd")</f>
        <v>18980430</v>
      </c>
      <c r="C2868" s="11" t="str">
        <f>INDEX(Data,2,2+MOD(ROWS(C$2:C2868)-1,24))</f>
        <v>11.00</v>
      </c>
      <c r="D2868" s="8" t="str">
        <f t="shared" ca="1" si="134"/>
        <v>—</v>
      </c>
      <c r="E2868" s="16">
        <f t="shared" ca="1" si="135"/>
        <v>7</v>
      </c>
    </row>
    <row r="2869" spans="1:5" x14ac:dyDescent="0.25">
      <c r="A2869" s="3">
        <f t="shared" si="133"/>
        <v>78989</v>
      </c>
      <c r="B2869" t="str">
        <f ca="1">TEXT(DATE(YEAR(Invoer!$A$5),1,1)+INT((ROWS(B$2:B2869)-1)/24),"""18""jjmmdd")</f>
        <v>18980430</v>
      </c>
      <c r="C2869" s="11" t="str">
        <f>INDEX(Data,2,2+MOD(ROWS(C$2:C2869)-1,24))</f>
        <v>12.00</v>
      </c>
      <c r="D2869" s="8" t="str">
        <f t="shared" ca="1" si="134"/>
        <v>—</v>
      </c>
      <c r="E2869" s="16">
        <f t="shared" ca="1" si="135"/>
        <v>7</v>
      </c>
    </row>
    <row r="2870" spans="1:5" x14ac:dyDescent="0.25">
      <c r="A2870" s="3">
        <f t="shared" si="133"/>
        <v>78989</v>
      </c>
      <c r="B2870" t="str">
        <f ca="1">TEXT(DATE(YEAR(Invoer!$A$5),1,1)+INT((ROWS(B$2:B2870)-1)/24),"""18""jjmmdd")</f>
        <v>18980430</v>
      </c>
      <c r="C2870" s="11" t="str">
        <f>INDEX(Data,2,2+MOD(ROWS(C$2:C2870)-1,24))</f>
        <v>13.00</v>
      </c>
      <c r="D2870" s="8" t="str">
        <f t="shared" ca="1" si="134"/>
        <v>—</v>
      </c>
      <c r="E2870" s="16">
        <f t="shared" ca="1" si="135"/>
        <v>7</v>
      </c>
    </row>
    <row r="2871" spans="1:5" x14ac:dyDescent="0.25">
      <c r="A2871" s="3">
        <f t="shared" si="133"/>
        <v>78989</v>
      </c>
      <c r="B2871" t="str">
        <f ca="1">TEXT(DATE(YEAR(Invoer!$A$5),1,1)+INT((ROWS(B$2:B2871)-1)/24),"""18""jjmmdd")</f>
        <v>18980430</v>
      </c>
      <c r="C2871" s="11" t="str">
        <f>INDEX(Data,2,2+MOD(ROWS(C$2:C2871)-1,24))</f>
        <v>14.00</v>
      </c>
      <c r="D2871" s="8" t="str">
        <f t="shared" ca="1" si="134"/>
        <v>—</v>
      </c>
      <c r="E2871" s="16">
        <f t="shared" ca="1" si="135"/>
        <v>7</v>
      </c>
    </row>
    <row r="2872" spans="1:5" x14ac:dyDescent="0.25">
      <c r="A2872" s="3">
        <f t="shared" si="133"/>
        <v>78989</v>
      </c>
      <c r="B2872" t="str">
        <f ca="1">TEXT(DATE(YEAR(Invoer!$A$5),1,1)+INT((ROWS(B$2:B2872)-1)/24),"""18""jjmmdd")</f>
        <v>18980430</v>
      </c>
      <c r="C2872" s="11" t="str">
        <f>INDEX(Data,2,2+MOD(ROWS(C$2:C2872)-1,24))</f>
        <v>15.00</v>
      </c>
      <c r="D2872" s="8" t="str">
        <f t="shared" ca="1" si="134"/>
        <v>—</v>
      </c>
      <c r="E2872" s="16">
        <f t="shared" ca="1" si="135"/>
        <v>7</v>
      </c>
    </row>
    <row r="2873" spans="1:5" x14ac:dyDescent="0.25">
      <c r="A2873" s="3">
        <f t="shared" si="133"/>
        <v>78989</v>
      </c>
      <c r="B2873" t="str">
        <f ca="1">TEXT(DATE(YEAR(Invoer!$A$5),1,1)+INT((ROWS(B$2:B2873)-1)/24),"""18""jjmmdd")</f>
        <v>18980430</v>
      </c>
      <c r="C2873" s="11" t="str">
        <f>INDEX(Data,2,2+MOD(ROWS(C$2:C2873)-1,24))</f>
        <v>16.00</v>
      </c>
      <c r="D2873" s="8" t="str">
        <f t="shared" ca="1" si="134"/>
        <v>—</v>
      </c>
      <c r="E2873" s="16">
        <f t="shared" ca="1" si="135"/>
        <v>7</v>
      </c>
    </row>
    <row r="2874" spans="1:5" x14ac:dyDescent="0.25">
      <c r="A2874" s="3">
        <f t="shared" si="133"/>
        <v>78989</v>
      </c>
      <c r="B2874" t="str">
        <f ca="1">TEXT(DATE(YEAR(Invoer!$A$5),1,1)+INT((ROWS(B$2:B2874)-1)/24),"""18""jjmmdd")</f>
        <v>18980430</v>
      </c>
      <c r="C2874" s="11" t="str">
        <f>INDEX(Data,2,2+MOD(ROWS(C$2:C2874)-1,24))</f>
        <v>17.00</v>
      </c>
      <c r="D2874" s="8" t="str">
        <f t="shared" ca="1" si="134"/>
        <v>—</v>
      </c>
      <c r="E2874" s="16">
        <f t="shared" ca="1" si="135"/>
        <v>7</v>
      </c>
    </row>
    <row r="2875" spans="1:5" x14ac:dyDescent="0.25">
      <c r="A2875" s="3">
        <f t="shared" si="133"/>
        <v>78989</v>
      </c>
      <c r="B2875" t="str">
        <f ca="1">TEXT(DATE(YEAR(Invoer!$A$5),1,1)+INT((ROWS(B$2:B2875)-1)/24),"""18""jjmmdd")</f>
        <v>18980430</v>
      </c>
      <c r="C2875" s="11" t="str">
        <f>INDEX(Data,2,2+MOD(ROWS(C$2:C2875)-1,24))</f>
        <v>18.00</v>
      </c>
      <c r="D2875" s="8" t="str">
        <f t="shared" ca="1" si="134"/>
        <v>—</v>
      </c>
      <c r="E2875" s="16">
        <f t="shared" ca="1" si="135"/>
        <v>7</v>
      </c>
    </row>
    <row r="2876" spans="1:5" x14ac:dyDescent="0.25">
      <c r="A2876" s="3">
        <f t="shared" si="133"/>
        <v>78989</v>
      </c>
      <c r="B2876" t="str">
        <f ca="1">TEXT(DATE(YEAR(Invoer!$A$5),1,1)+INT((ROWS(B$2:B2876)-1)/24),"""18""jjmmdd")</f>
        <v>18980430</v>
      </c>
      <c r="C2876" s="11" t="str">
        <f>INDEX(Data,2,2+MOD(ROWS(C$2:C2876)-1,24))</f>
        <v>19.00</v>
      </c>
      <c r="D2876" s="8" t="str">
        <f t="shared" ca="1" si="134"/>
        <v>—</v>
      </c>
      <c r="E2876" s="16">
        <f t="shared" ca="1" si="135"/>
        <v>7</v>
      </c>
    </row>
    <row r="2877" spans="1:5" x14ac:dyDescent="0.25">
      <c r="A2877" s="3">
        <f t="shared" si="133"/>
        <v>78989</v>
      </c>
      <c r="B2877" t="str">
        <f ca="1">TEXT(DATE(YEAR(Invoer!$A$5),1,1)+INT((ROWS(B$2:B2877)-1)/24),"""18""jjmmdd")</f>
        <v>18980430</v>
      </c>
      <c r="C2877" s="11" t="str">
        <f>INDEX(Data,2,2+MOD(ROWS(C$2:C2877)-1,24))</f>
        <v>20.00</v>
      </c>
      <c r="D2877" s="8" t="str">
        <f t="shared" ca="1" si="134"/>
        <v>—</v>
      </c>
      <c r="E2877" s="16">
        <f t="shared" ca="1" si="135"/>
        <v>7</v>
      </c>
    </row>
    <row r="2878" spans="1:5" x14ac:dyDescent="0.25">
      <c r="A2878" s="3">
        <f t="shared" si="133"/>
        <v>78989</v>
      </c>
      <c r="B2878" t="str">
        <f ca="1">TEXT(DATE(YEAR(Invoer!$A$5),1,1)+INT((ROWS(B$2:B2878)-1)/24),"""18""jjmmdd")</f>
        <v>18980430</v>
      </c>
      <c r="C2878" s="11" t="str">
        <f>INDEX(Data,2,2+MOD(ROWS(C$2:C2878)-1,24))</f>
        <v>21.00</v>
      </c>
      <c r="D2878" s="8" t="str">
        <f t="shared" ca="1" si="134"/>
        <v>—</v>
      </c>
      <c r="E2878" s="16">
        <f t="shared" ca="1" si="135"/>
        <v>7</v>
      </c>
    </row>
    <row r="2879" spans="1:5" x14ac:dyDescent="0.25">
      <c r="A2879" s="3">
        <f t="shared" si="133"/>
        <v>78989</v>
      </c>
      <c r="B2879" t="str">
        <f ca="1">TEXT(DATE(YEAR(Invoer!$A$5),1,1)+INT((ROWS(B$2:B2879)-1)/24),"""18""jjmmdd")</f>
        <v>18980430</v>
      </c>
      <c r="C2879" s="11" t="str">
        <f>INDEX(Data,2,2+MOD(ROWS(C$2:C2879)-1,24))</f>
        <v>22.00</v>
      </c>
      <c r="D2879" s="8" t="str">
        <f t="shared" ca="1" si="134"/>
        <v>—</v>
      </c>
      <c r="E2879" s="16">
        <f t="shared" ca="1" si="135"/>
        <v>7</v>
      </c>
    </row>
    <row r="2880" spans="1:5" x14ac:dyDescent="0.25">
      <c r="A2880" s="3">
        <f t="shared" si="133"/>
        <v>78989</v>
      </c>
      <c r="B2880" t="str">
        <f ca="1">TEXT(DATE(YEAR(Invoer!$A$5),1,1)+INT((ROWS(B$2:B2880)-1)/24),"""18""jjmmdd")</f>
        <v>18980430</v>
      </c>
      <c r="C2880" s="11" t="str">
        <f>INDEX(Data,2,2+MOD(ROWS(C$2:C2880)-1,24))</f>
        <v>23.00</v>
      </c>
      <c r="D2880" s="8" t="str">
        <f t="shared" ca="1" si="134"/>
        <v>—</v>
      </c>
      <c r="E2880" s="16">
        <f t="shared" ca="1" si="135"/>
        <v>7</v>
      </c>
    </row>
    <row r="2881" spans="1:5" x14ac:dyDescent="0.25">
      <c r="A2881" s="3">
        <f t="shared" si="133"/>
        <v>78989</v>
      </c>
      <c r="B2881" t="str">
        <f ca="1">TEXT(DATE(YEAR(Invoer!$A$5),1,1)+INT((ROWS(B$2:B2881)-1)/24),"""18""jjmmdd")</f>
        <v>18980430</v>
      </c>
      <c r="C2881" s="11" t="str">
        <f>INDEX(Data,2,2+MOD(ROWS(C$2:C2881)-1,24))</f>
        <v>24.00</v>
      </c>
      <c r="D2881" s="8" t="str">
        <f t="shared" ca="1" si="134"/>
        <v>—</v>
      </c>
      <c r="E2881" s="16">
        <f t="shared" ca="1" si="135"/>
        <v>7</v>
      </c>
    </row>
    <row r="2882" spans="1:5" x14ac:dyDescent="0.25">
      <c r="A2882" s="3">
        <f t="shared" ref="A2882:A2945" si="136">INDEX(Stations,2,1)</f>
        <v>78989</v>
      </c>
      <c r="B2882" t="str">
        <f ca="1">TEXT(DATE(YEAR(Invoer!$A$5),1,1)+INT((ROWS(B$2:B2882)-1)/24),"""18""jjmmdd")</f>
        <v>18980501</v>
      </c>
      <c r="C2882" s="11" t="str">
        <f>INDEX(Data,2,2+MOD(ROWS(C$2:C2882)-1,24))</f>
        <v>01.00</v>
      </c>
      <c r="D2882" s="8" t="str">
        <f t="shared" ref="D2882:D2945" ca="1" si="137">IF(OR(ISBLANK(VLOOKUP(DATEVALUE("37"&amp;MID($B2882,3,2)&amp;"-"&amp;MID($B2882,5,2)&amp;"-"&amp;RIGHT($B2882,2)),Data,MATCH(LEFT(VLOOKUP(D$1,Parameters,2,FALSE()),4)&amp;"*",OFFSET(Data,0,0,1),0)+MATCH($C2882,OFFSET(Data,1,0,1),0)-2,FALSE())),ISTEXT(VLOOKUP(DATEVALUE("37"&amp;MID($B2882,3,2)&amp;"-"&amp;MID($B2882,5,2)&amp;"-"&amp;RIGHT($B2882,2)),Data,MATCH(LEFT(VLOOKUP(D$1,Parameters,2,FALSE()),4)&amp;"*",OFFSET(Data,0,0,1),0)+MATCH($C2882,OFFSET(Data,1,0,1),0)-2,FALSE()))),"—",VLOOKUP(DATEVALUE("37"&amp;MID($B2882,3,2)&amp;"-"&amp;MID($B2882,5,2)&amp;"-"&amp;RIGHT($B2882,2)),Data,MATCH(LEFT(VLOOKUP(D$1,Parameters,2,FALSE()),4)&amp;"*",OFFSET(Data,0,0,1),0)+MATCH($C2882,OFFSET(Data,1,0,1),0)-2,FALSE()))</f>
        <v>—</v>
      </c>
      <c r="E2882" s="16">
        <f t="shared" ca="1" si="135"/>
        <v>7</v>
      </c>
    </row>
    <row r="2883" spans="1:5" x14ac:dyDescent="0.25">
      <c r="A2883" s="3">
        <f t="shared" si="136"/>
        <v>78989</v>
      </c>
      <c r="B2883" t="str">
        <f ca="1">TEXT(DATE(YEAR(Invoer!$A$5),1,1)+INT((ROWS(B$2:B2883)-1)/24),"""18""jjmmdd")</f>
        <v>18980501</v>
      </c>
      <c r="C2883" s="11" t="str">
        <f>INDEX(Data,2,2+MOD(ROWS(C$2:C2883)-1,24))</f>
        <v>02.00</v>
      </c>
      <c r="D2883" s="8" t="str">
        <f t="shared" ca="1" si="137"/>
        <v>—</v>
      </c>
      <c r="E2883" s="16">
        <f t="shared" ref="E2883:E2946" ca="1" si="138">IF(OR(ISBLANK(VLOOKUP(DATEVALUE("37"&amp;MID($B2883,3,2)&amp;"-"&amp;MID($B2883,5,2)&amp;"-"&amp;RIGHT($B2883,2)),Data,MATCH(LEFT(VLOOKUP(D$1,Parameters,2,FALSE()),4)&amp;"*",OFFSET(Data,0,0,1),0)+MATCH($C2883,OFFSET(Data,1,0,1),0)-2,FALSE())),ISTEXT(VLOOKUP(DATEVALUE("37"&amp;MID($B2883,3,2)&amp;"-"&amp;MID($B2883,5,2)&amp;"-"&amp;RIGHT($B2883,2)),Data,MATCH(LEFT(VLOOKUP(D$1,Parameters,2,FALSE()),4)&amp;"*",OFFSET(Data,0,0,1),0)+MATCH($C2883,OFFSET(Data,1,0,1),0)-2,FALSE()))),Lacking,IF(ISNA(MATCH(DATEVALUE("37"&amp;MID($B2883,3,2)&amp;"-"&amp;MID($B2883,5,2)&amp;"-"&amp;RIGHT($B2883,2)),OFFSET(Catalogus,0,0,,1),0)),Ok,VLOOKUP(DATEVALUE("37"&amp;MID($B2883,3,2)&amp;"-"&amp;MID($B2883,5,2)&amp;"-"&amp;RIGHT($B2883,2)),Catalogus,MATCH(LEFT(VLOOKUP(MID(E$1,2,LEN(E$1)-1),Parameters,2,FALSE()),4)&amp;"*",OFFSET(Catalogus,0,0,1),0)+MATCH($C2883,OFFSET(Catalogus,1,0,1),0)-2,FALSE())))</f>
        <v>7</v>
      </c>
    </row>
    <row r="2884" spans="1:5" x14ac:dyDescent="0.25">
      <c r="A2884" s="3">
        <f t="shared" si="136"/>
        <v>78989</v>
      </c>
      <c r="B2884" t="str">
        <f ca="1">TEXT(DATE(YEAR(Invoer!$A$5),1,1)+INT((ROWS(B$2:B2884)-1)/24),"""18""jjmmdd")</f>
        <v>18980501</v>
      </c>
      <c r="C2884" s="11" t="str">
        <f>INDEX(Data,2,2+MOD(ROWS(C$2:C2884)-1,24))</f>
        <v>03.00</v>
      </c>
      <c r="D2884" s="8" t="str">
        <f t="shared" ca="1" si="137"/>
        <v>—</v>
      </c>
      <c r="E2884" s="16">
        <f t="shared" ca="1" si="138"/>
        <v>7</v>
      </c>
    </row>
    <row r="2885" spans="1:5" x14ac:dyDescent="0.25">
      <c r="A2885" s="3">
        <f t="shared" si="136"/>
        <v>78989</v>
      </c>
      <c r="B2885" t="str">
        <f ca="1">TEXT(DATE(YEAR(Invoer!$A$5),1,1)+INT((ROWS(B$2:B2885)-1)/24),"""18""jjmmdd")</f>
        <v>18980501</v>
      </c>
      <c r="C2885" s="11" t="str">
        <f>INDEX(Data,2,2+MOD(ROWS(C$2:C2885)-1,24))</f>
        <v>04.00</v>
      </c>
      <c r="D2885" s="8" t="str">
        <f t="shared" ca="1" si="137"/>
        <v>—</v>
      </c>
      <c r="E2885" s="16">
        <f t="shared" ca="1" si="138"/>
        <v>7</v>
      </c>
    </row>
    <row r="2886" spans="1:5" x14ac:dyDescent="0.25">
      <c r="A2886" s="3">
        <f t="shared" si="136"/>
        <v>78989</v>
      </c>
      <c r="B2886" t="str">
        <f ca="1">TEXT(DATE(YEAR(Invoer!$A$5),1,1)+INT((ROWS(B$2:B2886)-1)/24),"""18""jjmmdd")</f>
        <v>18980501</v>
      </c>
      <c r="C2886" s="11" t="str">
        <f>INDEX(Data,2,2+MOD(ROWS(C$2:C2886)-1,24))</f>
        <v>05.00</v>
      </c>
      <c r="D2886" s="8" t="str">
        <f t="shared" ca="1" si="137"/>
        <v>—</v>
      </c>
      <c r="E2886" s="16">
        <f t="shared" ca="1" si="138"/>
        <v>7</v>
      </c>
    </row>
    <row r="2887" spans="1:5" x14ac:dyDescent="0.25">
      <c r="A2887" s="3">
        <f t="shared" si="136"/>
        <v>78989</v>
      </c>
      <c r="B2887" t="str">
        <f ca="1">TEXT(DATE(YEAR(Invoer!$A$5),1,1)+INT((ROWS(B$2:B2887)-1)/24),"""18""jjmmdd")</f>
        <v>18980501</v>
      </c>
      <c r="C2887" s="11" t="str">
        <f>INDEX(Data,2,2+MOD(ROWS(C$2:C2887)-1,24))</f>
        <v>06.00</v>
      </c>
      <c r="D2887" s="8" t="str">
        <f t="shared" ca="1" si="137"/>
        <v>—</v>
      </c>
      <c r="E2887" s="16">
        <f t="shared" ca="1" si="138"/>
        <v>7</v>
      </c>
    </row>
    <row r="2888" spans="1:5" x14ac:dyDescent="0.25">
      <c r="A2888" s="3">
        <f t="shared" si="136"/>
        <v>78989</v>
      </c>
      <c r="B2888" t="str">
        <f ca="1">TEXT(DATE(YEAR(Invoer!$A$5),1,1)+INT((ROWS(B$2:B2888)-1)/24),"""18""jjmmdd")</f>
        <v>18980501</v>
      </c>
      <c r="C2888" s="11" t="str">
        <f>INDEX(Data,2,2+MOD(ROWS(C$2:C2888)-1,24))</f>
        <v>07.00</v>
      </c>
      <c r="D2888" s="8" t="str">
        <f t="shared" ca="1" si="137"/>
        <v>—</v>
      </c>
      <c r="E2888" s="16">
        <f t="shared" ca="1" si="138"/>
        <v>7</v>
      </c>
    </row>
    <row r="2889" spans="1:5" x14ac:dyDescent="0.25">
      <c r="A2889" s="3">
        <f t="shared" si="136"/>
        <v>78989</v>
      </c>
      <c r="B2889" t="str">
        <f ca="1">TEXT(DATE(YEAR(Invoer!$A$5),1,1)+INT((ROWS(B$2:B2889)-1)/24),"""18""jjmmdd")</f>
        <v>18980501</v>
      </c>
      <c r="C2889" s="11" t="str">
        <f>INDEX(Data,2,2+MOD(ROWS(C$2:C2889)-1,24))</f>
        <v>08.00</v>
      </c>
      <c r="D2889" s="8" t="str">
        <f t="shared" ca="1" si="137"/>
        <v>—</v>
      </c>
      <c r="E2889" s="16">
        <f t="shared" ca="1" si="138"/>
        <v>7</v>
      </c>
    </row>
    <row r="2890" spans="1:5" x14ac:dyDescent="0.25">
      <c r="A2890" s="3">
        <f t="shared" si="136"/>
        <v>78989</v>
      </c>
      <c r="B2890" t="str">
        <f ca="1">TEXT(DATE(YEAR(Invoer!$A$5),1,1)+INT((ROWS(B$2:B2890)-1)/24),"""18""jjmmdd")</f>
        <v>18980501</v>
      </c>
      <c r="C2890" s="11" t="str">
        <f>INDEX(Data,2,2+MOD(ROWS(C$2:C2890)-1,24))</f>
        <v>09.00</v>
      </c>
      <c r="D2890" s="8" t="str">
        <f t="shared" ca="1" si="137"/>
        <v>—</v>
      </c>
      <c r="E2890" s="16">
        <f t="shared" ca="1" si="138"/>
        <v>7</v>
      </c>
    </row>
    <row r="2891" spans="1:5" x14ac:dyDescent="0.25">
      <c r="A2891" s="3">
        <f t="shared" si="136"/>
        <v>78989</v>
      </c>
      <c r="B2891" t="str">
        <f ca="1">TEXT(DATE(YEAR(Invoer!$A$5),1,1)+INT((ROWS(B$2:B2891)-1)/24),"""18""jjmmdd")</f>
        <v>18980501</v>
      </c>
      <c r="C2891" s="11" t="str">
        <f>INDEX(Data,2,2+MOD(ROWS(C$2:C2891)-1,24))</f>
        <v>10.00</v>
      </c>
      <c r="D2891" s="8" t="str">
        <f t="shared" ca="1" si="137"/>
        <v>—</v>
      </c>
      <c r="E2891" s="16">
        <f t="shared" ca="1" si="138"/>
        <v>7</v>
      </c>
    </row>
    <row r="2892" spans="1:5" x14ac:dyDescent="0.25">
      <c r="A2892" s="3">
        <f t="shared" si="136"/>
        <v>78989</v>
      </c>
      <c r="B2892" t="str">
        <f ca="1">TEXT(DATE(YEAR(Invoer!$A$5),1,1)+INT((ROWS(B$2:B2892)-1)/24),"""18""jjmmdd")</f>
        <v>18980501</v>
      </c>
      <c r="C2892" s="11" t="str">
        <f>INDEX(Data,2,2+MOD(ROWS(C$2:C2892)-1,24))</f>
        <v>11.00</v>
      </c>
      <c r="D2892" s="8" t="str">
        <f t="shared" ca="1" si="137"/>
        <v>—</v>
      </c>
      <c r="E2892" s="16">
        <f t="shared" ca="1" si="138"/>
        <v>7</v>
      </c>
    </row>
    <row r="2893" spans="1:5" x14ac:dyDescent="0.25">
      <c r="A2893" s="3">
        <f t="shared" si="136"/>
        <v>78989</v>
      </c>
      <c r="B2893" t="str">
        <f ca="1">TEXT(DATE(YEAR(Invoer!$A$5),1,1)+INT((ROWS(B$2:B2893)-1)/24),"""18""jjmmdd")</f>
        <v>18980501</v>
      </c>
      <c r="C2893" s="11" t="str">
        <f>INDEX(Data,2,2+MOD(ROWS(C$2:C2893)-1,24))</f>
        <v>12.00</v>
      </c>
      <c r="D2893" s="8" t="str">
        <f t="shared" ca="1" si="137"/>
        <v>—</v>
      </c>
      <c r="E2893" s="16">
        <f t="shared" ca="1" si="138"/>
        <v>7</v>
      </c>
    </row>
    <row r="2894" spans="1:5" x14ac:dyDescent="0.25">
      <c r="A2894" s="3">
        <f t="shared" si="136"/>
        <v>78989</v>
      </c>
      <c r="B2894" t="str">
        <f ca="1">TEXT(DATE(YEAR(Invoer!$A$5),1,1)+INT((ROWS(B$2:B2894)-1)/24),"""18""jjmmdd")</f>
        <v>18980501</v>
      </c>
      <c r="C2894" s="11" t="str">
        <f>INDEX(Data,2,2+MOD(ROWS(C$2:C2894)-1,24))</f>
        <v>13.00</v>
      </c>
      <c r="D2894" s="8" t="str">
        <f t="shared" ca="1" si="137"/>
        <v>—</v>
      </c>
      <c r="E2894" s="16">
        <f t="shared" ca="1" si="138"/>
        <v>7</v>
      </c>
    </row>
    <row r="2895" spans="1:5" x14ac:dyDescent="0.25">
      <c r="A2895" s="3">
        <f t="shared" si="136"/>
        <v>78989</v>
      </c>
      <c r="B2895" t="str">
        <f ca="1">TEXT(DATE(YEAR(Invoer!$A$5),1,1)+INT((ROWS(B$2:B2895)-1)/24),"""18""jjmmdd")</f>
        <v>18980501</v>
      </c>
      <c r="C2895" s="11" t="str">
        <f>INDEX(Data,2,2+MOD(ROWS(C$2:C2895)-1,24))</f>
        <v>14.00</v>
      </c>
      <c r="D2895" s="8" t="str">
        <f t="shared" ca="1" si="137"/>
        <v>—</v>
      </c>
      <c r="E2895" s="16">
        <f t="shared" ca="1" si="138"/>
        <v>7</v>
      </c>
    </row>
    <row r="2896" spans="1:5" x14ac:dyDescent="0.25">
      <c r="A2896" s="3">
        <f t="shared" si="136"/>
        <v>78989</v>
      </c>
      <c r="B2896" t="str">
        <f ca="1">TEXT(DATE(YEAR(Invoer!$A$5),1,1)+INT((ROWS(B$2:B2896)-1)/24),"""18""jjmmdd")</f>
        <v>18980501</v>
      </c>
      <c r="C2896" s="11" t="str">
        <f>INDEX(Data,2,2+MOD(ROWS(C$2:C2896)-1,24))</f>
        <v>15.00</v>
      </c>
      <c r="D2896" s="8" t="str">
        <f t="shared" ca="1" si="137"/>
        <v>—</v>
      </c>
      <c r="E2896" s="16">
        <f t="shared" ca="1" si="138"/>
        <v>7</v>
      </c>
    </row>
    <row r="2897" spans="1:5" x14ac:dyDescent="0.25">
      <c r="A2897" s="3">
        <f t="shared" si="136"/>
        <v>78989</v>
      </c>
      <c r="B2897" t="str">
        <f ca="1">TEXT(DATE(YEAR(Invoer!$A$5),1,1)+INT((ROWS(B$2:B2897)-1)/24),"""18""jjmmdd")</f>
        <v>18980501</v>
      </c>
      <c r="C2897" s="11" t="str">
        <f>INDEX(Data,2,2+MOD(ROWS(C$2:C2897)-1,24))</f>
        <v>16.00</v>
      </c>
      <c r="D2897" s="8" t="str">
        <f t="shared" ca="1" si="137"/>
        <v>—</v>
      </c>
      <c r="E2897" s="16">
        <f t="shared" ca="1" si="138"/>
        <v>7</v>
      </c>
    </row>
    <row r="2898" spans="1:5" x14ac:dyDescent="0.25">
      <c r="A2898" s="3">
        <f t="shared" si="136"/>
        <v>78989</v>
      </c>
      <c r="B2898" t="str">
        <f ca="1">TEXT(DATE(YEAR(Invoer!$A$5),1,1)+INT((ROWS(B$2:B2898)-1)/24),"""18""jjmmdd")</f>
        <v>18980501</v>
      </c>
      <c r="C2898" s="11" t="str">
        <f>INDEX(Data,2,2+MOD(ROWS(C$2:C2898)-1,24))</f>
        <v>17.00</v>
      </c>
      <c r="D2898" s="8" t="str">
        <f t="shared" ca="1" si="137"/>
        <v>—</v>
      </c>
      <c r="E2898" s="16">
        <f t="shared" ca="1" si="138"/>
        <v>7</v>
      </c>
    </row>
    <row r="2899" spans="1:5" x14ac:dyDescent="0.25">
      <c r="A2899" s="3">
        <f t="shared" si="136"/>
        <v>78989</v>
      </c>
      <c r="B2899" t="str">
        <f ca="1">TEXT(DATE(YEAR(Invoer!$A$5),1,1)+INT((ROWS(B$2:B2899)-1)/24),"""18""jjmmdd")</f>
        <v>18980501</v>
      </c>
      <c r="C2899" s="11" t="str">
        <f>INDEX(Data,2,2+MOD(ROWS(C$2:C2899)-1,24))</f>
        <v>18.00</v>
      </c>
      <c r="D2899" s="8" t="str">
        <f t="shared" ca="1" si="137"/>
        <v>—</v>
      </c>
      <c r="E2899" s="16">
        <f t="shared" ca="1" si="138"/>
        <v>7</v>
      </c>
    </row>
    <row r="2900" spans="1:5" x14ac:dyDescent="0.25">
      <c r="A2900" s="3">
        <f t="shared" si="136"/>
        <v>78989</v>
      </c>
      <c r="B2900" t="str">
        <f ca="1">TEXT(DATE(YEAR(Invoer!$A$5),1,1)+INT((ROWS(B$2:B2900)-1)/24),"""18""jjmmdd")</f>
        <v>18980501</v>
      </c>
      <c r="C2900" s="11" t="str">
        <f>INDEX(Data,2,2+MOD(ROWS(C$2:C2900)-1,24))</f>
        <v>19.00</v>
      </c>
      <c r="D2900" s="8" t="str">
        <f t="shared" ca="1" si="137"/>
        <v>—</v>
      </c>
      <c r="E2900" s="16">
        <f t="shared" ca="1" si="138"/>
        <v>7</v>
      </c>
    </row>
    <row r="2901" spans="1:5" x14ac:dyDescent="0.25">
      <c r="A2901" s="3">
        <f t="shared" si="136"/>
        <v>78989</v>
      </c>
      <c r="B2901" t="str">
        <f ca="1">TEXT(DATE(YEAR(Invoer!$A$5),1,1)+INT((ROWS(B$2:B2901)-1)/24),"""18""jjmmdd")</f>
        <v>18980501</v>
      </c>
      <c r="C2901" s="11" t="str">
        <f>INDEX(Data,2,2+MOD(ROWS(C$2:C2901)-1,24))</f>
        <v>20.00</v>
      </c>
      <c r="D2901" s="8" t="str">
        <f t="shared" ca="1" si="137"/>
        <v>—</v>
      </c>
      <c r="E2901" s="16">
        <f t="shared" ca="1" si="138"/>
        <v>7</v>
      </c>
    </row>
    <row r="2902" spans="1:5" x14ac:dyDescent="0.25">
      <c r="A2902" s="3">
        <f t="shared" si="136"/>
        <v>78989</v>
      </c>
      <c r="B2902" t="str">
        <f ca="1">TEXT(DATE(YEAR(Invoer!$A$5),1,1)+INT((ROWS(B$2:B2902)-1)/24),"""18""jjmmdd")</f>
        <v>18980501</v>
      </c>
      <c r="C2902" s="11" t="str">
        <f>INDEX(Data,2,2+MOD(ROWS(C$2:C2902)-1,24))</f>
        <v>21.00</v>
      </c>
      <c r="D2902" s="8" t="str">
        <f t="shared" ca="1" si="137"/>
        <v>—</v>
      </c>
      <c r="E2902" s="16">
        <f t="shared" ca="1" si="138"/>
        <v>7</v>
      </c>
    </row>
    <row r="2903" spans="1:5" x14ac:dyDescent="0.25">
      <c r="A2903" s="3">
        <f t="shared" si="136"/>
        <v>78989</v>
      </c>
      <c r="B2903" t="str">
        <f ca="1">TEXT(DATE(YEAR(Invoer!$A$5),1,1)+INT((ROWS(B$2:B2903)-1)/24),"""18""jjmmdd")</f>
        <v>18980501</v>
      </c>
      <c r="C2903" s="11" t="str">
        <f>INDEX(Data,2,2+MOD(ROWS(C$2:C2903)-1,24))</f>
        <v>22.00</v>
      </c>
      <c r="D2903" s="8" t="str">
        <f t="shared" ca="1" si="137"/>
        <v>—</v>
      </c>
      <c r="E2903" s="16">
        <f t="shared" ca="1" si="138"/>
        <v>7</v>
      </c>
    </row>
    <row r="2904" spans="1:5" x14ac:dyDescent="0.25">
      <c r="A2904" s="3">
        <f t="shared" si="136"/>
        <v>78989</v>
      </c>
      <c r="B2904" t="str">
        <f ca="1">TEXT(DATE(YEAR(Invoer!$A$5),1,1)+INT((ROWS(B$2:B2904)-1)/24),"""18""jjmmdd")</f>
        <v>18980501</v>
      </c>
      <c r="C2904" s="11" t="str">
        <f>INDEX(Data,2,2+MOD(ROWS(C$2:C2904)-1,24))</f>
        <v>23.00</v>
      </c>
      <c r="D2904" s="8" t="str">
        <f t="shared" ca="1" si="137"/>
        <v>—</v>
      </c>
      <c r="E2904" s="16">
        <f t="shared" ca="1" si="138"/>
        <v>7</v>
      </c>
    </row>
    <row r="2905" spans="1:5" x14ac:dyDescent="0.25">
      <c r="A2905" s="3">
        <f t="shared" si="136"/>
        <v>78989</v>
      </c>
      <c r="B2905" t="str">
        <f ca="1">TEXT(DATE(YEAR(Invoer!$A$5),1,1)+INT((ROWS(B$2:B2905)-1)/24),"""18""jjmmdd")</f>
        <v>18980501</v>
      </c>
      <c r="C2905" s="11" t="str">
        <f>INDEX(Data,2,2+MOD(ROWS(C$2:C2905)-1,24))</f>
        <v>24.00</v>
      </c>
      <c r="D2905" s="8" t="str">
        <f t="shared" ca="1" si="137"/>
        <v>—</v>
      </c>
      <c r="E2905" s="16">
        <f t="shared" ca="1" si="138"/>
        <v>7</v>
      </c>
    </row>
    <row r="2906" spans="1:5" x14ac:dyDescent="0.25">
      <c r="A2906" s="3">
        <f t="shared" si="136"/>
        <v>78989</v>
      </c>
      <c r="B2906" t="str">
        <f ca="1">TEXT(DATE(YEAR(Invoer!$A$5),1,1)+INT((ROWS(B$2:B2906)-1)/24),"""18""jjmmdd")</f>
        <v>18980502</v>
      </c>
      <c r="C2906" s="11" t="str">
        <f>INDEX(Data,2,2+MOD(ROWS(C$2:C2906)-1,24))</f>
        <v>01.00</v>
      </c>
      <c r="D2906" s="8" t="str">
        <f t="shared" ca="1" si="137"/>
        <v>—</v>
      </c>
      <c r="E2906" s="16">
        <f t="shared" ca="1" si="138"/>
        <v>7</v>
      </c>
    </row>
    <row r="2907" spans="1:5" x14ac:dyDescent="0.25">
      <c r="A2907" s="3">
        <f t="shared" si="136"/>
        <v>78989</v>
      </c>
      <c r="B2907" t="str">
        <f ca="1">TEXT(DATE(YEAR(Invoer!$A$5),1,1)+INT((ROWS(B$2:B2907)-1)/24),"""18""jjmmdd")</f>
        <v>18980502</v>
      </c>
      <c r="C2907" s="11" t="str">
        <f>INDEX(Data,2,2+MOD(ROWS(C$2:C2907)-1,24))</f>
        <v>02.00</v>
      </c>
      <c r="D2907" s="8" t="str">
        <f t="shared" ca="1" si="137"/>
        <v>—</v>
      </c>
      <c r="E2907" s="16">
        <f t="shared" ca="1" si="138"/>
        <v>7</v>
      </c>
    </row>
    <row r="2908" spans="1:5" x14ac:dyDescent="0.25">
      <c r="A2908" s="3">
        <f t="shared" si="136"/>
        <v>78989</v>
      </c>
      <c r="B2908" t="str">
        <f ca="1">TEXT(DATE(YEAR(Invoer!$A$5),1,1)+INT((ROWS(B$2:B2908)-1)/24),"""18""jjmmdd")</f>
        <v>18980502</v>
      </c>
      <c r="C2908" s="11" t="str">
        <f>INDEX(Data,2,2+MOD(ROWS(C$2:C2908)-1,24))</f>
        <v>03.00</v>
      </c>
      <c r="D2908" s="8" t="str">
        <f t="shared" ca="1" si="137"/>
        <v>—</v>
      </c>
      <c r="E2908" s="16">
        <f t="shared" ca="1" si="138"/>
        <v>7</v>
      </c>
    </row>
    <row r="2909" spans="1:5" x14ac:dyDescent="0.25">
      <c r="A2909" s="3">
        <f t="shared" si="136"/>
        <v>78989</v>
      </c>
      <c r="B2909" t="str">
        <f ca="1">TEXT(DATE(YEAR(Invoer!$A$5),1,1)+INT((ROWS(B$2:B2909)-1)/24),"""18""jjmmdd")</f>
        <v>18980502</v>
      </c>
      <c r="C2909" s="11" t="str">
        <f>INDEX(Data,2,2+MOD(ROWS(C$2:C2909)-1,24))</f>
        <v>04.00</v>
      </c>
      <c r="D2909" s="8" t="str">
        <f t="shared" ca="1" si="137"/>
        <v>—</v>
      </c>
      <c r="E2909" s="16">
        <f t="shared" ca="1" si="138"/>
        <v>7</v>
      </c>
    </row>
    <row r="2910" spans="1:5" x14ac:dyDescent="0.25">
      <c r="A2910" s="3">
        <f t="shared" si="136"/>
        <v>78989</v>
      </c>
      <c r="B2910" t="str">
        <f ca="1">TEXT(DATE(YEAR(Invoer!$A$5),1,1)+INT((ROWS(B$2:B2910)-1)/24),"""18""jjmmdd")</f>
        <v>18980502</v>
      </c>
      <c r="C2910" s="11" t="str">
        <f>INDEX(Data,2,2+MOD(ROWS(C$2:C2910)-1,24))</f>
        <v>05.00</v>
      </c>
      <c r="D2910" s="8" t="str">
        <f t="shared" ca="1" si="137"/>
        <v>—</v>
      </c>
      <c r="E2910" s="16">
        <f t="shared" ca="1" si="138"/>
        <v>7</v>
      </c>
    </row>
    <row r="2911" spans="1:5" x14ac:dyDescent="0.25">
      <c r="A2911" s="3">
        <f t="shared" si="136"/>
        <v>78989</v>
      </c>
      <c r="B2911" t="str">
        <f ca="1">TEXT(DATE(YEAR(Invoer!$A$5),1,1)+INT((ROWS(B$2:B2911)-1)/24),"""18""jjmmdd")</f>
        <v>18980502</v>
      </c>
      <c r="C2911" s="11" t="str">
        <f>INDEX(Data,2,2+MOD(ROWS(C$2:C2911)-1,24))</f>
        <v>06.00</v>
      </c>
      <c r="D2911" s="8" t="str">
        <f t="shared" ca="1" si="137"/>
        <v>—</v>
      </c>
      <c r="E2911" s="16">
        <f t="shared" ca="1" si="138"/>
        <v>7</v>
      </c>
    </row>
    <row r="2912" spans="1:5" x14ac:dyDescent="0.25">
      <c r="A2912" s="3">
        <f t="shared" si="136"/>
        <v>78989</v>
      </c>
      <c r="B2912" t="str">
        <f ca="1">TEXT(DATE(YEAR(Invoer!$A$5),1,1)+INT((ROWS(B$2:B2912)-1)/24),"""18""jjmmdd")</f>
        <v>18980502</v>
      </c>
      <c r="C2912" s="11" t="str">
        <f>INDEX(Data,2,2+MOD(ROWS(C$2:C2912)-1,24))</f>
        <v>07.00</v>
      </c>
      <c r="D2912" s="8" t="str">
        <f t="shared" ca="1" si="137"/>
        <v>—</v>
      </c>
      <c r="E2912" s="16">
        <f t="shared" ca="1" si="138"/>
        <v>7</v>
      </c>
    </row>
    <row r="2913" spans="1:5" x14ac:dyDescent="0.25">
      <c r="A2913" s="3">
        <f t="shared" si="136"/>
        <v>78989</v>
      </c>
      <c r="B2913" t="str">
        <f ca="1">TEXT(DATE(YEAR(Invoer!$A$5),1,1)+INT((ROWS(B$2:B2913)-1)/24),"""18""jjmmdd")</f>
        <v>18980502</v>
      </c>
      <c r="C2913" s="11" t="str">
        <f>INDEX(Data,2,2+MOD(ROWS(C$2:C2913)-1,24))</f>
        <v>08.00</v>
      </c>
      <c r="D2913" s="8" t="str">
        <f t="shared" ca="1" si="137"/>
        <v>—</v>
      </c>
      <c r="E2913" s="16">
        <f t="shared" ca="1" si="138"/>
        <v>7</v>
      </c>
    </row>
    <row r="2914" spans="1:5" x14ac:dyDescent="0.25">
      <c r="A2914" s="3">
        <f t="shared" si="136"/>
        <v>78989</v>
      </c>
      <c r="B2914" t="str">
        <f ca="1">TEXT(DATE(YEAR(Invoer!$A$5),1,1)+INT((ROWS(B$2:B2914)-1)/24),"""18""jjmmdd")</f>
        <v>18980502</v>
      </c>
      <c r="C2914" s="11" t="str">
        <f>INDEX(Data,2,2+MOD(ROWS(C$2:C2914)-1,24))</f>
        <v>09.00</v>
      </c>
      <c r="D2914" s="8" t="str">
        <f t="shared" ca="1" si="137"/>
        <v>—</v>
      </c>
      <c r="E2914" s="16">
        <f t="shared" ca="1" si="138"/>
        <v>7</v>
      </c>
    </row>
    <row r="2915" spans="1:5" x14ac:dyDescent="0.25">
      <c r="A2915" s="3">
        <f t="shared" si="136"/>
        <v>78989</v>
      </c>
      <c r="B2915" t="str">
        <f ca="1">TEXT(DATE(YEAR(Invoer!$A$5),1,1)+INT((ROWS(B$2:B2915)-1)/24),"""18""jjmmdd")</f>
        <v>18980502</v>
      </c>
      <c r="C2915" s="11" t="str">
        <f>INDEX(Data,2,2+MOD(ROWS(C$2:C2915)-1,24))</f>
        <v>10.00</v>
      </c>
      <c r="D2915" s="8" t="str">
        <f t="shared" ca="1" si="137"/>
        <v>—</v>
      </c>
      <c r="E2915" s="16">
        <f t="shared" ca="1" si="138"/>
        <v>7</v>
      </c>
    </row>
    <row r="2916" spans="1:5" x14ac:dyDescent="0.25">
      <c r="A2916" s="3">
        <f t="shared" si="136"/>
        <v>78989</v>
      </c>
      <c r="B2916" t="str">
        <f ca="1">TEXT(DATE(YEAR(Invoer!$A$5),1,1)+INT((ROWS(B$2:B2916)-1)/24),"""18""jjmmdd")</f>
        <v>18980502</v>
      </c>
      <c r="C2916" s="11" t="str">
        <f>INDEX(Data,2,2+MOD(ROWS(C$2:C2916)-1,24))</f>
        <v>11.00</v>
      </c>
      <c r="D2916" s="8" t="str">
        <f t="shared" ca="1" si="137"/>
        <v>—</v>
      </c>
      <c r="E2916" s="16">
        <f t="shared" ca="1" si="138"/>
        <v>7</v>
      </c>
    </row>
    <row r="2917" spans="1:5" x14ac:dyDescent="0.25">
      <c r="A2917" s="3">
        <f t="shared" si="136"/>
        <v>78989</v>
      </c>
      <c r="B2917" t="str">
        <f ca="1">TEXT(DATE(YEAR(Invoer!$A$5),1,1)+INT((ROWS(B$2:B2917)-1)/24),"""18""jjmmdd")</f>
        <v>18980502</v>
      </c>
      <c r="C2917" s="11" t="str">
        <f>INDEX(Data,2,2+MOD(ROWS(C$2:C2917)-1,24))</f>
        <v>12.00</v>
      </c>
      <c r="D2917" s="8" t="str">
        <f t="shared" ca="1" si="137"/>
        <v>—</v>
      </c>
      <c r="E2917" s="16">
        <f t="shared" ca="1" si="138"/>
        <v>7</v>
      </c>
    </row>
    <row r="2918" spans="1:5" x14ac:dyDescent="0.25">
      <c r="A2918" s="3">
        <f t="shared" si="136"/>
        <v>78989</v>
      </c>
      <c r="B2918" t="str">
        <f ca="1">TEXT(DATE(YEAR(Invoer!$A$5),1,1)+INT((ROWS(B$2:B2918)-1)/24),"""18""jjmmdd")</f>
        <v>18980502</v>
      </c>
      <c r="C2918" s="11" t="str">
        <f>INDEX(Data,2,2+MOD(ROWS(C$2:C2918)-1,24))</f>
        <v>13.00</v>
      </c>
      <c r="D2918" s="8" t="str">
        <f t="shared" ca="1" si="137"/>
        <v>—</v>
      </c>
      <c r="E2918" s="16">
        <f t="shared" ca="1" si="138"/>
        <v>7</v>
      </c>
    </row>
    <row r="2919" spans="1:5" x14ac:dyDescent="0.25">
      <c r="A2919" s="3">
        <f t="shared" si="136"/>
        <v>78989</v>
      </c>
      <c r="B2919" t="str">
        <f ca="1">TEXT(DATE(YEAR(Invoer!$A$5),1,1)+INT((ROWS(B$2:B2919)-1)/24),"""18""jjmmdd")</f>
        <v>18980502</v>
      </c>
      <c r="C2919" s="11" t="str">
        <f>INDEX(Data,2,2+MOD(ROWS(C$2:C2919)-1,24))</f>
        <v>14.00</v>
      </c>
      <c r="D2919" s="8" t="str">
        <f t="shared" ca="1" si="137"/>
        <v>—</v>
      </c>
      <c r="E2919" s="16">
        <f t="shared" ca="1" si="138"/>
        <v>7</v>
      </c>
    </row>
    <row r="2920" spans="1:5" x14ac:dyDescent="0.25">
      <c r="A2920" s="3">
        <f t="shared" si="136"/>
        <v>78989</v>
      </c>
      <c r="B2920" t="str">
        <f ca="1">TEXT(DATE(YEAR(Invoer!$A$5),1,1)+INT((ROWS(B$2:B2920)-1)/24),"""18""jjmmdd")</f>
        <v>18980502</v>
      </c>
      <c r="C2920" s="11" t="str">
        <f>INDEX(Data,2,2+MOD(ROWS(C$2:C2920)-1,24))</f>
        <v>15.00</v>
      </c>
      <c r="D2920" s="8" t="str">
        <f t="shared" ca="1" si="137"/>
        <v>—</v>
      </c>
      <c r="E2920" s="16">
        <f t="shared" ca="1" si="138"/>
        <v>7</v>
      </c>
    </row>
    <row r="2921" spans="1:5" x14ac:dyDescent="0.25">
      <c r="A2921" s="3">
        <f t="shared" si="136"/>
        <v>78989</v>
      </c>
      <c r="B2921" t="str">
        <f ca="1">TEXT(DATE(YEAR(Invoer!$A$5),1,1)+INT((ROWS(B$2:B2921)-1)/24),"""18""jjmmdd")</f>
        <v>18980502</v>
      </c>
      <c r="C2921" s="11" t="str">
        <f>INDEX(Data,2,2+MOD(ROWS(C$2:C2921)-1,24))</f>
        <v>16.00</v>
      </c>
      <c r="D2921" s="8" t="str">
        <f t="shared" ca="1" si="137"/>
        <v>—</v>
      </c>
      <c r="E2921" s="16">
        <f t="shared" ca="1" si="138"/>
        <v>7</v>
      </c>
    </row>
    <row r="2922" spans="1:5" x14ac:dyDescent="0.25">
      <c r="A2922" s="3">
        <f t="shared" si="136"/>
        <v>78989</v>
      </c>
      <c r="B2922" t="str">
        <f ca="1">TEXT(DATE(YEAR(Invoer!$A$5),1,1)+INT((ROWS(B$2:B2922)-1)/24),"""18""jjmmdd")</f>
        <v>18980502</v>
      </c>
      <c r="C2922" s="11" t="str">
        <f>INDEX(Data,2,2+MOD(ROWS(C$2:C2922)-1,24))</f>
        <v>17.00</v>
      </c>
      <c r="D2922" s="8" t="str">
        <f t="shared" ca="1" si="137"/>
        <v>—</v>
      </c>
      <c r="E2922" s="16">
        <f t="shared" ca="1" si="138"/>
        <v>7</v>
      </c>
    </row>
    <row r="2923" spans="1:5" x14ac:dyDescent="0.25">
      <c r="A2923" s="3">
        <f t="shared" si="136"/>
        <v>78989</v>
      </c>
      <c r="B2923" t="str">
        <f ca="1">TEXT(DATE(YEAR(Invoer!$A$5),1,1)+INT((ROWS(B$2:B2923)-1)/24),"""18""jjmmdd")</f>
        <v>18980502</v>
      </c>
      <c r="C2923" s="11" t="str">
        <f>INDEX(Data,2,2+MOD(ROWS(C$2:C2923)-1,24))</f>
        <v>18.00</v>
      </c>
      <c r="D2923" s="8" t="str">
        <f t="shared" ca="1" si="137"/>
        <v>—</v>
      </c>
      <c r="E2923" s="16">
        <f t="shared" ca="1" si="138"/>
        <v>7</v>
      </c>
    </row>
    <row r="2924" spans="1:5" x14ac:dyDescent="0.25">
      <c r="A2924" s="3">
        <f t="shared" si="136"/>
        <v>78989</v>
      </c>
      <c r="B2924" t="str">
        <f ca="1">TEXT(DATE(YEAR(Invoer!$A$5),1,1)+INT((ROWS(B$2:B2924)-1)/24),"""18""jjmmdd")</f>
        <v>18980502</v>
      </c>
      <c r="C2924" s="11" t="str">
        <f>INDEX(Data,2,2+MOD(ROWS(C$2:C2924)-1,24))</f>
        <v>19.00</v>
      </c>
      <c r="D2924" s="8" t="str">
        <f t="shared" ca="1" si="137"/>
        <v>—</v>
      </c>
      <c r="E2924" s="16">
        <f t="shared" ca="1" si="138"/>
        <v>7</v>
      </c>
    </row>
    <row r="2925" spans="1:5" x14ac:dyDescent="0.25">
      <c r="A2925" s="3">
        <f t="shared" si="136"/>
        <v>78989</v>
      </c>
      <c r="B2925" t="str">
        <f ca="1">TEXT(DATE(YEAR(Invoer!$A$5),1,1)+INT((ROWS(B$2:B2925)-1)/24),"""18""jjmmdd")</f>
        <v>18980502</v>
      </c>
      <c r="C2925" s="11" t="str">
        <f>INDEX(Data,2,2+MOD(ROWS(C$2:C2925)-1,24))</f>
        <v>20.00</v>
      </c>
      <c r="D2925" s="8" t="str">
        <f t="shared" ca="1" si="137"/>
        <v>—</v>
      </c>
      <c r="E2925" s="16">
        <f t="shared" ca="1" si="138"/>
        <v>7</v>
      </c>
    </row>
    <row r="2926" spans="1:5" x14ac:dyDescent="0.25">
      <c r="A2926" s="3">
        <f t="shared" si="136"/>
        <v>78989</v>
      </c>
      <c r="B2926" t="str">
        <f ca="1">TEXT(DATE(YEAR(Invoer!$A$5),1,1)+INT((ROWS(B$2:B2926)-1)/24),"""18""jjmmdd")</f>
        <v>18980502</v>
      </c>
      <c r="C2926" s="11" t="str">
        <f>INDEX(Data,2,2+MOD(ROWS(C$2:C2926)-1,24))</f>
        <v>21.00</v>
      </c>
      <c r="D2926" s="8" t="str">
        <f t="shared" ca="1" si="137"/>
        <v>—</v>
      </c>
      <c r="E2926" s="16">
        <f t="shared" ca="1" si="138"/>
        <v>7</v>
      </c>
    </row>
    <row r="2927" spans="1:5" x14ac:dyDescent="0.25">
      <c r="A2927" s="3">
        <f t="shared" si="136"/>
        <v>78989</v>
      </c>
      <c r="B2927" t="str">
        <f ca="1">TEXT(DATE(YEAR(Invoer!$A$5),1,1)+INT((ROWS(B$2:B2927)-1)/24),"""18""jjmmdd")</f>
        <v>18980502</v>
      </c>
      <c r="C2927" s="11" t="str">
        <f>INDEX(Data,2,2+MOD(ROWS(C$2:C2927)-1,24))</f>
        <v>22.00</v>
      </c>
      <c r="D2927" s="8" t="str">
        <f t="shared" ca="1" si="137"/>
        <v>—</v>
      </c>
      <c r="E2927" s="16">
        <f t="shared" ca="1" si="138"/>
        <v>7</v>
      </c>
    </row>
    <row r="2928" spans="1:5" x14ac:dyDescent="0.25">
      <c r="A2928" s="3">
        <f t="shared" si="136"/>
        <v>78989</v>
      </c>
      <c r="B2928" t="str">
        <f ca="1">TEXT(DATE(YEAR(Invoer!$A$5),1,1)+INT((ROWS(B$2:B2928)-1)/24),"""18""jjmmdd")</f>
        <v>18980502</v>
      </c>
      <c r="C2928" s="11" t="str">
        <f>INDEX(Data,2,2+MOD(ROWS(C$2:C2928)-1,24))</f>
        <v>23.00</v>
      </c>
      <c r="D2928" s="8" t="str">
        <f t="shared" ca="1" si="137"/>
        <v>—</v>
      </c>
      <c r="E2928" s="16">
        <f t="shared" ca="1" si="138"/>
        <v>7</v>
      </c>
    </row>
    <row r="2929" spans="1:5" x14ac:dyDescent="0.25">
      <c r="A2929" s="3">
        <f t="shared" si="136"/>
        <v>78989</v>
      </c>
      <c r="B2929" t="str">
        <f ca="1">TEXT(DATE(YEAR(Invoer!$A$5),1,1)+INT((ROWS(B$2:B2929)-1)/24),"""18""jjmmdd")</f>
        <v>18980502</v>
      </c>
      <c r="C2929" s="11" t="str">
        <f>INDEX(Data,2,2+MOD(ROWS(C$2:C2929)-1,24))</f>
        <v>24.00</v>
      </c>
      <c r="D2929" s="8" t="str">
        <f t="shared" ca="1" si="137"/>
        <v>—</v>
      </c>
      <c r="E2929" s="16">
        <f t="shared" ca="1" si="138"/>
        <v>7</v>
      </c>
    </row>
    <row r="2930" spans="1:5" x14ac:dyDescent="0.25">
      <c r="A2930" s="3">
        <f t="shared" si="136"/>
        <v>78989</v>
      </c>
      <c r="B2930" t="str">
        <f ca="1">TEXT(DATE(YEAR(Invoer!$A$5),1,1)+INT((ROWS(B$2:B2930)-1)/24),"""18""jjmmdd")</f>
        <v>18980503</v>
      </c>
      <c r="C2930" s="11" t="str">
        <f>INDEX(Data,2,2+MOD(ROWS(C$2:C2930)-1,24))</f>
        <v>01.00</v>
      </c>
      <c r="D2930" s="8" t="str">
        <f t="shared" ca="1" si="137"/>
        <v>—</v>
      </c>
      <c r="E2930" s="16">
        <f t="shared" ca="1" si="138"/>
        <v>7</v>
      </c>
    </row>
    <row r="2931" spans="1:5" x14ac:dyDescent="0.25">
      <c r="A2931" s="3">
        <f t="shared" si="136"/>
        <v>78989</v>
      </c>
      <c r="B2931" t="str">
        <f ca="1">TEXT(DATE(YEAR(Invoer!$A$5),1,1)+INT((ROWS(B$2:B2931)-1)/24),"""18""jjmmdd")</f>
        <v>18980503</v>
      </c>
      <c r="C2931" s="11" t="str">
        <f>INDEX(Data,2,2+MOD(ROWS(C$2:C2931)-1,24))</f>
        <v>02.00</v>
      </c>
      <c r="D2931" s="8" t="str">
        <f t="shared" ca="1" si="137"/>
        <v>—</v>
      </c>
      <c r="E2931" s="16">
        <f t="shared" ca="1" si="138"/>
        <v>7</v>
      </c>
    </row>
    <row r="2932" spans="1:5" x14ac:dyDescent="0.25">
      <c r="A2932" s="3">
        <f t="shared" si="136"/>
        <v>78989</v>
      </c>
      <c r="B2932" t="str">
        <f ca="1">TEXT(DATE(YEAR(Invoer!$A$5),1,1)+INT((ROWS(B$2:B2932)-1)/24),"""18""jjmmdd")</f>
        <v>18980503</v>
      </c>
      <c r="C2932" s="11" t="str">
        <f>INDEX(Data,2,2+MOD(ROWS(C$2:C2932)-1,24))</f>
        <v>03.00</v>
      </c>
      <c r="D2932" s="8" t="str">
        <f t="shared" ca="1" si="137"/>
        <v>—</v>
      </c>
      <c r="E2932" s="16">
        <f t="shared" ca="1" si="138"/>
        <v>7</v>
      </c>
    </row>
    <row r="2933" spans="1:5" x14ac:dyDescent="0.25">
      <c r="A2933" s="3">
        <f t="shared" si="136"/>
        <v>78989</v>
      </c>
      <c r="B2933" t="str">
        <f ca="1">TEXT(DATE(YEAR(Invoer!$A$5),1,1)+INT((ROWS(B$2:B2933)-1)/24),"""18""jjmmdd")</f>
        <v>18980503</v>
      </c>
      <c r="C2933" s="11" t="str">
        <f>INDEX(Data,2,2+MOD(ROWS(C$2:C2933)-1,24))</f>
        <v>04.00</v>
      </c>
      <c r="D2933" s="8" t="str">
        <f t="shared" ca="1" si="137"/>
        <v>—</v>
      </c>
      <c r="E2933" s="16">
        <f t="shared" ca="1" si="138"/>
        <v>7</v>
      </c>
    </row>
    <row r="2934" spans="1:5" x14ac:dyDescent="0.25">
      <c r="A2934" s="3">
        <f t="shared" si="136"/>
        <v>78989</v>
      </c>
      <c r="B2934" t="str">
        <f ca="1">TEXT(DATE(YEAR(Invoer!$A$5),1,1)+INT((ROWS(B$2:B2934)-1)/24),"""18""jjmmdd")</f>
        <v>18980503</v>
      </c>
      <c r="C2934" s="11" t="str">
        <f>INDEX(Data,2,2+MOD(ROWS(C$2:C2934)-1,24))</f>
        <v>05.00</v>
      </c>
      <c r="D2934" s="8" t="str">
        <f t="shared" ca="1" si="137"/>
        <v>—</v>
      </c>
      <c r="E2934" s="16">
        <f t="shared" ca="1" si="138"/>
        <v>7</v>
      </c>
    </row>
    <row r="2935" spans="1:5" x14ac:dyDescent="0.25">
      <c r="A2935" s="3">
        <f t="shared" si="136"/>
        <v>78989</v>
      </c>
      <c r="B2935" t="str">
        <f ca="1">TEXT(DATE(YEAR(Invoer!$A$5),1,1)+INT((ROWS(B$2:B2935)-1)/24),"""18""jjmmdd")</f>
        <v>18980503</v>
      </c>
      <c r="C2935" s="11" t="str">
        <f>INDEX(Data,2,2+MOD(ROWS(C$2:C2935)-1,24))</f>
        <v>06.00</v>
      </c>
      <c r="D2935" s="8" t="str">
        <f t="shared" ca="1" si="137"/>
        <v>—</v>
      </c>
      <c r="E2935" s="16">
        <f t="shared" ca="1" si="138"/>
        <v>7</v>
      </c>
    </row>
    <row r="2936" spans="1:5" x14ac:dyDescent="0.25">
      <c r="A2936" s="3">
        <f t="shared" si="136"/>
        <v>78989</v>
      </c>
      <c r="B2936" t="str">
        <f ca="1">TEXT(DATE(YEAR(Invoer!$A$5),1,1)+INT((ROWS(B$2:B2936)-1)/24),"""18""jjmmdd")</f>
        <v>18980503</v>
      </c>
      <c r="C2936" s="11" t="str">
        <f>INDEX(Data,2,2+MOD(ROWS(C$2:C2936)-1,24))</f>
        <v>07.00</v>
      </c>
      <c r="D2936" s="8" t="str">
        <f t="shared" ca="1" si="137"/>
        <v>—</v>
      </c>
      <c r="E2936" s="16">
        <f t="shared" ca="1" si="138"/>
        <v>7</v>
      </c>
    </row>
    <row r="2937" spans="1:5" x14ac:dyDescent="0.25">
      <c r="A2937" s="3">
        <f t="shared" si="136"/>
        <v>78989</v>
      </c>
      <c r="B2937" t="str">
        <f ca="1">TEXT(DATE(YEAR(Invoer!$A$5),1,1)+INT((ROWS(B$2:B2937)-1)/24),"""18""jjmmdd")</f>
        <v>18980503</v>
      </c>
      <c r="C2937" s="11" t="str">
        <f>INDEX(Data,2,2+MOD(ROWS(C$2:C2937)-1,24))</f>
        <v>08.00</v>
      </c>
      <c r="D2937" s="8" t="str">
        <f t="shared" ca="1" si="137"/>
        <v>—</v>
      </c>
      <c r="E2937" s="16">
        <f t="shared" ca="1" si="138"/>
        <v>7</v>
      </c>
    </row>
    <row r="2938" spans="1:5" x14ac:dyDescent="0.25">
      <c r="A2938" s="3">
        <f t="shared" si="136"/>
        <v>78989</v>
      </c>
      <c r="B2938" t="str">
        <f ca="1">TEXT(DATE(YEAR(Invoer!$A$5),1,1)+INT((ROWS(B$2:B2938)-1)/24),"""18""jjmmdd")</f>
        <v>18980503</v>
      </c>
      <c r="C2938" s="11" t="str">
        <f>INDEX(Data,2,2+MOD(ROWS(C$2:C2938)-1,24))</f>
        <v>09.00</v>
      </c>
      <c r="D2938" s="8" t="str">
        <f t="shared" ca="1" si="137"/>
        <v>—</v>
      </c>
      <c r="E2938" s="16">
        <f t="shared" ca="1" si="138"/>
        <v>7</v>
      </c>
    </row>
    <row r="2939" spans="1:5" x14ac:dyDescent="0.25">
      <c r="A2939" s="3">
        <f t="shared" si="136"/>
        <v>78989</v>
      </c>
      <c r="B2939" t="str">
        <f ca="1">TEXT(DATE(YEAR(Invoer!$A$5),1,1)+INT((ROWS(B$2:B2939)-1)/24),"""18""jjmmdd")</f>
        <v>18980503</v>
      </c>
      <c r="C2939" s="11" t="str">
        <f>INDEX(Data,2,2+MOD(ROWS(C$2:C2939)-1,24))</f>
        <v>10.00</v>
      </c>
      <c r="D2939" s="8" t="str">
        <f t="shared" ca="1" si="137"/>
        <v>—</v>
      </c>
      <c r="E2939" s="16">
        <f t="shared" ca="1" si="138"/>
        <v>7</v>
      </c>
    </row>
    <row r="2940" spans="1:5" x14ac:dyDescent="0.25">
      <c r="A2940" s="3">
        <f t="shared" si="136"/>
        <v>78989</v>
      </c>
      <c r="B2940" t="str">
        <f ca="1">TEXT(DATE(YEAR(Invoer!$A$5),1,1)+INT((ROWS(B$2:B2940)-1)/24),"""18""jjmmdd")</f>
        <v>18980503</v>
      </c>
      <c r="C2940" s="11" t="str">
        <f>INDEX(Data,2,2+MOD(ROWS(C$2:C2940)-1,24))</f>
        <v>11.00</v>
      </c>
      <c r="D2940" s="8" t="str">
        <f t="shared" ca="1" si="137"/>
        <v>—</v>
      </c>
      <c r="E2940" s="16">
        <f t="shared" ca="1" si="138"/>
        <v>7</v>
      </c>
    </row>
    <row r="2941" spans="1:5" x14ac:dyDescent="0.25">
      <c r="A2941" s="3">
        <f t="shared" si="136"/>
        <v>78989</v>
      </c>
      <c r="B2941" t="str">
        <f ca="1">TEXT(DATE(YEAR(Invoer!$A$5),1,1)+INT((ROWS(B$2:B2941)-1)/24),"""18""jjmmdd")</f>
        <v>18980503</v>
      </c>
      <c r="C2941" s="11" t="str">
        <f>INDEX(Data,2,2+MOD(ROWS(C$2:C2941)-1,24))</f>
        <v>12.00</v>
      </c>
      <c r="D2941" s="8" t="str">
        <f t="shared" ca="1" si="137"/>
        <v>—</v>
      </c>
      <c r="E2941" s="16">
        <f t="shared" ca="1" si="138"/>
        <v>7</v>
      </c>
    </row>
    <row r="2942" spans="1:5" x14ac:dyDescent="0.25">
      <c r="A2942" s="3">
        <f t="shared" si="136"/>
        <v>78989</v>
      </c>
      <c r="B2942" t="str">
        <f ca="1">TEXT(DATE(YEAR(Invoer!$A$5),1,1)+INT((ROWS(B$2:B2942)-1)/24),"""18""jjmmdd")</f>
        <v>18980503</v>
      </c>
      <c r="C2942" s="11" t="str">
        <f>INDEX(Data,2,2+MOD(ROWS(C$2:C2942)-1,24))</f>
        <v>13.00</v>
      </c>
      <c r="D2942" s="8" t="str">
        <f t="shared" ca="1" si="137"/>
        <v>—</v>
      </c>
      <c r="E2942" s="16">
        <f t="shared" ca="1" si="138"/>
        <v>7</v>
      </c>
    </row>
    <row r="2943" spans="1:5" x14ac:dyDescent="0.25">
      <c r="A2943" s="3">
        <f t="shared" si="136"/>
        <v>78989</v>
      </c>
      <c r="B2943" t="str">
        <f ca="1">TEXT(DATE(YEAR(Invoer!$A$5),1,1)+INT((ROWS(B$2:B2943)-1)/24),"""18""jjmmdd")</f>
        <v>18980503</v>
      </c>
      <c r="C2943" s="11" t="str">
        <f>INDEX(Data,2,2+MOD(ROWS(C$2:C2943)-1,24))</f>
        <v>14.00</v>
      </c>
      <c r="D2943" s="8" t="str">
        <f t="shared" ca="1" si="137"/>
        <v>—</v>
      </c>
      <c r="E2943" s="16">
        <f t="shared" ca="1" si="138"/>
        <v>7</v>
      </c>
    </row>
    <row r="2944" spans="1:5" x14ac:dyDescent="0.25">
      <c r="A2944" s="3">
        <f t="shared" si="136"/>
        <v>78989</v>
      </c>
      <c r="B2944" t="str">
        <f ca="1">TEXT(DATE(YEAR(Invoer!$A$5),1,1)+INT((ROWS(B$2:B2944)-1)/24),"""18""jjmmdd")</f>
        <v>18980503</v>
      </c>
      <c r="C2944" s="11" t="str">
        <f>INDEX(Data,2,2+MOD(ROWS(C$2:C2944)-1,24))</f>
        <v>15.00</v>
      </c>
      <c r="D2944" s="8" t="str">
        <f t="shared" ca="1" si="137"/>
        <v>—</v>
      </c>
      <c r="E2944" s="16">
        <f t="shared" ca="1" si="138"/>
        <v>7</v>
      </c>
    </row>
    <row r="2945" spans="1:5" x14ac:dyDescent="0.25">
      <c r="A2945" s="3">
        <f t="shared" si="136"/>
        <v>78989</v>
      </c>
      <c r="B2945" t="str">
        <f ca="1">TEXT(DATE(YEAR(Invoer!$A$5),1,1)+INT((ROWS(B$2:B2945)-1)/24),"""18""jjmmdd")</f>
        <v>18980503</v>
      </c>
      <c r="C2945" s="11" t="str">
        <f>INDEX(Data,2,2+MOD(ROWS(C$2:C2945)-1,24))</f>
        <v>16.00</v>
      </c>
      <c r="D2945" s="8" t="str">
        <f t="shared" ca="1" si="137"/>
        <v>—</v>
      </c>
      <c r="E2945" s="16">
        <f t="shared" ca="1" si="138"/>
        <v>7</v>
      </c>
    </row>
    <row r="2946" spans="1:5" x14ac:dyDescent="0.25">
      <c r="A2946" s="3">
        <f t="shared" ref="A2946:A3009" si="139">INDEX(Stations,2,1)</f>
        <v>78989</v>
      </c>
      <c r="B2946" t="str">
        <f ca="1">TEXT(DATE(YEAR(Invoer!$A$5),1,1)+INT((ROWS(B$2:B2946)-1)/24),"""18""jjmmdd")</f>
        <v>18980503</v>
      </c>
      <c r="C2946" s="11" t="str">
        <f>INDEX(Data,2,2+MOD(ROWS(C$2:C2946)-1,24))</f>
        <v>17.00</v>
      </c>
      <c r="D2946" s="8" t="str">
        <f t="shared" ref="D2946:D3009" ca="1" si="140">IF(OR(ISBLANK(VLOOKUP(DATEVALUE("37"&amp;MID($B2946,3,2)&amp;"-"&amp;MID($B2946,5,2)&amp;"-"&amp;RIGHT($B2946,2)),Data,MATCH(LEFT(VLOOKUP(D$1,Parameters,2,FALSE()),4)&amp;"*",OFFSET(Data,0,0,1),0)+MATCH($C2946,OFFSET(Data,1,0,1),0)-2,FALSE())),ISTEXT(VLOOKUP(DATEVALUE("37"&amp;MID($B2946,3,2)&amp;"-"&amp;MID($B2946,5,2)&amp;"-"&amp;RIGHT($B2946,2)),Data,MATCH(LEFT(VLOOKUP(D$1,Parameters,2,FALSE()),4)&amp;"*",OFFSET(Data,0,0,1),0)+MATCH($C2946,OFFSET(Data,1,0,1),0)-2,FALSE()))),"—",VLOOKUP(DATEVALUE("37"&amp;MID($B2946,3,2)&amp;"-"&amp;MID($B2946,5,2)&amp;"-"&amp;RIGHT($B2946,2)),Data,MATCH(LEFT(VLOOKUP(D$1,Parameters,2,FALSE()),4)&amp;"*",OFFSET(Data,0,0,1),0)+MATCH($C2946,OFFSET(Data,1,0,1),0)-2,FALSE()))</f>
        <v>—</v>
      </c>
      <c r="E2946" s="16">
        <f t="shared" ca="1" si="138"/>
        <v>7</v>
      </c>
    </row>
    <row r="2947" spans="1:5" x14ac:dyDescent="0.25">
      <c r="A2947" s="3">
        <f t="shared" si="139"/>
        <v>78989</v>
      </c>
      <c r="B2947" t="str">
        <f ca="1">TEXT(DATE(YEAR(Invoer!$A$5),1,1)+INT((ROWS(B$2:B2947)-1)/24),"""18""jjmmdd")</f>
        <v>18980503</v>
      </c>
      <c r="C2947" s="11" t="str">
        <f>INDEX(Data,2,2+MOD(ROWS(C$2:C2947)-1,24))</f>
        <v>18.00</v>
      </c>
      <c r="D2947" s="8" t="str">
        <f t="shared" ca="1" si="140"/>
        <v>—</v>
      </c>
      <c r="E2947" s="16">
        <f t="shared" ref="E2947:E3010" ca="1" si="141">IF(OR(ISBLANK(VLOOKUP(DATEVALUE("37"&amp;MID($B2947,3,2)&amp;"-"&amp;MID($B2947,5,2)&amp;"-"&amp;RIGHT($B2947,2)),Data,MATCH(LEFT(VLOOKUP(D$1,Parameters,2,FALSE()),4)&amp;"*",OFFSET(Data,0,0,1),0)+MATCH($C2947,OFFSET(Data,1,0,1),0)-2,FALSE())),ISTEXT(VLOOKUP(DATEVALUE("37"&amp;MID($B2947,3,2)&amp;"-"&amp;MID($B2947,5,2)&amp;"-"&amp;RIGHT($B2947,2)),Data,MATCH(LEFT(VLOOKUP(D$1,Parameters,2,FALSE()),4)&amp;"*",OFFSET(Data,0,0,1),0)+MATCH($C2947,OFFSET(Data,1,0,1),0)-2,FALSE()))),Lacking,IF(ISNA(MATCH(DATEVALUE("37"&amp;MID($B2947,3,2)&amp;"-"&amp;MID($B2947,5,2)&amp;"-"&amp;RIGHT($B2947,2)),OFFSET(Catalogus,0,0,,1),0)),Ok,VLOOKUP(DATEVALUE("37"&amp;MID($B2947,3,2)&amp;"-"&amp;MID($B2947,5,2)&amp;"-"&amp;RIGHT($B2947,2)),Catalogus,MATCH(LEFT(VLOOKUP(MID(E$1,2,LEN(E$1)-1),Parameters,2,FALSE()),4)&amp;"*",OFFSET(Catalogus,0,0,1),0)+MATCH($C2947,OFFSET(Catalogus,1,0,1),0)-2,FALSE())))</f>
        <v>7</v>
      </c>
    </row>
    <row r="2948" spans="1:5" x14ac:dyDescent="0.25">
      <c r="A2948" s="3">
        <f t="shared" si="139"/>
        <v>78989</v>
      </c>
      <c r="B2948" t="str">
        <f ca="1">TEXT(DATE(YEAR(Invoer!$A$5),1,1)+INT((ROWS(B$2:B2948)-1)/24),"""18""jjmmdd")</f>
        <v>18980503</v>
      </c>
      <c r="C2948" s="11" t="str">
        <f>INDEX(Data,2,2+MOD(ROWS(C$2:C2948)-1,24))</f>
        <v>19.00</v>
      </c>
      <c r="D2948" s="8" t="str">
        <f t="shared" ca="1" si="140"/>
        <v>—</v>
      </c>
      <c r="E2948" s="16">
        <f t="shared" ca="1" si="141"/>
        <v>7</v>
      </c>
    </row>
    <row r="2949" spans="1:5" x14ac:dyDescent="0.25">
      <c r="A2949" s="3">
        <f t="shared" si="139"/>
        <v>78989</v>
      </c>
      <c r="B2949" t="str">
        <f ca="1">TEXT(DATE(YEAR(Invoer!$A$5),1,1)+INT((ROWS(B$2:B2949)-1)/24),"""18""jjmmdd")</f>
        <v>18980503</v>
      </c>
      <c r="C2949" s="11" t="str">
        <f>INDEX(Data,2,2+MOD(ROWS(C$2:C2949)-1,24))</f>
        <v>20.00</v>
      </c>
      <c r="D2949" s="8" t="str">
        <f t="shared" ca="1" si="140"/>
        <v>—</v>
      </c>
      <c r="E2949" s="16">
        <f t="shared" ca="1" si="141"/>
        <v>7</v>
      </c>
    </row>
    <row r="2950" spans="1:5" x14ac:dyDescent="0.25">
      <c r="A2950" s="3">
        <f t="shared" si="139"/>
        <v>78989</v>
      </c>
      <c r="B2950" t="str">
        <f ca="1">TEXT(DATE(YEAR(Invoer!$A$5),1,1)+INT((ROWS(B$2:B2950)-1)/24),"""18""jjmmdd")</f>
        <v>18980503</v>
      </c>
      <c r="C2950" s="11" t="str">
        <f>INDEX(Data,2,2+MOD(ROWS(C$2:C2950)-1,24))</f>
        <v>21.00</v>
      </c>
      <c r="D2950" s="8" t="str">
        <f t="shared" ca="1" si="140"/>
        <v>—</v>
      </c>
      <c r="E2950" s="16">
        <f t="shared" ca="1" si="141"/>
        <v>7</v>
      </c>
    </row>
    <row r="2951" spans="1:5" x14ac:dyDescent="0.25">
      <c r="A2951" s="3">
        <f t="shared" si="139"/>
        <v>78989</v>
      </c>
      <c r="B2951" t="str">
        <f ca="1">TEXT(DATE(YEAR(Invoer!$A$5),1,1)+INT((ROWS(B$2:B2951)-1)/24),"""18""jjmmdd")</f>
        <v>18980503</v>
      </c>
      <c r="C2951" s="11" t="str">
        <f>INDEX(Data,2,2+MOD(ROWS(C$2:C2951)-1,24))</f>
        <v>22.00</v>
      </c>
      <c r="D2951" s="8" t="str">
        <f t="shared" ca="1" si="140"/>
        <v>—</v>
      </c>
      <c r="E2951" s="16">
        <f t="shared" ca="1" si="141"/>
        <v>7</v>
      </c>
    </row>
    <row r="2952" spans="1:5" x14ac:dyDescent="0.25">
      <c r="A2952" s="3">
        <f t="shared" si="139"/>
        <v>78989</v>
      </c>
      <c r="B2952" t="str">
        <f ca="1">TEXT(DATE(YEAR(Invoer!$A$5),1,1)+INT((ROWS(B$2:B2952)-1)/24),"""18""jjmmdd")</f>
        <v>18980503</v>
      </c>
      <c r="C2952" s="11" t="str">
        <f>INDEX(Data,2,2+MOD(ROWS(C$2:C2952)-1,24))</f>
        <v>23.00</v>
      </c>
      <c r="D2952" s="8" t="str">
        <f t="shared" ca="1" si="140"/>
        <v>—</v>
      </c>
      <c r="E2952" s="16">
        <f t="shared" ca="1" si="141"/>
        <v>7</v>
      </c>
    </row>
    <row r="2953" spans="1:5" x14ac:dyDescent="0.25">
      <c r="A2953" s="3">
        <f t="shared" si="139"/>
        <v>78989</v>
      </c>
      <c r="B2953" t="str">
        <f ca="1">TEXT(DATE(YEAR(Invoer!$A$5),1,1)+INT((ROWS(B$2:B2953)-1)/24),"""18""jjmmdd")</f>
        <v>18980503</v>
      </c>
      <c r="C2953" s="11" t="str">
        <f>INDEX(Data,2,2+MOD(ROWS(C$2:C2953)-1,24))</f>
        <v>24.00</v>
      </c>
      <c r="D2953" s="8" t="str">
        <f t="shared" ca="1" si="140"/>
        <v>—</v>
      </c>
      <c r="E2953" s="16">
        <f t="shared" ca="1" si="141"/>
        <v>7</v>
      </c>
    </row>
    <row r="2954" spans="1:5" x14ac:dyDescent="0.25">
      <c r="A2954" s="3">
        <f t="shared" si="139"/>
        <v>78989</v>
      </c>
      <c r="B2954" t="str">
        <f ca="1">TEXT(DATE(YEAR(Invoer!$A$5),1,1)+INT((ROWS(B$2:B2954)-1)/24),"""18""jjmmdd")</f>
        <v>18980504</v>
      </c>
      <c r="C2954" s="11" t="str">
        <f>INDEX(Data,2,2+MOD(ROWS(C$2:C2954)-1,24))</f>
        <v>01.00</v>
      </c>
      <c r="D2954" s="8" t="str">
        <f t="shared" ca="1" si="140"/>
        <v>—</v>
      </c>
      <c r="E2954" s="16">
        <f t="shared" ca="1" si="141"/>
        <v>7</v>
      </c>
    </row>
    <row r="2955" spans="1:5" x14ac:dyDescent="0.25">
      <c r="A2955" s="3">
        <f t="shared" si="139"/>
        <v>78989</v>
      </c>
      <c r="B2955" t="str">
        <f ca="1">TEXT(DATE(YEAR(Invoer!$A$5),1,1)+INT((ROWS(B$2:B2955)-1)/24),"""18""jjmmdd")</f>
        <v>18980504</v>
      </c>
      <c r="C2955" s="11" t="str">
        <f>INDEX(Data,2,2+MOD(ROWS(C$2:C2955)-1,24))</f>
        <v>02.00</v>
      </c>
      <c r="D2955" s="8" t="str">
        <f t="shared" ca="1" si="140"/>
        <v>—</v>
      </c>
      <c r="E2955" s="16">
        <f t="shared" ca="1" si="141"/>
        <v>7</v>
      </c>
    </row>
    <row r="2956" spans="1:5" x14ac:dyDescent="0.25">
      <c r="A2956" s="3">
        <f t="shared" si="139"/>
        <v>78989</v>
      </c>
      <c r="B2956" t="str">
        <f ca="1">TEXT(DATE(YEAR(Invoer!$A$5),1,1)+INT((ROWS(B$2:B2956)-1)/24),"""18""jjmmdd")</f>
        <v>18980504</v>
      </c>
      <c r="C2956" s="11" t="str">
        <f>INDEX(Data,2,2+MOD(ROWS(C$2:C2956)-1,24))</f>
        <v>03.00</v>
      </c>
      <c r="D2956" s="8" t="str">
        <f t="shared" ca="1" si="140"/>
        <v>—</v>
      </c>
      <c r="E2956" s="16">
        <f t="shared" ca="1" si="141"/>
        <v>7</v>
      </c>
    </row>
    <row r="2957" spans="1:5" x14ac:dyDescent="0.25">
      <c r="A2957" s="3">
        <f t="shared" si="139"/>
        <v>78989</v>
      </c>
      <c r="B2957" t="str">
        <f ca="1">TEXT(DATE(YEAR(Invoer!$A$5),1,1)+INT((ROWS(B$2:B2957)-1)/24),"""18""jjmmdd")</f>
        <v>18980504</v>
      </c>
      <c r="C2957" s="11" t="str">
        <f>INDEX(Data,2,2+MOD(ROWS(C$2:C2957)-1,24))</f>
        <v>04.00</v>
      </c>
      <c r="D2957" s="8" t="str">
        <f t="shared" ca="1" si="140"/>
        <v>—</v>
      </c>
      <c r="E2957" s="16">
        <f t="shared" ca="1" si="141"/>
        <v>7</v>
      </c>
    </row>
    <row r="2958" spans="1:5" x14ac:dyDescent="0.25">
      <c r="A2958" s="3">
        <f t="shared" si="139"/>
        <v>78989</v>
      </c>
      <c r="B2958" t="str">
        <f ca="1">TEXT(DATE(YEAR(Invoer!$A$5),1,1)+INT((ROWS(B$2:B2958)-1)/24),"""18""jjmmdd")</f>
        <v>18980504</v>
      </c>
      <c r="C2958" s="11" t="str">
        <f>INDEX(Data,2,2+MOD(ROWS(C$2:C2958)-1,24))</f>
        <v>05.00</v>
      </c>
      <c r="D2958" s="8" t="str">
        <f t="shared" ca="1" si="140"/>
        <v>—</v>
      </c>
      <c r="E2958" s="16">
        <f t="shared" ca="1" si="141"/>
        <v>7</v>
      </c>
    </row>
    <row r="2959" spans="1:5" x14ac:dyDescent="0.25">
      <c r="A2959" s="3">
        <f t="shared" si="139"/>
        <v>78989</v>
      </c>
      <c r="B2959" t="str">
        <f ca="1">TEXT(DATE(YEAR(Invoer!$A$5),1,1)+INT((ROWS(B$2:B2959)-1)/24),"""18""jjmmdd")</f>
        <v>18980504</v>
      </c>
      <c r="C2959" s="11" t="str">
        <f>INDEX(Data,2,2+MOD(ROWS(C$2:C2959)-1,24))</f>
        <v>06.00</v>
      </c>
      <c r="D2959" s="8" t="str">
        <f t="shared" ca="1" si="140"/>
        <v>—</v>
      </c>
      <c r="E2959" s="16">
        <f t="shared" ca="1" si="141"/>
        <v>7</v>
      </c>
    </row>
    <row r="2960" spans="1:5" x14ac:dyDescent="0.25">
      <c r="A2960" s="3">
        <f t="shared" si="139"/>
        <v>78989</v>
      </c>
      <c r="B2960" t="str">
        <f ca="1">TEXT(DATE(YEAR(Invoer!$A$5),1,1)+INT((ROWS(B$2:B2960)-1)/24),"""18""jjmmdd")</f>
        <v>18980504</v>
      </c>
      <c r="C2960" s="11" t="str">
        <f>INDEX(Data,2,2+MOD(ROWS(C$2:C2960)-1,24))</f>
        <v>07.00</v>
      </c>
      <c r="D2960" s="8" t="str">
        <f t="shared" ca="1" si="140"/>
        <v>—</v>
      </c>
      <c r="E2960" s="16">
        <f t="shared" ca="1" si="141"/>
        <v>7</v>
      </c>
    </row>
    <row r="2961" spans="1:5" x14ac:dyDescent="0.25">
      <c r="A2961" s="3">
        <f t="shared" si="139"/>
        <v>78989</v>
      </c>
      <c r="B2961" t="str">
        <f ca="1">TEXT(DATE(YEAR(Invoer!$A$5),1,1)+INT((ROWS(B$2:B2961)-1)/24),"""18""jjmmdd")</f>
        <v>18980504</v>
      </c>
      <c r="C2961" s="11" t="str">
        <f>INDEX(Data,2,2+MOD(ROWS(C$2:C2961)-1,24))</f>
        <v>08.00</v>
      </c>
      <c r="D2961" s="8" t="str">
        <f t="shared" ca="1" si="140"/>
        <v>—</v>
      </c>
      <c r="E2961" s="16">
        <f t="shared" ca="1" si="141"/>
        <v>7</v>
      </c>
    </row>
    <row r="2962" spans="1:5" x14ac:dyDescent="0.25">
      <c r="A2962" s="3">
        <f t="shared" si="139"/>
        <v>78989</v>
      </c>
      <c r="B2962" t="str">
        <f ca="1">TEXT(DATE(YEAR(Invoer!$A$5),1,1)+INT((ROWS(B$2:B2962)-1)/24),"""18""jjmmdd")</f>
        <v>18980504</v>
      </c>
      <c r="C2962" s="11" t="str">
        <f>INDEX(Data,2,2+MOD(ROWS(C$2:C2962)-1,24))</f>
        <v>09.00</v>
      </c>
      <c r="D2962" s="8" t="str">
        <f t="shared" ca="1" si="140"/>
        <v>—</v>
      </c>
      <c r="E2962" s="16">
        <f t="shared" ca="1" si="141"/>
        <v>7</v>
      </c>
    </row>
    <row r="2963" spans="1:5" x14ac:dyDescent="0.25">
      <c r="A2963" s="3">
        <f t="shared" si="139"/>
        <v>78989</v>
      </c>
      <c r="B2963" t="str">
        <f ca="1">TEXT(DATE(YEAR(Invoer!$A$5),1,1)+INT((ROWS(B$2:B2963)-1)/24),"""18""jjmmdd")</f>
        <v>18980504</v>
      </c>
      <c r="C2963" s="11" t="str">
        <f>INDEX(Data,2,2+MOD(ROWS(C$2:C2963)-1,24))</f>
        <v>10.00</v>
      </c>
      <c r="D2963" s="8" t="str">
        <f t="shared" ca="1" si="140"/>
        <v>—</v>
      </c>
      <c r="E2963" s="16">
        <f t="shared" ca="1" si="141"/>
        <v>7</v>
      </c>
    </row>
    <row r="2964" spans="1:5" x14ac:dyDescent="0.25">
      <c r="A2964" s="3">
        <f t="shared" si="139"/>
        <v>78989</v>
      </c>
      <c r="B2964" t="str">
        <f ca="1">TEXT(DATE(YEAR(Invoer!$A$5),1,1)+INT((ROWS(B$2:B2964)-1)/24),"""18""jjmmdd")</f>
        <v>18980504</v>
      </c>
      <c r="C2964" s="11" t="str">
        <f>INDEX(Data,2,2+MOD(ROWS(C$2:C2964)-1,24))</f>
        <v>11.00</v>
      </c>
      <c r="D2964" s="8" t="str">
        <f t="shared" ca="1" si="140"/>
        <v>—</v>
      </c>
      <c r="E2964" s="16">
        <f t="shared" ca="1" si="141"/>
        <v>7</v>
      </c>
    </row>
    <row r="2965" spans="1:5" x14ac:dyDescent="0.25">
      <c r="A2965" s="3">
        <f t="shared" si="139"/>
        <v>78989</v>
      </c>
      <c r="B2965" t="str">
        <f ca="1">TEXT(DATE(YEAR(Invoer!$A$5),1,1)+INT((ROWS(B$2:B2965)-1)/24),"""18""jjmmdd")</f>
        <v>18980504</v>
      </c>
      <c r="C2965" s="11" t="str">
        <f>INDEX(Data,2,2+MOD(ROWS(C$2:C2965)-1,24))</f>
        <v>12.00</v>
      </c>
      <c r="D2965" s="8" t="str">
        <f t="shared" ca="1" si="140"/>
        <v>—</v>
      </c>
      <c r="E2965" s="16">
        <f t="shared" ca="1" si="141"/>
        <v>7</v>
      </c>
    </row>
    <row r="2966" spans="1:5" x14ac:dyDescent="0.25">
      <c r="A2966" s="3">
        <f t="shared" si="139"/>
        <v>78989</v>
      </c>
      <c r="B2966" t="str">
        <f ca="1">TEXT(DATE(YEAR(Invoer!$A$5),1,1)+INT((ROWS(B$2:B2966)-1)/24),"""18""jjmmdd")</f>
        <v>18980504</v>
      </c>
      <c r="C2966" s="11" t="str">
        <f>INDEX(Data,2,2+MOD(ROWS(C$2:C2966)-1,24))</f>
        <v>13.00</v>
      </c>
      <c r="D2966" s="8" t="str">
        <f t="shared" ca="1" si="140"/>
        <v>—</v>
      </c>
      <c r="E2966" s="16">
        <f t="shared" ca="1" si="141"/>
        <v>7</v>
      </c>
    </row>
    <row r="2967" spans="1:5" x14ac:dyDescent="0.25">
      <c r="A2967" s="3">
        <f t="shared" si="139"/>
        <v>78989</v>
      </c>
      <c r="B2967" t="str">
        <f ca="1">TEXT(DATE(YEAR(Invoer!$A$5),1,1)+INT((ROWS(B$2:B2967)-1)/24),"""18""jjmmdd")</f>
        <v>18980504</v>
      </c>
      <c r="C2967" s="11" t="str">
        <f>INDEX(Data,2,2+MOD(ROWS(C$2:C2967)-1,24))</f>
        <v>14.00</v>
      </c>
      <c r="D2967" s="8" t="str">
        <f t="shared" ca="1" si="140"/>
        <v>—</v>
      </c>
      <c r="E2967" s="16">
        <f t="shared" ca="1" si="141"/>
        <v>7</v>
      </c>
    </row>
    <row r="2968" spans="1:5" x14ac:dyDescent="0.25">
      <c r="A2968" s="3">
        <f t="shared" si="139"/>
        <v>78989</v>
      </c>
      <c r="B2968" t="str">
        <f ca="1">TEXT(DATE(YEAR(Invoer!$A$5),1,1)+INT((ROWS(B$2:B2968)-1)/24),"""18""jjmmdd")</f>
        <v>18980504</v>
      </c>
      <c r="C2968" s="11" t="str">
        <f>INDEX(Data,2,2+MOD(ROWS(C$2:C2968)-1,24))</f>
        <v>15.00</v>
      </c>
      <c r="D2968" s="8" t="str">
        <f t="shared" ca="1" si="140"/>
        <v>—</v>
      </c>
      <c r="E2968" s="16">
        <f t="shared" ca="1" si="141"/>
        <v>7</v>
      </c>
    </row>
    <row r="2969" spans="1:5" x14ac:dyDescent="0.25">
      <c r="A2969" s="3">
        <f t="shared" si="139"/>
        <v>78989</v>
      </c>
      <c r="B2969" t="str">
        <f ca="1">TEXT(DATE(YEAR(Invoer!$A$5),1,1)+INT((ROWS(B$2:B2969)-1)/24),"""18""jjmmdd")</f>
        <v>18980504</v>
      </c>
      <c r="C2969" s="11" t="str">
        <f>INDEX(Data,2,2+MOD(ROWS(C$2:C2969)-1,24))</f>
        <v>16.00</v>
      </c>
      <c r="D2969" s="8" t="str">
        <f t="shared" ca="1" si="140"/>
        <v>—</v>
      </c>
      <c r="E2969" s="16">
        <f t="shared" ca="1" si="141"/>
        <v>7</v>
      </c>
    </row>
    <row r="2970" spans="1:5" x14ac:dyDescent="0.25">
      <c r="A2970" s="3">
        <f t="shared" si="139"/>
        <v>78989</v>
      </c>
      <c r="B2970" t="str">
        <f ca="1">TEXT(DATE(YEAR(Invoer!$A$5),1,1)+INT((ROWS(B$2:B2970)-1)/24),"""18""jjmmdd")</f>
        <v>18980504</v>
      </c>
      <c r="C2970" s="11" t="str">
        <f>INDEX(Data,2,2+MOD(ROWS(C$2:C2970)-1,24))</f>
        <v>17.00</v>
      </c>
      <c r="D2970" s="8" t="str">
        <f t="shared" ca="1" si="140"/>
        <v>—</v>
      </c>
      <c r="E2970" s="16">
        <f t="shared" ca="1" si="141"/>
        <v>7</v>
      </c>
    </row>
    <row r="2971" spans="1:5" x14ac:dyDescent="0.25">
      <c r="A2971" s="3">
        <f t="shared" si="139"/>
        <v>78989</v>
      </c>
      <c r="B2971" t="str">
        <f ca="1">TEXT(DATE(YEAR(Invoer!$A$5),1,1)+INT((ROWS(B$2:B2971)-1)/24),"""18""jjmmdd")</f>
        <v>18980504</v>
      </c>
      <c r="C2971" s="11" t="str">
        <f>INDEX(Data,2,2+MOD(ROWS(C$2:C2971)-1,24))</f>
        <v>18.00</v>
      </c>
      <c r="D2971" s="8" t="str">
        <f t="shared" ca="1" si="140"/>
        <v>—</v>
      </c>
      <c r="E2971" s="16">
        <f t="shared" ca="1" si="141"/>
        <v>7</v>
      </c>
    </row>
    <row r="2972" spans="1:5" x14ac:dyDescent="0.25">
      <c r="A2972" s="3">
        <f t="shared" si="139"/>
        <v>78989</v>
      </c>
      <c r="B2972" t="str">
        <f ca="1">TEXT(DATE(YEAR(Invoer!$A$5),1,1)+INT((ROWS(B$2:B2972)-1)/24),"""18""jjmmdd")</f>
        <v>18980504</v>
      </c>
      <c r="C2972" s="11" t="str">
        <f>INDEX(Data,2,2+MOD(ROWS(C$2:C2972)-1,24))</f>
        <v>19.00</v>
      </c>
      <c r="D2972" s="8" t="str">
        <f t="shared" ca="1" si="140"/>
        <v>—</v>
      </c>
      <c r="E2972" s="16">
        <f t="shared" ca="1" si="141"/>
        <v>7</v>
      </c>
    </row>
    <row r="2973" spans="1:5" x14ac:dyDescent="0.25">
      <c r="A2973" s="3">
        <f t="shared" si="139"/>
        <v>78989</v>
      </c>
      <c r="B2973" t="str">
        <f ca="1">TEXT(DATE(YEAR(Invoer!$A$5),1,1)+INT((ROWS(B$2:B2973)-1)/24),"""18""jjmmdd")</f>
        <v>18980504</v>
      </c>
      <c r="C2973" s="11" t="str">
        <f>INDEX(Data,2,2+MOD(ROWS(C$2:C2973)-1,24))</f>
        <v>20.00</v>
      </c>
      <c r="D2973" s="8" t="str">
        <f t="shared" ca="1" si="140"/>
        <v>—</v>
      </c>
      <c r="E2973" s="16">
        <f t="shared" ca="1" si="141"/>
        <v>7</v>
      </c>
    </row>
    <row r="2974" spans="1:5" x14ac:dyDescent="0.25">
      <c r="A2974" s="3">
        <f t="shared" si="139"/>
        <v>78989</v>
      </c>
      <c r="B2974" t="str">
        <f ca="1">TEXT(DATE(YEAR(Invoer!$A$5),1,1)+INT((ROWS(B$2:B2974)-1)/24),"""18""jjmmdd")</f>
        <v>18980504</v>
      </c>
      <c r="C2974" s="11" t="str">
        <f>INDEX(Data,2,2+MOD(ROWS(C$2:C2974)-1,24))</f>
        <v>21.00</v>
      </c>
      <c r="D2974" s="8" t="str">
        <f t="shared" ca="1" si="140"/>
        <v>—</v>
      </c>
      <c r="E2974" s="16">
        <f t="shared" ca="1" si="141"/>
        <v>7</v>
      </c>
    </row>
    <row r="2975" spans="1:5" x14ac:dyDescent="0.25">
      <c r="A2975" s="3">
        <f t="shared" si="139"/>
        <v>78989</v>
      </c>
      <c r="B2975" t="str">
        <f ca="1">TEXT(DATE(YEAR(Invoer!$A$5),1,1)+INT((ROWS(B$2:B2975)-1)/24),"""18""jjmmdd")</f>
        <v>18980504</v>
      </c>
      <c r="C2975" s="11" t="str">
        <f>INDEX(Data,2,2+MOD(ROWS(C$2:C2975)-1,24))</f>
        <v>22.00</v>
      </c>
      <c r="D2975" s="8" t="str">
        <f t="shared" ca="1" si="140"/>
        <v>—</v>
      </c>
      <c r="E2975" s="16">
        <f t="shared" ca="1" si="141"/>
        <v>7</v>
      </c>
    </row>
    <row r="2976" spans="1:5" x14ac:dyDescent="0.25">
      <c r="A2976" s="3">
        <f t="shared" si="139"/>
        <v>78989</v>
      </c>
      <c r="B2976" t="str">
        <f ca="1">TEXT(DATE(YEAR(Invoer!$A$5),1,1)+INT((ROWS(B$2:B2976)-1)/24),"""18""jjmmdd")</f>
        <v>18980504</v>
      </c>
      <c r="C2976" s="11" t="str">
        <f>INDEX(Data,2,2+MOD(ROWS(C$2:C2976)-1,24))</f>
        <v>23.00</v>
      </c>
      <c r="D2976" s="8" t="str">
        <f t="shared" ca="1" si="140"/>
        <v>—</v>
      </c>
      <c r="E2976" s="16">
        <f t="shared" ca="1" si="141"/>
        <v>7</v>
      </c>
    </row>
    <row r="2977" spans="1:5" x14ac:dyDescent="0.25">
      <c r="A2977" s="3">
        <f t="shared" si="139"/>
        <v>78989</v>
      </c>
      <c r="B2977" t="str">
        <f ca="1">TEXT(DATE(YEAR(Invoer!$A$5),1,1)+INT((ROWS(B$2:B2977)-1)/24),"""18""jjmmdd")</f>
        <v>18980504</v>
      </c>
      <c r="C2977" s="11" t="str">
        <f>INDEX(Data,2,2+MOD(ROWS(C$2:C2977)-1,24))</f>
        <v>24.00</v>
      </c>
      <c r="D2977" s="8" t="str">
        <f t="shared" ca="1" si="140"/>
        <v>—</v>
      </c>
      <c r="E2977" s="16">
        <f t="shared" ca="1" si="141"/>
        <v>7</v>
      </c>
    </row>
    <row r="2978" spans="1:5" x14ac:dyDescent="0.25">
      <c r="A2978" s="3">
        <f t="shared" si="139"/>
        <v>78989</v>
      </c>
      <c r="B2978" t="str">
        <f ca="1">TEXT(DATE(YEAR(Invoer!$A$5),1,1)+INT((ROWS(B$2:B2978)-1)/24),"""18""jjmmdd")</f>
        <v>18980505</v>
      </c>
      <c r="C2978" s="11" t="str">
        <f>INDEX(Data,2,2+MOD(ROWS(C$2:C2978)-1,24))</f>
        <v>01.00</v>
      </c>
      <c r="D2978" s="8" t="str">
        <f t="shared" ca="1" si="140"/>
        <v>—</v>
      </c>
      <c r="E2978" s="16">
        <f t="shared" ca="1" si="141"/>
        <v>7</v>
      </c>
    </row>
    <row r="2979" spans="1:5" x14ac:dyDescent="0.25">
      <c r="A2979" s="3">
        <f t="shared" si="139"/>
        <v>78989</v>
      </c>
      <c r="B2979" t="str">
        <f ca="1">TEXT(DATE(YEAR(Invoer!$A$5),1,1)+INT((ROWS(B$2:B2979)-1)/24),"""18""jjmmdd")</f>
        <v>18980505</v>
      </c>
      <c r="C2979" s="11" t="str">
        <f>INDEX(Data,2,2+MOD(ROWS(C$2:C2979)-1,24))</f>
        <v>02.00</v>
      </c>
      <c r="D2979" s="8" t="str">
        <f t="shared" ca="1" si="140"/>
        <v>—</v>
      </c>
      <c r="E2979" s="16">
        <f t="shared" ca="1" si="141"/>
        <v>7</v>
      </c>
    </row>
    <row r="2980" spans="1:5" x14ac:dyDescent="0.25">
      <c r="A2980" s="3">
        <f t="shared" si="139"/>
        <v>78989</v>
      </c>
      <c r="B2980" t="str">
        <f ca="1">TEXT(DATE(YEAR(Invoer!$A$5),1,1)+INT((ROWS(B$2:B2980)-1)/24),"""18""jjmmdd")</f>
        <v>18980505</v>
      </c>
      <c r="C2980" s="11" t="str">
        <f>INDEX(Data,2,2+MOD(ROWS(C$2:C2980)-1,24))</f>
        <v>03.00</v>
      </c>
      <c r="D2980" s="8" t="str">
        <f t="shared" ca="1" si="140"/>
        <v>—</v>
      </c>
      <c r="E2980" s="16">
        <f t="shared" ca="1" si="141"/>
        <v>7</v>
      </c>
    </row>
    <row r="2981" spans="1:5" x14ac:dyDescent="0.25">
      <c r="A2981" s="3">
        <f t="shared" si="139"/>
        <v>78989</v>
      </c>
      <c r="B2981" t="str">
        <f ca="1">TEXT(DATE(YEAR(Invoer!$A$5),1,1)+INT((ROWS(B$2:B2981)-1)/24),"""18""jjmmdd")</f>
        <v>18980505</v>
      </c>
      <c r="C2981" s="11" t="str">
        <f>INDEX(Data,2,2+MOD(ROWS(C$2:C2981)-1,24))</f>
        <v>04.00</v>
      </c>
      <c r="D2981" s="8" t="str">
        <f t="shared" ca="1" si="140"/>
        <v>—</v>
      </c>
      <c r="E2981" s="16">
        <f t="shared" ca="1" si="141"/>
        <v>7</v>
      </c>
    </row>
    <row r="2982" spans="1:5" x14ac:dyDescent="0.25">
      <c r="A2982" s="3">
        <f t="shared" si="139"/>
        <v>78989</v>
      </c>
      <c r="B2982" t="str">
        <f ca="1">TEXT(DATE(YEAR(Invoer!$A$5),1,1)+INT((ROWS(B$2:B2982)-1)/24),"""18""jjmmdd")</f>
        <v>18980505</v>
      </c>
      <c r="C2982" s="11" t="str">
        <f>INDEX(Data,2,2+MOD(ROWS(C$2:C2982)-1,24))</f>
        <v>05.00</v>
      </c>
      <c r="D2982" s="8" t="str">
        <f t="shared" ca="1" si="140"/>
        <v>—</v>
      </c>
      <c r="E2982" s="16">
        <f t="shared" ca="1" si="141"/>
        <v>7</v>
      </c>
    </row>
    <row r="2983" spans="1:5" x14ac:dyDescent="0.25">
      <c r="A2983" s="3">
        <f t="shared" si="139"/>
        <v>78989</v>
      </c>
      <c r="B2983" t="str">
        <f ca="1">TEXT(DATE(YEAR(Invoer!$A$5),1,1)+INT((ROWS(B$2:B2983)-1)/24),"""18""jjmmdd")</f>
        <v>18980505</v>
      </c>
      <c r="C2983" s="11" t="str">
        <f>INDEX(Data,2,2+MOD(ROWS(C$2:C2983)-1,24))</f>
        <v>06.00</v>
      </c>
      <c r="D2983" s="8" t="str">
        <f t="shared" ca="1" si="140"/>
        <v>—</v>
      </c>
      <c r="E2983" s="16">
        <f t="shared" ca="1" si="141"/>
        <v>7</v>
      </c>
    </row>
    <row r="2984" spans="1:5" x14ac:dyDescent="0.25">
      <c r="A2984" s="3">
        <f t="shared" si="139"/>
        <v>78989</v>
      </c>
      <c r="B2984" t="str">
        <f ca="1">TEXT(DATE(YEAR(Invoer!$A$5),1,1)+INT((ROWS(B$2:B2984)-1)/24),"""18""jjmmdd")</f>
        <v>18980505</v>
      </c>
      <c r="C2984" s="11" t="str">
        <f>INDEX(Data,2,2+MOD(ROWS(C$2:C2984)-1,24))</f>
        <v>07.00</v>
      </c>
      <c r="D2984" s="8" t="str">
        <f t="shared" ca="1" si="140"/>
        <v>—</v>
      </c>
      <c r="E2984" s="16">
        <f t="shared" ca="1" si="141"/>
        <v>7</v>
      </c>
    </row>
    <row r="2985" spans="1:5" x14ac:dyDescent="0.25">
      <c r="A2985" s="3">
        <f t="shared" si="139"/>
        <v>78989</v>
      </c>
      <c r="B2985" t="str">
        <f ca="1">TEXT(DATE(YEAR(Invoer!$A$5),1,1)+INT((ROWS(B$2:B2985)-1)/24),"""18""jjmmdd")</f>
        <v>18980505</v>
      </c>
      <c r="C2985" s="11" t="str">
        <f>INDEX(Data,2,2+MOD(ROWS(C$2:C2985)-1,24))</f>
        <v>08.00</v>
      </c>
      <c r="D2985" s="8" t="str">
        <f t="shared" ca="1" si="140"/>
        <v>—</v>
      </c>
      <c r="E2985" s="16">
        <f t="shared" ca="1" si="141"/>
        <v>7</v>
      </c>
    </row>
    <row r="2986" spans="1:5" x14ac:dyDescent="0.25">
      <c r="A2986" s="3">
        <f t="shared" si="139"/>
        <v>78989</v>
      </c>
      <c r="B2986" t="str">
        <f ca="1">TEXT(DATE(YEAR(Invoer!$A$5),1,1)+INT((ROWS(B$2:B2986)-1)/24),"""18""jjmmdd")</f>
        <v>18980505</v>
      </c>
      <c r="C2986" s="11" t="str">
        <f>INDEX(Data,2,2+MOD(ROWS(C$2:C2986)-1,24))</f>
        <v>09.00</v>
      </c>
      <c r="D2986" s="8" t="str">
        <f t="shared" ca="1" si="140"/>
        <v>—</v>
      </c>
      <c r="E2986" s="16">
        <f t="shared" ca="1" si="141"/>
        <v>7</v>
      </c>
    </row>
    <row r="2987" spans="1:5" x14ac:dyDescent="0.25">
      <c r="A2987" s="3">
        <f t="shared" si="139"/>
        <v>78989</v>
      </c>
      <c r="B2987" t="str">
        <f ca="1">TEXT(DATE(YEAR(Invoer!$A$5),1,1)+INT((ROWS(B$2:B2987)-1)/24),"""18""jjmmdd")</f>
        <v>18980505</v>
      </c>
      <c r="C2987" s="11" t="str">
        <f>INDEX(Data,2,2+MOD(ROWS(C$2:C2987)-1,24))</f>
        <v>10.00</v>
      </c>
      <c r="D2987" s="8" t="str">
        <f t="shared" ca="1" si="140"/>
        <v>—</v>
      </c>
      <c r="E2987" s="16">
        <f t="shared" ca="1" si="141"/>
        <v>7</v>
      </c>
    </row>
    <row r="2988" spans="1:5" x14ac:dyDescent="0.25">
      <c r="A2988" s="3">
        <f t="shared" si="139"/>
        <v>78989</v>
      </c>
      <c r="B2988" t="str">
        <f ca="1">TEXT(DATE(YEAR(Invoer!$A$5),1,1)+INT((ROWS(B$2:B2988)-1)/24),"""18""jjmmdd")</f>
        <v>18980505</v>
      </c>
      <c r="C2988" s="11" t="str">
        <f>INDEX(Data,2,2+MOD(ROWS(C$2:C2988)-1,24))</f>
        <v>11.00</v>
      </c>
      <c r="D2988" s="8" t="str">
        <f t="shared" ca="1" si="140"/>
        <v>—</v>
      </c>
      <c r="E2988" s="16">
        <f t="shared" ca="1" si="141"/>
        <v>7</v>
      </c>
    </row>
    <row r="2989" spans="1:5" x14ac:dyDescent="0.25">
      <c r="A2989" s="3">
        <f t="shared" si="139"/>
        <v>78989</v>
      </c>
      <c r="B2989" t="str">
        <f ca="1">TEXT(DATE(YEAR(Invoer!$A$5),1,1)+INT((ROWS(B$2:B2989)-1)/24),"""18""jjmmdd")</f>
        <v>18980505</v>
      </c>
      <c r="C2989" s="11" t="str">
        <f>INDEX(Data,2,2+MOD(ROWS(C$2:C2989)-1,24))</f>
        <v>12.00</v>
      </c>
      <c r="D2989" s="8" t="str">
        <f t="shared" ca="1" si="140"/>
        <v>—</v>
      </c>
      <c r="E2989" s="16">
        <f t="shared" ca="1" si="141"/>
        <v>7</v>
      </c>
    </row>
    <row r="2990" spans="1:5" x14ac:dyDescent="0.25">
      <c r="A2990" s="3">
        <f t="shared" si="139"/>
        <v>78989</v>
      </c>
      <c r="B2990" t="str">
        <f ca="1">TEXT(DATE(YEAR(Invoer!$A$5),1,1)+INT((ROWS(B$2:B2990)-1)/24),"""18""jjmmdd")</f>
        <v>18980505</v>
      </c>
      <c r="C2990" s="11" t="str">
        <f>INDEX(Data,2,2+MOD(ROWS(C$2:C2990)-1,24))</f>
        <v>13.00</v>
      </c>
      <c r="D2990" s="8" t="str">
        <f t="shared" ca="1" si="140"/>
        <v>—</v>
      </c>
      <c r="E2990" s="16">
        <f t="shared" ca="1" si="141"/>
        <v>7</v>
      </c>
    </row>
    <row r="2991" spans="1:5" x14ac:dyDescent="0.25">
      <c r="A2991" s="3">
        <f t="shared" si="139"/>
        <v>78989</v>
      </c>
      <c r="B2991" t="str">
        <f ca="1">TEXT(DATE(YEAR(Invoer!$A$5),1,1)+INT((ROWS(B$2:B2991)-1)/24),"""18""jjmmdd")</f>
        <v>18980505</v>
      </c>
      <c r="C2991" s="11" t="str">
        <f>INDEX(Data,2,2+MOD(ROWS(C$2:C2991)-1,24))</f>
        <v>14.00</v>
      </c>
      <c r="D2991" s="8" t="str">
        <f t="shared" ca="1" si="140"/>
        <v>—</v>
      </c>
      <c r="E2991" s="16">
        <f t="shared" ca="1" si="141"/>
        <v>7</v>
      </c>
    </row>
    <row r="2992" spans="1:5" x14ac:dyDescent="0.25">
      <c r="A2992" s="3">
        <f t="shared" si="139"/>
        <v>78989</v>
      </c>
      <c r="B2992" t="str">
        <f ca="1">TEXT(DATE(YEAR(Invoer!$A$5),1,1)+INT((ROWS(B$2:B2992)-1)/24),"""18""jjmmdd")</f>
        <v>18980505</v>
      </c>
      <c r="C2992" s="11" t="str">
        <f>INDEX(Data,2,2+MOD(ROWS(C$2:C2992)-1,24))</f>
        <v>15.00</v>
      </c>
      <c r="D2992" s="8" t="str">
        <f t="shared" ca="1" si="140"/>
        <v>—</v>
      </c>
      <c r="E2992" s="16">
        <f t="shared" ca="1" si="141"/>
        <v>7</v>
      </c>
    </row>
    <row r="2993" spans="1:5" x14ac:dyDescent="0.25">
      <c r="A2993" s="3">
        <f t="shared" si="139"/>
        <v>78989</v>
      </c>
      <c r="B2993" t="str">
        <f ca="1">TEXT(DATE(YEAR(Invoer!$A$5),1,1)+INT((ROWS(B$2:B2993)-1)/24),"""18""jjmmdd")</f>
        <v>18980505</v>
      </c>
      <c r="C2993" s="11" t="str">
        <f>INDEX(Data,2,2+MOD(ROWS(C$2:C2993)-1,24))</f>
        <v>16.00</v>
      </c>
      <c r="D2993" s="8" t="str">
        <f t="shared" ca="1" si="140"/>
        <v>—</v>
      </c>
      <c r="E2993" s="16">
        <f t="shared" ca="1" si="141"/>
        <v>7</v>
      </c>
    </row>
    <row r="2994" spans="1:5" x14ac:dyDescent="0.25">
      <c r="A2994" s="3">
        <f t="shared" si="139"/>
        <v>78989</v>
      </c>
      <c r="B2994" t="str">
        <f ca="1">TEXT(DATE(YEAR(Invoer!$A$5),1,1)+INT((ROWS(B$2:B2994)-1)/24),"""18""jjmmdd")</f>
        <v>18980505</v>
      </c>
      <c r="C2994" s="11" t="str">
        <f>INDEX(Data,2,2+MOD(ROWS(C$2:C2994)-1,24))</f>
        <v>17.00</v>
      </c>
      <c r="D2994" s="8" t="str">
        <f t="shared" ca="1" si="140"/>
        <v>—</v>
      </c>
      <c r="E2994" s="16">
        <f t="shared" ca="1" si="141"/>
        <v>7</v>
      </c>
    </row>
    <row r="2995" spans="1:5" x14ac:dyDescent="0.25">
      <c r="A2995" s="3">
        <f t="shared" si="139"/>
        <v>78989</v>
      </c>
      <c r="B2995" t="str">
        <f ca="1">TEXT(DATE(YEAR(Invoer!$A$5),1,1)+INT((ROWS(B$2:B2995)-1)/24),"""18""jjmmdd")</f>
        <v>18980505</v>
      </c>
      <c r="C2995" s="11" t="str">
        <f>INDEX(Data,2,2+MOD(ROWS(C$2:C2995)-1,24))</f>
        <v>18.00</v>
      </c>
      <c r="D2995" s="8" t="str">
        <f t="shared" ca="1" si="140"/>
        <v>—</v>
      </c>
      <c r="E2995" s="16">
        <f t="shared" ca="1" si="141"/>
        <v>7</v>
      </c>
    </row>
    <row r="2996" spans="1:5" x14ac:dyDescent="0.25">
      <c r="A2996" s="3">
        <f t="shared" si="139"/>
        <v>78989</v>
      </c>
      <c r="B2996" t="str">
        <f ca="1">TEXT(DATE(YEAR(Invoer!$A$5),1,1)+INT((ROWS(B$2:B2996)-1)/24),"""18""jjmmdd")</f>
        <v>18980505</v>
      </c>
      <c r="C2996" s="11" t="str">
        <f>INDEX(Data,2,2+MOD(ROWS(C$2:C2996)-1,24))</f>
        <v>19.00</v>
      </c>
      <c r="D2996" s="8" t="str">
        <f t="shared" ca="1" si="140"/>
        <v>—</v>
      </c>
      <c r="E2996" s="16">
        <f t="shared" ca="1" si="141"/>
        <v>7</v>
      </c>
    </row>
    <row r="2997" spans="1:5" x14ac:dyDescent="0.25">
      <c r="A2997" s="3">
        <f t="shared" si="139"/>
        <v>78989</v>
      </c>
      <c r="B2997" t="str">
        <f ca="1">TEXT(DATE(YEAR(Invoer!$A$5),1,1)+INT((ROWS(B$2:B2997)-1)/24),"""18""jjmmdd")</f>
        <v>18980505</v>
      </c>
      <c r="C2997" s="11" t="str">
        <f>INDEX(Data,2,2+MOD(ROWS(C$2:C2997)-1,24))</f>
        <v>20.00</v>
      </c>
      <c r="D2997" s="8" t="str">
        <f t="shared" ca="1" si="140"/>
        <v>—</v>
      </c>
      <c r="E2997" s="16">
        <f t="shared" ca="1" si="141"/>
        <v>7</v>
      </c>
    </row>
    <row r="2998" spans="1:5" x14ac:dyDescent="0.25">
      <c r="A2998" s="3">
        <f t="shared" si="139"/>
        <v>78989</v>
      </c>
      <c r="B2998" t="str">
        <f ca="1">TEXT(DATE(YEAR(Invoer!$A$5),1,1)+INT((ROWS(B$2:B2998)-1)/24),"""18""jjmmdd")</f>
        <v>18980505</v>
      </c>
      <c r="C2998" s="11" t="str">
        <f>INDEX(Data,2,2+MOD(ROWS(C$2:C2998)-1,24))</f>
        <v>21.00</v>
      </c>
      <c r="D2998" s="8" t="str">
        <f t="shared" ca="1" si="140"/>
        <v>—</v>
      </c>
      <c r="E2998" s="16">
        <f t="shared" ca="1" si="141"/>
        <v>7</v>
      </c>
    </row>
    <row r="2999" spans="1:5" x14ac:dyDescent="0.25">
      <c r="A2999" s="3">
        <f t="shared" si="139"/>
        <v>78989</v>
      </c>
      <c r="B2999" t="str">
        <f ca="1">TEXT(DATE(YEAR(Invoer!$A$5),1,1)+INT((ROWS(B$2:B2999)-1)/24),"""18""jjmmdd")</f>
        <v>18980505</v>
      </c>
      <c r="C2999" s="11" t="str">
        <f>INDEX(Data,2,2+MOD(ROWS(C$2:C2999)-1,24))</f>
        <v>22.00</v>
      </c>
      <c r="D2999" s="8" t="str">
        <f t="shared" ca="1" si="140"/>
        <v>—</v>
      </c>
      <c r="E2999" s="16">
        <f t="shared" ca="1" si="141"/>
        <v>7</v>
      </c>
    </row>
    <row r="3000" spans="1:5" x14ac:dyDescent="0.25">
      <c r="A3000" s="3">
        <f t="shared" si="139"/>
        <v>78989</v>
      </c>
      <c r="B3000" t="str">
        <f ca="1">TEXT(DATE(YEAR(Invoer!$A$5),1,1)+INT((ROWS(B$2:B3000)-1)/24),"""18""jjmmdd")</f>
        <v>18980505</v>
      </c>
      <c r="C3000" s="11" t="str">
        <f>INDEX(Data,2,2+MOD(ROWS(C$2:C3000)-1,24))</f>
        <v>23.00</v>
      </c>
      <c r="D3000" s="8" t="str">
        <f t="shared" ca="1" si="140"/>
        <v>—</v>
      </c>
      <c r="E3000" s="16">
        <f t="shared" ca="1" si="141"/>
        <v>7</v>
      </c>
    </row>
    <row r="3001" spans="1:5" x14ac:dyDescent="0.25">
      <c r="A3001" s="3">
        <f t="shared" si="139"/>
        <v>78989</v>
      </c>
      <c r="B3001" t="str">
        <f ca="1">TEXT(DATE(YEAR(Invoer!$A$5),1,1)+INT((ROWS(B$2:B3001)-1)/24),"""18""jjmmdd")</f>
        <v>18980505</v>
      </c>
      <c r="C3001" s="11" t="str">
        <f>INDEX(Data,2,2+MOD(ROWS(C$2:C3001)-1,24))</f>
        <v>24.00</v>
      </c>
      <c r="D3001" s="8" t="str">
        <f t="shared" ca="1" si="140"/>
        <v>—</v>
      </c>
      <c r="E3001" s="16">
        <f t="shared" ca="1" si="141"/>
        <v>7</v>
      </c>
    </row>
    <row r="3002" spans="1:5" x14ac:dyDescent="0.25">
      <c r="A3002" s="3">
        <f t="shared" si="139"/>
        <v>78989</v>
      </c>
      <c r="B3002" t="str">
        <f ca="1">TEXT(DATE(YEAR(Invoer!$A$5),1,1)+INT((ROWS(B$2:B3002)-1)/24),"""18""jjmmdd")</f>
        <v>18980506</v>
      </c>
      <c r="C3002" s="11" t="str">
        <f>INDEX(Data,2,2+MOD(ROWS(C$2:C3002)-1,24))</f>
        <v>01.00</v>
      </c>
      <c r="D3002" s="8" t="str">
        <f t="shared" ca="1" si="140"/>
        <v>—</v>
      </c>
      <c r="E3002" s="16">
        <f t="shared" ca="1" si="141"/>
        <v>7</v>
      </c>
    </row>
    <row r="3003" spans="1:5" x14ac:dyDescent="0.25">
      <c r="A3003" s="3">
        <f t="shared" si="139"/>
        <v>78989</v>
      </c>
      <c r="B3003" t="str">
        <f ca="1">TEXT(DATE(YEAR(Invoer!$A$5),1,1)+INT((ROWS(B$2:B3003)-1)/24),"""18""jjmmdd")</f>
        <v>18980506</v>
      </c>
      <c r="C3003" s="11" t="str">
        <f>INDEX(Data,2,2+MOD(ROWS(C$2:C3003)-1,24))</f>
        <v>02.00</v>
      </c>
      <c r="D3003" s="8" t="str">
        <f t="shared" ca="1" si="140"/>
        <v>—</v>
      </c>
      <c r="E3003" s="16">
        <f t="shared" ca="1" si="141"/>
        <v>7</v>
      </c>
    </row>
    <row r="3004" spans="1:5" x14ac:dyDescent="0.25">
      <c r="A3004" s="3">
        <f t="shared" si="139"/>
        <v>78989</v>
      </c>
      <c r="B3004" t="str">
        <f ca="1">TEXT(DATE(YEAR(Invoer!$A$5),1,1)+INT((ROWS(B$2:B3004)-1)/24),"""18""jjmmdd")</f>
        <v>18980506</v>
      </c>
      <c r="C3004" s="11" t="str">
        <f>INDEX(Data,2,2+MOD(ROWS(C$2:C3004)-1,24))</f>
        <v>03.00</v>
      </c>
      <c r="D3004" s="8" t="str">
        <f t="shared" ca="1" si="140"/>
        <v>—</v>
      </c>
      <c r="E3004" s="16">
        <f t="shared" ca="1" si="141"/>
        <v>7</v>
      </c>
    </row>
    <row r="3005" spans="1:5" x14ac:dyDescent="0.25">
      <c r="A3005" s="3">
        <f t="shared" si="139"/>
        <v>78989</v>
      </c>
      <c r="B3005" t="str">
        <f ca="1">TEXT(DATE(YEAR(Invoer!$A$5),1,1)+INT((ROWS(B$2:B3005)-1)/24),"""18""jjmmdd")</f>
        <v>18980506</v>
      </c>
      <c r="C3005" s="11" t="str">
        <f>INDEX(Data,2,2+MOD(ROWS(C$2:C3005)-1,24))</f>
        <v>04.00</v>
      </c>
      <c r="D3005" s="8" t="str">
        <f t="shared" ca="1" si="140"/>
        <v>—</v>
      </c>
      <c r="E3005" s="16">
        <f t="shared" ca="1" si="141"/>
        <v>7</v>
      </c>
    </row>
    <row r="3006" spans="1:5" x14ac:dyDescent="0.25">
      <c r="A3006" s="3">
        <f t="shared" si="139"/>
        <v>78989</v>
      </c>
      <c r="B3006" t="str">
        <f ca="1">TEXT(DATE(YEAR(Invoer!$A$5),1,1)+INT((ROWS(B$2:B3006)-1)/24),"""18""jjmmdd")</f>
        <v>18980506</v>
      </c>
      <c r="C3006" s="11" t="str">
        <f>INDEX(Data,2,2+MOD(ROWS(C$2:C3006)-1,24))</f>
        <v>05.00</v>
      </c>
      <c r="D3006" s="8" t="str">
        <f t="shared" ca="1" si="140"/>
        <v>—</v>
      </c>
      <c r="E3006" s="16">
        <f t="shared" ca="1" si="141"/>
        <v>7</v>
      </c>
    </row>
    <row r="3007" spans="1:5" x14ac:dyDescent="0.25">
      <c r="A3007" s="3">
        <f t="shared" si="139"/>
        <v>78989</v>
      </c>
      <c r="B3007" t="str">
        <f ca="1">TEXT(DATE(YEAR(Invoer!$A$5),1,1)+INT((ROWS(B$2:B3007)-1)/24),"""18""jjmmdd")</f>
        <v>18980506</v>
      </c>
      <c r="C3007" s="11" t="str">
        <f>INDEX(Data,2,2+MOD(ROWS(C$2:C3007)-1,24))</f>
        <v>06.00</v>
      </c>
      <c r="D3007" s="8" t="str">
        <f t="shared" ca="1" si="140"/>
        <v>—</v>
      </c>
      <c r="E3007" s="16">
        <f t="shared" ca="1" si="141"/>
        <v>7</v>
      </c>
    </row>
    <row r="3008" spans="1:5" x14ac:dyDescent="0.25">
      <c r="A3008" s="3">
        <f t="shared" si="139"/>
        <v>78989</v>
      </c>
      <c r="B3008" t="str">
        <f ca="1">TEXT(DATE(YEAR(Invoer!$A$5),1,1)+INT((ROWS(B$2:B3008)-1)/24),"""18""jjmmdd")</f>
        <v>18980506</v>
      </c>
      <c r="C3008" s="11" t="str">
        <f>INDEX(Data,2,2+MOD(ROWS(C$2:C3008)-1,24))</f>
        <v>07.00</v>
      </c>
      <c r="D3008" s="8" t="str">
        <f t="shared" ca="1" si="140"/>
        <v>—</v>
      </c>
      <c r="E3008" s="16">
        <f t="shared" ca="1" si="141"/>
        <v>7</v>
      </c>
    </row>
    <row r="3009" spans="1:5" x14ac:dyDescent="0.25">
      <c r="A3009" s="3">
        <f t="shared" si="139"/>
        <v>78989</v>
      </c>
      <c r="B3009" t="str">
        <f ca="1">TEXT(DATE(YEAR(Invoer!$A$5),1,1)+INT((ROWS(B$2:B3009)-1)/24),"""18""jjmmdd")</f>
        <v>18980506</v>
      </c>
      <c r="C3009" s="11" t="str">
        <f>INDEX(Data,2,2+MOD(ROWS(C$2:C3009)-1,24))</f>
        <v>08.00</v>
      </c>
      <c r="D3009" s="8" t="str">
        <f t="shared" ca="1" si="140"/>
        <v>—</v>
      </c>
      <c r="E3009" s="16">
        <f t="shared" ca="1" si="141"/>
        <v>7</v>
      </c>
    </row>
    <row r="3010" spans="1:5" x14ac:dyDescent="0.25">
      <c r="A3010" s="3">
        <f t="shared" ref="A3010:A3073" si="142">INDEX(Stations,2,1)</f>
        <v>78989</v>
      </c>
      <c r="B3010" t="str">
        <f ca="1">TEXT(DATE(YEAR(Invoer!$A$5),1,1)+INT((ROWS(B$2:B3010)-1)/24),"""18""jjmmdd")</f>
        <v>18980506</v>
      </c>
      <c r="C3010" s="11" t="str">
        <f>INDEX(Data,2,2+MOD(ROWS(C$2:C3010)-1,24))</f>
        <v>09.00</v>
      </c>
      <c r="D3010" s="8" t="str">
        <f t="shared" ref="D3010:D3073" ca="1" si="143">IF(OR(ISBLANK(VLOOKUP(DATEVALUE("37"&amp;MID($B3010,3,2)&amp;"-"&amp;MID($B3010,5,2)&amp;"-"&amp;RIGHT($B3010,2)),Data,MATCH(LEFT(VLOOKUP(D$1,Parameters,2,FALSE()),4)&amp;"*",OFFSET(Data,0,0,1),0)+MATCH($C3010,OFFSET(Data,1,0,1),0)-2,FALSE())),ISTEXT(VLOOKUP(DATEVALUE("37"&amp;MID($B3010,3,2)&amp;"-"&amp;MID($B3010,5,2)&amp;"-"&amp;RIGHT($B3010,2)),Data,MATCH(LEFT(VLOOKUP(D$1,Parameters,2,FALSE()),4)&amp;"*",OFFSET(Data,0,0,1),0)+MATCH($C3010,OFFSET(Data,1,0,1),0)-2,FALSE()))),"—",VLOOKUP(DATEVALUE("37"&amp;MID($B3010,3,2)&amp;"-"&amp;MID($B3010,5,2)&amp;"-"&amp;RIGHT($B3010,2)),Data,MATCH(LEFT(VLOOKUP(D$1,Parameters,2,FALSE()),4)&amp;"*",OFFSET(Data,0,0,1),0)+MATCH($C3010,OFFSET(Data,1,0,1),0)-2,FALSE()))</f>
        <v>—</v>
      </c>
      <c r="E3010" s="16">
        <f t="shared" ca="1" si="141"/>
        <v>7</v>
      </c>
    </row>
    <row r="3011" spans="1:5" x14ac:dyDescent="0.25">
      <c r="A3011" s="3">
        <f t="shared" si="142"/>
        <v>78989</v>
      </c>
      <c r="B3011" t="str">
        <f ca="1">TEXT(DATE(YEAR(Invoer!$A$5),1,1)+INT((ROWS(B$2:B3011)-1)/24),"""18""jjmmdd")</f>
        <v>18980506</v>
      </c>
      <c r="C3011" s="11" t="str">
        <f>INDEX(Data,2,2+MOD(ROWS(C$2:C3011)-1,24))</f>
        <v>10.00</v>
      </c>
      <c r="D3011" s="8" t="str">
        <f t="shared" ca="1" si="143"/>
        <v>—</v>
      </c>
      <c r="E3011" s="16">
        <f t="shared" ref="E3011:E3074" ca="1" si="144">IF(OR(ISBLANK(VLOOKUP(DATEVALUE("37"&amp;MID($B3011,3,2)&amp;"-"&amp;MID($B3011,5,2)&amp;"-"&amp;RIGHT($B3011,2)),Data,MATCH(LEFT(VLOOKUP(D$1,Parameters,2,FALSE()),4)&amp;"*",OFFSET(Data,0,0,1),0)+MATCH($C3011,OFFSET(Data,1,0,1),0)-2,FALSE())),ISTEXT(VLOOKUP(DATEVALUE("37"&amp;MID($B3011,3,2)&amp;"-"&amp;MID($B3011,5,2)&amp;"-"&amp;RIGHT($B3011,2)),Data,MATCH(LEFT(VLOOKUP(D$1,Parameters,2,FALSE()),4)&amp;"*",OFFSET(Data,0,0,1),0)+MATCH($C3011,OFFSET(Data,1,0,1),0)-2,FALSE()))),Lacking,IF(ISNA(MATCH(DATEVALUE("37"&amp;MID($B3011,3,2)&amp;"-"&amp;MID($B3011,5,2)&amp;"-"&amp;RIGHT($B3011,2)),OFFSET(Catalogus,0,0,,1),0)),Ok,VLOOKUP(DATEVALUE("37"&amp;MID($B3011,3,2)&amp;"-"&amp;MID($B3011,5,2)&amp;"-"&amp;RIGHT($B3011,2)),Catalogus,MATCH(LEFT(VLOOKUP(MID(E$1,2,LEN(E$1)-1),Parameters,2,FALSE()),4)&amp;"*",OFFSET(Catalogus,0,0,1),0)+MATCH($C3011,OFFSET(Catalogus,1,0,1),0)-2,FALSE())))</f>
        <v>7</v>
      </c>
    </row>
    <row r="3012" spans="1:5" x14ac:dyDescent="0.25">
      <c r="A3012" s="3">
        <f t="shared" si="142"/>
        <v>78989</v>
      </c>
      <c r="B3012" t="str">
        <f ca="1">TEXT(DATE(YEAR(Invoer!$A$5),1,1)+INT((ROWS(B$2:B3012)-1)/24),"""18""jjmmdd")</f>
        <v>18980506</v>
      </c>
      <c r="C3012" s="11" t="str">
        <f>INDEX(Data,2,2+MOD(ROWS(C$2:C3012)-1,24))</f>
        <v>11.00</v>
      </c>
      <c r="D3012" s="8" t="str">
        <f t="shared" ca="1" si="143"/>
        <v>—</v>
      </c>
      <c r="E3012" s="16">
        <f t="shared" ca="1" si="144"/>
        <v>7</v>
      </c>
    </row>
    <row r="3013" spans="1:5" x14ac:dyDescent="0.25">
      <c r="A3013" s="3">
        <f t="shared" si="142"/>
        <v>78989</v>
      </c>
      <c r="B3013" t="str">
        <f ca="1">TEXT(DATE(YEAR(Invoer!$A$5),1,1)+INT((ROWS(B$2:B3013)-1)/24),"""18""jjmmdd")</f>
        <v>18980506</v>
      </c>
      <c r="C3013" s="11" t="str">
        <f>INDEX(Data,2,2+MOD(ROWS(C$2:C3013)-1,24))</f>
        <v>12.00</v>
      </c>
      <c r="D3013" s="8" t="str">
        <f t="shared" ca="1" si="143"/>
        <v>—</v>
      </c>
      <c r="E3013" s="16">
        <f t="shared" ca="1" si="144"/>
        <v>7</v>
      </c>
    </row>
    <row r="3014" spans="1:5" x14ac:dyDescent="0.25">
      <c r="A3014" s="3">
        <f t="shared" si="142"/>
        <v>78989</v>
      </c>
      <c r="B3014" t="str">
        <f ca="1">TEXT(DATE(YEAR(Invoer!$A$5),1,1)+INT((ROWS(B$2:B3014)-1)/24),"""18""jjmmdd")</f>
        <v>18980506</v>
      </c>
      <c r="C3014" s="11" t="str">
        <f>INDEX(Data,2,2+MOD(ROWS(C$2:C3014)-1,24))</f>
        <v>13.00</v>
      </c>
      <c r="D3014" s="8" t="str">
        <f t="shared" ca="1" si="143"/>
        <v>—</v>
      </c>
      <c r="E3014" s="16">
        <f t="shared" ca="1" si="144"/>
        <v>7</v>
      </c>
    </row>
    <row r="3015" spans="1:5" x14ac:dyDescent="0.25">
      <c r="A3015" s="3">
        <f t="shared" si="142"/>
        <v>78989</v>
      </c>
      <c r="B3015" t="str">
        <f ca="1">TEXT(DATE(YEAR(Invoer!$A$5),1,1)+INT((ROWS(B$2:B3015)-1)/24),"""18""jjmmdd")</f>
        <v>18980506</v>
      </c>
      <c r="C3015" s="11" t="str">
        <f>INDEX(Data,2,2+MOD(ROWS(C$2:C3015)-1,24))</f>
        <v>14.00</v>
      </c>
      <c r="D3015" s="8" t="str">
        <f t="shared" ca="1" si="143"/>
        <v>—</v>
      </c>
      <c r="E3015" s="16">
        <f t="shared" ca="1" si="144"/>
        <v>7</v>
      </c>
    </row>
    <row r="3016" spans="1:5" x14ac:dyDescent="0.25">
      <c r="A3016" s="3">
        <f t="shared" si="142"/>
        <v>78989</v>
      </c>
      <c r="B3016" t="str">
        <f ca="1">TEXT(DATE(YEAR(Invoer!$A$5),1,1)+INT((ROWS(B$2:B3016)-1)/24),"""18""jjmmdd")</f>
        <v>18980506</v>
      </c>
      <c r="C3016" s="11" t="str">
        <f>INDEX(Data,2,2+MOD(ROWS(C$2:C3016)-1,24))</f>
        <v>15.00</v>
      </c>
      <c r="D3016" s="8" t="str">
        <f t="shared" ca="1" si="143"/>
        <v>—</v>
      </c>
      <c r="E3016" s="16">
        <f t="shared" ca="1" si="144"/>
        <v>7</v>
      </c>
    </row>
    <row r="3017" spans="1:5" x14ac:dyDescent="0.25">
      <c r="A3017" s="3">
        <f t="shared" si="142"/>
        <v>78989</v>
      </c>
      <c r="B3017" t="str">
        <f ca="1">TEXT(DATE(YEAR(Invoer!$A$5),1,1)+INT((ROWS(B$2:B3017)-1)/24),"""18""jjmmdd")</f>
        <v>18980506</v>
      </c>
      <c r="C3017" s="11" t="str">
        <f>INDEX(Data,2,2+MOD(ROWS(C$2:C3017)-1,24))</f>
        <v>16.00</v>
      </c>
      <c r="D3017" s="8" t="str">
        <f t="shared" ca="1" si="143"/>
        <v>—</v>
      </c>
      <c r="E3017" s="16">
        <f t="shared" ca="1" si="144"/>
        <v>7</v>
      </c>
    </row>
    <row r="3018" spans="1:5" x14ac:dyDescent="0.25">
      <c r="A3018" s="3">
        <f t="shared" si="142"/>
        <v>78989</v>
      </c>
      <c r="B3018" t="str">
        <f ca="1">TEXT(DATE(YEAR(Invoer!$A$5),1,1)+INT((ROWS(B$2:B3018)-1)/24),"""18""jjmmdd")</f>
        <v>18980506</v>
      </c>
      <c r="C3018" s="11" t="str">
        <f>INDEX(Data,2,2+MOD(ROWS(C$2:C3018)-1,24))</f>
        <v>17.00</v>
      </c>
      <c r="D3018" s="8" t="str">
        <f t="shared" ca="1" si="143"/>
        <v>—</v>
      </c>
      <c r="E3018" s="16">
        <f t="shared" ca="1" si="144"/>
        <v>7</v>
      </c>
    </row>
    <row r="3019" spans="1:5" x14ac:dyDescent="0.25">
      <c r="A3019" s="3">
        <f t="shared" si="142"/>
        <v>78989</v>
      </c>
      <c r="B3019" t="str">
        <f ca="1">TEXT(DATE(YEAR(Invoer!$A$5),1,1)+INT((ROWS(B$2:B3019)-1)/24),"""18""jjmmdd")</f>
        <v>18980506</v>
      </c>
      <c r="C3019" s="11" t="str">
        <f>INDEX(Data,2,2+MOD(ROWS(C$2:C3019)-1,24))</f>
        <v>18.00</v>
      </c>
      <c r="D3019" s="8" t="str">
        <f t="shared" ca="1" si="143"/>
        <v>—</v>
      </c>
      <c r="E3019" s="16">
        <f t="shared" ca="1" si="144"/>
        <v>7</v>
      </c>
    </row>
    <row r="3020" spans="1:5" x14ac:dyDescent="0.25">
      <c r="A3020" s="3">
        <f t="shared" si="142"/>
        <v>78989</v>
      </c>
      <c r="B3020" t="str">
        <f ca="1">TEXT(DATE(YEAR(Invoer!$A$5),1,1)+INT((ROWS(B$2:B3020)-1)/24),"""18""jjmmdd")</f>
        <v>18980506</v>
      </c>
      <c r="C3020" s="11" t="str">
        <f>INDEX(Data,2,2+MOD(ROWS(C$2:C3020)-1,24))</f>
        <v>19.00</v>
      </c>
      <c r="D3020" s="8" t="str">
        <f t="shared" ca="1" si="143"/>
        <v>—</v>
      </c>
      <c r="E3020" s="16">
        <f t="shared" ca="1" si="144"/>
        <v>7</v>
      </c>
    </row>
    <row r="3021" spans="1:5" x14ac:dyDescent="0.25">
      <c r="A3021" s="3">
        <f t="shared" si="142"/>
        <v>78989</v>
      </c>
      <c r="B3021" t="str">
        <f ca="1">TEXT(DATE(YEAR(Invoer!$A$5),1,1)+INT((ROWS(B$2:B3021)-1)/24),"""18""jjmmdd")</f>
        <v>18980506</v>
      </c>
      <c r="C3021" s="11" t="str">
        <f>INDEX(Data,2,2+MOD(ROWS(C$2:C3021)-1,24))</f>
        <v>20.00</v>
      </c>
      <c r="D3021" s="8" t="str">
        <f t="shared" ca="1" si="143"/>
        <v>—</v>
      </c>
      <c r="E3021" s="16">
        <f t="shared" ca="1" si="144"/>
        <v>7</v>
      </c>
    </row>
    <row r="3022" spans="1:5" x14ac:dyDescent="0.25">
      <c r="A3022" s="3">
        <f t="shared" si="142"/>
        <v>78989</v>
      </c>
      <c r="B3022" t="str">
        <f ca="1">TEXT(DATE(YEAR(Invoer!$A$5),1,1)+INT((ROWS(B$2:B3022)-1)/24),"""18""jjmmdd")</f>
        <v>18980506</v>
      </c>
      <c r="C3022" s="11" t="str">
        <f>INDEX(Data,2,2+MOD(ROWS(C$2:C3022)-1,24))</f>
        <v>21.00</v>
      </c>
      <c r="D3022" s="8" t="str">
        <f t="shared" ca="1" si="143"/>
        <v>—</v>
      </c>
      <c r="E3022" s="16">
        <f t="shared" ca="1" si="144"/>
        <v>7</v>
      </c>
    </row>
    <row r="3023" spans="1:5" x14ac:dyDescent="0.25">
      <c r="A3023" s="3">
        <f t="shared" si="142"/>
        <v>78989</v>
      </c>
      <c r="B3023" t="str">
        <f ca="1">TEXT(DATE(YEAR(Invoer!$A$5),1,1)+INT((ROWS(B$2:B3023)-1)/24),"""18""jjmmdd")</f>
        <v>18980506</v>
      </c>
      <c r="C3023" s="11" t="str">
        <f>INDEX(Data,2,2+MOD(ROWS(C$2:C3023)-1,24))</f>
        <v>22.00</v>
      </c>
      <c r="D3023" s="8" t="str">
        <f t="shared" ca="1" si="143"/>
        <v>—</v>
      </c>
      <c r="E3023" s="16">
        <f t="shared" ca="1" si="144"/>
        <v>7</v>
      </c>
    </row>
    <row r="3024" spans="1:5" x14ac:dyDescent="0.25">
      <c r="A3024" s="3">
        <f t="shared" si="142"/>
        <v>78989</v>
      </c>
      <c r="B3024" t="str">
        <f ca="1">TEXT(DATE(YEAR(Invoer!$A$5),1,1)+INT((ROWS(B$2:B3024)-1)/24),"""18""jjmmdd")</f>
        <v>18980506</v>
      </c>
      <c r="C3024" s="11" t="str">
        <f>INDEX(Data,2,2+MOD(ROWS(C$2:C3024)-1,24))</f>
        <v>23.00</v>
      </c>
      <c r="D3024" s="8" t="str">
        <f t="shared" ca="1" si="143"/>
        <v>—</v>
      </c>
      <c r="E3024" s="16">
        <f t="shared" ca="1" si="144"/>
        <v>7</v>
      </c>
    </row>
    <row r="3025" spans="1:5" x14ac:dyDescent="0.25">
      <c r="A3025" s="3">
        <f t="shared" si="142"/>
        <v>78989</v>
      </c>
      <c r="B3025" t="str">
        <f ca="1">TEXT(DATE(YEAR(Invoer!$A$5),1,1)+INT((ROWS(B$2:B3025)-1)/24),"""18""jjmmdd")</f>
        <v>18980506</v>
      </c>
      <c r="C3025" s="11" t="str">
        <f>INDEX(Data,2,2+MOD(ROWS(C$2:C3025)-1,24))</f>
        <v>24.00</v>
      </c>
      <c r="D3025" s="8" t="str">
        <f t="shared" ca="1" si="143"/>
        <v>—</v>
      </c>
      <c r="E3025" s="16">
        <f t="shared" ca="1" si="144"/>
        <v>7</v>
      </c>
    </row>
    <row r="3026" spans="1:5" x14ac:dyDescent="0.25">
      <c r="A3026" s="3">
        <f t="shared" si="142"/>
        <v>78989</v>
      </c>
      <c r="B3026" t="str">
        <f ca="1">TEXT(DATE(YEAR(Invoer!$A$5),1,1)+INT((ROWS(B$2:B3026)-1)/24),"""18""jjmmdd")</f>
        <v>18980507</v>
      </c>
      <c r="C3026" s="11" t="str">
        <f>INDEX(Data,2,2+MOD(ROWS(C$2:C3026)-1,24))</f>
        <v>01.00</v>
      </c>
      <c r="D3026" s="8" t="str">
        <f t="shared" ca="1" si="143"/>
        <v>—</v>
      </c>
      <c r="E3026" s="16">
        <f t="shared" ca="1" si="144"/>
        <v>7</v>
      </c>
    </row>
    <row r="3027" spans="1:5" x14ac:dyDescent="0.25">
      <c r="A3027" s="3">
        <f t="shared" si="142"/>
        <v>78989</v>
      </c>
      <c r="B3027" t="str">
        <f ca="1">TEXT(DATE(YEAR(Invoer!$A$5),1,1)+INT((ROWS(B$2:B3027)-1)/24),"""18""jjmmdd")</f>
        <v>18980507</v>
      </c>
      <c r="C3027" s="11" t="str">
        <f>INDEX(Data,2,2+MOD(ROWS(C$2:C3027)-1,24))</f>
        <v>02.00</v>
      </c>
      <c r="D3027" s="8" t="str">
        <f t="shared" ca="1" si="143"/>
        <v>—</v>
      </c>
      <c r="E3027" s="16">
        <f t="shared" ca="1" si="144"/>
        <v>7</v>
      </c>
    </row>
    <row r="3028" spans="1:5" x14ac:dyDescent="0.25">
      <c r="A3028" s="3">
        <f t="shared" si="142"/>
        <v>78989</v>
      </c>
      <c r="B3028" t="str">
        <f ca="1">TEXT(DATE(YEAR(Invoer!$A$5),1,1)+INT((ROWS(B$2:B3028)-1)/24),"""18""jjmmdd")</f>
        <v>18980507</v>
      </c>
      <c r="C3028" s="11" t="str">
        <f>INDEX(Data,2,2+MOD(ROWS(C$2:C3028)-1,24))</f>
        <v>03.00</v>
      </c>
      <c r="D3028" s="8" t="str">
        <f t="shared" ca="1" si="143"/>
        <v>—</v>
      </c>
      <c r="E3028" s="16">
        <f t="shared" ca="1" si="144"/>
        <v>7</v>
      </c>
    </row>
    <row r="3029" spans="1:5" x14ac:dyDescent="0.25">
      <c r="A3029" s="3">
        <f t="shared" si="142"/>
        <v>78989</v>
      </c>
      <c r="B3029" t="str">
        <f ca="1">TEXT(DATE(YEAR(Invoer!$A$5),1,1)+INT((ROWS(B$2:B3029)-1)/24),"""18""jjmmdd")</f>
        <v>18980507</v>
      </c>
      <c r="C3029" s="11" t="str">
        <f>INDEX(Data,2,2+MOD(ROWS(C$2:C3029)-1,24))</f>
        <v>04.00</v>
      </c>
      <c r="D3029" s="8" t="str">
        <f t="shared" ca="1" si="143"/>
        <v>—</v>
      </c>
      <c r="E3029" s="16">
        <f t="shared" ca="1" si="144"/>
        <v>7</v>
      </c>
    </row>
    <row r="3030" spans="1:5" x14ac:dyDescent="0.25">
      <c r="A3030" s="3">
        <f t="shared" si="142"/>
        <v>78989</v>
      </c>
      <c r="B3030" t="str">
        <f ca="1">TEXT(DATE(YEAR(Invoer!$A$5),1,1)+INT((ROWS(B$2:B3030)-1)/24),"""18""jjmmdd")</f>
        <v>18980507</v>
      </c>
      <c r="C3030" s="11" t="str">
        <f>INDEX(Data,2,2+MOD(ROWS(C$2:C3030)-1,24))</f>
        <v>05.00</v>
      </c>
      <c r="D3030" s="8" t="str">
        <f t="shared" ca="1" si="143"/>
        <v>—</v>
      </c>
      <c r="E3030" s="16">
        <f t="shared" ca="1" si="144"/>
        <v>7</v>
      </c>
    </row>
    <row r="3031" spans="1:5" x14ac:dyDescent="0.25">
      <c r="A3031" s="3">
        <f t="shared" si="142"/>
        <v>78989</v>
      </c>
      <c r="B3031" t="str">
        <f ca="1">TEXT(DATE(YEAR(Invoer!$A$5),1,1)+INT((ROWS(B$2:B3031)-1)/24),"""18""jjmmdd")</f>
        <v>18980507</v>
      </c>
      <c r="C3031" s="11" t="str">
        <f>INDEX(Data,2,2+MOD(ROWS(C$2:C3031)-1,24))</f>
        <v>06.00</v>
      </c>
      <c r="D3031" s="8" t="str">
        <f t="shared" ca="1" si="143"/>
        <v>—</v>
      </c>
      <c r="E3031" s="16">
        <f t="shared" ca="1" si="144"/>
        <v>7</v>
      </c>
    </row>
    <row r="3032" spans="1:5" x14ac:dyDescent="0.25">
      <c r="A3032" s="3">
        <f t="shared" si="142"/>
        <v>78989</v>
      </c>
      <c r="B3032" t="str">
        <f ca="1">TEXT(DATE(YEAR(Invoer!$A$5),1,1)+INT((ROWS(B$2:B3032)-1)/24),"""18""jjmmdd")</f>
        <v>18980507</v>
      </c>
      <c r="C3032" s="11" t="str">
        <f>INDEX(Data,2,2+MOD(ROWS(C$2:C3032)-1,24))</f>
        <v>07.00</v>
      </c>
      <c r="D3032" s="8" t="str">
        <f t="shared" ca="1" si="143"/>
        <v>—</v>
      </c>
      <c r="E3032" s="16">
        <f t="shared" ca="1" si="144"/>
        <v>7</v>
      </c>
    </row>
    <row r="3033" spans="1:5" x14ac:dyDescent="0.25">
      <c r="A3033" s="3">
        <f t="shared" si="142"/>
        <v>78989</v>
      </c>
      <c r="B3033" t="str">
        <f ca="1">TEXT(DATE(YEAR(Invoer!$A$5),1,1)+INT((ROWS(B$2:B3033)-1)/24),"""18""jjmmdd")</f>
        <v>18980507</v>
      </c>
      <c r="C3033" s="11" t="str">
        <f>INDEX(Data,2,2+MOD(ROWS(C$2:C3033)-1,24))</f>
        <v>08.00</v>
      </c>
      <c r="D3033" s="8" t="str">
        <f t="shared" ca="1" si="143"/>
        <v>—</v>
      </c>
      <c r="E3033" s="16">
        <f t="shared" ca="1" si="144"/>
        <v>7</v>
      </c>
    </row>
    <row r="3034" spans="1:5" x14ac:dyDescent="0.25">
      <c r="A3034" s="3">
        <f t="shared" si="142"/>
        <v>78989</v>
      </c>
      <c r="B3034" t="str">
        <f ca="1">TEXT(DATE(YEAR(Invoer!$A$5),1,1)+INT((ROWS(B$2:B3034)-1)/24),"""18""jjmmdd")</f>
        <v>18980507</v>
      </c>
      <c r="C3034" s="11" t="str">
        <f>INDEX(Data,2,2+MOD(ROWS(C$2:C3034)-1,24))</f>
        <v>09.00</v>
      </c>
      <c r="D3034" s="8" t="str">
        <f t="shared" ca="1" si="143"/>
        <v>—</v>
      </c>
      <c r="E3034" s="16">
        <f t="shared" ca="1" si="144"/>
        <v>7</v>
      </c>
    </row>
    <row r="3035" spans="1:5" x14ac:dyDescent="0.25">
      <c r="A3035" s="3">
        <f t="shared" si="142"/>
        <v>78989</v>
      </c>
      <c r="B3035" t="str">
        <f ca="1">TEXT(DATE(YEAR(Invoer!$A$5),1,1)+INT((ROWS(B$2:B3035)-1)/24),"""18""jjmmdd")</f>
        <v>18980507</v>
      </c>
      <c r="C3035" s="11" t="str">
        <f>INDEX(Data,2,2+MOD(ROWS(C$2:C3035)-1,24))</f>
        <v>10.00</v>
      </c>
      <c r="D3035" s="8" t="str">
        <f t="shared" ca="1" si="143"/>
        <v>—</v>
      </c>
      <c r="E3035" s="16">
        <f t="shared" ca="1" si="144"/>
        <v>7</v>
      </c>
    </row>
    <row r="3036" spans="1:5" x14ac:dyDescent="0.25">
      <c r="A3036" s="3">
        <f t="shared" si="142"/>
        <v>78989</v>
      </c>
      <c r="B3036" t="str">
        <f ca="1">TEXT(DATE(YEAR(Invoer!$A$5),1,1)+INT((ROWS(B$2:B3036)-1)/24),"""18""jjmmdd")</f>
        <v>18980507</v>
      </c>
      <c r="C3036" s="11" t="str">
        <f>INDEX(Data,2,2+MOD(ROWS(C$2:C3036)-1,24))</f>
        <v>11.00</v>
      </c>
      <c r="D3036" s="8" t="str">
        <f t="shared" ca="1" si="143"/>
        <v>—</v>
      </c>
      <c r="E3036" s="16">
        <f t="shared" ca="1" si="144"/>
        <v>7</v>
      </c>
    </row>
    <row r="3037" spans="1:5" x14ac:dyDescent="0.25">
      <c r="A3037" s="3">
        <f t="shared" si="142"/>
        <v>78989</v>
      </c>
      <c r="B3037" t="str">
        <f ca="1">TEXT(DATE(YEAR(Invoer!$A$5),1,1)+INT((ROWS(B$2:B3037)-1)/24),"""18""jjmmdd")</f>
        <v>18980507</v>
      </c>
      <c r="C3037" s="11" t="str">
        <f>INDEX(Data,2,2+MOD(ROWS(C$2:C3037)-1,24))</f>
        <v>12.00</v>
      </c>
      <c r="D3037" s="8" t="str">
        <f t="shared" ca="1" si="143"/>
        <v>—</v>
      </c>
      <c r="E3037" s="16">
        <f t="shared" ca="1" si="144"/>
        <v>7</v>
      </c>
    </row>
    <row r="3038" spans="1:5" x14ac:dyDescent="0.25">
      <c r="A3038" s="3">
        <f t="shared" si="142"/>
        <v>78989</v>
      </c>
      <c r="B3038" t="str">
        <f ca="1">TEXT(DATE(YEAR(Invoer!$A$5),1,1)+INT((ROWS(B$2:B3038)-1)/24),"""18""jjmmdd")</f>
        <v>18980507</v>
      </c>
      <c r="C3038" s="11" t="str">
        <f>INDEX(Data,2,2+MOD(ROWS(C$2:C3038)-1,24))</f>
        <v>13.00</v>
      </c>
      <c r="D3038" s="8" t="str">
        <f t="shared" ca="1" si="143"/>
        <v>—</v>
      </c>
      <c r="E3038" s="16">
        <f t="shared" ca="1" si="144"/>
        <v>7</v>
      </c>
    </row>
    <row r="3039" spans="1:5" x14ac:dyDescent="0.25">
      <c r="A3039" s="3">
        <f t="shared" si="142"/>
        <v>78989</v>
      </c>
      <c r="B3039" t="str">
        <f ca="1">TEXT(DATE(YEAR(Invoer!$A$5),1,1)+INT((ROWS(B$2:B3039)-1)/24),"""18""jjmmdd")</f>
        <v>18980507</v>
      </c>
      <c r="C3039" s="11" t="str">
        <f>INDEX(Data,2,2+MOD(ROWS(C$2:C3039)-1,24))</f>
        <v>14.00</v>
      </c>
      <c r="D3039" s="8" t="str">
        <f t="shared" ca="1" si="143"/>
        <v>—</v>
      </c>
      <c r="E3039" s="16">
        <f t="shared" ca="1" si="144"/>
        <v>7</v>
      </c>
    </row>
    <row r="3040" spans="1:5" x14ac:dyDescent="0.25">
      <c r="A3040" s="3">
        <f t="shared" si="142"/>
        <v>78989</v>
      </c>
      <c r="B3040" t="str">
        <f ca="1">TEXT(DATE(YEAR(Invoer!$A$5),1,1)+INT((ROWS(B$2:B3040)-1)/24),"""18""jjmmdd")</f>
        <v>18980507</v>
      </c>
      <c r="C3040" s="11" t="str">
        <f>INDEX(Data,2,2+MOD(ROWS(C$2:C3040)-1,24))</f>
        <v>15.00</v>
      </c>
      <c r="D3040" s="8" t="str">
        <f t="shared" ca="1" si="143"/>
        <v>—</v>
      </c>
      <c r="E3040" s="16">
        <f t="shared" ca="1" si="144"/>
        <v>7</v>
      </c>
    </row>
    <row r="3041" spans="1:5" x14ac:dyDescent="0.25">
      <c r="A3041" s="3">
        <f t="shared" si="142"/>
        <v>78989</v>
      </c>
      <c r="B3041" t="str">
        <f ca="1">TEXT(DATE(YEAR(Invoer!$A$5),1,1)+INT((ROWS(B$2:B3041)-1)/24),"""18""jjmmdd")</f>
        <v>18980507</v>
      </c>
      <c r="C3041" s="11" t="str">
        <f>INDEX(Data,2,2+MOD(ROWS(C$2:C3041)-1,24))</f>
        <v>16.00</v>
      </c>
      <c r="D3041" s="8" t="str">
        <f t="shared" ca="1" si="143"/>
        <v>—</v>
      </c>
      <c r="E3041" s="16">
        <f t="shared" ca="1" si="144"/>
        <v>7</v>
      </c>
    </row>
    <row r="3042" spans="1:5" x14ac:dyDescent="0.25">
      <c r="A3042" s="3">
        <f t="shared" si="142"/>
        <v>78989</v>
      </c>
      <c r="B3042" t="str">
        <f ca="1">TEXT(DATE(YEAR(Invoer!$A$5),1,1)+INT((ROWS(B$2:B3042)-1)/24),"""18""jjmmdd")</f>
        <v>18980507</v>
      </c>
      <c r="C3042" s="11" t="str">
        <f>INDEX(Data,2,2+MOD(ROWS(C$2:C3042)-1,24))</f>
        <v>17.00</v>
      </c>
      <c r="D3042" s="8" t="str">
        <f t="shared" ca="1" si="143"/>
        <v>—</v>
      </c>
      <c r="E3042" s="16">
        <f t="shared" ca="1" si="144"/>
        <v>7</v>
      </c>
    </row>
    <row r="3043" spans="1:5" x14ac:dyDescent="0.25">
      <c r="A3043" s="3">
        <f t="shared" si="142"/>
        <v>78989</v>
      </c>
      <c r="B3043" t="str">
        <f ca="1">TEXT(DATE(YEAR(Invoer!$A$5),1,1)+INT((ROWS(B$2:B3043)-1)/24),"""18""jjmmdd")</f>
        <v>18980507</v>
      </c>
      <c r="C3043" s="11" t="str">
        <f>INDEX(Data,2,2+MOD(ROWS(C$2:C3043)-1,24))</f>
        <v>18.00</v>
      </c>
      <c r="D3043" s="8" t="str">
        <f t="shared" ca="1" si="143"/>
        <v>—</v>
      </c>
      <c r="E3043" s="16">
        <f t="shared" ca="1" si="144"/>
        <v>7</v>
      </c>
    </row>
    <row r="3044" spans="1:5" x14ac:dyDescent="0.25">
      <c r="A3044" s="3">
        <f t="shared" si="142"/>
        <v>78989</v>
      </c>
      <c r="B3044" t="str">
        <f ca="1">TEXT(DATE(YEAR(Invoer!$A$5),1,1)+INT((ROWS(B$2:B3044)-1)/24),"""18""jjmmdd")</f>
        <v>18980507</v>
      </c>
      <c r="C3044" s="11" t="str">
        <f>INDEX(Data,2,2+MOD(ROWS(C$2:C3044)-1,24))</f>
        <v>19.00</v>
      </c>
      <c r="D3044" s="8" t="str">
        <f t="shared" ca="1" si="143"/>
        <v>—</v>
      </c>
      <c r="E3044" s="16">
        <f t="shared" ca="1" si="144"/>
        <v>7</v>
      </c>
    </row>
    <row r="3045" spans="1:5" x14ac:dyDescent="0.25">
      <c r="A3045" s="3">
        <f t="shared" si="142"/>
        <v>78989</v>
      </c>
      <c r="B3045" t="str">
        <f ca="1">TEXT(DATE(YEAR(Invoer!$A$5),1,1)+INT((ROWS(B$2:B3045)-1)/24),"""18""jjmmdd")</f>
        <v>18980507</v>
      </c>
      <c r="C3045" s="11" t="str">
        <f>INDEX(Data,2,2+MOD(ROWS(C$2:C3045)-1,24))</f>
        <v>20.00</v>
      </c>
      <c r="D3045" s="8" t="str">
        <f t="shared" ca="1" si="143"/>
        <v>—</v>
      </c>
      <c r="E3045" s="16">
        <f t="shared" ca="1" si="144"/>
        <v>7</v>
      </c>
    </row>
    <row r="3046" spans="1:5" x14ac:dyDescent="0.25">
      <c r="A3046" s="3">
        <f t="shared" si="142"/>
        <v>78989</v>
      </c>
      <c r="B3046" t="str">
        <f ca="1">TEXT(DATE(YEAR(Invoer!$A$5),1,1)+INT((ROWS(B$2:B3046)-1)/24),"""18""jjmmdd")</f>
        <v>18980507</v>
      </c>
      <c r="C3046" s="11" t="str">
        <f>INDEX(Data,2,2+MOD(ROWS(C$2:C3046)-1,24))</f>
        <v>21.00</v>
      </c>
      <c r="D3046" s="8" t="str">
        <f t="shared" ca="1" si="143"/>
        <v>—</v>
      </c>
      <c r="E3046" s="16">
        <f t="shared" ca="1" si="144"/>
        <v>7</v>
      </c>
    </row>
    <row r="3047" spans="1:5" x14ac:dyDescent="0.25">
      <c r="A3047" s="3">
        <f t="shared" si="142"/>
        <v>78989</v>
      </c>
      <c r="B3047" t="str">
        <f ca="1">TEXT(DATE(YEAR(Invoer!$A$5),1,1)+INT((ROWS(B$2:B3047)-1)/24),"""18""jjmmdd")</f>
        <v>18980507</v>
      </c>
      <c r="C3047" s="11" t="str">
        <f>INDEX(Data,2,2+MOD(ROWS(C$2:C3047)-1,24))</f>
        <v>22.00</v>
      </c>
      <c r="D3047" s="8" t="str">
        <f t="shared" ca="1" si="143"/>
        <v>—</v>
      </c>
      <c r="E3047" s="16">
        <f t="shared" ca="1" si="144"/>
        <v>7</v>
      </c>
    </row>
    <row r="3048" spans="1:5" x14ac:dyDescent="0.25">
      <c r="A3048" s="3">
        <f t="shared" si="142"/>
        <v>78989</v>
      </c>
      <c r="B3048" t="str">
        <f ca="1">TEXT(DATE(YEAR(Invoer!$A$5),1,1)+INT((ROWS(B$2:B3048)-1)/24),"""18""jjmmdd")</f>
        <v>18980507</v>
      </c>
      <c r="C3048" s="11" t="str">
        <f>INDEX(Data,2,2+MOD(ROWS(C$2:C3048)-1,24))</f>
        <v>23.00</v>
      </c>
      <c r="D3048" s="8" t="str">
        <f t="shared" ca="1" si="143"/>
        <v>—</v>
      </c>
      <c r="E3048" s="16">
        <f t="shared" ca="1" si="144"/>
        <v>7</v>
      </c>
    </row>
    <row r="3049" spans="1:5" x14ac:dyDescent="0.25">
      <c r="A3049" s="3">
        <f t="shared" si="142"/>
        <v>78989</v>
      </c>
      <c r="B3049" t="str">
        <f ca="1">TEXT(DATE(YEAR(Invoer!$A$5),1,1)+INT((ROWS(B$2:B3049)-1)/24),"""18""jjmmdd")</f>
        <v>18980507</v>
      </c>
      <c r="C3049" s="11" t="str">
        <f>INDEX(Data,2,2+MOD(ROWS(C$2:C3049)-1,24))</f>
        <v>24.00</v>
      </c>
      <c r="D3049" s="8" t="str">
        <f t="shared" ca="1" si="143"/>
        <v>—</v>
      </c>
      <c r="E3049" s="16">
        <f t="shared" ca="1" si="144"/>
        <v>7</v>
      </c>
    </row>
    <row r="3050" spans="1:5" x14ac:dyDescent="0.25">
      <c r="A3050" s="3">
        <f t="shared" si="142"/>
        <v>78989</v>
      </c>
      <c r="B3050" t="str">
        <f ca="1">TEXT(DATE(YEAR(Invoer!$A$5),1,1)+INT((ROWS(B$2:B3050)-1)/24),"""18""jjmmdd")</f>
        <v>18980508</v>
      </c>
      <c r="C3050" s="11" t="str">
        <f>INDEX(Data,2,2+MOD(ROWS(C$2:C3050)-1,24))</f>
        <v>01.00</v>
      </c>
      <c r="D3050" s="8" t="str">
        <f t="shared" ca="1" si="143"/>
        <v>—</v>
      </c>
      <c r="E3050" s="16">
        <f t="shared" ca="1" si="144"/>
        <v>7</v>
      </c>
    </row>
    <row r="3051" spans="1:5" x14ac:dyDescent="0.25">
      <c r="A3051" s="3">
        <f t="shared" si="142"/>
        <v>78989</v>
      </c>
      <c r="B3051" t="str">
        <f ca="1">TEXT(DATE(YEAR(Invoer!$A$5),1,1)+INT((ROWS(B$2:B3051)-1)/24),"""18""jjmmdd")</f>
        <v>18980508</v>
      </c>
      <c r="C3051" s="11" t="str">
        <f>INDEX(Data,2,2+MOD(ROWS(C$2:C3051)-1,24))</f>
        <v>02.00</v>
      </c>
      <c r="D3051" s="8" t="str">
        <f t="shared" ca="1" si="143"/>
        <v>—</v>
      </c>
      <c r="E3051" s="16">
        <f t="shared" ca="1" si="144"/>
        <v>7</v>
      </c>
    </row>
    <row r="3052" spans="1:5" x14ac:dyDescent="0.25">
      <c r="A3052" s="3">
        <f t="shared" si="142"/>
        <v>78989</v>
      </c>
      <c r="B3052" t="str">
        <f ca="1">TEXT(DATE(YEAR(Invoer!$A$5),1,1)+INT((ROWS(B$2:B3052)-1)/24),"""18""jjmmdd")</f>
        <v>18980508</v>
      </c>
      <c r="C3052" s="11" t="str">
        <f>INDEX(Data,2,2+MOD(ROWS(C$2:C3052)-1,24))</f>
        <v>03.00</v>
      </c>
      <c r="D3052" s="8" t="str">
        <f t="shared" ca="1" si="143"/>
        <v>—</v>
      </c>
      <c r="E3052" s="16">
        <f t="shared" ca="1" si="144"/>
        <v>7</v>
      </c>
    </row>
    <row r="3053" spans="1:5" x14ac:dyDescent="0.25">
      <c r="A3053" s="3">
        <f t="shared" si="142"/>
        <v>78989</v>
      </c>
      <c r="B3053" t="str">
        <f ca="1">TEXT(DATE(YEAR(Invoer!$A$5),1,1)+INT((ROWS(B$2:B3053)-1)/24),"""18""jjmmdd")</f>
        <v>18980508</v>
      </c>
      <c r="C3053" s="11" t="str">
        <f>INDEX(Data,2,2+MOD(ROWS(C$2:C3053)-1,24))</f>
        <v>04.00</v>
      </c>
      <c r="D3053" s="8" t="str">
        <f t="shared" ca="1" si="143"/>
        <v>—</v>
      </c>
      <c r="E3053" s="16">
        <f t="shared" ca="1" si="144"/>
        <v>7</v>
      </c>
    </row>
    <row r="3054" spans="1:5" x14ac:dyDescent="0.25">
      <c r="A3054" s="3">
        <f t="shared" si="142"/>
        <v>78989</v>
      </c>
      <c r="B3054" t="str">
        <f ca="1">TEXT(DATE(YEAR(Invoer!$A$5),1,1)+INT((ROWS(B$2:B3054)-1)/24),"""18""jjmmdd")</f>
        <v>18980508</v>
      </c>
      <c r="C3054" s="11" t="str">
        <f>INDEX(Data,2,2+MOD(ROWS(C$2:C3054)-1,24))</f>
        <v>05.00</v>
      </c>
      <c r="D3054" s="8" t="str">
        <f t="shared" ca="1" si="143"/>
        <v>—</v>
      </c>
      <c r="E3054" s="16">
        <f t="shared" ca="1" si="144"/>
        <v>7</v>
      </c>
    </row>
    <row r="3055" spans="1:5" x14ac:dyDescent="0.25">
      <c r="A3055" s="3">
        <f t="shared" si="142"/>
        <v>78989</v>
      </c>
      <c r="B3055" t="str">
        <f ca="1">TEXT(DATE(YEAR(Invoer!$A$5),1,1)+INT((ROWS(B$2:B3055)-1)/24),"""18""jjmmdd")</f>
        <v>18980508</v>
      </c>
      <c r="C3055" s="11" t="str">
        <f>INDEX(Data,2,2+MOD(ROWS(C$2:C3055)-1,24))</f>
        <v>06.00</v>
      </c>
      <c r="D3055" s="8" t="str">
        <f t="shared" ca="1" si="143"/>
        <v>—</v>
      </c>
      <c r="E3055" s="16">
        <f t="shared" ca="1" si="144"/>
        <v>7</v>
      </c>
    </row>
    <row r="3056" spans="1:5" x14ac:dyDescent="0.25">
      <c r="A3056" s="3">
        <f t="shared" si="142"/>
        <v>78989</v>
      </c>
      <c r="B3056" t="str">
        <f ca="1">TEXT(DATE(YEAR(Invoer!$A$5),1,1)+INT((ROWS(B$2:B3056)-1)/24),"""18""jjmmdd")</f>
        <v>18980508</v>
      </c>
      <c r="C3056" s="11" t="str">
        <f>INDEX(Data,2,2+MOD(ROWS(C$2:C3056)-1,24))</f>
        <v>07.00</v>
      </c>
      <c r="D3056" s="8" t="str">
        <f t="shared" ca="1" si="143"/>
        <v>—</v>
      </c>
      <c r="E3056" s="16">
        <f t="shared" ca="1" si="144"/>
        <v>7</v>
      </c>
    </row>
    <row r="3057" spans="1:5" x14ac:dyDescent="0.25">
      <c r="A3057" s="3">
        <f t="shared" si="142"/>
        <v>78989</v>
      </c>
      <c r="B3057" t="str">
        <f ca="1">TEXT(DATE(YEAR(Invoer!$A$5),1,1)+INT((ROWS(B$2:B3057)-1)/24),"""18""jjmmdd")</f>
        <v>18980508</v>
      </c>
      <c r="C3057" s="11" t="str">
        <f>INDEX(Data,2,2+MOD(ROWS(C$2:C3057)-1,24))</f>
        <v>08.00</v>
      </c>
      <c r="D3057" s="8" t="str">
        <f t="shared" ca="1" si="143"/>
        <v>—</v>
      </c>
      <c r="E3057" s="16">
        <f t="shared" ca="1" si="144"/>
        <v>7</v>
      </c>
    </row>
    <row r="3058" spans="1:5" x14ac:dyDescent="0.25">
      <c r="A3058" s="3">
        <f t="shared" si="142"/>
        <v>78989</v>
      </c>
      <c r="B3058" t="str">
        <f ca="1">TEXT(DATE(YEAR(Invoer!$A$5),1,1)+INT((ROWS(B$2:B3058)-1)/24),"""18""jjmmdd")</f>
        <v>18980508</v>
      </c>
      <c r="C3058" s="11" t="str">
        <f>INDEX(Data,2,2+MOD(ROWS(C$2:C3058)-1,24))</f>
        <v>09.00</v>
      </c>
      <c r="D3058" s="8" t="str">
        <f t="shared" ca="1" si="143"/>
        <v>—</v>
      </c>
      <c r="E3058" s="16">
        <f t="shared" ca="1" si="144"/>
        <v>7</v>
      </c>
    </row>
    <row r="3059" spans="1:5" x14ac:dyDescent="0.25">
      <c r="A3059" s="3">
        <f t="shared" si="142"/>
        <v>78989</v>
      </c>
      <c r="B3059" t="str">
        <f ca="1">TEXT(DATE(YEAR(Invoer!$A$5),1,1)+INT((ROWS(B$2:B3059)-1)/24),"""18""jjmmdd")</f>
        <v>18980508</v>
      </c>
      <c r="C3059" s="11" t="str">
        <f>INDEX(Data,2,2+MOD(ROWS(C$2:C3059)-1,24))</f>
        <v>10.00</v>
      </c>
      <c r="D3059" s="8" t="str">
        <f t="shared" ca="1" si="143"/>
        <v>—</v>
      </c>
      <c r="E3059" s="16">
        <f t="shared" ca="1" si="144"/>
        <v>7</v>
      </c>
    </row>
    <row r="3060" spans="1:5" x14ac:dyDescent="0.25">
      <c r="A3060" s="3">
        <f t="shared" si="142"/>
        <v>78989</v>
      </c>
      <c r="B3060" t="str">
        <f ca="1">TEXT(DATE(YEAR(Invoer!$A$5),1,1)+INT((ROWS(B$2:B3060)-1)/24),"""18""jjmmdd")</f>
        <v>18980508</v>
      </c>
      <c r="C3060" s="11" t="str">
        <f>INDEX(Data,2,2+MOD(ROWS(C$2:C3060)-1,24))</f>
        <v>11.00</v>
      </c>
      <c r="D3060" s="8" t="str">
        <f t="shared" ca="1" si="143"/>
        <v>—</v>
      </c>
      <c r="E3060" s="16">
        <f t="shared" ca="1" si="144"/>
        <v>7</v>
      </c>
    </row>
    <row r="3061" spans="1:5" x14ac:dyDescent="0.25">
      <c r="A3061" s="3">
        <f t="shared" si="142"/>
        <v>78989</v>
      </c>
      <c r="B3061" t="str">
        <f ca="1">TEXT(DATE(YEAR(Invoer!$A$5),1,1)+INT((ROWS(B$2:B3061)-1)/24),"""18""jjmmdd")</f>
        <v>18980508</v>
      </c>
      <c r="C3061" s="11" t="str">
        <f>INDEX(Data,2,2+MOD(ROWS(C$2:C3061)-1,24))</f>
        <v>12.00</v>
      </c>
      <c r="D3061" s="8" t="str">
        <f t="shared" ca="1" si="143"/>
        <v>—</v>
      </c>
      <c r="E3061" s="16">
        <f t="shared" ca="1" si="144"/>
        <v>7</v>
      </c>
    </row>
    <row r="3062" spans="1:5" x14ac:dyDescent="0.25">
      <c r="A3062" s="3">
        <f t="shared" si="142"/>
        <v>78989</v>
      </c>
      <c r="B3062" t="str">
        <f ca="1">TEXT(DATE(YEAR(Invoer!$A$5),1,1)+INT((ROWS(B$2:B3062)-1)/24),"""18""jjmmdd")</f>
        <v>18980508</v>
      </c>
      <c r="C3062" s="11" t="str">
        <f>INDEX(Data,2,2+MOD(ROWS(C$2:C3062)-1,24))</f>
        <v>13.00</v>
      </c>
      <c r="D3062" s="8" t="str">
        <f t="shared" ca="1" si="143"/>
        <v>—</v>
      </c>
      <c r="E3062" s="16">
        <f t="shared" ca="1" si="144"/>
        <v>7</v>
      </c>
    </row>
    <row r="3063" spans="1:5" x14ac:dyDescent="0.25">
      <c r="A3063" s="3">
        <f t="shared" si="142"/>
        <v>78989</v>
      </c>
      <c r="B3063" t="str">
        <f ca="1">TEXT(DATE(YEAR(Invoer!$A$5),1,1)+INT((ROWS(B$2:B3063)-1)/24),"""18""jjmmdd")</f>
        <v>18980508</v>
      </c>
      <c r="C3063" s="11" t="str">
        <f>INDEX(Data,2,2+MOD(ROWS(C$2:C3063)-1,24))</f>
        <v>14.00</v>
      </c>
      <c r="D3063" s="8" t="str">
        <f t="shared" ca="1" si="143"/>
        <v>—</v>
      </c>
      <c r="E3063" s="16">
        <f t="shared" ca="1" si="144"/>
        <v>7</v>
      </c>
    </row>
    <row r="3064" spans="1:5" x14ac:dyDescent="0.25">
      <c r="A3064" s="3">
        <f t="shared" si="142"/>
        <v>78989</v>
      </c>
      <c r="B3064" t="str">
        <f ca="1">TEXT(DATE(YEAR(Invoer!$A$5),1,1)+INT((ROWS(B$2:B3064)-1)/24),"""18""jjmmdd")</f>
        <v>18980508</v>
      </c>
      <c r="C3064" s="11" t="str">
        <f>INDEX(Data,2,2+MOD(ROWS(C$2:C3064)-1,24))</f>
        <v>15.00</v>
      </c>
      <c r="D3064" s="8" t="str">
        <f t="shared" ca="1" si="143"/>
        <v>—</v>
      </c>
      <c r="E3064" s="16">
        <f t="shared" ca="1" si="144"/>
        <v>7</v>
      </c>
    </row>
    <row r="3065" spans="1:5" x14ac:dyDescent="0.25">
      <c r="A3065" s="3">
        <f t="shared" si="142"/>
        <v>78989</v>
      </c>
      <c r="B3065" t="str">
        <f ca="1">TEXT(DATE(YEAR(Invoer!$A$5),1,1)+INT((ROWS(B$2:B3065)-1)/24),"""18""jjmmdd")</f>
        <v>18980508</v>
      </c>
      <c r="C3065" s="11" t="str">
        <f>INDEX(Data,2,2+MOD(ROWS(C$2:C3065)-1,24))</f>
        <v>16.00</v>
      </c>
      <c r="D3065" s="8" t="str">
        <f t="shared" ca="1" si="143"/>
        <v>—</v>
      </c>
      <c r="E3065" s="16">
        <f t="shared" ca="1" si="144"/>
        <v>7</v>
      </c>
    </row>
    <row r="3066" spans="1:5" x14ac:dyDescent="0.25">
      <c r="A3066" s="3">
        <f t="shared" si="142"/>
        <v>78989</v>
      </c>
      <c r="B3066" t="str">
        <f ca="1">TEXT(DATE(YEAR(Invoer!$A$5),1,1)+INT((ROWS(B$2:B3066)-1)/24),"""18""jjmmdd")</f>
        <v>18980508</v>
      </c>
      <c r="C3066" s="11" t="str">
        <f>INDEX(Data,2,2+MOD(ROWS(C$2:C3066)-1,24))</f>
        <v>17.00</v>
      </c>
      <c r="D3066" s="8" t="str">
        <f t="shared" ca="1" si="143"/>
        <v>—</v>
      </c>
      <c r="E3066" s="16">
        <f t="shared" ca="1" si="144"/>
        <v>7</v>
      </c>
    </row>
    <row r="3067" spans="1:5" x14ac:dyDescent="0.25">
      <c r="A3067" s="3">
        <f t="shared" si="142"/>
        <v>78989</v>
      </c>
      <c r="B3067" t="str">
        <f ca="1">TEXT(DATE(YEAR(Invoer!$A$5),1,1)+INT((ROWS(B$2:B3067)-1)/24),"""18""jjmmdd")</f>
        <v>18980508</v>
      </c>
      <c r="C3067" s="11" t="str">
        <f>INDEX(Data,2,2+MOD(ROWS(C$2:C3067)-1,24))</f>
        <v>18.00</v>
      </c>
      <c r="D3067" s="8" t="str">
        <f t="shared" ca="1" si="143"/>
        <v>—</v>
      </c>
      <c r="E3067" s="16">
        <f t="shared" ca="1" si="144"/>
        <v>7</v>
      </c>
    </row>
    <row r="3068" spans="1:5" x14ac:dyDescent="0.25">
      <c r="A3068" s="3">
        <f t="shared" si="142"/>
        <v>78989</v>
      </c>
      <c r="B3068" t="str">
        <f ca="1">TEXT(DATE(YEAR(Invoer!$A$5),1,1)+INT((ROWS(B$2:B3068)-1)/24),"""18""jjmmdd")</f>
        <v>18980508</v>
      </c>
      <c r="C3068" s="11" t="str">
        <f>INDEX(Data,2,2+MOD(ROWS(C$2:C3068)-1,24))</f>
        <v>19.00</v>
      </c>
      <c r="D3068" s="8" t="str">
        <f t="shared" ca="1" si="143"/>
        <v>—</v>
      </c>
      <c r="E3068" s="16">
        <f t="shared" ca="1" si="144"/>
        <v>7</v>
      </c>
    </row>
    <row r="3069" spans="1:5" x14ac:dyDescent="0.25">
      <c r="A3069" s="3">
        <f t="shared" si="142"/>
        <v>78989</v>
      </c>
      <c r="B3069" t="str">
        <f ca="1">TEXT(DATE(YEAR(Invoer!$A$5),1,1)+INT((ROWS(B$2:B3069)-1)/24),"""18""jjmmdd")</f>
        <v>18980508</v>
      </c>
      <c r="C3069" s="11" t="str">
        <f>INDEX(Data,2,2+MOD(ROWS(C$2:C3069)-1,24))</f>
        <v>20.00</v>
      </c>
      <c r="D3069" s="8" t="str">
        <f t="shared" ca="1" si="143"/>
        <v>—</v>
      </c>
      <c r="E3069" s="16">
        <f t="shared" ca="1" si="144"/>
        <v>7</v>
      </c>
    </row>
    <row r="3070" spans="1:5" x14ac:dyDescent="0.25">
      <c r="A3070" s="3">
        <f t="shared" si="142"/>
        <v>78989</v>
      </c>
      <c r="B3070" t="str">
        <f ca="1">TEXT(DATE(YEAR(Invoer!$A$5),1,1)+INT((ROWS(B$2:B3070)-1)/24),"""18""jjmmdd")</f>
        <v>18980508</v>
      </c>
      <c r="C3070" s="11" t="str">
        <f>INDEX(Data,2,2+MOD(ROWS(C$2:C3070)-1,24))</f>
        <v>21.00</v>
      </c>
      <c r="D3070" s="8" t="str">
        <f t="shared" ca="1" si="143"/>
        <v>—</v>
      </c>
      <c r="E3070" s="16">
        <f t="shared" ca="1" si="144"/>
        <v>7</v>
      </c>
    </row>
    <row r="3071" spans="1:5" x14ac:dyDescent="0.25">
      <c r="A3071" s="3">
        <f t="shared" si="142"/>
        <v>78989</v>
      </c>
      <c r="B3071" t="str">
        <f ca="1">TEXT(DATE(YEAR(Invoer!$A$5),1,1)+INT((ROWS(B$2:B3071)-1)/24),"""18""jjmmdd")</f>
        <v>18980508</v>
      </c>
      <c r="C3071" s="11" t="str">
        <f>INDEX(Data,2,2+MOD(ROWS(C$2:C3071)-1,24))</f>
        <v>22.00</v>
      </c>
      <c r="D3071" s="8" t="str">
        <f t="shared" ca="1" si="143"/>
        <v>—</v>
      </c>
      <c r="E3071" s="16">
        <f t="shared" ca="1" si="144"/>
        <v>7</v>
      </c>
    </row>
    <row r="3072" spans="1:5" x14ac:dyDescent="0.25">
      <c r="A3072" s="3">
        <f t="shared" si="142"/>
        <v>78989</v>
      </c>
      <c r="B3072" t="str">
        <f ca="1">TEXT(DATE(YEAR(Invoer!$A$5),1,1)+INT((ROWS(B$2:B3072)-1)/24),"""18""jjmmdd")</f>
        <v>18980508</v>
      </c>
      <c r="C3072" s="11" t="str">
        <f>INDEX(Data,2,2+MOD(ROWS(C$2:C3072)-1,24))</f>
        <v>23.00</v>
      </c>
      <c r="D3072" s="8" t="str">
        <f t="shared" ca="1" si="143"/>
        <v>—</v>
      </c>
      <c r="E3072" s="16">
        <f t="shared" ca="1" si="144"/>
        <v>7</v>
      </c>
    </row>
    <row r="3073" spans="1:5" x14ac:dyDescent="0.25">
      <c r="A3073" s="3">
        <f t="shared" si="142"/>
        <v>78989</v>
      </c>
      <c r="B3073" t="str">
        <f ca="1">TEXT(DATE(YEAR(Invoer!$A$5),1,1)+INT((ROWS(B$2:B3073)-1)/24),"""18""jjmmdd")</f>
        <v>18980508</v>
      </c>
      <c r="C3073" s="11" t="str">
        <f>INDEX(Data,2,2+MOD(ROWS(C$2:C3073)-1,24))</f>
        <v>24.00</v>
      </c>
      <c r="D3073" s="8" t="str">
        <f t="shared" ca="1" si="143"/>
        <v>—</v>
      </c>
      <c r="E3073" s="16">
        <f t="shared" ca="1" si="144"/>
        <v>7</v>
      </c>
    </row>
    <row r="3074" spans="1:5" x14ac:dyDescent="0.25">
      <c r="A3074" s="3">
        <f t="shared" ref="A3074:A3137" si="145">INDEX(Stations,2,1)</f>
        <v>78989</v>
      </c>
      <c r="B3074" t="str">
        <f ca="1">TEXT(DATE(YEAR(Invoer!$A$5),1,1)+INT((ROWS(B$2:B3074)-1)/24),"""18""jjmmdd")</f>
        <v>18980509</v>
      </c>
      <c r="C3074" s="11" t="str">
        <f>INDEX(Data,2,2+MOD(ROWS(C$2:C3074)-1,24))</f>
        <v>01.00</v>
      </c>
      <c r="D3074" s="8" t="str">
        <f t="shared" ref="D3074:D3137" ca="1" si="146">IF(OR(ISBLANK(VLOOKUP(DATEVALUE("37"&amp;MID($B3074,3,2)&amp;"-"&amp;MID($B3074,5,2)&amp;"-"&amp;RIGHT($B3074,2)),Data,MATCH(LEFT(VLOOKUP(D$1,Parameters,2,FALSE()),4)&amp;"*",OFFSET(Data,0,0,1),0)+MATCH($C3074,OFFSET(Data,1,0,1),0)-2,FALSE())),ISTEXT(VLOOKUP(DATEVALUE("37"&amp;MID($B3074,3,2)&amp;"-"&amp;MID($B3074,5,2)&amp;"-"&amp;RIGHT($B3074,2)),Data,MATCH(LEFT(VLOOKUP(D$1,Parameters,2,FALSE()),4)&amp;"*",OFFSET(Data,0,0,1),0)+MATCH($C3074,OFFSET(Data,1,0,1),0)-2,FALSE()))),"—",VLOOKUP(DATEVALUE("37"&amp;MID($B3074,3,2)&amp;"-"&amp;MID($B3074,5,2)&amp;"-"&amp;RIGHT($B3074,2)),Data,MATCH(LEFT(VLOOKUP(D$1,Parameters,2,FALSE()),4)&amp;"*",OFFSET(Data,0,0,1),0)+MATCH($C3074,OFFSET(Data,1,0,1),0)-2,FALSE()))</f>
        <v>—</v>
      </c>
      <c r="E3074" s="16">
        <f t="shared" ca="1" si="144"/>
        <v>7</v>
      </c>
    </row>
    <row r="3075" spans="1:5" x14ac:dyDescent="0.25">
      <c r="A3075" s="3">
        <f t="shared" si="145"/>
        <v>78989</v>
      </c>
      <c r="B3075" t="str">
        <f ca="1">TEXT(DATE(YEAR(Invoer!$A$5),1,1)+INT((ROWS(B$2:B3075)-1)/24),"""18""jjmmdd")</f>
        <v>18980509</v>
      </c>
      <c r="C3075" s="11" t="str">
        <f>INDEX(Data,2,2+MOD(ROWS(C$2:C3075)-1,24))</f>
        <v>02.00</v>
      </c>
      <c r="D3075" s="8" t="str">
        <f t="shared" ca="1" si="146"/>
        <v>—</v>
      </c>
      <c r="E3075" s="16">
        <f t="shared" ref="E3075:E3138" ca="1" si="147">IF(OR(ISBLANK(VLOOKUP(DATEVALUE("37"&amp;MID($B3075,3,2)&amp;"-"&amp;MID($B3075,5,2)&amp;"-"&amp;RIGHT($B3075,2)),Data,MATCH(LEFT(VLOOKUP(D$1,Parameters,2,FALSE()),4)&amp;"*",OFFSET(Data,0,0,1),0)+MATCH($C3075,OFFSET(Data,1,0,1),0)-2,FALSE())),ISTEXT(VLOOKUP(DATEVALUE("37"&amp;MID($B3075,3,2)&amp;"-"&amp;MID($B3075,5,2)&amp;"-"&amp;RIGHT($B3075,2)),Data,MATCH(LEFT(VLOOKUP(D$1,Parameters,2,FALSE()),4)&amp;"*",OFFSET(Data,0,0,1),0)+MATCH($C3075,OFFSET(Data,1,0,1),0)-2,FALSE()))),Lacking,IF(ISNA(MATCH(DATEVALUE("37"&amp;MID($B3075,3,2)&amp;"-"&amp;MID($B3075,5,2)&amp;"-"&amp;RIGHT($B3075,2)),OFFSET(Catalogus,0,0,,1),0)),Ok,VLOOKUP(DATEVALUE("37"&amp;MID($B3075,3,2)&amp;"-"&amp;MID($B3075,5,2)&amp;"-"&amp;RIGHT($B3075,2)),Catalogus,MATCH(LEFT(VLOOKUP(MID(E$1,2,LEN(E$1)-1),Parameters,2,FALSE()),4)&amp;"*",OFFSET(Catalogus,0,0,1),0)+MATCH($C3075,OFFSET(Catalogus,1,0,1),0)-2,FALSE())))</f>
        <v>7</v>
      </c>
    </row>
    <row r="3076" spans="1:5" x14ac:dyDescent="0.25">
      <c r="A3076" s="3">
        <f t="shared" si="145"/>
        <v>78989</v>
      </c>
      <c r="B3076" t="str">
        <f ca="1">TEXT(DATE(YEAR(Invoer!$A$5),1,1)+INT((ROWS(B$2:B3076)-1)/24),"""18""jjmmdd")</f>
        <v>18980509</v>
      </c>
      <c r="C3076" s="11" t="str">
        <f>INDEX(Data,2,2+MOD(ROWS(C$2:C3076)-1,24))</f>
        <v>03.00</v>
      </c>
      <c r="D3076" s="8" t="str">
        <f t="shared" ca="1" si="146"/>
        <v>—</v>
      </c>
      <c r="E3076" s="16">
        <f t="shared" ca="1" si="147"/>
        <v>7</v>
      </c>
    </row>
    <row r="3077" spans="1:5" x14ac:dyDescent="0.25">
      <c r="A3077" s="3">
        <f t="shared" si="145"/>
        <v>78989</v>
      </c>
      <c r="B3077" t="str">
        <f ca="1">TEXT(DATE(YEAR(Invoer!$A$5),1,1)+INT((ROWS(B$2:B3077)-1)/24),"""18""jjmmdd")</f>
        <v>18980509</v>
      </c>
      <c r="C3077" s="11" t="str">
        <f>INDEX(Data,2,2+MOD(ROWS(C$2:C3077)-1,24))</f>
        <v>04.00</v>
      </c>
      <c r="D3077" s="8" t="str">
        <f t="shared" ca="1" si="146"/>
        <v>—</v>
      </c>
      <c r="E3077" s="16">
        <f t="shared" ca="1" si="147"/>
        <v>7</v>
      </c>
    </row>
    <row r="3078" spans="1:5" x14ac:dyDescent="0.25">
      <c r="A3078" s="3">
        <f t="shared" si="145"/>
        <v>78989</v>
      </c>
      <c r="B3078" t="str">
        <f ca="1">TEXT(DATE(YEAR(Invoer!$A$5),1,1)+INT((ROWS(B$2:B3078)-1)/24),"""18""jjmmdd")</f>
        <v>18980509</v>
      </c>
      <c r="C3078" s="11" t="str">
        <f>INDEX(Data,2,2+MOD(ROWS(C$2:C3078)-1,24))</f>
        <v>05.00</v>
      </c>
      <c r="D3078" s="8" t="str">
        <f t="shared" ca="1" si="146"/>
        <v>—</v>
      </c>
      <c r="E3078" s="16">
        <f t="shared" ca="1" si="147"/>
        <v>7</v>
      </c>
    </row>
    <row r="3079" spans="1:5" x14ac:dyDescent="0.25">
      <c r="A3079" s="3">
        <f t="shared" si="145"/>
        <v>78989</v>
      </c>
      <c r="B3079" t="str">
        <f ca="1">TEXT(DATE(YEAR(Invoer!$A$5),1,1)+INT((ROWS(B$2:B3079)-1)/24),"""18""jjmmdd")</f>
        <v>18980509</v>
      </c>
      <c r="C3079" s="11" t="str">
        <f>INDEX(Data,2,2+MOD(ROWS(C$2:C3079)-1,24))</f>
        <v>06.00</v>
      </c>
      <c r="D3079" s="8" t="str">
        <f t="shared" ca="1" si="146"/>
        <v>—</v>
      </c>
      <c r="E3079" s="16">
        <f t="shared" ca="1" si="147"/>
        <v>7</v>
      </c>
    </row>
    <row r="3080" spans="1:5" x14ac:dyDescent="0.25">
      <c r="A3080" s="3">
        <f t="shared" si="145"/>
        <v>78989</v>
      </c>
      <c r="B3080" t="str">
        <f ca="1">TEXT(DATE(YEAR(Invoer!$A$5),1,1)+INT((ROWS(B$2:B3080)-1)/24),"""18""jjmmdd")</f>
        <v>18980509</v>
      </c>
      <c r="C3080" s="11" t="str">
        <f>INDEX(Data,2,2+MOD(ROWS(C$2:C3080)-1,24))</f>
        <v>07.00</v>
      </c>
      <c r="D3080" s="8" t="str">
        <f t="shared" ca="1" si="146"/>
        <v>—</v>
      </c>
      <c r="E3080" s="16">
        <f t="shared" ca="1" si="147"/>
        <v>7</v>
      </c>
    </row>
    <row r="3081" spans="1:5" x14ac:dyDescent="0.25">
      <c r="A3081" s="3">
        <f t="shared" si="145"/>
        <v>78989</v>
      </c>
      <c r="B3081" t="str">
        <f ca="1">TEXT(DATE(YEAR(Invoer!$A$5),1,1)+INT((ROWS(B$2:B3081)-1)/24),"""18""jjmmdd")</f>
        <v>18980509</v>
      </c>
      <c r="C3081" s="11" t="str">
        <f>INDEX(Data,2,2+MOD(ROWS(C$2:C3081)-1,24))</f>
        <v>08.00</v>
      </c>
      <c r="D3081" s="8" t="str">
        <f t="shared" ca="1" si="146"/>
        <v>—</v>
      </c>
      <c r="E3081" s="16">
        <f t="shared" ca="1" si="147"/>
        <v>7</v>
      </c>
    </row>
    <row r="3082" spans="1:5" x14ac:dyDescent="0.25">
      <c r="A3082" s="3">
        <f t="shared" si="145"/>
        <v>78989</v>
      </c>
      <c r="B3082" t="str">
        <f ca="1">TEXT(DATE(YEAR(Invoer!$A$5),1,1)+INT((ROWS(B$2:B3082)-1)/24),"""18""jjmmdd")</f>
        <v>18980509</v>
      </c>
      <c r="C3082" s="11" t="str">
        <f>INDEX(Data,2,2+MOD(ROWS(C$2:C3082)-1,24))</f>
        <v>09.00</v>
      </c>
      <c r="D3082" s="8" t="str">
        <f t="shared" ca="1" si="146"/>
        <v>—</v>
      </c>
      <c r="E3082" s="16">
        <f t="shared" ca="1" si="147"/>
        <v>7</v>
      </c>
    </row>
    <row r="3083" spans="1:5" x14ac:dyDescent="0.25">
      <c r="A3083" s="3">
        <f t="shared" si="145"/>
        <v>78989</v>
      </c>
      <c r="B3083" t="str">
        <f ca="1">TEXT(DATE(YEAR(Invoer!$A$5),1,1)+INT((ROWS(B$2:B3083)-1)/24),"""18""jjmmdd")</f>
        <v>18980509</v>
      </c>
      <c r="C3083" s="11" t="str">
        <f>INDEX(Data,2,2+MOD(ROWS(C$2:C3083)-1,24))</f>
        <v>10.00</v>
      </c>
      <c r="D3083" s="8" t="str">
        <f t="shared" ca="1" si="146"/>
        <v>—</v>
      </c>
      <c r="E3083" s="16">
        <f t="shared" ca="1" si="147"/>
        <v>7</v>
      </c>
    </row>
    <row r="3084" spans="1:5" x14ac:dyDescent="0.25">
      <c r="A3084" s="3">
        <f t="shared" si="145"/>
        <v>78989</v>
      </c>
      <c r="B3084" t="str">
        <f ca="1">TEXT(DATE(YEAR(Invoer!$A$5),1,1)+INT((ROWS(B$2:B3084)-1)/24),"""18""jjmmdd")</f>
        <v>18980509</v>
      </c>
      <c r="C3084" s="11" t="str">
        <f>INDEX(Data,2,2+MOD(ROWS(C$2:C3084)-1,24))</f>
        <v>11.00</v>
      </c>
      <c r="D3084" s="8" t="str">
        <f t="shared" ca="1" si="146"/>
        <v>—</v>
      </c>
      <c r="E3084" s="16">
        <f t="shared" ca="1" si="147"/>
        <v>7</v>
      </c>
    </row>
    <row r="3085" spans="1:5" x14ac:dyDescent="0.25">
      <c r="A3085" s="3">
        <f t="shared" si="145"/>
        <v>78989</v>
      </c>
      <c r="B3085" t="str">
        <f ca="1">TEXT(DATE(YEAR(Invoer!$A$5),1,1)+INT((ROWS(B$2:B3085)-1)/24),"""18""jjmmdd")</f>
        <v>18980509</v>
      </c>
      <c r="C3085" s="11" t="str">
        <f>INDEX(Data,2,2+MOD(ROWS(C$2:C3085)-1,24))</f>
        <v>12.00</v>
      </c>
      <c r="D3085" s="8" t="str">
        <f t="shared" ca="1" si="146"/>
        <v>—</v>
      </c>
      <c r="E3085" s="16">
        <f t="shared" ca="1" si="147"/>
        <v>7</v>
      </c>
    </row>
    <row r="3086" spans="1:5" x14ac:dyDescent="0.25">
      <c r="A3086" s="3">
        <f t="shared" si="145"/>
        <v>78989</v>
      </c>
      <c r="B3086" t="str">
        <f ca="1">TEXT(DATE(YEAR(Invoer!$A$5),1,1)+INT((ROWS(B$2:B3086)-1)/24),"""18""jjmmdd")</f>
        <v>18980509</v>
      </c>
      <c r="C3086" s="11" t="str">
        <f>INDEX(Data,2,2+MOD(ROWS(C$2:C3086)-1,24))</f>
        <v>13.00</v>
      </c>
      <c r="D3086" s="8" t="str">
        <f t="shared" ca="1" si="146"/>
        <v>—</v>
      </c>
      <c r="E3086" s="16">
        <f t="shared" ca="1" si="147"/>
        <v>7</v>
      </c>
    </row>
    <row r="3087" spans="1:5" x14ac:dyDescent="0.25">
      <c r="A3087" s="3">
        <f t="shared" si="145"/>
        <v>78989</v>
      </c>
      <c r="B3087" t="str">
        <f ca="1">TEXT(DATE(YEAR(Invoer!$A$5),1,1)+INT((ROWS(B$2:B3087)-1)/24),"""18""jjmmdd")</f>
        <v>18980509</v>
      </c>
      <c r="C3087" s="11" t="str">
        <f>INDEX(Data,2,2+MOD(ROWS(C$2:C3087)-1,24))</f>
        <v>14.00</v>
      </c>
      <c r="D3087" s="8" t="str">
        <f t="shared" ca="1" si="146"/>
        <v>—</v>
      </c>
      <c r="E3087" s="16">
        <f t="shared" ca="1" si="147"/>
        <v>7</v>
      </c>
    </row>
    <row r="3088" spans="1:5" x14ac:dyDescent="0.25">
      <c r="A3088" s="3">
        <f t="shared" si="145"/>
        <v>78989</v>
      </c>
      <c r="B3088" t="str">
        <f ca="1">TEXT(DATE(YEAR(Invoer!$A$5),1,1)+INT((ROWS(B$2:B3088)-1)/24),"""18""jjmmdd")</f>
        <v>18980509</v>
      </c>
      <c r="C3088" s="11" t="str">
        <f>INDEX(Data,2,2+MOD(ROWS(C$2:C3088)-1,24))</f>
        <v>15.00</v>
      </c>
      <c r="D3088" s="8" t="str">
        <f t="shared" ca="1" si="146"/>
        <v>—</v>
      </c>
      <c r="E3088" s="16">
        <f t="shared" ca="1" si="147"/>
        <v>7</v>
      </c>
    </row>
    <row r="3089" spans="1:5" x14ac:dyDescent="0.25">
      <c r="A3089" s="3">
        <f t="shared" si="145"/>
        <v>78989</v>
      </c>
      <c r="B3089" t="str">
        <f ca="1">TEXT(DATE(YEAR(Invoer!$A$5),1,1)+INT((ROWS(B$2:B3089)-1)/24),"""18""jjmmdd")</f>
        <v>18980509</v>
      </c>
      <c r="C3089" s="11" t="str">
        <f>INDEX(Data,2,2+MOD(ROWS(C$2:C3089)-1,24))</f>
        <v>16.00</v>
      </c>
      <c r="D3089" s="8" t="str">
        <f t="shared" ca="1" si="146"/>
        <v>—</v>
      </c>
      <c r="E3089" s="16">
        <f t="shared" ca="1" si="147"/>
        <v>7</v>
      </c>
    </row>
    <row r="3090" spans="1:5" x14ac:dyDescent="0.25">
      <c r="A3090" s="3">
        <f t="shared" si="145"/>
        <v>78989</v>
      </c>
      <c r="B3090" t="str">
        <f ca="1">TEXT(DATE(YEAR(Invoer!$A$5),1,1)+INT((ROWS(B$2:B3090)-1)/24),"""18""jjmmdd")</f>
        <v>18980509</v>
      </c>
      <c r="C3090" s="11" t="str">
        <f>INDEX(Data,2,2+MOD(ROWS(C$2:C3090)-1,24))</f>
        <v>17.00</v>
      </c>
      <c r="D3090" s="8" t="str">
        <f t="shared" ca="1" si="146"/>
        <v>—</v>
      </c>
      <c r="E3090" s="16">
        <f t="shared" ca="1" si="147"/>
        <v>7</v>
      </c>
    </row>
    <row r="3091" spans="1:5" x14ac:dyDescent="0.25">
      <c r="A3091" s="3">
        <f t="shared" si="145"/>
        <v>78989</v>
      </c>
      <c r="B3091" t="str">
        <f ca="1">TEXT(DATE(YEAR(Invoer!$A$5),1,1)+INT((ROWS(B$2:B3091)-1)/24),"""18""jjmmdd")</f>
        <v>18980509</v>
      </c>
      <c r="C3091" s="11" t="str">
        <f>INDEX(Data,2,2+MOD(ROWS(C$2:C3091)-1,24))</f>
        <v>18.00</v>
      </c>
      <c r="D3091" s="8" t="str">
        <f t="shared" ca="1" si="146"/>
        <v>—</v>
      </c>
      <c r="E3091" s="16">
        <f t="shared" ca="1" si="147"/>
        <v>7</v>
      </c>
    </row>
    <row r="3092" spans="1:5" x14ac:dyDescent="0.25">
      <c r="A3092" s="3">
        <f t="shared" si="145"/>
        <v>78989</v>
      </c>
      <c r="B3092" t="str">
        <f ca="1">TEXT(DATE(YEAR(Invoer!$A$5),1,1)+INT((ROWS(B$2:B3092)-1)/24),"""18""jjmmdd")</f>
        <v>18980509</v>
      </c>
      <c r="C3092" s="11" t="str">
        <f>INDEX(Data,2,2+MOD(ROWS(C$2:C3092)-1,24))</f>
        <v>19.00</v>
      </c>
      <c r="D3092" s="8" t="str">
        <f t="shared" ca="1" si="146"/>
        <v>—</v>
      </c>
      <c r="E3092" s="16">
        <f t="shared" ca="1" si="147"/>
        <v>7</v>
      </c>
    </row>
    <row r="3093" spans="1:5" x14ac:dyDescent="0.25">
      <c r="A3093" s="3">
        <f t="shared" si="145"/>
        <v>78989</v>
      </c>
      <c r="B3093" t="str">
        <f ca="1">TEXT(DATE(YEAR(Invoer!$A$5),1,1)+INT((ROWS(B$2:B3093)-1)/24),"""18""jjmmdd")</f>
        <v>18980509</v>
      </c>
      <c r="C3093" s="11" t="str">
        <f>INDEX(Data,2,2+MOD(ROWS(C$2:C3093)-1,24))</f>
        <v>20.00</v>
      </c>
      <c r="D3093" s="8" t="str">
        <f t="shared" ca="1" si="146"/>
        <v>—</v>
      </c>
      <c r="E3093" s="16">
        <f t="shared" ca="1" si="147"/>
        <v>7</v>
      </c>
    </row>
    <row r="3094" spans="1:5" x14ac:dyDescent="0.25">
      <c r="A3094" s="3">
        <f t="shared" si="145"/>
        <v>78989</v>
      </c>
      <c r="B3094" t="str">
        <f ca="1">TEXT(DATE(YEAR(Invoer!$A$5),1,1)+INT((ROWS(B$2:B3094)-1)/24),"""18""jjmmdd")</f>
        <v>18980509</v>
      </c>
      <c r="C3094" s="11" t="str">
        <f>INDEX(Data,2,2+MOD(ROWS(C$2:C3094)-1,24))</f>
        <v>21.00</v>
      </c>
      <c r="D3094" s="8" t="str">
        <f t="shared" ca="1" si="146"/>
        <v>—</v>
      </c>
      <c r="E3094" s="16">
        <f t="shared" ca="1" si="147"/>
        <v>7</v>
      </c>
    </row>
    <row r="3095" spans="1:5" x14ac:dyDescent="0.25">
      <c r="A3095" s="3">
        <f t="shared" si="145"/>
        <v>78989</v>
      </c>
      <c r="B3095" t="str">
        <f ca="1">TEXT(DATE(YEAR(Invoer!$A$5),1,1)+INT((ROWS(B$2:B3095)-1)/24),"""18""jjmmdd")</f>
        <v>18980509</v>
      </c>
      <c r="C3095" s="11" t="str">
        <f>INDEX(Data,2,2+MOD(ROWS(C$2:C3095)-1,24))</f>
        <v>22.00</v>
      </c>
      <c r="D3095" s="8" t="str">
        <f t="shared" ca="1" si="146"/>
        <v>—</v>
      </c>
      <c r="E3095" s="16">
        <f t="shared" ca="1" si="147"/>
        <v>7</v>
      </c>
    </row>
    <row r="3096" spans="1:5" x14ac:dyDescent="0.25">
      <c r="A3096" s="3">
        <f t="shared" si="145"/>
        <v>78989</v>
      </c>
      <c r="B3096" t="str">
        <f ca="1">TEXT(DATE(YEAR(Invoer!$A$5),1,1)+INT((ROWS(B$2:B3096)-1)/24),"""18""jjmmdd")</f>
        <v>18980509</v>
      </c>
      <c r="C3096" s="11" t="str">
        <f>INDEX(Data,2,2+MOD(ROWS(C$2:C3096)-1,24))</f>
        <v>23.00</v>
      </c>
      <c r="D3096" s="8" t="str">
        <f t="shared" ca="1" si="146"/>
        <v>—</v>
      </c>
      <c r="E3096" s="16">
        <f t="shared" ca="1" si="147"/>
        <v>7</v>
      </c>
    </row>
    <row r="3097" spans="1:5" x14ac:dyDescent="0.25">
      <c r="A3097" s="3">
        <f t="shared" si="145"/>
        <v>78989</v>
      </c>
      <c r="B3097" t="str">
        <f ca="1">TEXT(DATE(YEAR(Invoer!$A$5),1,1)+INT((ROWS(B$2:B3097)-1)/24),"""18""jjmmdd")</f>
        <v>18980509</v>
      </c>
      <c r="C3097" s="11" t="str">
        <f>INDEX(Data,2,2+MOD(ROWS(C$2:C3097)-1,24))</f>
        <v>24.00</v>
      </c>
      <c r="D3097" s="8" t="str">
        <f t="shared" ca="1" si="146"/>
        <v>—</v>
      </c>
      <c r="E3097" s="16">
        <f t="shared" ca="1" si="147"/>
        <v>7</v>
      </c>
    </row>
    <row r="3098" spans="1:5" x14ac:dyDescent="0.25">
      <c r="A3098" s="3">
        <f t="shared" si="145"/>
        <v>78989</v>
      </c>
      <c r="B3098" t="str">
        <f ca="1">TEXT(DATE(YEAR(Invoer!$A$5),1,1)+INT((ROWS(B$2:B3098)-1)/24),"""18""jjmmdd")</f>
        <v>18980510</v>
      </c>
      <c r="C3098" s="11" t="str">
        <f>INDEX(Data,2,2+MOD(ROWS(C$2:C3098)-1,24))</f>
        <v>01.00</v>
      </c>
      <c r="D3098" s="8" t="str">
        <f t="shared" ca="1" si="146"/>
        <v>—</v>
      </c>
      <c r="E3098" s="16">
        <f t="shared" ca="1" si="147"/>
        <v>7</v>
      </c>
    </row>
    <row r="3099" spans="1:5" x14ac:dyDescent="0.25">
      <c r="A3099" s="3">
        <f t="shared" si="145"/>
        <v>78989</v>
      </c>
      <c r="B3099" t="str">
        <f ca="1">TEXT(DATE(YEAR(Invoer!$A$5),1,1)+INT((ROWS(B$2:B3099)-1)/24),"""18""jjmmdd")</f>
        <v>18980510</v>
      </c>
      <c r="C3099" s="11" t="str">
        <f>INDEX(Data,2,2+MOD(ROWS(C$2:C3099)-1,24))</f>
        <v>02.00</v>
      </c>
      <c r="D3099" s="8" t="str">
        <f t="shared" ca="1" si="146"/>
        <v>—</v>
      </c>
      <c r="E3099" s="16">
        <f t="shared" ca="1" si="147"/>
        <v>7</v>
      </c>
    </row>
    <row r="3100" spans="1:5" x14ac:dyDescent="0.25">
      <c r="A3100" s="3">
        <f t="shared" si="145"/>
        <v>78989</v>
      </c>
      <c r="B3100" t="str">
        <f ca="1">TEXT(DATE(YEAR(Invoer!$A$5),1,1)+INT((ROWS(B$2:B3100)-1)/24),"""18""jjmmdd")</f>
        <v>18980510</v>
      </c>
      <c r="C3100" s="11" t="str">
        <f>INDEX(Data,2,2+MOD(ROWS(C$2:C3100)-1,24))</f>
        <v>03.00</v>
      </c>
      <c r="D3100" s="8" t="str">
        <f t="shared" ca="1" si="146"/>
        <v>—</v>
      </c>
      <c r="E3100" s="16">
        <f t="shared" ca="1" si="147"/>
        <v>7</v>
      </c>
    </row>
    <row r="3101" spans="1:5" x14ac:dyDescent="0.25">
      <c r="A3101" s="3">
        <f t="shared" si="145"/>
        <v>78989</v>
      </c>
      <c r="B3101" t="str">
        <f ca="1">TEXT(DATE(YEAR(Invoer!$A$5),1,1)+INT((ROWS(B$2:B3101)-1)/24),"""18""jjmmdd")</f>
        <v>18980510</v>
      </c>
      <c r="C3101" s="11" t="str">
        <f>INDEX(Data,2,2+MOD(ROWS(C$2:C3101)-1,24))</f>
        <v>04.00</v>
      </c>
      <c r="D3101" s="8" t="str">
        <f t="shared" ca="1" si="146"/>
        <v>—</v>
      </c>
      <c r="E3101" s="16">
        <f t="shared" ca="1" si="147"/>
        <v>7</v>
      </c>
    </row>
    <row r="3102" spans="1:5" x14ac:dyDescent="0.25">
      <c r="A3102" s="3">
        <f t="shared" si="145"/>
        <v>78989</v>
      </c>
      <c r="B3102" t="str">
        <f ca="1">TEXT(DATE(YEAR(Invoer!$A$5),1,1)+INT((ROWS(B$2:B3102)-1)/24),"""18""jjmmdd")</f>
        <v>18980510</v>
      </c>
      <c r="C3102" s="11" t="str">
        <f>INDEX(Data,2,2+MOD(ROWS(C$2:C3102)-1,24))</f>
        <v>05.00</v>
      </c>
      <c r="D3102" s="8" t="str">
        <f t="shared" ca="1" si="146"/>
        <v>—</v>
      </c>
      <c r="E3102" s="16">
        <f t="shared" ca="1" si="147"/>
        <v>7</v>
      </c>
    </row>
    <row r="3103" spans="1:5" x14ac:dyDescent="0.25">
      <c r="A3103" s="3">
        <f t="shared" si="145"/>
        <v>78989</v>
      </c>
      <c r="B3103" t="str">
        <f ca="1">TEXT(DATE(YEAR(Invoer!$A$5),1,1)+INT((ROWS(B$2:B3103)-1)/24),"""18""jjmmdd")</f>
        <v>18980510</v>
      </c>
      <c r="C3103" s="11" t="str">
        <f>INDEX(Data,2,2+MOD(ROWS(C$2:C3103)-1,24))</f>
        <v>06.00</v>
      </c>
      <c r="D3103" s="8" t="str">
        <f t="shared" ca="1" si="146"/>
        <v>—</v>
      </c>
      <c r="E3103" s="16">
        <f t="shared" ca="1" si="147"/>
        <v>7</v>
      </c>
    </row>
    <row r="3104" spans="1:5" x14ac:dyDescent="0.25">
      <c r="A3104" s="3">
        <f t="shared" si="145"/>
        <v>78989</v>
      </c>
      <c r="B3104" t="str">
        <f ca="1">TEXT(DATE(YEAR(Invoer!$A$5),1,1)+INT((ROWS(B$2:B3104)-1)/24),"""18""jjmmdd")</f>
        <v>18980510</v>
      </c>
      <c r="C3104" s="11" t="str">
        <f>INDEX(Data,2,2+MOD(ROWS(C$2:C3104)-1,24))</f>
        <v>07.00</v>
      </c>
      <c r="D3104" s="8" t="str">
        <f t="shared" ca="1" si="146"/>
        <v>—</v>
      </c>
      <c r="E3104" s="16">
        <f t="shared" ca="1" si="147"/>
        <v>7</v>
      </c>
    </row>
    <row r="3105" spans="1:5" x14ac:dyDescent="0.25">
      <c r="A3105" s="3">
        <f t="shared" si="145"/>
        <v>78989</v>
      </c>
      <c r="B3105" t="str">
        <f ca="1">TEXT(DATE(YEAR(Invoer!$A$5),1,1)+INT((ROWS(B$2:B3105)-1)/24),"""18""jjmmdd")</f>
        <v>18980510</v>
      </c>
      <c r="C3105" s="11" t="str">
        <f>INDEX(Data,2,2+MOD(ROWS(C$2:C3105)-1,24))</f>
        <v>08.00</v>
      </c>
      <c r="D3105" s="8" t="str">
        <f t="shared" ca="1" si="146"/>
        <v>—</v>
      </c>
      <c r="E3105" s="16">
        <f t="shared" ca="1" si="147"/>
        <v>7</v>
      </c>
    </row>
    <row r="3106" spans="1:5" x14ac:dyDescent="0.25">
      <c r="A3106" s="3">
        <f t="shared" si="145"/>
        <v>78989</v>
      </c>
      <c r="B3106" t="str">
        <f ca="1">TEXT(DATE(YEAR(Invoer!$A$5),1,1)+INT((ROWS(B$2:B3106)-1)/24),"""18""jjmmdd")</f>
        <v>18980510</v>
      </c>
      <c r="C3106" s="11" t="str">
        <f>INDEX(Data,2,2+MOD(ROWS(C$2:C3106)-1,24))</f>
        <v>09.00</v>
      </c>
      <c r="D3106" s="8" t="str">
        <f t="shared" ca="1" si="146"/>
        <v>—</v>
      </c>
      <c r="E3106" s="16">
        <f t="shared" ca="1" si="147"/>
        <v>7</v>
      </c>
    </row>
    <row r="3107" spans="1:5" x14ac:dyDescent="0.25">
      <c r="A3107" s="3">
        <f t="shared" si="145"/>
        <v>78989</v>
      </c>
      <c r="B3107" t="str">
        <f ca="1">TEXT(DATE(YEAR(Invoer!$A$5),1,1)+INT((ROWS(B$2:B3107)-1)/24),"""18""jjmmdd")</f>
        <v>18980510</v>
      </c>
      <c r="C3107" s="11" t="str">
        <f>INDEX(Data,2,2+MOD(ROWS(C$2:C3107)-1,24))</f>
        <v>10.00</v>
      </c>
      <c r="D3107" s="8" t="str">
        <f t="shared" ca="1" si="146"/>
        <v>—</v>
      </c>
      <c r="E3107" s="16">
        <f t="shared" ca="1" si="147"/>
        <v>7</v>
      </c>
    </row>
    <row r="3108" spans="1:5" x14ac:dyDescent="0.25">
      <c r="A3108" s="3">
        <f t="shared" si="145"/>
        <v>78989</v>
      </c>
      <c r="B3108" t="str">
        <f ca="1">TEXT(DATE(YEAR(Invoer!$A$5),1,1)+INT((ROWS(B$2:B3108)-1)/24),"""18""jjmmdd")</f>
        <v>18980510</v>
      </c>
      <c r="C3108" s="11" t="str">
        <f>INDEX(Data,2,2+MOD(ROWS(C$2:C3108)-1,24))</f>
        <v>11.00</v>
      </c>
      <c r="D3108" s="8" t="str">
        <f t="shared" ca="1" si="146"/>
        <v>—</v>
      </c>
      <c r="E3108" s="16">
        <f t="shared" ca="1" si="147"/>
        <v>7</v>
      </c>
    </row>
    <row r="3109" spans="1:5" x14ac:dyDescent="0.25">
      <c r="A3109" s="3">
        <f t="shared" si="145"/>
        <v>78989</v>
      </c>
      <c r="B3109" t="str">
        <f ca="1">TEXT(DATE(YEAR(Invoer!$A$5),1,1)+INT((ROWS(B$2:B3109)-1)/24),"""18""jjmmdd")</f>
        <v>18980510</v>
      </c>
      <c r="C3109" s="11" t="str">
        <f>INDEX(Data,2,2+MOD(ROWS(C$2:C3109)-1,24))</f>
        <v>12.00</v>
      </c>
      <c r="D3109" s="8" t="str">
        <f t="shared" ca="1" si="146"/>
        <v>—</v>
      </c>
      <c r="E3109" s="16">
        <f t="shared" ca="1" si="147"/>
        <v>7</v>
      </c>
    </row>
    <row r="3110" spans="1:5" x14ac:dyDescent="0.25">
      <c r="A3110" s="3">
        <f t="shared" si="145"/>
        <v>78989</v>
      </c>
      <c r="B3110" t="str">
        <f ca="1">TEXT(DATE(YEAR(Invoer!$A$5),1,1)+INT((ROWS(B$2:B3110)-1)/24),"""18""jjmmdd")</f>
        <v>18980510</v>
      </c>
      <c r="C3110" s="11" t="str">
        <f>INDEX(Data,2,2+MOD(ROWS(C$2:C3110)-1,24))</f>
        <v>13.00</v>
      </c>
      <c r="D3110" s="8" t="str">
        <f t="shared" ca="1" si="146"/>
        <v>—</v>
      </c>
      <c r="E3110" s="16">
        <f t="shared" ca="1" si="147"/>
        <v>7</v>
      </c>
    </row>
    <row r="3111" spans="1:5" x14ac:dyDescent="0.25">
      <c r="A3111" s="3">
        <f t="shared" si="145"/>
        <v>78989</v>
      </c>
      <c r="B3111" t="str">
        <f ca="1">TEXT(DATE(YEAR(Invoer!$A$5),1,1)+INT((ROWS(B$2:B3111)-1)/24),"""18""jjmmdd")</f>
        <v>18980510</v>
      </c>
      <c r="C3111" s="11" t="str">
        <f>INDEX(Data,2,2+MOD(ROWS(C$2:C3111)-1,24))</f>
        <v>14.00</v>
      </c>
      <c r="D3111" s="8" t="str">
        <f t="shared" ca="1" si="146"/>
        <v>—</v>
      </c>
      <c r="E3111" s="16">
        <f t="shared" ca="1" si="147"/>
        <v>7</v>
      </c>
    </row>
    <row r="3112" spans="1:5" x14ac:dyDescent="0.25">
      <c r="A3112" s="3">
        <f t="shared" si="145"/>
        <v>78989</v>
      </c>
      <c r="B3112" t="str">
        <f ca="1">TEXT(DATE(YEAR(Invoer!$A$5),1,1)+INT((ROWS(B$2:B3112)-1)/24),"""18""jjmmdd")</f>
        <v>18980510</v>
      </c>
      <c r="C3112" s="11" t="str">
        <f>INDEX(Data,2,2+MOD(ROWS(C$2:C3112)-1,24))</f>
        <v>15.00</v>
      </c>
      <c r="D3112" s="8" t="str">
        <f t="shared" ca="1" si="146"/>
        <v>—</v>
      </c>
      <c r="E3112" s="16">
        <f t="shared" ca="1" si="147"/>
        <v>7</v>
      </c>
    </row>
    <row r="3113" spans="1:5" x14ac:dyDescent="0.25">
      <c r="A3113" s="3">
        <f t="shared" si="145"/>
        <v>78989</v>
      </c>
      <c r="B3113" t="str">
        <f ca="1">TEXT(DATE(YEAR(Invoer!$A$5),1,1)+INT((ROWS(B$2:B3113)-1)/24),"""18""jjmmdd")</f>
        <v>18980510</v>
      </c>
      <c r="C3113" s="11" t="str">
        <f>INDEX(Data,2,2+MOD(ROWS(C$2:C3113)-1,24))</f>
        <v>16.00</v>
      </c>
      <c r="D3113" s="8" t="str">
        <f t="shared" ca="1" si="146"/>
        <v>—</v>
      </c>
      <c r="E3113" s="16">
        <f t="shared" ca="1" si="147"/>
        <v>7</v>
      </c>
    </row>
    <row r="3114" spans="1:5" x14ac:dyDescent="0.25">
      <c r="A3114" s="3">
        <f t="shared" si="145"/>
        <v>78989</v>
      </c>
      <c r="B3114" t="str">
        <f ca="1">TEXT(DATE(YEAR(Invoer!$A$5),1,1)+INT((ROWS(B$2:B3114)-1)/24),"""18""jjmmdd")</f>
        <v>18980510</v>
      </c>
      <c r="C3114" s="11" t="str">
        <f>INDEX(Data,2,2+MOD(ROWS(C$2:C3114)-1,24))</f>
        <v>17.00</v>
      </c>
      <c r="D3114" s="8" t="str">
        <f t="shared" ca="1" si="146"/>
        <v>—</v>
      </c>
      <c r="E3114" s="16">
        <f t="shared" ca="1" si="147"/>
        <v>7</v>
      </c>
    </row>
    <row r="3115" spans="1:5" x14ac:dyDescent="0.25">
      <c r="A3115" s="3">
        <f t="shared" si="145"/>
        <v>78989</v>
      </c>
      <c r="B3115" t="str">
        <f ca="1">TEXT(DATE(YEAR(Invoer!$A$5),1,1)+INT((ROWS(B$2:B3115)-1)/24),"""18""jjmmdd")</f>
        <v>18980510</v>
      </c>
      <c r="C3115" s="11" t="str">
        <f>INDEX(Data,2,2+MOD(ROWS(C$2:C3115)-1,24))</f>
        <v>18.00</v>
      </c>
      <c r="D3115" s="8" t="str">
        <f t="shared" ca="1" si="146"/>
        <v>—</v>
      </c>
      <c r="E3115" s="16">
        <f t="shared" ca="1" si="147"/>
        <v>7</v>
      </c>
    </row>
    <row r="3116" spans="1:5" x14ac:dyDescent="0.25">
      <c r="A3116" s="3">
        <f t="shared" si="145"/>
        <v>78989</v>
      </c>
      <c r="B3116" t="str">
        <f ca="1">TEXT(DATE(YEAR(Invoer!$A$5),1,1)+INT((ROWS(B$2:B3116)-1)/24),"""18""jjmmdd")</f>
        <v>18980510</v>
      </c>
      <c r="C3116" s="11" t="str">
        <f>INDEX(Data,2,2+MOD(ROWS(C$2:C3116)-1,24))</f>
        <v>19.00</v>
      </c>
      <c r="D3116" s="8" t="str">
        <f t="shared" ca="1" si="146"/>
        <v>—</v>
      </c>
      <c r="E3116" s="16">
        <f t="shared" ca="1" si="147"/>
        <v>7</v>
      </c>
    </row>
    <row r="3117" spans="1:5" x14ac:dyDescent="0.25">
      <c r="A3117" s="3">
        <f t="shared" si="145"/>
        <v>78989</v>
      </c>
      <c r="B3117" t="str">
        <f ca="1">TEXT(DATE(YEAR(Invoer!$A$5),1,1)+INT((ROWS(B$2:B3117)-1)/24),"""18""jjmmdd")</f>
        <v>18980510</v>
      </c>
      <c r="C3117" s="11" t="str">
        <f>INDEX(Data,2,2+MOD(ROWS(C$2:C3117)-1,24))</f>
        <v>20.00</v>
      </c>
      <c r="D3117" s="8" t="str">
        <f t="shared" ca="1" si="146"/>
        <v>—</v>
      </c>
      <c r="E3117" s="16">
        <f t="shared" ca="1" si="147"/>
        <v>7</v>
      </c>
    </row>
    <row r="3118" spans="1:5" x14ac:dyDescent="0.25">
      <c r="A3118" s="3">
        <f t="shared" si="145"/>
        <v>78989</v>
      </c>
      <c r="B3118" t="str">
        <f ca="1">TEXT(DATE(YEAR(Invoer!$A$5),1,1)+INT((ROWS(B$2:B3118)-1)/24),"""18""jjmmdd")</f>
        <v>18980510</v>
      </c>
      <c r="C3118" s="11" t="str">
        <f>INDEX(Data,2,2+MOD(ROWS(C$2:C3118)-1,24))</f>
        <v>21.00</v>
      </c>
      <c r="D3118" s="8" t="str">
        <f t="shared" ca="1" si="146"/>
        <v>—</v>
      </c>
      <c r="E3118" s="16">
        <f t="shared" ca="1" si="147"/>
        <v>7</v>
      </c>
    </row>
    <row r="3119" spans="1:5" x14ac:dyDescent="0.25">
      <c r="A3119" s="3">
        <f t="shared" si="145"/>
        <v>78989</v>
      </c>
      <c r="B3119" t="str">
        <f ca="1">TEXT(DATE(YEAR(Invoer!$A$5),1,1)+INT((ROWS(B$2:B3119)-1)/24),"""18""jjmmdd")</f>
        <v>18980510</v>
      </c>
      <c r="C3119" s="11" t="str">
        <f>INDEX(Data,2,2+MOD(ROWS(C$2:C3119)-1,24))</f>
        <v>22.00</v>
      </c>
      <c r="D3119" s="8" t="str">
        <f t="shared" ca="1" si="146"/>
        <v>—</v>
      </c>
      <c r="E3119" s="16">
        <f t="shared" ca="1" si="147"/>
        <v>7</v>
      </c>
    </row>
    <row r="3120" spans="1:5" x14ac:dyDescent="0.25">
      <c r="A3120" s="3">
        <f t="shared" si="145"/>
        <v>78989</v>
      </c>
      <c r="B3120" t="str">
        <f ca="1">TEXT(DATE(YEAR(Invoer!$A$5),1,1)+INT((ROWS(B$2:B3120)-1)/24),"""18""jjmmdd")</f>
        <v>18980510</v>
      </c>
      <c r="C3120" s="11" t="str">
        <f>INDEX(Data,2,2+MOD(ROWS(C$2:C3120)-1,24))</f>
        <v>23.00</v>
      </c>
      <c r="D3120" s="8" t="str">
        <f t="shared" ca="1" si="146"/>
        <v>—</v>
      </c>
      <c r="E3120" s="16">
        <f t="shared" ca="1" si="147"/>
        <v>7</v>
      </c>
    </row>
    <row r="3121" spans="1:5" x14ac:dyDescent="0.25">
      <c r="A3121" s="3">
        <f t="shared" si="145"/>
        <v>78989</v>
      </c>
      <c r="B3121" t="str">
        <f ca="1">TEXT(DATE(YEAR(Invoer!$A$5),1,1)+INT((ROWS(B$2:B3121)-1)/24),"""18""jjmmdd")</f>
        <v>18980510</v>
      </c>
      <c r="C3121" s="11" t="str">
        <f>INDEX(Data,2,2+MOD(ROWS(C$2:C3121)-1,24))</f>
        <v>24.00</v>
      </c>
      <c r="D3121" s="8" t="str">
        <f t="shared" ca="1" si="146"/>
        <v>—</v>
      </c>
      <c r="E3121" s="16">
        <f t="shared" ca="1" si="147"/>
        <v>7</v>
      </c>
    </row>
    <row r="3122" spans="1:5" x14ac:dyDescent="0.25">
      <c r="A3122" s="3">
        <f t="shared" si="145"/>
        <v>78989</v>
      </c>
      <c r="B3122" t="str">
        <f ca="1">TEXT(DATE(YEAR(Invoer!$A$5),1,1)+INT((ROWS(B$2:B3122)-1)/24),"""18""jjmmdd")</f>
        <v>18980511</v>
      </c>
      <c r="C3122" s="11" t="str">
        <f>INDEX(Data,2,2+MOD(ROWS(C$2:C3122)-1,24))</f>
        <v>01.00</v>
      </c>
      <c r="D3122" s="8" t="str">
        <f t="shared" ca="1" si="146"/>
        <v>—</v>
      </c>
      <c r="E3122" s="16">
        <f t="shared" ca="1" si="147"/>
        <v>7</v>
      </c>
    </row>
    <row r="3123" spans="1:5" x14ac:dyDescent="0.25">
      <c r="A3123" s="3">
        <f t="shared" si="145"/>
        <v>78989</v>
      </c>
      <c r="B3123" t="str">
        <f ca="1">TEXT(DATE(YEAR(Invoer!$A$5),1,1)+INT((ROWS(B$2:B3123)-1)/24),"""18""jjmmdd")</f>
        <v>18980511</v>
      </c>
      <c r="C3123" s="11" t="str">
        <f>INDEX(Data,2,2+MOD(ROWS(C$2:C3123)-1,24))</f>
        <v>02.00</v>
      </c>
      <c r="D3123" s="8" t="str">
        <f t="shared" ca="1" si="146"/>
        <v>—</v>
      </c>
      <c r="E3123" s="16">
        <f t="shared" ca="1" si="147"/>
        <v>7</v>
      </c>
    </row>
    <row r="3124" spans="1:5" x14ac:dyDescent="0.25">
      <c r="A3124" s="3">
        <f t="shared" si="145"/>
        <v>78989</v>
      </c>
      <c r="B3124" t="str">
        <f ca="1">TEXT(DATE(YEAR(Invoer!$A$5),1,1)+INT((ROWS(B$2:B3124)-1)/24),"""18""jjmmdd")</f>
        <v>18980511</v>
      </c>
      <c r="C3124" s="11" t="str">
        <f>INDEX(Data,2,2+MOD(ROWS(C$2:C3124)-1,24))</f>
        <v>03.00</v>
      </c>
      <c r="D3124" s="8" t="str">
        <f t="shared" ca="1" si="146"/>
        <v>—</v>
      </c>
      <c r="E3124" s="16">
        <f t="shared" ca="1" si="147"/>
        <v>7</v>
      </c>
    </row>
    <row r="3125" spans="1:5" x14ac:dyDescent="0.25">
      <c r="A3125" s="3">
        <f t="shared" si="145"/>
        <v>78989</v>
      </c>
      <c r="B3125" t="str">
        <f ca="1">TEXT(DATE(YEAR(Invoer!$A$5),1,1)+INT((ROWS(B$2:B3125)-1)/24),"""18""jjmmdd")</f>
        <v>18980511</v>
      </c>
      <c r="C3125" s="11" t="str">
        <f>INDEX(Data,2,2+MOD(ROWS(C$2:C3125)-1,24))</f>
        <v>04.00</v>
      </c>
      <c r="D3125" s="8" t="str">
        <f t="shared" ca="1" si="146"/>
        <v>—</v>
      </c>
      <c r="E3125" s="16">
        <f t="shared" ca="1" si="147"/>
        <v>7</v>
      </c>
    </row>
    <row r="3126" spans="1:5" x14ac:dyDescent="0.25">
      <c r="A3126" s="3">
        <f t="shared" si="145"/>
        <v>78989</v>
      </c>
      <c r="B3126" t="str">
        <f ca="1">TEXT(DATE(YEAR(Invoer!$A$5),1,1)+INT((ROWS(B$2:B3126)-1)/24),"""18""jjmmdd")</f>
        <v>18980511</v>
      </c>
      <c r="C3126" s="11" t="str">
        <f>INDEX(Data,2,2+MOD(ROWS(C$2:C3126)-1,24))</f>
        <v>05.00</v>
      </c>
      <c r="D3126" s="8" t="str">
        <f t="shared" ca="1" si="146"/>
        <v>—</v>
      </c>
      <c r="E3126" s="16">
        <f t="shared" ca="1" si="147"/>
        <v>7</v>
      </c>
    </row>
    <row r="3127" spans="1:5" x14ac:dyDescent="0.25">
      <c r="A3127" s="3">
        <f t="shared" si="145"/>
        <v>78989</v>
      </c>
      <c r="B3127" t="str">
        <f ca="1">TEXT(DATE(YEAR(Invoer!$A$5),1,1)+INT((ROWS(B$2:B3127)-1)/24),"""18""jjmmdd")</f>
        <v>18980511</v>
      </c>
      <c r="C3127" s="11" t="str">
        <f>INDEX(Data,2,2+MOD(ROWS(C$2:C3127)-1,24))</f>
        <v>06.00</v>
      </c>
      <c r="D3127" s="8" t="str">
        <f t="shared" ca="1" si="146"/>
        <v>—</v>
      </c>
      <c r="E3127" s="16">
        <f t="shared" ca="1" si="147"/>
        <v>7</v>
      </c>
    </row>
    <row r="3128" spans="1:5" x14ac:dyDescent="0.25">
      <c r="A3128" s="3">
        <f t="shared" si="145"/>
        <v>78989</v>
      </c>
      <c r="B3128" t="str">
        <f ca="1">TEXT(DATE(YEAR(Invoer!$A$5),1,1)+INT((ROWS(B$2:B3128)-1)/24),"""18""jjmmdd")</f>
        <v>18980511</v>
      </c>
      <c r="C3128" s="11" t="str">
        <f>INDEX(Data,2,2+MOD(ROWS(C$2:C3128)-1,24))</f>
        <v>07.00</v>
      </c>
      <c r="D3128" s="8" t="str">
        <f t="shared" ca="1" si="146"/>
        <v>—</v>
      </c>
      <c r="E3128" s="16">
        <f t="shared" ca="1" si="147"/>
        <v>7</v>
      </c>
    </row>
    <row r="3129" spans="1:5" x14ac:dyDescent="0.25">
      <c r="A3129" s="3">
        <f t="shared" si="145"/>
        <v>78989</v>
      </c>
      <c r="B3129" t="str">
        <f ca="1">TEXT(DATE(YEAR(Invoer!$A$5),1,1)+INT((ROWS(B$2:B3129)-1)/24),"""18""jjmmdd")</f>
        <v>18980511</v>
      </c>
      <c r="C3129" s="11" t="str">
        <f>INDEX(Data,2,2+MOD(ROWS(C$2:C3129)-1,24))</f>
        <v>08.00</v>
      </c>
      <c r="D3129" s="8" t="str">
        <f t="shared" ca="1" si="146"/>
        <v>—</v>
      </c>
      <c r="E3129" s="16">
        <f t="shared" ca="1" si="147"/>
        <v>7</v>
      </c>
    </row>
    <row r="3130" spans="1:5" x14ac:dyDescent="0.25">
      <c r="A3130" s="3">
        <f t="shared" si="145"/>
        <v>78989</v>
      </c>
      <c r="B3130" t="str">
        <f ca="1">TEXT(DATE(YEAR(Invoer!$A$5),1,1)+INT((ROWS(B$2:B3130)-1)/24),"""18""jjmmdd")</f>
        <v>18980511</v>
      </c>
      <c r="C3130" s="11" t="str">
        <f>INDEX(Data,2,2+MOD(ROWS(C$2:C3130)-1,24))</f>
        <v>09.00</v>
      </c>
      <c r="D3130" s="8" t="str">
        <f t="shared" ca="1" si="146"/>
        <v>—</v>
      </c>
      <c r="E3130" s="16">
        <f t="shared" ca="1" si="147"/>
        <v>7</v>
      </c>
    </row>
    <row r="3131" spans="1:5" x14ac:dyDescent="0.25">
      <c r="A3131" s="3">
        <f t="shared" si="145"/>
        <v>78989</v>
      </c>
      <c r="B3131" t="str">
        <f ca="1">TEXT(DATE(YEAR(Invoer!$A$5),1,1)+INT((ROWS(B$2:B3131)-1)/24),"""18""jjmmdd")</f>
        <v>18980511</v>
      </c>
      <c r="C3131" s="11" t="str">
        <f>INDEX(Data,2,2+MOD(ROWS(C$2:C3131)-1,24))</f>
        <v>10.00</v>
      </c>
      <c r="D3131" s="8" t="str">
        <f t="shared" ca="1" si="146"/>
        <v>—</v>
      </c>
      <c r="E3131" s="16">
        <f t="shared" ca="1" si="147"/>
        <v>7</v>
      </c>
    </row>
    <row r="3132" spans="1:5" x14ac:dyDescent="0.25">
      <c r="A3132" s="3">
        <f t="shared" si="145"/>
        <v>78989</v>
      </c>
      <c r="B3132" t="str">
        <f ca="1">TEXT(DATE(YEAR(Invoer!$A$5),1,1)+INT((ROWS(B$2:B3132)-1)/24),"""18""jjmmdd")</f>
        <v>18980511</v>
      </c>
      <c r="C3132" s="11" t="str">
        <f>INDEX(Data,2,2+MOD(ROWS(C$2:C3132)-1,24))</f>
        <v>11.00</v>
      </c>
      <c r="D3132" s="8" t="str">
        <f t="shared" ca="1" si="146"/>
        <v>—</v>
      </c>
      <c r="E3132" s="16">
        <f t="shared" ca="1" si="147"/>
        <v>7</v>
      </c>
    </row>
    <row r="3133" spans="1:5" x14ac:dyDescent="0.25">
      <c r="A3133" s="3">
        <f t="shared" si="145"/>
        <v>78989</v>
      </c>
      <c r="B3133" t="str">
        <f ca="1">TEXT(DATE(YEAR(Invoer!$A$5),1,1)+INT((ROWS(B$2:B3133)-1)/24),"""18""jjmmdd")</f>
        <v>18980511</v>
      </c>
      <c r="C3133" s="11" t="str">
        <f>INDEX(Data,2,2+MOD(ROWS(C$2:C3133)-1,24))</f>
        <v>12.00</v>
      </c>
      <c r="D3133" s="8" t="str">
        <f t="shared" ca="1" si="146"/>
        <v>—</v>
      </c>
      <c r="E3133" s="16">
        <f t="shared" ca="1" si="147"/>
        <v>7</v>
      </c>
    </row>
    <row r="3134" spans="1:5" x14ac:dyDescent="0.25">
      <c r="A3134" s="3">
        <f t="shared" si="145"/>
        <v>78989</v>
      </c>
      <c r="B3134" t="str">
        <f ca="1">TEXT(DATE(YEAR(Invoer!$A$5),1,1)+INT((ROWS(B$2:B3134)-1)/24),"""18""jjmmdd")</f>
        <v>18980511</v>
      </c>
      <c r="C3134" s="11" t="str">
        <f>INDEX(Data,2,2+MOD(ROWS(C$2:C3134)-1,24))</f>
        <v>13.00</v>
      </c>
      <c r="D3134" s="8" t="str">
        <f t="shared" ca="1" si="146"/>
        <v>—</v>
      </c>
      <c r="E3134" s="16">
        <f t="shared" ca="1" si="147"/>
        <v>7</v>
      </c>
    </row>
    <row r="3135" spans="1:5" x14ac:dyDescent="0.25">
      <c r="A3135" s="3">
        <f t="shared" si="145"/>
        <v>78989</v>
      </c>
      <c r="B3135" t="str">
        <f ca="1">TEXT(DATE(YEAR(Invoer!$A$5),1,1)+INT((ROWS(B$2:B3135)-1)/24),"""18""jjmmdd")</f>
        <v>18980511</v>
      </c>
      <c r="C3135" s="11" t="str">
        <f>INDEX(Data,2,2+MOD(ROWS(C$2:C3135)-1,24))</f>
        <v>14.00</v>
      </c>
      <c r="D3135" s="8" t="str">
        <f t="shared" ca="1" si="146"/>
        <v>—</v>
      </c>
      <c r="E3135" s="16">
        <f t="shared" ca="1" si="147"/>
        <v>7</v>
      </c>
    </row>
    <row r="3136" spans="1:5" x14ac:dyDescent="0.25">
      <c r="A3136" s="3">
        <f t="shared" si="145"/>
        <v>78989</v>
      </c>
      <c r="B3136" t="str">
        <f ca="1">TEXT(DATE(YEAR(Invoer!$A$5),1,1)+INT((ROWS(B$2:B3136)-1)/24),"""18""jjmmdd")</f>
        <v>18980511</v>
      </c>
      <c r="C3136" s="11" t="str">
        <f>INDEX(Data,2,2+MOD(ROWS(C$2:C3136)-1,24))</f>
        <v>15.00</v>
      </c>
      <c r="D3136" s="8" t="str">
        <f t="shared" ca="1" si="146"/>
        <v>—</v>
      </c>
      <c r="E3136" s="16">
        <f t="shared" ca="1" si="147"/>
        <v>7</v>
      </c>
    </row>
    <row r="3137" spans="1:5" x14ac:dyDescent="0.25">
      <c r="A3137" s="3">
        <f t="shared" si="145"/>
        <v>78989</v>
      </c>
      <c r="B3137" t="str">
        <f ca="1">TEXT(DATE(YEAR(Invoer!$A$5),1,1)+INT((ROWS(B$2:B3137)-1)/24),"""18""jjmmdd")</f>
        <v>18980511</v>
      </c>
      <c r="C3137" s="11" t="str">
        <f>INDEX(Data,2,2+MOD(ROWS(C$2:C3137)-1,24))</f>
        <v>16.00</v>
      </c>
      <c r="D3137" s="8" t="str">
        <f t="shared" ca="1" si="146"/>
        <v>—</v>
      </c>
      <c r="E3137" s="16">
        <f t="shared" ca="1" si="147"/>
        <v>7</v>
      </c>
    </row>
    <row r="3138" spans="1:5" x14ac:dyDescent="0.25">
      <c r="A3138" s="3">
        <f t="shared" ref="A3138:A3201" si="148">INDEX(Stations,2,1)</f>
        <v>78989</v>
      </c>
      <c r="B3138" t="str">
        <f ca="1">TEXT(DATE(YEAR(Invoer!$A$5),1,1)+INT((ROWS(B$2:B3138)-1)/24),"""18""jjmmdd")</f>
        <v>18980511</v>
      </c>
      <c r="C3138" s="11" t="str">
        <f>INDEX(Data,2,2+MOD(ROWS(C$2:C3138)-1,24))</f>
        <v>17.00</v>
      </c>
      <c r="D3138" s="8" t="str">
        <f t="shared" ref="D3138:D3201" ca="1" si="149">IF(OR(ISBLANK(VLOOKUP(DATEVALUE("37"&amp;MID($B3138,3,2)&amp;"-"&amp;MID($B3138,5,2)&amp;"-"&amp;RIGHT($B3138,2)),Data,MATCH(LEFT(VLOOKUP(D$1,Parameters,2,FALSE()),4)&amp;"*",OFFSET(Data,0,0,1),0)+MATCH($C3138,OFFSET(Data,1,0,1),0)-2,FALSE())),ISTEXT(VLOOKUP(DATEVALUE("37"&amp;MID($B3138,3,2)&amp;"-"&amp;MID($B3138,5,2)&amp;"-"&amp;RIGHT($B3138,2)),Data,MATCH(LEFT(VLOOKUP(D$1,Parameters,2,FALSE()),4)&amp;"*",OFFSET(Data,0,0,1),0)+MATCH($C3138,OFFSET(Data,1,0,1),0)-2,FALSE()))),"—",VLOOKUP(DATEVALUE("37"&amp;MID($B3138,3,2)&amp;"-"&amp;MID($B3138,5,2)&amp;"-"&amp;RIGHT($B3138,2)),Data,MATCH(LEFT(VLOOKUP(D$1,Parameters,2,FALSE()),4)&amp;"*",OFFSET(Data,0,0,1),0)+MATCH($C3138,OFFSET(Data,1,0,1),0)-2,FALSE()))</f>
        <v>—</v>
      </c>
      <c r="E3138" s="16">
        <f t="shared" ca="1" si="147"/>
        <v>7</v>
      </c>
    </row>
    <row r="3139" spans="1:5" x14ac:dyDescent="0.25">
      <c r="A3139" s="3">
        <f t="shared" si="148"/>
        <v>78989</v>
      </c>
      <c r="B3139" t="str">
        <f ca="1">TEXT(DATE(YEAR(Invoer!$A$5),1,1)+INT((ROWS(B$2:B3139)-1)/24),"""18""jjmmdd")</f>
        <v>18980511</v>
      </c>
      <c r="C3139" s="11" t="str">
        <f>INDEX(Data,2,2+MOD(ROWS(C$2:C3139)-1,24))</f>
        <v>18.00</v>
      </c>
      <c r="D3139" s="8" t="str">
        <f t="shared" ca="1" si="149"/>
        <v>—</v>
      </c>
      <c r="E3139" s="16">
        <f t="shared" ref="E3139:E3202" ca="1" si="150">IF(OR(ISBLANK(VLOOKUP(DATEVALUE("37"&amp;MID($B3139,3,2)&amp;"-"&amp;MID($B3139,5,2)&amp;"-"&amp;RIGHT($B3139,2)),Data,MATCH(LEFT(VLOOKUP(D$1,Parameters,2,FALSE()),4)&amp;"*",OFFSET(Data,0,0,1),0)+MATCH($C3139,OFFSET(Data,1,0,1),0)-2,FALSE())),ISTEXT(VLOOKUP(DATEVALUE("37"&amp;MID($B3139,3,2)&amp;"-"&amp;MID($B3139,5,2)&amp;"-"&amp;RIGHT($B3139,2)),Data,MATCH(LEFT(VLOOKUP(D$1,Parameters,2,FALSE()),4)&amp;"*",OFFSET(Data,0,0,1),0)+MATCH($C3139,OFFSET(Data,1,0,1),0)-2,FALSE()))),Lacking,IF(ISNA(MATCH(DATEVALUE("37"&amp;MID($B3139,3,2)&amp;"-"&amp;MID($B3139,5,2)&amp;"-"&amp;RIGHT($B3139,2)),OFFSET(Catalogus,0,0,,1),0)),Ok,VLOOKUP(DATEVALUE("37"&amp;MID($B3139,3,2)&amp;"-"&amp;MID($B3139,5,2)&amp;"-"&amp;RIGHT($B3139,2)),Catalogus,MATCH(LEFT(VLOOKUP(MID(E$1,2,LEN(E$1)-1),Parameters,2,FALSE()),4)&amp;"*",OFFSET(Catalogus,0,0,1),0)+MATCH($C3139,OFFSET(Catalogus,1,0,1),0)-2,FALSE())))</f>
        <v>7</v>
      </c>
    </row>
    <row r="3140" spans="1:5" x14ac:dyDescent="0.25">
      <c r="A3140" s="3">
        <f t="shared" si="148"/>
        <v>78989</v>
      </c>
      <c r="B3140" t="str">
        <f ca="1">TEXT(DATE(YEAR(Invoer!$A$5),1,1)+INT((ROWS(B$2:B3140)-1)/24),"""18""jjmmdd")</f>
        <v>18980511</v>
      </c>
      <c r="C3140" s="11" t="str">
        <f>INDEX(Data,2,2+MOD(ROWS(C$2:C3140)-1,24))</f>
        <v>19.00</v>
      </c>
      <c r="D3140" s="8" t="str">
        <f t="shared" ca="1" si="149"/>
        <v>—</v>
      </c>
      <c r="E3140" s="16">
        <f t="shared" ca="1" si="150"/>
        <v>7</v>
      </c>
    </row>
    <row r="3141" spans="1:5" x14ac:dyDescent="0.25">
      <c r="A3141" s="3">
        <f t="shared" si="148"/>
        <v>78989</v>
      </c>
      <c r="B3141" t="str">
        <f ca="1">TEXT(DATE(YEAR(Invoer!$A$5),1,1)+INT((ROWS(B$2:B3141)-1)/24),"""18""jjmmdd")</f>
        <v>18980511</v>
      </c>
      <c r="C3141" s="11" t="str">
        <f>INDEX(Data,2,2+MOD(ROWS(C$2:C3141)-1,24))</f>
        <v>20.00</v>
      </c>
      <c r="D3141" s="8" t="str">
        <f t="shared" ca="1" si="149"/>
        <v>—</v>
      </c>
      <c r="E3141" s="16">
        <f t="shared" ca="1" si="150"/>
        <v>7</v>
      </c>
    </row>
    <row r="3142" spans="1:5" x14ac:dyDescent="0.25">
      <c r="A3142" s="3">
        <f t="shared" si="148"/>
        <v>78989</v>
      </c>
      <c r="B3142" t="str">
        <f ca="1">TEXT(DATE(YEAR(Invoer!$A$5),1,1)+INT((ROWS(B$2:B3142)-1)/24),"""18""jjmmdd")</f>
        <v>18980511</v>
      </c>
      <c r="C3142" s="11" t="str">
        <f>INDEX(Data,2,2+MOD(ROWS(C$2:C3142)-1,24))</f>
        <v>21.00</v>
      </c>
      <c r="D3142" s="8" t="str">
        <f t="shared" ca="1" si="149"/>
        <v>—</v>
      </c>
      <c r="E3142" s="16">
        <f t="shared" ca="1" si="150"/>
        <v>7</v>
      </c>
    </row>
    <row r="3143" spans="1:5" x14ac:dyDescent="0.25">
      <c r="A3143" s="3">
        <f t="shared" si="148"/>
        <v>78989</v>
      </c>
      <c r="B3143" t="str">
        <f ca="1">TEXT(DATE(YEAR(Invoer!$A$5),1,1)+INT((ROWS(B$2:B3143)-1)/24),"""18""jjmmdd")</f>
        <v>18980511</v>
      </c>
      <c r="C3143" s="11" t="str">
        <f>INDEX(Data,2,2+MOD(ROWS(C$2:C3143)-1,24))</f>
        <v>22.00</v>
      </c>
      <c r="D3143" s="8" t="str">
        <f t="shared" ca="1" si="149"/>
        <v>—</v>
      </c>
      <c r="E3143" s="16">
        <f t="shared" ca="1" si="150"/>
        <v>7</v>
      </c>
    </row>
    <row r="3144" spans="1:5" x14ac:dyDescent="0.25">
      <c r="A3144" s="3">
        <f t="shared" si="148"/>
        <v>78989</v>
      </c>
      <c r="B3144" t="str">
        <f ca="1">TEXT(DATE(YEAR(Invoer!$A$5),1,1)+INT((ROWS(B$2:B3144)-1)/24),"""18""jjmmdd")</f>
        <v>18980511</v>
      </c>
      <c r="C3144" s="11" t="str">
        <f>INDEX(Data,2,2+MOD(ROWS(C$2:C3144)-1,24))</f>
        <v>23.00</v>
      </c>
      <c r="D3144" s="8" t="str">
        <f t="shared" ca="1" si="149"/>
        <v>—</v>
      </c>
      <c r="E3144" s="16">
        <f t="shared" ca="1" si="150"/>
        <v>7</v>
      </c>
    </row>
    <row r="3145" spans="1:5" x14ac:dyDescent="0.25">
      <c r="A3145" s="3">
        <f t="shared" si="148"/>
        <v>78989</v>
      </c>
      <c r="B3145" t="str">
        <f ca="1">TEXT(DATE(YEAR(Invoer!$A$5),1,1)+INT((ROWS(B$2:B3145)-1)/24),"""18""jjmmdd")</f>
        <v>18980511</v>
      </c>
      <c r="C3145" s="11" t="str">
        <f>INDEX(Data,2,2+MOD(ROWS(C$2:C3145)-1,24))</f>
        <v>24.00</v>
      </c>
      <c r="D3145" s="8" t="str">
        <f t="shared" ca="1" si="149"/>
        <v>—</v>
      </c>
      <c r="E3145" s="16">
        <f t="shared" ca="1" si="150"/>
        <v>7</v>
      </c>
    </row>
    <row r="3146" spans="1:5" x14ac:dyDescent="0.25">
      <c r="A3146" s="3">
        <f t="shared" si="148"/>
        <v>78989</v>
      </c>
      <c r="B3146" t="str">
        <f ca="1">TEXT(DATE(YEAR(Invoer!$A$5),1,1)+INT((ROWS(B$2:B3146)-1)/24),"""18""jjmmdd")</f>
        <v>18980512</v>
      </c>
      <c r="C3146" s="11" t="str">
        <f>INDEX(Data,2,2+MOD(ROWS(C$2:C3146)-1,24))</f>
        <v>01.00</v>
      </c>
      <c r="D3146" s="8" t="str">
        <f t="shared" ca="1" si="149"/>
        <v>—</v>
      </c>
      <c r="E3146" s="16">
        <f t="shared" ca="1" si="150"/>
        <v>7</v>
      </c>
    </row>
    <row r="3147" spans="1:5" x14ac:dyDescent="0.25">
      <c r="A3147" s="3">
        <f t="shared" si="148"/>
        <v>78989</v>
      </c>
      <c r="B3147" t="str">
        <f ca="1">TEXT(DATE(YEAR(Invoer!$A$5),1,1)+INT((ROWS(B$2:B3147)-1)/24),"""18""jjmmdd")</f>
        <v>18980512</v>
      </c>
      <c r="C3147" s="11" t="str">
        <f>INDEX(Data,2,2+MOD(ROWS(C$2:C3147)-1,24))</f>
        <v>02.00</v>
      </c>
      <c r="D3147" s="8" t="str">
        <f t="shared" ca="1" si="149"/>
        <v>—</v>
      </c>
      <c r="E3147" s="16">
        <f t="shared" ca="1" si="150"/>
        <v>7</v>
      </c>
    </row>
    <row r="3148" spans="1:5" x14ac:dyDescent="0.25">
      <c r="A3148" s="3">
        <f t="shared" si="148"/>
        <v>78989</v>
      </c>
      <c r="B3148" t="str">
        <f ca="1">TEXT(DATE(YEAR(Invoer!$A$5),1,1)+INT((ROWS(B$2:B3148)-1)/24),"""18""jjmmdd")</f>
        <v>18980512</v>
      </c>
      <c r="C3148" s="11" t="str">
        <f>INDEX(Data,2,2+MOD(ROWS(C$2:C3148)-1,24))</f>
        <v>03.00</v>
      </c>
      <c r="D3148" s="8" t="str">
        <f t="shared" ca="1" si="149"/>
        <v>—</v>
      </c>
      <c r="E3148" s="16">
        <f t="shared" ca="1" si="150"/>
        <v>7</v>
      </c>
    </row>
    <row r="3149" spans="1:5" x14ac:dyDescent="0.25">
      <c r="A3149" s="3">
        <f t="shared" si="148"/>
        <v>78989</v>
      </c>
      <c r="B3149" t="str">
        <f ca="1">TEXT(DATE(YEAR(Invoer!$A$5),1,1)+INT((ROWS(B$2:B3149)-1)/24),"""18""jjmmdd")</f>
        <v>18980512</v>
      </c>
      <c r="C3149" s="11" t="str">
        <f>INDEX(Data,2,2+MOD(ROWS(C$2:C3149)-1,24))</f>
        <v>04.00</v>
      </c>
      <c r="D3149" s="8" t="str">
        <f t="shared" ca="1" si="149"/>
        <v>—</v>
      </c>
      <c r="E3149" s="16">
        <f t="shared" ca="1" si="150"/>
        <v>7</v>
      </c>
    </row>
    <row r="3150" spans="1:5" x14ac:dyDescent="0.25">
      <c r="A3150" s="3">
        <f t="shared" si="148"/>
        <v>78989</v>
      </c>
      <c r="B3150" t="str">
        <f ca="1">TEXT(DATE(YEAR(Invoer!$A$5),1,1)+INT((ROWS(B$2:B3150)-1)/24),"""18""jjmmdd")</f>
        <v>18980512</v>
      </c>
      <c r="C3150" s="11" t="str">
        <f>INDEX(Data,2,2+MOD(ROWS(C$2:C3150)-1,24))</f>
        <v>05.00</v>
      </c>
      <c r="D3150" s="8" t="str">
        <f t="shared" ca="1" si="149"/>
        <v>—</v>
      </c>
      <c r="E3150" s="16">
        <f t="shared" ca="1" si="150"/>
        <v>7</v>
      </c>
    </row>
    <row r="3151" spans="1:5" x14ac:dyDescent="0.25">
      <c r="A3151" s="3">
        <f t="shared" si="148"/>
        <v>78989</v>
      </c>
      <c r="B3151" t="str">
        <f ca="1">TEXT(DATE(YEAR(Invoer!$A$5),1,1)+INT((ROWS(B$2:B3151)-1)/24),"""18""jjmmdd")</f>
        <v>18980512</v>
      </c>
      <c r="C3151" s="11" t="str">
        <f>INDEX(Data,2,2+MOD(ROWS(C$2:C3151)-1,24))</f>
        <v>06.00</v>
      </c>
      <c r="D3151" s="8" t="str">
        <f t="shared" ca="1" si="149"/>
        <v>—</v>
      </c>
      <c r="E3151" s="16">
        <f t="shared" ca="1" si="150"/>
        <v>7</v>
      </c>
    </row>
    <row r="3152" spans="1:5" x14ac:dyDescent="0.25">
      <c r="A3152" s="3">
        <f t="shared" si="148"/>
        <v>78989</v>
      </c>
      <c r="B3152" t="str">
        <f ca="1">TEXT(DATE(YEAR(Invoer!$A$5),1,1)+INT((ROWS(B$2:B3152)-1)/24),"""18""jjmmdd")</f>
        <v>18980512</v>
      </c>
      <c r="C3152" s="11" t="str">
        <f>INDEX(Data,2,2+MOD(ROWS(C$2:C3152)-1,24))</f>
        <v>07.00</v>
      </c>
      <c r="D3152" s="8" t="str">
        <f t="shared" ca="1" si="149"/>
        <v>—</v>
      </c>
      <c r="E3152" s="16">
        <f t="shared" ca="1" si="150"/>
        <v>7</v>
      </c>
    </row>
    <row r="3153" spans="1:5" x14ac:dyDescent="0.25">
      <c r="A3153" s="3">
        <f t="shared" si="148"/>
        <v>78989</v>
      </c>
      <c r="B3153" t="str">
        <f ca="1">TEXT(DATE(YEAR(Invoer!$A$5),1,1)+INT((ROWS(B$2:B3153)-1)/24),"""18""jjmmdd")</f>
        <v>18980512</v>
      </c>
      <c r="C3153" s="11" t="str">
        <f>INDEX(Data,2,2+MOD(ROWS(C$2:C3153)-1,24))</f>
        <v>08.00</v>
      </c>
      <c r="D3153" s="8" t="str">
        <f t="shared" ca="1" si="149"/>
        <v>—</v>
      </c>
      <c r="E3153" s="16">
        <f t="shared" ca="1" si="150"/>
        <v>7</v>
      </c>
    </row>
    <row r="3154" spans="1:5" x14ac:dyDescent="0.25">
      <c r="A3154" s="3">
        <f t="shared" si="148"/>
        <v>78989</v>
      </c>
      <c r="B3154" t="str">
        <f ca="1">TEXT(DATE(YEAR(Invoer!$A$5),1,1)+INT((ROWS(B$2:B3154)-1)/24),"""18""jjmmdd")</f>
        <v>18980512</v>
      </c>
      <c r="C3154" s="11" t="str">
        <f>INDEX(Data,2,2+MOD(ROWS(C$2:C3154)-1,24))</f>
        <v>09.00</v>
      </c>
      <c r="D3154" s="8" t="str">
        <f t="shared" ca="1" si="149"/>
        <v>—</v>
      </c>
      <c r="E3154" s="16">
        <f t="shared" ca="1" si="150"/>
        <v>7</v>
      </c>
    </row>
    <row r="3155" spans="1:5" x14ac:dyDescent="0.25">
      <c r="A3155" s="3">
        <f t="shared" si="148"/>
        <v>78989</v>
      </c>
      <c r="B3155" t="str">
        <f ca="1">TEXT(DATE(YEAR(Invoer!$A$5),1,1)+INT((ROWS(B$2:B3155)-1)/24),"""18""jjmmdd")</f>
        <v>18980512</v>
      </c>
      <c r="C3155" s="11" t="str">
        <f>INDEX(Data,2,2+MOD(ROWS(C$2:C3155)-1,24))</f>
        <v>10.00</v>
      </c>
      <c r="D3155" s="8" t="str">
        <f t="shared" ca="1" si="149"/>
        <v>—</v>
      </c>
      <c r="E3155" s="16">
        <f t="shared" ca="1" si="150"/>
        <v>7</v>
      </c>
    </row>
    <row r="3156" spans="1:5" x14ac:dyDescent="0.25">
      <c r="A3156" s="3">
        <f t="shared" si="148"/>
        <v>78989</v>
      </c>
      <c r="B3156" t="str">
        <f ca="1">TEXT(DATE(YEAR(Invoer!$A$5),1,1)+INT((ROWS(B$2:B3156)-1)/24),"""18""jjmmdd")</f>
        <v>18980512</v>
      </c>
      <c r="C3156" s="11" t="str">
        <f>INDEX(Data,2,2+MOD(ROWS(C$2:C3156)-1,24))</f>
        <v>11.00</v>
      </c>
      <c r="D3156" s="8" t="str">
        <f t="shared" ca="1" si="149"/>
        <v>—</v>
      </c>
      <c r="E3156" s="16">
        <f t="shared" ca="1" si="150"/>
        <v>7</v>
      </c>
    </row>
    <row r="3157" spans="1:5" x14ac:dyDescent="0.25">
      <c r="A3157" s="3">
        <f t="shared" si="148"/>
        <v>78989</v>
      </c>
      <c r="B3157" t="str">
        <f ca="1">TEXT(DATE(YEAR(Invoer!$A$5),1,1)+INT((ROWS(B$2:B3157)-1)/24),"""18""jjmmdd")</f>
        <v>18980512</v>
      </c>
      <c r="C3157" s="11" t="str">
        <f>INDEX(Data,2,2+MOD(ROWS(C$2:C3157)-1,24))</f>
        <v>12.00</v>
      </c>
      <c r="D3157" s="8" t="str">
        <f t="shared" ca="1" si="149"/>
        <v>—</v>
      </c>
      <c r="E3157" s="16">
        <f t="shared" ca="1" si="150"/>
        <v>7</v>
      </c>
    </row>
    <row r="3158" spans="1:5" x14ac:dyDescent="0.25">
      <c r="A3158" s="3">
        <f t="shared" si="148"/>
        <v>78989</v>
      </c>
      <c r="B3158" t="str">
        <f ca="1">TEXT(DATE(YEAR(Invoer!$A$5),1,1)+INT((ROWS(B$2:B3158)-1)/24),"""18""jjmmdd")</f>
        <v>18980512</v>
      </c>
      <c r="C3158" s="11" t="str">
        <f>INDEX(Data,2,2+MOD(ROWS(C$2:C3158)-1,24))</f>
        <v>13.00</v>
      </c>
      <c r="D3158" s="8" t="str">
        <f t="shared" ca="1" si="149"/>
        <v>—</v>
      </c>
      <c r="E3158" s="16">
        <f t="shared" ca="1" si="150"/>
        <v>7</v>
      </c>
    </row>
    <row r="3159" spans="1:5" x14ac:dyDescent="0.25">
      <c r="A3159" s="3">
        <f t="shared" si="148"/>
        <v>78989</v>
      </c>
      <c r="B3159" t="str">
        <f ca="1">TEXT(DATE(YEAR(Invoer!$A$5),1,1)+INT((ROWS(B$2:B3159)-1)/24),"""18""jjmmdd")</f>
        <v>18980512</v>
      </c>
      <c r="C3159" s="11" t="str">
        <f>INDEX(Data,2,2+MOD(ROWS(C$2:C3159)-1,24))</f>
        <v>14.00</v>
      </c>
      <c r="D3159" s="8" t="str">
        <f t="shared" ca="1" si="149"/>
        <v>—</v>
      </c>
      <c r="E3159" s="16">
        <f t="shared" ca="1" si="150"/>
        <v>7</v>
      </c>
    </row>
    <row r="3160" spans="1:5" x14ac:dyDescent="0.25">
      <c r="A3160" s="3">
        <f t="shared" si="148"/>
        <v>78989</v>
      </c>
      <c r="B3160" t="str">
        <f ca="1">TEXT(DATE(YEAR(Invoer!$A$5),1,1)+INT((ROWS(B$2:B3160)-1)/24),"""18""jjmmdd")</f>
        <v>18980512</v>
      </c>
      <c r="C3160" s="11" t="str">
        <f>INDEX(Data,2,2+MOD(ROWS(C$2:C3160)-1,24))</f>
        <v>15.00</v>
      </c>
      <c r="D3160" s="8" t="str">
        <f t="shared" ca="1" si="149"/>
        <v>—</v>
      </c>
      <c r="E3160" s="16">
        <f t="shared" ca="1" si="150"/>
        <v>7</v>
      </c>
    </row>
    <row r="3161" spans="1:5" x14ac:dyDescent="0.25">
      <c r="A3161" s="3">
        <f t="shared" si="148"/>
        <v>78989</v>
      </c>
      <c r="B3161" t="str">
        <f ca="1">TEXT(DATE(YEAR(Invoer!$A$5),1,1)+INT((ROWS(B$2:B3161)-1)/24),"""18""jjmmdd")</f>
        <v>18980512</v>
      </c>
      <c r="C3161" s="11" t="str">
        <f>INDEX(Data,2,2+MOD(ROWS(C$2:C3161)-1,24))</f>
        <v>16.00</v>
      </c>
      <c r="D3161" s="8" t="str">
        <f t="shared" ca="1" si="149"/>
        <v>—</v>
      </c>
      <c r="E3161" s="16">
        <f t="shared" ca="1" si="150"/>
        <v>7</v>
      </c>
    </row>
    <row r="3162" spans="1:5" x14ac:dyDescent="0.25">
      <c r="A3162" s="3">
        <f t="shared" si="148"/>
        <v>78989</v>
      </c>
      <c r="B3162" t="str">
        <f ca="1">TEXT(DATE(YEAR(Invoer!$A$5),1,1)+INT((ROWS(B$2:B3162)-1)/24),"""18""jjmmdd")</f>
        <v>18980512</v>
      </c>
      <c r="C3162" s="11" t="str">
        <f>INDEX(Data,2,2+MOD(ROWS(C$2:C3162)-1,24))</f>
        <v>17.00</v>
      </c>
      <c r="D3162" s="8" t="str">
        <f t="shared" ca="1" si="149"/>
        <v>—</v>
      </c>
      <c r="E3162" s="16">
        <f t="shared" ca="1" si="150"/>
        <v>7</v>
      </c>
    </row>
    <row r="3163" spans="1:5" x14ac:dyDescent="0.25">
      <c r="A3163" s="3">
        <f t="shared" si="148"/>
        <v>78989</v>
      </c>
      <c r="B3163" t="str">
        <f ca="1">TEXT(DATE(YEAR(Invoer!$A$5),1,1)+INT((ROWS(B$2:B3163)-1)/24),"""18""jjmmdd")</f>
        <v>18980512</v>
      </c>
      <c r="C3163" s="11" t="str">
        <f>INDEX(Data,2,2+MOD(ROWS(C$2:C3163)-1,24))</f>
        <v>18.00</v>
      </c>
      <c r="D3163" s="8" t="str">
        <f t="shared" ca="1" si="149"/>
        <v>—</v>
      </c>
      <c r="E3163" s="16">
        <f t="shared" ca="1" si="150"/>
        <v>7</v>
      </c>
    </row>
    <row r="3164" spans="1:5" x14ac:dyDescent="0.25">
      <c r="A3164" s="3">
        <f t="shared" si="148"/>
        <v>78989</v>
      </c>
      <c r="B3164" t="str">
        <f ca="1">TEXT(DATE(YEAR(Invoer!$A$5),1,1)+INT((ROWS(B$2:B3164)-1)/24),"""18""jjmmdd")</f>
        <v>18980512</v>
      </c>
      <c r="C3164" s="11" t="str">
        <f>INDEX(Data,2,2+MOD(ROWS(C$2:C3164)-1,24))</f>
        <v>19.00</v>
      </c>
      <c r="D3164" s="8" t="str">
        <f t="shared" ca="1" si="149"/>
        <v>—</v>
      </c>
      <c r="E3164" s="16">
        <f t="shared" ca="1" si="150"/>
        <v>7</v>
      </c>
    </row>
    <row r="3165" spans="1:5" x14ac:dyDescent="0.25">
      <c r="A3165" s="3">
        <f t="shared" si="148"/>
        <v>78989</v>
      </c>
      <c r="B3165" t="str">
        <f ca="1">TEXT(DATE(YEAR(Invoer!$A$5),1,1)+INT((ROWS(B$2:B3165)-1)/24),"""18""jjmmdd")</f>
        <v>18980512</v>
      </c>
      <c r="C3165" s="11" t="str">
        <f>INDEX(Data,2,2+MOD(ROWS(C$2:C3165)-1,24))</f>
        <v>20.00</v>
      </c>
      <c r="D3165" s="8" t="str">
        <f t="shared" ca="1" si="149"/>
        <v>—</v>
      </c>
      <c r="E3165" s="16">
        <f t="shared" ca="1" si="150"/>
        <v>7</v>
      </c>
    </row>
    <row r="3166" spans="1:5" x14ac:dyDescent="0.25">
      <c r="A3166" s="3">
        <f t="shared" si="148"/>
        <v>78989</v>
      </c>
      <c r="B3166" t="str">
        <f ca="1">TEXT(DATE(YEAR(Invoer!$A$5),1,1)+INT((ROWS(B$2:B3166)-1)/24),"""18""jjmmdd")</f>
        <v>18980512</v>
      </c>
      <c r="C3166" s="11" t="str">
        <f>INDEX(Data,2,2+MOD(ROWS(C$2:C3166)-1,24))</f>
        <v>21.00</v>
      </c>
      <c r="D3166" s="8" t="str">
        <f t="shared" ca="1" si="149"/>
        <v>—</v>
      </c>
      <c r="E3166" s="16">
        <f t="shared" ca="1" si="150"/>
        <v>7</v>
      </c>
    </row>
    <row r="3167" spans="1:5" x14ac:dyDescent="0.25">
      <c r="A3167" s="3">
        <f t="shared" si="148"/>
        <v>78989</v>
      </c>
      <c r="B3167" t="str">
        <f ca="1">TEXT(DATE(YEAR(Invoer!$A$5),1,1)+INT((ROWS(B$2:B3167)-1)/24),"""18""jjmmdd")</f>
        <v>18980512</v>
      </c>
      <c r="C3167" s="11" t="str">
        <f>INDEX(Data,2,2+MOD(ROWS(C$2:C3167)-1,24))</f>
        <v>22.00</v>
      </c>
      <c r="D3167" s="8" t="str">
        <f t="shared" ca="1" si="149"/>
        <v>—</v>
      </c>
      <c r="E3167" s="16">
        <f t="shared" ca="1" si="150"/>
        <v>7</v>
      </c>
    </row>
    <row r="3168" spans="1:5" x14ac:dyDescent="0.25">
      <c r="A3168" s="3">
        <f t="shared" si="148"/>
        <v>78989</v>
      </c>
      <c r="B3168" t="str">
        <f ca="1">TEXT(DATE(YEAR(Invoer!$A$5),1,1)+INT((ROWS(B$2:B3168)-1)/24),"""18""jjmmdd")</f>
        <v>18980512</v>
      </c>
      <c r="C3168" s="11" t="str">
        <f>INDEX(Data,2,2+MOD(ROWS(C$2:C3168)-1,24))</f>
        <v>23.00</v>
      </c>
      <c r="D3168" s="8" t="str">
        <f t="shared" ca="1" si="149"/>
        <v>—</v>
      </c>
      <c r="E3168" s="16">
        <f t="shared" ca="1" si="150"/>
        <v>7</v>
      </c>
    </row>
    <row r="3169" spans="1:5" x14ac:dyDescent="0.25">
      <c r="A3169" s="3">
        <f t="shared" si="148"/>
        <v>78989</v>
      </c>
      <c r="B3169" t="str">
        <f ca="1">TEXT(DATE(YEAR(Invoer!$A$5),1,1)+INT((ROWS(B$2:B3169)-1)/24),"""18""jjmmdd")</f>
        <v>18980512</v>
      </c>
      <c r="C3169" s="11" t="str">
        <f>INDEX(Data,2,2+MOD(ROWS(C$2:C3169)-1,24))</f>
        <v>24.00</v>
      </c>
      <c r="D3169" s="8" t="str">
        <f t="shared" ca="1" si="149"/>
        <v>—</v>
      </c>
      <c r="E3169" s="16">
        <f t="shared" ca="1" si="150"/>
        <v>7</v>
      </c>
    </row>
    <row r="3170" spans="1:5" x14ac:dyDescent="0.25">
      <c r="A3170" s="3">
        <f t="shared" si="148"/>
        <v>78989</v>
      </c>
      <c r="B3170" t="str">
        <f ca="1">TEXT(DATE(YEAR(Invoer!$A$5),1,1)+INT((ROWS(B$2:B3170)-1)/24),"""18""jjmmdd")</f>
        <v>18980513</v>
      </c>
      <c r="C3170" s="11" t="str">
        <f>INDEX(Data,2,2+MOD(ROWS(C$2:C3170)-1,24))</f>
        <v>01.00</v>
      </c>
      <c r="D3170" s="8" t="str">
        <f t="shared" ca="1" si="149"/>
        <v>—</v>
      </c>
      <c r="E3170" s="16">
        <f t="shared" ca="1" si="150"/>
        <v>7</v>
      </c>
    </row>
    <row r="3171" spans="1:5" x14ac:dyDescent="0.25">
      <c r="A3171" s="3">
        <f t="shared" si="148"/>
        <v>78989</v>
      </c>
      <c r="B3171" t="str">
        <f ca="1">TEXT(DATE(YEAR(Invoer!$A$5),1,1)+INT((ROWS(B$2:B3171)-1)/24),"""18""jjmmdd")</f>
        <v>18980513</v>
      </c>
      <c r="C3171" s="11" t="str">
        <f>INDEX(Data,2,2+MOD(ROWS(C$2:C3171)-1,24))</f>
        <v>02.00</v>
      </c>
      <c r="D3171" s="8" t="str">
        <f t="shared" ca="1" si="149"/>
        <v>—</v>
      </c>
      <c r="E3171" s="16">
        <f t="shared" ca="1" si="150"/>
        <v>7</v>
      </c>
    </row>
    <row r="3172" spans="1:5" x14ac:dyDescent="0.25">
      <c r="A3172" s="3">
        <f t="shared" si="148"/>
        <v>78989</v>
      </c>
      <c r="B3172" t="str">
        <f ca="1">TEXT(DATE(YEAR(Invoer!$A$5),1,1)+INT((ROWS(B$2:B3172)-1)/24),"""18""jjmmdd")</f>
        <v>18980513</v>
      </c>
      <c r="C3172" s="11" t="str">
        <f>INDEX(Data,2,2+MOD(ROWS(C$2:C3172)-1,24))</f>
        <v>03.00</v>
      </c>
      <c r="D3172" s="8" t="str">
        <f t="shared" ca="1" si="149"/>
        <v>—</v>
      </c>
      <c r="E3172" s="16">
        <f t="shared" ca="1" si="150"/>
        <v>7</v>
      </c>
    </row>
    <row r="3173" spans="1:5" x14ac:dyDescent="0.25">
      <c r="A3173" s="3">
        <f t="shared" si="148"/>
        <v>78989</v>
      </c>
      <c r="B3173" t="str">
        <f ca="1">TEXT(DATE(YEAR(Invoer!$A$5),1,1)+INT((ROWS(B$2:B3173)-1)/24),"""18""jjmmdd")</f>
        <v>18980513</v>
      </c>
      <c r="C3173" s="11" t="str">
        <f>INDEX(Data,2,2+MOD(ROWS(C$2:C3173)-1,24))</f>
        <v>04.00</v>
      </c>
      <c r="D3173" s="8" t="str">
        <f t="shared" ca="1" si="149"/>
        <v>—</v>
      </c>
      <c r="E3173" s="16">
        <f t="shared" ca="1" si="150"/>
        <v>7</v>
      </c>
    </row>
    <row r="3174" spans="1:5" x14ac:dyDescent="0.25">
      <c r="A3174" s="3">
        <f t="shared" si="148"/>
        <v>78989</v>
      </c>
      <c r="B3174" t="str">
        <f ca="1">TEXT(DATE(YEAR(Invoer!$A$5),1,1)+INT((ROWS(B$2:B3174)-1)/24),"""18""jjmmdd")</f>
        <v>18980513</v>
      </c>
      <c r="C3174" s="11" t="str">
        <f>INDEX(Data,2,2+MOD(ROWS(C$2:C3174)-1,24))</f>
        <v>05.00</v>
      </c>
      <c r="D3174" s="8" t="str">
        <f t="shared" ca="1" si="149"/>
        <v>—</v>
      </c>
      <c r="E3174" s="16">
        <f t="shared" ca="1" si="150"/>
        <v>7</v>
      </c>
    </row>
    <row r="3175" spans="1:5" x14ac:dyDescent="0.25">
      <c r="A3175" s="3">
        <f t="shared" si="148"/>
        <v>78989</v>
      </c>
      <c r="B3175" t="str">
        <f ca="1">TEXT(DATE(YEAR(Invoer!$A$5),1,1)+INT((ROWS(B$2:B3175)-1)/24),"""18""jjmmdd")</f>
        <v>18980513</v>
      </c>
      <c r="C3175" s="11" t="str">
        <f>INDEX(Data,2,2+MOD(ROWS(C$2:C3175)-1,24))</f>
        <v>06.00</v>
      </c>
      <c r="D3175" s="8" t="str">
        <f t="shared" ca="1" si="149"/>
        <v>—</v>
      </c>
      <c r="E3175" s="16">
        <f t="shared" ca="1" si="150"/>
        <v>7</v>
      </c>
    </row>
    <row r="3176" spans="1:5" x14ac:dyDescent="0.25">
      <c r="A3176" s="3">
        <f t="shared" si="148"/>
        <v>78989</v>
      </c>
      <c r="B3176" t="str">
        <f ca="1">TEXT(DATE(YEAR(Invoer!$A$5),1,1)+INT((ROWS(B$2:B3176)-1)/24),"""18""jjmmdd")</f>
        <v>18980513</v>
      </c>
      <c r="C3176" s="11" t="str">
        <f>INDEX(Data,2,2+MOD(ROWS(C$2:C3176)-1,24))</f>
        <v>07.00</v>
      </c>
      <c r="D3176" s="8" t="str">
        <f t="shared" ca="1" si="149"/>
        <v>—</v>
      </c>
      <c r="E3176" s="16">
        <f t="shared" ca="1" si="150"/>
        <v>7</v>
      </c>
    </row>
    <row r="3177" spans="1:5" x14ac:dyDescent="0.25">
      <c r="A3177" s="3">
        <f t="shared" si="148"/>
        <v>78989</v>
      </c>
      <c r="B3177" t="str">
        <f ca="1">TEXT(DATE(YEAR(Invoer!$A$5),1,1)+INT((ROWS(B$2:B3177)-1)/24),"""18""jjmmdd")</f>
        <v>18980513</v>
      </c>
      <c r="C3177" s="11" t="str">
        <f>INDEX(Data,2,2+MOD(ROWS(C$2:C3177)-1,24))</f>
        <v>08.00</v>
      </c>
      <c r="D3177" s="8" t="str">
        <f t="shared" ca="1" si="149"/>
        <v>—</v>
      </c>
      <c r="E3177" s="16">
        <f t="shared" ca="1" si="150"/>
        <v>7</v>
      </c>
    </row>
    <row r="3178" spans="1:5" x14ac:dyDescent="0.25">
      <c r="A3178" s="3">
        <f t="shared" si="148"/>
        <v>78989</v>
      </c>
      <c r="B3178" t="str">
        <f ca="1">TEXT(DATE(YEAR(Invoer!$A$5),1,1)+INT((ROWS(B$2:B3178)-1)/24),"""18""jjmmdd")</f>
        <v>18980513</v>
      </c>
      <c r="C3178" s="11" t="str">
        <f>INDEX(Data,2,2+MOD(ROWS(C$2:C3178)-1,24))</f>
        <v>09.00</v>
      </c>
      <c r="D3178" s="8" t="str">
        <f t="shared" ca="1" si="149"/>
        <v>—</v>
      </c>
      <c r="E3178" s="16">
        <f t="shared" ca="1" si="150"/>
        <v>7</v>
      </c>
    </row>
    <row r="3179" spans="1:5" x14ac:dyDescent="0.25">
      <c r="A3179" s="3">
        <f t="shared" si="148"/>
        <v>78989</v>
      </c>
      <c r="B3179" t="str">
        <f ca="1">TEXT(DATE(YEAR(Invoer!$A$5),1,1)+INT((ROWS(B$2:B3179)-1)/24),"""18""jjmmdd")</f>
        <v>18980513</v>
      </c>
      <c r="C3179" s="11" t="str">
        <f>INDEX(Data,2,2+MOD(ROWS(C$2:C3179)-1,24))</f>
        <v>10.00</v>
      </c>
      <c r="D3179" s="8" t="str">
        <f t="shared" ca="1" si="149"/>
        <v>—</v>
      </c>
      <c r="E3179" s="16">
        <f t="shared" ca="1" si="150"/>
        <v>7</v>
      </c>
    </row>
    <row r="3180" spans="1:5" x14ac:dyDescent="0.25">
      <c r="A3180" s="3">
        <f t="shared" si="148"/>
        <v>78989</v>
      </c>
      <c r="B3180" t="str">
        <f ca="1">TEXT(DATE(YEAR(Invoer!$A$5),1,1)+INT((ROWS(B$2:B3180)-1)/24),"""18""jjmmdd")</f>
        <v>18980513</v>
      </c>
      <c r="C3180" s="11" t="str">
        <f>INDEX(Data,2,2+MOD(ROWS(C$2:C3180)-1,24))</f>
        <v>11.00</v>
      </c>
      <c r="D3180" s="8" t="str">
        <f t="shared" ca="1" si="149"/>
        <v>—</v>
      </c>
      <c r="E3180" s="16">
        <f t="shared" ca="1" si="150"/>
        <v>7</v>
      </c>
    </row>
    <row r="3181" spans="1:5" x14ac:dyDescent="0.25">
      <c r="A3181" s="3">
        <f t="shared" si="148"/>
        <v>78989</v>
      </c>
      <c r="B3181" t="str">
        <f ca="1">TEXT(DATE(YEAR(Invoer!$A$5),1,1)+INT((ROWS(B$2:B3181)-1)/24),"""18""jjmmdd")</f>
        <v>18980513</v>
      </c>
      <c r="C3181" s="11" t="str">
        <f>INDEX(Data,2,2+MOD(ROWS(C$2:C3181)-1,24))</f>
        <v>12.00</v>
      </c>
      <c r="D3181" s="8" t="str">
        <f t="shared" ca="1" si="149"/>
        <v>—</v>
      </c>
      <c r="E3181" s="16">
        <f t="shared" ca="1" si="150"/>
        <v>7</v>
      </c>
    </row>
    <row r="3182" spans="1:5" x14ac:dyDescent="0.25">
      <c r="A3182" s="3">
        <f t="shared" si="148"/>
        <v>78989</v>
      </c>
      <c r="B3182" t="str">
        <f ca="1">TEXT(DATE(YEAR(Invoer!$A$5),1,1)+INT((ROWS(B$2:B3182)-1)/24),"""18""jjmmdd")</f>
        <v>18980513</v>
      </c>
      <c r="C3182" s="11" t="str">
        <f>INDEX(Data,2,2+MOD(ROWS(C$2:C3182)-1,24))</f>
        <v>13.00</v>
      </c>
      <c r="D3182" s="8" t="str">
        <f t="shared" ca="1" si="149"/>
        <v>—</v>
      </c>
      <c r="E3182" s="16">
        <f t="shared" ca="1" si="150"/>
        <v>7</v>
      </c>
    </row>
    <row r="3183" spans="1:5" x14ac:dyDescent="0.25">
      <c r="A3183" s="3">
        <f t="shared" si="148"/>
        <v>78989</v>
      </c>
      <c r="B3183" t="str">
        <f ca="1">TEXT(DATE(YEAR(Invoer!$A$5),1,1)+INT((ROWS(B$2:B3183)-1)/24),"""18""jjmmdd")</f>
        <v>18980513</v>
      </c>
      <c r="C3183" s="11" t="str">
        <f>INDEX(Data,2,2+MOD(ROWS(C$2:C3183)-1,24))</f>
        <v>14.00</v>
      </c>
      <c r="D3183" s="8" t="str">
        <f t="shared" ca="1" si="149"/>
        <v>—</v>
      </c>
      <c r="E3183" s="16">
        <f t="shared" ca="1" si="150"/>
        <v>7</v>
      </c>
    </row>
    <row r="3184" spans="1:5" x14ac:dyDescent="0.25">
      <c r="A3184" s="3">
        <f t="shared" si="148"/>
        <v>78989</v>
      </c>
      <c r="B3184" t="str">
        <f ca="1">TEXT(DATE(YEAR(Invoer!$A$5),1,1)+INT((ROWS(B$2:B3184)-1)/24),"""18""jjmmdd")</f>
        <v>18980513</v>
      </c>
      <c r="C3184" s="11" t="str">
        <f>INDEX(Data,2,2+MOD(ROWS(C$2:C3184)-1,24))</f>
        <v>15.00</v>
      </c>
      <c r="D3184" s="8" t="str">
        <f t="shared" ca="1" si="149"/>
        <v>—</v>
      </c>
      <c r="E3184" s="16">
        <f t="shared" ca="1" si="150"/>
        <v>7</v>
      </c>
    </row>
    <row r="3185" spans="1:5" x14ac:dyDescent="0.25">
      <c r="A3185" s="3">
        <f t="shared" si="148"/>
        <v>78989</v>
      </c>
      <c r="B3185" t="str">
        <f ca="1">TEXT(DATE(YEAR(Invoer!$A$5),1,1)+INT((ROWS(B$2:B3185)-1)/24),"""18""jjmmdd")</f>
        <v>18980513</v>
      </c>
      <c r="C3185" s="11" t="str">
        <f>INDEX(Data,2,2+MOD(ROWS(C$2:C3185)-1,24))</f>
        <v>16.00</v>
      </c>
      <c r="D3185" s="8" t="str">
        <f t="shared" ca="1" si="149"/>
        <v>—</v>
      </c>
      <c r="E3185" s="16">
        <f t="shared" ca="1" si="150"/>
        <v>7</v>
      </c>
    </row>
    <row r="3186" spans="1:5" x14ac:dyDescent="0.25">
      <c r="A3186" s="3">
        <f t="shared" si="148"/>
        <v>78989</v>
      </c>
      <c r="B3186" t="str">
        <f ca="1">TEXT(DATE(YEAR(Invoer!$A$5),1,1)+INT((ROWS(B$2:B3186)-1)/24),"""18""jjmmdd")</f>
        <v>18980513</v>
      </c>
      <c r="C3186" s="11" t="str">
        <f>INDEX(Data,2,2+MOD(ROWS(C$2:C3186)-1,24))</f>
        <v>17.00</v>
      </c>
      <c r="D3186" s="8" t="str">
        <f t="shared" ca="1" si="149"/>
        <v>—</v>
      </c>
      <c r="E3186" s="16">
        <f t="shared" ca="1" si="150"/>
        <v>7</v>
      </c>
    </row>
    <row r="3187" spans="1:5" x14ac:dyDescent="0.25">
      <c r="A3187" s="3">
        <f t="shared" si="148"/>
        <v>78989</v>
      </c>
      <c r="B3187" t="str">
        <f ca="1">TEXT(DATE(YEAR(Invoer!$A$5),1,1)+INT((ROWS(B$2:B3187)-1)/24),"""18""jjmmdd")</f>
        <v>18980513</v>
      </c>
      <c r="C3187" s="11" t="str">
        <f>INDEX(Data,2,2+MOD(ROWS(C$2:C3187)-1,24))</f>
        <v>18.00</v>
      </c>
      <c r="D3187" s="8" t="str">
        <f t="shared" ca="1" si="149"/>
        <v>—</v>
      </c>
      <c r="E3187" s="16">
        <f t="shared" ca="1" si="150"/>
        <v>7</v>
      </c>
    </row>
    <row r="3188" spans="1:5" x14ac:dyDescent="0.25">
      <c r="A3188" s="3">
        <f t="shared" si="148"/>
        <v>78989</v>
      </c>
      <c r="B3188" t="str">
        <f ca="1">TEXT(DATE(YEAR(Invoer!$A$5),1,1)+INT((ROWS(B$2:B3188)-1)/24),"""18""jjmmdd")</f>
        <v>18980513</v>
      </c>
      <c r="C3188" s="11" t="str">
        <f>INDEX(Data,2,2+MOD(ROWS(C$2:C3188)-1,24))</f>
        <v>19.00</v>
      </c>
      <c r="D3188" s="8" t="str">
        <f t="shared" ca="1" si="149"/>
        <v>—</v>
      </c>
      <c r="E3188" s="16">
        <f t="shared" ca="1" si="150"/>
        <v>7</v>
      </c>
    </row>
    <row r="3189" spans="1:5" x14ac:dyDescent="0.25">
      <c r="A3189" s="3">
        <f t="shared" si="148"/>
        <v>78989</v>
      </c>
      <c r="B3189" t="str">
        <f ca="1">TEXT(DATE(YEAR(Invoer!$A$5),1,1)+INT((ROWS(B$2:B3189)-1)/24),"""18""jjmmdd")</f>
        <v>18980513</v>
      </c>
      <c r="C3189" s="11" t="str">
        <f>INDEX(Data,2,2+MOD(ROWS(C$2:C3189)-1,24))</f>
        <v>20.00</v>
      </c>
      <c r="D3189" s="8" t="str">
        <f t="shared" ca="1" si="149"/>
        <v>—</v>
      </c>
      <c r="E3189" s="16">
        <f t="shared" ca="1" si="150"/>
        <v>7</v>
      </c>
    </row>
    <row r="3190" spans="1:5" x14ac:dyDescent="0.25">
      <c r="A3190" s="3">
        <f t="shared" si="148"/>
        <v>78989</v>
      </c>
      <c r="B3190" t="str">
        <f ca="1">TEXT(DATE(YEAR(Invoer!$A$5),1,1)+INT((ROWS(B$2:B3190)-1)/24),"""18""jjmmdd")</f>
        <v>18980513</v>
      </c>
      <c r="C3190" s="11" t="str">
        <f>INDEX(Data,2,2+MOD(ROWS(C$2:C3190)-1,24))</f>
        <v>21.00</v>
      </c>
      <c r="D3190" s="8" t="str">
        <f t="shared" ca="1" si="149"/>
        <v>—</v>
      </c>
      <c r="E3190" s="16">
        <f t="shared" ca="1" si="150"/>
        <v>7</v>
      </c>
    </row>
    <row r="3191" spans="1:5" x14ac:dyDescent="0.25">
      <c r="A3191" s="3">
        <f t="shared" si="148"/>
        <v>78989</v>
      </c>
      <c r="B3191" t="str">
        <f ca="1">TEXT(DATE(YEAR(Invoer!$A$5),1,1)+INT((ROWS(B$2:B3191)-1)/24),"""18""jjmmdd")</f>
        <v>18980513</v>
      </c>
      <c r="C3191" s="11" t="str">
        <f>INDEX(Data,2,2+MOD(ROWS(C$2:C3191)-1,24))</f>
        <v>22.00</v>
      </c>
      <c r="D3191" s="8" t="str">
        <f t="shared" ca="1" si="149"/>
        <v>—</v>
      </c>
      <c r="E3191" s="16">
        <f t="shared" ca="1" si="150"/>
        <v>7</v>
      </c>
    </row>
    <row r="3192" spans="1:5" x14ac:dyDescent="0.25">
      <c r="A3192" s="3">
        <f t="shared" si="148"/>
        <v>78989</v>
      </c>
      <c r="B3192" t="str">
        <f ca="1">TEXT(DATE(YEAR(Invoer!$A$5),1,1)+INT((ROWS(B$2:B3192)-1)/24),"""18""jjmmdd")</f>
        <v>18980513</v>
      </c>
      <c r="C3192" s="11" t="str">
        <f>INDEX(Data,2,2+MOD(ROWS(C$2:C3192)-1,24))</f>
        <v>23.00</v>
      </c>
      <c r="D3192" s="8" t="str">
        <f t="shared" ca="1" si="149"/>
        <v>—</v>
      </c>
      <c r="E3192" s="16">
        <f t="shared" ca="1" si="150"/>
        <v>7</v>
      </c>
    </row>
    <row r="3193" spans="1:5" x14ac:dyDescent="0.25">
      <c r="A3193" s="3">
        <f t="shared" si="148"/>
        <v>78989</v>
      </c>
      <c r="B3193" t="str">
        <f ca="1">TEXT(DATE(YEAR(Invoer!$A$5),1,1)+INT((ROWS(B$2:B3193)-1)/24),"""18""jjmmdd")</f>
        <v>18980513</v>
      </c>
      <c r="C3193" s="11" t="str">
        <f>INDEX(Data,2,2+MOD(ROWS(C$2:C3193)-1,24))</f>
        <v>24.00</v>
      </c>
      <c r="D3193" s="8" t="str">
        <f t="shared" ca="1" si="149"/>
        <v>—</v>
      </c>
      <c r="E3193" s="16">
        <f t="shared" ca="1" si="150"/>
        <v>7</v>
      </c>
    </row>
    <row r="3194" spans="1:5" x14ac:dyDescent="0.25">
      <c r="A3194" s="3">
        <f t="shared" si="148"/>
        <v>78989</v>
      </c>
      <c r="B3194" t="str">
        <f ca="1">TEXT(DATE(YEAR(Invoer!$A$5),1,1)+INT((ROWS(B$2:B3194)-1)/24),"""18""jjmmdd")</f>
        <v>18980514</v>
      </c>
      <c r="C3194" s="11" t="str">
        <f>INDEX(Data,2,2+MOD(ROWS(C$2:C3194)-1,24))</f>
        <v>01.00</v>
      </c>
      <c r="D3194" s="8" t="str">
        <f t="shared" ca="1" si="149"/>
        <v>—</v>
      </c>
      <c r="E3194" s="16">
        <f t="shared" ca="1" si="150"/>
        <v>7</v>
      </c>
    </row>
    <row r="3195" spans="1:5" x14ac:dyDescent="0.25">
      <c r="A3195" s="3">
        <f t="shared" si="148"/>
        <v>78989</v>
      </c>
      <c r="B3195" t="str">
        <f ca="1">TEXT(DATE(YEAR(Invoer!$A$5),1,1)+INT((ROWS(B$2:B3195)-1)/24),"""18""jjmmdd")</f>
        <v>18980514</v>
      </c>
      <c r="C3195" s="11" t="str">
        <f>INDEX(Data,2,2+MOD(ROWS(C$2:C3195)-1,24))</f>
        <v>02.00</v>
      </c>
      <c r="D3195" s="8" t="str">
        <f t="shared" ca="1" si="149"/>
        <v>—</v>
      </c>
      <c r="E3195" s="16">
        <f t="shared" ca="1" si="150"/>
        <v>7</v>
      </c>
    </row>
    <row r="3196" spans="1:5" x14ac:dyDescent="0.25">
      <c r="A3196" s="3">
        <f t="shared" si="148"/>
        <v>78989</v>
      </c>
      <c r="B3196" t="str">
        <f ca="1">TEXT(DATE(YEAR(Invoer!$A$5),1,1)+INT((ROWS(B$2:B3196)-1)/24),"""18""jjmmdd")</f>
        <v>18980514</v>
      </c>
      <c r="C3196" s="11" t="str">
        <f>INDEX(Data,2,2+MOD(ROWS(C$2:C3196)-1,24))</f>
        <v>03.00</v>
      </c>
      <c r="D3196" s="8" t="str">
        <f t="shared" ca="1" si="149"/>
        <v>—</v>
      </c>
      <c r="E3196" s="16">
        <f t="shared" ca="1" si="150"/>
        <v>7</v>
      </c>
    </row>
    <row r="3197" spans="1:5" x14ac:dyDescent="0.25">
      <c r="A3197" s="3">
        <f t="shared" si="148"/>
        <v>78989</v>
      </c>
      <c r="B3197" t="str">
        <f ca="1">TEXT(DATE(YEAR(Invoer!$A$5),1,1)+INT((ROWS(B$2:B3197)-1)/24),"""18""jjmmdd")</f>
        <v>18980514</v>
      </c>
      <c r="C3197" s="11" t="str">
        <f>INDEX(Data,2,2+MOD(ROWS(C$2:C3197)-1,24))</f>
        <v>04.00</v>
      </c>
      <c r="D3197" s="8" t="str">
        <f t="shared" ca="1" si="149"/>
        <v>—</v>
      </c>
      <c r="E3197" s="16">
        <f t="shared" ca="1" si="150"/>
        <v>7</v>
      </c>
    </row>
    <row r="3198" spans="1:5" x14ac:dyDescent="0.25">
      <c r="A3198" s="3">
        <f t="shared" si="148"/>
        <v>78989</v>
      </c>
      <c r="B3198" t="str">
        <f ca="1">TEXT(DATE(YEAR(Invoer!$A$5),1,1)+INT((ROWS(B$2:B3198)-1)/24),"""18""jjmmdd")</f>
        <v>18980514</v>
      </c>
      <c r="C3198" s="11" t="str">
        <f>INDEX(Data,2,2+MOD(ROWS(C$2:C3198)-1,24))</f>
        <v>05.00</v>
      </c>
      <c r="D3198" s="8" t="str">
        <f t="shared" ca="1" si="149"/>
        <v>—</v>
      </c>
      <c r="E3198" s="16">
        <f t="shared" ca="1" si="150"/>
        <v>7</v>
      </c>
    </row>
    <row r="3199" spans="1:5" x14ac:dyDescent="0.25">
      <c r="A3199" s="3">
        <f t="shared" si="148"/>
        <v>78989</v>
      </c>
      <c r="B3199" t="str">
        <f ca="1">TEXT(DATE(YEAR(Invoer!$A$5),1,1)+INT((ROWS(B$2:B3199)-1)/24),"""18""jjmmdd")</f>
        <v>18980514</v>
      </c>
      <c r="C3199" s="11" t="str">
        <f>INDEX(Data,2,2+MOD(ROWS(C$2:C3199)-1,24))</f>
        <v>06.00</v>
      </c>
      <c r="D3199" s="8" t="str">
        <f t="shared" ca="1" si="149"/>
        <v>—</v>
      </c>
      <c r="E3199" s="16">
        <f t="shared" ca="1" si="150"/>
        <v>7</v>
      </c>
    </row>
    <row r="3200" spans="1:5" x14ac:dyDescent="0.25">
      <c r="A3200" s="3">
        <f t="shared" si="148"/>
        <v>78989</v>
      </c>
      <c r="B3200" t="str">
        <f ca="1">TEXT(DATE(YEAR(Invoer!$A$5),1,1)+INT((ROWS(B$2:B3200)-1)/24),"""18""jjmmdd")</f>
        <v>18980514</v>
      </c>
      <c r="C3200" s="11" t="str">
        <f>INDEX(Data,2,2+MOD(ROWS(C$2:C3200)-1,24))</f>
        <v>07.00</v>
      </c>
      <c r="D3200" s="8" t="str">
        <f t="shared" ca="1" si="149"/>
        <v>—</v>
      </c>
      <c r="E3200" s="16">
        <f t="shared" ca="1" si="150"/>
        <v>7</v>
      </c>
    </row>
    <row r="3201" spans="1:5" x14ac:dyDescent="0.25">
      <c r="A3201" s="3">
        <f t="shared" si="148"/>
        <v>78989</v>
      </c>
      <c r="B3201" t="str">
        <f ca="1">TEXT(DATE(YEAR(Invoer!$A$5),1,1)+INT((ROWS(B$2:B3201)-1)/24),"""18""jjmmdd")</f>
        <v>18980514</v>
      </c>
      <c r="C3201" s="11" t="str">
        <f>INDEX(Data,2,2+MOD(ROWS(C$2:C3201)-1,24))</f>
        <v>08.00</v>
      </c>
      <c r="D3201" s="8" t="str">
        <f t="shared" ca="1" si="149"/>
        <v>—</v>
      </c>
      <c r="E3201" s="16">
        <f t="shared" ca="1" si="150"/>
        <v>7</v>
      </c>
    </row>
    <row r="3202" spans="1:5" x14ac:dyDescent="0.25">
      <c r="A3202" s="3">
        <f t="shared" ref="A3202:A3265" si="151">INDEX(Stations,2,1)</f>
        <v>78989</v>
      </c>
      <c r="B3202" t="str">
        <f ca="1">TEXT(DATE(YEAR(Invoer!$A$5),1,1)+INT((ROWS(B$2:B3202)-1)/24),"""18""jjmmdd")</f>
        <v>18980514</v>
      </c>
      <c r="C3202" s="11" t="str">
        <f>INDEX(Data,2,2+MOD(ROWS(C$2:C3202)-1,24))</f>
        <v>09.00</v>
      </c>
      <c r="D3202" s="8" t="str">
        <f t="shared" ref="D3202:D3265" ca="1" si="152">IF(OR(ISBLANK(VLOOKUP(DATEVALUE("37"&amp;MID($B3202,3,2)&amp;"-"&amp;MID($B3202,5,2)&amp;"-"&amp;RIGHT($B3202,2)),Data,MATCH(LEFT(VLOOKUP(D$1,Parameters,2,FALSE()),4)&amp;"*",OFFSET(Data,0,0,1),0)+MATCH($C3202,OFFSET(Data,1,0,1),0)-2,FALSE())),ISTEXT(VLOOKUP(DATEVALUE("37"&amp;MID($B3202,3,2)&amp;"-"&amp;MID($B3202,5,2)&amp;"-"&amp;RIGHT($B3202,2)),Data,MATCH(LEFT(VLOOKUP(D$1,Parameters,2,FALSE()),4)&amp;"*",OFFSET(Data,0,0,1),0)+MATCH($C3202,OFFSET(Data,1,0,1),0)-2,FALSE()))),"—",VLOOKUP(DATEVALUE("37"&amp;MID($B3202,3,2)&amp;"-"&amp;MID($B3202,5,2)&amp;"-"&amp;RIGHT($B3202,2)),Data,MATCH(LEFT(VLOOKUP(D$1,Parameters,2,FALSE()),4)&amp;"*",OFFSET(Data,0,0,1),0)+MATCH($C3202,OFFSET(Data,1,0,1),0)-2,FALSE()))</f>
        <v>—</v>
      </c>
      <c r="E3202" s="16">
        <f t="shared" ca="1" si="150"/>
        <v>7</v>
      </c>
    </row>
    <row r="3203" spans="1:5" x14ac:dyDescent="0.25">
      <c r="A3203" s="3">
        <f t="shared" si="151"/>
        <v>78989</v>
      </c>
      <c r="B3203" t="str">
        <f ca="1">TEXT(DATE(YEAR(Invoer!$A$5),1,1)+INT((ROWS(B$2:B3203)-1)/24),"""18""jjmmdd")</f>
        <v>18980514</v>
      </c>
      <c r="C3203" s="11" t="str">
        <f>INDEX(Data,2,2+MOD(ROWS(C$2:C3203)-1,24))</f>
        <v>10.00</v>
      </c>
      <c r="D3203" s="8" t="str">
        <f t="shared" ca="1" si="152"/>
        <v>—</v>
      </c>
      <c r="E3203" s="16">
        <f t="shared" ref="E3203:E3266" ca="1" si="153">IF(OR(ISBLANK(VLOOKUP(DATEVALUE("37"&amp;MID($B3203,3,2)&amp;"-"&amp;MID($B3203,5,2)&amp;"-"&amp;RIGHT($B3203,2)),Data,MATCH(LEFT(VLOOKUP(D$1,Parameters,2,FALSE()),4)&amp;"*",OFFSET(Data,0,0,1),0)+MATCH($C3203,OFFSET(Data,1,0,1),0)-2,FALSE())),ISTEXT(VLOOKUP(DATEVALUE("37"&amp;MID($B3203,3,2)&amp;"-"&amp;MID($B3203,5,2)&amp;"-"&amp;RIGHT($B3203,2)),Data,MATCH(LEFT(VLOOKUP(D$1,Parameters,2,FALSE()),4)&amp;"*",OFFSET(Data,0,0,1),0)+MATCH($C3203,OFFSET(Data,1,0,1),0)-2,FALSE()))),Lacking,IF(ISNA(MATCH(DATEVALUE("37"&amp;MID($B3203,3,2)&amp;"-"&amp;MID($B3203,5,2)&amp;"-"&amp;RIGHT($B3203,2)),OFFSET(Catalogus,0,0,,1),0)),Ok,VLOOKUP(DATEVALUE("37"&amp;MID($B3203,3,2)&amp;"-"&amp;MID($B3203,5,2)&amp;"-"&amp;RIGHT($B3203,2)),Catalogus,MATCH(LEFT(VLOOKUP(MID(E$1,2,LEN(E$1)-1),Parameters,2,FALSE()),4)&amp;"*",OFFSET(Catalogus,0,0,1),0)+MATCH($C3203,OFFSET(Catalogus,1,0,1),0)-2,FALSE())))</f>
        <v>7</v>
      </c>
    </row>
    <row r="3204" spans="1:5" x14ac:dyDescent="0.25">
      <c r="A3204" s="3">
        <f t="shared" si="151"/>
        <v>78989</v>
      </c>
      <c r="B3204" t="str">
        <f ca="1">TEXT(DATE(YEAR(Invoer!$A$5),1,1)+INT((ROWS(B$2:B3204)-1)/24),"""18""jjmmdd")</f>
        <v>18980514</v>
      </c>
      <c r="C3204" s="11" t="str">
        <f>INDEX(Data,2,2+MOD(ROWS(C$2:C3204)-1,24))</f>
        <v>11.00</v>
      </c>
      <c r="D3204" s="8" t="str">
        <f t="shared" ca="1" si="152"/>
        <v>—</v>
      </c>
      <c r="E3204" s="16">
        <f t="shared" ca="1" si="153"/>
        <v>7</v>
      </c>
    </row>
    <row r="3205" spans="1:5" x14ac:dyDescent="0.25">
      <c r="A3205" s="3">
        <f t="shared" si="151"/>
        <v>78989</v>
      </c>
      <c r="B3205" t="str">
        <f ca="1">TEXT(DATE(YEAR(Invoer!$A$5),1,1)+INT((ROWS(B$2:B3205)-1)/24),"""18""jjmmdd")</f>
        <v>18980514</v>
      </c>
      <c r="C3205" s="11" t="str">
        <f>INDEX(Data,2,2+MOD(ROWS(C$2:C3205)-1,24))</f>
        <v>12.00</v>
      </c>
      <c r="D3205" s="8" t="str">
        <f t="shared" ca="1" si="152"/>
        <v>—</v>
      </c>
      <c r="E3205" s="16">
        <f t="shared" ca="1" si="153"/>
        <v>7</v>
      </c>
    </row>
    <row r="3206" spans="1:5" x14ac:dyDescent="0.25">
      <c r="A3206" s="3">
        <f t="shared" si="151"/>
        <v>78989</v>
      </c>
      <c r="B3206" t="str">
        <f ca="1">TEXT(DATE(YEAR(Invoer!$A$5),1,1)+INT((ROWS(B$2:B3206)-1)/24),"""18""jjmmdd")</f>
        <v>18980514</v>
      </c>
      <c r="C3206" s="11" t="str">
        <f>INDEX(Data,2,2+MOD(ROWS(C$2:C3206)-1,24))</f>
        <v>13.00</v>
      </c>
      <c r="D3206" s="8" t="str">
        <f t="shared" ca="1" si="152"/>
        <v>—</v>
      </c>
      <c r="E3206" s="16">
        <f t="shared" ca="1" si="153"/>
        <v>7</v>
      </c>
    </row>
    <row r="3207" spans="1:5" x14ac:dyDescent="0.25">
      <c r="A3207" s="3">
        <f t="shared" si="151"/>
        <v>78989</v>
      </c>
      <c r="B3207" t="str">
        <f ca="1">TEXT(DATE(YEAR(Invoer!$A$5),1,1)+INT((ROWS(B$2:B3207)-1)/24),"""18""jjmmdd")</f>
        <v>18980514</v>
      </c>
      <c r="C3207" s="11" t="str">
        <f>INDEX(Data,2,2+MOD(ROWS(C$2:C3207)-1,24))</f>
        <v>14.00</v>
      </c>
      <c r="D3207" s="8" t="str">
        <f t="shared" ca="1" si="152"/>
        <v>—</v>
      </c>
      <c r="E3207" s="16">
        <f t="shared" ca="1" si="153"/>
        <v>7</v>
      </c>
    </row>
    <row r="3208" spans="1:5" x14ac:dyDescent="0.25">
      <c r="A3208" s="3">
        <f t="shared" si="151"/>
        <v>78989</v>
      </c>
      <c r="B3208" t="str">
        <f ca="1">TEXT(DATE(YEAR(Invoer!$A$5),1,1)+INT((ROWS(B$2:B3208)-1)/24),"""18""jjmmdd")</f>
        <v>18980514</v>
      </c>
      <c r="C3208" s="11" t="str">
        <f>INDEX(Data,2,2+MOD(ROWS(C$2:C3208)-1,24))</f>
        <v>15.00</v>
      </c>
      <c r="D3208" s="8" t="str">
        <f t="shared" ca="1" si="152"/>
        <v>—</v>
      </c>
      <c r="E3208" s="16">
        <f t="shared" ca="1" si="153"/>
        <v>7</v>
      </c>
    </row>
    <row r="3209" spans="1:5" x14ac:dyDescent="0.25">
      <c r="A3209" s="3">
        <f t="shared" si="151"/>
        <v>78989</v>
      </c>
      <c r="B3209" t="str">
        <f ca="1">TEXT(DATE(YEAR(Invoer!$A$5),1,1)+INT((ROWS(B$2:B3209)-1)/24),"""18""jjmmdd")</f>
        <v>18980514</v>
      </c>
      <c r="C3209" s="11" t="str">
        <f>INDEX(Data,2,2+MOD(ROWS(C$2:C3209)-1,24))</f>
        <v>16.00</v>
      </c>
      <c r="D3209" s="8" t="str">
        <f t="shared" ca="1" si="152"/>
        <v>—</v>
      </c>
      <c r="E3209" s="16">
        <f t="shared" ca="1" si="153"/>
        <v>7</v>
      </c>
    </row>
    <row r="3210" spans="1:5" x14ac:dyDescent="0.25">
      <c r="A3210" s="3">
        <f t="shared" si="151"/>
        <v>78989</v>
      </c>
      <c r="B3210" t="str">
        <f ca="1">TEXT(DATE(YEAR(Invoer!$A$5),1,1)+INT((ROWS(B$2:B3210)-1)/24),"""18""jjmmdd")</f>
        <v>18980514</v>
      </c>
      <c r="C3210" s="11" t="str">
        <f>INDEX(Data,2,2+MOD(ROWS(C$2:C3210)-1,24))</f>
        <v>17.00</v>
      </c>
      <c r="D3210" s="8" t="str">
        <f t="shared" ca="1" si="152"/>
        <v>—</v>
      </c>
      <c r="E3210" s="16">
        <f t="shared" ca="1" si="153"/>
        <v>7</v>
      </c>
    </row>
    <row r="3211" spans="1:5" x14ac:dyDescent="0.25">
      <c r="A3211" s="3">
        <f t="shared" si="151"/>
        <v>78989</v>
      </c>
      <c r="B3211" t="str">
        <f ca="1">TEXT(DATE(YEAR(Invoer!$A$5),1,1)+INT((ROWS(B$2:B3211)-1)/24),"""18""jjmmdd")</f>
        <v>18980514</v>
      </c>
      <c r="C3211" s="11" t="str">
        <f>INDEX(Data,2,2+MOD(ROWS(C$2:C3211)-1,24))</f>
        <v>18.00</v>
      </c>
      <c r="D3211" s="8" t="str">
        <f t="shared" ca="1" si="152"/>
        <v>—</v>
      </c>
      <c r="E3211" s="16">
        <f t="shared" ca="1" si="153"/>
        <v>7</v>
      </c>
    </row>
    <row r="3212" spans="1:5" x14ac:dyDescent="0.25">
      <c r="A3212" s="3">
        <f t="shared" si="151"/>
        <v>78989</v>
      </c>
      <c r="B3212" t="str">
        <f ca="1">TEXT(DATE(YEAR(Invoer!$A$5),1,1)+INT((ROWS(B$2:B3212)-1)/24),"""18""jjmmdd")</f>
        <v>18980514</v>
      </c>
      <c r="C3212" s="11" t="str">
        <f>INDEX(Data,2,2+MOD(ROWS(C$2:C3212)-1,24))</f>
        <v>19.00</v>
      </c>
      <c r="D3212" s="8" t="str">
        <f t="shared" ca="1" si="152"/>
        <v>—</v>
      </c>
      <c r="E3212" s="16">
        <f t="shared" ca="1" si="153"/>
        <v>7</v>
      </c>
    </row>
    <row r="3213" spans="1:5" x14ac:dyDescent="0.25">
      <c r="A3213" s="3">
        <f t="shared" si="151"/>
        <v>78989</v>
      </c>
      <c r="B3213" t="str">
        <f ca="1">TEXT(DATE(YEAR(Invoer!$A$5),1,1)+INT((ROWS(B$2:B3213)-1)/24),"""18""jjmmdd")</f>
        <v>18980514</v>
      </c>
      <c r="C3213" s="11" t="str">
        <f>INDEX(Data,2,2+MOD(ROWS(C$2:C3213)-1,24))</f>
        <v>20.00</v>
      </c>
      <c r="D3213" s="8" t="str">
        <f t="shared" ca="1" si="152"/>
        <v>—</v>
      </c>
      <c r="E3213" s="16">
        <f t="shared" ca="1" si="153"/>
        <v>7</v>
      </c>
    </row>
    <row r="3214" spans="1:5" x14ac:dyDescent="0.25">
      <c r="A3214" s="3">
        <f t="shared" si="151"/>
        <v>78989</v>
      </c>
      <c r="B3214" t="str">
        <f ca="1">TEXT(DATE(YEAR(Invoer!$A$5),1,1)+INT((ROWS(B$2:B3214)-1)/24),"""18""jjmmdd")</f>
        <v>18980514</v>
      </c>
      <c r="C3214" s="11" t="str">
        <f>INDEX(Data,2,2+MOD(ROWS(C$2:C3214)-1,24))</f>
        <v>21.00</v>
      </c>
      <c r="D3214" s="8" t="str">
        <f t="shared" ca="1" si="152"/>
        <v>—</v>
      </c>
      <c r="E3214" s="16">
        <f t="shared" ca="1" si="153"/>
        <v>7</v>
      </c>
    </row>
    <row r="3215" spans="1:5" x14ac:dyDescent="0.25">
      <c r="A3215" s="3">
        <f t="shared" si="151"/>
        <v>78989</v>
      </c>
      <c r="B3215" t="str">
        <f ca="1">TEXT(DATE(YEAR(Invoer!$A$5),1,1)+INT((ROWS(B$2:B3215)-1)/24),"""18""jjmmdd")</f>
        <v>18980514</v>
      </c>
      <c r="C3215" s="11" t="str">
        <f>INDEX(Data,2,2+MOD(ROWS(C$2:C3215)-1,24))</f>
        <v>22.00</v>
      </c>
      <c r="D3215" s="8" t="str">
        <f t="shared" ca="1" si="152"/>
        <v>—</v>
      </c>
      <c r="E3215" s="16">
        <f t="shared" ca="1" si="153"/>
        <v>7</v>
      </c>
    </row>
    <row r="3216" spans="1:5" x14ac:dyDescent="0.25">
      <c r="A3216" s="3">
        <f t="shared" si="151"/>
        <v>78989</v>
      </c>
      <c r="B3216" t="str">
        <f ca="1">TEXT(DATE(YEAR(Invoer!$A$5),1,1)+INT((ROWS(B$2:B3216)-1)/24),"""18""jjmmdd")</f>
        <v>18980514</v>
      </c>
      <c r="C3216" s="11" t="str">
        <f>INDEX(Data,2,2+MOD(ROWS(C$2:C3216)-1,24))</f>
        <v>23.00</v>
      </c>
      <c r="D3216" s="8" t="str">
        <f t="shared" ca="1" si="152"/>
        <v>—</v>
      </c>
      <c r="E3216" s="16">
        <f t="shared" ca="1" si="153"/>
        <v>7</v>
      </c>
    </row>
    <row r="3217" spans="1:5" x14ac:dyDescent="0.25">
      <c r="A3217" s="3">
        <f t="shared" si="151"/>
        <v>78989</v>
      </c>
      <c r="B3217" t="str">
        <f ca="1">TEXT(DATE(YEAR(Invoer!$A$5),1,1)+INT((ROWS(B$2:B3217)-1)/24),"""18""jjmmdd")</f>
        <v>18980514</v>
      </c>
      <c r="C3217" s="11" t="str">
        <f>INDEX(Data,2,2+MOD(ROWS(C$2:C3217)-1,24))</f>
        <v>24.00</v>
      </c>
      <c r="D3217" s="8" t="str">
        <f t="shared" ca="1" si="152"/>
        <v>—</v>
      </c>
      <c r="E3217" s="16">
        <f t="shared" ca="1" si="153"/>
        <v>7</v>
      </c>
    </row>
    <row r="3218" spans="1:5" x14ac:dyDescent="0.25">
      <c r="A3218" s="3">
        <f t="shared" si="151"/>
        <v>78989</v>
      </c>
      <c r="B3218" t="str">
        <f ca="1">TEXT(DATE(YEAR(Invoer!$A$5),1,1)+INT((ROWS(B$2:B3218)-1)/24),"""18""jjmmdd")</f>
        <v>18980515</v>
      </c>
      <c r="C3218" s="11" t="str">
        <f>INDEX(Data,2,2+MOD(ROWS(C$2:C3218)-1,24))</f>
        <v>01.00</v>
      </c>
      <c r="D3218" s="8" t="str">
        <f t="shared" ca="1" si="152"/>
        <v>—</v>
      </c>
      <c r="E3218" s="16">
        <f t="shared" ca="1" si="153"/>
        <v>7</v>
      </c>
    </row>
    <row r="3219" spans="1:5" x14ac:dyDescent="0.25">
      <c r="A3219" s="3">
        <f t="shared" si="151"/>
        <v>78989</v>
      </c>
      <c r="B3219" t="str">
        <f ca="1">TEXT(DATE(YEAR(Invoer!$A$5),1,1)+INT((ROWS(B$2:B3219)-1)/24),"""18""jjmmdd")</f>
        <v>18980515</v>
      </c>
      <c r="C3219" s="11" t="str">
        <f>INDEX(Data,2,2+MOD(ROWS(C$2:C3219)-1,24))</f>
        <v>02.00</v>
      </c>
      <c r="D3219" s="8" t="str">
        <f t="shared" ca="1" si="152"/>
        <v>—</v>
      </c>
      <c r="E3219" s="16">
        <f t="shared" ca="1" si="153"/>
        <v>7</v>
      </c>
    </row>
    <row r="3220" spans="1:5" x14ac:dyDescent="0.25">
      <c r="A3220" s="3">
        <f t="shared" si="151"/>
        <v>78989</v>
      </c>
      <c r="B3220" t="str">
        <f ca="1">TEXT(DATE(YEAR(Invoer!$A$5),1,1)+INT((ROWS(B$2:B3220)-1)/24),"""18""jjmmdd")</f>
        <v>18980515</v>
      </c>
      <c r="C3220" s="11" t="str">
        <f>INDEX(Data,2,2+MOD(ROWS(C$2:C3220)-1,24))</f>
        <v>03.00</v>
      </c>
      <c r="D3220" s="8" t="str">
        <f t="shared" ca="1" si="152"/>
        <v>—</v>
      </c>
      <c r="E3220" s="16">
        <f t="shared" ca="1" si="153"/>
        <v>7</v>
      </c>
    </row>
    <row r="3221" spans="1:5" x14ac:dyDescent="0.25">
      <c r="A3221" s="3">
        <f t="shared" si="151"/>
        <v>78989</v>
      </c>
      <c r="B3221" t="str">
        <f ca="1">TEXT(DATE(YEAR(Invoer!$A$5),1,1)+INT((ROWS(B$2:B3221)-1)/24),"""18""jjmmdd")</f>
        <v>18980515</v>
      </c>
      <c r="C3221" s="11" t="str">
        <f>INDEX(Data,2,2+MOD(ROWS(C$2:C3221)-1,24))</f>
        <v>04.00</v>
      </c>
      <c r="D3221" s="8" t="str">
        <f t="shared" ca="1" si="152"/>
        <v>—</v>
      </c>
      <c r="E3221" s="16">
        <f t="shared" ca="1" si="153"/>
        <v>7</v>
      </c>
    </row>
    <row r="3222" spans="1:5" x14ac:dyDescent="0.25">
      <c r="A3222" s="3">
        <f t="shared" si="151"/>
        <v>78989</v>
      </c>
      <c r="B3222" t="str">
        <f ca="1">TEXT(DATE(YEAR(Invoer!$A$5),1,1)+INT((ROWS(B$2:B3222)-1)/24),"""18""jjmmdd")</f>
        <v>18980515</v>
      </c>
      <c r="C3222" s="11" t="str">
        <f>INDEX(Data,2,2+MOD(ROWS(C$2:C3222)-1,24))</f>
        <v>05.00</v>
      </c>
      <c r="D3222" s="8" t="str">
        <f t="shared" ca="1" si="152"/>
        <v>—</v>
      </c>
      <c r="E3222" s="16">
        <f t="shared" ca="1" si="153"/>
        <v>7</v>
      </c>
    </row>
    <row r="3223" spans="1:5" x14ac:dyDescent="0.25">
      <c r="A3223" s="3">
        <f t="shared" si="151"/>
        <v>78989</v>
      </c>
      <c r="B3223" t="str">
        <f ca="1">TEXT(DATE(YEAR(Invoer!$A$5),1,1)+INT((ROWS(B$2:B3223)-1)/24),"""18""jjmmdd")</f>
        <v>18980515</v>
      </c>
      <c r="C3223" s="11" t="str">
        <f>INDEX(Data,2,2+MOD(ROWS(C$2:C3223)-1,24))</f>
        <v>06.00</v>
      </c>
      <c r="D3223" s="8" t="str">
        <f t="shared" ca="1" si="152"/>
        <v>—</v>
      </c>
      <c r="E3223" s="16">
        <f t="shared" ca="1" si="153"/>
        <v>7</v>
      </c>
    </row>
    <row r="3224" spans="1:5" x14ac:dyDescent="0.25">
      <c r="A3224" s="3">
        <f t="shared" si="151"/>
        <v>78989</v>
      </c>
      <c r="B3224" t="str">
        <f ca="1">TEXT(DATE(YEAR(Invoer!$A$5),1,1)+INT((ROWS(B$2:B3224)-1)/24),"""18""jjmmdd")</f>
        <v>18980515</v>
      </c>
      <c r="C3224" s="11" t="str">
        <f>INDEX(Data,2,2+MOD(ROWS(C$2:C3224)-1,24))</f>
        <v>07.00</v>
      </c>
      <c r="D3224" s="8" t="str">
        <f t="shared" ca="1" si="152"/>
        <v>—</v>
      </c>
      <c r="E3224" s="16">
        <f t="shared" ca="1" si="153"/>
        <v>7</v>
      </c>
    </row>
    <row r="3225" spans="1:5" x14ac:dyDescent="0.25">
      <c r="A3225" s="3">
        <f t="shared" si="151"/>
        <v>78989</v>
      </c>
      <c r="B3225" t="str">
        <f ca="1">TEXT(DATE(YEAR(Invoer!$A$5),1,1)+INT((ROWS(B$2:B3225)-1)/24),"""18""jjmmdd")</f>
        <v>18980515</v>
      </c>
      <c r="C3225" s="11" t="str">
        <f>INDEX(Data,2,2+MOD(ROWS(C$2:C3225)-1,24))</f>
        <v>08.00</v>
      </c>
      <c r="D3225" s="8" t="str">
        <f t="shared" ca="1" si="152"/>
        <v>—</v>
      </c>
      <c r="E3225" s="16">
        <f t="shared" ca="1" si="153"/>
        <v>7</v>
      </c>
    </row>
    <row r="3226" spans="1:5" x14ac:dyDescent="0.25">
      <c r="A3226" s="3">
        <f t="shared" si="151"/>
        <v>78989</v>
      </c>
      <c r="B3226" t="str">
        <f ca="1">TEXT(DATE(YEAR(Invoer!$A$5),1,1)+INT((ROWS(B$2:B3226)-1)/24),"""18""jjmmdd")</f>
        <v>18980515</v>
      </c>
      <c r="C3226" s="11" t="str">
        <f>INDEX(Data,2,2+MOD(ROWS(C$2:C3226)-1,24))</f>
        <v>09.00</v>
      </c>
      <c r="D3226" s="8" t="str">
        <f t="shared" ca="1" si="152"/>
        <v>—</v>
      </c>
      <c r="E3226" s="16">
        <f t="shared" ca="1" si="153"/>
        <v>7</v>
      </c>
    </row>
    <row r="3227" spans="1:5" x14ac:dyDescent="0.25">
      <c r="A3227" s="3">
        <f t="shared" si="151"/>
        <v>78989</v>
      </c>
      <c r="B3227" t="str">
        <f ca="1">TEXT(DATE(YEAR(Invoer!$A$5),1,1)+INT((ROWS(B$2:B3227)-1)/24),"""18""jjmmdd")</f>
        <v>18980515</v>
      </c>
      <c r="C3227" s="11" t="str">
        <f>INDEX(Data,2,2+MOD(ROWS(C$2:C3227)-1,24))</f>
        <v>10.00</v>
      </c>
      <c r="D3227" s="8" t="str">
        <f t="shared" ca="1" si="152"/>
        <v>—</v>
      </c>
      <c r="E3227" s="16">
        <f t="shared" ca="1" si="153"/>
        <v>7</v>
      </c>
    </row>
    <row r="3228" spans="1:5" x14ac:dyDescent="0.25">
      <c r="A3228" s="3">
        <f t="shared" si="151"/>
        <v>78989</v>
      </c>
      <c r="B3228" t="str">
        <f ca="1">TEXT(DATE(YEAR(Invoer!$A$5),1,1)+INT((ROWS(B$2:B3228)-1)/24),"""18""jjmmdd")</f>
        <v>18980515</v>
      </c>
      <c r="C3228" s="11" t="str">
        <f>INDEX(Data,2,2+MOD(ROWS(C$2:C3228)-1,24))</f>
        <v>11.00</v>
      </c>
      <c r="D3228" s="8" t="str">
        <f t="shared" ca="1" si="152"/>
        <v>—</v>
      </c>
      <c r="E3228" s="16">
        <f t="shared" ca="1" si="153"/>
        <v>7</v>
      </c>
    </row>
    <row r="3229" spans="1:5" x14ac:dyDescent="0.25">
      <c r="A3229" s="3">
        <f t="shared" si="151"/>
        <v>78989</v>
      </c>
      <c r="B3229" t="str">
        <f ca="1">TEXT(DATE(YEAR(Invoer!$A$5),1,1)+INT((ROWS(B$2:B3229)-1)/24),"""18""jjmmdd")</f>
        <v>18980515</v>
      </c>
      <c r="C3229" s="11" t="str">
        <f>INDEX(Data,2,2+MOD(ROWS(C$2:C3229)-1,24))</f>
        <v>12.00</v>
      </c>
      <c r="D3229" s="8" t="str">
        <f t="shared" ca="1" si="152"/>
        <v>—</v>
      </c>
      <c r="E3229" s="16">
        <f t="shared" ca="1" si="153"/>
        <v>7</v>
      </c>
    </row>
    <row r="3230" spans="1:5" x14ac:dyDescent="0.25">
      <c r="A3230" s="3">
        <f t="shared" si="151"/>
        <v>78989</v>
      </c>
      <c r="B3230" t="str">
        <f ca="1">TEXT(DATE(YEAR(Invoer!$A$5),1,1)+INT((ROWS(B$2:B3230)-1)/24),"""18""jjmmdd")</f>
        <v>18980515</v>
      </c>
      <c r="C3230" s="11" t="str">
        <f>INDEX(Data,2,2+MOD(ROWS(C$2:C3230)-1,24))</f>
        <v>13.00</v>
      </c>
      <c r="D3230" s="8" t="str">
        <f t="shared" ca="1" si="152"/>
        <v>—</v>
      </c>
      <c r="E3230" s="16">
        <f t="shared" ca="1" si="153"/>
        <v>7</v>
      </c>
    </row>
    <row r="3231" spans="1:5" x14ac:dyDescent="0.25">
      <c r="A3231" s="3">
        <f t="shared" si="151"/>
        <v>78989</v>
      </c>
      <c r="B3231" t="str">
        <f ca="1">TEXT(DATE(YEAR(Invoer!$A$5),1,1)+INT((ROWS(B$2:B3231)-1)/24),"""18""jjmmdd")</f>
        <v>18980515</v>
      </c>
      <c r="C3231" s="11" t="str">
        <f>INDEX(Data,2,2+MOD(ROWS(C$2:C3231)-1,24))</f>
        <v>14.00</v>
      </c>
      <c r="D3231" s="8" t="str">
        <f t="shared" ca="1" si="152"/>
        <v>—</v>
      </c>
      <c r="E3231" s="16">
        <f t="shared" ca="1" si="153"/>
        <v>7</v>
      </c>
    </row>
    <row r="3232" spans="1:5" x14ac:dyDescent="0.25">
      <c r="A3232" s="3">
        <f t="shared" si="151"/>
        <v>78989</v>
      </c>
      <c r="B3232" t="str">
        <f ca="1">TEXT(DATE(YEAR(Invoer!$A$5),1,1)+INT((ROWS(B$2:B3232)-1)/24),"""18""jjmmdd")</f>
        <v>18980515</v>
      </c>
      <c r="C3232" s="11" t="str">
        <f>INDEX(Data,2,2+MOD(ROWS(C$2:C3232)-1,24))</f>
        <v>15.00</v>
      </c>
      <c r="D3232" s="8" t="str">
        <f t="shared" ca="1" si="152"/>
        <v>—</v>
      </c>
      <c r="E3232" s="16">
        <f t="shared" ca="1" si="153"/>
        <v>7</v>
      </c>
    </row>
    <row r="3233" spans="1:5" x14ac:dyDescent="0.25">
      <c r="A3233" s="3">
        <f t="shared" si="151"/>
        <v>78989</v>
      </c>
      <c r="B3233" t="str">
        <f ca="1">TEXT(DATE(YEAR(Invoer!$A$5),1,1)+INT((ROWS(B$2:B3233)-1)/24),"""18""jjmmdd")</f>
        <v>18980515</v>
      </c>
      <c r="C3233" s="11" t="str">
        <f>INDEX(Data,2,2+MOD(ROWS(C$2:C3233)-1,24))</f>
        <v>16.00</v>
      </c>
      <c r="D3233" s="8" t="str">
        <f t="shared" ca="1" si="152"/>
        <v>—</v>
      </c>
      <c r="E3233" s="16">
        <f t="shared" ca="1" si="153"/>
        <v>7</v>
      </c>
    </row>
    <row r="3234" spans="1:5" x14ac:dyDescent="0.25">
      <c r="A3234" s="3">
        <f t="shared" si="151"/>
        <v>78989</v>
      </c>
      <c r="B3234" t="str">
        <f ca="1">TEXT(DATE(YEAR(Invoer!$A$5),1,1)+INT((ROWS(B$2:B3234)-1)/24),"""18""jjmmdd")</f>
        <v>18980515</v>
      </c>
      <c r="C3234" s="11" t="str">
        <f>INDEX(Data,2,2+MOD(ROWS(C$2:C3234)-1,24))</f>
        <v>17.00</v>
      </c>
      <c r="D3234" s="8" t="str">
        <f t="shared" ca="1" si="152"/>
        <v>—</v>
      </c>
      <c r="E3234" s="16">
        <f t="shared" ca="1" si="153"/>
        <v>7</v>
      </c>
    </row>
    <row r="3235" spans="1:5" x14ac:dyDescent="0.25">
      <c r="A3235" s="3">
        <f t="shared" si="151"/>
        <v>78989</v>
      </c>
      <c r="B3235" t="str">
        <f ca="1">TEXT(DATE(YEAR(Invoer!$A$5),1,1)+INT((ROWS(B$2:B3235)-1)/24),"""18""jjmmdd")</f>
        <v>18980515</v>
      </c>
      <c r="C3235" s="11" t="str">
        <f>INDEX(Data,2,2+MOD(ROWS(C$2:C3235)-1,24))</f>
        <v>18.00</v>
      </c>
      <c r="D3235" s="8" t="str">
        <f t="shared" ca="1" si="152"/>
        <v>—</v>
      </c>
      <c r="E3235" s="16">
        <f t="shared" ca="1" si="153"/>
        <v>7</v>
      </c>
    </row>
    <row r="3236" spans="1:5" x14ac:dyDescent="0.25">
      <c r="A3236" s="3">
        <f t="shared" si="151"/>
        <v>78989</v>
      </c>
      <c r="B3236" t="str">
        <f ca="1">TEXT(DATE(YEAR(Invoer!$A$5),1,1)+INT((ROWS(B$2:B3236)-1)/24),"""18""jjmmdd")</f>
        <v>18980515</v>
      </c>
      <c r="C3236" s="11" t="str">
        <f>INDEX(Data,2,2+MOD(ROWS(C$2:C3236)-1,24))</f>
        <v>19.00</v>
      </c>
      <c r="D3236" s="8" t="str">
        <f t="shared" ca="1" si="152"/>
        <v>—</v>
      </c>
      <c r="E3236" s="16">
        <f t="shared" ca="1" si="153"/>
        <v>7</v>
      </c>
    </row>
    <row r="3237" spans="1:5" x14ac:dyDescent="0.25">
      <c r="A3237" s="3">
        <f t="shared" si="151"/>
        <v>78989</v>
      </c>
      <c r="B3237" t="str">
        <f ca="1">TEXT(DATE(YEAR(Invoer!$A$5),1,1)+INT((ROWS(B$2:B3237)-1)/24),"""18""jjmmdd")</f>
        <v>18980515</v>
      </c>
      <c r="C3237" s="11" t="str">
        <f>INDEX(Data,2,2+MOD(ROWS(C$2:C3237)-1,24))</f>
        <v>20.00</v>
      </c>
      <c r="D3237" s="8" t="str">
        <f t="shared" ca="1" si="152"/>
        <v>—</v>
      </c>
      <c r="E3237" s="16">
        <f t="shared" ca="1" si="153"/>
        <v>7</v>
      </c>
    </row>
    <row r="3238" spans="1:5" x14ac:dyDescent="0.25">
      <c r="A3238" s="3">
        <f t="shared" si="151"/>
        <v>78989</v>
      </c>
      <c r="B3238" t="str">
        <f ca="1">TEXT(DATE(YEAR(Invoer!$A$5),1,1)+INT((ROWS(B$2:B3238)-1)/24),"""18""jjmmdd")</f>
        <v>18980515</v>
      </c>
      <c r="C3238" s="11" t="str">
        <f>INDEX(Data,2,2+MOD(ROWS(C$2:C3238)-1,24))</f>
        <v>21.00</v>
      </c>
      <c r="D3238" s="8" t="str">
        <f t="shared" ca="1" si="152"/>
        <v>—</v>
      </c>
      <c r="E3238" s="16">
        <f t="shared" ca="1" si="153"/>
        <v>7</v>
      </c>
    </row>
    <row r="3239" spans="1:5" x14ac:dyDescent="0.25">
      <c r="A3239" s="3">
        <f t="shared" si="151"/>
        <v>78989</v>
      </c>
      <c r="B3239" t="str">
        <f ca="1">TEXT(DATE(YEAR(Invoer!$A$5),1,1)+INT((ROWS(B$2:B3239)-1)/24),"""18""jjmmdd")</f>
        <v>18980515</v>
      </c>
      <c r="C3239" s="11" t="str">
        <f>INDEX(Data,2,2+MOD(ROWS(C$2:C3239)-1,24))</f>
        <v>22.00</v>
      </c>
      <c r="D3239" s="8" t="str">
        <f t="shared" ca="1" si="152"/>
        <v>—</v>
      </c>
      <c r="E3239" s="16">
        <f t="shared" ca="1" si="153"/>
        <v>7</v>
      </c>
    </row>
    <row r="3240" spans="1:5" x14ac:dyDescent="0.25">
      <c r="A3240" s="3">
        <f t="shared" si="151"/>
        <v>78989</v>
      </c>
      <c r="B3240" t="str">
        <f ca="1">TEXT(DATE(YEAR(Invoer!$A$5),1,1)+INT((ROWS(B$2:B3240)-1)/24),"""18""jjmmdd")</f>
        <v>18980515</v>
      </c>
      <c r="C3240" s="11" t="str">
        <f>INDEX(Data,2,2+MOD(ROWS(C$2:C3240)-1,24))</f>
        <v>23.00</v>
      </c>
      <c r="D3240" s="8" t="str">
        <f t="shared" ca="1" si="152"/>
        <v>—</v>
      </c>
      <c r="E3240" s="16">
        <f t="shared" ca="1" si="153"/>
        <v>7</v>
      </c>
    </row>
    <row r="3241" spans="1:5" x14ac:dyDescent="0.25">
      <c r="A3241" s="3">
        <f t="shared" si="151"/>
        <v>78989</v>
      </c>
      <c r="B3241" t="str">
        <f ca="1">TEXT(DATE(YEAR(Invoer!$A$5),1,1)+INT((ROWS(B$2:B3241)-1)/24),"""18""jjmmdd")</f>
        <v>18980515</v>
      </c>
      <c r="C3241" s="11" t="str">
        <f>INDEX(Data,2,2+MOD(ROWS(C$2:C3241)-1,24))</f>
        <v>24.00</v>
      </c>
      <c r="D3241" s="8" t="str">
        <f t="shared" ca="1" si="152"/>
        <v>—</v>
      </c>
      <c r="E3241" s="16">
        <f t="shared" ca="1" si="153"/>
        <v>7</v>
      </c>
    </row>
    <row r="3242" spans="1:5" x14ac:dyDescent="0.25">
      <c r="A3242" s="3">
        <f t="shared" si="151"/>
        <v>78989</v>
      </c>
      <c r="B3242" t="str">
        <f ca="1">TEXT(DATE(YEAR(Invoer!$A$5),1,1)+INT((ROWS(B$2:B3242)-1)/24),"""18""jjmmdd")</f>
        <v>18980516</v>
      </c>
      <c r="C3242" s="11" t="str">
        <f>INDEX(Data,2,2+MOD(ROWS(C$2:C3242)-1,24))</f>
        <v>01.00</v>
      </c>
      <c r="D3242" s="8" t="str">
        <f t="shared" ca="1" si="152"/>
        <v>—</v>
      </c>
      <c r="E3242" s="16">
        <f t="shared" ca="1" si="153"/>
        <v>7</v>
      </c>
    </row>
    <row r="3243" spans="1:5" x14ac:dyDescent="0.25">
      <c r="A3243" s="3">
        <f t="shared" si="151"/>
        <v>78989</v>
      </c>
      <c r="B3243" t="str">
        <f ca="1">TEXT(DATE(YEAR(Invoer!$A$5),1,1)+INT((ROWS(B$2:B3243)-1)/24),"""18""jjmmdd")</f>
        <v>18980516</v>
      </c>
      <c r="C3243" s="11" t="str">
        <f>INDEX(Data,2,2+MOD(ROWS(C$2:C3243)-1,24))</f>
        <v>02.00</v>
      </c>
      <c r="D3243" s="8" t="str">
        <f t="shared" ca="1" si="152"/>
        <v>—</v>
      </c>
      <c r="E3243" s="16">
        <f t="shared" ca="1" si="153"/>
        <v>7</v>
      </c>
    </row>
    <row r="3244" spans="1:5" x14ac:dyDescent="0.25">
      <c r="A3244" s="3">
        <f t="shared" si="151"/>
        <v>78989</v>
      </c>
      <c r="B3244" t="str">
        <f ca="1">TEXT(DATE(YEAR(Invoer!$A$5),1,1)+INT((ROWS(B$2:B3244)-1)/24),"""18""jjmmdd")</f>
        <v>18980516</v>
      </c>
      <c r="C3244" s="11" t="str">
        <f>INDEX(Data,2,2+MOD(ROWS(C$2:C3244)-1,24))</f>
        <v>03.00</v>
      </c>
      <c r="D3244" s="8" t="str">
        <f t="shared" ca="1" si="152"/>
        <v>—</v>
      </c>
      <c r="E3244" s="16">
        <f t="shared" ca="1" si="153"/>
        <v>7</v>
      </c>
    </row>
    <row r="3245" spans="1:5" x14ac:dyDescent="0.25">
      <c r="A3245" s="3">
        <f t="shared" si="151"/>
        <v>78989</v>
      </c>
      <c r="B3245" t="str">
        <f ca="1">TEXT(DATE(YEAR(Invoer!$A$5),1,1)+INT((ROWS(B$2:B3245)-1)/24),"""18""jjmmdd")</f>
        <v>18980516</v>
      </c>
      <c r="C3245" s="11" t="str">
        <f>INDEX(Data,2,2+MOD(ROWS(C$2:C3245)-1,24))</f>
        <v>04.00</v>
      </c>
      <c r="D3245" s="8" t="str">
        <f t="shared" ca="1" si="152"/>
        <v>—</v>
      </c>
      <c r="E3245" s="16">
        <f t="shared" ca="1" si="153"/>
        <v>7</v>
      </c>
    </row>
    <row r="3246" spans="1:5" x14ac:dyDescent="0.25">
      <c r="A3246" s="3">
        <f t="shared" si="151"/>
        <v>78989</v>
      </c>
      <c r="B3246" t="str">
        <f ca="1">TEXT(DATE(YEAR(Invoer!$A$5),1,1)+INT((ROWS(B$2:B3246)-1)/24),"""18""jjmmdd")</f>
        <v>18980516</v>
      </c>
      <c r="C3246" s="11" t="str">
        <f>INDEX(Data,2,2+MOD(ROWS(C$2:C3246)-1,24))</f>
        <v>05.00</v>
      </c>
      <c r="D3246" s="8" t="str">
        <f t="shared" ca="1" si="152"/>
        <v>—</v>
      </c>
      <c r="E3246" s="16">
        <f t="shared" ca="1" si="153"/>
        <v>7</v>
      </c>
    </row>
    <row r="3247" spans="1:5" x14ac:dyDescent="0.25">
      <c r="A3247" s="3">
        <f t="shared" si="151"/>
        <v>78989</v>
      </c>
      <c r="B3247" t="str">
        <f ca="1">TEXT(DATE(YEAR(Invoer!$A$5),1,1)+INT((ROWS(B$2:B3247)-1)/24),"""18""jjmmdd")</f>
        <v>18980516</v>
      </c>
      <c r="C3247" s="11" t="str">
        <f>INDEX(Data,2,2+MOD(ROWS(C$2:C3247)-1,24))</f>
        <v>06.00</v>
      </c>
      <c r="D3247" s="8" t="str">
        <f t="shared" ca="1" si="152"/>
        <v>—</v>
      </c>
      <c r="E3247" s="16">
        <f t="shared" ca="1" si="153"/>
        <v>7</v>
      </c>
    </row>
    <row r="3248" spans="1:5" x14ac:dyDescent="0.25">
      <c r="A3248" s="3">
        <f t="shared" si="151"/>
        <v>78989</v>
      </c>
      <c r="B3248" t="str">
        <f ca="1">TEXT(DATE(YEAR(Invoer!$A$5),1,1)+INT((ROWS(B$2:B3248)-1)/24),"""18""jjmmdd")</f>
        <v>18980516</v>
      </c>
      <c r="C3248" s="11" t="str">
        <f>INDEX(Data,2,2+MOD(ROWS(C$2:C3248)-1,24))</f>
        <v>07.00</v>
      </c>
      <c r="D3248" s="8" t="str">
        <f t="shared" ca="1" si="152"/>
        <v>—</v>
      </c>
      <c r="E3248" s="16">
        <f t="shared" ca="1" si="153"/>
        <v>7</v>
      </c>
    </row>
    <row r="3249" spans="1:5" x14ac:dyDescent="0.25">
      <c r="A3249" s="3">
        <f t="shared" si="151"/>
        <v>78989</v>
      </c>
      <c r="B3249" t="str">
        <f ca="1">TEXT(DATE(YEAR(Invoer!$A$5),1,1)+INT((ROWS(B$2:B3249)-1)/24),"""18""jjmmdd")</f>
        <v>18980516</v>
      </c>
      <c r="C3249" s="11" t="str">
        <f>INDEX(Data,2,2+MOD(ROWS(C$2:C3249)-1,24))</f>
        <v>08.00</v>
      </c>
      <c r="D3249" s="8" t="str">
        <f t="shared" ca="1" si="152"/>
        <v>—</v>
      </c>
      <c r="E3249" s="16">
        <f t="shared" ca="1" si="153"/>
        <v>7</v>
      </c>
    </row>
    <row r="3250" spans="1:5" x14ac:dyDescent="0.25">
      <c r="A3250" s="3">
        <f t="shared" si="151"/>
        <v>78989</v>
      </c>
      <c r="B3250" t="str">
        <f ca="1">TEXT(DATE(YEAR(Invoer!$A$5),1,1)+INT((ROWS(B$2:B3250)-1)/24),"""18""jjmmdd")</f>
        <v>18980516</v>
      </c>
      <c r="C3250" s="11" t="str">
        <f>INDEX(Data,2,2+MOD(ROWS(C$2:C3250)-1,24))</f>
        <v>09.00</v>
      </c>
      <c r="D3250" s="8" t="str">
        <f t="shared" ca="1" si="152"/>
        <v>—</v>
      </c>
      <c r="E3250" s="16">
        <f t="shared" ca="1" si="153"/>
        <v>7</v>
      </c>
    </row>
    <row r="3251" spans="1:5" x14ac:dyDescent="0.25">
      <c r="A3251" s="3">
        <f t="shared" si="151"/>
        <v>78989</v>
      </c>
      <c r="B3251" t="str">
        <f ca="1">TEXT(DATE(YEAR(Invoer!$A$5),1,1)+INT((ROWS(B$2:B3251)-1)/24),"""18""jjmmdd")</f>
        <v>18980516</v>
      </c>
      <c r="C3251" s="11" t="str">
        <f>INDEX(Data,2,2+MOD(ROWS(C$2:C3251)-1,24))</f>
        <v>10.00</v>
      </c>
      <c r="D3251" s="8" t="str">
        <f t="shared" ca="1" si="152"/>
        <v>—</v>
      </c>
      <c r="E3251" s="16">
        <f t="shared" ca="1" si="153"/>
        <v>7</v>
      </c>
    </row>
    <row r="3252" spans="1:5" x14ac:dyDescent="0.25">
      <c r="A3252" s="3">
        <f t="shared" si="151"/>
        <v>78989</v>
      </c>
      <c r="B3252" t="str">
        <f ca="1">TEXT(DATE(YEAR(Invoer!$A$5),1,1)+INT((ROWS(B$2:B3252)-1)/24),"""18""jjmmdd")</f>
        <v>18980516</v>
      </c>
      <c r="C3252" s="11" t="str">
        <f>INDEX(Data,2,2+MOD(ROWS(C$2:C3252)-1,24))</f>
        <v>11.00</v>
      </c>
      <c r="D3252" s="8" t="str">
        <f t="shared" ca="1" si="152"/>
        <v>—</v>
      </c>
      <c r="E3252" s="16">
        <f t="shared" ca="1" si="153"/>
        <v>7</v>
      </c>
    </row>
    <row r="3253" spans="1:5" x14ac:dyDescent="0.25">
      <c r="A3253" s="3">
        <f t="shared" si="151"/>
        <v>78989</v>
      </c>
      <c r="B3253" t="str">
        <f ca="1">TEXT(DATE(YEAR(Invoer!$A$5),1,1)+INT((ROWS(B$2:B3253)-1)/24),"""18""jjmmdd")</f>
        <v>18980516</v>
      </c>
      <c r="C3253" s="11" t="str">
        <f>INDEX(Data,2,2+MOD(ROWS(C$2:C3253)-1,24))</f>
        <v>12.00</v>
      </c>
      <c r="D3253" s="8" t="str">
        <f t="shared" ca="1" si="152"/>
        <v>—</v>
      </c>
      <c r="E3253" s="16">
        <f t="shared" ca="1" si="153"/>
        <v>7</v>
      </c>
    </row>
    <row r="3254" spans="1:5" x14ac:dyDescent="0.25">
      <c r="A3254" s="3">
        <f t="shared" si="151"/>
        <v>78989</v>
      </c>
      <c r="B3254" t="str">
        <f ca="1">TEXT(DATE(YEAR(Invoer!$A$5),1,1)+INT((ROWS(B$2:B3254)-1)/24),"""18""jjmmdd")</f>
        <v>18980516</v>
      </c>
      <c r="C3254" s="11" t="str">
        <f>INDEX(Data,2,2+MOD(ROWS(C$2:C3254)-1,24))</f>
        <v>13.00</v>
      </c>
      <c r="D3254" s="8" t="str">
        <f t="shared" ca="1" si="152"/>
        <v>—</v>
      </c>
      <c r="E3254" s="16">
        <f t="shared" ca="1" si="153"/>
        <v>7</v>
      </c>
    </row>
    <row r="3255" spans="1:5" x14ac:dyDescent="0.25">
      <c r="A3255" s="3">
        <f t="shared" si="151"/>
        <v>78989</v>
      </c>
      <c r="B3255" t="str">
        <f ca="1">TEXT(DATE(YEAR(Invoer!$A$5),1,1)+INT((ROWS(B$2:B3255)-1)/24),"""18""jjmmdd")</f>
        <v>18980516</v>
      </c>
      <c r="C3255" s="11" t="str">
        <f>INDEX(Data,2,2+MOD(ROWS(C$2:C3255)-1,24))</f>
        <v>14.00</v>
      </c>
      <c r="D3255" s="8" t="str">
        <f t="shared" ca="1" si="152"/>
        <v>—</v>
      </c>
      <c r="E3255" s="16">
        <f t="shared" ca="1" si="153"/>
        <v>7</v>
      </c>
    </row>
    <row r="3256" spans="1:5" x14ac:dyDescent="0.25">
      <c r="A3256" s="3">
        <f t="shared" si="151"/>
        <v>78989</v>
      </c>
      <c r="B3256" t="str">
        <f ca="1">TEXT(DATE(YEAR(Invoer!$A$5),1,1)+INT((ROWS(B$2:B3256)-1)/24),"""18""jjmmdd")</f>
        <v>18980516</v>
      </c>
      <c r="C3256" s="11" t="str">
        <f>INDEX(Data,2,2+MOD(ROWS(C$2:C3256)-1,24))</f>
        <v>15.00</v>
      </c>
      <c r="D3256" s="8" t="str">
        <f t="shared" ca="1" si="152"/>
        <v>—</v>
      </c>
      <c r="E3256" s="16">
        <f t="shared" ca="1" si="153"/>
        <v>7</v>
      </c>
    </row>
    <row r="3257" spans="1:5" x14ac:dyDescent="0.25">
      <c r="A3257" s="3">
        <f t="shared" si="151"/>
        <v>78989</v>
      </c>
      <c r="B3257" t="str">
        <f ca="1">TEXT(DATE(YEAR(Invoer!$A$5),1,1)+INT((ROWS(B$2:B3257)-1)/24),"""18""jjmmdd")</f>
        <v>18980516</v>
      </c>
      <c r="C3257" s="11" t="str">
        <f>INDEX(Data,2,2+MOD(ROWS(C$2:C3257)-1,24))</f>
        <v>16.00</v>
      </c>
      <c r="D3257" s="8" t="str">
        <f t="shared" ca="1" si="152"/>
        <v>—</v>
      </c>
      <c r="E3257" s="16">
        <f t="shared" ca="1" si="153"/>
        <v>7</v>
      </c>
    </row>
    <row r="3258" spans="1:5" x14ac:dyDescent="0.25">
      <c r="A3258" s="3">
        <f t="shared" si="151"/>
        <v>78989</v>
      </c>
      <c r="B3258" t="str">
        <f ca="1">TEXT(DATE(YEAR(Invoer!$A$5),1,1)+INT((ROWS(B$2:B3258)-1)/24),"""18""jjmmdd")</f>
        <v>18980516</v>
      </c>
      <c r="C3258" s="11" t="str">
        <f>INDEX(Data,2,2+MOD(ROWS(C$2:C3258)-1,24))</f>
        <v>17.00</v>
      </c>
      <c r="D3258" s="8" t="str">
        <f t="shared" ca="1" si="152"/>
        <v>—</v>
      </c>
      <c r="E3258" s="16">
        <f t="shared" ca="1" si="153"/>
        <v>7</v>
      </c>
    </row>
    <row r="3259" spans="1:5" x14ac:dyDescent="0.25">
      <c r="A3259" s="3">
        <f t="shared" si="151"/>
        <v>78989</v>
      </c>
      <c r="B3259" t="str">
        <f ca="1">TEXT(DATE(YEAR(Invoer!$A$5),1,1)+INT((ROWS(B$2:B3259)-1)/24),"""18""jjmmdd")</f>
        <v>18980516</v>
      </c>
      <c r="C3259" s="11" t="str">
        <f>INDEX(Data,2,2+MOD(ROWS(C$2:C3259)-1,24))</f>
        <v>18.00</v>
      </c>
      <c r="D3259" s="8" t="str">
        <f t="shared" ca="1" si="152"/>
        <v>—</v>
      </c>
      <c r="E3259" s="16">
        <f t="shared" ca="1" si="153"/>
        <v>7</v>
      </c>
    </row>
    <row r="3260" spans="1:5" x14ac:dyDescent="0.25">
      <c r="A3260" s="3">
        <f t="shared" si="151"/>
        <v>78989</v>
      </c>
      <c r="B3260" t="str">
        <f ca="1">TEXT(DATE(YEAR(Invoer!$A$5),1,1)+INT((ROWS(B$2:B3260)-1)/24),"""18""jjmmdd")</f>
        <v>18980516</v>
      </c>
      <c r="C3260" s="11" t="str">
        <f>INDEX(Data,2,2+MOD(ROWS(C$2:C3260)-1,24))</f>
        <v>19.00</v>
      </c>
      <c r="D3260" s="8" t="str">
        <f t="shared" ca="1" si="152"/>
        <v>—</v>
      </c>
      <c r="E3260" s="16">
        <f t="shared" ca="1" si="153"/>
        <v>7</v>
      </c>
    </row>
    <row r="3261" spans="1:5" x14ac:dyDescent="0.25">
      <c r="A3261" s="3">
        <f t="shared" si="151"/>
        <v>78989</v>
      </c>
      <c r="B3261" t="str">
        <f ca="1">TEXT(DATE(YEAR(Invoer!$A$5),1,1)+INT((ROWS(B$2:B3261)-1)/24),"""18""jjmmdd")</f>
        <v>18980516</v>
      </c>
      <c r="C3261" s="11" t="str">
        <f>INDEX(Data,2,2+MOD(ROWS(C$2:C3261)-1,24))</f>
        <v>20.00</v>
      </c>
      <c r="D3261" s="8" t="str">
        <f t="shared" ca="1" si="152"/>
        <v>—</v>
      </c>
      <c r="E3261" s="16">
        <f t="shared" ca="1" si="153"/>
        <v>7</v>
      </c>
    </row>
    <row r="3262" spans="1:5" x14ac:dyDescent="0.25">
      <c r="A3262" s="3">
        <f t="shared" si="151"/>
        <v>78989</v>
      </c>
      <c r="B3262" t="str">
        <f ca="1">TEXT(DATE(YEAR(Invoer!$A$5),1,1)+INT((ROWS(B$2:B3262)-1)/24),"""18""jjmmdd")</f>
        <v>18980516</v>
      </c>
      <c r="C3262" s="11" t="str">
        <f>INDEX(Data,2,2+MOD(ROWS(C$2:C3262)-1,24))</f>
        <v>21.00</v>
      </c>
      <c r="D3262" s="8" t="str">
        <f t="shared" ca="1" si="152"/>
        <v>—</v>
      </c>
      <c r="E3262" s="16">
        <f t="shared" ca="1" si="153"/>
        <v>7</v>
      </c>
    </row>
    <row r="3263" spans="1:5" x14ac:dyDescent="0.25">
      <c r="A3263" s="3">
        <f t="shared" si="151"/>
        <v>78989</v>
      </c>
      <c r="B3263" t="str">
        <f ca="1">TEXT(DATE(YEAR(Invoer!$A$5),1,1)+INT((ROWS(B$2:B3263)-1)/24),"""18""jjmmdd")</f>
        <v>18980516</v>
      </c>
      <c r="C3263" s="11" t="str">
        <f>INDEX(Data,2,2+MOD(ROWS(C$2:C3263)-1,24))</f>
        <v>22.00</v>
      </c>
      <c r="D3263" s="8" t="str">
        <f t="shared" ca="1" si="152"/>
        <v>—</v>
      </c>
      <c r="E3263" s="16">
        <f t="shared" ca="1" si="153"/>
        <v>7</v>
      </c>
    </row>
    <row r="3264" spans="1:5" x14ac:dyDescent="0.25">
      <c r="A3264" s="3">
        <f t="shared" si="151"/>
        <v>78989</v>
      </c>
      <c r="B3264" t="str">
        <f ca="1">TEXT(DATE(YEAR(Invoer!$A$5),1,1)+INT((ROWS(B$2:B3264)-1)/24),"""18""jjmmdd")</f>
        <v>18980516</v>
      </c>
      <c r="C3264" s="11" t="str">
        <f>INDEX(Data,2,2+MOD(ROWS(C$2:C3264)-1,24))</f>
        <v>23.00</v>
      </c>
      <c r="D3264" s="8" t="str">
        <f t="shared" ca="1" si="152"/>
        <v>—</v>
      </c>
      <c r="E3264" s="16">
        <f t="shared" ca="1" si="153"/>
        <v>7</v>
      </c>
    </row>
    <row r="3265" spans="1:5" x14ac:dyDescent="0.25">
      <c r="A3265" s="3">
        <f t="shared" si="151"/>
        <v>78989</v>
      </c>
      <c r="B3265" t="str">
        <f ca="1">TEXT(DATE(YEAR(Invoer!$A$5),1,1)+INT((ROWS(B$2:B3265)-1)/24),"""18""jjmmdd")</f>
        <v>18980516</v>
      </c>
      <c r="C3265" s="11" t="str">
        <f>INDEX(Data,2,2+MOD(ROWS(C$2:C3265)-1,24))</f>
        <v>24.00</v>
      </c>
      <c r="D3265" s="8" t="str">
        <f t="shared" ca="1" si="152"/>
        <v>—</v>
      </c>
      <c r="E3265" s="16">
        <f t="shared" ca="1" si="153"/>
        <v>7</v>
      </c>
    </row>
    <row r="3266" spans="1:5" x14ac:dyDescent="0.25">
      <c r="A3266" s="3">
        <f t="shared" ref="A3266:A3329" si="154">INDEX(Stations,2,1)</f>
        <v>78989</v>
      </c>
      <c r="B3266" t="str">
        <f ca="1">TEXT(DATE(YEAR(Invoer!$A$5),1,1)+INT((ROWS(B$2:B3266)-1)/24),"""18""jjmmdd")</f>
        <v>18980517</v>
      </c>
      <c r="C3266" s="11" t="str">
        <f>INDEX(Data,2,2+MOD(ROWS(C$2:C3266)-1,24))</f>
        <v>01.00</v>
      </c>
      <c r="D3266" s="8" t="str">
        <f t="shared" ref="D3266:D3329" ca="1" si="155">IF(OR(ISBLANK(VLOOKUP(DATEVALUE("37"&amp;MID($B3266,3,2)&amp;"-"&amp;MID($B3266,5,2)&amp;"-"&amp;RIGHT($B3266,2)),Data,MATCH(LEFT(VLOOKUP(D$1,Parameters,2,FALSE()),4)&amp;"*",OFFSET(Data,0,0,1),0)+MATCH($C3266,OFFSET(Data,1,0,1),0)-2,FALSE())),ISTEXT(VLOOKUP(DATEVALUE("37"&amp;MID($B3266,3,2)&amp;"-"&amp;MID($B3266,5,2)&amp;"-"&amp;RIGHT($B3266,2)),Data,MATCH(LEFT(VLOOKUP(D$1,Parameters,2,FALSE()),4)&amp;"*",OFFSET(Data,0,0,1),0)+MATCH($C3266,OFFSET(Data,1,0,1),0)-2,FALSE()))),"—",VLOOKUP(DATEVALUE("37"&amp;MID($B3266,3,2)&amp;"-"&amp;MID($B3266,5,2)&amp;"-"&amp;RIGHT($B3266,2)),Data,MATCH(LEFT(VLOOKUP(D$1,Parameters,2,FALSE()),4)&amp;"*",OFFSET(Data,0,0,1),0)+MATCH($C3266,OFFSET(Data,1,0,1),0)-2,FALSE()))</f>
        <v>—</v>
      </c>
      <c r="E3266" s="16">
        <f t="shared" ca="1" si="153"/>
        <v>7</v>
      </c>
    </row>
    <row r="3267" spans="1:5" x14ac:dyDescent="0.25">
      <c r="A3267" s="3">
        <f t="shared" si="154"/>
        <v>78989</v>
      </c>
      <c r="B3267" t="str">
        <f ca="1">TEXT(DATE(YEAR(Invoer!$A$5),1,1)+INT((ROWS(B$2:B3267)-1)/24),"""18""jjmmdd")</f>
        <v>18980517</v>
      </c>
      <c r="C3267" s="11" t="str">
        <f>INDEX(Data,2,2+MOD(ROWS(C$2:C3267)-1,24))</f>
        <v>02.00</v>
      </c>
      <c r="D3267" s="8" t="str">
        <f t="shared" ca="1" si="155"/>
        <v>—</v>
      </c>
      <c r="E3267" s="16">
        <f t="shared" ref="E3267:E3330" ca="1" si="156">IF(OR(ISBLANK(VLOOKUP(DATEVALUE("37"&amp;MID($B3267,3,2)&amp;"-"&amp;MID($B3267,5,2)&amp;"-"&amp;RIGHT($B3267,2)),Data,MATCH(LEFT(VLOOKUP(D$1,Parameters,2,FALSE()),4)&amp;"*",OFFSET(Data,0,0,1),0)+MATCH($C3267,OFFSET(Data,1,0,1),0)-2,FALSE())),ISTEXT(VLOOKUP(DATEVALUE("37"&amp;MID($B3267,3,2)&amp;"-"&amp;MID($B3267,5,2)&amp;"-"&amp;RIGHT($B3267,2)),Data,MATCH(LEFT(VLOOKUP(D$1,Parameters,2,FALSE()),4)&amp;"*",OFFSET(Data,0,0,1),0)+MATCH($C3267,OFFSET(Data,1,0,1),0)-2,FALSE()))),Lacking,IF(ISNA(MATCH(DATEVALUE("37"&amp;MID($B3267,3,2)&amp;"-"&amp;MID($B3267,5,2)&amp;"-"&amp;RIGHT($B3267,2)),OFFSET(Catalogus,0,0,,1),0)),Ok,VLOOKUP(DATEVALUE("37"&amp;MID($B3267,3,2)&amp;"-"&amp;MID($B3267,5,2)&amp;"-"&amp;RIGHT($B3267,2)),Catalogus,MATCH(LEFT(VLOOKUP(MID(E$1,2,LEN(E$1)-1),Parameters,2,FALSE()),4)&amp;"*",OFFSET(Catalogus,0,0,1),0)+MATCH($C3267,OFFSET(Catalogus,1,0,1),0)-2,FALSE())))</f>
        <v>7</v>
      </c>
    </row>
    <row r="3268" spans="1:5" x14ac:dyDescent="0.25">
      <c r="A3268" s="3">
        <f t="shared" si="154"/>
        <v>78989</v>
      </c>
      <c r="B3268" t="str">
        <f ca="1">TEXT(DATE(YEAR(Invoer!$A$5),1,1)+INT((ROWS(B$2:B3268)-1)/24),"""18""jjmmdd")</f>
        <v>18980517</v>
      </c>
      <c r="C3268" s="11" t="str">
        <f>INDEX(Data,2,2+MOD(ROWS(C$2:C3268)-1,24))</f>
        <v>03.00</v>
      </c>
      <c r="D3268" s="8" t="str">
        <f t="shared" ca="1" si="155"/>
        <v>—</v>
      </c>
      <c r="E3268" s="16">
        <f t="shared" ca="1" si="156"/>
        <v>7</v>
      </c>
    </row>
    <row r="3269" spans="1:5" x14ac:dyDescent="0.25">
      <c r="A3269" s="3">
        <f t="shared" si="154"/>
        <v>78989</v>
      </c>
      <c r="B3269" t="str">
        <f ca="1">TEXT(DATE(YEAR(Invoer!$A$5),1,1)+INT((ROWS(B$2:B3269)-1)/24),"""18""jjmmdd")</f>
        <v>18980517</v>
      </c>
      <c r="C3269" s="11" t="str">
        <f>INDEX(Data,2,2+MOD(ROWS(C$2:C3269)-1,24))</f>
        <v>04.00</v>
      </c>
      <c r="D3269" s="8" t="str">
        <f t="shared" ca="1" si="155"/>
        <v>—</v>
      </c>
      <c r="E3269" s="16">
        <f t="shared" ca="1" si="156"/>
        <v>7</v>
      </c>
    </row>
    <row r="3270" spans="1:5" x14ac:dyDescent="0.25">
      <c r="A3270" s="3">
        <f t="shared" si="154"/>
        <v>78989</v>
      </c>
      <c r="B3270" t="str">
        <f ca="1">TEXT(DATE(YEAR(Invoer!$A$5),1,1)+INT((ROWS(B$2:B3270)-1)/24),"""18""jjmmdd")</f>
        <v>18980517</v>
      </c>
      <c r="C3270" s="11" t="str">
        <f>INDEX(Data,2,2+MOD(ROWS(C$2:C3270)-1,24))</f>
        <v>05.00</v>
      </c>
      <c r="D3270" s="8" t="str">
        <f t="shared" ca="1" si="155"/>
        <v>—</v>
      </c>
      <c r="E3270" s="16">
        <f t="shared" ca="1" si="156"/>
        <v>7</v>
      </c>
    </row>
    <row r="3271" spans="1:5" x14ac:dyDescent="0.25">
      <c r="A3271" s="3">
        <f t="shared" si="154"/>
        <v>78989</v>
      </c>
      <c r="B3271" t="str">
        <f ca="1">TEXT(DATE(YEAR(Invoer!$A$5),1,1)+INT((ROWS(B$2:B3271)-1)/24),"""18""jjmmdd")</f>
        <v>18980517</v>
      </c>
      <c r="C3271" s="11" t="str">
        <f>INDEX(Data,2,2+MOD(ROWS(C$2:C3271)-1,24))</f>
        <v>06.00</v>
      </c>
      <c r="D3271" s="8" t="str">
        <f t="shared" ca="1" si="155"/>
        <v>—</v>
      </c>
      <c r="E3271" s="16">
        <f t="shared" ca="1" si="156"/>
        <v>7</v>
      </c>
    </row>
    <row r="3272" spans="1:5" x14ac:dyDescent="0.25">
      <c r="A3272" s="3">
        <f t="shared" si="154"/>
        <v>78989</v>
      </c>
      <c r="B3272" t="str">
        <f ca="1">TEXT(DATE(YEAR(Invoer!$A$5),1,1)+INT((ROWS(B$2:B3272)-1)/24),"""18""jjmmdd")</f>
        <v>18980517</v>
      </c>
      <c r="C3272" s="11" t="str">
        <f>INDEX(Data,2,2+MOD(ROWS(C$2:C3272)-1,24))</f>
        <v>07.00</v>
      </c>
      <c r="D3272" s="8" t="str">
        <f t="shared" ca="1" si="155"/>
        <v>—</v>
      </c>
      <c r="E3272" s="16">
        <f t="shared" ca="1" si="156"/>
        <v>7</v>
      </c>
    </row>
    <row r="3273" spans="1:5" x14ac:dyDescent="0.25">
      <c r="A3273" s="3">
        <f t="shared" si="154"/>
        <v>78989</v>
      </c>
      <c r="B3273" t="str">
        <f ca="1">TEXT(DATE(YEAR(Invoer!$A$5),1,1)+INT((ROWS(B$2:B3273)-1)/24),"""18""jjmmdd")</f>
        <v>18980517</v>
      </c>
      <c r="C3273" s="11" t="str">
        <f>INDEX(Data,2,2+MOD(ROWS(C$2:C3273)-1,24))</f>
        <v>08.00</v>
      </c>
      <c r="D3273" s="8" t="str">
        <f t="shared" ca="1" si="155"/>
        <v>—</v>
      </c>
      <c r="E3273" s="16">
        <f t="shared" ca="1" si="156"/>
        <v>7</v>
      </c>
    </row>
    <row r="3274" spans="1:5" x14ac:dyDescent="0.25">
      <c r="A3274" s="3">
        <f t="shared" si="154"/>
        <v>78989</v>
      </c>
      <c r="B3274" t="str">
        <f ca="1">TEXT(DATE(YEAR(Invoer!$A$5),1,1)+INT((ROWS(B$2:B3274)-1)/24),"""18""jjmmdd")</f>
        <v>18980517</v>
      </c>
      <c r="C3274" s="11" t="str">
        <f>INDEX(Data,2,2+MOD(ROWS(C$2:C3274)-1,24))</f>
        <v>09.00</v>
      </c>
      <c r="D3274" s="8" t="str">
        <f t="shared" ca="1" si="155"/>
        <v>—</v>
      </c>
      <c r="E3274" s="16">
        <f t="shared" ca="1" si="156"/>
        <v>7</v>
      </c>
    </row>
    <row r="3275" spans="1:5" x14ac:dyDescent="0.25">
      <c r="A3275" s="3">
        <f t="shared" si="154"/>
        <v>78989</v>
      </c>
      <c r="B3275" t="str">
        <f ca="1">TEXT(DATE(YEAR(Invoer!$A$5),1,1)+INT((ROWS(B$2:B3275)-1)/24),"""18""jjmmdd")</f>
        <v>18980517</v>
      </c>
      <c r="C3275" s="11" t="str">
        <f>INDEX(Data,2,2+MOD(ROWS(C$2:C3275)-1,24))</f>
        <v>10.00</v>
      </c>
      <c r="D3275" s="8" t="str">
        <f t="shared" ca="1" si="155"/>
        <v>—</v>
      </c>
      <c r="E3275" s="16">
        <f t="shared" ca="1" si="156"/>
        <v>7</v>
      </c>
    </row>
    <row r="3276" spans="1:5" x14ac:dyDescent="0.25">
      <c r="A3276" s="3">
        <f t="shared" si="154"/>
        <v>78989</v>
      </c>
      <c r="B3276" t="str">
        <f ca="1">TEXT(DATE(YEAR(Invoer!$A$5),1,1)+INT((ROWS(B$2:B3276)-1)/24),"""18""jjmmdd")</f>
        <v>18980517</v>
      </c>
      <c r="C3276" s="11" t="str">
        <f>INDEX(Data,2,2+MOD(ROWS(C$2:C3276)-1,24))</f>
        <v>11.00</v>
      </c>
      <c r="D3276" s="8" t="str">
        <f t="shared" ca="1" si="155"/>
        <v>—</v>
      </c>
      <c r="E3276" s="16">
        <f t="shared" ca="1" si="156"/>
        <v>7</v>
      </c>
    </row>
    <row r="3277" spans="1:5" x14ac:dyDescent="0.25">
      <c r="A3277" s="3">
        <f t="shared" si="154"/>
        <v>78989</v>
      </c>
      <c r="B3277" t="str">
        <f ca="1">TEXT(DATE(YEAR(Invoer!$A$5),1,1)+INT((ROWS(B$2:B3277)-1)/24),"""18""jjmmdd")</f>
        <v>18980517</v>
      </c>
      <c r="C3277" s="11" t="str">
        <f>INDEX(Data,2,2+MOD(ROWS(C$2:C3277)-1,24))</f>
        <v>12.00</v>
      </c>
      <c r="D3277" s="8" t="str">
        <f t="shared" ca="1" si="155"/>
        <v>—</v>
      </c>
      <c r="E3277" s="16">
        <f t="shared" ca="1" si="156"/>
        <v>7</v>
      </c>
    </row>
    <row r="3278" spans="1:5" x14ac:dyDescent="0.25">
      <c r="A3278" s="3">
        <f t="shared" si="154"/>
        <v>78989</v>
      </c>
      <c r="B3278" t="str">
        <f ca="1">TEXT(DATE(YEAR(Invoer!$A$5),1,1)+INT((ROWS(B$2:B3278)-1)/24),"""18""jjmmdd")</f>
        <v>18980517</v>
      </c>
      <c r="C3278" s="11" t="str">
        <f>INDEX(Data,2,2+MOD(ROWS(C$2:C3278)-1,24))</f>
        <v>13.00</v>
      </c>
      <c r="D3278" s="8" t="str">
        <f t="shared" ca="1" si="155"/>
        <v>—</v>
      </c>
      <c r="E3278" s="16">
        <f t="shared" ca="1" si="156"/>
        <v>7</v>
      </c>
    </row>
    <row r="3279" spans="1:5" x14ac:dyDescent="0.25">
      <c r="A3279" s="3">
        <f t="shared" si="154"/>
        <v>78989</v>
      </c>
      <c r="B3279" t="str">
        <f ca="1">TEXT(DATE(YEAR(Invoer!$A$5),1,1)+INT((ROWS(B$2:B3279)-1)/24),"""18""jjmmdd")</f>
        <v>18980517</v>
      </c>
      <c r="C3279" s="11" t="str">
        <f>INDEX(Data,2,2+MOD(ROWS(C$2:C3279)-1,24))</f>
        <v>14.00</v>
      </c>
      <c r="D3279" s="8" t="str">
        <f t="shared" ca="1" si="155"/>
        <v>—</v>
      </c>
      <c r="E3279" s="16">
        <f t="shared" ca="1" si="156"/>
        <v>7</v>
      </c>
    </row>
    <row r="3280" spans="1:5" x14ac:dyDescent="0.25">
      <c r="A3280" s="3">
        <f t="shared" si="154"/>
        <v>78989</v>
      </c>
      <c r="B3280" t="str">
        <f ca="1">TEXT(DATE(YEAR(Invoer!$A$5),1,1)+INT((ROWS(B$2:B3280)-1)/24),"""18""jjmmdd")</f>
        <v>18980517</v>
      </c>
      <c r="C3280" s="11" t="str">
        <f>INDEX(Data,2,2+MOD(ROWS(C$2:C3280)-1,24))</f>
        <v>15.00</v>
      </c>
      <c r="D3280" s="8" t="str">
        <f t="shared" ca="1" si="155"/>
        <v>—</v>
      </c>
      <c r="E3280" s="16">
        <f t="shared" ca="1" si="156"/>
        <v>7</v>
      </c>
    </row>
    <row r="3281" spans="1:5" x14ac:dyDescent="0.25">
      <c r="A3281" s="3">
        <f t="shared" si="154"/>
        <v>78989</v>
      </c>
      <c r="B3281" t="str">
        <f ca="1">TEXT(DATE(YEAR(Invoer!$A$5),1,1)+INT((ROWS(B$2:B3281)-1)/24),"""18""jjmmdd")</f>
        <v>18980517</v>
      </c>
      <c r="C3281" s="11" t="str">
        <f>INDEX(Data,2,2+MOD(ROWS(C$2:C3281)-1,24))</f>
        <v>16.00</v>
      </c>
      <c r="D3281" s="8" t="str">
        <f t="shared" ca="1" si="155"/>
        <v>—</v>
      </c>
      <c r="E3281" s="16">
        <f t="shared" ca="1" si="156"/>
        <v>7</v>
      </c>
    </row>
    <row r="3282" spans="1:5" x14ac:dyDescent="0.25">
      <c r="A3282" s="3">
        <f t="shared" si="154"/>
        <v>78989</v>
      </c>
      <c r="B3282" t="str">
        <f ca="1">TEXT(DATE(YEAR(Invoer!$A$5),1,1)+INT((ROWS(B$2:B3282)-1)/24),"""18""jjmmdd")</f>
        <v>18980517</v>
      </c>
      <c r="C3282" s="11" t="str">
        <f>INDEX(Data,2,2+MOD(ROWS(C$2:C3282)-1,24))</f>
        <v>17.00</v>
      </c>
      <c r="D3282" s="8" t="str">
        <f t="shared" ca="1" si="155"/>
        <v>—</v>
      </c>
      <c r="E3282" s="16">
        <f t="shared" ca="1" si="156"/>
        <v>7</v>
      </c>
    </row>
    <row r="3283" spans="1:5" x14ac:dyDescent="0.25">
      <c r="A3283" s="3">
        <f t="shared" si="154"/>
        <v>78989</v>
      </c>
      <c r="B3283" t="str">
        <f ca="1">TEXT(DATE(YEAR(Invoer!$A$5),1,1)+INT((ROWS(B$2:B3283)-1)/24),"""18""jjmmdd")</f>
        <v>18980517</v>
      </c>
      <c r="C3283" s="11" t="str">
        <f>INDEX(Data,2,2+MOD(ROWS(C$2:C3283)-1,24))</f>
        <v>18.00</v>
      </c>
      <c r="D3283" s="8" t="str">
        <f t="shared" ca="1" si="155"/>
        <v>—</v>
      </c>
      <c r="E3283" s="16">
        <f t="shared" ca="1" si="156"/>
        <v>7</v>
      </c>
    </row>
    <row r="3284" spans="1:5" x14ac:dyDescent="0.25">
      <c r="A3284" s="3">
        <f t="shared" si="154"/>
        <v>78989</v>
      </c>
      <c r="B3284" t="str">
        <f ca="1">TEXT(DATE(YEAR(Invoer!$A$5),1,1)+INT((ROWS(B$2:B3284)-1)/24),"""18""jjmmdd")</f>
        <v>18980517</v>
      </c>
      <c r="C3284" s="11" t="str">
        <f>INDEX(Data,2,2+MOD(ROWS(C$2:C3284)-1,24))</f>
        <v>19.00</v>
      </c>
      <c r="D3284" s="8" t="str">
        <f t="shared" ca="1" si="155"/>
        <v>—</v>
      </c>
      <c r="E3284" s="16">
        <f t="shared" ca="1" si="156"/>
        <v>7</v>
      </c>
    </row>
    <row r="3285" spans="1:5" x14ac:dyDescent="0.25">
      <c r="A3285" s="3">
        <f t="shared" si="154"/>
        <v>78989</v>
      </c>
      <c r="B3285" t="str">
        <f ca="1">TEXT(DATE(YEAR(Invoer!$A$5),1,1)+INT((ROWS(B$2:B3285)-1)/24),"""18""jjmmdd")</f>
        <v>18980517</v>
      </c>
      <c r="C3285" s="11" t="str">
        <f>INDEX(Data,2,2+MOD(ROWS(C$2:C3285)-1,24))</f>
        <v>20.00</v>
      </c>
      <c r="D3285" s="8" t="str">
        <f t="shared" ca="1" si="155"/>
        <v>—</v>
      </c>
      <c r="E3285" s="16">
        <f t="shared" ca="1" si="156"/>
        <v>7</v>
      </c>
    </row>
    <row r="3286" spans="1:5" x14ac:dyDescent="0.25">
      <c r="A3286" s="3">
        <f t="shared" si="154"/>
        <v>78989</v>
      </c>
      <c r="B3286" t="str">
        <f ca="1">TEXT(DATE(YEAR(Invoer!$A$5),1,1)+INT((ROWS(B$2:B3286)-1)/24),"""18""jjmmdd")</f>
        <v>18980517</v>
      </c>
      <c r="C3286" s="11" t="str">
        <f>INDEX(Data,2,2+MOD(ROWS(C$2:C3286)-1,24))</f>
        <v>21.00</v>
      </c>
      <c r="D3286" s="8" t="str">
        <f t="shared" ca="1" si="155"/>
        <v>—</v>
      </c>
      <c r="E3286" s="16">
        <f t="shared" ca="1" si="156"/>
        <v>7</v>
      </c>
    </row>
    <row r="3287" spans="1:5" x14ac:dyDescent="0.25">
      <c r="A3287" s="3">
        <f t="shared" si="154"/>
        <v>78989</v>
      </c>
      <c r="B3287" t="str">
        <f ca="1">TEXT(DATE(YEAR(Invoer!$A$5),1,1)+INT((ROWS(B$2:B3287)-1)/24),"""18""jjmmdd")</f>
        <v>18980517</v>
      </c>
      <c r="C3287" s="11" t="str">
        <f>INDEX(Data,2,2+MOD(ROWS(C$2:C3287)-1,24))</f>
        <v>22.00</v>
      </c>
      <c r="D3287" s="8" t="str">
        <f t="shared" ca="1" si="155"/>
        <v>—</v>
      </c>
      <c r="E3287" s="16">
        <f t="shared" ca="1" si="156"/>
        <v>7</v>
      </c>
    </row>
    <row r="3288" spans="1:5" x14ac:dyDescent="0.25">
      <c r="A3288" s="3">
        <f t="shared" si="154"/>
        <v>78989</v>
      </c>
      <c r="B3288" t="str">
        <f ca="1">TEXT(DATE(YEAR(Invoer!$A$5),1,1)+INT((ROWS(B$2:B3288)-1)/24),"""18""jjmmdd")</f>
        <v>18980517</v>
      </c>
      <c r="C3288" s="11" t="str">
        <f>INDEX(Data,2,2+MOD(ROWS(C$2:C3288)-1,24))</f>
        <v>23.00</v>
      </c>
      <c r="D3288" s="8" t="str">
        <f t="shared" ca="1" si="155"/>
        <v>—</v>
      </c>
      <c r="E3288" s="16">
        <f t="shared" ca="1" si="156"/>
        <v>7</v>
      </c>
    </row>
    <row r="3289" spans="1:5" x14ac:dyDescent="0.25">
      <c r="A3289" s="3">
        <f t="shared" si="154"/>
        <v>78989</v>
      </c>
      <c r="B3289" t="str">
        <f ca="1">TEXT(DATE(YEAR(Invoer!$A$5),1,1)+INT((ROWS(B$2:B3289)-1)/24),"""18""jjmmdd")</f>
        <v>18980517</v>
      </c>
      <c r="C3289" s="11" t="str">
        <f>INDEX(Data,2,2+MOD(ROWS(C$2:C3289)-1,24))</f>
        <v>24.00</v>
      </c>
      <c r="D3289" s="8" t="str">
        <f t="shared" ca="1" si="155"/>
        <v>—</v>
      </c>
      <c r="E3289" s="16">
        <f t="shared" ca="1" si="156"/>
        <v>7</v>
      </c>
    </row>
    <row r="3290" spans="1:5" x14ac:dyDescent="0.25">
      <c r="A3290" s="3">
        <f t="shared" si="154"/>
        <v>78989</v>
      </c>
      <c r="B3290" t="str">
        <f ca="1">TEXT(DATE(YEAR(Invoer!$A$5),1,1)+INT((ROWS(B$2:B3290)-1)/24),"""18""jjmmdd")</f>
        <v>18980518</v>
      </c>
      <c r="C3290" s="11" t="str">
        <f>INDEX(Data,2,2+MOD(ROWS(C$2:C3290)-1,24))</f>
        <v>01.00</v>
      </c>
      <c r="D3290" s="8" t="str">
        <f t="shared" ca="1" si="155"/>
        <v>—</v>
      </c>
      <c r="E3290" s="16">
        <f t="shared" ca="1" si="156"/>
        <v>7</v>
      </c>
    </row>
    <row r="3291" spans="1:5" x14ac:dyDescent="0.25">
      <c r="A3291" s="3">
        <f t="shared" si="154"/>
        <v>78989</v>
      </c>
      <c r="B3291" t="str">
        <f ca="1">TEXT(DATE(YEAR(Invoer!$A$5),1,1)+INT((ROWS(B$2:B3291)-1)/24),"""18""jjmmdd")</f>
        <v>18980518</v>
      </c>
      <c r="C3291" s="11" t="str">
        <f>INDEX(Data,2,2+MOD(ROWS(C$2:C3291)-1,24))</f>
        <v>02.00</v>
      </c>
      <c r="D3291" s="8" t="str">
        <f t="shared" ca="1" si="155"/>
        <v>—</v>
      </c>
      <c r="E3291" s="16">
        <f t="shared" ca="1" si="156"/>
        <v>7</v>
      </c>
    </row>
    <row r="3292" spans="1:5" x14ac:dyDescent="0.25">
      <c r="A3292" s="3">
        <f t="shared" si="154"/>
        <v>78989</v>
      </c>
      <c r="B3292" t="str">
        <f ca="1">TEXT(DATE(YEAR(Invoer!$A$5),1,1)+INT((ROWS(B$2:B3292)-1)/24),"""18""jjmmdd")</f>
        <v>18980518</v>
      </c>
      <c r="C3292" s="11" t="str">
        <f>INDEX(Data,2,2+MOD(ROWS(C$2:C3292)-1,24))</f>
        <v>03.00</v>
      </c>
      <c r="D3292" s="8" t="str">
        <f t="shared" ca="1" si="155"/>
        <v>—</v>
      </c>
      <c r="E3292" s="16">
        <f t="shared" ca="1" si="156"/>
        <v>7</v>
      </c>
    </row>
    <row r="3293" spans="1:5" x14ac:dyDescent="0.25">
      <c r="A3293" s="3">
        <f t="shared" si="154"/>
        <v>78989</v>
      </c>
      <c r="B3293" t="str">
        <f ca="1">TEXT(DATE(YEAR(Invoer!$A$5),1,1)+INT((ROWS(B$2:B3293)-1)/24),"""18""jjmmdd")</f>
        <v>18980518</v>
      </c>
      <c r="C3293" s="11" t="str">
        <f>INDEX(Data,2,2+MOD(ROWS(C$2:C3293)-1,24))</f>
        <v>04.00</v>
      </c>
      <c r="D3293" s="8" t="str">
        <f t="shared" ca="1" si="155"/>
        <v>—</v>
      </c>
      <c r="E3293" s="16">
        <f t="shared" ca="1" si="156"/>
        <v>7</v>
      </c>
    </row>
    <row r="3294" spans="1:5" x14ac:dyDescent="0.25">
      <c r="A3294" s="3">
        <f t="shared" si="154"/>
        <v>78989</v>
      </c>
      <c r="B3294" t="str">
        <f ca="1">TEXT(DATE(YEAR(Invoer!$A$5),1,1)+INT((ROWS(B$2:B3294)-1)/24),"""18""jjmmdd")</f>
        <v>18980518</v>
      </c>
      <c r="C3294" s="11" t="str">
        <f>INDEX(Data,2,2+MOD(ROWS(C$2:C3294)-1,24))</f>
        <v>05.00</v>
      </c>
      <c r="D3294" s="8" t="str">
        <f t="shared" ca="1" si="155"/>
        <v>—</v>
      </c>
      <c r="E3294" s="16">
        <f t="shared" ca="1" si="156"/>
        <v>7</v>
      </c>
    </row>
    <row r="3295" spans="1:5" x14ac:dyDescent="0.25">
      <c r="A3295" s="3">
        <f t="shared" si="154"/>
        <v>78989</v>
      </c>
      <c r="B3295" t="str">
        <f ca="1">TEXT(DATE(YEAR(Invoer!$A$5),1,1)+INT((ROWS(B$2:B3295)-1)/24),"""18""jjmmdd")</f>
        <v>18980518</v>
      </c>
      <c r="C3295" s="11" t="str">
        <f>INDEX(Data,2,2+MOD(ROWS(C$2:C3295)-1,24))</f>
        <v>06.00</v>
      </c>
      <c r="D3295" s="8" t="str">
        <f t="shared" ca="1" si="155"/>
        <v>—</v>
      </c>
      <c r="E3295" s="16">
        <f t="shared" ca="1" si="156"/>
        <v>7</v>
      </c>
    </row>
    <row r="3296" spans="1:5" x14ac:dyDescent="0.25">
      <c r="A3296" s="3">
        <f t="shared" si="154"/>
        <v>78989</v>
      </c>
      <c r="B3296" t="str">
        <f ca="1">TEXT(DATE(YEAR(Invoer!$A$5),1,1)+INT((ROWS(B$2:B3296)-1)/24),"""18""jjmmdd")</f>
        <v>18980518</v>
      </c>
      <c r="C3296" s="11" t="str">
        <f>INDEX(Data,2,2+MOD(ROWS(C$2:C3296)-1,24))</f>
        <v>07.00</v>
      </c>
      <c r="D3296" s="8" t="str">
        <f t="shared" ca="1" si="155"/>
        <v>—</v>
      </c>
      <c r="E3296" s="16">
        <f t="shared" ca="1" si="156"/>
        <v>7</v>
      </c>
    </row>
    <row r="3297" spans="1:5" x14ac:dyDescent="0.25">
      <c r="A3297" s="3">
        <f t="shared" si="154"/>
        <v>78989</v>
      </c>
      <c r="B3297" t="str">
        <f ca="1">TEXT(DATE(YEAR(Invoer!$A$5),1,1)+INT((ROWS(B$2:B3297)-1)/24),"""18""jjmmdd")</f>
        <v>18980518</v>
      </c>
      <c r="C3297" s="11" t="str">
        <f>INDEX(Data,2,2+MOD(ROWS(C$2:C3297)-1,24))</f>
        <v>08.00</v>
      </c>
      <c r="D3297" s="8" t="str">
        <f t="shared" ca="1" si="155"/>
        <v>—</v>
      </c>
      <c r="E3297" s="16">
        <f t="shared" ca="1" si="156"/>
        <v>7</v>
      </c>
    </row>
    <row r="3298" spans="1:5" x14ac:dyDescent="0.25">
      <c r="A3298" s="3">
        <f t="shared" si="154"/>
        <v>78989</v>
      </c>
      <c r="B3298" t="str">
        <f ca="1">TEXT(DATE(YEAR(Invoer!$A$5),1,1)+INT((ROWS(B$2:B3298)-1)/24),"""18""jjmmdd")</f>
        <v>18980518</v>
      </c>
      <c r="C3298" s="11" t="str">
        <f>INDEX(Data,2,2+MOD(ROWS(C$2:C3298)-1,24))</f>
        <v>09.00</v>
      </c>
      <c r="D3298" s="8" t="str">
        <f t="shared" ca="1" si="155"/>
        <v>—</v>
      </c>
      <c r="E3298" s="16">
        <f t="shared" ca="1" si="156"/>
        <v>7</v>
      </c>
    </row>
    <row r="3299" spans="1:5" x14ac:dyDescent="0.25">
      <c r="A3299" s="3">
        <f t="shared" si="154"/>
        <v>78989</v>
      </c>
      <c r="B3299" t="str">
        <f ca="1">TEXT(DATE(YEAR(Invoer!$A$5),1,1)+INT((ROWS(B$2:B3299)-1)/24),"""18""jjmmdd")</f>
        <v>18980518</v>
      </c>
      <c r="C3299" s="11" t="str">
        <f>INDEX(Data,2,2+MOD(ROWS(C$2:C3299)-1,24))</f>
        <v>10.00</v>
      </c>
      <c r="D3299" s="8" t="str">
        <f t="shared" ca="1" si="155"/>
        <v>—</v>
      </c>
      <c r="E3299" s="16">
        <f t="shared" ca="1" si="156"/>
        <v>7</v>
      </c>
    </row>
    <row r="3300" spans="1:5" x14ac:dyDescent="0.25">
      <c r="A3300" s="3">
        <f t="shared" si="154"/>
        <v>78989</v>
      </c>
      <c r="B3300" t="str">
        <f ca="1">TEXT(DATE(YEAR(Invoer!$A$5),1,1)+INT((ROWS(B$2:B3300)-1)/24),"""18""jjmmdd")</f>
        <v>18980518</v>
      </c>
      <c r="C3300" s="11" t="str">
        <f>INDEX(Data,2,2+MOD(ROWS(C$2:C3300)-1,24))</f>
        <v>11.00</v>
      </c>
      <c r="D3300" s="8" t="str">
        <f t="shared" ca="1" si="155"/>
        <v>—</v>
      </c>
      <c r="E3300" s="16">
        <f t="shared" ca="1" si="156"/>
        <v>7</v>
      </c>
    </row>
    <row r="3301" spans="1:5" x14ac:dyDescent="0.25">
      <c r="A3301" s="3">
        <f t="shared" si="154"/>
        <v>78989</v>
      </c>
      <c r="B3301" t="str">
        <f ca="1">TEXT(DATE(YEAR(Invoer!$A$5),1,1)+INT((ROWS(B$2:B3301)-1)/24),"""18""jjmmdd")</f>
        <v>18980518</v>
      </c>
      <c r="C3301" s="11" t="str">
        <f>INDEX(Data,2,2+MOD(ROWS(C$2:C3301)-1,24))</f>
        <v>12.00</v>
      </c>
      <c r="D3301" s="8" t="str">
        <f t="shared" ca="1" si="155"/>
        <v>—</v>
      </c>
      <c r="E3301" s="16">
        <f t="shared" ca="1" si="156"/>
        <v>7</v>
      </c>
    </row>
    <row r="3302" spans="1:5" x14ac:dyDescent="0.25">
      <c r="A3302" s="3">
        <f t="shared" si="154"/>
        <v>78989</v>
      </c>
      <c r="B3302" t="str">
        <f ca="1">TEXT(DATE(YEAR(Invoer!$A$5),1,1)+INT((ROWS(B$2:B3302)-1)/24),"""18""jjmmdd")</f>
        <v>18980518</v>
      </c>
      <c r="C3302" s="11" t="str">
        <f>INDEX(Data,2,2+MOD(ROWS(C$2:C3302)-1,24))</f>
        <v>13.00</v>
      </c>
      <c r="D3302" s="8" t="str">
        <f t="shared" ca="1" si="155"/>
        <v>—</v>
      </c>
      <c r="E3302" s="16">
        <f t="shared" ca="1" si="156"/>
        <v>7</v>
      </c>
    </row>
    <row r="3303" spans="1:5" x14ac:dyDescent="0.25">
      <c r="A3303" s="3">
        <f t="shared" si="154"/>
        <v>78989</v>
      </c>
      <c r="B3303" t="str">
        <f ca="1">TEXT(DATE(YEAR(Invoer!$A$5),1,1)+INT((ROWS(B$2:B3303)-1)/24),"""18""jjmmdd")</f>
        <v>18980518</v>
      </c>
      <c r="C3303" s="11" t="str">
        <f>INDEX(Data,2,2+MOD(ROWS(C$2:C3303)-1,24))</f>
        <v>14.00</v>
      </c>
      <c r="D3303" s="8" t="str">
        <f t="shared" ca="1" si="155"/>
        <v>—</v>
      </c>
      <c r="E3303" s="16">
        <f t="shared" ca="1" si="156"/>
        <v>7</v>
      </c>
    </row>
    <row r="3304" spans="1:5" x14ac:dyDescent="0.25">
      <c r="A3304" s="3">
        <f t="shared" si="154"/>
        <v>78989</v>
      </c>
      <c r="B3304" t="str">
        <f ca="1">TEXT(DATE(YEAR(Invoer!$A$5),1,1)+INT((ROWS(B$2:B3304)-1)/24),"""18""jjmmdd")</f>
        <v>18980518</v>
      </c>
      <c r="C3304" s="11" t="str">
        <f>INDEX(Data,2,2+MOD(ROWS(C$2:C3304)-1,24))</f>
        <v>15.00</v>
      </c>
      <c r="D3304" s="8" t="str">
        <f t="shared" ca="1" si="155"/>
        <v>—</v>
      </c>
      <c r="E3304" s="16">
        <f t="shared" ca="1" si="156"/>
        <v>7</v>
      </c>
    </row>
    <row r="3305" spans="1:5" x14ac:dyDescent="0.25">
      <c r="A3305" s="3">
        <f t="shared" si="154"/>
        <v>78989</v>
      </c>
      <c r="B3305" t="str">
        <f ca="1">TEXT(DATE(YEAR(Invoer!$A$5),1,1)+INT((ROWS(B$2:B3305)-1)/24),"""18""jjmmdd")</f>
        <v>18980518</v>
      </c>
      <c r="C3305" s="11" t="str">
        <f>INDEX(Data,2,2+MOD(ROWS(C$2:C3305)-1,24))</f>
        <v>16.00</v>
      </c>
      <c r="D3305" s="8" t="str">
        <f t="shared" ca="1" si="155"/>
        <v>—</v>
      </c>
      <c r="E3305" s="16">
        <f t="shared" ca="1" si="156"/>
        <v>7</v>
      </c>
    </row>
    <row r="3306" spans="1:5" x14ac:dyDescent="0.25">
      <c r="A3306" s="3">
        <f t="shared" si="154"/>
        <v>78989</v>
      </c>
      <c r="B3306" t="str">
        <f ca="1">TEXT(DATE(YEAR(Invoer!$A$5),1,1)+INT((ROWS(B$2:B3306)-1)/24),"""18""jjmmdd")</f>
        <v>18980518</v>
      </c>
      <c r="C3306" s="11" t="str">
        <f>INDEX(Data,2,2+MOD(ROWS(C$2:C3306)-1,24))</f>
        <v>17.00</v>
      </c>
      <c r="D3306" s="8" t="str">
        <f t="shared" ca="1" si="155"/>
        <v>—</v>
      </c>
      <c r="E3306" s="16">
        <f t="shared" ca="1" si="156"/>
        <v>7</v>
      </c>
    </row>
    <row r="3307" spans="1:5" x14ac:dyDescent="0.25">
      <c r="A3307" s="3">
        <f t="shared" si="154"/>
        <v>78989</v>
      </c>
      <c r="B3307" t="str">
        <f ca="1">TEXT(DATE(YEAR(Invoer!$A$5),1,1)+INT((ROWS(B$2:B3307)-1)/24),"""18""jjmmdd")</f>
        <v>18980518</v>
      </c>
      <c r="C3307" s="11" t="str">
        <f>INDEX(Data,2,2+MOD(ROWS(C$2:C3307)-1,24))</f>
        <v>18.00</v>
      </c>
      <c r="D3307" s="8" t="str">
        <f t="shared" ca="1" si="155"/>
        <v>—</v>
      </c>
      <c r="E3307" s="16">
        <f t="shared" ca="1" si="156"/>
        <v>7</v>
      </c>
    </row>
    <row r="3308" spans="1:5" x14ac:dyDescent="0.25">
      <c r="A3308" s="3">
        <f t="shared" si="154"/>
        <v>78989</v>
      </c>
      <c r="B3308" t="str">
        <f ca="1">TEXT(DATE(YEAR(Invoer!$A$5),1,1)+INT((ROWS(B$2:B3308)-1)/24),"""18""jjmmdd")</f>
        <v>18980518</v>
      </c>
      <c r="C3308" s="11" t="str">
        <f>INDEX(Data,2,2+MOD(ROWS(C$2:C3308)-1,24))</f>
        <v>19.00</v>
      </c>
      <c r="D3308" s="8" t="str">
        <f t="shared" ca="1" si="155"/>
        <v>—</v>
      </c>
      <c r="E3308" s="16">
        <f t="shared" ca="1" si="156"/>
        <v>7</v>
      </c>
    </row>
    <row r="3309" spans="1:5" x14ac:dyDescent="0.25">
      <c r="A3309" s="3">
        <f t="shared" si="154"/>
        <v>78989</v>
      </c>
      <c r="B3309" t="str">
        <f ca="1">TEXT(DATE(YEAR(Invoer!$A$5),1,1)+INT((ROWS(B$2:B3309)-1)/24),"""18""jjmmdd")</f>
        <v>18980518</v>
      </c>
      <c r="C3309" s="11" t="str">
        <f>INDEX(Data,2,2+MOD(ROWS(C$2:C3309)-1,24))</f>
        <v>20.00</v>
      </c>
      <c r="D3309" s="8" t="str">
        <f t="shared" ca="1" si="155"/>
        <v>—</v>
      </c>
      <c r="E3309" s="16">
        <f t="shared" ca="1" si="156"/>
        <v>7</v>
      </c>
    </row>
    <row r="3310" spans="1:5" x14ac:dyDescent="0.25">
      <c r="A3310" s="3">
        <f t="shared" si="154"/>
        <v>78989</v>
      </c>
      <c r="B3310" t="str">
        <f ca="1">TEXT(DATE(YEAR(Invoer!$A$5),1,1)+INT((ROWS(B$2:B3310)-1)/24),"""18""jjmmdd")</f>
        <v>18980518</v>
      </c>
      <c r="C3310" s="11" t="str">
        <f>INDEX(Data,2,2+MOD(ROWS(C$2:C3310)-1,24))</f>
        <v>21.00</v>
      </c>
      <c r="D3310" s="8" t="str">
        <f t="shared" ca="1" si="155"/>
        <v>—</v>
      </c>
      <c r="E3310" s="16">
        <f t="shared" ca="1" si="156"/>
        <v>7</v>
      </c>
    </row>
    <row r="3311" spans="1:5" x14ac:dyDescent="0.25">
      <c r="A3311" s="3">
        <f t="shared" si="154"/>
        <v>78989</v>
      </c>
      <c r="B3311" t="str">
        <f ca="1">TEXT(DATE(YEAR(Invoer!$A$5),1,1)+INT((ROWS(B$2:B3311)-1)/24),"""18""jjmmdd")</f>
        <v>18980518</v>
      </c>
      <c r="C3311" s="11" t="str">
        <f>INDEX(Data,2,2+MOD(ROWS(C$2:C3311)-1,24))</f>
        <v>22.00</v>
      </c>
      <c r="D3311" s="8" t="str">
        <f t="shared" ca="1" si="155"/>
        <v>—</v>
      </c>
      <c r="E3311" s="16">
        <f t="shared" ca="1" si="156"/>
        <v>7</v>
      </c>
    </row>
    <row r="3312" spans="1:5" x14ac:dyDescent="0.25">
      <c r="A3312" s="3">
        <f t="shared" si="154"/>
        <v>78989</v>
      </c>
      <c r="B3312" t="str">
        <f ca="1">TEXT(DATE(YEAR(Invoer!$A$5),1,1)+INT((ROWS(B$2:B3312)-1)/24),"""18""jjmmdd")</f>
        <v>18980518</v>
      </c>
      <c r="C3312" s="11" t="str">
        <f>INDEX(Data,2,2+MOD(ROWS(C$2:C3312)-1,24))</f>
        <v>23.00</v>
      </c>
      <c r="D3312" s="8" t="str">
        <f t="shared" ca="1" si="155"/>
        <v>—</v>
      </c>
      <c r="E3312" s="16">
        <f t="shared" ca="1" si="156"/>
        <v>7</v>
      </c>
    </row>
    <row r="3313" spans="1:5" x14ac:dyDescent="0.25">
      <c r="A3313" s="3">
        <f t="shared" si="154"/>
        <v>78989</v>
      </c>
      <c r="B3313" t="str">
        <f ca="1">TEXT(DATE(YEAR(Invoer!$A$5),1,1)+INT((ROWS(B$2:B3313)-1)/24),"""18""jjmmdd")</f>
        <v>18980518</v>
      </c>
      <c r="C3313" s="11" t="str">
        <f>INDEX(Data,2,2+MOD(ROWS(C$2:C3313)-1,24))</f>
        <v>24.00</v>
      </c>
      <c r="D3313" s="8" t="str">
        <f t="shared" ca="1" si="155"/>
        <v>—</v>
      </c>
      <c r="E3313" s="16">
        <f t="shared" ca="1" si="156"/>
        <v>7</v>
      </c>
    </row>
    <row r="3314" spans="1:5" x14ac:dyDescent="0.25">
      <c r="A3314" s="3">
        <f t="shared" si="154"/>
        <v>78989</v>
      </c>
      <c r="B3314" t="str">
        <f ca="1">TEXT(DATE(YEAR(Invoer!$A$5),1,1)+INT((ROWS(B$2:B3314)-1)/24),"""18""jjmmdd")</f>
        <v>18980519</v>
      </c>
      <c r="C3314" s="11" t="str">
        <f>INDEX(Data,2,2+MOD(ROWS(C$2:C3314)-1,24))</f>
        <v>01.00</v>
      </c>
      <c r="D3314" s="8" t="str">
        <f t="shared" ca="1" si="155"/>
        <v>—</v>
      </c>
      <c r="E3314" s="16">
        <f t="shared" ca="1" si="156"/>
        <v>7</v>
      </c>
    </row>
    <row r="3315" spans="1:5" x14ac:dyDescent="0.25">
      <c r="A3315" s="3">
        <f t="shared" si="154"/>
        <v>78989</v>
      </c>
      <c r="B3315" t="str">
        <f ca="1">TEXT(DATE(YEAR(Invoer!$A$5),1,1)+INT((ROWS(B$2:B3315)-1)/24),"""18""jjmmdd")</f>
        <v>18980519</v>
      </c>
      <c r="C3315" s="11" t="str">
        <f>INDEX(Data,2,2+MOD(ROWS(C$2:C3315)-1,24))</f>
        <v>02.00</v>
      </c>
      <c r="D3315" s="8" t="str">
        <f t="shared" ca="1" si="155"/>
        <v>—</v>
      </c>
      <c r="E3315" s="16">
        <f t="shared" ca="1" si="156"/>
        <v>7</v>
      </c>
    </row>
    <row r="3316" spans="1:5" x14ac:dyDescent="0.25">
      <c r="A3316" s="3">
        <f t="shared" si="154"/>
        <v>78989</v>
      </c>
      <c r="B3316" t="str">
        <f ca="1">TEXT(DATE(YEAR(Invoer!$A$5),1,1)+INT((ROWS(B$2:B3316)-1)/24),"""18""jjmmdd")</f>
        <v>18980519</v>
      </c>
      <c r="C3316" s="11" t="str">
        <f>INDEX(Data,2,2+MOD(ROWS(C$2:C3316)-1,24))</f>
        <v>03.00</v>
      </c>
      <c r="D3316" s="8" t="str">
        <f t="shared" ca="1" si="155"/>
        <v>—</v>
      </c>
      <c r="E3316" s="16">
        <f t="shared" ca="1" si="156"/>
        <v>7</v>
      </c>
    </row>
    <row r="3317" spans="1:5" x14ac:dyDescent="0.25">
      <c r="A3317" s="3">
        <f t="shared" si="154"/>
        <v>78989</v>
      </c>
      <c r="B3317" t="str">
        <f ca="1">TEXT(DATE(YEAR(Invoer!$A$5),1,1)+INT((ROWS(B$2:B3317)-1)/24),"""18""jjmmdd")</f>
        <v>18980519</v>
      </c>
      <c r="C3317" s="11" t="str">
        <f>INDEX(Data,2,2+MOD(ROWS(C$2:C3317)-1,24))</f>
        <v>04.00</v>
      </c>
      <c r="D3317" s="8" t="str">
        <f t="shared" ca="1" si="155"/>
        <v>—</v>
      </c>
      <c r="E3317" s="16">
        <f t="shared" ca="1" si="156"/>
        <v>7</v>
      </c>
    </row>
    <row r="3318" spans="1:5" x14ac:dyDescent="0.25">
      <c r="A3318" s="3">
        <f t="shared" si="154"/>
        <v>78989</v>
      </c>
      <c r="B3318" t="str">
        <f ca="1">TEXT(DATE(YEAR(Invoer!$A$5),1,1)+INT((ROWS(B$2:B3318)-1)/24),"""18""jjmmdd")</f>
        <v>18980519</v>
      </c>
      <c r="C3318" s="11" t="str">
        <f>INDEX(Data,2,2+MOD(ROWS(C$2:C3318)-1,24))</f>
        <v>05.00</v>
      </c>
      <c r="D3318" s="8" t="str">
        <f t="shared" ca="1" si="155"/>
        <v>—</v>
      </c>
      <c r="E3318" s="16">
        <f t="shared" ca="1" si="156"/>
        <v>7</v>
      </c>
    </row>
    <row r="3319" spans="1:5" x14ac:dyDescent="0.25">
      <c r="A3319" s="3">
        <f t="shared" si="154"/>
        <v>78989</v>
      </c>
      <c r="B3319" t="str">
        <f ca="1">TEXT(DATE(YEAR(Invoer!$A$5),1,1)+INT((ROWS(B$2:B3319)-1)/24),"""18""jjmmdd")</f>
        <v>18980519</v>
      </c>
      <c r="C3319" s="11" t="str">
        <f>INDEX(Data,2,2+MOD(ROWS(C$2:C3319)-1,24))</f>
        <v>06.00</v>
      </c>
      <c r="D3319" s="8" t="str">
        <f t="shared" ca="1" si="155"/>
        <v>—</v>
      </c>
      <c r="E3319" s="16">
        <f t="shared" ca="1" si="156"/>
        <v>7</v>
      </c>
    </row>
    <row r="3320" spans="1:5" x14ac:dyDescent="0.25">
      <c r="A3320" s="3">
        <f t="shared" si="154"/>
        <v>78989</v>
      </c>
      <c r="B3320" t="str">
        <f ca="1">TEXT(DATE(YEAR(Invoer!$A$5),1,1)+INT((ROWS(B$2:B3320)-1)/24),"""18""jjmmdd")</f>
        <v>18980519</v>
      </c>
      <c r="C3320" s="11" t="str">
        <f>INDEX(Data,2,2+MOD(ROWS(C$2:C3320)-1,24))</f>
        <v>07.00</v>
      </c>
      <c r="D3320" s="8" t="str">
        <f t="shared" ca="1" si="155"/>
        <v>—</v>
      </c>
      <c r="E3320" s="16">
        <f t="shared" ca="1" si="156"/>
        <v>7</v>
      </c>
    </row>
    <row r="3321" spans="1:5" x14ac:dyDescent="0.25">
      <c r="A3321" s="3">
        <f t="shared" si="154"/>
        <v>78989</v>
      </c>
      <c r="B3321" t="str">
        <f ca="1">TEXT(DATE(YEAR(Invoer!$A$5),1,1)+INT((ROWS(B$2:B3321)-1)/24),"""18""jjmmdd")</f>
        <v>18980519</v>
      </c>
      <c r="C3321" s="11" t="str">
        <f>INDEX(Data,2,2+MOD(ROWS(C$2:C3321)-1,24))</f>
        <v>08.00</v>
      </c>
      <c r="D3321" s="8" t="str">
        <f t="shared" ca="1" si="155"/>
        <v>—</v>
      </c>
      <c r="E3321" s="16">
        <f t="shared" ca="1" si="156"/>
        <v>7</v>
      </c>
    </row>
    <row r="3322" spans="1:5" x14ac:dyDescent="0.25">
      <c r="A3322" s="3">
        <f t="shared" si="154"/>
        <v>78989</v>
      </c>
      <c r="B3322" t="str">
        <f ca="1">TEXT(DATE(YEAR(Invoer!$A$5),1,1)+INT((ROWS(B$2:B3322)-1)/24),"""18""jjmmdd")</f>
        <v>18980519</v>
      </c>
      <c r="C3322" s="11" t="str">
        <f>INDEX(Data,2,2+MOD(ROWS(C$2:C3322)-1,24))</f>
        <v>09.00</v>
      </c>
      <c r="D3322" s="8" t="str">
        <f t="shared" ca="1" si="155"/>
        <v>—</v>
      </c>
      <c r="E3322" s="16">
        <f t="shared" ca="1" si="156"/>
        <v>7</v>
      </c>
    </row>
    <row r="3323" spans="1:5" x14ac:dyDescent="0.25">
      <c r="A3323" s="3">
        <f t="shared" si="154"/>
        <v>78989</v>
      </c>
      <c r="B3323" t="str">
        <f ca="1">TEXT(DATE(YEAR(Invoer!$A$5),1,1)+INT((ROWS(B$2:B3323)-1)/24),"""18""jjmmdd")</f>
        <v>18980519</v>
      </c>
      <c r="C3323" s="11" t="str">
        <f>INDEX(Data,2,2+MOD(ROWS(C$2:C3323)-1,24))</f>
        <v>10.00</v>
      </c>
      <c r="D3323" s="8" t="str">
        <f t="shared" ca="1" si="155"/>
        <v>—</v>
      </c>
      <c r="E3323" s="16">
        <f t="shared" ca="1" si="156"/>
        <v>7</v>
      </c>
    </row>
    <row r="3324" spans="1:5" x14ac:dyDescent="0.25">
      <c r="A3324" s="3">
        <f t="shared" si="154"/>
        <v>78989</v>
      </c>
      <c r="B3324" t="str">
        <f ca="1">TEXT(DATE(YEAR(Invoer!$A$5),1,1)+INT((ROWS(B$2:B3324)-1)/24),"""18""jjmmdd")</f>
        <v>18980519</v>
      </c>
      <c r="C3324" s="11" t="str">
        <f>INDEX(Data,2,2+MOD(ROWS(C$2:C3324)-1,24))</f>
        <v>11.00</v>
      </c>
      <c r="D3324" s="8" t="str">
        <f t="shared" ca="1" si="155"/>
        <v>—</v>
      </c>
      <c r="E3324" s="16">
        <f t="shared" ca="1" si="156"/>
        <v>7</v>
      </c>
    </row>
    <row r="3325" spans="1:5" x14ac:dyDescent="0.25">
      <c r="A3325" s="3">
        <f t="shared" si="154"/>
        <v>78989</v>
      </c>
      <c r="B3325" t="str">
        <f ca="1">TEXT(DATE(YEAR(Invoer!$A$5),1,1)+INT((ROWS(B$2:B3325)-1)/24),"""18""jjmmdd")</f>
        <v>18980519</v>
      </c>
      <c r="C3325" s="11" t="str">
        <f>INDEX(Data,2,2+MOD(ROWS(C$2:C3325)-1,24))</f>
        <v>12.00</v>
      </c>
      <c r="D3325" s="8" t="str">
        <f t="shared" ca="1" si="155"/>
        <v>—</v>
      </c>
      <c r="E3325" s="16">
        <f t="shared" ca="1" si="156"/>
        <v>7</v>
      </c>
    </row>
    <row r="3326" spans="1:5" x14ac:dyDescent="0.25">
      <c r="A3326" s="3">
        <f t="shared" si="154"/>
        <v>78989</v>
      </c>
      <c r="B3326" t="str">
        <f ca="1">TEXT(DATE(YEAR(Invoer!$A$5),1,1)+INT((ROWS(B$2:B3326)-1)/24),"""18""jjmmdd")</f>
        <v>18980519</v>
      </c>
      <c r="C3326" s="11" t="str">
        <f>INDEX(Data,2,2+MOD(ROWS(C$2:C3326)-1,24))</f>
        <v>13.00</v>
      </c>
      <c r="D3326" s="8" t="str">
        <f t="shared" ca="1" si="155"/>
        <v>—</v>
      </c>
      <c r="E3326" s="16">
        <f t="shared" ca="1" si="156"/>
        <v>7</v>
      </c>
    </row>
    <row r="3327" spans="1:5" x14ac:dyDescent="0.25">
      <c r="A3327" s="3">
        <f t="shared" si="154"/>
        <v>78989</v>
      </c>
      <c r="B3327" t="str">
        <f ca="1">TEXT(DATE(YEAR(Invoer!$A$5),1,1)+INT((ROWS(B$2:B3327)-1)/24),"""18""jjmmdd")</f>
        <v>18980519</v>
      </c>
      <c r="C3327" s="11" t="str">
        <f>INDEX(Data,2,2+MOD(ROWS(C$2:C3327)-1,24))</f>
        <v>14.00</v>
      </c>
      <c r="D3327" s="8" t="str">
        <f t="shared" ca="1" si="155"/>
        <v>—</v>
      </c>
      <c r="E3327" s="16">
        <f t="shared" ca="1" si="156"/>
        <v>7</v>
      </c>
    </row>
    <row r="3328" spans="1:5" x14ac:dyDescent="0.25">
      <c r="A3328" s="3">
        <f t="shared" si="154"/>
        <v>78989</v>
      </c>
      <c r="B3328" t="str">
        <f ca="1">TEXT(DATE(YEAR(Invoer!$A$5),1,1)+INT((ROWS(B$2:B3328)-1)/24),"""18""jjmmdd")</f>
        <v>18980519</v>
      </c>
      <c r="C3328" s="11" t="str">
        <f>INDEX(Data,2,2+MOD(ROWS(C$2:C3328)-1,24))</f>
        <v>15.00</v>
      </c>
      <c r="D3328" s="8" t="str">
        <f t="shared" ca="1" si="155"/>
        <v>—</v>
      </c>
      <c r="E3328" s="16">
        <f t="shared" ca="1" si="156"/>
        <v>7</v>
      </c>
    </row>
    <row r="3329" spans="1:5" x14ac:dyDescent="0.25">
      <c r="A3329" s="3">
        <f t="shared" si="154"/>
        <v>78989</v>
      </c>
      <c r="B3329" t="str">
        <f ca="1">TEXT(DATE(YEAR(Invoer!$A$5),1,1)+INT((ROWS(B$2:B3329)-1)/24),"""18""jjmmdd")</f>
        <v>18980519</v>
      </c>
      <c r="C3329" s="11" t="str">
        <f>INDEX(Data,2,2+MOD(ROWS(C$2:C3329)-1,24))</f>
        <v>16.00</v>
      </c>
      <c r="D3329" s="8" t="str">
        <f t="shared" ca="1" si="155"/>
        <v>—</v>
      </c>
      <c r="E3329" s="16">
        <f t="shared" ca="1" si="156"/>
        <v>7</v>
      </c>
    </row>
    <row r="3330" spans="1:5" x14ac:dyDescent="0.25">
      <c r="A3330" s="3">
        <f t="shared" ref="A3330:A3393" si="157">INDEX(Stations,2,1)</f>
        <v>78989</v>
      </c>
      <c r="B3330" t="str">
        <f ca="1">TEXT(DATE(YEAR(Invoer!$A$5),1,1)+INT((ROWS(B$2:B3330)-1)/24),"""18""jjmmdd")</f>
        <v>18980519</v>
      </c>
      <c r="C3330" s="11" t="str">
        <f>INDEX(Data,2,2+MOD(ROWS(C$2:C3330)-1,24))</f>
        <v>17.00</v>
      </c>
      <c r="D3330" s="8" t="str">
        <f t="shared" ref="D3330:D3393" ca="1" si="158">IF(OR(ISBLANK(VLOOKUP(DATEVALUE("37"&amp;MID($B3330,3,2)&amp;"-"&amp;MID($B3330,5,2)&amp;"-"&amp;RIGHT($B3330,2)),Data,MATCH(LEFT(VLOOKUP(D$1,Parameters,2,FALSE()),4)&amp;"*",OFFSET(Data,0,0,1),0)+MATCH($C3330,OFFSET(Data,1,0,1),0)-2,FALSE())),ISTEXT(VLOOKUP(DATEVALUE("37"&amp;MID($B3330,3,2)&amp;"-"&amp;MID($B3330,5,2)&amp;"-"&amp;RIGHT($B3330,2)),Data,MATCH(LEFT(VLOOKUP(D$1,Parameters,2,FALSE()),4)&amp;"*",OFFSET(Data,0,0,1),0)+MATCH($C3330,OFFSET(Data,1,0,1),0)-2,FALSE()))),"—",VLOOKUP(DATEVALUE("37"&amp;MID($B3330,3,2)&amp;"-"&amp;MID($B3330,5,2)&amp;"-"&amp;RIGHT($B3330,2)),Data,MATCH(LEFT(VLOOKUP(D$1,Parameters,2,FALSE()),4)&amp;"*",OFFSET(Data,0,0,1),0)+MATCH($C3330,OFFSET(Data,1,0,1),0)-2,FALSE()))</f>
        <v>—</v>
      </c>
      <c r="E3330" s="16">
        <f t="shared" ca="1" si="156"/>
        <v>7</v>
      </c>
    </row>
    <row r="3331" spans="1:5" x14ac:dyDescent="0.25">
      <c r="A3331" s="3">
        <f t="shared" si="157"/>
        <v>78989</v>
      </c>
      <c r="B3331" t="str">
        <f ca="1">TEXT(DATE(YEAR(Invoer!$A$5),1,1)+INT((ROWS(B$2:B3331)-1)/24),"""18""jjmmdd")</f>
        <v>18980519</v>
      </c>
      <c r="C3331" s="11" t="str">
        <f>INDEX(Data,2,2+MOD(ROWS(C$2:C3331)-1,24))</f>
        <v>18.00</v>
      </c>
      <c r="D3331" s="8" t="str">
        <f t="shared" ca="1" si="158"/>
        <v>—</v>
      </c>
      <c r="E3331" s="16">
        <f t="shared" ref="E3331:E3394" ca="1" si="159">IF(OR(ISBLANK(VLOOKUP(DATEVALUE("37"&amp;MID($B3331,3,2)&amp;"-"&amp;MID($B3331,5,2)&amp;"-"&amp;RIGHT($B3331,2)),Data,MATCH(LEFT(VLOOKUP(D$1,Parameters,2,FALSE()),4)&amp;"*",OFFSET(Data,0,0,1),0)+MATCH($C3331,OFFSET(Data,1,0,1),0)-2,FALSE())),ISTEXT(VLOOKUP(DATEVALUE("37"&amp;MID($B3331,3,2)&amp;"-"&amp;MID($B3331,5,2)&amp;"-"&amp;RIGHT($B3331,2)),Data,MATCH(LEFT(VLOOKUP(D$1,Parameters,2,FALSE()),4)&amp;"*",OFFSET(Data,0,0,1),0)+MATCH($C3331,OFFSET(Data,1,0,1),0)-2,FALSE()))),Lacking,IF(ISNA(MATCH(DATEVALUE("37"&amp;MID($B3331,3,2)&amp;"-"&amp;MID($B3331,5,2)&amp;"-"&amp;RIGHT($B3331,2)),OFFSET(Catalogus,0,0,,1),0)),Ok,VLOOKUP(DATEVALUE("37"&amp;MID($B3331,3,2)&amp;"-"&amp;MID($B3331,5,2)&amp;"-"&amp;RIGHT($B3331,2)),Catalogus,MATCH(LEFT(VLOOKUP(MID(E$1,2,LEN(E$1)-1),Parameters,2,FALSE()),4)&amp;"*",OFFSET(Catalogus,0,0,1),0)+MATCH($C3331,OFFSET(Catalogus,1,0,1),0)-2,FALSE())))</f>
        <v>7</v>
      </c>
    </row>
    <row r="3332" spans="1:5" x14ac:dyDescent="0.25">
      <c r="A3332" s="3">
        <f t="shared" si="157"/>
        <v>78989</v>
      </c>
      <c r="B3332" t="str">
        <f ca="1">TEXT(DATE(YEAR(Invoer!$A$5),1,1)+INT((ROWS(B$2:B3332)-1)/24),"""18""jjmmdd")</f>
        <v>18980519</v>
      </c>
      <c r="C3332" s="11" t="str">
        <f>INDEX(Data,2,2+MOD(ROWS(C$2:C3332)-1,24))</f>
        <v>19.00</v>
      </c>
      <c r="D3332" s="8" t="str">
        <f t="shared" ca="1" si="158"/>
        <v>—</v>
      </c>
      <c r="E3332" s="16">
        <f t="shared" ca="1" si="159"/>
        <v>7</v>
      </c>
    </row>
    <row r="3333" spans="1:5" x14ac:dyDescent="0.25">
      <c r="A3333" s="3">
        <f t="shared" si="157"/>
        <v>78989</v>
      </c>
      <c r="B3333" t="str">
        <f ca="1">TEXT(DATE(YEAR(Invoer!$A$5),1,1)+INT((ROWS(B$2:B3333)-1)/24),"""18""jjmmdd")</f>
        <v>18980519</v>
      </c>
      <c r="C3333" s="11" t="str">
        <f>INDEX(Data,2,2+MOD(ROWS(C$2:C3333)-1,24))</f>
        <v>20.00</v>
      </c>
      <c r="D3333" s="8" t="str">
        <f t="shared" ca="1" si="158"/>
        <v>—</v>
      </c>
      <c r="E3333" s="16">
        <f t="shared" ca="1" si="159"/>
        <v>7</v>
      </c>
    </row>
    <row r="3334" spans="1:5" x14ac:dyDescent="0.25">
      <c r="A3334" s="3">
        <f t="shared" si="157"/>
        <v>78989</v>
      </c>
      <c r="B3334" t="str">
        <f ca="1">TEXT(DATE(YEAR(Invoer!$A$5),1,1)+INT((ROWS(B$2:B3334)-1)/24),"""18""jjmmdd")</f>
        <v>18980519</v>
      </c>
      <c r="C3334" s="11" t="str">
        <f>INDEX(Data,2,2+MOD(ROWS(C$2:C3334)-1,24))</f>
        <v>21.00</v>
      </c>
      <c r="D3334" s="8" t="str">
        <f t="shared" ca="1" si="158"/>
        <v>—</v>
      </c>
      <c r="E3334" s="16">
        <f t="shared" ca="1" si="159"/>
        <v>7</v>
      </c>
    </row>
    <row r="3335" spans="1:5" x14ac:dyDescent="0.25">
      <c r="A3335" s="3">
        <f t="shared" si="157"/>
        <v>78989</v>
      </c>
      <c r="B3335" t="str">
        <f ca="1">TEXT(DATE(YEAR(Invoer!$A$5),1,1)+INT((ROWS(B$2:B3335)-1)/24),"""18""jjmmdd")</f>
        <v>18980519</v>
      </c>
      <c r="C3335" s="11" t="str">
        <f>INDEX(Data,2,2+MOD(ROWS(C$2:C3335)-1,24))</f>
        <v>22.00</v>
      </c>
      <c r="D3335" s="8" t="str">
        <f t="shared" ca="1" si="158"/>
        <v>—</v>
      </c>
      <c r="E3335" s="16">
        <f t="shared" ca="1" si="159"/>
        <v>7</v>
      </c>
    </row>
    <row r="3336" spans="1:5" x14ac:dyDescent="0.25">
      <c r="A3336" s="3">
        <f t="shared" si="157"/>
        <v>78989</v>
      </c>
      <c r="B3336" t="str">
        <f ca="1">TEXT(DATE(YEAR(Invoer!$A$5),1,1)+INT((ROWS(B$2:B3336)-1)/24),"""18""jjmmdd")</f>
        <v>18980519</v>
      </c>
      <c r="C3336" s="11" t="str">
        <f>INDEX(Data,2,2+MOD(ROWS(C$2:C3336)-1,24))</f>
        <v>23.00</v>
      </c>
      <c r="D3336" s="8" t="str">
        <f t="shared" ca="1" si="158"/>
        <v>—</v>
      </c>
      <c r="E3336" s="16">
        <f t="shared" ca="1" si="159"/>
        <v>7</v>
      </c>
    </row>
    <row r="3337" spans="1:5" x14ac:dyDescent="0.25">
      <c r="A3337" s="3">
        <f t="shared" si="157"/>
        <v>78989</v>
      </c>
      <c r="B3337" t="str">
        <f ca="1">TEXT(DATE(YEAR(Invoer!$A$5),1,1)+INT((ROWS(B$2:B3337)-1)/24),"""18""jjmmdd")</f>
        <v>18980519</v>
      </c>
      <c r="C3337" s="11" t="str">
        <f>INDEX(Data,2,2+MOD(ROWS(C$2:C3337)-1,24))</f>
        <v>24.00</v>
      </c>
      <c r="D3337" s="8" t="str">
        <f t="shared" ca="1" si="158"/>
        <v>—</v>
      </c>
      <c r="E3337" s="16">
        <f t="shared" ca="1" si="159"/>
        <v>7</v>
      </c>
    </row>
    <row r="3338" spans="1:5" x14ac:dyDescent="0.25">
      <c r="A3338" s="3">
        <f t="shared" si="157"/>
        <v>78989</v>
      </c>
      <c r="B3338" t="str">
        <f ca="1">TEXT(DATE(YEAR(Invoer!$A$5),1,1)+INT((ROWS(B$2:B3338)-1)/24),"""18""jjmmdd")</f>
        <v>18980520</v>
      </c>
      <c r="C3338" s="11" t="str">
        <f>INDEX(Data,2,2+MOD(ROWS(C$2:C3338)-1,24))</f>
        <v>01.00</v>
      </c>
      <c r="D3338" s="8" t="str">
        <f t="shared" ca="1" si="158"/>
        <v>—</v>
      </c>
      <c r="E3338" s="16">
        <f t="shared" ca="1" si="159"/>
        <v>7</v>
      </c>
    </row>
    <row r="3339" spans="1:5" x14ac:dyDescent="0.25">
      <c r="A3339" s="3">
        <f t="shared" si="157"/>
        <v>78989</v>
      </c>
      <c r="B3339" t="str">
        <f ca="1">TEXT(DATE(YEAR(Invoer!$A$5),1,1)+INT((ROWS(B$2:B3339)-1)/24),"""18""jjmmdd")</f>
        <v>18980520</v>
      </c>
      <c r="C3339" s="11" t="str">
        <f>INDEX(Data,2,2+MOD(ROWS(C$2:C3339)-1,24))</f>
        <v>02.00</v>
      </c>
      <c r="D3339" s="8" t="str">
        <f t="shared" ca="1" si="158"/>
        <v>—</v>
      </c>
      <c r="E3339" s="16">
        <f t="shared" ca="1" si="159"/>
        <v>7</v>
      </c>
    </row>
    <row r="3340" spans="1:5" x14ac:dyDescent="0.25">
      <c r="A3340" s="3">
        <f t="shared" si="157"/>
        <v>78989</v>
      </c>
      <c r="B3340" t="str">
        <f ca="1">TEXT(DATE(YEAR(Invoer!$A$5),1,1)+INT((ROWS(B$2:B3340)-1)/24),"""18""jjmmdd")</f>
        <v>18980520</v>
      </c>
      <c r="C3340" s="11" t="str">
        <f>INDEX(Data,2,2+MOD(ROWS(C$2:C3340)-1,24))</f>
        <v>03.00</v>
      </c>
      <c r="D3340" s="8" t="str">
        <f t="shared" ca="1" si="158"/>
        <v>—</v>
      </c>
      <c r="E3340" s="16">
        <f t="shared" ca="1" si="159"/>
        <v>7</v>
      </c>
    </row>
    <row r="3341" spans="1:5" x14ac:dyDescent="0.25">
      <c r="A3341" s="3">
        <f t="shared" si="157"/>
        <v>78989</v>
      </c>
      <c r="B3341" t="str">
        <f ca="1">TEXT(DATE(YEAR(Invoer!$A$5),1,1)+INT((ROWS(B$2:B3341)-1)/24),"""18""jjmmdd")</f>
        <v>18980520</v>
      </c>
      <c r="C3341" s="11" t="str">
        <f>INDEX(Data,2,2+MOD(ROWS(C$2:C3341)-1,24))</f>
        <v>04.00</v>
      </c>
      <c r="D3341" s="8" t="str">
        <f t="shared" ca="1" si="158"/>
        <v>—</v>
      </c>
      <c r="E3341" s="16">
        <f t="shared" ca="1" si="159"/>
        <v>7</v>
      </c>
    </row>
    <row r="3342" spans="1:5" x14ac:dyDescent="0.25">
      <c r="A3342" s="3">
        <f t="shared" si="157"/>
        <v>78989</v>
      </c>
      <c r="B3342" t="str">
        <f ca="1">TEXT(DATE(YEAR(Invoer!$A$5),1,1)+INT((ROWS(B$2:B3342)-1)/24),"""18""jjmmdd")</f>
        <v>18980520</v>
      </c>
      <c r="C3342" s="11" t="str">
        <f>INDEX(Data,2,2+MOD(ROWS(C$2:C3342)-1,24))</f>
        <v>05.00</v>
      </c>
      <c r="D3342" s="8" t="str">
        <f t="shared" ca="1" si="158"/>
        <v>—</v>
      </c>
      <c r="E3342" s="16">
        <f t="shared" ca="1" si="159"/>
        <v>7</v>
      </c>
    </row>
    <row r="3343" spans="1:5" x14ac:dyDescent="0.25">
      <c r="A3343" s="3">
        <f t="shared" si="157"/>
        <v>78989</v>
      </c>
      <c r="B3343" t="str">
        <f ca="1">TEXT(DATE(YEAR(Invoer!$A$5),1,1)+INT((ROWS(B$2:B3343)-1)/24),"""18""jjmmdd")</f>
        <v>18980520</v>
      </c>
      <c r="C3343" s="11" t="str">
        <f>INDEX(Data,2,2+MOD(ROWS(C$2:C3343)-1,24))</f>
        <v>06.00</v>
      </c>
      <c r="D3343" s="8" t="str">
        <f t="shared" ca="1" si="158"/>
        <v>—</v>
      </c>
      <c r="E3343" s="16">
        <f t="shared" ca="1" si="159"/>
        <v>7</v>
      </c>
    </row>
    <row r="3344" spans="1:5" x14ac:dyDescent="0.25">
      <c r="A3344" s="3">
        <f t="shared" si="157"/>
        <v>78989</v>
      </c>
      <c r="B3344" t="str">
        <f ca="1">TEXT(DATE(YEAR(Invoer!$A$5),1,1)+INT((ROWS(B$2:B3344)-1)/24),"""18""jjmmdd")</f>
        <v>18980520</v>
      </c>
      <c r="C3344" s="11" t="str">
        <f>INDEX(Data,2,2+MOD(ROWS(C$2:C3344)-1,24))</f>
        <v>07.00</v>
      </c>
      <c r="D3344" s="8" t="str">
        <f t="shared" ca="1" si="158"/>
        <v>—</v>
      </c>
      <c r="E3344" s="16">
        <f t="shared" ca="1" si="159"/>
        <v>7</v>
      </c>
    </row>
    <row r="3345" spans="1:5" x14ac:dyDescent="0.25">
      <c r="A3345" s="3">
        <f t="shared" si="157"/>
        <v>78989</v>
      </c>
      <c r="B3345" t="str">
        <f ca="1">TEXT(DATE(YEAR(Invoer!$A$5),1,1)+INT((ROWS(B$2:B3345)-1)/24),"""18""jjmmdd")</f>
        <v>18980520</v>
      </c>
      <c r="C3345" s="11" t="str">
        <f>INDEX(Data,2,2+MOD(ROWS(C$2:C3345)-1,24))</f>
        <v>08.00</v>
      </c>
      <c r="D3345" s="8" t="str">
        <f t="shared" ca="1" si="158"/>
        <v>—</v>
      </c>
      <c r="E3345" s="16">
        <f t="shared" ca="1" si="159"/>
        <v>7</v>
      </c>
    </row>
    <row r="3346" spans="1:5" x14ac:dyDescent="0.25">
      <c r="A3346" s="3">
        <f t="shared" si="157"/>
        <v>78989</v>
      </c>
      <c r="B3346" t="str">
        <f ca="1">TEXT(DATE(YEAR(Invoer!$A$5),1,1)+INT((ROWS(B$2:B3346)-1)/24),"""18""jjmmdd")</f>
        <v>18980520</v>
      </c>
      <c r="C3346" s="11" t="str">
        <f>INDEX(Data,2,2+MOD(ROWS(C$2:C3346)-1,24))</f>
        <v>09.00</v>
      </c>
      <c r="D3346" s="8" t="str">
        <f t="shared" ca="1" si="158"/>
        <v>—</v>
      </c>
      <c r="E3346" s="16">
        <f t="shared" ca="1" si="159"/>
        <v>7</v>
      </c>
    </row>
    <row r="3347" spans="1:5" x14ac:dyDescent="0.25">
      <c r="A3347" s="3">
        <f t="shared" si="157"/>
        <v>78989</v>
      </c>
      <c r="B3347" t="str">
        <f ca="1">TEXT(DATE(YEAR(Invoer!$A$5),1,1)+INT((ROWS(B$2:B3347)-1)/24),"""18""jjmmdd")</f>
        <v>18980520</v>
      </c>
      <c r="C3347" s="11" t="str">
        <f>INDEX(Data,2,2+MOD(ROWS(C$2:C3347)-1,24))</f>
        <v>10.00</v>
      </c>
      <c r="D3347" s="8" t="str">
        <f t="shared" ca="1" si="158"/>
        <v>—</v>
      </c>
      <c r="E3347" s="16">
        <f t="shared" ca="1" si="159"/>
        <v>7</v>
      </c>
    </row>
    <row r="3348" spans="1:5" x14ac:dyDescent="0.25">
      <c r="A3348" s="3">
        <f t="shared" si="157"/>
        <v>78989</v>
      </c>
      <c r="B3348" t="str">
        <f ca="1">TEXT(DATE(YEAR(Invoer!$A$5),1,1)+INT((ROWS(B$2:B3348)-1)/24),"""18""jjmmdd")</f>
        <v>18980520</v>
      </c>
      <c r="C3348" s="11" t="str">
        <f>INDEX(Data,2,2+MOD(ROWS(C$2:C3348)-1,24))</f>
        <v>11.00</v>
      </c>
      <c r="D3348" s="8" t="str">
        <f t="shared" ca="1" si="158"/>
        <v>—</v>
      </c>
      <c r="E3348" s="16">
        <f t="shared" ca="1" si="159"/>
        <v>7</v>
      </c>
    </row>
    <row r="3349" spans="1:5" x14ac:dyDescent="0.25">
      <c r="A3349" s="3">
        <f t="shared" si="157"/>
        <v>78989</v>
      </c>
      <c r="B3349" t="str">
        <f ca="1">TEXT(DATE(YEAR(Invoer!$A$5),1,1)+INT((ROWS(B$2:B3349)-1)/24),"""18""jjmmdd")</f>
        <v>18980520</v>
      </c>
      <c r="C3349" s="11" t="str">
        <f>INDEX(Data,2,2+MOD(ROWS(C$2:C3349)-1,24))</f>
        <v>12.00</v>
      </c>
      <c r="D3349" s="8" t="str">
        <f t="shared" ca="1" si="158"/>
        <v>—</v>
      </c>
      <c r="E3349" s="16">
        <f t="shared" ca="1" si="159"/>
        <v>7</v>
      </c>
    </row>
    <row r="3350" spans="1:5" x14ac:dyDescent="0.25">
      <c r="A3350" s="3">
        <f t="shared" si="157"/>
        <v>78989</v>
      </c>
      <c r="B3350" t="str">
        <f ca="1">TEXT(DATE(YEAR(Invoer!$A$5),1,1)+INT((ROWS(B$2:B3350)-1)/24),"""18""jjmmdd")</f>
        <v>18980520</v>
      </c>
      <c r="C3350" s="11" t="str">
        <f>INDEX(Data,2,2+MOD(ROWS(C$2:C3350)-1,24))</f>
        <v>13.00</v>
      </c>
      <c r="D3350" s="8" t="str">
        <f t="shared" ca="1" si="158"/>
        <v>—</v>
      </c>
      <c r="E3350" s="16">
        <f t="shared" ca="1" si="159"/>
        <v>7</v>
      </c>
    </row>
    <row r="3351" spans="1:5" x14ac:dyDescent="0.25">
      <c r="A3351" s="3">
        <f t="shared" si="157"/>
        <v>78989</v>
      </c>
      <c r="B3351" t="str">
        <f ca="1">TEXT(DATE(YEAR(Invoer!$A$5),1,1)+INT((ROWS(B$2:B3351)-1)/24),"""18""jjmmdd")</f>
        <v>18980520</v>
      </c>
      <c r="C3351" s="11" t="str">
        <f>INDEX(Data,2,2+MOD(ROWS(C$2:C3351)-1,24))</f>
        <v>14.00</v>
      </c>
      <c r="D3351" s="8" t="str">
        <f t="shared" ca="1" si="158"/>
        <v>—</v>
      </c>
      <c r="E3351" s="16">
        <f t="shared" ca="1" si="159"/>
        <v>7</v>
      </c>
    </row>
    <row r="3352" spans="1:5" x14ac:dyDescent="0.25">
      <c r="A3352" s="3">
        <f t="shared" si="157"/>
        <v>78989</v>
      </c>
      <c r="B3352" t="str">
        <f ca="1">TEXT(DATE(YEAR(Invoer!$A$5),1,1)+INT((ROWS(B$2:B3352)-1)/24),"""18""jjmmdd")</f>
        <v>18980520</v>
      </c>
      <c r="C3352" s="11" t="str">
        <f>INDEX(Data,2,2+MOD(ROWS(C$2:C3352)-1,24))</f>
        <v>15.00</v>
      </c>
      <c r="D3352" s="8" t="str">
        <f t="shared" ca="1" si="158"/>
        <v>—</v>
      </c>
      <c r="E3352" s="16">
        <f t="shared" ca="1" si="159"/>
        <v>7</v>
      </c>
    </row>
    <row r="3353" spans="1:5" x14ac:dyDescent="0.25">
      <c r="A3353" s="3">
        <f t="shared" si="157"/>
        <v>78989</v>
      </c>
      <c r="B3353" t="str">
        <f ca="1">TEXT(DATE(YEAR(Invoer!$A$5),1,1)+INT((ROWS(B$2:B3353)-1)/24),"""18""jjmmdd")</f>
        <v>18980520</v>
      </c>
      <c r="C3353" s="11" t="str">
        <f>INDEX(Data,2,2+MOD(ROWS(C$2:C3353)-1,24))</f>
        <v>16.00</v>
      </c>
      <c r="D3353" s="8" t="str">
        <f t="shared" ca="1" si="158"/>
        <v>—</v>
      </c>
      <c r="E3353" s="16">
        <f t="shared" ca="1" si="159"/>
        <v>7</v>
      </c>
    </row>
    <row r="3354" spans="1:5" x14ac:dyDescent="0.25">
      <c r="A3354" s="3">
        <f t="shared" si="157"/>
        <v>78989</v>
      </c>
      <c r="B3354" t="str">
        <f ca="1">TEXT(DATE(YEAR(Invoer!$A$5),1,1)+INT((ROWS(B$2:B3354)-1)/24),"""18""jjmmdd")</f>
        <v>18980520</v>
      </c>
      <c r="C3354" s="11" t="str">
        <f>INDEX(Data,2,2+MOD(ROWS(C$2:C3354)-1,24))</f>
        <v>17.00</v>
      </c>
      <c r="D3354" s="8" t="str">
        <f t="shared" ca="1" si="158"/>
        <v>—</v>
      </c>
      <c r="E3354" s="16">
        <f t="shared" ca="1" si="159"/>
        <v>7</v>
      </c>
    </row>
    <row r="3355" spans="1:5" x14ac:dyDescent="0.25">
      <c r="A3355" s="3">
        <f t="shared" si="157"/>
        <v>78989</v>
      </c>
      <c r="B3355" t="str">
        <f ca="1">TEXT(DATE(YEAR(Invoer!$A$5),1,1)+INT((ROWS(B$2:B3355)-1)/24),"""18""jjmmdd")</f>
        <v>18980520</v>
      </c>
      <c r="C3355" s="11" t="str">
        <f>INDEX(Data,2,2+MOD(ROWS(C$2:C3355)-1,24))</f>
        <v>18.00</v>
      </c>
      <c r="D3355" s="8" t="str">
        <f t="shared" ca="1" si="158"/>
        <v>—</v>
      </c>
      <c r="E3355" s="16">
        <f t="shared" ca="1" si="159"/>
        <v>7</v>
      </c>
    </row>
    <row r="3356" spans="1:5" x14ac:dyDescent="0.25">
      <c r="A3356" s="3">
        <f t="shared" si="157"/>
        <v>78989</v>
      </c>
      <c r="B3356" t="str">
        <f ca="1">TEXT(DATE(YEAR(Invoer!$A$5),1,1)+INT((ROWS(B$2:B3356)-1)/24),"""18""jjmmdd")</f>
        <v>18980520</v>
      </c>
      <c r="C3356" s="11" t="str">
        <f>INDEX(Data,2,2+MOD(ROWS(C$2:C3356)-1,24))</f>
        <v>19.00</v>
      </c>
      <c r="D3356" s="8" t="str">
        <f t="shared" ca="1" si="158"/>
        <v>—</v>
      </c>
      <c r="E3356" s="16">
        <f t="shared" ca="1" si="159"/>
        <v>7</v>
      </c>
    </row>
    <row r="3357" spans="1:5" x14ac:dyDescent="0.25">
      <c r="A3357" s="3">
        <f t="shared" si="157"/>
        <v>78989</v>
      </c>
      <c r="B3357" t="str">
        <f ca="1">TEXT(DATE(YEAR(Invoer!$A$5),1,1)+INT((ROWS(B$2:B3357)-1)/24),"""18""jjmmdd")</f>
        <v>18980520</v>
      </c>
      <c r="C3357" s="11" t="str">
        <f>INDEX(Data,2,2+MOD(ROWS(C$2:C3357)-1,24))</f>
        <v>20.00</v>
      </c>
      <c r="D3357" s="8" t="str">
        <f t="shared" ca="1" si="158"/>
        <v>—</v>
      </c>
      <c r="E3357" s="16">
        <f t="shared" ca="1" si="159"/>
        <v>7</v>
      </c>
    </row>
    <row r="3358" spans="1:5" x14ac:dyDescent="0.25">
      <c r="A3358" s="3">
        <f t="shared" si="157"/>
        <v>78989</v>
      </c>
      <c r="B3358" t="str">
        <f ca="1">TEXT(DATE(YEAR(Invoer!$A$5),1,1)+INT((ROWS(B$2:B3358)-1)/24),"""18""jjmmdd")</f>
        <v>18980520</v>
      </c>
      <c r="C3358" s="11" t="str">
        <f>INDEX(Data,2,2+MOD(ROWS(C$2:C3358)-1,24))</f>
        <v>21.00</v>
      </c>
      <c r="D3358" s="8" t="str">
        <f t="shared" ca="1" si="158"/>
        <v>—</v>
      </c>
      <c r="E3358" s="16">
        <f t="shared" ca="1" si="159"/>
        <v>7</v>
      </c>
    </row>
    <row r="3359" spans="1:5" x14ac:dyDescent="0.25">
      <c r="A3359" s="3">
        <f t="shared" si="157"/>
        <v>78989</v>
      </c>
      <c r="B3359" t="str">
        <f ca="1">TEXT(DATE(YEAR(Invoer!$A$5),1,1)+INT((ROWS(B$2:B3359)-1)/24),"""18""jjmmdd")</f>
        <v>18980520</v>
      </c>
      <c r="C3359" s="11" t="str">
        <f>INDEX(Data,2,2+MOD(ROWS(C$2:C3359)-1,24))</f>
        <v>22.00</v>
      </c>
      <c r="D3359" s="8" t="str">
        <f t="shared" ca="1" si="158"/>
        <v>—</v>
      </c>
      <c r="E3359" s="16">
        <f t="shared" ca="1" si="159"/>
        <v>7</v>
      </c>
    </row>
    <row r="3360" spans="1:5" x14ac:dyDescent="0.25">
      <c r="A3360" s="3">
        <f t="shared" si="157"/>
        <v>78989</v>
      </c>
      <c r="B3360" t="str">
        <f ca="1">TEXT(DATE(YEAR(Invoer!$A$5),1,1)+INT((ROWS(B$2:B3360)-1)/24),"""18""jjmmdd")</f>
        <v>18980520</v>
      </c>
      <c r="C3360" s="11" t="str">
        <f>INDEX(Data,2,2+MOD(ROWS(C$2:C3360)-1,24))</f>
        <v>23.00</v>
      </c>
      <c r="D3360" s="8" t="str">
        <f t="shared" ca="1" si="158"/>
        <v>—</v>
      </c>
      <c r="E3360" s="16">
        <f t="shared" ca="1" si="159"/>
        <v>7</v>
      </c>
    </row>
    <row r="3361" spans="1:5" x14ac:dyDescent="0.25">
      <c r="A3361" s="3">
        <f t="shared" si="157"/>
        <v>78989</v>
      </c>
      <c r="B3361" t="str">
        <f ca="1">TEXT(DATE(YEAR(Invoer!$A$5),1,1)+INT((ROWS(B$2:B3361)-1)/24),"""18""jjmmdd")</f>
        <v>18980520</v>
      </c>
      <c r="C3361" s="11" t="str">
        <f>INDEX(Data,2,2+MOD(ROWS(C$2:C3361)-1,24))</f>
        <v>24.00</v>
      </c>
      <c r="D3361" s="8" t="str">
        <f t="shared" ca="1" si="158"/>
        <v>—</v>
      </c>
      <c r="E3361" s="16">
        <f t="shared" ca="1" si="159"/>
        <v>7</v>
      </c>
    </row>
    <row r="3362" spans="1:5" x14ac:dyDescent="0.25">
      <c r="A3362" s="3">
        <f t="shared" si="157"/>
        <v>78989</v>
      </c>
      <c r="B3362" t="str">
        <f ca="1">TEXT(DATE(YEAR(Invoer!$A$5),1,1)+INT((ROWS(B$2:B3362)-1)/24),"""18""jjmmdd")</f>
        <v>18980521</v>
      </c>
      <c r="C3362" s="11" t="str">
        <f>INDEX(Data,2,2+MOD(ROWS(C$2:C3362)-1,24))</f>
        <v>01.00</v>
      </c>
      <c r="D3362" s="8" t="str">
        <f t="shared" ca="1" si="158"/>
        <v>—</v>
      </c>
      <c r="E3362" s="16">
        <f t="shared" ca="1" si="159"/>
        <v>7</v>
      </c>
    </row>
    <row r="3363" spans="1:5" x14ac:dyDescent="0.25">
      <c r="A3363" s="3">
        <f t="shared" si="157"/>
        <v>78989</v>
      </c>
      <c r="B3363" t="str">
        <f ca="1">TEXT(DATE(YEAR(Invoer!$A$5),1,1)+INT((ROWS(B$2:B3363)-1)/24),"""18""jjmmdd")</f>
        <v>18980521</v>
      </c>
      <c r="C3363" s="11" t="str">
        <f>INDEX(Data,2,2+MOD(ROWS(C$2:C3363)-1,24))</f>
        <v>02.00</v>
      </c>
      <c r="D3363" s="8" t="str">
        <f t="shared" ca="1" si="158"/>
        <v>—</v>
      </c>
      <c r="E3363" s="16">
        <f t="shared" ca="1" si="159"/>
        <v>7</v>
      </c>
    </row>
    <row r="3364" spans="1:5" x14ac:dyDescent="0.25">
      <c r="A3364" s="3">
        <f t="shared" si="157"/>
        <v>78989</v>
      </c>
      <c r="B3364" t="str">
        <f ca="1">TEXT(DATE(YEAR(Invoer!$A$5),1,1)+INT((ROWS(B$2:B3364)-1)/24),"""18""jjmmdd")</f>
        <v>18980521</v>
      </c>
      <c r="C3364" s="11" t="str">
        <f>INDEX(Data,2,2+MOD(ROWS(C$2:C3364)-1,24))</f>
        <v>03.00</v>
      </c>
      <c r="D3364" s="8" t="str">
        <f t="shared" ca="1" si="158"/>
        <v>—</v>
      </c>
      <c r="E3364" s="16">
        <f t="shared" ca="1" si="159"/>
        <v>7</v>
      </c>
    </row>
    <row r="3365" spans="1:5" x14ac:dyDescent="0.25">
      <c r="A3365" s="3">
        <f t="shared" si="157"/>
        <v>78989</v>
      </c>
      <c r="B3365" t="str">
        <f ca="1">TEXT(DATE(YEAR(Invoer!$A$5),1,1)+INT((ROWS(B$2:B3365)-1)/24),"""18""jjmmdd")</f>
        <v>18980521</v>
      </c>
      <c r="C3365" s="11" t="str">
        <f>INDEX(Data,2,2+MOD(ROWS(C$2:C3365)-1,24))</f>
        <v>04.00</v>
      </c>
      <c r="D3365" s="8" t="str">
        <f t="shared" ca="1" si="158"/>
        <v>—</v>
      </c>
      <c r="E3365" s="16">
        <f t="shared" ca="1" si="159"/>
        <v>7</v>
      </c>
    </row>
    <row r="3366" spans="1:5" x14ac:dyDescent="0.25">
      <c r="A3366" s="3">
        <f t="shared" si="157"/>
        <v>78989</v>
      </c>
      <c r="B3366" t="str">
        <f ca="1">TEXT(DATE(YEAR(Invoer!$A$5),1,1)+INT((ROWS(B$2:B3366)-1)/24),"""18""jjmmdd")</f>
        <v>18980521</v>
      </c>
      <c r="C3366" s="11" t="str">
        <f>INDEX(Data,2,2+MOD(ROWS(C$2:C3366)-1,24))</f>
        <v>05.00</v>
      </c>
      <c r="D3366" s="8" t="str">
        <f t="shared" ca="1" si="158"/>
        <v>—</v>
      </c>
      <c r="E3366" s="16">
        <f t="shared" ca="1" si="159"/>
        <v>7</v>
      </c>
    </row>
    <row r="3367" spans="1:5" x14ac:dyDescent="0.25">
      <c r="A3367" s="3">
        <f t="shared" si="157"/>
        <v>78989</v>
      </c>
      <c r="B3367" t="str">
        <f ca="1">TEXT(DATE(YEAR(Invoer!$A$5),1,1)+INT((ROWS(B$2:B3367)-1)/24),"""18""jjmmdd")</f>
        <v>18980521</v>
      </c>
      <c r="C3367" s="11" t="str">
        <f>INDEX(Data,2,2+MOD(ROWS(C$2:C3367)-1,24))</f>
        <v>06.00</v>
      </c>
      <c r="D3367" s="8" t="str">
        <f t="shared" ca="1" si="158"/>
        <v>—</v>
      </c>
      <c r="E3367" s="16">
        <f t="shared" ca="1" si="159"/>
        <v>7</v>
      </c>
    </row>
    <row r="3368" spans="1:5" x14ac:dyDescent="0.25">
      <c r="A3368" s="3">
        <f t="shared" si="157"/>
        <v>78989</v>
      </c>
      <c r="B3368" t="str">
        <f ca="1">TEXT(DATE(YEAR(Invoer!$A$5),1,1)+INT((ROWS(B$2:B3368)-1)/24),"""18""jjmmdd")</f>
        <v>18980521</v>
      </c>
      <c r="C3368" s="11" t="str">
        <f>INDEX(Data,2,2+MOD(ROWS(C$2:C3368)-1,24))</f>
        <v>07.00</v>
      </c>
      <c r="D3368" s="8" t="str">
        <f t="shared" ca="1" si="158"/>
        <v>—</v>
      </c>
      <c r="E3368" s="16">
        <f t="shared" ca="1" si="159"/>
        <v>7</v>
      </c>
    </row>
    <row r="3369" spans="1:5" x14ac:dyDescent="0.25">
      <c r="A3369" s="3">
        <f t="shared" si="157"/>
        <v>78989</v>
      </c>
      <c r="B3369" t="str">
        <f ca="1">TEXT(DATE(YEAR(Invoer!$A$5),1,1)+INT((ROWS(B$2:B3369)-1)/24),"""18""jjmmdd")</f>
        <v>18980521</v>
      </c>
      <c r="C3369" s="11" t="str">
        <f>INDEX(Data,2,2+MOD(ROWS(C$2:C3369)-1,24))</f>
        <v>08.00</v>
      </c>
      <c r="D3369" s="8" t="str">
        <f t="shared" ca="1" si="158"/>
        <v>—</v>
      </c>
      <c r="E3369" s="16">
        <f t="shared" ca="1" si="159"/>
        <v>7</v>
      </c>
    </row>
    <row r="3370" spans="1:5" x14ac:dyDescent="0.25">
      <c r="A3370" s="3">
        <f t="shared" si="157"/>
        <v>78989</v>
      </c>
      <c r="B3370" t="str">
        <f ca="1">TEXT(DATE(YEAR(Invoer!$A$5),1,1)+INT((ROWS(B$2:B3370)-1)/24),"""18""jjmmdd")</f>
        <v>18980521</v>
      </c>
      <c r="C3370" s="11" t="str">
        <f>INDEX(Data,2,2+MOD(ROWS(C$2:C3370)-1,24))</f>
        <v>09.00</v>
      </c>
      <c r="D3370" s="8" t="str">
        <f t="shared" ca="1" si="158"/>
        <v>—</v>
      </c>
      <c r="E3370" s="16">
        <f t="shared" ca="1" si="159"/>
        <v>7</v>
      </c>
    </row>
    <row r="3371" spans="1:5" x14ac:dyDescent="0.25">
      <c r="A3371" s="3">
        <f t="shared" si="157"/>
        <v>78989</v>
      </c>
      <c r="B3371" t="str">
        <f ca="1">TEXT(DATE(YEAR(Invoer!$A$5),1,1)+INT((ROWS(B$2:B3371)-1)/24),"""18""jjmmdd")</f>
        <v>18980521</v>
      </c>
      <c r="C3371" s="11" t="str">
        <f>INDEX(Data,2,2+MOD(ROWS(C$2:C3371)-1,24))</f>
        <v>10.00</v>
      </c>
      <c r="D3371" s="8" t="str">
        <f t="shared" ca="1" si="158"/>
        <v>—</v>
      </c>
      <c r="E3371" s="16">
        <f t="shared" ca="1" si="159"/>
        <v>7</v>
      </c>
    </row>
    <row r="3372" spans="1:5" x14ac:dyDescent="0.25">
      <c r="A3372" s="3">
        <f t="shared" si="157"/>
        <v>78989</v>
      </c>
      <c r="B3372" t="str">
        <f ca="1">TEXT(DATE(YEAR(Invoer!$A$5),1,1)+INT((ROWS(B$2:B3372)-1)/24),"""18""jjmmdd")</f>
        <v>18980521</v>
      </c>
      <c r="C3372" s="11" t="str">
        <f>INDEX(Data,2,2+MOD(ROWS(C$2:C3372)-1,24))</f>
        <v>11.00</v>
      </c>
      <c r="D3372" s="8" t="str">
        <f t="shared" ca="1" si="158"/>
        <v>—</v>
      </c>
      <c r="E3372" s="16">
        <f t="shared" ca="1" si="159"/>
        <v>7</v>
      </c>
    </row>
    <row r="3373" spans="1:5" x14ac:dyDescent="0.25">
      <c r="A3373" s="3">
        <f t="shared" si="157"/>
        <v>78989</v>
      </c>
      <c r="B3373" t="str">
        <f ca="1">TEXT(DATE(YEAR(Invoer!$A$5),1,1)+INT((ROWS(B$2:B3373)-1)/24),"""18""jjmmdd")</f>
        <v>18980521</v>
      </c>
      <c r="C3373" s="11" t="str">
        <f>INDEX(Data,2,2+MOD(ROWS(C$2:C3373)-1,24))</f>
        <v>12.00</v>
      </c>
      <c r="D3373" s="8" t="str">
        <f t="shared" ca="1" si="158"/>
        <v>—</v>
      </c>
      <c r="E3373" s="16">
        <f t="shared" ca="1" si="159"/>
        <v>7</v>
      </c>
    </row>
    <row r="3374" spans="1:5" x14ac:dyDescent="0.25">
      <c r="A3374" s="3">
        <f t="shared" si="157"/>
        <v>78989</v>
      </c>
      <c r="B3374" t="str">
        <f ca="1">TEXT(DATE(YEAR(Invoer!$A$5),1,1)+INT((ROWS(B$2:B3374)-1)/24),"""18""jjmmdd")</f>
        <v>18980521</v>
      </c>
      <c r="C3374" s="11" t="str">
        <f>INDEX(Data,2,2+MOD(ROWS(C$2:C3374)-1,24))</f>
        <v>13.00</v>
      </c>
      <c r="D3374" s="8" t="str">
        <f t="shared" ca="1" si="158"/>
        <v>—</v>
      </c>
      <c r="E3374" s="16">
        <f t="shared" ca="1" si="159"/>
        <v>7</v>
      </c>
    </row>
    <row r="3375" spans="1:5" x14ac:dyDescent="0.25">
      <c r="A3375" s="3">
        <f t="shared" si="157"/>
        <v>78989</v>
      </c>
      <c r="B3375" t="str">
        <f ca="1">TEXT(DATE(YEAR(Invoer!$A$5),1,1)+INT((ROWS(B$2:B3375)-1)/24),"""18""jjmmdd")</f>
        <v>18980521</v>
      </c>
      <c r="C3375" s="11" t="str">
        <f>INDEX(Data,2,2+MOD(ROWS(C$2:C3375)-1,24))</f>
        <v>14.00</v>
      </c>
      <c r="D3375" s="8" t="str">
        <f t="shared" ca="1" si="158"/>
        <v>—</v>
      </c>
      <c r="E3375" s="16">
        <f t="shared" ca="1" si="159"/>
        <v>7</v>
      </c>
    </row>
    <row r="3376" spans="1:5" x14ac:dyDescent="0.25">
      <c r="A3376" s="3">
        <f t="shared" si="157"/>
        <v>78989</v>
      </c>
      <c r="B3376" t="str">
        <f ca="1">TEXT(DATE(YEAR(Invoer!$A$5),1,1)+INT((ROWS(B$2:B3376)-1)/24),"""18""jjmmdd")</f>
        <v>18980521</v>
      </c>
      <c r="C3376" s="11" t="str">
        <f>INDEX(Data,2,2+MOD(ROWS(C$2:C3376)-1,24))</f>
        <v>15.00</v>
      </c>
      <c r="D3376" s="8" t="str">
        <f t="shared" ca="1" si="158"/>
        <v>—</v>
      </c>
      <c r="E3376" s="16">
        <f t="shared" ca="1" si="159"/>
        <v>7</v>
      </c>
    </row>
    <row r="3377" spans="1:5" x14ac:dyDescent="0.25">
      <c r="A3377" s="3">
        <f t="shared" si="157"/>
        <v>78989</v>
      </c>
      <c r="B3377" t="str">
        <f ca="1">TEXT(DATE(YEAR(Invoer!$A$5),1,1)+INT((ROWS(B$2:B3377)-1)/24),"""18""jjmmdd")</f>
        <v>18980521</v>
      </c>
      <c r="C3377" s="11" t="str">
        <f>INDEX(Data,2,2+MOD(ROWS(C$2:C3377)-1,24))</f>
        <v>16.00</v>
      </c>
      <c r="D3377" s="8" t="str">
        <f t="shared" ca="1" si="158"/>
        <v>—</v>
      </c>
      <c r="E3377" s="16">
        <f t="shared" ca="1" si="159"/>
        <v>7</v>
      </c>
    </row>
    <row r="3378" spans="1:5" x14ac:dyDescent="0.25">
      <c r="A3378" s="3">
        <f t="shared" si="157"/>
        <v>78989</v>
      </c>
      <c r="B3378" t="str">
        <f ca="1">TEXT(DATE(YEAR(Invoer!$A$5),1,1)+INT((ROWS(B$2:B3378)-1)/24),"""18""jjmmdd")</f>
        <v>18980521</v>
      </c>
      <c r="C3378" s="11" t="str">
        <f>INDEX(Data,2,2+MOD(ROWS(C$2:C3378)-1,24))</f>
        <v>17.00</v>
      </c>
      <c r="D3378" s="8" t="str">
        <f t="shared" ca="1" si="158"/>
        <v>—</v>
      </c>
      <c r="E3378" s="16">
        <f t="shared" ca="1" si="159"/>
        <v>7</v>
      </c>
    </row>
    <row r="3379" spans="1:5" x14ac:dyDescent="0.25">
      <c r="A3379" s="3">
        <f t="shared" si="157"/>
        <v>78989</v>
      </c>
      <c r="B3379" t="str">
        <f ca="1">TEXT(DATE(YEAR(Invoer!$A$5),1,1)+INT((ROWS(B$2:B3379)-1)/24),"""18""jjmmdd")</f>
        <v>18980521</v>
      </c>
      <c r="C3379" s="11" t="str">
        <f>INDEX(Data,2,2+MOD(ROWS(C$2:C3379)-1,24))</f>
        <v>18.00</v>
      </c>
      <c r="D3379" s="8" t="str">
        <f t="shared" ca="1" si="158"/>
        <v>—</v>
      </c>
      <c r="E3379" s="16">
        <f t="shared" ca="1" si="159"/>
        <v>7</v>
      </c>
    </row>
    <row r="3380" spans="1:5" x14ac:dyDescent="0.25">
      <c r="A3380" s="3">
        <f t="shared" si="157"/>
        <v>78989</v>
      </c>
      <c r="B3380" t="str">
        <f ca="1">TEXT(DATE(YEAR(Invoer!$A$5),1,1)+INT((ROWS(B$2:B3380)-1)/24),"""18""jjmmdd")</f>
        <v>18980521</v>
      </c>
      <c r="C3380" s="11" t="str">
        <f>INDEX(Data,2,2+MOD(ROWS(C$2:C3380)-1,24))</f>
        <v>19.00</v>
      </c>
      <c r="D3380" s="8" t="str">
        <f t="shared" ca="1" si="158"/>
        <v>—</v>
      </c>
      <c r="E3380" s="16">
        <f t="shared" ca="1" si="159"/>
        <v>7</v>
      </c>
    </row>
    <row r="3381" spans="1:5" x14ac:dyDescent="0.25">
      <c r="A3381" s="3">
        <f t="shared" si="157"/>
        <v>78989</v>
      </c>
      <c r="B3381" t="str">
        <f ca="1">TEXT(DATE(YEAR(Invoer!$A$5),1,1)+INT((ROWS(B$2:B3381)-1)/24),"""18""jjmmdd")</f>
        <v>18980521</v>
      </c>
      <c r="C3381" s="11" t="str">
        <f>INDEX(Data,2,2+MOD(ROWS(C$2:C3381)-1,24))</f>
        <v>20.00</v>
      </c>
      <c r="D3381" s="8" t="str">
        <f t="shared" ca="1" si="158"/>
        <v>—</v>
      </c>
      <c r="E3381" s="16">
        <f t="shared" ca="1" si="159"/>
        <v>7</v>
      </c>
    </row>
    <row r="3382" spans="1:5" x14ac:dyDescent="0.25">
      <c r="A3382" s="3">
        <f t="shared" si="157"/>
        <v>78989</v>
      </c>
      <c r="B3382" t="str">
        <f ca="1">TEXT(DATE(YEAR(Invoer!$A$5),1,1)+INT((ROWS(B$2:B3382)-1)/24),"""18""jjmmdd")</f>
        <v>18980521</v>
      </c>
      <c r="C3382" s="11" t="str">
        <f>INDEX(Data,2,2+MOD(ROWS(C$2:C3382)-1,24))</f>
        <v>21.00</v>
      </c>
      <c r="D3382" s="8" t="str">
        <f t="shared" ca="1" si="158"/>
        <v>—</v>
      </c>
      <c r="E3382" s="16">
        <f t="shared" ca="1" si="159"/>
        <v>7</v>
      </c>
    </row>
    <row r="3383" spans="1:5" x14ac:dyDescent="0.25">
      <c r="A3383" s="3">
        <f t="shared" si="157"/>
        <v>78989</v>
      </c>
      <c r="B3383" t="str">
        <f ca="1">TEXT(DATE(YEAR(Invoer!$A$5),1,1)+INT((ROWS(B$2:B3383)-1)/24),"""18""jjmmdd")</f>
        <v>18980521</v>
      </c>
      <c r="C3383" s="11" t="str">
        <f>INDEX(Data,2,2+MOD(ROWS(C$2:C3383)-1,24))</f>
        <v>22.00</v>
      </c>
      <c r="D3383" s="8" t="str">
        <f t="shared" ca="1" si="158"/>
        <v>—</v>
      </c>
      <c r="E3383" s="16">
        <f t="shared" ca="1" si="159"/>
        <v>7</v>
      </c>
    </row>
    <row r="3384" spans="1:5" x14ac:dyDescent="0.25">
      <c r="A3384" s="3">
        <f t="shared" si="157"/>
        <v>78989</v>
      </c>
      <c r="B3384" t="str">
        <f ca="1">TEXT(DATE(YEAR(Invoer!$A$5),1,1)+INT((ROWS(B$2:B3384)-1)/24),"""18""jjmmdd")</f>
        <v>18980521</v>
      </c>
      <c r="C3384" s="11" t="str">
        <f>INDEX(Data,2,2+MOD(ROWS(C$2:C3384)-1,24))</f>
        <v>23.00</v>
      </c>
      <c r="D3384" s="8" t="str">
        <f t="shared" ca="1" si="158"/>
        <v>—</v>
      </c>
      <c r="E3384" s="16">
        <f t="shared" ca="1" si="159"/>
        <v>7</v>
      </c>
    </row>
    <row r="3385" spans="1:5" x14ac:dyDescent="0.25">
      <c r="A3385" s="3">
        <f t="shared" si="157"/>
        <v>78989</v>
      </c>
      <c r="B3385" t="str">
        <f ca="1">TEXT(DATE(YEAR(Invoer!$A$5),1,1)+INT((ROWS(B$2:B3385)-1)/24),"""18""jjmmdd")</f>
        <v>18980521</v>
      </c>
      <c r="C3385" s="11" t="str">
        <f>INDEX(Data,2,2+MOD(ROWS(C$2:C3385)-1,24))</f>
        <v>24.00</v>
      </c>
      <c r="D3385" s="8" t="str">
        <f t="shared" ca="1" si="158"/>
        <v>—</v>
      </c>
      <c r="E3385" s="16">
        <f t="shared" ca="1" si="159"/>
        <v>7</v>
      </c>
    </row>
    <row r="3386" spans="1:5" x14ac:dyDescent="0.25">
      <c r="A3386" s="3">
        <f t="shared" si="157"/>
        <v>78989</v>
      </c>
      <c r="B3386" t="str">
        <f ca="1">TEXT(DATE(YEAR(Invoer!$A$5),1,1)+INT((ROWS(B$2:B3386)-1)/24),"""18""jjmmdd")</f>
        <v>18980522</v>
      </c>
      <c r="C3386" s="11" t="str">
        <f>INDEX(Data,2,2+MOD(ROWS(C$2:C3386)-1,24))</f>
        <v>01.00</v>
      </c>
      <c r="D3386" s="8" t="str">
        <f t="shared" ca="1" si="158"/>
        <v>—</v>
      </c>
      <c r="E3386" s="16">
        <f t="shared" ca="1" si="159"/>
        <v>7</v>
      </c>
    </row>
    <row r="3387" spans="1:5" x14ac:dyDescent="0.25">
      <c r="A3387" s="3">
        <f t="shared" si="157"/>
        <v>78989</v>
      </c>
      <c r="B3387" t="str">
        <f ca="1">TEXT(DATE(YEAR(Invoer!$A$5),1,1)+INT((ROWS(B$2:B3387)-1)/24),"""18""jjmmdd")</f>
        <v>18980522</v>
      </c>
      <c r="C3387" s="11" t="str">
        <f>INDEX(Data,2,2+MOD(ROWS(C$2:C3387)-1,24))</f>
        <v>02.00</v>
      </c>
      <c r="D3387" s="8" t="str">
        <f t="shared" ca="1" si="158"/>
        <v>—</v>
      </c>
      <c r="E3387" s="16">
        <f t="shared" ca="1" si="159"/>
        <v>7</v>
      </c>
    </row>
    <row r="3388" spans="1:5" x14ac:dyDescent="0.25">
      <c r="A3388" s="3">
        <f t="shared" si="157"/>
        <v>78989</v>
      </c>
      <c r="B3388" t="str">
        <f ca="1">TEXT(DATE(YEAR(Invoer!$A$5),1,1)+INT((ROWS(B$2:B3388)-1)/24),"""18""jjmmdd")</f>
        <v>18980522</v>
      </c>
      <c r="C3388" s="11" t="str">
        <f>INDEX(Data,2,2+MOD(ROWS(C$2:C3388)-1,24))</f>
        <v>03.00</v>
      </c>
      <c r="D3388" s="8" t="str">
        <f t="shared" ca="1" si="158"/>
        <v>—</v>
      </c>
      <c r="E3388" s="16">
        <f t="shared" ca="1" si="159"/>
        <v>7</v>
      </c>
    </row>
    <row r="3389" spans="1:5" x14ac:dyDescent="0.25">
      <c r="A3389" s="3">
        <f t="shared" si="157"/>
        <v>78989</v>
      </c>
      <c r="B3389" t="str">
        <f ca="1">TEXT(DATE(YEAR(Invoer!$A$5),1,1)+INT((ROWS(B$2:B3389)-1)/24),"""18""jjmmdd")</f>
        <v>18980522</v>
      </c>
      <c r="C3389" s="11" t="str">
        <f>INDEX(Data,2,2+MOD(ROWS(C$2:C3389)-1,24))</f>
        <v>04.00</v>
      </c>
      <c r="D3389" s="8" t="str">
        <f t="shared" ca="1" si="158"/>
        <v>—</v>
      </c>
      <c r="E3389" s="16">
        <f t="shared" ca="1" si="159"/>
        <v>7</v>
      </c>
    </row>
    <row r="3390" spans="1:5" x14ac:dyDescent="0.25">
      <c r="A3390" s="3">
        <f t="shared" si="157"/>
        <v>78989</v>
      </c>
      <c r="B3390" t="str">
        <f ca="1">TEXT(DATE(YEAR(Invoer!$A$5),1,1)+INT((ROWS(B$2:B3390)-1)/24),"""18""jjmmdd")</f>
        <v>18980522</v>
      </c>
      <c r="C3390" s="11" t="str">
        <f>INDEX(Data,2,2+MOD(ROWS(C$2:C3390)-1,24))</f>
        <v>05.00</v>
      </c>
      <c r="D3390" s="8" t="str">
        <f t="shared" ca="1" si="158"/>
        <v>—</v>
      </c>
      <c r="E3390" s="16">
        <f t="shared" ca="1" si="159"/>
        <v>7</v>
      </c>
    </row>
    <row r="3391" spans="1:5" x14ac:dyDescent="0.25">
      <c r="A3391" s="3">
        <f t="shared" si="157"/>
        <v>78989</v>
      </c>
      <c r="B3391" t="str">
        <f ca="1">TEXT(DATE(YEAR(Invoer!$A$5),1,1)+INT((ROWS(B$2:B3391)-1)/24),"""18""jjmmdd")</f>
        <v>18980522</v>
      </c>
      <c r="C3391" s="11" t="str">
        <f>INDEX(Data,2,2+MOD(ROWS(C$2:C3391)-1,24))</f>
        <v>06.00</v>
      </c>
      <c r="D3391" s="8" t="str">
        <f t="shared" ca="1" si="158"/>
        <v>—</v>
      </c>
      <c r="E3391" s="16">
        <f t="shared" ca="1" si="159"/>
        <v>7</v>
      </c>
    </row>
    <row r="3392" spans="1:5" x14ac:dyDescent="0.25">
      <c r="A3392" s="3">
        <f t="shared" si="157"/>
        <v>78989</v>
      </c>
      <c r="B3392" t="str">
        <f ca="1">TEXT(DATE(YEAR(Invoer!$A$5),1,1)+INT((ROWS(B$2:B3392)-1)/24),"""18""jjmmdd")</f>
        <v>18980522</v>
      </c>
      <c r="C3392" s="11" t="str">
        <f>INDEX(Data,2,2+MOD(ROWS(C$2:C3392)-1,24))</f>
        <v>07.00</v>
      </c>
      <c r="D3392" s="8" t="str">
        <f t="shared" ca="1" si="158"/>
        <v>—</v>
      </c>
      <c r="E3392" s="16">
        <f t="shared" ca="1" si="159"/>
        <v>7</v>
      </c>
    </row>
    <row r="3393" spans="1:5" x14ac:dyDescent="0.25">
      <c r="A3393" s="3">
        <f t="shared" si="157"/>
        <v>78989</v>
      </c>
      <c r="B3393" t="str">
        <f ca="1">TEXT(DATE(YEAR(Invoer!$A$5),1,1)+INT((ROWS(B$2:B3393)-1)/24),"""18""jjmmdd")</f>
        <v>18980522</v>
      </c>
      <c r="C3393" s="11" t="str">
        <f>INDEX(Data,2,2+MOD(ROWS(C$2:C3393)-1,24))</f>
        <v>08.00</v>
      </c>
      <c r="D3393" s="8" t="str">
        <f t="shared" ca="1" si="158"/>
        <v>—</v>
      </c>
      <c r="E3393" s="16">
        <f t="shared" ca="1" si="159"/>
        <v>7</v>
      </c>
    </row>
    <row r="3394" spans="1:5" x14ac:dyDescent="0.25">
      <c r="A3394" s="3">
        <f t="shared" ref="A3394:A3457" si="160">INDEX(Stations,2,1)</f>
        <v>78989</v>
      </c>
      <c r="B3394" t="str">
        <f ca="1">TEXT(DATE(YEAR(Invoer!$A$5),1,1)+INT((ROWS(B$2:B3394)-1)/24),"""18""jjmmdd")</f>
        <v>18980522</v>
      </c>
      <c r="C3394" s="11" t="str">
        <f>INDEX(Data,2,2+MOD(ROWS(C$2:C3394)-1,24))</f>
        <v>09.00</v>
      </c>
      <c r="D3394" s="8" t="str">
        <f t="shared" ref="D3394:D3457" ca="1" si="161">IF(OR(ISBLANK(VLOOKUP(DATEVALUE("37"&amp;MID($B3394,3,2)&amp;"-"&amp;MID($B3394,5,2)&amp;"-"&amp;RIGHT($B3394,2)),Data,MATCH(LEFT(VLOOKUP(D$1,Parameters,2,FALSE()),4)&amp;"*",OFFSET(Data,0,0,1),0)+MATCH($C3394,OFFSET(Data,1,0,1),0)-2,FALSE())),ISTEXT(VLOOKUP(DATEVALUE("37"&amp;MID($B3394,3,2)&amp;"-"&amp;MID($B3394,5,2)&amp;"-"&amp;RIGHT($B3394,2)),Data,MATCH(LEFT(VLOOKUP(D$1,Parameters,2,FALSE()),4)&amp;"*",OFFSET(Data,0,0,1),0)+MATCH($C3394,OFFSET(Data,1,0,1),0)-2,FALSE()))),"—",VLOOKUP(DATEVALUE("37"&amp;MID($B3394,3,2)&amp;"-"&amp;MID($B3394,5,2)&amp;"-"&amp;RIGHT($B3394,2)),Data,MATCH(LEFT(VLOOKUP(D$1,Parameters,2,FALSE()),4)&amp;"*",OFFSET(Data,0,0,1),0)+MATCH($C3394,OFFSET(Data,1,0,1),0)-2,FALSE()))</f>
        <v>—</v>
      </c>
      <c r="E3394" s="16">
        <f t="shared" ca="1" si="159"/>
        <v>7</v>
      </c>
    </row>
    <row r="3395" spans="1:5" x14ac:dyDescent="0.25">
      <c r="A3395" s="3">
        <f t="shared" si="160"/>
        <v>78989</v>
      </c>
      <c r="B3395" t="str">
        <f ca="1">TEXT(DATE(YEAR(Invoer!$A$5),1,1)+INT((ROWS(B$2:B3395)-1)/24),"""18""jjmmdd")</f>
        <v>18980522</v>
      </c>
      <c r="C3395" s="11" t="str">
        <f>INDEX(Data,2,2+MOD(ROWS(C$2:C3395)-1,24))</f>
        <v>10.00</v>
      </c>
      <c r="D3395" s="8" t="str">
        <f t="shared" ca="1" si="161"/>
        <v>—</v>
      </c>
      <c r="E3395" s="16">
        <f t="shared" ref="E3395:E3458" ca="1" si="162">IF(OR(ISBLANK(VLOOKUP(DATEVALUE("37"&amp;MID($B3395,3,2)&amp;"-"&amp;MID($B3395,5,2)&amp;"-"&amp;RIGHT($B3395,2)),Data,MATCH(LEFT(VLOOKUP(D$1,Parameters,2,FALSE()),4)&amp;"*",OFFSET(Data,0,0,1),0)+MATCH($C3395,OFFSET(Data,1,0,1),0)-2,FALSE())),ISTEXT(VLOOKUP(DATEVALUE("37"&amp;MID($B3395,3,2)&amp;"-"&amp;MID($B3395,5,2)&amp;"-"&amp;RIGHT($B3395,2)),Data,MATCH(LEFT(VLOOKUP(D$1,Parameters,2,FALSE()),4)&amp;"*",OFFSET(Data,0,0,1),0)+MATCH($C3395,OFFSET(Data,1,0,1),0)-2,FALSE()))),Lacking,IF(ISNA(MATCH(DATEVALUE("37"&amp;MID($B3395,3,2)&amp;"-"&amp;MID($B3395,5,2)&amp;"-"&amp;RIGHT($B3395,2)),OFFSET(Catalogus,0,0,,1),0)),Ok,VLOOKUP(DATEVALUE("37"&amp;MID($B3395,3,2)&amp;"-"&amp;MID($B3395,5,2)&amp;"-"&amp;RIGHT($B3395,2)),Catalogus,MATCH(LEFT(VLOOKUP(MID(E$1,2,LEN(E$1)-1),Parameters,2,FALSE()),4)&amp;"*",OFFSET(Catalogus,0,0,1),0)+MATCH($C3395,OFFSET(Catalogus,1,0,1),0)-2,FALSE())))</f>
        <v>7</v>
      </c>
    </row>
    <row r="3396" spans="1:5" x14ac:dyDescent="0.25">
      <c r="A3396" s="3">
        <f t="shared" si="160"/>
        <v>78989</v>
      </c>
      <c r="B3396" t="str">
        <f ca="1">TEXT(DATE(YEAR(Invoer!$A$5),1,1)+INT((ROWS(B$2:B3396)-1)/24),"""18""jjmmdd")</f>
        <v>18980522</v>
      </c>
      <c r="C3396" s="11" t="str">
        <f>INDEX(Data,2,2+MOD(ROWS(C$2:C3396)-1,24))</f>
        <v>11.00</v>
      </c>
      <c r="D3396" s="8" t="str">
        <f t="shared" ca="1" si="161"/>
        <v>—</v>
      </c>
      <c r="E3396" s="16">
        <f t="shared" ca="1" si="162"/>
        <v>7</v>
      </c>
    </row>
    <row r="3397" spans="1:5" x14ac:dyDescent="0.25">
      <c r="A3397" s="3">
        <f t="shared" si="160"/>
        <v>78989</v>
      </c>
      <c r="B3397" t="str">
        <f ca="1">TEXT(DATE(YEAR(Invoer!$A$5),1,1)+INT((ROWS(B$2:B3397)-1)/24),"""18""jjmmdd")</f>
        <v>18980522</v>
      </c>
      <c r="C3397" s="11" t="str">
        <f>INDEX(Data,2,2+MOD(ROWS(C$2:C3397)-1,24))</f>
        <v>12.00</v>
      </c>
      <c r="D3397" s="8" t="str">
        <f t="shared" ca="1" si="161"/>
        <v>—</v>
      </c>
      <c r="E3397" s="16">
        <f t="shared" ca="1" si="162"/>
        <v>7</v>
      </c>
    </row>
    <row r="3398" spans="1:5" x14ac:dyDescent="0.25">
      <c r="A3398" s="3">
        <f t="shared" si="160"/>
        <v>78989</v>
      </c>
      <c r="B3398" t="str">
        <f ca="1">TEXT(DATE(YEAR(Invoer!$A$5),1,1)+INT((ROWS(B$2:B3398)-1)/24),"""18""jjmmdd")</f>
        <v>18980522</v>
      </c>
      <c r="C3398" s="11" t="str">
        <f>INDEX(Data,2,2+MOD(ROWS(C$2:C3398)-1,24))</f>
        <v>13.00</v>
      </c>
      <c r="D3398" s="8" t="str">
        <f t="shared" ca="1" si="161"/>
        <v>—</v>
      </c>
      <c r="E3398" s="16">
        <f t="shared" ca="1" si="162"/>
        <v>7</v>
      </c>
    </row>
    <row r="3399" spans="1:5" x14ac:dyDescent="0.25">
      <c r="A3399" s="3">
        <f t="shared" si="160"/>
        <v>78989</v>
      </c>
      <c r="B3399" t="str">
        <f ca="1">TEXT(DATE(YEAR(Invoer!$A$5),1,1)+INT((ROWS(B$2:B3399)-1)/24),"""18""jjmmdd")</f>
        <v>18980522</v>
      </c>
      <c r="C3399" s="11" t="str">
        <f>INDEX(Data,2,2+MOD(ROWS(C$2:C3399)-1,24))</f>
        <v>14.00</v>
      </c>
      <c r="D3399" s="8" t="str">
        <f t="shared" ca="1" si="161"/>
        <v>—</v>
      </c>
      <c r="E3399" s="16">
        <f t="shared" ca="1" si="162"/>
        <v>7</v>
      </c>
    </row>
    <row r="3400" spans="1:5" x14ac:dyDescent="0.25">
      <c r="A3400" s="3">
        <f t="shared" si="160"/>
        <v>78989</v>
      </c>
      <c r="B3400" t="str">
        <f ca="1">TEXT(DATE(YEAR(Invoer!$A$5),1,1)+INT((ROWS(B$2:B3400)-1)/24),"""18""jjmmdd")</f>
        <v>18980522</v>
      </c>
      <c r="C3400" s="11" t="str">
        <f>INDEX(Data,2,2+MOD(ROWS(C$2:C3400)-1,24))</f>
        <v>15.00</v>
      </c>
      <c r="D3400" s="8" t="str">
        <f t="shared" ca="1" si="161"/>
        <v>—</v>
      </c>
      <c r="E3400" s="16">
        <f t="shared" ca="1" si="162"/>
        <v>7</v>
      </c>
    </row>
    <row r="3401" spans="1:5" x14ac:dyDescent="0.25">
      <c r="A3401" s="3">
        <f t="shared" si="160"/>
        <v>78989</v>
      </c>
      <c r="B3401" t="str">
        <f ca="1">TEXT(DATE(YEAR(Invoer!$A$5),1,1)+INT((ROWS(B$2:B3401)-1)/24),"""18""jjmmdd")</f>
        <v>18980522</v>
      </c>
      <c r="C3401" s="11" t="str">
        <f>INDEX(Data,2,2+MOD(ROWS(C$2:C3401)-1,24))</f>
        <v>16.00</v>
      </c>
      <c r="D3401" s="8" t="str">
        <f t="shared" ca="1" si="161"/>
        <v>—</v>
      </c>
      <c r="E3401" s="16">
        <f t="shared" ca="1" si="162"/>
        <v>7</v>
      </c>
    </row>
    <row r="3402" spans="1:5" x14ac:dyDescent="0.25">
      <c r="A3402" s="3">
        <f t="shared" si="160"/>
        <v>78989</v>
      </c>
      <c r="B3402" t="str">
        <f ca="1">TEXT(DATE(YEAR(Invoer!$A$5),1,1)+INT((ROWS(B$2:B3402)-1)/24),"""18""jjmmdd")</f>
        <v>18980522</v>
      </c>
      <c r="C3402" s="11" t="str">
        <f>INDEX(Data,2,2+MOD(ROWS(C$2:C3402)-1,24))</f>
        <v>17.00</v>
      </c>
      <c r="D3402" s="8" t="str">
        <f t="shared" ca="1" si="161"/>
        <v>—</v>
      </c>
      <c r="E3402" s="16">
        <f t="shared" ca="1" si="162"/>
        <v>7</v>
      </c>
    </row>
    <row r="3403" spans="1:5" x14ac:dyDescent="0.25">
      <c r="A3403" s="3">
        <f t="shared" si="160"/>
        <v>78989</v>
      </c>
      <c r="B3403" t="str">
        <f ca="1">TEXT(DATE(YEAR(Invoer!$A$5),1,1)+INT((ROWS(B$2:B3403)-1)/24),"""18""jjmmdd")</f>
        <v>18980522</v>
      </c>
      <c r="C3403" s="11" t="str">
        <f>INDEX(Data,2,2+MOD(ROWS(C$2:C3403)-1,24))</f>
        <v>18.00</v>
      </c>
      <c r="D3403" s="8" t="str">
        <f t="shared" ca="1" si="161"/>
        <v>—</v>
      </c>
      <c r="E3403" s="16">
        <f t="shared" ca="1" si="162"/>
        <v>7</v>
      </c>
    </row>
    <row r="3404" spans="1:5" x14ac:dyDescent="0.25">
      <c r="A3404" s="3">
        <f t="shared" si="160"/>
        <v>78989</v>
      </c>
      <c r="B3404" t="str">
        <f ca="1">TEXT(DATE(YEAR(Invoer!$A$5),1,1)+INT((ROWS(B$2:B3404)-1)/24),"""18""jjmmdd")</f>
        <v>18980522</v>
      </c>
      <c r="C3404" s="11" t="str">
        <f>INDEX(Data,2,2+MOD(ROWS(C$2:C3404)-1,24))</f>
        <v>19.00</v>
      </c>
      <c r="D3404" s="8" t="str">
        <f t="shared" ca="1" si="161"/>
        <v>—</v>
      </c>
      <c r="E3404" s="16">
        <f t="shared" ca="1" si="162"/>
        <v>7</v>
      </c>
    </row>
    <row r="3405" spans="1:5" x14ac:dyDescent="0.25">
      <c r="A3405" s="3">
        <f t="shared" si="160"/>
        <v>78989</v>
      </c>
      <c r="B3405" t="str">
        <f ca="1">TEXT(DATE(YEAR(Invoer!$A$5),1,1)+INT((ROWS(B$2:B3405)-1)/24),"""18""jjmmdd")</f>
        <v>18980522</v>
      </c>
      <c r="C3405" s="11" t="str">
        <f>INDEX(Data,2,2+MOD(ROWS(C$2:C3405)-1,24))</f>
        <v>20.00</v>
      </c>
      <c r="D3405" s="8" t="str">
        <f t="shared" ca="1" si="161"/>
        <v>—</v>
      </c>
      <c r="E3405" s="16">
        <f t="shared" ca="1" si="162"/>
        <v>7</v>
      </c>
    </row>
    <row r="3406" spans="1:5" x14ac:dyDescent="0.25">
      <c r="A3406" s="3">
        <f t="shared" si="160"/>
        <v>78989</v>
      </c>
      <c r="B3406" t="str">
        <f ca="1">TEXT(DATE(YEAR(Invoer!$A$5),1,1)+INT((ROWS(B$2:B3406)-1)/24),"""18""jjmmdd")</f>
        <v>18980522</v>
      </c>
      <c r="C3406" s="11" t="str">
        <f>INDEX(Data,2,2+MOD(ROWS(C$2:C3406)-1,24))</f>
        <v>21.00</v>
      </c>
      <c r="D3406" s="8" t="str">
        <f t="shared" ca="1" si="161"/>
        <v>—</v>
      </c>
      <c r="E3406" s="16">
        <f t="shared" ca="1" si="162"/>
        <v>7</v>
      </c>
    </row>
    <row r="3407" spans="1:5" x14ac:dyDescent="0.25">
      <c r="A3407" s="3">
        <f t="shared" si="160"/>
        <v>78989</v>
      </c>
      <c r="B3407" t="str">
        <f ca="1">TEXT(DATE(YEAR(Invoer!$A$5),1,1)+INT((ROWS(B$2:B3407)-1)/24),"""18""jjmmdd")</f>
        <v>18980522</v>
      </c>
      <c r="C3407" s="11" t="str">
        <f>INDEX(Data,2,2+MOD(ROWS(C$2:C3407)-1,24))</f>
        <v>22.00</v>
      </c>
      <c r="D3407" s="8" t="str">
        <f t="shared" ca="1" si="161"/>
        <v>—</v>
      </c>
      <c r="E3407" s="16">
        <f t="shared" ca="1" si="162"/>
        <v>7</v>
      </c>
    </row>
    <row r="3408" spans="1:5" x14ac:dyDescent="0.25">
      <c r="A3408" s="3">
        <f t="shared" si="160"/>
        <v>78989</v>
      </c>
      <c r="B3408" t="str">
        <f ca="1">TEXT(DATE(YEAR(Invoer!$A$5),1,1)+INT((ROWS(B$2:B3408)-1)/24),"""18""jjmmdd")</f>
        <v>18980522</v>
      </c>
      <c r="C3408" s="11" t="str">
        <f>INDEX(Data,2,2+MOD(ROWS(C$2:C3408)-1,24))</f>
        <v>23.00</v>
      </c>
      <c r="D3408" s="8" t="str">
        <f t="shared" ca="1" si="161"/>
        <v>—</v>
      </c>
      <c r="E3408" s="16">
        <f t="shared" ca="1" si="162"/>
        <v>7</v>
      </c>
    </row>
    <row r="3409" spans="1:5" x14ac:dyDescent="0.25">
      <c r="A3409" s="3">
        <f t="shared" si="160"/>
        <v>78989</v>
      </c>
      <c r="B3409" t="str">
        <f ca="1">TEXT(DATE(YEAR(Invoer!$A$5),1,1)+INT((ROWS(B$2:B3409)-1)/24),"""18""jjmmdd")</f>
        <v>18980522</v>
      </c>
      <c r="C3409" s="11" t="str">
        <f>INDEX(Data,2,2+MOD(ROWS(C$2:C3409)-1,24))</f>
        <v>24.00</v>
      </c>
      <c r="D3409" s="8" t="str">
        <f t="shared" ca="1" si="161"/>
        <v>—</v>
      </c>
      <c r="E3409" s="16">
        <f t="shared" ca="1" si="162"/>
        <v>7</v>
      </c>
    </row>
    <row r="3410" spans="1:5" x14ac:dyDescent="0.25">
      <c r="A3410" s="3">
        <f t="shared" si="160"/>
        <v>78989</v>
      </c>
      <c r="B3410" t="str">
        <f ca="1">TEXT(DATE(YEAR(Invoer!$A$5),1,1)+INT((ROWS(B$2:B3410)-1)/24),"""18""jjmmdd")</f>
        <v>18980523</v>
      </c>
      <c r="C3410" s="11" t="str">
        <f>INDEX(Data,2,2+MOD(ROWS(C$2:C3410)-1,24))</f>
        <v>01.00</v>
      </c>
      <c r="D3410" s="8" t="str">
        <f t="shared" ca="1" si="161"/>
        <v>—</v>
      </c>
      <c r="E3410" s="16">
        <f t="shared" ca="1" si="162"/>
        <v>7</v>
      </c>
    </row>
    <row r="3411" spans="1:5" x14ac:dyDescent="0.25">
      <c r="A3411" s="3">
        <f t="shared" si="160"/>
        <v>78989</v>
      </c>
      <c r="B3411" t="str">
        <f ca="1">TEXT(DATE(YEAR(Invoer!$A$5),1,1)+INT((ROWS(B$2:B3411)-1)/24),"""18""jjmmdd")</f>
        <v>18980523</v>
      </c>
      <c r="C3411" s="11" t="str">
        <f>INDEX(Data,2,2+MOD(ROWS(C$2:C3411)-1,24))</f>
        <v>02.00</v>
      </c>
      <c r="D3411" s="8" t="str">
        <f t="shared" ca="1" si="161"/>
        <v>—</v>
      </c>
      <c r="E3411" s="16">
        <f t="shared" ca="1" si="162"/>
        <v>7</v>
      </c>
    </row>
    <row r="3412" spans="1:5" x14ac:dyDescent="0.25">
      <c r="A3412" s="3">
        <f t="shared" si="160"/>
        <v>78989</v>
      </c>
      <c r="B3412" t="str">
        <f ca="1">TEXT(DATE(YEAR(Invoer!$A$5),1,1)+INT((ROWS(B$2:B3412)-1)/24),"""18""jjmmdd")</f>
        <v>18980523</v>
      </c>
      <c r="C3412" s="11" t="str">
        <f>INDEX(Data,2,2+MOD(ROWS(C$2:C3412)-1,24))</f>
        <v>03.00</v>
      </c>
      <c r="D3412" s="8" t="str">
        <f t="shared" ca="1" si="161"/>
        <v>—</v>
      </c>
      <c r="E3412" s="16">
        <f t="shared" ca="1" si="162"/>
        <v>7</v>
      </c>
    </row>
    <row r="3413" spans="1:5" x14ac:dyDescent="0.25">
      <c r="A3413" s="3">
        <f t="shared" si="160"/>
        <v>78989</v>
      </c>
      <c r="B3413" t="str">
        <f ca="1">TEXT(DATE(YEAR(Invoer!$A$5),1,1)+INT((ROWS(B$2:B3413)-1)/24),"""18""jjmmdd")</f>
        <v>18980523</v>
      </c>
      <c r="C3413" s="11" t="str">
        <f>INDEX(Data,2,2+MOD(ROWS(C$2:C3413)-1,24))</f>
        <v>04.00</v>
      </c>
      <c r="D3413" s="8" t="str">
        <f t="shared" ca="1" si="161"/>
        <v>—</v>
      </c>
      <c r="E3413" s="16">
        <f t="shared" ca="1" si="162"/>
        <v>7</v>
      </c>
    </row>
    <row r="3414" spans="1:5" x14ac:dyDescent="0.25">
      <c r="A3414" s="3">
        <f t="shared" si="160"/>
        <v>78989</v>
      </c>
      <c r="B3414" t="str">
        <f ca="1">TEXT(DATE(YEAR(Invoer!$A$5),1,1)+INT((ROWS(B$2:B3414)-1)/24),"""18""jjmmdd")</f>
        <v>18980523</v>
      </c>
      <c r="C3414" s="11" t="str">
        <f>INDEX(Data,2,2+MOD(ROWS(C$2:C3414)-1,24))</f>
        <v>05.00</v>
      </c>
      <c r="D3414" s="8" t="str">
        <f t="shared" ca="1" si="161"/>
        <v>—</v>
      </c>
      <c r="E3414" s="16">
        <f t="shared" ca="1" si="162"/>
        <v>7</v>
      </c>
    </row>
    <row r="3415" spans="1:5" x14ac:dyDescent="0.25">
      <c r="A3415" s="3">
        <f t="shared" si="160"/>
        <v>78989</v>
      </c>
      <c r="B3415" t="str">
        <f ca="1">TEXT(DATE(YEAR(Invoer!$A$5),1,1)+INT((ROWS(B$2:B3415)-1)/24),"""18""jjmmdd")</f>
        <v>18980523</v>
      </c>
      <c r="C3415" s="11" t="str">
        <f>INDEX(Data,2,2+MOD(ROWS(C$2:C3415)-1,24))</f>
        <v>06.00</v>
      </c>
      <c r="D3415" s="8" t="str">
        <f t="shared" ca="1" si="161"/>
        <v>—</v>
      </c>
      <c r="E3415" s="16">
        <f t="shared" ca="1" si="162"/>
        <v>7</v>
      </c>
    </row>
    <row r="3416" spans="1:5" x14ac:dyDescent="0.25">
      <c r="A3416" s="3">
        <f t="shared" si="160"/>
        <v>78989</v>
      </c>
      <c r="B3416" t="str">
        <f ca="1">TEXT(DATE(YEAR(Invoer!$A$5),1,1)+INT((ROWS(B$2:B3416)-1)/24),"""18""jjmmdd")</f>
        <v>18980523</v>
      </c>
      <c r="C3416" s="11" t="str">
        <f>INDEX(Data,2,2+MOD(ROWS(C$2:C3416)-1,24))</f>
        <v>07.00</v>
      </c>
      <c r="D3416" s="8" t="str">
        <f t="shared" ca="1" si="161"/>
        <v>—</v>
      </c>
      <c r="E3416" s="16">
        <f t="shared" ca="1" si="162"/>
        <v>7</v>
      </c>
    </row>
    <row r="3417" spans="1:5" x14ac:dyDescent="0.25">
      <c r="A3417" s="3">
        <f t="shared" si="160"/>
        <v>78989</v>
      </c>
      <c r="B3417" t="str">
        <f ca="1">TEXT(DATE(YEAR(Invoer!$A$5),1,1)+INT((ROWS(B$2:B3417)-1)/24),"""18""jjmmdd")</f>
        <v>18980523</v>
      </c>
      <c r="C3417" s="11" t="str">
        <f>INDEX(Data,2,2+MOD(ROWS(C$2:C3417)-1,24))</f>
        <v>08.00</v>
      </c>
      <c r="D3417" s="8" t="str">
        <f t="shared" ca="1" si="161"/>
        <v>—</v>
      </c>
      <c r="E3417" s="16">
        <f t="shared" ca="1" si="162"/>
        <v>7</v>
      </c>
    </row>
    <row r="3418" spans="1:5" x14ac:dyDescent="0.25">
      <c r="A3418" s="3">
        <f t="shared" si="160"/>
        <v>78989</v>
      </c>
      <c r="B3418" t="str">
        <f ca="1">TEXT(DATE(YEAR(Invoer!$A$5),1,1)+INT((ROWS(B$2:B3418)-1)/24),"""18""jjmmdd")</f>
        <v>18980523</v>
      </c>
      <c r="C3418" s="11" t="str">
        <f>INDEX(Data,2,2+MOD(ROWS(C$2:C3418)-1,24))</f>
        <v>09.00</v>
      </c>
      <c r="D3418" s="8" t="str">
        <f t="shared" ca="1" si="161"/>
        <v>—</v>
      </c>
      <c r="E3418" s="16">
        <f t="shared" ca="1" si="162"/>
        <v>7</v>
      </c>
    </row>
    <row r="3419" spans="1:5" x14ac:dyDescent="0.25">
      <c r="A3419" s="3">
        <f t="shared" si="160"/>
        <v>78989</v>
      </c>
      <c r="B3419" t="str">
        <f ca="1">TEXT(DATE(YEAR(Invoer!$A$5),1,1)+INT((ROWS(B$2:B3419)-1)/24),"""18""jjmmdd")</f>
        <v>18980523</v>
      </c>
      <c r="C3419" s="11" t="str">
        <f>INDEX(Data,2,2+MOD(ROWS(C$2:C3419)-1,24))</f>
        <v>10.00</v>
      </c>
      <c r="D3419" s="8" t="str">
        <f t="shared" ca="1" si="161"/>
        <v>—</v>
      </c>
      <c r="E3419" s="16">
        <f t="shared" ca="1" si="162"/>
        <v>7</v>
      </c>
    </row>
    <row r="3420" spans="1:5" x14ac:dyDescent="0.25">
      <c r="A3420" s="3">
        <f t="shared" si="160"/>
        <v>78989</v>
      </c>
      <c r="B3420" t="str">
        <f ca="1">TEXT(DATE(YEAR(Invoer!$A$5),1,1)+INT((ROWS(B$2:B3420)-1)/24),"""18""jjmmdd")</f>
        <v>18980523</v>
      </c>
      <c r="C3420" s="11" t="str">
        <f>INDEX(Data,2,2+MOD(ROWS(C$2:C3420)-1,24))</f>
        <v>11.00</v>
      </c>
      <c r="D3420" s="8" t="str">
        <f t="shared" ca="1" si="161"/>
        <v>—</v>
      </c>
      <c r="E3420" s="16">
        <f t="shared" ca="1" si="162"/>
        <v>7</v>
      </c>
    </row>
    <row r="3421" spans="1:5" x14ac:dyDescent="0.25">
      <c r="A3421" s="3">
        <f t="shared" si="160"/>
        <v>78989</v>
      </c>
      <c r="B3421" t="str">
        <f ca="1">TEXT(DATE(YEAR(Invoer!$A$5),1,1)+INT((ROWS(B$2:B3421)-1)/24),"""18""jjmmdd")</f>
        <v>18980523</v>
      </c>
      <c r="C3421" s="11" t="str">
        <f>INDEX(Data,2,2+MOD(ROWS(C$2:C3421)-1,24))</f>
        <v>12.00</v>
      </c>
      <c r="D3421" s="8" t="str">
        <f t="shared" ca="1" si="161"/>
        <v>—</v>
      </c>
      <c r="E3421" s="16">
        <f t="shared" ca="1" si="162"/>
        <v>7</v>
      </c>
    </row>
    <row r="3422" spans="1:5" x14ac:dyDescent="0.25">
      <c r="A3422" s="3">
        <f t="shared" si="160"/>
        <v>78989</v>
      </c>
      <c r="B3422" t="str">
        <f ca="1">TEXT(DATE(YEAR(Invoer!$A$5),1,1)+INT((ROWS(B$2:B3422)-1)/24),"""18""jjmmdd")</f>
        <v>18980523</v>
      </c>
      <c r="C3422" s="11" t="str">
        <f>INDEX(Data,2,2+MOD(ROWS(C$2:C3422)-1,24))</f>
        <v>13.00</v>
      </c>
      <c r="D3422" s="8" t="str">
        <f t="shared" ca="1" si="161"/>
        <v>—</v>
      </c>
      <c r="E3422" s="16">
        <f t="shared" ca="1" si="162"/>
        <v>7</v>
      </c>
    </row>
    <row r="3423" spans="1:5" x14ac:dyDescent="0.25">
      <c r="A3423" s="3">
        <f t="shared" si="160"/>
        <v>78989</v>
      </c>
      <c r="B3423" t="str">
        <f ca="1">TEXT(DATE(YEAR(Invoer!$A$5),1,1)+INT((ROWS(B$2:B3423)-1)/24),"""18""jjmmdd")</f>
        <v>18980523</v>
      </c>
      <c r="C3423" s="11" t="str">
        <f>INDEX(Data,2,2+MOD(ROWS(C$2:C3423)-1,24))</f>
        <v>14.00</v>
      </c>
      <c r="D3423" s="8" t="str">
        <f t="shared" ca="1" si="161"/>
        <v>—</v>
      </c>
      <c r="E3423" s="16">
        <f t="shared" ca="1" si="162"/>
        <v>7</v>
      </c>
    </row>
    <row r="3424" spans="1:5" x14ac:dyDescent="0.25">
      <c r="A3424" s="3">
        <f t="shared" si="160"/>
        <v>78989</v>
      </c>
      <c r="B3424" t="str">
        <f ca="1">TEXT(DATE(YEAR(Invoer!$A$5),1,1)+INT((ROWS(B$2:B3424)-1)/24),"""18""jjmmdd")</f>
        <v>18980523</v>
      </c>
      <c r="C3424" s="11" t="str">
        <f>INDEX(Data,2,2+MOD(ROWS(C$2:C3424)-1,24))</f>
        <v>15.00</v>
      </c>
      <c r="D3424" s="8" t="str">
        <f t="shared" ca="1" si="161"/>
        <v>—</v>
      </c>
      <c r="E3424" s="16">
        <f t="shared" ca="1" si="162"/>
        <v>7</v>
      </c>
    </row>
    <row r="3425" spans="1:5" x14ac:dyDescent="0.25">
      <c r="A3425" s="3">
        <f t="shared" si="160"/>
        <v>78989</v>
      </c>
      <c r="B3425" t="str">
        <f ca="1">TEXT(DATE(YEAR(Invoer!$A$5),1,1)+INT((ROWS(B$2:B3425)-1)/24),"""18""jjmmdd")</f>
        <v>18980523</v>
      </c>
      <c r="C3425" s="11" t="str">
        <f>INDEX(Data,2,2+MOD(ROWS(C$2:C3425)-1,24))</f>
        <v>16.00</v>
      </c>
      <c r="D3425" s="8" t="str">
        <f t="shared" ca="1" si="161"/>
        <v>—</v>
      </c>
      <c r="E3425" s="16">
        <f t="shared" ca="1" si="162"/>
        <v>7</v>
      </c>
    </row>
    <row r="3426" spans="1:5" x14ac:dyDescent="0.25">
      <c r="A3426" s="3">
        <f t="shared" si="160"/>
        <v>78989</v>
      </c>
      <c r="B3426" t="str">
        <f ca="1">TEXT(DATE(YEAR(Invoer!$A$5),1,1)+INT((ROWS(B$2:B3426)-1)/24),"""18""jjmmdd")</f>
        <v>18980523</v>
      </c>
      <c r="C3426" s="11" t="str">
        <f>INDEX(Data,2,2+MOD(ROWS(C$2:C3426)-1,24))</f>
        <v>17.00</v>
      </c>
      <c r="D3426" s="8" t="str">
        <f t="shared" ca="1" si="161"/>
        <v>—</v>
      </c>
      <c r="E3426" s="16">
        <f t="shared" ca="1" si="162"/>
        <v>7</v>
      </c>
    </row>
    <row r="3427" spans="1:5" x14ac:dyDescent="0.25">
      <c r="A3427" s="3">
        <f t="shared" si="160"/>
        <v>78989</v>
      </c>
      <c r="B3427" t="str">
        <f ca="1">TEXT(DATE(YEAR(Invoer!$A$5),1,1)+INT((ROWS(B$2:B3427)-1)/24),"""18""jjmmdd")</f>
        <v>18980523</v>
      </c>
      <c r="C3427" s="11" t="str">
        <f>INDEX(Data,2,2+MOD(ROWS(C$2:C3427)-1,24))</f>
        <v>18.00</v>
      </c>
      <c r="D3427" s="8" t="str">
        <f t="shared" ca="1" si="161"/>
        <v>—</v>
      </c>
      <c r="E3427" s="16">
        <f t="shared" ca="1" si="162"/>
        <v>7</v>
      </c>
    </row>
    <row r="3428" spans="1:5" x14ac:dyDescent="0.25">
      <c r="A3428" s="3">
        <f t="shared" si="160"/>
        <v>78989</v>
      </c>
      <c r="B3428" t="str">
        <f ca="1">TEXT(DATE(YEAR(Invoer!$A$5),1,1)+INT((ROWS(B$2:B3428)-1)/24),"""18""jjmmdd")</f>
        <v>18980523</v>
      </c>
      <c r="C3428" s="11" t="str">
        <f>INDEX(Data,2,2+MOD(ROWS(C$2:C3428)-1,24))</f>
        <v>19.00</v>
      </c>
      <c r="D3428" s="8" t="str">
        <f t="shared" ca="1" si="161"/>
        <v>—</v>
      </c>
      <c r="E3428" s="16">
        <f t="shared" ca="1" si="162"/>
        <v>7</v>
      </c>
    </row>
    <row r="3429" spans="1:5" x14ac:dyDescent="0.25">
      <c r="A3429" s="3">
        <f t="shared" si="160"/>
        <v>78989</v>
      </c>
      <c r="B3429" t="str">
        <f ca="1">TEXT(DATE(YEAR(Invoer!$A$5),1,1)+INT((ROWS(B$2:B3429)-1)/24),"""18""jjmmdd")</f>
        <v>18980523</v>
      </c>
      <c r="C3429" s="11" t="str">
        <f>INDEX(Data,2,2+MOD(ROWS(C$2:C3429)-1,24))</f>
        <v>20.00</v>
      </c>
      <c r="D3429" s="8" t="str">
        <f t="shared" ca="1" si="161"/>
        <v>—</v>
      </c>
      <c r="E3429" s="16">
        <f t="shared" ca="1" si="162"/>
        <v>7</v>
      </c>
    </row>
    <row r="3430" spans="1:5" x14ac:dyDescent="0.25">
      <c r="A3430" s="3">
        <f t="shared" si="160"/>
        <v>78989</v>
      </c>
      <c r="B3430" t="str">
        <f ca="1">TEXT(DATE(YEAR(Invoer!$A$5),1,1)+INT((ROWS(B$2:B3430)-1)/24),"""18""jjmmdd")</f>
        <v>18980523</v>
      </c>
      <c r="C3430" s="11" t="str">
        <f>INDEX(Data,2,2+MOD(ROWS(C$2:C3430)-1,24))</f>
        <v>21.00</v>
      </c>
      <c r="D3430" s="8" t="str">
        <f t="shared" ca="1" si="161"/>
        <v>—</v>
      </c>
      <c r="E3430" s="16">
        <f t="shared" ca="1" si="162"/>
        <v>7</v>
      </c>
    </row>
    <row r="3431" spans="1:5" x14ac:dyDescent="0.25">
      <c r="A3431" s="3">
        <f t="shared" si="160"/>
        <v>78989</v>
      </c>
      <c r="B3431" t="str">
        <f ca="1">TEXT(DATE(YEAR(Invoer!$A$5),1,1)+INT((ROWS(B$2:B3431)-1)/24),"""18""jjmmdd")</f>
        <v>18980523</v>
      </c>
      <c r="C3431" s="11" t="str">
        <f>INDEX(Data,2,2+MOD(ROWS(C$2:C3431)-1,24))</f>
        <v>22.00</v>
      </c>
      <c r="D3431" s="8" t="str">
        <f t="shared" ca="1" si="161"/>
        <v>—</v>
      </c>
      <c r="E3431" s="16">
        <f t="shared" ca="1" si="162"/>
        <v>7</v>
      </c>
    </row>
    <row r="3432" spans="1:5" x14ac:dyDescent="0.25">
      <c r="A3432" s="3">
        <f t="shared" si="160"/>
        <v>78989</v>
      </c>
      <c r="B3432" t="str">
        <f ca="1">TEXT(DATE(YEAR(Invoer!$A$5),1,1)+INT((ROWS(B$2:B3432)-1)/24),"""18""jjmmdd")</f>
        <v>18980523</v>
      </c>
      <c r="C3432" s="11" t="str">
        <f>INDEX(Data,2,2+MOD(ROWS(C$2:C3432)-1,24))</f>
        <v>23.00</v>
      </c>
      <c r="D3432" s="8" t="str">
        <f t="shared" ca="1" si="161"/>
        <v>—</v>
      </c>
      <c r="E3432" s="16">
        <f t="shared" ca="1" si="162"/>
        <v>7</v>
      </c>
    </row>
    <row r="3433" spans="1:5" x14ac:dyDescent="0.25">
      <c r="A3433" s="3">
        <f t="shared" si="160"/>
        <v>78989</v>
      </c>
      <c r="B3433" t="str">
        <f ca="1">TEXT(DATE(YEAR(Invoer!$A$5),1,1)+INT((ROWS(B$2:B3433)-1)/24),"""18""jjmmdd")</f>
        <v>18980523</v>
      </c>
      <c r="C3433" s="11" t="str">
        <f>INDEX(Data,2,2+MOD(ROWS(C$2:C3433)-1,24))</f>
        <v>24.00</v>
      </c>
      <c r="D3433" s="8" t="str">
        <f t="shared" ca="1" si="161"/>
        <v>—</v>
      </c>
      <c r="E3433" s="16">
        <f t="shared" ca="1" si="162"/>
        <v>7</v>
      </c>
    </row>
    <row r="3434" spans="1:5" x14ac:dyDescent="0.25">
      <c r="A3434" s="3">
        <f t="shared" si="160"/>
        <v>78989</v>
      </c>
      <c r="B3434" t="str">
        <f ca="1">TEXT(DATE(YEAR(Invoer!$A$5),1,1)+INT((ROWS(B$2:B3434)-1)/24),"""18""jjmmdd")</f>
        <v>18980524</v>
      </c>
      <c r="C3434" s="11" t="str">
        <f>INDEX(Data,2,2+MOD(ROWS(C$2:C3434)-1,24))</f>
        <v>01.00</v>
      </c>
      <c r="D3434" s="8" t="str">
        <f t="shared" ca="1" si="161"/>
        <v>—</v>
      </c>
      <c r="E3434" s="16">
        <f t="shared" ca="1" si="162"/>
        <v>7</v>
      </c>
    </row>
    <row r="3435" spans="1:5" x14ac:dyDescent="0.25">
      <c r="A3435" s="3">
        <f t="shared" si="160"/>
        <v>78989</v>
      </c>
      <c r="B3435" t="str">
        <f ca="1">TEXT(DATE(YEAR(Invoer!$A$5),1,1)+INT((ROWS(B$2:B3435)-1)/24),"""18""jjmmdd")</f>
        <v>18980524</v>
      </c>
      <c r="C3435" s="11" t="str">
        <f>INDEX(Data,2,2+MOD(ROWS(C$2:C3435)-1,24))</f>
        <v>02.00</v>
      </c>
      <c r="D3435" s="8" t="str">
        <f t="shared" ca="1" si="161"/>
        <v>—</v>
      </c>
      <c r="E3435" s="16">
        <f t="shared" ca="1" si="162"/>
        <v>7</v>
      </c>
    </row>
    <row r="3436" spans="1:5" x14ac:dyDescent="0.25">
      <c r="A3436" s="3">
        <f t="shared" si="160"/>
        <v>78989</v>
      </c>
      <c r="B3436" t="str">
        <f ca="1">TEXT(DATE(YEAR(Invoer!$A$5),1,1)+INT((ROWS(B$2:B3436)-1)/24),"""18""jjmmdd")</f>
        <v>18980524</v>
      </c>
      <c r="C3436" s="11" t="str">
        <f>INDEX(Data,2,2+MOD(ROWS(C$2:C3436)-1,24))</f>
        <v>03.00</v>
      </c>
      <c r="D3436" s="8" t="str">
        <f t="shared" ca="1" si="161"/>
        <v>—</v>
      </c>
      <c r="E3436" s="16">
        <f t="shared" ca="1" si="162"/>
        <v>7</v>
      </c>
    </row>
    <row r="3437" spans="1:5" x14ac:dyDescent="0.25">
      <c r="A3437" s="3">
        <f t="shared" si="160"/>
        <v>78989</v>
      </c>
      <c r="B3437" t="str">
        <f ca="1">TEXT(DATE(YEAR(Invoer!$A$5),1,1)+INT((ROWS(B$2:B3437)-1)/24),"""18""jjmmdd")</f>
        <v>18980524</v>
      </c>
      <c r="C3437" s="11" t="str">
        <f>INDEX(Data,2,2+MOD(ROWS(C$2:C3437)-1,24))</f>
        <v>04.00</v>
      </c>
      <c r="D3437" s="8" t="str">
        <f t="shared" ca="1" si="161"/>
        <v>—</v>
      </c>
      <c r="E3437" s="16">
        <f t="shared" ca="1" si="162"/>
        <v>7</v>
      </c>
    </row>
    <row r="3438" spans="1:5" x14ac:dyDescent="0.25">
      <c r="A3438" s="3">
        <f t="shared" si="160"/>
        <v>78989</v>
      </c>
      <c r="B3438" t="str">
        <f ca="1">TEXT(DATE(YEAR(Invoer!$A$5),1,1)+INT((ROWS(B$2:B3438)-1)/24),"""18""jjmmdd")</f>
        <v>18980524</v>
      </c>
      <c r="C3438" s="11" t="str">
        <f>INDEX(Data,2,2+MOD(ROWS(C$2:C3438)-1,24))</f>
        <v>05.00</v>
      </c>
      <c r="D3438" s="8" t="str">
        <f t="shared" ca="1" si="161"/>
        <v>—</v>
      </c>
      <c r="E3438" s="16">
        <f t="shared" ca="1" si="162"/>
        <v>7</v>
      </c>
    </row>
    <row r="3439" spans="1:5" x14ac:dyDescent="0.25">
      <c r="A3439" s="3">
        <f t="shared" si="160"/>
        <v>78989</v>
      </c>
      <c r="B3439" t="str">
        <f ca="1">TEXT(DATE(YEAR(Invoer!$A$5),1,1)+INT((ROWS(B$2:B3439)-1)/24),"""18""jjmmdd")</f>
        <v>18980524</v>
      </c>
      <c r="C3439" s="11" t="str">
        <f>INDEX(Data,2,2+MOD(ROWS(C$2:C3439)-1,24))</f>
        <v>06.00</v>
      </c>
      <c r="D3439" s="8" t="str">
        <f t="shared" ca="1" si="161"/>
        <v>—</v>
      </c>
      <c r="E3439" s="16">
        <f t="shared" ca="1" si="162"/>
        <v>7</v>
      </c>
    </row>
    <row r="3440" spans="1:5" x14ac:dyDescent="0.25">
      <c r="A3440" s="3">
        <f t="shared" si="160"/>
        <v>78989</v>
      </c>
      <c r="B3440" t="str">
        <f ca="1">TEXT(DATE(YEAR(Invoer!$A$5),1,1)+INT((ROWS(B$2:B3440)-1)/24),"""18""jjmmdd")</f>
        <v>18980524</v>
      </c>
      <c r="C3440" s="11" t="str">
        <f>INDEX(Data,2,2+MOD(ROWS(C$2:C3440)-1,24))</f>
        <v>07.00</v>
      </c>
      <c r="D3440" s="8" t="str">
        <f t="shared" ca="1" si="161"/>
        <v>—</v>
      </c>
      <c r="E3440" s="16">
        <f t="shared" ca="1" si="162"/>
        <v>7</v>
      </c>
    </row>
    <row r="3441" spans="1:5" x14ac:dyDescent="0.25">
      <c r="A3441" s="3">
        <f t="shared" si="160"/>
        <v>78989</v>
      </c>
      <c r="B3441" t="str">
        <f ca="1">TEXT(DATE(YEAR(Invoer!$A$5),1,1)+INT((ROWS(B$2:B3441)-1)/24),"""18""jjmmdd")</f>
        <v>18980524</v>
      </c>
      <c r="C3441" s="11" t="str">
        <f>INDEX(Data,2,2+MOD(ROWS(C$2:C3441)-1,24))</f>
        <v>08.00</v>
      </c>
      <c r="D3441" s="8" t="str">
        <f t="shared" ca="1" si="161"/>
        <v>—</v>
      </c>
      <c r="E3441" s="16">
        <f t="shared" ca="1" si="162"/>
        <v>7</v>
      </c>
    </row>
    <row r="3442" spans="1:5" x14ac:dyDescent="0.25">
      <c r="A3442" s="3">
        <f t="shared" si="160"/>
        <v>78989</v>
      </c>
      <c r="B3442" t="str">
        <f ca="1">TEXT(DATE(YEAR(Invoer!$A$5),1,1)+INT((ROWS(B$2:B3442)-1)/24),"""18""jjmmdd")</f>
        <v>18980524</v>
      </c>
      <c r="C3442" s="11" t="str">
        <f>INDEX(Data,2,2+MOD(ROWS(C$2:C3442)-1,24))</f>
        <v>09.00</v>
      </c>
      <c r="D3442" s="8" t="str">
        <f t="shared" ca="1" si="161"/>
        <v>—</v>
      </c>
      <c r="E3442" s="16">
        <f t="shared" ca="1" si="162"/>
        <v>7</v>
      </c>
    </row>
    <row r="3443" spans="1:5" x14ac:dyDescent="0.25">
      <c r="A3443" s="3">
        <f t="shared" si="160"/>
        <v>78989</v>
      </c>
      <c r="B3443" t="str">
        <f ca="1">TEXT(DATE(YEAR(Invoer!$A$5),1,1)+INT((ROWS(B$2:B3443)-1)/24),"""18""jjmmdd")</f>
        <v>18980524</v>
      </c>
      <c r="C3443" s="11" t="str">
        <f>INDEX(Data,2,2+MOD(ROWS(C$2:C3443)-1,24))</f>
        <v>10.00</v>
      </c>
      <c r="D3443" s="8" t="str">
        <f t="shared" ca="1" si="161"/>
        <v>—</v>
      </c>
      <c r="E3443" s="16">
        <f t="shared" ca="1" si="162"/>
        <v>7</v>
      </c>
    </row>
    <row r="3444" spans="1:5" x14ac:dyDescent="0.25">
      <c r="A3444" s="3">
        <f t="shared" si="160"/>
        <v>78989</v>
      </c>
      <c r="B3444" t="str">
        <f ca="1">TEXT(DATE(YEAR(Invoer!$A$5),1,1)+INT((ROWS(B$2:B3444)-1)/24),"""18""jjmmdd")</f>
        <v>18980524</v>
      </c>
      <c r="C3444" s="11" t="str">
        <f>INDEX(Data,2,2+MOD(ROWS(C$2:C3444)-1,24))</f>
        <v>11.00</v>
      </c>
      <c r="D3444" s="8" t="str">
        <f t="shared" ca="1" si="161"/>
        <v>—</v>
      </c>
      <c r="E3444" s="16">
        <f t="shared" ca="1" si="162"/>
        <v>7</v>
      </c>
    </row>
    <row r="3445" spans="1:5" x14ac:dyDescent="0.25">
      <c r="A3445" s="3">
        <f t="shared" si="160"/>
        <v>78989</v>
      </c>
      <c r="B3445" t="str">
        <f ca="1">TEXT(DATE(YEAR(Invoer!$A$5),1,1)+INT((ROWS(B$2:B3445)-1)/24),"""18""jjmmdd")</f>
        <v>18980524</v>
      </c>
      <c r="C3445" s="11" t="str">
        <f>INDEX(Data,2,2+MOD(ROWS(C$2:C3445)-1,24))</f>
        <v>12.00</v>
      </c>
      <c r="D3445" s="8" t="str">
        <f t="shared" ca="1" si="161"/>
        <v>—</v>
      </c>
      <c r="E3445" s="16">
        <f t="shared" ca="1" si="162"/>
        <v>7</v>
      </c>
    </row>
    <row r="3446" spans="1:5" x14ac:dyDescent="0.25">
      <c r="A3446" s="3">
        <f t="shared" si="160"/>
        <v>78989</v>
      </c>
      <c r="B3446" t="str">
        <f ca="1">TEXT(DATE(YEAR(Invoer!$A$5),1,1)+INT((ROWS(B$2:B3446)-1)/24),"""18""jjmmdd")</f>
        <v>18980524</v>
      </c>
      <c r="C3446" s="11" t="str">
        <f>INDEX(Data,2,2+MOD(ROWS(C$2:C3446)-1,24))</f>
        <v>13.00</v>
      </c>
      <c r="D3446" s="8" t="str">
        <f t="shared" ca="1" si="161"/>
        <v>—</v>
      </c>
      <c r="E3446" s="16">
        <f t="shared" ca="1" si="162"/>
        <v>7</v>
      </c>
    </row>
    <row r="3447" spans="1:5" x14ac:dyDescent="0.25">
      <c r="A3447" s="3">
        <f t="shared" si="160"/>
        <v>78989</v>
      </c>
      <c r="B3447" t="str">
        <f ca="1">TEXT(DATE(YEAR(Invoer!$A$5),1,1)+INT((ROWS(B$2:B3447)-1)/24),"""18""jjmmdd")</f>
        <v>18980524</v>
      </c>
      <c r="C3447" s="11" t="str">
        <f>INDEX(Data,2,2+MOD(ROWS(C$2:C3447)-1,24))</f>
        <v>14.00</v>
      </c>
      <c r="D3447" s="8" t="str">
        <f t="shared" ca="1" si="161"/>
        <v>—</v>
      </c>
      <c r="E3447" s="16">
        <f t="shared" ca="1" si="162"/>
        <v>7</v>
      </c>
    </row>
    <row r="3448" spans="1:5" x14ac:dyDescent="0.25">
      <c r="A3448" s="3">
        <f t="shared" si="160"/>
        <v>78989</v>
      </c>
      <c r="B3448" t="str">
        <f ca="1">TEXT(DATE(YEAR(Invoer!$A$5),1,1)+INT((ROWS(B$2:B3448)-1)/24),"""18""jjmmdd")</f>
        <v>18980524</v>
      </c>
      <c r="C3448" s="11" t="str">
        <f>INDEX(Data,2,2+MOD(ROWS(C$2:C3448)-1,24))</f>
        <v>15.00</v>
      </c>
      <c r="D3448" s="8" t="str">
        <f t="shared" ca="1" si="161"/>
        <v>—</v>
      </c>
      <c r="E3448" s="16">
        <f t="shared" ca="1" si="162"/>
        <v>7</v>
      </c>
    </row>
    <row r="3449" spans="1:5" x14ac:dyDescent="0.25">
      <c r="A3449" s="3">
        <f t="shared" si="160"/>
        <v>78989</v>
      </c>
      <c r="B3449" t="str">
        <f ca="1">TEXT(DATE(YEAR(Invoer!$A$5),1,1)+INT((ROWS(B$2:B3449)-1)/24),"""18""jjmmdd")</f>
        <v>18980524</v>
      </c>
      <c r="C3449" s="11" t="str">
        <f>INDEX(Data,2,2+MOD(ROWS(C$2:C3449)-1,24))</f>
        <v>16.00</v>
      </c>
      <c r="D3449" s="8" t="str">
        <f t="shared" ca="1" si="161"/>
        <v>—</v>
      </c>
      <c r="E3449" s="16">
        <f t="shared" ca="1" si="162"/>
        <v>7</v>
      </c>
    </row>
    <row r="3450" spans="1:5" x14ac:dyDescent="0.25">
      <c r="A3450" s="3">
        <f t="shared" si="160"/>
        <v>78989</v>
      </c>
      <c r="B3450" t="str">
        <f ca="1">TEXT(DATE(YEAR(Invoer!$A$5),1,1)+INT((ROWS(B$2:B3450)-1)/24),"""18""jjmmdd")</f>
        <v>18980524</v>
      </c>
      <c r="C3450" s="11" t="str">
        <f>INDEX(Data,2,2+MOD(ROWS(C$2:C3450)-1,24))</f>
        <v>17.00</v>
      </c>
      <c r="D3450" s="8" t="str">
        <f t="shared" ca="1" si="161"/>
        <v>—</v>
      </c>
      <c r="E3450" s="16">
        <f t="shared" ca="1" si="162"/>
        <v>7</v>
      </c>
    </row>
    <row r="3451" spans="1:5" x14ac:dyDescent="0.25">
      <c r="A3451" s="3">
        <f t="shared" si="160"/>
        <v>78989</v>
      </c>
      <c r="B3451" t="str">
        <f ca="1">TEXT(DATE(YEAR(Invoer!$A$5),1,1)+INT((ROWS(B$2:B3451)-1)/24),"""18""jjmmdd")</f>
        <v>18980524</v>
      </c>
      <c r="C3451" s="11" t="str">
        <f>INDEX(Data,2,2+MOD(ROWS(C$2:C3451)-1,24))</f>
        <v>18.00</v>
      </c>
      <c r="D3451" s="8" t="str">
        <f t="shared" ca="1" si="161"/>
        <v>—</v>
      </c>
      <c r="E3451" s="16">
        <f t="shared" ca="1" si="162"/>
        <v>7</v>
      </c>
    </row>
    <row r="3452" spans="1:5" x14ac:dyDescent="0.25">
      <c r="A3452" s="3">
        <f t="shared" si="160"/>
        <v>78989</v>
      </c>
      <c r="B3452" t="str">
        <f ca="1">TEXT(DATE(YEAR(Invoer!$A$5),1,1)+INT((ROWS(B$2:B3452)-1)/24),"""18""jjmmdd")</f>
        <v>18980524</v>
      </c>
      <c r="C3452" s="11" t="str">
        <f>INDEX(Data,2,2+MOD(ROWS(C$2:C3452)-1,24))</f>
        <v>19.00</v>
      </c>
      <c r="D3452" s="8" t="str">
        <f t="shared" ca="1" si="161"/>
        <v>—</v>
      </c>
      <c r="E3452" s="16">
        <f t="shared" ca="1" si="162"/>
        <v>7</v>
      </c>
    </row>
    <row r="3453" spans="1:5" x14ac:dyDescent="0.25">
      <c r="A3453" s="3">
        <f t="shared" si="160"/>
        <v>78989</v>
      </c>
      <c r="B3453" t="str">
        <f ca="1">TEXT(DATE(YEAR(Invoer!$A$5),1,1)+INT((ROWS(B$2:B3453)-1)/24),"""18""jjmmdd")</f>
        <v>18980524</v>
      </c>
      <c r="C3453" s="11" t="str">
        <f>INDEX(Data,2,2+MOD(ROWS(C$2:C3453)-1,24))</f>
        <v>20.00</v>
      </c>
      <c r="D3453" s="8" t="str">
        <f t="shared" ca="1" si="161"/>
        <v>—</v>
      </c>
      <c r="E3453" s="16">
        <f t="shared" ca="1" si="162"/>
        <v>7</v>
      </c>
    </row>
    <row r="3454" spans="1:5" x14ac:dyDescent="0.25">
      <c r="A3454" s="3">
        <f t="shared" si="160"/>
        <v>78989</v>
      </c>
      <c r="B3454" t="str">
        <f ca="1">TEXT(DATE(YEAR(Invoer!$A$5),1,1)+INT((ROWS(B$2:B3454)-1)/24),"""18""jjmmdd")</f>
        <v>18980524</v>
      </c>
      <c r="C3454" s="11" t="str">
        <f>INDEX(Data,2,2+MOD(ROWS(C$2:C3454)-1,24))</f>
        <v>21.00</v>
      </c>
      <c r="D3454" s="8" t="str">
        <f t="shared" ca="1" si="161"/>
        <v>—</v>
      </c>
      <c r="E3454" s="16">
        <f t="shared" ca="1" si="162"/>
        <v>7</v>
      </c>
    </row>
    <row r="3455" spans="1:5" x14ac:dyDescent="0.25">
      <c r="A3455" s="3">
        <f t="shared" si="160"/>
        <v>78989</v>
      </c>
      <c r="B3455" t="str">
        <f ca="1">TEXT(DATE(YEAR(Invoer!$A$5),1,1)+INT((ROWS(B$2:B3455)-1)/24),"""18""jjmmdd")</f>
        <v>18980524</v>
      </c>
      <c r="C3455" s="11" t="str">
        <f>INDEX(Data,2,2+MOD(ROWS(C$2:C3455)-1,24))</f>
        <v>22.00</v>
      </c>
      <c r="D3455" s="8" t="str">
        <f t="shared" ca="1" si="161"/>
        <v>—</v>
      </c>
      <c r="E3455" s="16">
        <f t="shared" ca="1" si="162"/>
        <v>7</v>
      </c>
    </row>
    <row r="3456" spans="1:5" x14ac:dyDescent="0.25">
      <c r="A3456" s="3">
        <f t="shared" si="160"/>
        <v>78989</v>
      </c>
      <c r="B3456" t="str">
        <f ca="1">TEXT(DATE(YEAR(Invoer!$A$5),1,1)+INT((ROWS(B$2:B3456)-1)/24),"""18""jjmmdd")</f>
        <v>18980524</v>
      </c>
      <c r="C3456" s="11" t="str">
        <f>INDEX(Data,2,2+MOD(ROWS(C$2:C3456)-1,24))</f>
        <v>23.00</v>
      </c>
      <c r="D3456" s="8" t="str">
        <f t="shared" ca="1" si="161"/>
        <v>—</v>
      </c>
      <c r="E3456" s="16">
        <f t="shared" ca="1" si="162"/>
        <v>7</v>
      </c>
    </row>
    <row r="3457" spans="1:5" x14ac:dyDescent="0.25">
      <c r="A3457" s="3">
        <f t="shared" si="160"/>
        <v>78989</v>
      </c>
      <c r="B3457" t="str">
        <f ca="1">TEXT(DATE(YEAR(Invoer!$A$5),1,1)+INT((ROWS(B$2:B3457)-1)/24),"""18""jjmmdd")</f>
        <v>18980524</v>
      </c>
      <c r="C3457" s="11" t="str">
        <f>INDEX(Data,2,2+MOD(ROWS(C$2:C3457)-1,24))</f>
        <v>24.00</v>
      </c>
      <c r="D3457" s="8" t="str">
        <f t="shared" ca="1" si="161"/>
        <v>—</v>
      </c>
      <c r="E3457" s="16">
        <f t="shared" ca="1" si="162"/>
        <v>7</v>
      </c>
    </row>
    <row r="3458" spans="1:5" x14ac:dyDescent="0.25">
      <c r="A3458" s="3">
        <f t="shared" ref="A3458:A3521" si="163">INDEX(Stations,2,1)</f>
        <v>78989</v>
      </c>
      <c r="B3458" t="str">
        <f ca="1">TEXT(DATE(YEAR(Invoer!$A$5),1,1)+INT((ROWS(B$2:B3458)-1)/24),"""18""jjmmdd")</f>
        <v>18980525</v>
      </c>
      <c r="C3458" s="11" t="str">
        <f>INDEX(Data,2,2+MOD(ROWS(C$2:C3458)-1,24))</f>
        <v>01.00</v>
      </c>
      <c r="D3458" s="8" t="str">
        <f t="shared" ref="D3458:D3521" ca="1" si="164">IF(OR(ISBLANK(VLOOKUP(DATEVALUE("37"&amp;MID($B3458,3,2)&amp;"-"&amp;MID($B3458,5,2)&amp;"-"&amp;RIGHT($B3458,2)),Data,MATCH(LEFT(VLOOKUP(D$1,Parameters,2,FALSE()),4)&amp;"*",OFFSET(Data,0,0,1),0)+MATCH($C3458,OFFSET(Data,1,0,1),0)-2,FALSE())),ISTEXT(VLOOKUP(DATEVALUE("37"&amp;MID($B3458,3,2)&amp;"-"&amp;MID($B3458,5,2)&amp;"-"&amp;RIGHT($B3458,2)),Data,MATCH(LEFT(VLOOKUP(D$1,Parameters,2,FALSE()),4)&amp;"*",OFFSET(Data,0,0,1),0)+MATCH($C3458,OFFSET(Data,1,0,1),0)-2,FALSE()))),"—",VLOOKUP(DATEVALUE("37"&amp;MID($B3458,3,2)&amp;"-"&amp;MID($B3458,5,2)&amp;"-"&amp;RIGHT($B3458,2)),Data,MATCH(LEFT(VLOOKUP(D$1,Parameters,2,FALSE()),4)&amp;"*",OFFSET(Data,0,0,1),0)+MATCH($C3458,OFFSET(Data,1,0,1),0)-2,FALSE()))</f>
        <v>—</v>
      </c>
      <c r="E3458" s="16">
        <f t="shared" ca="1" si="162"/>
        <v>7</v>
      </c>
    </row>
    <row r="3459" spans="1:5" x14ac:dyDescent="0.25">
      <c r="A3459" s="3">
        <f t="shared" si="163"/>
        <v>78989</v>
      </c>
      <c r="B3459" t="str">
        <f ca="1">TEXT(DATE(YEAR(Invoer!$A$5),1,1)+INT((ROWS(B$2:B3459)-1)/24),"""18""jjmmdd")</f>
        <v>18980525</v>
      </c>
      <c r="C3459" s="11" t="str">
        <f>INDEX(Data,2,2+MOD(ROWS(C$2:C3459)-1,24))</f>
        <v>02.00</v>
      </c>
      <c r="D3459" s="8" t="str">
        <f t="shared" ca="1" si="164"/>
        <v>—</v>
      </c>
      <c r="E3459" s="16">
        <f t="shared" ref="E3459:E3522" ca="1" si="165">IF(OR(ISBLANK(VLOOKUP(DATEVALUE("37"&amp;MID($B3459,3,2)&amp;"-"&amp;MID($B3459,5,2)&amp;"-"&amp;RIGHT($B3459,2)),Data,MATCH(LEFT(VLOOKUP(D$1,Parameters,2,FALSE()),4)&amp;"*",OFFSET(Data,0,0,1),0)+MATCH($C3459,OFFSET(Data,1,0,1),0)-2,FALSE())),ISTEXT(VLOOKUP(DATEVALUE("37"&amp;MID($B3459,3,2)&amp;"-"&amp;MID($B3459,5,2)&amp;"-"&amp;RIGHT($B3459,2)),Data,MATCH(LEFT(VLOOKUP(D$1,Parameters,2,FALSE()),4)&amp;"*",OFFSET(Data,0,0,1),0)+MATCH($C3459,OFFSET(Data,1,0,1),0)-2,FALSE()))),Lacking,IF(ISNA(MATCH(DATEVALUE("37"&amp;MID($B3459,3,2)&amp;"-"&amp;MID($B3459,5,2)&amp;"-"&amp;RIGHT($B3459,2)),OFFSET(Catalogus,0,0,,1),0)),Ok,VLOOKUP(DATEVALUE("37"&amp;MID($B3459,3,2)&amp;"-"&amp;MID($B3459,5,2)&amp;"-"&amp;RIGHT($B3459,2)),Catalogus,MATCH(LEFT(VLOOKUP(MID(E$1,2,LEN(E$1)-1),Parameters,2,FALSE()),4)&amp;"*",OFFSET(Catalogus,0,0,1),0)+MATCH($C3459,OFFSET(Catalogus,1,0,1),0)-2,FALSE())))</f>
        <v>7</v>
      </c>
    </row>
    <row r="3460" spans="1:5" x14ac:dyDescent="0.25">
      <c r="A3460" s="3">
        <f t="shared" si="163"/>
        <v>78989</v>
      </c>
      <c r="B3460" t="str">
        <f ca="1">TEXT(DATE(YEAR(Invoer!$A$5),1,1)+INT((ROWS(B$2:B3460)-1)/24),"""18""jjmmdd")</f>
        <v>18980525</v>
      </c>
      <c r="C3460" s="11" t="str">
        <f>INDEX(Data,2,2+MOD(ROWS(C$2:C3460)-1,24))</f>
        <v>03.00</v>
      </c>
      <c r="D3460" s="8" t="str">
        <f t="shared" ca="1" si="164"/>
        <v>—</v>
      </c>
      <c r="E3460" s="16">
        <f t="shared" ca="1" si="165"/>
        <v>7</v>
      </c>
    </row>
    <row r="3461" spans="1:5" x14ac:dyDescent="0.25">
      <c r="A3461" s="3">
        <f t="shared" si="163"/>
        <v>78989</v>
      </c>
      <c r="B3461" t="str">
        <f ca="1">TEXT(DATE(YEAR(Invoer!$A$5),1,1)+INT((ROWS(B$2:B3461)-1)/24),"""18""jjmmdd")</f>
        <v>18980525</v>
      </c>
      <c r="C3461" s="11" t="str">
        <f>INDEX(Data,2,2+MOD(ROWS(C$2:C3461)-1,24))</f>
        <v>04.00</v>
      </c>
      <c r="D3461" s="8" t="str">
        <f t="shared" ca="1" si="164"/>
        <v>—</v>
      </c>
      <c r="E3461" s="16">
        <f t="shared" ca="1" si="165"/>
        <v>7</v>
      </c>
    </row>
    <row r="3462" spans="1:5" x14ac:dyDescent="0.25">
      <c r="A3462" s="3">
        <f t="shared" si="163"/>
        <v>78989</v>
      </c>
      <c r="B3462" t="str">
        <f ca="1">TEXT(DATE(YEAR(Invoer!$A$5),1,1)+INT((ROWS(B$2:B3462)-1)/24),"""18""jjmmdd")</f>
        <v>18980525</v>
      </c>
      <c r="C3462" s="11" t="str">
        <f>INDEX(Data,2,2+MOD(ROWS(C$2:C3462)-1,24))</f>
        <v>05.00</v>
      </c>
      <c r="D3462" s="8" t="str">
        <f t="shared" ca="1" si="164"/>
        <v>—</v>
      </c>
      <c r="E3462" s="16">
        <f t="shared" ca="1" si="165"/>
        <v>7</v>
      </c>
    </row>
    <row r="3463" spans="1:5" x14ac:dyDescent="0.25">
      <c r="A3463" s="3">
        <f t="shared" si="163"/>
        <v>78989</v>
      </c>
      <c r="B3463" t="str">
        <f ca="1">TEXT(DATE(YEAR(Invoer!$A$5),1,1)+INT((ROWS(B$2:B3463)-1)/24),"""18""jjmmdd")</f>
        <v>18980525</v>
      </c>
      <c r="C3463" s="11" t="str">
        <f>INDEX(Data,2,2+MOD(ROWS(C$2:C3463)-1,24))</f>
        <v>06.00</v>
      </c>
      <c r="D3463" s="8" t="str">
        <f t="shared" ca="1" si="164"/>
        <v>—</v>
      </c>
      <c r="E3463" s="16">
        <f t="shared" ca="1" si="165"/>
        <v>7</v>
      </c>
    </row>
    <row r="3464" spans="1:5" x14ac:dyDescent="0.25">
      <c r="A3464" s="3">
        <f t="shared" si="163"/>
        <v>78989</v>
      </c>
      <c r="B3464" t="str">
        <f ca="1">TEXT(DATE(YEAR(Invoer!$A$5),1,1)+INT((ROWS(B$2:B3464)-1)/24),"""18""jjmmdd")</f>
        <v>18980525</v>
      </c>
      <c r="C3464" s="11" t="str">
        <f>INDEX(Data,2,2+MOD(ROWS(C$2:C3464)-1,24))</f>
        <v>07.00</v>
      </c>
      <c r="D3464" s="8" t="str">
        <f t="shared" ca="1" si="164"/>
        <v>—</v>
      </c>
      <c r="E3464" s="16">
        <f t="shared" ca="1" si="165"/>
        <v>7</v>
      </c>
    </row>
    <row r="3465" spans="1:5" x14ac:dyDescent="0.25">
      <c r="A3465" s="3">
        <f t="shared" si="163"/>
        <v>78989</v>
      </c>
      <c r="B3465" t="str">
        <f ca="1">TEXT(DATE(YEAR(Invoer!$A$5),1,1)+INT((ROWS(B$2:B3465)-1)/24),"""18""jjmmdd")</f>
        <v>18980525</v>
      </c>
      <c r="C3465" s="11" t="str">
        <f>INDEX(Data,2,2+MOD(ROWS(C$2:C3465)-1,24))</f>
        <v>08.00</v>
      </c>
      <c r="D3465" s="8" t="str">
        <f t="shared" ca="1" si="164"/>
        <v>—</v>
      </c>
      <c r="E3465" s="16">
        <f t="shared" ca="1" si="165"/>
        <v>7</v>
      </c>
    </row>
    <row r="3466" spans="1:5" x14ac:dyDescent="0.25">
      <c r="A3466" s="3">
        <f t="shared" si="163"/>
        <v>78989</v>
      </c>
      <c r="B3466" t="str">
        <f ca="1">TEXT(DATE(YEAR(Invoer!$A$5),1,1)+INT((ROWS(B$2:B3466)-1)/24),"""18""jjmmdd")</f>
        <v>18980525</v>
      </c>
      <c r="C3466" s="11" t="str">
        <f>INDEX(Data,2,2+MOD(ROWS(C$2:C3466)-1,24))</f>
        <v>09.00</v>
      </c>
      <c r="D3466" s="8" t="str">
        <f t="shared" ca="1" si="164"/>
        <v>—</v>
      </c>
      <c r="E3466" s="16">
        <f t="shared" ca="1" si="165"/>
        <v>7</v>
      </c>
    </row>
    <row r="3467" spans="1:5" x14ac:dyDescent="0.25">
      <c r="A3467" s="3">
        <f t="shared" si="163"/>
        <v>78989</v>
      </c>
      <c r="B3467" t="str">
        <f ca="1">TEXT(DATE(YEAR(Invoer!$A$5),1,1)+INT((ROWS(B$2:B3467)-1)/24),"""18""jjmmdd")</f>
        <v>18980525</v>
      </c>
      <c r="C3467" s="11" t="str">
        <f>INDEX(Data,2,2+MOD(ROWS(C$2:C3467)-1,24))</f>
        <v>10.00</v>
      </c>
      <c r="D3467" s="8" t="str">
        <f t="shared" ca="1" si="164"/>
        <v>—</v>
      </c>
      <c r="E3467" s="16">
        <f t="shared" ca="1" si="165"/>
        <v>7</v>
      </c>
    </row>
    <row r="3468" spans="1:5" x14ac:dyDescent="0.25">
      <c r="A3468" s="3">
        <f t="shared" si="163"/>
        <v>78989</v>
      </c>
      <c r="B3468" t="str">
        <f ca="1">TEXT(DATE(YEAR(Invoer!$A$5),1,1)+INT((ROWS(B$2:B3468)-1)/24),"""18""jjmmdd")</f>
        <v>18980525</v>
      </c>
      <c r="C3468" s="11" t="str">
        <f>INDEX(Data,2,2+MOD(ROWS(C$2:C3468)-1,24))</f>
        <v>11.00</v>
      </c>
      <c r="D3468" s="8" t="str">
        <f t="shared" ca="1" si="164"/>
        <v>—</v>
      </c>
      <c r="E3468" s="16">
        <f t="shared" ca="1" si="165"/>
        <v>7</v>
      </c>
    </row>
    <row r="3469" spans="1:5" x14ac:dyDescent="0.25">
      <c r="A3469" s="3">
        <f t="shared" si="163"/>
        <v>78989</v>
      </c>
      <c r="B3469" t="str">
        <f ca="1">TEXT(DATE(YEAR(Invoer!$A$5),1,1)+INT((ROWS(B$2:B3469)-1)/24),"""18""jjmmdd")</f>
        <v>18980525</v>
      </c>
      <c r="C3469" s="11" t="str">
        <f>INDEX(Data,2,2+MOD(ROWS(C$2:C3469)-1,24))</f>
        <v>12.00</v>
      </c>
      <c r="D3469" s="8" t="str">
        <f t="shared" ca="1" si="164"/>
        <v>—</v>
      </c>
      <c r="E3469" s="16">
        <f t="shared" ca="1" si="165"/>
        <v>7</v>
      </c>
    </row>
    <row r="3470" spans="1:5" x14ac:dyDescent="0.25">
      <c r="A3470" s="3">
        <f t="shared" si="163"/>
        <v>78989</v>
      </c>
      <c r="B3470" t="str">
        <f ca="1">TEXT(DATE(YEAR(Invoer!$A$5),1,1)+INT((ROWS(B$2:B3470)-1)/24),"""18""jjmmdd")</f>
        <v>18980525</v>
      </c>
      <c r="C3470" s="11" t="str">
        <f>INDEX(Data,2,2+MOD(ROWS(C$2:C3470)-1,24))</f>
        <v>13.00</v>
      </c>
      <c r="D3470" s="8" t="str">
        <f t="shared" ca="1" si="164"/>
        <v>—</v>
      </c>
      <c r="E3470" s="16">
        <f t="shared" ca="1" si="165"/>
        <v>7</v>
      </c>
    </row>
    <row r="3471" spans="1:5" x14ac:dyDescent="0.25">
      <c r="A3471" s="3">
        <f t="shared" si="163"/>
        <v>78989</v>
      </c>
      <c r="B3471" t="str">
        <f ca="1">TEXT(DATE(YEAR(Invoer!$A$5),1,1)+INT((ROWS(B$2:B3471)-1)/24),"""18""jjmmdd")</f>
        <v>18980525</v>
      </c>
      <c r="C3471" s="11" t="str">
        <f>INDEX(Data,2,2+MOD(ROWS(C$2:C3471)-1,24))</f>
        <v>14.00</v>
      </c>
      <c r="D3471" s="8" t="str">
        <f t="shared" ca="1" si="164"/>
        <v>—</v>
      </c>
      <c r="E3471" s="16">
        <f t="shared" ca="1" si="165"/>
        <v>7</v>
      </c>
    </row>
    <row r="3472" spans="1:5" x14ac:dyDescent="0.25">
      <c r="A3472" s="3">
        <f t="shared" si="163"/>
        <v>78989</v>
      </c>
      <c r="B3472" t="str">
        <f ca="1">TEXT(DATE(YEAR(Invoer!$A$5),1,1)+INT((ROWS(B$2:B3472)-1)/24),"""18""jjmmdd")</f>
        <v>18980525</v>
      </c>
      <c r="C3472" s="11" t="str">
        <f>INDEX(Data,2,2+MOD(ROWS(C$2:C3472)-1,24))</f>
        <v>15.00</v>
      </c>
      <c r="D3472" s="8" t="str">
        <f t="shared" ca="1" si="164"/>
        <v>—</v>
      </c>
      <c r="E3472" s="16">
        <f t="shared" ca="1" si="165"/>
        <v>7</v>
      </c>
    </row>
    <row r="3473" spans="1:5" x14ac:dyDescent="0.25">
      <c r="A3473" s="3">
        <f t="shared" si="163"/>
        <v>78989</v>
      </c>
      <c r="B3473" t="str">
        <f ca="1">TEXT(DATE(YEAR(Invoer!$A$5),1,1)+INT((ROWS(B$2:B3473)-1)/24),"""18""jjmmdd")</f>
        <v>18980525</v>
      </c>
      <c r="C3473" s="11" t="str">
        <f>INDEX(Data,2,2+MOD(ROWS(C$2:C3473)-1,24))</f>
        <v>16.00</v>
      </c>
      <c r="D3473" s="8" t="str">
        <f t="shared" ca="1" si="164"/>
        <v>—</v>
      </c>
      <c r="E3473" s="16">
        <f t="shared" ca="1" si="165"/>
        <v>7</v>
      </c>
    </row>
    <row r="3474" spans="1:5" x14ac:dyDescent="0.25">
      <c r="A3474" s="3">
        <f t="shared" si="163"/>
        <v>78989</v>
      </c>
      <c r="B3474" t="str">
        <f ca="1">TEXT(DATE(YEAR(Invoer!$A$5),1,1)+INT((ROWS(B$2:B3474)-1)/24),"""18""jjmmdd")</f>
        <v>18980525</v>
      </c>
      <c r="C3474" s="11" t="str">
        <f>INDEX(Data,2,2+MOD(ROWS(C$2:C3474)-1,24))</f>
        <v>17.00</v>
      </c>
      <c r="D3474" s="8" t="str">
        <f t="shared" ca="1" si="164"/>
        <v>—</v>
      </c>
      <c r="E3474" s="16">
        <f t="shared" ca="1" si="165"/>
        <v>7</v>
      </c>
    </row>
    <row r="3475" spans="1:5" x14ac:dyDescent="0.25">
      <c r="A3475" s="3">
        <f t="shared" si="163"/>
        <v>78989</v>
      </c>
      <c r="B3475" t="str">
        <f ca="1">TEXT(DATE(YEAR(Invoer!$A$5),1,1)+INT((ROWS(B$2:B3475)-1)/24),"""18""jjmmdd")</f>
        <v>18980525</v>
      </c>
      <c r="C3475" s="11" t="str">
        <f>INDEX(Data,2,2+MOD(ROWS(C$2:C3475)-1,24))</f>
        <v>18.00</v>
      </c>
      <c r="D3475" s="8" t="str">
        <f t="shared" ca="1" si="164"/>
        <v>—</v>
      </c>
      <c r="E3475" s="16">
        <f t="shared" ca="1" si="165"/>
        <v>7</v>
      </c>
    </row>
    <row r="3476" spans="1:5" x14ac:dyDescent="0.25">
      <c r="A3476" s="3">
        <f t="shared" si="163"/>
        <v>78989</v>
      </c>
      <c r="B3476" t="str">
        <f ca="1">TEXT(DATE(YEAR(Invoer!$A$5),1,1)+INT((ROWS(B$2:B3476)-1)/24),"""18""jjmmdd")</f>
        <v>18980525</v>
      </c>
      <c r="C3476" s="11" t="str">
        <f>INDEX(Data,2,2+MOD(ROWS(C$2:C3476)-1,24))</f>
        <v>19.00</v>
      </c>
      <c r="D3476" s="8" t="str">
        <f t="shared" ca="1" si="164"/>
        <v>—</v>
      </c>
      <c r="E3476" s="16">
        <f t="shared" ca="1" si="165"/>
        <v>7</v>
      </c>
    </row>
    <row r="3477" spans="1:5" x14ac:dyDescent="0.25">
      <c r="A3477" s="3">
        <f t="shared" si="163"/>
        <v>78989</v>
      </c>
      <c r="B3477" t="str">
        <f ca="1">TEXT(DATE(YEAR(Invoer!$A$5),1,1)+INT((ROWS(B$2:B3477)-1)/24),"""18""jjmmdd")</f>
        <v>18980525</v>
      </c>
      <c r="C3477" s="11" t="str">
        <f>INDEX(Data,2,2+MOD(ROWS(C$2:C3477)-1,24))</f>
        <v>20.00</v>
      </c>
      <c r="D3477" s="8" t="str">
        <f t="shared" ca="1" si="164"/>
        <v>—</v>
      </c>
      <c r="E3477" s="16">
        <f t="shared" ca="1" si="165"/>
        <v>7</v>
      </c>
    </row>
    <row r="3478" spans="1:5" x14ac:dyDescent="0.25">
      <c r="A3478" s="3">
        <f t="shared" si="163"/>
        <v>78989</v>
      </c>
      <c r="B3478" t="str">
        <f ca="1">TEXT(DATE(YEAR(Invoer!$A$5),1,1)+INT((ROWS(B$2:B3478)-1)/24),"""18""jjmmdd")</f>
        <v>18980525</v>
      </c>
      <c r="C3478" s="11" t="str">
        <f>INDEX(Data,2,2+MOD(ROWS(C$2:C3478)-1,24))</f>
        <v>21.00</v>
      </c>
      <c r="D3478" s="8" t="str">
        <f t="shared" ca="1" si="164"/>
        <v>—</v>
      </c>
      <c r="E3478" s="16">
        <f t="shared" ca="1" si="165"/>
        <v>7</v>
      </c>
    </row>
    <row r="3479" spans="1:5" x14ac:dyDescent="0.25">
      <c r="A3479" s="3">
        <f t="shared" si="163"/>
        <v>78989</v>
      </c>
      <c r="B3479" t="str">
        <f ca="1">TEXT(DATE(YEAR(Invoer!$A$5),1,1)+INT((ROWS(B$2:B3479)-1)/24),"""18""jjmmdd")</f>
        <v>18980525</v>
      </c>
      <c r="C3479" s="11" t="str">
        <f>INDEX(Data,2,2+MOD(ROWS(C$2:C3479)-1,24))</f>
        <v>22.00</v>
      </c>
      <c r="D3479" s="8" t="str">
        <f t="shared" ca="1" si="164"/>
        <v>—</v>
      </c>
      <c r="E3479" s="16">
        <f t="shared" ca="1" si="165"/>
        <v>7</v>
      </c>
    </row>
    <row r="3480" spans="1:5" x14ac:dyDescent="0.25">
      <c r="A3480" s="3">
        <f t="shared" si="163"/>
        <v>78989</v>
      </c>
      <c r="B3480" t="str">
        <f ca="1">TEXT(DATE(YEAR(Invoer!$A$5),1,1)+INT((ROWS(B$2:B3480)-1)/24),"""18""jjmmdd")</f>
        <v>18980525</v>
      </c>
      <c r="C3480" s="11" t="str">
        <f>INDEX(Data,2,2+MOD(ROWS(C$2:C3480)-1,24))</f>
        <v>23.00</v>
      </c>
      <c r="D3480" s="8" t="str">
        <f t="shared" ca="1" si="164"/>
        <v>—</v>
      </c>
      <c r="E3480" s="16">
        <f t="shared" ca="1" si="165"/>
        <v>7</v>
      </c>
    </row>
    <row r="3481" spans="1:5" x14ac:dyDescent="0.25">
      <c r="A3481" s="3">
        <f t="shared" si="163"/>
        <v>78989</v>
      </c>
      <c r="B3481" t="str">
        <f ca="1">TEXT(DATE(YEAR(Invoer!$A$5),1,1)+INT((ROWS(B$2:B3481)-1)/24),"""18""jjmmdd")</f>
        <v>18980525</v>
      </c>
      <c r="C3481" s="11" t="str">
        <f>INDEX(Data,2,2+MOD(ROWS(C$2:C3481)-1,24))</f>
        <v>24.00</v>
      </c>
      <c r="D3481" s="8" t="str">
        <f t="shared" ca="1" si="164"/>
        <v>—</v>
      </c>
      <c r="E3481" s="16">
        <f t="shared" ca="1" si="165"/>
        <v>7</v>
      </c>
    </row>
    <row r="3482" spans="1:5" x14ac:dyDescent="0.25">
      <c r="A3482" s="3">
        <f t="shared" si="163"/>
        <v>78989</v>
      </c>
      <c r="B3482" t="str">
        <f ca="1">TEXT(DATE(YEAR(Invoer!$A$5),1,1)+INT((ROWS(B$2:B3482)-1)/24),"""18""jjmmdd")</f>
        <v>18980526</v>
      </c>
      <c r="C3482" s="11" t="str">
        <f>INDEX(Data,2,2+MOD(ROWS(C$2:C3482)-1,24))</f>
        <v>01.00</v>
      </c>
      <c r="D3482" s="8" t="str">
        <f t="shared" ca="1" si="164"/>
        <v>—</v>
      </c>
      <c r="E3482" s="16">
        <f t="shared" ca="1" si="165"/>
        <v>7</v>
      </c>
    </row>
    <row r="3483" spans="1:5" x14ac:dyDescent="0.25">
      <c r="A3483" s="3">
        <f t="shared" si="163"/>
        <v>78989</v>
      </c>
      <c r="B3483" t="str">
        <f ca="1">TEXT(DATE(YEAR(Invoer!$A$5),1,1)+INT((ROWS(B$2:B3483)-1)/24),"""18""jjmmdd")</f>
        <v>18980526</v>
      </c>
      <c r="C3483" s="11" t="str">
        <f>INDEX(Data,2,2+MOD(ROWS(C$2:C3483)-1,24))</f>
        <v>02.00</v>
      </c>
      <c r="D3483" s="8" t="str">
        <f t="shared" ca="1" si="164"/>
        <v>—</v>
      </c>
      <c r="E3483" s="16">
        <f t="shared" ca="1" si="165"/>
        <v>7</v>
      </c>
    </row>
    <row r="3484" spans="1:5" x14ac:dyDescent="0.25">
      <c r="A3484" s="3">
        <f t="shared" si="163"/>
        <v>78989</v>
      </c>
      <c r="B3484" t="str">
        <f ca="1">TEXT(DATE(YEAR(Invoer!$A$5),1,1)+INT((ROWS(B$2:B3484)-1)/24),"""18""jjmmdd")</f>
        <v>18980526</v>
      </c>
      <c r="C3484" s="11" t="str">
        <f>INDEX(Data,2,2+MOD(ROWS(C$2:C3484)-1,24))</f>
        <v>03.00</v>
      </c>
      <c r="D3484" s="8" t="str">
        <f t="shared" ca="1" si="164"/>
        <v>—</v>
      </c>
      <c r="E3484" s="16">
        <f t="shared" ca="1" si="165"/>
        <v>7</v>
      </c>
    </row>
    <row r="3485" spans="1:5" x14ac:dyDescent="0.25">
      <c r="A3485" s="3">
        <f t="shared" si="163"/>
        <v>78989</v>
      </c>
      <c r="B3485" t="str">
        <f ca="1">TEXT(DATE(YEAR(Invoer!$A$5),1,1)+INT((ROWS(B$2:B3485)-1)/24),"""18""jjmmdd")</f>
        <v>18980526</v>
      </c>
      <c r="C3485" s="11" t="str">
        <f>INDEX(Data,2,2+MOD(ROWS(C$2:C3485)-1,24))</f>
        <v>04.00</v>
      </c>
      <c r="D3485" s="8" t="str">
        <f t="shared" ca="1" si="164"/>
        <v>—</v>
      </c>
      <c r="E3485" s="16">
        <f t="shared" ca="1" si="165"/>
        <v>7</v>
      </c>
    </row>
    <row r="3486" spans="1:5" x14ac:dyDescent="0.25">
      <c r="A3486" s="3">
        <f t="shared" si="163"/>
        <v>78989</v>
      </c>
      <c r="B3486" t="str">
        <f ca="1">TEXT(DATE(YEAR(Invoer!$A$5),1,1)+INT((ROWS(B$2:B3486)-1)/24),"""18""jjmmdd")</f>
        <v>18980526</v>
      </c>
      <c r="C3486" s="11" t="str">
        <f>INDEX(Data,2,2+MOD(ROWS(C$2:C3486)-1,24))</f>
        <v>05.00</v>
      </c>
      <c r="D3486" s="8" t="str">
        <f t="shared" ca="1" si="164"/>
        <v>—</v>
      </c>
      <c r="E3486" s="16">
        <f t="shared" ca="1" si="165"/>
        <v>7</v>
      </c>
    </row>
    <row r="3487" spans="1:5" x14ac:dyDescent="0.25">
      <c r="A3487" s="3">
        <f t="shared" si="163"/>
        <v>78989</v>
      </c>
      <c r="B3487" t="str">
        <f ca="1">TEXT(DATE(YEAR(Invoer!$A$5),1,1)+INT((ROWS(B$2:B3487)-1)/24),"""18""jjmmdd")</f>
        <v>18980526</v>
      </c>
      <c r="C3487" s="11" t="str">
        <f>INDEX(Data,2,2+MOD(ROWS(C$2:C3487)-1,24))</f>
        <v>06.00</v>
      </c>
      <c r="D3487" s="8" t="str">
        <f t="shared" ca="1" si="164"/>
        <v>—</v>
      </c>
      <c r="E3487" s="16">
        <f t="shared" ca="1" si="165"/>
        <v>7</v>
      </c>
    </row>
    <row r="3488" spans="1:5" x14ac:dyDescent="0.25">
      <c r="A3488" s="3">
        <f t="shared" si="163"/>
        <v>78989</v>
      </c>
      <c r="B3488" t="str">
        <f ca="1">TEXT(DATE(YEAR(Invoer!$A$5),1,1)+INT((ROWS(B$2:B3488)-1)/24),"""18""jjmmdd")</f>
        <v>18980526</v>
      </c>
      <c r="C3488" s="11" t="str">
        <f>INDEX(Data,2,2+MOD(ROWS(C$2:C3488)-1,24))</f>
        <v>07.00</v>
      </c>
      <c r="D3488" s="8" t="str">
        <f t="shared" ca="1" si="164"/>
        <v>—</v>
      </c>
      <c r="E3488" s="16">
        <f t="shared" ca="1" si="165"/>
        <v>7</v>
      </c>
    </row>
    <row r="3489" spans="1:5" x14ac:dyDescent="0.25">
      <c r="A3489" s="3">
        <f t="shared" si="163"/>
        <v>78989</v>
      </c>
      <c r="B3489" t="str">
        <f ca="1">TEXT(DATE(YEAR(Invoer!$A$5),1,1)+INT((ROWS(B$2:B3489)-1)/24),"""18""jjmmdd")</f>
        <v>18980526</v>
      </c>
      <c r="C3489" s="11" t="str">
        <f>INDEX(Data,2,2+MOD(ROWS(C$2:C3489)-1,24))</f>
        <v>08.00</v>
      </c>
      <c r="D3489" s="8" t="str">
        <f t="shared" ca="1" si="164"/>
        <v>—</v>
      </c>
      <c r="E3489" s="16">
        <f t="shared" ca="1" si="165"/>
        <v>7</v>
      </c>
    </row>
    <row r="3490" spans="1:5" x14ac:dyDescent="0.25">
      <c r="A3490" s="3">
        <f t="shared" si="163"/>
        <v>78989</v>
      </c>
      <c r="B3490" t="str">
        <f ca="1">TEXT(DATE(YEAR(Invoer!$A$5),1,1)+INT((ROWS(B$2:B3490)-1)/24),"""18""jjmmdd")</f>
        <v>18980526</v>
      </c>
      <c r="C3490" s="11" t="str">
        <f>INDEX(Data,2,2+MOD(ROWS(C$2:C3490)-1,24))</f>
        <v>09.00</v>
      </c>
      <c r="D3490" s="8" t="str">
        <f t="shared" ca="1" si="164"/>
        <v>—</v>
      </c>
      <c r="E3490" s="16">
        <f t="shared" ca="1" si="165"/>
        <v>7</v>
      </c>
    </row>
    <row r="3491" spans="1:5" x14ac:dyDescent="0.25">
      <c r="A3491" s="3">
        <f t="shared" si="163"/>
        <v>78989</v>
      </c>
      <c r="B3491" t="str">
        <f ca="1">TEXT(DATE(YEAR(Invoer!$A$5),1,1)+INT((ROWS(B$2:B3491)-1)/24),"""18""jjmmdd")</f>
        <v>18980526</v>
      </c>
      <c r="C3491" s="11" t="str">
        <f>INDEX(Data,2,2+MOD(ROWS(C$2:C3491)-1,24))</f>
        <v>10.00</v>
      </c>
      <c r="D3491" s="8" t="str">
        <f t="shared" ca="1" si="164"/>
        <v>—</v>
      </c>
      <c r="E3491" s="16">
        <f t="shared" ca="1" si="165"/>
        <v>7</v>
      </c>
    </row>
    <row r="3492" spans="1:5" x14ac:dyDescent="0.25">
      <c r="A3492" s="3">
        <f t="shared" si="163"/>
        <v>78989</v>
      </c>
      <c r="B3492" t="str">
        <f ca="1">TEXT(DATE(YEAR(Invoer!$A$5),1,1)+INT((ROWS(B$2:B3492)-1)/24),"""18""jjmmdd")</f>
        <v>18980526</v>
      </c>
      <c r="C3492" s="11" t="str">
        <f>INDEX(Data,2,2+MOD(ROWS(C$2:C3492)-1,24))</f>
        <v>11.00</v>
      </c>
      <c r="D3492" s="8" t="str">
        <f t="shared" ca="1" si="164"/>
        <v>—</v>
      </c>
      <c r="E3492" s="16">
        <f t="shared" ca="1" si="165"/>
        <v>7</v>
      </c>
    </row>
    <row r="3493" spans="1:5" x14ac:dyDescent="0.25">
      <c r="A3493" s="3">
        <f t="shared" si="163"/>
        <v>78989</v>
      </c>
      <c r="B3493" t="str">
        <f ca="1">TEXT(DATE(YEAR(Invoer!$A$5),1,1)+INT((ROWS(B$2:B3493)-1)/24),"""18""jjmmdd")</f>
        <v>18980526</v>
      </c>
      <c r="C3493" s="11" t="str">
        <f>INDEX(Data,2,2+MOD(ROWS(C$2:C3493)-1,24))</f>
        <v>12.00</v>
      </c>
      <c r="D3493" s="8" t="str">
        <f t="shared" ca="1" si="164"/>
        <v>—</v>
      </c>
      <c r="E3493" s="16">
        <f t="shared" ca="1" si="165"/>
        <v>7</v>
      </c>
    </row>
    <row r="3494" spans="1:5" x14ac:dyDescent="0.25">
      <c r="A3494" s="3">
        <f t="shared" si="163"/>
        <v>78989</v>
      </c>
      <c r="B3494" t="str">
        <f ca="1">TEXT(DATE(YEAR(Invoer!$A$5),1,1)+INT((ROWS(B$2:B3494)-1)/24),"""18""jjmmdd")</f>
        <v>18980526</v>
      </c>
      <c r="C3494" s="11" t="str">
        <f>INDEX(Data,2,2+MOD(ROWS(C$2:C3494)-1,24))</f>
        <v>13.00</v>
      </c>
      <c r="D3494" s="8" t="str">
        <f t="shared" ca="1" si="164"/>
        <v>—</v>
      </c>
      <c r="E3494" s="16">
        <f t="shared" ca="1" si="165"/>
        <v>7</v>
      </c>
    </row>
    <row r="3495" spans="1:5" x14ac:dyDescent="0.25">
      <c r="A3495" s="3">
        <f t="shared" si="163"/>
        <v>78989</v>
      </c>
      <c r="B3495" t="str">
        <f ca="1">TEXT(DATE(YEAR(Invoer!$A$5),1,1)+INT((ROWS(B$2:B3495)-1)/24),"""18""jjmmdd")</f>
        <v>18980526</v>
      </c>
      <c r="C3495" s="11" t="str">
        <f>INDEX(Data,2,2+MOD(ROWS(C$2:C3495)-1,24))</f>
        <v>14.00</v>
      </c>
      <c r="D3495" s="8" t="str">
        <f t="shared" ca="1" si="164"/>
        <v>—</v>
      </c>
      <c r="E3495" s="16">
        <f t="shared" ca="1" si="165"/>
        <v>7</v>
      </c>
    </row>
    <row r="3496" spans="1:5" x14ac:dyDescent="0.25">
      <c r="A3496" s="3">
        <f t="shared" si="163"/>
        <v>78989</v>
      </c>
      <c r="B3496" t="str">
        <f ca="1">TEXT(DATE(YEAR(Invoer!$A$5),1,1)+INT((ROWS(B$2:B3496)-1)/24),"""18""jjmmdd")</f>
        <v>18980526</v>
      </c>
      <c r="C3496" s="11" t="str">
        <f>INDEX(Data,2,2+MOD(ROWS(C$2:C3496)-1,24))</f>
        <v>15.00</v>
      </c>
      <c r="D3496" s="8" t="str">
        <f t="shared" ca="1" si="164"/>
        <v>—</v>
      </c>
      <c r="E3496" s="16">
        <f t="shared" ca="1" si="165"/>
        <v>7</v>
      </c>
    </row>
    <row r="3497" spans="1:5" x14ac:dyDescent="0.25">
      <c r="A3497" s="3">
        <f t="shared" si="163"/>
        <v>78989</v>
      </c>
      <c r="B3497" t="str">
        <f ca="1">TEXT(DATE(YEAR(Invoer!$A$5),1,1)+INT((ROWS(B$2:B3497)-1)/24),"""18""jjmmdd")</f>
        <v>18980526</v>
      </c>
      <c r="C3497" s="11" t="str">
        <f>INDEX(Data,2,2+MOD(ROWS(C$2:C3497)-1,24))</f>
        <v>16.00</v>
      </c>
      <c r="D3497" s="8" t="str">
        <f t="shared" ca="1" si="164"/>
        <v>—</v>
      </c>
      <c r="E3497" s="16">
        <f t="shared" ca="1" si="165"/>
        <v>7</v>
      </c>
    </row>
    <row r="3498" spans="1:5" x14ac:dyDescent="0.25">
      <c r="A3498" s="3">
        <f t="shared" si="163"/>
        <v>78989</v>
      </c>
      <c r="B3498" t="str">
        <f ca="1">TEXT(DATE(YEAR(Invoer!$A$5),1,1)+INT((ROWS(B$2:B3498)-1)/24),"""18""jjmmdd")</f>
        <v>18980526</v>
      </c>
      <c r="C3498" s="11" t="str">
        <f>INDEX(Data,2,2+MOD(ROWS(C$2:C3498)-1,24))</f>
        <v>17.00</v>
      </c>
      <c r="D3498" s="8" t="str">
        <f t="shared" ca="1" si="164"/>
        <v>—</v>
      </c>
      <c r="E3498" s="16">
        <f t="shared" ca="1" si="165"/>
        <v>7</v>
      </c>
    </row>
    <row r="3499" spans="1:5" x14ac:dyDescent="0.25">
      <c r="A3499" s="3">
        <f t="shared" si="163"/>
        <v>78989</v>
      </c>
      <c r="B3499" t="str">
        <f ca="1">TEXT(DATE(YEAR(Invoer!$A$5),1,1)+INT((ROWS(B$2:B3499)-1)/24),"""18""jjmmdd")</f>
        <v>18980526</v>
      </c>
      <c r="C3499" s="11" t="str">
        <f>INDEX(Data,2,2+MOD(ROWS(C$2:C3499)-1,24))</f>
        <v>18.00</v>
      </c>
      <c r="D3499" s="8" t="str">
        <f t="shared" ca="1" si="164"/>
        <v>—</v>
      </c>
      <c r="E3499" s="16">
        <f t="shared" ca="1" si="165"/>
        <v>7</v>
      </c>
    </row>
    <row r="3500" spans="1:5" x14ac:dyDescent="0.25">
      <c r="A3500" s="3">
        <f t="shared" si="163"/>
        <v>78989</v>
      </c>
      <c r="B3500" t="str">
        <f ca="1">TEXT(DATE(YEAR(Invoer!$A$5),1,1)+INT((ROWS(B$2:B3500)-1)/24),"""18""jjmmdd")</f>
        <v>18980526</v>
      </c>
      <c r="C3500" s="11" t="str">
        <f>INDEX(Data,2,2+MOD(ROWS(C$2:C3500)-1,24))</f>
        <v>19.00</v>
      </c>
      <c r="D3500" s="8" t="str">
        <f t="shared" ca="1" si="164"/>
        <v>—</v>
      </c>
      <c r="E3500" s="16">
        <f t="shared" ca="1" si="165"/>
        <v>7</v>
      </c>
    </row>
    <row r="3501" spans="1:5" x14ac:dyDescent="0.25">
      <c r="A3501" s="3">
        <f t="shared" si="163"/>
        <v>78989</v>
      </c>
      <c r="B3501" t="str">
        <f ca="1">TEXT(DATE(YEAR(Invoer!$A$5),1,1)+INT((ROWS(B$2:B3501)-1)/24),"""18""jjmmdd")</f>
        <v>18980526</v>
      </c>
      <c r="C3501" s="11" t="str">
        <f>INDEX(Data,2,2+MOD(ROWS(C$2:C3501)-1,24))</f>
        <v>20.00</v>
      </c>
      <c r="D3501" s="8" t="str">
        <f t="shared" ca="1" si="164"/>
        <v>—</v>
      </c>
      <c r="E3501" s="16">
        <f t="shared" ca="1" si="165"/>
        <v>7</v>
      </c>
    </row>
    <row r="3502" spans="1:5" x14ac:dyDescent="0.25">
      <c r="A3502" s="3">
        <f t="shared" si="163"/>
        <v>78989</v>
      </c>
      <c r="B3502" t="str">
        <f ca="1">TEXT(DATE(YEAR(Invoer!$A$5),1,1)+INT((ROWS(B$2:B3502)-1)/24),"""18""jjmmdd")</f>
        <v>18980526</v>
      </c>
      <c r="C3502" s="11" t="str">
        <f>INDEX(Data,2,2+MOD(ROWS(C$2:C3502)-1,24))</f>
        <v>21.00</v>
      </c>
      <c r="D3502" s="8" t="str">
        <f t="shared" ca="1" si="164"/>
        <v>—</v>
      </c>
      <c r="E3502" s="16">
        <f t="shared" ca="1" si="165"/>
        <v>7</v>
      </c>
    </row>
    <row r="3503" spans="1:5" x14ac:dyDescent="0.25">
      <c r="A3503" s="3">
        <f t="shared" si="163"/>
        <v>78989</v>
      </c>
      <c r="B3503" t="str">
        <f ca="1">TEXT(DATE(YEAR(Invoer!$A$5),1,1)+INT((ROWS(B$2:B3503)-1)/24),"""18""jjmmdd")</f>
        <v>18980526</v>
      </c>
      <c r="C3503" s="11" t="str">
        <f>INDEX(Data,2,2+MOD(ROWS(C$2:C3503)-1,24))</f>
        <v>22.00</v>
      </c>
      <c r="D3503" s="8" t="str">
        <f t="shared" ca="1" si="164"/>
        <v>—</v>
      </c>
      <c r="E3503" s="16">
        <f t="shared" ca="1" si="165"/>
        <v>7</v>
      </c>
    </row>
    <row r="3504" spans="1:5" x14ac:dyDescent="0.25">
      <c r="A3504" s="3">
        <f t="shared" si="163"/>
        <v>78989</v>
      </c>
      <c r="B3504" t="str">
        <f ca="1">TEXT(DATE(YEAR(Invoer!$A$5),1,1)+INT((ROWS(B$2:B3504)-1)/24),"""18""jjmmdd")</f>
        <v>18980526</v>
      </c>
      <c r="C3504" s="11" t="str">
        <f>INDEX(Data,2,2+MOD(ROWS(C$2:C3504)-1,24))</f>
        <v>23.00</v>
      </c>
      <c r="D3504" s="8" t="str">
        <f t="shared" ca="1" si="164"/>
        <v>—</v>
      </c>
      <c r="E3504" s="16">
        <f t="shared" ca="1" si="165"/>
        <v>7</v>
      </c>
    </row>
    <row r="3505" spans="1:5" x14ac:dyDescent="0.25">
      <c r="A3505" s="3">
        <f t="shared" si="163"/>
        <v>78989</v>
      </c>
      <c r="B3505" t="str">
        <f ca="1">TEXT(DATE(YEAR(Invoer!$A$5),1,1)+INT((ROWS(B$2:B3505)-1)/24),"""18""jjmmdd")</f>
        <v>18980526</v>
      </c>
      <c r="C3505" s="11" t="str">
        <f>INDEX(Data,2,2+MOD(ROWS(C$2:C3505)-1,24))</f>
        <v>24.00</v>
      </c>
      <c r="D3505" s="8" t="str">
        <f t="shared" ca="1" si="164"/>
        <v>—</v>
      </c>
      <c r="E3505" s="16">
        <f t="shared" ca="1" si="165"/>
        <v>7</v>
      </c>
    </row>
    <row r="3506" spans="1:5" x14ac:dyDescent="0.25">
      <c r="A3506" s="3">
        <f t="shared" si="163"/>
        <v>78989</v>
      </c>
      <c r="B3506" t="str">
        <f ca="1">TEXT(DATE(YEAR(Invoer!$A$5),1,1)+INT((ROWS(B$2:B3506)-1)/24),"""18""jjmmdd")</f>
        <v>18980527</v>
      </c>
      <c r="C3506" s="11" t="str">
        <f>INDEX(Data,2,2+MOD(ROWS(C$2:C3506)-1,24))</f>
        <v>01.00</v>
      </c>
      <c r="D3506" s="8" t="str">
        <f t="shared" ca="1" si="164"/>
        <v>—</v>
      </c>
      <c r="E3506" s="16">
        <f t="shared" ca="1" si="165"/>
        <v>7</v>
      </c>
    </row>
    <row r="3507" spans="1:5" x14ac:dyDescent="0.25">
      <c r="A3507" s="3">
        <f t="shared" si="163"/>
        <v>78989</v>
      </c>
      <c r="B3507" t="str">
        <f ca="1">TEXT(DATE(YEAR(Invoer!$A$5),1,1)+INT((ROWS(B$2:B3507)-1)/24),"""18""jjmmdd")</f>
        <v>18980527</v>
      </c>
      <c r="C3507" s="11" t="str">
        <f>INDEX(Data,2,2+MOD(ROWS(C$2:C3507)-1,24))</f>
        <v>02.00</v>
      </c>
      <c r="D3507" s="8" t="str">
        <f t="shared" ca="1" si="164"/>
        <v>—</v>
      </c>
      <c r="E3507" s="16">
        <f t="shared" ca="1" si="165"/>
        <v>7</v>
      </c>
    </row>
    <row r="3508" spans="1:5" x14ac:dyDescent="0.25">
      <c r="A3508" s="3">
        <f t="shared" si="163"/>
        <v>78989</v>
      </c>
      <c r="B3508" t="str">
        <f ca="1">TEXT(DATE(YEAR(Invoer!$A$5),1,1)+INT((ROWS(B$2:B3508)-1)/24),"""18""jjmmdd")</f>
        <v>18980527</v>
      </c>
      <c r="C3508" s="11" t="str">
        <f>INDEX(Data,2,2+MOD(ROWS(C$2:C3508)-1,24))</f>
        <v>03.00</v>
      </c>
      <c r="D3508" s="8" t="str">
        <f t="shared" ca="1" si="164"/>
        <v>—</v>
      </c>
      <c r="E3508" s="16">
        <f t="shared" ca="1" si="165"/>
        <v>7</v>
      </c>
    </row>
    <row r="3509" spans="1:5" x14ac:dyDescent="0.25">
      <c r="A3509" s="3">
        <f t="shared" si="163"/>
        <v>78989</v>
      </c>
      <c r="B3509" t="str">
        <f ca="1">TEXT(DATE(YEAR(Invoer!$A$5),1,1)+INT((ROWS(B$2:B3509)-1)/24),"""18""jjmmdd")</f>
        <v>18980527</v>
      </c>
      <c r="C3509" s="11" t="str">
        <f>INDEX(Data,2,2+MOD(ROWS(C$2:C3509)-1,24))</f>
        <v>04.00</v>
      </c>
      <c r="D3509" s="8" t="str">
        <f t="shared" ca="1" si="164"/>
        <v>—</v>
      </c>
      <c r="E3509" s="16">
        <f t="shared" ca="1" si="165"/>
        <v>7</v>
      </c>
    </row>
    <row r="3510" spans="1:5" x14ac:dyDescent="0.25">
      <c r="A3510" s="3">
        <f t="shared" si="163"/>
        <v>78989</v>
      </c>
      <c r="B3510" t="str">
        <f ca="1">TEXT(DATE(YEAR(Invoer!$A$5),1,1)+INT((ROWS(B$2:B3510)-1)/24),"""18""jjmmdd")</f>
        <v>18980527</v>
      </c>
      <c r="C3510" s="11" t="str">
        <f>INDEX(Data,2,2+MOD(ROWS(C$2:C3510)-1,24))</f>
        <v>05.00</v>
      </c>
      <c r="D3510" s="8" t="str">
        <f t="shared" ca="1" si="164"/>
        <v>—</v>
      </c>
      <c r="E3510" s="16">
        <f t="shared" ca="1" si="165"/>
        <v>7</v>
      </c>
    </row>
    <row r="3511" spans="1:5" x14ac:dyDescent="0.25">
      <c r="A3511" s="3">
        <f t="shared" si="163"/>
        <v>78989</v>
      </c>
      <c r="B3511" t="str">
        <f ca="1">TEXT(DATE(YEAR(Invoer!$A$5),1,1)+INT((ROWS(B$2:B3511)-1)/24),"""18""jjmmdd")</f>
        <v>18980527</v>
      </c>
      <c r="C3511" s="11" t="str">
        <f>INDEX(Data,2,2+MOD(ROWS(C$2:C3511)-1,24))</f>
        <v>06.00</v>
      </c>
      <c r="D3511" s="8" t="str">
        <f t="shared" ca="1" si="164"/>
        <v>—</v>
      </c>
      <c r="E3511" s="16">
        <f t="shared" ca="1" si="165"/>
        <v>7</v>
      </c>
    </row>
    <row r="3512" spans="1:5" x14ac:dyDescent="0.25">
      <c r="A3512" s="3">
        <f t="shared" si="163"/>
        <v>78989</v>
      </c>
      <c r="B3512" t="str">
        <f ca="1">TEXT(DATE(YEAR(Invoer!$A$5),1,1)+INT((ROWS(B$2:B3512)-1)/24),"""18""jjmmdd")</f>
        <v>18980527</v>
      </c>
      <c r="C3512" s="11" t="str">
        <f>INDEX(Data,2,2+MOD(ROWS(C$2:C3512)-1,24))</f>
        <v>07.00</v>
      </c>
      <c r="D3512" s="8" t="str">
        <f t="shared" ca="1" si="164"/>
        <v>—</v>
      </c>
      <c r="E3512" s="16">
        <f t="shared" ca="1" si="165"/>
        <v>7</v>
      </c>
    </row>
    <row r="3513" spans="1:5" x14ac:dyDescent="0.25">
      <c r="A3513" s="3">
        <f t="shared" si="163"/>
        <v>78989</v>
      </c>
      <c r="B3513" t="str">
        <f ca="1">TEXT(DATE(YEAR(Invoer!$A$5),1,1)+INT((ROWS(B$2:B3513)-1)/24),"""18""jjmmdd")</f>
        <v>18980527</v>
      </c>
      <c r="C3513" s="11" t="str">
        <f>INDEX(Data,2,2+MOD(ROWS(C$2:C3513)-1,24))</f>
        <v>08.00</v>
      </c>
      <c r="D3513" s="8" t="str">
        <f t="shared" ca="1" si="164"/>
        <v>—</v>
      </c>
      <c r="E3513" s="16">
        <f t="shared" ca="1" si="165"/>
        <v>7</v>
      </c>
    </row>
    <row r="3514" spans="1:5" x14ac:dyDescent="0.25">
      <c r="A3514" s="3">
        <f t="shared" si="163"/>
        <v>78989</v>
      </c>
      <c r="B3514" t="str">
        <f ca="1">TEXT(DATE(YEAR(Invoer!$A$5),1,1)+INT((ROWS(B$2:B3514)-1)/24),"""18""jjmmdd")</f>
        <v>18980527</v>
      </c>
      <c r="C3514" s="11" t="str">
        <f>INDEX(Data,2,2+MOD(ROWS(C$2:C3514)-1,24))</f>
        <v>09.00</v>
      </c>
      <c r="D3514" s="8" t="str">
        <f t="shared" ca="1" si="164"/>
        <v>—</v>
      </c>
      <c r="E3514" s="16">
        <f t="shared" ca="1" si="165"/>
        <v>7</v>
      </c>
    </row>
    <row r="3515" spans="1:5" x14ac:dyDescent="0.25">
      <c r="A3515" s="3">
        <f t="shared" si="163"/>
        <v>78989</v>
      </c>
      <c r="B3515" t="str">
        <f ca="1">TEXT(DATE(YEAR(Invoer!$A$5),1,1)+INT((ROWS(B$2:B3515)-1)/24),"""18""jjmmdd")</f>
        <v>18980527</v>
      </c>
      <c r="C3515" s="11" t="str">
        <f>INDEX(Data,2,2+MOD(ROWS(C$2:C3515)-1,24))</f>
        <v>10.00</v>
      </c>
      <c r="D3515" s="8" t="str">
        <f t="shared" ca="1" si="164"/>
        <v>—</v>
      </c>
      <c r="E3515" s="16">
        <f t="shared" ca="1" si="165"/>
        <v>7</v>
      </c>
    </row>
    <row r="3516" spans="1:5" x14ac:dyDescent="0.25">
      <c r="A3516" s="3">
        <f t="shared" si="163"/>
        <v>78989</v>
      </c>
      <c r="B3516" t="str">
        <f ca="1">TEXT(DATE(YEAR(Invoer!$A$5),1,1)+INT((ROWS(B$2:B3516)-1)/24),"""18""jjmmdd")</f>
        <v>18980527</v>
      </c>
      <c r="C3516" s="11" t="str">
        <f>INDEX(Data,2,2+MOD(ROWS(C$2:C3516)-1,24))</f>
        <v>11.00</v>
      </c>
      <c r="D3516" s="8" t="str">
        <f t="shared" ca="1" si="164"/>
        <v>—</v>
      </c>
      <c r="E3516" s="16">
        <f t="shared" ca="1" si="165"/>
        <v>7</v>
      </c>
    </row>
    <row r="3517" spans="1:5" x14ac:dyDescent="0.25">
      <c r="A3517" s="3">
        <f t="shared" si="163"/>
        <v>78989</v>
      </c>
      <c r="B3517" t="str">
        <f ca="1">TEXT(DATE(YEAR(Invoer!$A$5),1,1)+INT((ROWS(B$2:B3517)-1)/24),"""18""jjmmdd")</f>
        <v>18980527</v>
      </c>
      <c r="C3517" s="11" t="str">
        <f>INDEX(Data,2,2+MOD(ROWS(C$2:C3517)-1,24))</f>
        <v>12.00</v>
      </c>
      <c r="D3517" s="8" t="str">
        <f t="shared" ca="1" si="164"/>
        <v>—</v>
      </c>
      <c r="E3517" s="16">
        <f t="shared" ca="1" si="165"/>
        <v>7</v>
      </c>
    </row>
    <row r="3518" spans="1:5" x14ac:dyDescent="0.25">
      <c r="A3518" s="3">
        <f t="shared" si="163"/>
        <v>78989</v>
      </c>
      <c r="B3518" t="str">
        <f ca="1">TEXT(DATE(YEAR(Invoer!$A$5),1,1)+INT((ROWS(B$2:B3518)-1)/24),"""18""jjmmdd")</f>
        <v>18980527</v>
      </c>
      <c r="C3518" s="11" t="str">
        <f>INDEX(Data,2,2+MOD(ROWS(C$2:C3518)-1,24))</f>
        <v>13.00</v>
      </c>
      <c r="D3518" s="8" t="str">
        <f t="shared" ca="1" si="164"/>
        <v>—</v>
      </c>
      <c r="E3518" s="16">
        <f t="shared" ca="1" si="165"/>
        <v>7</v>
      </c>
    </row>
    <row r="3519" spans="1:5" x14ac:dyDescent="0.25">
      <c r="A3519" s="3">
        <f t="shared" si="163"/>
        <v>78989</v>
      </c>
      <c r="B3519" t="str">
        <f ca="1">TEXT(DATE(YEAR(Invoer!$A$5),1,1)+INT((ROWS(B$2:B3519)-1)/24),"""18""jjmmdd")</f>
        <v>18980527</v>
      </c>
      <c r="C3519" s="11" t="str">
        <f>INDEX(Data,2,2+MOD(ROWS(C$2:C3519)-1,24))</f>
        <v>14.00</v>
      </c>
      <c r="D3519" s="8" t="str">
        <f t="shared" ca="1" si="164"/>
        <v>—</v>
      </c>
      <c r="E3519" s="16">
        <f t="shared" ca="1" si="165"/>
        <v>7</v>
      </c>
    </row>
    <row r="3520" spans="1:5" x14ac:dyDescent="0.25">
      <c r="A3520" s="3">
        <f t="shared" si="163"/>
        <v>78989</v>
      </c>
      <c r="B3520" t="str">
        <f ca="1">TEXT(DATE(YEAR(Invoer!$A$5),1,1)+INT((ROWS(B$2:B3520)-1)/24),"""18""jjmmdd")</f>
        <v>18980527</v>
      </c>
      <c r="C3520" s="11" t="str">
        <f>INDEX(Data,2,2+MOD(ROWS(C$2:C3520)-1,24))</f>
        <v>15.00</v>
      </c>
      <c r="D3520" s="8" t="str">
        <f t="shared" ca="1" si="164"/>
        <v>—</v>
      </c>
      <c r="E3520" s="16">
        <f t="shared" ca="1" si="165"/>
        <v>7</v>
      </c>
    </row>
    <row r="3521" spans="1:5" x14ac:dyDescent="0.25">
      <c r="A3521" s="3">
        <f t="shared" si="163"/>
        <v>78989</v>
      </c>
      <c r="B3521" t="str">
        <f ca="1">TEXT(DATE(YEAR(Invoer!$A$5),1,1)+INT((ROWS(B$2:B3521)-1)/24),"""18""jjmmdd")</f>
        <v>18980527</v>
      </c>
      <c r="C3521" s="11" t="str">
        <f>INDEX(Data,2,2+MOD(ROWS(C$2:C3521)-1,24))</f>
        <v>16.00</v>
      </c>
      <c r="D3521" s="8" t="str">
        <f t="shared" ca="1" si="164"/>
        <v>—</v>
      </c>
      <c r="E3521" s="16">
        <f t="shared" ca="1" si="165"/>
        <v>7</v>
      </c>
    </row>
    <row r="3522" spans="1:5" x14ac:dyDescent="0.25">
      <c r="A3522" s="3">
        <f t="shared" ref="A3522:A3585" si="166">INDEX(Stations,2,1)</f>
        <v>78989</v>
      </c>
      <c r="B3522" t="str">
        <f ca="1">TEXT(DATE(YEAR(Invoer!$A$5),1,1)+INT((ROWS(B$2:B3522)-1)/24),"""18""jjmmdd")</f>
        <v>18980527</v>
      </c>
      <c r="C3522" s="11" t="str">
        <f>INDEX(Data,2,2+MOD(ROWS(C$2:C3522)-1,24))</f>
        <v>17.00</v>
      </c>
      <c r="D3522" s="8" t="str">
        <f t="shared" ref="D3522:D3585" ca="1" si="167">IF(OR(ISBLANK(VLOOKUP(DATEVALUE("37"&amp;MID($B3522,3,2)&amp;"-"&amp;MID($B3522,5,2)&amp;"-"&amp;RIGHT($B3522,2)),Data,MATCH(LEFT(VLOOKUP(D$1,Parameters,2,FALSE()),4)&amp;"*",OFFSET(Data,0,0,1),0)+MATCH($C3522,OFFSET(Data,1,0,1),0)-2,FALSE())),ISTEXT(VLOOKUP(DATEVALUE("37"&amp;MID($B3522,3,2)&amp;"-"&amp;MID($B3522,5,2)&amp;"-"&amp;RIGHT($B3522,2)),Data,MATCH(LEFT(VLOOKUP(D$1,Parameters,2,FALSE()),4)&amp;"*",OFFSET(Data,0,0,1),0)+MATCH($C3522,OFFSET(Data,1,0,1),0)-2,FALSE()))),"—",VLOOKUP(DATEVALUE("37"&amp;MID($B3522,3,2)&amp;"-"&amp;MID($B3522,5,2)&amp;"-"&amp;RIGHT($B3522,2)),Data,MATCH(LEFT(VLOOKUP(D$1,Parameters,2,FALSE()),4)&amp;"*",OFFSET(Data,0,0,1),0)+MATCH($C3522,OFFSET(Data,1,0,1),0)-2,FALSE()))</f>
        <v>—</v>
      </c>
      <c r="E3522" s="16">
        <f t="shared" ca="1" si="165"/>
        <v>7</v>
      </c>
    </row>
    <row r="3523" spans="1:5" x14ac:dyDescent="0.25">
      <c r="A3523" s="3">
        <f t="shared" si="166"/>
        <v>78989</v>
      </c>
      <c r="B3523" t="str">
        <f ca="1">TEXT(DATE(YEAR(Invoer!$A$5),1,1)+INT((ROWS(B$2:B3523)-1)/24),"""18""jjmmdd")</f>
        <v>18980527</v>
      </c>
      <c r="C3523" s="11" t="str">
        <f>INDEX(Data,2,2+MOD(ROWS(C$2:C3523)-1,24))</f>
        <v>18.00</v>
      </c>
      <c r="D3523" s="8" t="str">
        <f t="shared" ca="1" si="167"/>
        <v>—</v>
      </c>
      <c r="E3523" s="16">
        <f t="shared" ref="E3523:E3586" ca="1" si="168">IF(OR(ISBLANK(VLOOKUP(DATEVALUE("37"&amp;MID($B3523,3,2)&amp;"-"&amp;MID($B3523,5,2)&amp;"-"&amp;RIGHT($B3523,2)),Data,MATCH(LEFT(VLOOKUP(D$1,Parameters,2,FALSE()),4)&amp;"*",OFFSET(Data,0,0,1),0)+MATCH($C3523,OFFSET(Data,1,0,1),0)-2,FALSE())),ISTEXT(VLOOKUP(DATEVALUE("37"&amp;MID($B3523,3,2)&amp;"-"&amp;MID($B3523,5,2)&amp;"-"&amp;RIGHT($B3523,2)),Data,MATCH(LEFT(VLOOKUP(D$1,Parameters,2,FALSE()),4)&amp;"*",OFFSET(Data,0,0,1),0)+MATCH($C3523,OFFSET(Data,1,0,1),0)-2,FALSE()))),Lacking,IF(ISNA(MATCH(DATEVALUE("37"&amp;MID($B3523,3,2)&amp;"-"&amp;MID($B3523,5,2)&amp;"-"&amp;RIGHT($B3523,2)),OFFSET(Catalogus,0,0,,1),0)),Ok,VLOOKUP(DATEVALUE("37"&amp;MID($B3523,3,2)&amp;"-"&amp;MID($B3523,5,2)&amp;"-"&amp;RIGHT($B3523,2)),Catalogus,MATCH(LEFT(VLOOKUP(MID(E$1,2,LEN(E$1)-1),Parameters,2,FALSE()),4)&amp;"*",OFFSET(Catalogus,0,0,1),0)+MATCH($C3523,OFFSET(Catalogus,1,0,1),0)-2,FALSE())))</f>
        <v>7</v>
      </c>
    </row>
    <row r="3524" spans="1:5" x14ac:dyDescent="0.25">
      <c r="A3524" s="3">
        <f t="shared" si="166"/>
        <v>78989</v>
      </c>
      <c r="B3524" t="str">
        <f ca="1">TEXT(DATE(YEAR(Invoer!$A$5),1,1)+INT((ROWS(B$2:B3524)-1)/24),"""18""jjmmdd")</f>
        <v>18980527</v>
      </c>
      <c r="C3524" s="11" t="str">
        <f>INDEX(Data,2,2+MOD(ROWS(C$2:C3524)-1,24))</f>
        <v>19.00</v>
      </c>
      <c r="D3524" s="8" t="str">
        <f t="shared" ca="1" si="167"/>
        <v>—</v>
      </c>
      <c r="E3524" s="16">
        <f t="shared" ca="1" si="168"/>
        <v>7</v>
      </c>
    </row>
    <row r="3525" spans="1:5" x14ac:dyDescent="0.25">
      <c r="A3525" s="3">
        <f t="shared" si="166"/>
        <v>78989</v>
      </c>
      <c r="B3525" t="str">
        <f ca="1">TEXT(DATE(YEAR(Invoer!$A$5),1,1)+INT((ROWS(B$2:B3525)-1)/24),"""18""jjmmdd")</f>
        <v>18980527</v>
      </c>
      <c r="C3525" s="11" t="str">
        <f>INDEX(Data,2,2+MOD(ROWS(C$2:C3525)-1,24))</f>
        <v>20.00</v>
      </c>
      <c r="D3525" s="8" t="str">
        <f t="shared" ca="1" si="167"/>
        <v>—</v>
      </c>
      <c r="E3525" s="16">
        <f t="shared" ca="1" si="168"/>
        <v>7</v>
      </c>
    </row>
    <row r="3526" spans="1:5" x14ac:dyDescent="0.25">
      <c r="A3526" s="3">
        <f t="shared" si="166"/>
        <v>78989</v>
      </c>
      <c r="B3526" t="str">
        <f ca="1">TEXT(DATE(YEAR(Invoer!$A$5),1,1)+INT((ROWS(B$2:B3526)-1)/24),"""18""jjmmdd")</f>
        <v>18980527</v>
      </c>
      <c r="C3526" s="11" t="str">
        <f>INDEX(Data,2,2+MOD(ROWS(C$2:C3526)-1,24))</f>
        <v>21.00</v>
      </c>
      <c r="D3526" s="8" t="str">
        <f t="shared" ca="1" si="167"/>
        <v>—</v>
      </c>
      <c r="E3526" s="16">
        <f t="shared" ca="1" si="168"/>
        <v>7</v>
      </c>
    </row>
    <row r="3527" spans="1:5" x14ac:dyDescent="0.25">
      <c r="A3527" s="3">
        <f t="shared" si="166"/>
        <v>78989</v>
      </c>
      <c r="B3527" t="str">
        <f ca="1">TEXT(DATE(YEAR(Invoer!$A$5),1,1)+INT((ROWS(B$2:B3527)-1)/24),"""18""jjmmdd")</f>
        <v>18980527</v>
      </c>
      <c r="C3527" s="11" t="str">
        <f>INDEX(Data,2,2+MOD(ROWS(C$2:C3527)-1,24))</f>
        <v>22.00</v>
      </c>
      <c r="D3527" s="8" t="str">
        <f t="shared" ca="1" si="167"/>
        <v>—</v>
      </c>
      <c r="E3527" s="16">
        <f t="shared" ca="1" si="168"/>
        <v>7</v>
      </c>
    </row>
    <row r="3528" spans="1:5" x14ac:dyDescent="0.25">
      <c r="A3528" s="3">
        <f t="shared" si="166"/>
        <v>78989</v>
      </c>
      <c r="B3528" t="str">
        <f ca="1">TEXT(DATE(YEAR(Invoer!$A$5),1,1)+INT((ROWS(B$2:B3528)-1)/24),"""18""jjmmdd")</f>
        <v>18980527</v>
      </c>
      <c r="C3528" s="11" t="str">
        <f>INDEX(Data,2,2+MOD(ROWS(C$2:C3528)-1,24))</f>
        <v>23.00</v>
      </c>
      <c r="D3528" s="8" t="str">
        <f t="shared" ca="1" si="167"/>
        <v>—</v>
      </c>
      <c r="E3528" s="16">
        <f t="shared" ca="1" si="168"/>
        <v>7</v>
      </c>
    </row>
    <row r="3529" spans="1:5" x14ac:dyDescent="0.25">
      <c r="A3529" s="3">
        <f t="shared" si="166"/>
        <v>78989</v>
      </c>
      <c r="B3529" t="str">
        <f ca="1">TEXT(DATE(YEAR(Invoer!$A$5),1,1)+INT((ROWS(B$2:B3529)-1)/24),"""18""jjmmdd")</f>
        <v>18980527</v>
      </c>
      <c r="C3529" s="11" t="str">
        <f>INDEX(Data,2,2+MOD(ROWS(C$2:C3529)-1,24))</f>
        <v>24.00</v>
      </c>
      <c r="D3529" s="8" t="str">
        <f t="shared" ca="1" si="167"/>
        <v>—</v>
      </c>
      <c r="E3529" s="16">
        <f t="shared" ca="1" si="168"/>
        <v>7</v>
      </c>
    </row>
    <row r="3530" spans="1:5" x14ac:dyDescent="0.25">
      <c r="A3530" s="3">
        <f t="shared" si="166"/>
        <v>78989</v>
      </c>
      <c r="B3530" t="str">
        <f ca="1">TEXT(DATE(YEAR(Invoer!$A$5),1,1)+INT((ROWS(B$2:B3530)-1)/24),"""18""jjmmdd")</f>
        <v>18980528</v>
      </c>
      <c r="C3530" s="11" t="str">
        <f>INDEX(Data,2,2+MOD(ROWS(C$2:C3530)-1,24))</f>
        <v>01.00</v>
      </c>
      <c r="D3530" s="8" t="str">
        <f t="shared" ca="1" si="167"/>
        <v>—</v>
      </c>
      <c r="E3530" s="16">
        <f t="shared" ca="1" si="168"/>
        <v>7</v>
      </c>
    </row>
    <row r="3531" spans="1:5" x14ac:dyDescent="0.25">
      <c r="A3531" s="3">
        <f t="shared" si="166"/>
        <v>78989</v>
      </c>
      <c r="B3531" t="str">
        <f ca="1">TEXT(DATE(YEAR(Invoer!$A$5),1,1)+INT((ROWS(B$2:B3531)-1)/24),"""18""jjmmdd")</f>
        <v>18980528</v>
      </c>
      <c r="C3531" s="11" t="str">
        <f>INDEX(Data,2,2+MOD(ROWS(C$2:C3531)-1,24))</f>
        <v>02.00</v>
      </c>
      <c r="D3531" s="8" t="str">
        <f t="shared" ca="1" si="167"/>
        <v>—</v>
      </c>
      <c r="E3531" s="16">
        <f t="shared" ca="1" si="168"/>
        <v>7</v>
      </c>
    </row>
    <row r="3532" spans="1:5" x14ac:dyDescent="0.25">
      <c r="A3532" s="3">
        <f t="shared" si="166"/>
        <v>78989</v>
      </c>
      <c r="B3532" t="str">
        <f ca="1">TEXT(DATE(YEAR(Invoer!$A$5),1,1)+INT((ROWS(B$2:B3532)-1)/24),"""18""jjmmdd")</f>
        <v>18980528</v>
      </c>
      <c r="C3532" s="11" t="str">
        <f>INDEX(Data,2,2+MOD(ROWS(C$2:C3532)-1,24))</f>
        <v>03.00</v>
      </c>
      <c r="D3532" s="8" t="str">
        <f t="shared" ca="1" si="167"/>
        <v>—</v>
      </c>
      <c r="E3532" s="16">
        <f t="shared" ca="1" si="168"/>
        <v>7</v>
      </c>
    </row>
    <row r="3533" spans="1:5" x14ac:dyDescent="0.25">
      <c r="A3533" s="3">
        <f t="shared" si="166"/>
        <v>78989</v>
      </c>
      <c r="B3533" t="str">
        <f ca="1">TEXT(DATE(YEAR(Invoer!$A$5),1,1)+INT((ROWS(B$2:B3533)-1)/24),"""18""jjmmdd")</f>
        <v>18980528</v>
      </c>
      <c r="C3533" s="11" t="str">
        <f>INDEX(Data,2,2+MOD(ROWS(C$2:C3533)-1,24))</f>
        <v>04.00</v>
      </c>
      <c r="D3533" s="8" t="str">
        <f t="shared" ca="1" si="167"/>
        <v>—</v>
      </c>
      <c r="E3533" s="16">
        <f t="shared" ca="1" si="168"/>
        <v>7</v>
      </c>
    </row>
    <row r="3534" spans="1:5" x14ac:dyDescent="0.25">
      <c r="A3534" s="3">
        <f t="shared" si="166"/>
        <v>78989</v>
      </c>
      <c r="B3534" t="str">
        <f ca="1">TEXT(DATE(YEAR(Invoer!$A$5),1,1)+INT((ROWS(B$2:B3534)-1)/24),"""18""jjmmdd")</f>
        <v>18980528</v>
      </c>
      <c r="C3534" s="11" t="str">
        <f>INDEX(Data,2,2+MOD(ROWS(C$2:C3534)-1,24))</f>
        <v>05.00</v>
      </c>
      <c r="D3534" s="8" t="str">
        <f t="shared" ca="1" si="167"/>
        <v>—</v>
      </c>
      <c r="E3534" s="16">
        <f t="shared" ca="1" si="168"/>
        <v>7</v>
      </c>
    </row>
    <row r="3535" spans="1:5" x14ac:dyDescent="0.25">
      <c r="A3535" s="3">
        <f t="shared" si="166"/>
        <v>78989</v>
      </c>
      <c r="B3535" t="str">
        <f ca="1">TEXT(DATE(YEAR(Invoer!$A$5),1,1)+INT((ROWS(B$2:B3535)-1)/24),"""18""jjmmdd")</f>
        <v>18980528</v>
      </c>
      <c r="C3535" s="11" t="str">
        <f>INDEX(Data,2,2+MOD(ROWS(C$2:C3535)-1,24))</f>
        <v>06.00</v>
      </c>
      <c r="D3535" s="8" t="str">
        <f t="shared" ca="1" si="167"/>
        <v>—</v>
      </c>
      <c r="E3535" s="16">
        <f t="shared" ca="1" si="168"/>
        <v>7</v>
      </c>
    </row>
    <row r="3536" spans="1:5" x14ac:dyDescent="0.25">
      <c r="A3536" s="3">
        <f t="shared" si="166"/>
        <v>78989</v>
      </c>
      <c r="B3536" t="str">
        <f ca="1">TEXT(DATE(YEAR(Invoer!$A$5),1,1)+INT((ROWS(B$2:B3536)-1)/24),"""18""jjmmdd")</f>
        <v>18980528</v>
      </c>
      <c r="C3536" s="11" t="str">
        <f>INDEX(Data,2,2+MOD(ROWS(C$2:C3536)-1,24))</f>
        <v>07.00</v>
      </c>
      <c r="D3536" s="8" t="str">
        <f t="shared" ca="1" si="167"/>
        <v>—</v>
      </c>
      <c r="E3536" s="16">
        <f t="shared" ca="1" si="168"/>
        <v>7</v>
      </c>
    </row>
    <row r="3537" spans="1:5" x14ac:dyDescent="0.25">
      <c r="A3537" s="3">
        <f t="shared" si="166"/>
        <v>78989</v>
      </c>
      <c r="B3537" t="str">
        <f ca="1">TEXT(DATE(YEAR(Invoer!$A$5),1,1)+INT((ROWS(B$2:B3537)-1)/24),"""18""jjmmdd")</f>
        <v>18980528</v>
      </c>
      <c r="C3537" s="11" t="str">
        <f>INDEX(Data,2,2+MOD(ROWS(C$2:C3537)-1,24))</f>
        <v>08.00</v>
      </c>
      <c r="D3537" s="8" t="str">
        <f t="shared" ca="1" si="167"/>
        <v>—</v>
      </c>
      <c r="E3537" s="16">
        <f t="shared" ca="1" si="168"/>
        <v>7</v>
      </c>
    </row>
    <row r="3538" spans="1:5" x14ac:dyDescent="0.25">
      <c r="A3538" s="3">
        <f t="shared" si="166"/>
        <v>78989</v>
      </c>
      <c r="B3538" t="str">
        <f ca="1">TEXT(DATE(YEAR(Invoer!$A$5),1,1)+INT((ROWS(B$2:B3538)-1)/24),"""18""jjmmdd")</f>
        <v>18980528</v>
      </c>
      <c r="C3538" s="11" t="str">
        <f>INDEX(Data,2,2+MOD(ROWS(C$2:C3538)-1,24))</f>
        <v>09.00</v>
      </c>
      <c r="D3538" s="8" t="str">
        <f t="shared" ca="1" si="167"/>
        <v>—</v>
      </c>
      <c r="E3538" s="16">
        <f t="shared" ca="1" si="168"/>
        <v>7</v>
      </c>
    </row>
    <row r="3539" spans="1:5" x14ac:dyDescent="0.25">
      <c r="A3539" s="3">
        <f t="shared" si="166"/>
        <v>78989</v>
      </c>
      <c r="B3539" t="str">
        <f ca="1">TEXT(DATE(YEAR(Invoer!$A$5),1,1)+INT((ROWS(B$2:B3539)-1)/24),"""18""jjmmdd")</f>
        <v>18980528</v>
      </c>
      <c r="C3539" s="11" t="str">
        <f>INDEX(Data,2,2+MOD(ROWS(C$2:C3539)-1,24))</f>
        <v>10.00</v>
      </c>
      <c r="D3539" s="8" t="str">
        <f t="shared" ca="1" si="167"/>
        <v>—</v>
      </c>
      <c r="E3539" s="16">
        <f t="shared" ca="1" si="168"/>
        <v>7</v>
      </c>
    </row>
    <row r="3540" spans="1:5" x14ac:dyDescent="0.25">
      <c r="A3540" s="3">
        <f t="shared" si="166"/>
        <v>78989</v>
      </c>
      <c r="B3540" t="str">
        <f ca="1">TEXT(DATE(YEAR(Invoer!$A$5),1,1)+INT((ROWS(B$2:B3540)-1)/24),"""18""jjmmdd")</f>
        <v>18980528</v>
      </c>
      <c r="C3540" s="11" t="str">
        <f>INDEX(Data,2,2+MOD(ROWS(C$2:C3540)-1,24))</f>
        <v>11.00</v>
      </c>
      <c r="D3540" s="8" t="str">
        <f t="shared" ca="1" si="167"/>
        <v>—</v>
      </c>
      <c r="E3540" s="16">
        <f t="shared" ca="1" si="168"/>
        <v>7</v>
      </c>
    </row>
    <row r="3541" spans="1:5" x14ac:dyDescent="0.25">
      <c r="A3541" s="3">
        <f t="shared" si="166"/>
        <v>78989</v>
      </c>
      <c r="B3541" t="str">
        <f ca="1">TEXT(DATE(YEAR(Invoer!$A$5),1,1)+INT((ROWS(B$2:B3541)-1)/24),"""18""jjmmdd")</f>
        <v>18980528</v>
      </c>
      <c r="C3541" s="11" t="str">
        <f>INDEX(Data,2,2+MOD(ROWS(C$2:C3541)-1,24))</f>
        <v>12.00</v>
      </c>
      <c r="D3541" s="8" t="str">
        <f t="shared" ca="1" si="167"/>
        <v>—</v>
      </c>
      <c r="E3541" s="16">
        <f t="shared" ca="1" si="168"/>
        <v>7</v>
      </c>
    </row>
    <row r="3542" spans="1:5" x14ac:dyDescent="0.25">
      <c r="A3542" s="3">
        <f t="shared" si="166"/>
        <v>78989</v>
      </c>
      <c r="B3542" t="str">
        <f ca="1">TEXT(DATE(YEAR(Invoer!$A$5),1,1)+INT((ROWS(B$2:B3542)-1)/24),"""18""jjmmdd")</f>
        <v>18980528</v>
      </c>
      <c r="C3542" s="11" t="str">
        <f>INDEX(Data,2,2+MOD(ROWS(C$2:C3542)-1,24))</f>
        <v>13.00</v>
      </c>
      <c r="D3542" s="8" t="str">
        <f t="shared" ca="1" si="167"/>
        <v>—</v>
      </c>
      <c r="E3542" s="16">
        <f t="shared" ca="1" si="168"/>
        <v>7</v>
      </c>
    </row>
    <row r="3543" spans="1:5" x14ac:dyDescent="0.25">
      <c r="A3543" s="3">
        <f t="shared" si="166"/>
        <v>78989</v>
      </c>
      <c r="B3543" t="str">
        <f ca="1">TEXT(DATE(YEAR(Invoer!$A$5),1,1)+INT((ROWS(B$2:B3543)-1)/24),"""18""jjmmdd")</f>
        <v>18980528</v>
      </c>
      <c r="C3543" s="11" t="str">
        <f>INDEX(Data,2,2+MOD(ROWS(C$2:C3543)-1,24))</f>
        <v>14.00</v>
      </c>
      <c r="D3543" s="8" t="str">
        <f t="shared" ca="1" si="167"/>
        <v>—</v>
      </c>
      <c r="E3543" s="16">
        <f t="shared" ca="1" si="168"/>
        <v>7</v>
      </c>
    </row>
    <row r="3544" spans="1:5" x14ac:dyDescent="0.25">
      <c r="A3544" s="3">
        <f t="shared" si="166"/>
        <v>78989</v>
      </c>
      <c r="B3544" t="str">
        <f ca="1">TEXT(DATE(YEAR(Invoer!$A$5),1,1)+INT((ROWS(B$2:B3544)-1)/24),"""18""jjmmdd")</f>
        <v>18980528</v>
      </c>
      <c r="C3544" s="11" t="str">
        <f>INDEX(Data,2,2+MOD(ROWS(C$2:C3544)-1,24))</f>
        <v>15.00</v>
      </c>
      <c r="D3544" s="8" t="str">
        <f t="shared" ca="1" si="167"/>
        <v>—</v>
      </c>
      <c r="E3544" s="16">
        <f t="shared" ca="1" si="168"/>
        <v>7</v>
      </c>
    </row>
    <row r="3545" spans="1:5" x14ac:dyDescent="0.25">
      <c r="A3545" s="3">
        <f t="shared" si="166"/>
        <v>78989</v>
      </c>
      <c r="B3545" t="str">
        <f ca="1">TEXT(DATE(YEAR(Invoer!$A$5),1,1)+INT((ROWS(B$2:B3545)-1)/24),"""18""jjmmdd")</f>
        <v>18980528</v>
      </c>
      <c r="C3545" s="11" t="str">
        <f>INDEX(Data,2,2+MOD(ROWS(C$2:C3545)-1,24))</f>
        <v>16.00</v>
      </c>
      <c r="D3545" s="8" t="str">
        <f t="shared" ca="1" si="167"/>
        <v>—</v>
      </c>
      <c r="E3545" s="16">
        <f t="shared" ca="1" si="168"/>
        <v>7</v>
      </c>
    </row>
    <row r="3546" spans="1:5" x14ac:dyDescent="0.25">
      <c r="A3546" s="3">
        <f t="shared" si="166"/>
        <v>78989</v>
      </c>
      <c r="B3546" t="str">
        <f ca="1">TEXT(DATE(YEAR(Invoer!$A$5),1,1)+INT((ROWS(B$2:B3546)-1)/24),"""18""jjmmdd")</f>
        <v>18980528</v>
      </c>
      <c r="C3546" s="11" t="str">
        <f>INDEX(Data,2,2+MOD(ROWS(C$2:C3546)-1,24))</f>
        <v>17.00</v>
      </c>
      <c r="D3546" s="8" t="str">
        <f t="shared" ca="1" si="167"/>
        <v>—</v>
      </c>
      <c r="E3546" s="16">
        <f t="shared" ca="1" si="168"/>
        <v>7</v>
      </c>
    </row>
    <row r="3547" spans="1:5" x14ac:dyDescent="0.25">
      <c r="A3547" s="3">
        <f t="shared" si="166"/>
        <v>78989</v>
      </c>
      <c r="B3547" t="str">
        <f ca="1">TEXT(DATE(YEAR(Invoer!$A$5),1,1)+INT((ROWS(B$2:B3547)-1)/24),"""18""jjmmdd")</f>
        <v>18980528</v>
      </c>
      <c r="C3547" s="11" t="str">
        <f>INDEX(Data,2,2+MOD(ROWS(C$2:C3547)-1,24))</f>
        <v>18.00</v>
      </c>
      <c r="D3547" s="8" t="str">
        <f t="shared" ca="1" si="167"/>
        <v>—</v>
      </c>
      <c r="E3547" s="16">
        <f t="shared" ca="1" si="168"/>
        <v>7</v>
      </c>
    </row>
    <row r="3548" spans="1:5" x14ac:dyDescent="0.25">
      <c r="A3548" s="3">
        <f t="shared" si="166"/>
        <v>78989</v>
      </c>
      <c r="B3548" t="str">
        <f ca="1">TEXT(DATE(YEAR(Invoer!$A$5),1,1)+INT((ROWS(B$2:B3548)-1)/24),"""18""jjmmdd")</f>
        <v>18980528</v>
      </c>
      <c r="C3548" s="11" t="str">
        <f>INDEX(Data,2,2+MOD(ROWS(C$2:C3548)-1,24))</f>
        <v>19.00</v>
      </c>
      <c r="D3548" s="8" t="str">
        <f t="shared" ca="1" si="167"/>
        <v>—</v>
      </c>
      <c r="E3548" s="16">
        <f t="shared" ca="1" si="168"/>
        <v>7</v>
      </c>
    </row>
    <row r="3549" spans="1:5" x14ac:dyDescent="0.25">
      <c r="A3549" s="3">
        <f t="shared" si="166"/>
        <v>78989</v>
      </c>
      <c r="B3549" t="str">
        <f ca="1">TEXT(DATE(YEAR(Invoer!$A$5),1,1)+INT((ROWS(B$2:B3549)-1)/24),"""18""jjmmdd")</f>
        <v>18980528</v>
      </c>
      <c r="C3549" s="11" t="str">
        <f>INDEX(Data,2,2+MOD(ROWS(C$2:C3549)-1,24))</f>
        <v>20.00</v>
      </c>
      <c r="D3549" s="8" t="str">
        <f t="shared" ca="1" si="167"/>
        <v>—</v>
      </c>
      <c r="E3549" s="16">
        <f t="shared" ca="1" si="168"/>
        <v>7</v>
      </c>
    </row>
    <row r="3550" spans="1:5" x14ac:dyDescent="0.25">
      <c r="A3550" s="3">
        <f t="shared" si="166"/>
        <v>78989</v>
      </c>
      <c r="B3550" t="str">
        <f ca="1">TEXT(DATE(YEAR(Invoer!$A$5),1,1)+INT((ROWS(B$2:B3550)-1)/24),"""18""jjmmdd")</f>
        <v>18980528</v>
      </c>
      <c r="C3550" s="11" t="str">
        <f>INDEX(Data,2,2+MOD(ROWS(C$2:C3550)-1,24))</f>
        <v>21.00</v>
      </c>
      <c r="D3550" s="8" t="str">
        <f t="shared" ca="1" si="167"/>
        <v>—</v>
      </c>
      <c r="E3550" s="16">
        <f t="shared" ca="1" si="168"/>
        <v>7</v>
      </c>
    </row>
    <row r="3551" spans="1:5" x14ac:dyDescent="0.25">
      <c r="A3551" s="3">
        <f t="shared" si="166"/>
        <v>78989</v>
      </c>
      <c r="B3551" t="str">
        <f ca="1">TEXT(DATE(YEAR(Invoer!$A$5),1,1)+INT((ROWS(B$2:B3551)-1)/24),"""18""jjmmdd")</f>
        <v>18980528</v>
      </c>
      <c r="C3551" s="11" t="str">
        <f>INDEX(Data,2,2+MOD(ROWS(C$2:C3551)-1,24))</f>
        <v>22.00</v>
      </c>
      <c r="D3551" s="8" t="str">
        <f t="shared" ca="1" si="167"/>
        <v>—</v>
      </c>
      <c r="E3551" s="16">
        <f t="shared" ca="1" si="168"/>
        <v>7</v>
      </c>
    </row>
    <row r="3552" spans="1:5" x14ac:dyDescent="0.25">
      <c r="A3552" s="3">
        <f t="shared" si="166"/>
        <v>78989</v>
      </c>
      <c r="B3552" t="str">
        <f ca="1">TEXT(DATE(YEAR(Invoer!$A$5),1,1)+INT((ROWS(B$2:B3552)-1)/24),"""18""jjmmdd")</f>
        <v>18980528</v>
      </c>
      <c r="C3552" s="11" t="str">
        <f>INDEX(Data,2,2+MOD(ROWS(C$2:C3552)-1,24))</f>
        <v>23.00</v>
      </c>
      <c r="D3552" s="8" t="str">
        <f t="shared" ca="1" si="167"/>
        <v>—</v>
      </c>
      <c r="E3552" s="16">
        <f t="shared" ca="1" si="168"/>
        <v>7</v>
      </c>
    </row>
    <row r="3553" spans="1:5" x14ac:dyDescent="0.25">
      <c r="A3553" s="3">
        <f t="shared" si="166"/>
        <v>78989</v>
      </c>
      <c r="B3553" t="str">
        <f ca="1">TEXT(DATE(YEAR(Invoer!$A$5),1,1)+INT((ROWS(B$2:B3553)-1)/24),"""18""jjmmdd")</f>
        <v>18980528</v>
      </c>
      <c r="C3553" s="11" t="str">
        <f>INDEX(Data,2,2+MOD(ROWS(C$2:C3553)-1,24))</f>
        <v>24.00</v>
      </c>
      <c r="D3553" s="8" t="str">
        <f t="shared" ca="1" si="167"/>
        <v>—</v>
      </c>
      <c r="E3553" s="16">
        <f t="shared" ca="1" si="168"/>
        <v>7</v>
      </c>
    </row>
    <row r="3554" spans="1:5" x14ac:dyDescent="0.25">
      <c r="A3554" s="3">
        <f t="shared" si="166"/>
        <v>78989</v>
      </c>
      <c r="B3554" t="str">
        <f ca="1">TEXT(DATE(YEAR(Invoer!$A$5),1,1)+INT((ROWS(B$2:B3554)-1)/24),"""18""jjmmdd")</f>
        <v>18980529</v>
      </c>
      <c r="C3554" s="11" t="str">
        <f>INDEX(Data,2,2+MOD(ROWS(C$2:C3554)-1,24))</f>
        <v>01.00</v>
      </c>
      <c r="D3554" s="8" t="str">
        <f t="shared" ca="1" si="167"/>
        <v>—</v>
      </c>
      <c r="E3554" s="16">
        <f t="shared" ca="1" si="168"/>
        <v>7</v>
      </c>
    </row>
    <row r="3555" spans="1:5" x14ac:dyDescent="0.25">
      <c r="A3555" s="3">
        <f t="shared" si="166"/>
        <v>78989</v>
      </c>
      <c r="B3555" t="str">
        <f ca="1">TEXT(DATE(YEAR(Invoer!$A$5),1,1)+INT((ROWS(B$2:B3555)-1)/24),"""18""jjmmdd")</f>
        <v>18980529</v>
      </c>
      <c r="C3555" s="11" t="str">
        <f>INDEX(Data,2,2+MOD(ROWS(C$2:C3555)-1,24))</f>
        <v>02.00</v>
      </c>
      <c r="D3555" s="8" t="str">
        <f t="shared" ca="1" si="167"/>
        <v>—</v>
      </c>
      <c r="E3555" s="16">
        <f t="shared" ca="1" si="168"/>
        <v>7</v>
      </c>
    </row>
    <row r="3556" spans="1:5" x14ac:dyDescent="0.25">
      <c r="A3556" s="3">
        <f t="shared" si="166"/>
        <v>78989</v>
      </c>
      <c r="B3556" t="str">
        <f ca="1">TEXT(DATE(YEAR(Invoer!$A$5),1,1)+INT((ROWS(B$2:B3556)-1)/24),"""18""jjmmdd")</f>
        <v>18980529</v>
      </c>
      <c r="C3556" s="11" t="str">
        <f>INDEX(Data,2,2+MOD(ROWS(C$2:C3556)-1,24))</f>
        <v>03.00</v>
      </c>
      <c r="D3556" s="8" t="str">
        <f t="shared" ca="1" si="167"/>
        <v>—</v>
      </c>
      <c r="E3556" s="16">
        <f t="shared" ca="1" si="168"/>
        <v>7</v>
      </c>
    </row>
    <row r="3557" spans="1:5" x14ac:dyDescent="0.25">
      <c r="A3557" s="3">
        <f t="shared" si="166"/>
        <v>78989</v>
      </c>
      <c r="B3557" t="str">
        <f ca="1">TEXT(DATE(YEAR(Invoer!$A$5),1,1)+INT((ROWS(B$2:B3557)-1)/24),"""18""jjmmdd")</f>
        <v>18980529</v>
      </c>
      <c r="C3557" s="11" t="str">
        <f>INDEX(Data,2,2+MOD(ROWS(C$2:C3557)-1,24))</f>
        <v>04.00</v>
      </c>
      <c r="D3557" s="8" t="str">
        <f t="shared" ca="1" si="167"/>
        <v>—</v>
      </c>
      <c r="E3557" s="16">
        <f t="shared" ca="1" si="168"/>
        <v>7</v>
      </c>
    </row>
    <row r="3558" spans="1:5" x14ac:dyDescent="0.25">
      <c r="A3558" s="3">
        <f t="shared" si="166"/>
        <v>78989</v>
      </c>
      <c r="B3558" t="str">
        <f ca="1">TEXT(DATE(YEAR(Invoer!$A$5),1,1)+INT((ROWS(B$2:B3558)-1)/24),"""18""jjmmdd")</f>
        <v>18980529</v>
      </c>
      <c r="C3558" s="11" t="str">
        <f>INDEX(Data,2,2+MOD(ROWS(C$2:C3558)-1,24))</f>
        <v>05.00</v>
      </c>
      <c r="D3558" s="8" t="str">
        <f t="shared" ca="1" si="167"/>
        <v>—</v>
      </c>
      <c r="E3558" s="16">
        <f t="shared" ca="1" si="168"/>
        <v>7</v>
      </c>
    </row>
    <row r="3559" spans="1:5" x14ac:dyDescent="0.25">
      <c r="A3559" s="3">
        <f t="shared" si="166"/>
        <v>78989</v>
      </c>
      <c r="B3559" t="str">
        <f ca="1">TEXT(DATE(YEAR(Invoer!$A$5),1,1)+INT((ROWS(B$2:B3559)-1)/24),"""18""jjmmdd")</f>
        <v>18980529</v>
      </c>
      <c r="C3559" s="11" t="str">
        <f>INDEX(Data,2,2+MOD(ROWS(C$2:C3559)-1,24))</f>
        <v>06.00</v>
      </c>
      <c r="D3559" s="8" t="str">
        <f t="shared" ca="1" si="167"/>
        <v>—</v>
      </c>
      <c r="E3559" s="16">
        <f t="shared" ca="1" si="168"/>
        <v>7</v>
      </c>
    </row>
    <row r="3560" spans="1:5" x14ac:dyDescent="0.25">
      <c r="A3560" s="3">
        <f t="shared" si="166"/>
        <v>78989</v>
      </c>
      <c r="B3560" t="str">
        <f ca="1">TEXT(DATE(YEAR(Invoer!$A$5),1,1)+INT((ROWS(B$2:B3560)-1)/24),"""18""jjmmdd")</f>
        <v>18980529</v>
      </c>
      <c r="C3560" s="11" t="str">
        <f>INDEX(Data,2,2+MOD(ROWS(C$2:C3560)-1,24))</f>
        <v>07.00</v>
      </c>
      <c r="D3560" s="8" t="str">
        <f t="shared" ca="1" si="167"/>
        <v>—</v>
      </c>
      <c r="E3560" s="16">
        <f t="shared" ca="1" si="168"/>
        <v>7</v>
      </c>
    </row>
    <row r="3561" spans="1:5" x14ac:dyDescent="0.25">
      <c r="A3561" s="3">
        <f t="shared" si="166"/>
        <v>78989</v>
      </c>
      <c r="B3561" t="str">
        <f ca="1">TEXT(DATE(YEAR(Invoer!$A$5),1,1)+INT((ROWS(B$2:B3561)-1)/24),"""18""jjmmdd")</f>
        <v>18980529</v>
      </c>
      <c r="C3561" s="11" t="str">
        <f>INDEX(Data,2,2+MOD(ROWS(C$2:C3561)-1,24))</f>
        <v>08.00</v>
      </c>
      <c r="D3561" s="8" t="str">
        <f t="shared" ca="1" si="167"/>
        <v>—</v>
      </c>
      <c r="E3561" s="16">
        <f t="shared" ca="1" si="168"/>
        <v>7</v>
      </c>
    </row>
    <row r="3562" spans="1:5" x14ac:dyDescent="0.25">
      <c r="A3562" s="3">
        <f t="shared" si="166"/>
        <v>78989</v>
      </c>
      <c r="B3562" t="str">
        <f ca="1">TEXT(DATE(YEAR(Invoer!$A$5),1,1)+INT((ROWS(B$2:B3562)-1)/24),"""18""jjmmdd")</f>
        <v>18980529</v>
      </c>
      <c r="C3562" s="11" t="str">
        <f>INDEX(Data,2,2+MOD(ROWS(C$2:C3562)-1,24))</f>
        <v>09.00</v>
      </c>
      <c r="D3562" s="8" t="str">
        <f t="shared" ca="1" si="167"/>
        <v>—</v>
      </c>
      <c r="E3562" s="16">
        <f t="shared" ca="1" si="168"/>
        <v>7</v>
      </c>
    </row>
    <row r="3563" spans="1:5" x14ac:dyDescent="0.25">
      <c r="A3563" s="3">
        <f t="shared" si="166"/>
        <v>78989</v>
      </c>
      <c r="B3563" t="str">
        <f ca="1">TEXT(DATE(YEAR(Invoer!$A$5),1,1)+INT((ROWS(B$2:B3563)-1)/24),"""18""jjmmdd")</f>
        <v>18980529</v>
      </c>
      <c r="C3563" s="11" t="str">
        <f>INDEX(Data,2,2+MOD(ROWS(C$2:C3563)-1,24))</f>
        <v>10.00</v>
      </c>
      <c r="D3563" s="8" t="str">
        <f t="shared" ca="1" si="167"/>
        <v>—</v>
      </c>
      <c r="E3563" s="16">
        <f t="shared" ca="1" si="168"/>
        <v>7</v>
      </c>
    </row>
    <row r="3564" spans="1:5" x14ac:dyDescent="0.25">
      <c r="A3564" s="3">
        <f t="shared" si="166"/>
        <v>78989</v>
      </c>
      <c r="B3564" t="str">
        <f ca="1">TEXT(DATE(YEAR(Invoer!$A$5),1,1)+INT((ROWS(B$2:B3564)-1)/24),"""18""jjmmdd")</f>
        <v>18980529</v>
      </c>
      <c r="C3564" s="11" t="str">
        <f>INDEX(Data,2,2+MOD(ROWS(C$2:C3564)-1,24))</f>
        <v>11.00</v>
      </c>
      <c r="D3564" s="8" t="str">
        <f t="shared" ca="1" si="167"/>
        <v>—</v>
      </c>
      <c r="E3564" s="16">
        <f t="shared" ca="1" si="168"/>
        <v>7</v>
      </c>
    </row>
    <row r="3565" spans="1:5" x14ac:dyDescent="0.25">
      <c r="A3565" s="3">
        <f t="shared" si="166"/>
        <v>78989</v>
      </c>
      <c r="B3565" t="str">
        <f ca="1">TEXT(DATE(YEAR(Invoer!$A$5),1,1)+INT((ROWS(B$2:B3565)-1)/24),"""18""jjmmdd")</f>
        <v>18980529</v>
      </c>
      <c r="C3565" s="11" t="str">
        <f>INDEX(Data,2,2+MOD(ROWS(C$2:C3565)-1,24))</f>
        <v>12.00</v>
      </c>
      <c r="D3565" s="8" t="str">
        <f t="shared" ca="1" si="167"/>
        <v>—</v>
      </c>
      <c r="E3565" s="16">
        <f t="shared" ca="1" si="168"/>
        <v>7</v>
      </c>
    </row>
    <row r="3566" spans="1:5" x14ac:dyDescent="0.25">
      <c r="A3566" s="3">
        <f t="shared" si="166"/>
        <v>78989</v>
      </c>
      <c r="B3566" t="str">
        <f ca="1">TEXT(DATE(YEAR(Invoer!$A$5),1,1)+INT((ROWS(B$2:B3566)-1)/24),"""18""jjmmdd")</f>
        <v>18980529</v>
      </c>
      <c r="C3566" s="11" t="str">
        <f>INDEX(Data,2,2+MOD(ROWS(C$2:C3566)-1,24))</f>
        <v>13.00</v>
      </c>
      <c r="D3566" s="8" t="str">
        <f t="shared" ca="1" si="167"/>
        <v>—</v>
      </c>
      <c r="E3566" s="16">
        <f t="shared" ca="1" si="168"/>
        <v>7</v>
      </c>
    </row>
    <row r="3567" spans="1:5" x14ac:dyDescent="0.25">
      <c r="A3567" s="3">
        <f t="shared" si="166"/>
        <v>78989</v>
      </c>
      <c r="B3567" t="str">
        <f ca="1">TEXT(DATE(YEAR(Invoer!$A$5),1,1)+INT((ROWS(B$2:B3567)-1)/24),"""18""jjmmdd")</f>
        <v>18980529</v>
      </c>
      <c r="C3567" s="11" t="str">
        <f>INDEX(Data,2,2+MOD(ROWS(C$2:C3567)-1,24))</f>
        <v>14.00</v>
      </c>
      <c r="D3567" s="8" t="str">
        <f t="shared" ca="1" si="167"/>
        <v>—</v>
      </c>
      <c r="E3567" s="16">
        <f t="shared" ca="1" si="168"/>
        <v>7</v>
      </c>
    </row>
    <row r="3568" spans="1:5" x14ac:dyDescent="0.25">
      <c r="A3568" s="3">
        <f t="shared" si="166"/>
        <v>78989</v>
      </c>
      <c r="B3568" t="str">
        <f ca="1">TEXT(DATE(YEAR(Invoer!$A$5),1,1)+INT((ROWS(B$2:B3568)-1)/24),"""18""jjmmdd")</f>
        <v>18980529</v>
      </c>
      <c r="C3568" s="11" t="str">
        <f>INDEX(Data,2,2+MOD(ROWS(C$2:C3568)-1,24))</f>
        <v>15.00</v>
      </c>
      <c r="D3568" s="8" t="str">
        <f t="shared" ca="1" si="167"/>
        <v>—</v>
      </c>
      <c r="E3568" s="16">
        <f t="shared" ca="1" si="168"/>
        <v>7</v>
      </c>
    </row>
    <row r="3569" spans="1:5" x14ac:dyDescent="0.25">
      <c r="A3569" s="3">
        <f t="shared" si="166"/>
        <v>78989</v>
      </c>
      <c r="B3569" t="str">
        <f ca="1">TEXT(DATE(YEAR(Invoer!$A$5),1,1)+INT((ROWS(B$2:B3569)-1)/24),"""18""jjmmdd")</f>
        <v>18980529</v>
      </c>
      <c r="C3569" s="11" t="str">
        <f>INDEX(Data,2,2+MOD(ROWS(C$2:C3569)-1,24))</f>
        <v>16.00</v>
      </c>
      <c r="D3569" s="8" t="str">
        <f t="shared" ca="1" si="167"/>
        <v>—</v>
      </c>
      <c r="E3569" s="16">
        <f t="shared" ca="1" si="168"/>
        <v>7</v>
      </c>
    </row>
    <row r="3570" spans="1:5" x14ac:dyDescent="0.25">
      <c r="A3570" s="3">
        <f t="shared" si="166"/>
        <v>78989</v>
      </c>
      <c r="B3570" t="str">
        <f ca="1">TEXT(DATE(YEAR(Invoer!$A$5),1,1)+INT((ROWS(B$2:B3570)-1)/24),"""18""jjmmdd")</f>
        <v>18980529</v>
      </c>
      <c r="C3570" s="11" t="str">
        <f>INDEX(Data,2,2+MOD(ROWS(C$2:C3570)-1,24))</f>
        <v>17.00</v>
      </c>
      <c r="D3570" s="8" t="str">
        <f t="shared" ca="1" si="167"/>
        <v>—</v>
      </c>
      <c r="E3570" s="16">
        <f t="shared" ca="1" si="168"/>
        <v>7</v>
      </c>
    </row>
    <row r="3571" spans="1:5" x14ac:dyDescent="0.25">
      <c r="A3571" s="3">
        <f t="shared" si="166"/>
        <v>78989</v>
      </c>
      <c r="B3571" t="str">
        <f ca="1">TEXT(DATE(YEAR(Invoer!$A$5),1,1)+INT((ROWS(B$2:B3571)-1)/24),"""18""jjmmdd")</f>
        <v>18980529</v>
      </c>
      <c r="C3571" s="11" t="str">
        <f>INDEX(Data,2,2+MOD(ROWS(C$2:C3571)-1,24))</f>
        <v>18.00</v>
      </c>
      <c r="D3571" s="8" t="str">
        <f t="shared" ca="1" si="167"/>
        <v>—</v>
      </c>
      <c r="E3571" s="16">
        <f t="shared" ca="1" si="168"/>
        <v>7</v>
      </c>
    </row>
    <row r="3572" spans="1:5" x14ac:dyDescent="0.25">
      <c r="A3572" s="3">
        <f t="shared" si="166"/>
        <v>78989</v>
      </c>
      <c r="B3572" t="str">
        <f ca="1">TEXT(DATE(YEAR(Invoer!$A$5),1,1)+INT((ROWS(B$2:B3572)-1)/24),"""18""jjmmdd")</f>
        <v>18980529</v>
      </c>
      <c r="C3572" s="11" t="str">
        <f>INDEX(Data,2,2+MOD(ROWS(C$2:C3572)-1,24))</f>
        <v>19.00</v>
      </c>
      <c r="D3572" s="8" t="str">
        <f t="shared" ca="1" si="167"/>
        <v>—</v>
      </c>
      <c r="E3572" s="16">
        <f t="shared" ca="1" si="168"/>
        <v>7</v>
      </c>
    </row>
    <row r="3573" spans="1:5" x14ac:dyDescent="0.25">
      <c r="A3573" s="3">
        <f t="shared" si="166"/>
        <v>78989</v>
      </c>
      <c r="B3573" t="str">
        <f ca="1">TEXT(DATE(YEAR(Invoer!$A$5),1,1)+INT((ROWS(B$2:B3573)-1)/24),"""18""jjmmdd")</f>
        <v>18980529</v>
      </c>
      <c r="C3573" s="11" t="str">
        <f>INDEX(Data,2,2+MOD(ROWS(C$2:C3573)-1,24))</f>
        <v>20.00</v>
      </c>
      <c r="D3573" s="8" t="str">
        <f t="shared" ca="1" si="167"/>
        <v>—</v>
      </c>
      <c r="E3573" s="16">
        <f t="shared" ca="1" si="168"/>
        <v>7</v>
      </c>
    </row>
    <row r="3574" spans="1:5" x14ac:dyDescent="0.25">
      <c r="A3574" s="3">
        <f t="shared" si="166"/>
        <v>78989</v>
      </c>
      <c r="B3574" t="str">
        <f ca="1">TEXT(DATE(YEAR(Invoer!$A$5),1,1)+INT((ROWS(B$2:B3574)-1)/24),"""18""jjmmdd")</f>
        <v>18980529</v>
      </c>
      <c r="C3574" s="11" t="str">
        <f>INDEX(Data,2,2+MOD(ROWS(C$2:C3574)-1,24))</f>
        <v>21.00</v>
      </c>
      <c r="D3574" s="8" t="str">
        <f t="shared" ca="1" si="167"/>
        <v>—</v>
      </c>
      <c r="E3574" s="16">
        <f t="shared" ca="1" si="168"/>
        <v>7</v>
      </c>
    </row>
    <row r="3575" spans="1:5" x14ac:dyDescent="0.25">
      <c r="A3575" s="3">
        <f t="shared" si="166"/>
        <v>78989</v>
      </c>
      <c r="B3575" t="str">
        <f ca="1">TEXT(DATE(YEAR(Invoer!$A$5),1,1)+INT((ROWS(B$2:B3575)-1)/24),"""18""jjmmdd")</f>
        <v>18980529</v>
      </c>
      <c r="C3575" s="11" t="str">
        <f>INDEX(Data,2,2+MOD(ROWS(C$2:C3575)-1,24))</f>
        <v>22.00</v>
      </c>
      <c r="D3575" s="8" t="str">
        <f t="shared" ca="1" si="167"/>
        <v>—</v>
      </c>
      <c r="E3575" s="16">
        <f t="shared" ca="1" si="168"/>
        <v>7</v>
      </c>
    </row>
    <row r="3576" spans="1:5" x14ac:dyDescent="0.25">
      <c r="A3576" s="3">
        <f t="shared" si="166"/>
        <v>78989</v>
      </c>
      <c r="B3576" t="str">
        <f ca="1">TEXT(DATE(YEAR(Invoer!$A$5),1,1)+INT((ROWS(B$2:B3576)-1)/24),"""18""jjmmdd")</f>
        <v>18980529</v>
      </c>
      <c r="C3576" s="11" t="str">
        <f>INDEX(Data,2,2+MOD(ROWS(C$2:C3576)-1,24))</f>
        <v>23.00</v>
      </c>
      <c r="D3576" s="8" t="str">
        <f t="shared" ca="1" si="167"/>
        <v>—</v>
      </c>
      <c r="E3576" s="16">
        <f t="shared" ca="1" si="168"/>
        <v>7</v>
      </c>
    </row>
    <row r="3577" spans="1:5" x14ac:dyDescent="0.25">
      <c r="A3577" s="3">
        <f t="shared" si="166"/>
        <v>78989</v>
      </c>
      <c r="B3577" t="str">
        <f ca="1">TEXT(DATE(YEAR(Invoer!$A$5),1,1)+INT((ROWS(B$2:B3577)-1)/24),"""18""jjmmdd")</f>
        <v>18980529</v>
      </c>
      <c r="C3577" s="11" t="str">
        <f>INDEX(Data,2,2+MOD(ROWS(C$2:C3577)-1,24))</f>
        <v>24.00</v>
      </c>
      <c r="D3577" s="8" t="str">
        <f t="shared" ca="1" si="167"/>
        <v>—</v>
      </c>
      <c r="E3577" s="16">
        <f t="shared" ca="1" si="168"/>
        <v>7</v>
      </c>
    </row>
    <row r="3578" spans="1:5" x14ac:dyDescent="0.25">
      <c r="A3578" s="3">
        <f t="shared" si="166"/>
        <v>78989</v>
      </c>
      <c r="B3578" t="str">
        <f ca="1">TEXT(DATE(YEAR(Invoer!$A$5),1,1)+INT((ROWS(B$2:B3578)-1)/24),"""18""jjmmdd")</f>
        <v>18980530</v>
      </c>
      <c r="C3578" s="11" t="str">
        <f>INDEX(Data,2,2+MOD(ROWS(C$2:C3578)-1,24))</f>
        <v>01.00</v>
      </c>
      <c r="D3578" s="8" t="str">
        <f t="shared" ca="1" si="167"/>
        <v>—</v>
      </c>
      <c r="E3578" s="16">
        <f t="shared" ca="1" si="168"/>
        <v>7</v>
      </c>
    </row>
    <row r="3579" spans="1:5" x14ac:dyDescent="0.25">
      <c r="A3579" s="3">
        <f t="shared" si="166"/>
        <v>78989</v>
      </c>
      <c r="B3579" t="str">
        <f ca="1">TEXT(DATE(YEAR(Invoer!$A$5),1,1)+INT((ROWS(B$2:B3579)-1)/24),"""18""jjmmdd")</f>
        <v>18980530</v>
      </c>
      <c r="C3579" s="11" t="str">
        <f>INDEX(Data,2,2+MOD(ROWS(C$2:C3579)-1,24))</f>
        <v>02.00</v>
      </c>
      <c r="D3579" s="8" t="str">
        <f t="shared" ca="1" si="167"/>
        <v>—</v>
      </c>
      <c r="E3579" s="16">
        <f t="shared" ca="1" si="168"/>
        <v>7</v>
      </c>
    </row>
    <row r="3580" spans="1:5" x14ac:dyDescent="0.25">
      <c r="A3580" s="3">
        <f t="shared" si="166"/>
        <v>78989</v>
      </c>
      <c r="B3580" t="str">
        <f ca="1">TEXT(DATE(YEAR(Invoer!$A$5),1,1)+INT((ROWS(B$2:B3580)-1)/24),"""18""jjmmdd")</f>
        <v>18980530</v>
      </c>
      <c r="C3580" s="11" t="str">
        <f>INDEX(Data,2,2+MOD(ROWS(C$2:C3580)-1,24))</f>
        <v>03.00</v>
      </c>
      <c r="D3580" s="8" t="str">
        <f t="shared" ca="1" si="167"/>
        <v>—</v>
      </c>
      <c r="E3580" s="16">
        <f t="shared" ca="1" si="168"/>
        <v>7</v>
      </c>
    </row>
    <row r="3581" spans="1:5" x14ac:dyDescent="0.25">
      <c r="A3581" s="3">
        <f t="shared" si="166"/>
        <v>78989</v>
      </c>
      <c r="B3581" t="str">
        <f ca="1">TEXT(DATE(YEAR(Invoer!$A$5),1,1)+INT((ROWS(B$2:B3581)-1)/24),"""18""jjmmdd")</f>
        <v>18980530</v>
      </c>
      <c r="C3581" s="11" t="str">
        <f>INDEX(Data,2,2+MOD(ROWS(C$2:C3581)-1,24))</f>
        <v>04.00</v>
      </c>
      <c r="D3581" s="8" t="str">
        <f t="shared" ca="1" si="167"/>
        <v>—</v>
      </c>
      <c r="E3581" s="16">
        <f t="shared" ca="1" si="168"/>
        <v>7</v>
      </c>
    </row>
    <row r="3582" spans="1:5" x14ac:dyDescent="0.25">
      <c r="A3582" s="3">
        <f t="shared" si="166"/>
        <v>78989</v>
      </c>
      <c r="B3582" t="str">
        <f ca="1">TEXT(DATE(YEAR(Invoer!$A$5),1,1)+INT((ROWS(B$2:B3582)-1)/24),"""18""jjmmdd")</f>
        <v>18980530</v>
      </c>
      <c r="C3582" s="11" t="str">
        <f>INDEX(Data,2,2+MOD(ROWS(C$2:C3582)-1,24))</f>
        <v>05.00</v>
      </c>
      <c r="D3582" s="8" t="str">
        <f t="shared" ca="1" si="167"/>
        <v>—</v>
      </c>
      <c r="E3582" s="16">
        <f t="shared" ca="1" si="168"/>
        <v>7</v>
      </c>
    </row>
    <row r="3583" spans="1:5" x14ac:dyDescent="0.25">
      <c r="A3583" s="3">
        <f t="shared" si="166"/>
        <v>78989</v>
      </c>
      <c r="B3583" t="str">
        <f ca="1">TEXT(DATE(YEAR(Invoer!$A$5),1,1)+INT((ROWS(B$2:B3583)-1)/24),"""18""jjmmdd")</f>
        <v>18980530</v>
      </c>
      <c r="C3583" s="11" t="str">
        <f>INDEX(Data,2,2+MOD(ROWS(C$2:C3583)-1,24))</f>
        <v>06.00</v>
      </c>
      <c r="D3583" s="8" t="str">
        <f t="shared" ca="1" si="167"/>
        <v>—</v>
      </c>
      <c r="E3583" s="16">
        <f t="shared" ca="1" si="168"/>
        <v>7</v>
      </c>
    </row>
    <row r="3584" spans="1:5" x14ac:dyDescent="0.25">
      <c r="A3584" s="3">
        <f t="shared" si="166"/>
        <v>78989</v>
      </c>
      <c r="B3584" t="str">
        <f ca="1">TEXT(DATE(YEAR(Invoer!$A$5),1,1)+INT((ROWS(B$2:B3584)-1)/24),"""18""jjmmdd")</f>
        <v>18980530</v>
      </c>
      <c r="C3584" s="11" t="str">
        <f>INDEX(Data,2,2+MOD(ROWS(C$2:C3584)-1,24))</f>
        <v>07.00</v>
      </c>
      <c r="D3584" s="8" t="str">
        <f t="shared" ca="1" si="167"/>
        <v>—</v>
      </c>
      <c r="E3584" s="16">
        <f t="shared" ca="1" si="168"/>
        <v>7</v>
      </c>
    </row>
    <row r="3585" spans="1:5" x14ac:dyDescent="0.25">
      <c r="A3585" s="3">
        <f t="shared" si="166"/>
        <v>78989</v>
      </c>
      <c r="B3585" t="str">
        <f ca="1">TEXT(DATE(YEAR(Invoer!$A$5),1,1)+INT((ROWS(B$2:B3585)-1)/24),"""18""jjmmdd")</f>
        <v>18980530</v>
      </c>
      <c r="C3585" s="11" t="str">
        <f>INDEX(Data,2,2+MOD(ROWS(C$2:C3585)-1,24))</f>
        <v>08.00</v>
      </c>
      <c r="D3585" s="8" t="str">
        <f t="shared" ca="1" si="167"/>
        <v>—</v>
      </c>
      <c r="E3585" s="16">
        <f t="shared" ca="1" si="168"/>
        <v>7</v>
      </c>
    </row>
    <row r="3586" spans="1:5" x14ac:dyDescent="0.25">
      <c r="A3586" s="3">
        <f t="shared" ref="A3586:A3649" si="169">INDEX(Stations,2,1)</f>
        <v>78989</v>
      </c>
      <c r="B3586" t="str">
        <f ca="1">TEXT(DATE(YEAR(Invoer!$A$5),1,1)+INT((ROWS(B$2:B3586)-1)/24),"""18""jjmmdd")</f>
        <v>18980530</v>
      </c>
      <c r="C3586" s="11" t="str">
        <f>INDEX(Data,2,2+MOD(ROWS(C$2:C3586)-1,24))</f>
        <v>09.00</v>
      </c>
      <c r="D3586" s="8" t="str">
        <f t="shared" ref="D3586:D3649" ca="1" si="170">IF(OR(ISBLANK(VLOOKUP(DATEVALUE("37"&amp;MID($B3586,3,2)&amp;"-"&amp;MID($B3586,5,2)&amp;"-"&amp;RIGHT($B3586,2)),Data,MATCH(LEFT(VLOOKUP(D$1,Parameters,2,FALSE()),4)&amp;"*",OFFSET(Data,0,0,1),0)+MATCH($C3586,OFFSET(Data,1,0,1),0)-2,FALSE())),ISTEXT(VLOOKUP(DATEVALUE("37"&amp;MID($B3586,3,2)&amp;"-"&amp;MID($B3586,5,2)&amp;"-"&amp;RIGHT($B3586,2)),Data,MATCH(LEFT(VLOOKUP(D$1,Parameters,2,FALSE()),4)&amp;"*",OFFSET(Data,0,0,1),0)+MATCH($C3586,OFFSET(Data,1,0,1),0)-2,FALSE()))),"—",VLOOKUP(DATEVALUE("37"&amp;MID($B3586,3,2)&amp;"-"&amp;MID($B3586,5,2)&amp;"-"&amp;RIGHT($B3586,2)),Data,MATCH(LEFT(VLOOKUP(D$1,Parameters,2,FALSE()),4)&amp;"*",OFFSET(Data,0,0,1),0)+MATCH($C3586,OFFSET(Data,1,0,1),0)-2,FALSE()))</f>
        <v>—</v>
      </c>
      <c r="E3586" s="16">
        <f t="shared" ca="1" si="168"/>
        <v>7</v>
      </c>
    </row>
    <row r="3587" spans="1:5" x14ac:dyDescent="0.25">
      <c r="A3587" s="3">
        <f t="shared" si="169"/>
        <v>78989</v>
      </c>
      <c r="B3587" t="str">
        <f ca="1">TEXT(DATE(YEAR(Invoer!$A$5),1,1)+INT((ROWS(B$2:B3587)-1)/24),"""18""jjmmdd")</f>
        <v>18980530</v>
      </c>
      <c r="C3587" s="11" t="str">
        <f>INDEX(Data,2,2+MOD(ROWS(C$2:C3587)-1,24))</f>
        <v>10.00</v>
      </c>
      <c r="D3587" s="8" t="str">
        <f t="shared" ca="1" si="170"/>
        <v>—</v>
      </c>
      <c r="E3587" s="16">
        <f t="shared" ref="E3587:E3650" ca="1" si="171">IF(OR(ISBLANK(VLOOKUP(DATEVALUE("37"&amp;MID($B3587,3,2)&amp;"-"&amp;MID($B3587,5,2)&amp;"-"&amp;RIGHT($B3587,2)),Data,MATCH(LEFT(VLOOKUP(D$1,Parameters,2,FALSE()),4)&amp;"*",OFFSET(Data,0,0,1),0)+MATCH($C3587,OFFSET(Data,1,0,1),0)-2,FALSE())),ISTEXT(VLOOKUP(DATEVALUE("37"&amp;MID($B3587,3,2)&amp;"-"&amp;MID($B3587,5,2)&amp;"-"&amp;RIGHT($B3587,2)),Data,MATCH(LEFT(VLOOKUP(D$1,Parameters,2,FALSE()),4)&amp;"*",OFFSET(Data,0,0,1),0)+MATCH($C3587,OFFSET(Data,1,0,1),0)-2,FALSE()))),Lacking,IF(ISNA(MATCH(DATEVALUE("37"&amp;MID($B3587,3,2)&amp;"-"&amp;MID($B3587,5,2)&amp;"-"&amp;RIGHT($B3587,2)),OFFSET(Catalogus,0,0,,1),0)),Ok,VLOOKUP(DATEVALUE("37"&amp;MID($B3587,3,2)&amp;"-"&amp;MID($B3587,5,2)&amp;"-"&amp;RIGHT($B3587,2)),Catalogus,MATCH(LEFT(VLOOKUP(MID(E$1,2,LEN(E$1)-1),Parameters,2,FALSE()),4)&amp;"*",OFFSET(Catalogus,0,0,1),0)+MATCH($C3587,OFFSET(Catalogus,1,0,1),0)-2,FALSE())))</f>
        <v>7</v>
      </c>
    </row>
    <row r="3588" spans="1:5" x14ac:dyDescent="0.25">
      <c r="A3588" s="3">
        <f t="shared" si="169"/>
        <v>78989</v>
      </c>
      <c r="B3588" t="str">
        <f ca="1">TEXT(DATE(YEAR(Invoer!$A$5),1,1)+INT((ROWS(B$2:B3588)-1)/24),"""18""jjmmdd")</f>
        <v>18980530</v>
      </c>
      <c r="C3588" s="11" t="str">
        <f>INDEX(Data,2,2+MOD(ROWS(C$2:C3588)-1,24))</f>
        <v>11.00</v>
      </c>
      <c r="D3588" s="8" t="str">
        <f t="shared" ca="1" si="170"/>
        <v>—</v>
      </c>
      <c r="E3588" s="16">
        <f t="shared" ca="1" si="171"/>
        <v>7</v>
      </c>
    </row>
    <row r="3589" spans="1:5" x14ac:dyDescent="0.25">
      <c r="A3589" s="3">
        <f t="shared" si="169"/>
        <v>78989</v>
      </c>
      <c r="B3589" t="str">
        <f ca="1">TEXT(DATE(YEAR(Invoer!$A$5),1,1)+INT((ROWS(B$2:B3589)-1)/24),"""18""jjmmdd")</f>
        <v>18980530</v>
      </c>
      <c r="C3589" s="11" t="str">
        <f>INDEX(Data,2,2+MOD(ROWS(C$2:C3589)-1,24))</f>
        <v>12.00</v>
      </c>
      <c r="D3589" s="8" t="str">
        <f t="shared" ca="1" si="170"/>
        <v>—</v>
      </c>
      <c r="E3589" s="16">
        <f t="shared" ca="1" si="171"/>
        <v>7</v>
      </c>
    </row>
    <row r="3590" spans="1:5" x14ac:dyDescent="0.25">
      <c r="A3590" s="3">
        <f t="shared" si="169"/>
        <v>78989</v>
      </c>
      <c r="B3590" t="str">
        <f ca="1">TEXT(DATE(YEAR(Invoer!$A$5),1,1)+INT((ROWS(B$2:B3590)-1)/24),"""18""jjmmdd")</f>
        <v>18980530</v>
      </c>
      <c r="C3590" s="11" t="str">
        <f>INDEX(Data,2,2+MOD(ROWS(C$2:C3590)-1,24))</f>
        <v>13.00</v>
      </c>
      <c r="D3590" s="8" t="str">
        <f t="shared" ca="1" si="170"/>
        <v>—</v>
      </c>
      <c r="E3590" s="16">
        <f t="shared" ca="1" si="171"/>
        <v>7</v>
      </c>
    </row>
    <row r="3591" spans="1:5" x14ac:dyDescent="0.25">
      <c r="A3591" s="3">
        <f t="shared" si="169"/>
        <v>78989</v>
      </c>
      <c r="B3591" t="str">
        <f ca="1">TEXT(DATE(YEAR(Invoer!$A$5),1,1)+INT((ROWS(B$2:B3591)-1)/24),"""18""jjmmdd")</f>
        <v>18980530</v>
      </c>
      <c r="C3591" s="11" t="str">
        <f>INDEX(Data,2,2+MOD(ROWS(C$2:C3591)-1,24))</f>
        <v>14.00</v>
      </c>
      <c r="D3591" s="8" t="str">
        <f t="shared" ca="1" si="170"/>
        <v>—</v>
      </c>
      <c r="E3591" s="16">
        <f t="shared" ca="1" si="171"/>
        <v>7</v>
      </c>
    </row>
    <row r="3592" spans="1:5" x14ac:dyDescent="0.25">
      <c r="A3592" s="3">
        <f t="shared" si="169"/>
        <v>78989</v>
      </c>
      <c r="B3592" t="str">
        <f ca="1">TEXT(DATE(YEAR(Invoer!$A$5),1,1)+INT((ROWS(B$2:B3592)-1)/24),"""18""jjmmdd")</f>
        <v>18980530</v>
      </c>
      <c r="C3592" s="11" t="str">
        <f>INDEX(Data,2,2+MOD(ROWS(C$2:C3592)-1,24))</f>
        <v>15.00</v>
      </c>
      <c r="D3592" s="8" t="str">
        <f t="shared" ca="1" si="170"/>
        <v>—</v>
      </c>
      <c r="E3592" s="16">
        <f t="shared" ca="1" si="171"/>
        <v>7</v>
      </c>
    </row>
    <row r="3593" spans="1:5" x14ac:dyDescent="0.25">
      <c r="A3593" s="3">
        <f t="shared" si="169"/>
        <v>78989</v>
      </c>
      <c r="B3593" t="str">
        <f ca="1">TEXT(DATE(YEAR(Invoer!$A$5),1,1)+INT((ROWS(B$2:B3593)-1)/24),"""18""jjmmdd")</f>
        <v>18980530</v>
      </c>
      <c r="C3593" s="11" t="str">
        <f>INDEX(Data,2,2+MOD(ROWS(C$2:C3593)-1,24))</f>
        <v>16.00</v>
      </c>
      <c r="D3593" s="8" t="str">
        <f t="shared" ca="1" si="170"/>
        <v>—</v>
      </c>
      <c r="E3593" s="16">
        <f t="shared" ca="1" si="171"/>
        <v>7</v>
      </c>
    </row>
    <row r="3594" spans="1:5" x14ac:dyDescent="0.25">
      <c r="A3594" s="3">
        <f t="shared" si="169"/>
        <v>78989</v>
      </c>
      <c r="B3594" t="str">
        <f ca="1">TEXT(DATE(YEAR(Invoer!$A$5),1,1)+INT((ROWS(B$2:B3594)-1)/24),"""18""jjmmdd")</f>
        <v>18980530</v>
      </c>
      <c r="C3594" s="11" t="str">
        <f>INDEX(Data,2,2+MOD(ROWS(C$2:C3594)-1,24))</f>
        <v>17.00</v>
      </c>
      <c r="D3594" s="8" t="str">
        <f t="shared" ca="1" si="170"/>
        <v>—</v>
      </c>
      <c r="E3594" s="16">
        <f t="shared" ca="1" si="171"/>
        <v>7</v>
      </c>
    </row>
    <row r="3595" spans="1:5" x14ac:dyDescent="0.25">
      <c r="A3595" s="3">
        <f t="shared" si="169"/>
        <v>78989</v>
      </c>
      <c r="B3595" t="str">
        <f ca="1">TEXT(DATE(YEAR(Invoer!$A$5),1,1)+INT((ROWS(B$2:B3595)-1)/24),"""18""jjmmdd")</f>
        <v>18980530</v>
      </c>
      <c r="C3595" s="11" t="str">
        <f>INDEX(Data,2,2+MOD(ROWS(C$2:C3595)-1,24))</f>
        <v>18.00</v>
      </c>
      <c r="D3595" s="8" t="str">
        <f t="shared" ca="1" si="170"/>
        <v>—</v>
      </c>
      <c r="E3595" s="16">
        <f t="shared" ca="1" si="171"/>
        <v>7</v>
      </c>
    </row>
    <row r="3596" spans="1:5" x14ac:dyDescent="0.25">
      <c r="A3596" s="3">
        <f t="shared" si="169"/>
        <v>78989</v>
      </c>
      <c r="B3596" t="str">
        <f ca="1">TEXT(DATE(YEAR(Invoer!$A$5),1,1)+INT((ROWS(B$2:B3596)-1)/24),"""18""jjmmdd")</f>
        <v>18980530</v>
      </c>
      <c r="C3596" s="11" t="str">
        <f>INDEX(Data,2,2+MOD(ROWS(C$2:C3596)-1,24))</f>
        <v>19.00</v>
      </c>
      <c r="D3596" s="8" t="str">
        <f t="shared" ca="1" si="170"/>
        <v>—</v>
      </c>
      <c r="E3596" s="16">
        <f t="shared" ca="1" si="171"/>
        <v>7</v>
      </c>
    </row>
    <row r="3597" spans="1:5" x14ac:dyDescent="0.25">
      <c r="A3597" s="3">
        <f t="shared" si="169"/>
        <v>78989</v>
      </c>
      <c r="B3597" t="str">
        <f ca="1">TEXT(DATE(YEAR(Invoer!$A$5),1,1)+INT((ROWS(B$2:B3597)-1)/24),"""18""jjmmdd")</f>
        <v>18980530</v>
      </c>
      <c r="C3597" s="11" t="str">
        <f>INDEX(Data,2,2+MOD(ROWS(C$2:C3597)-1,24))</f>
        <v>20.00</v>
      </c>
      <c r="D3597" s="8" t="str">
        <f t="shared" ca="1" si="170"/>
        <v>—</v>
      </c>
      <c r="E3597" s="16">
        <f t="shared" ca="1" si="171"/>
        <v>7</v>
      </c>
    </row>
    <row r="3598" spans="1:5" x14ac:dyDescent="0.25">
      <c r="A3598" s="3">
        <f t="shared" si="169"/>
        <v>78989</v>
      </c>
      <c r="B3598" t="str">
        <f ca="1">TEXT(DATE(YEAR(Invoer!$A$5),1,1)+INT((ROWS(B$2:B3598)-1)/24),"""18""jjmmdd")</f>
        <v>18980530</v>
      </c>
      <c r="C3598" s="11" t="str">
        <f>INDEX(Data,2,2+MOD(ROWS(C$2:C3598)-1,24))</f>
        <v>21.00</v>
      </c>
      <c r="D3598" s="8" t="str">
        <f t="shared" ca="1" si="170"/>
        <v>—</v>
      </c>
      <c r="E3598" s="16">
        <f t="shared" ca="1" si="171"/>
        <v>7</v>
      </c>
    </row>
    <row r="3599" spans="1:5" x14ac:dyDescent="0.25">
      <c r="A3599" s="3">
        <f t="shared" si="169"/>
        <v>78989</v>
      </c>
      <c r="B3599" t="str">
        <f ca="1">TEXT(DATE(YEAR(Invoer!$A$5),1,1)+INT((ROWS(B$2:B3599)-1)/24),"""18""jjmmdd")</f>
        <v>18980530</v>
      </c>
      <c r="C3599" s="11" t="str">
        <f>INDEX(Data,2,2+MOD(ROWS(C$2:C3599)-1,24))</f>
        <v>22.00</v>
      </c>
      <c r="D3599" s="8" t="str">
        <f t="shared" ca="1" si="170"/>
        <v>—</v>
      </c>
      <c r="E3599" s="16">
        <f t="shared" ca="1" si="171"/>
        <v>7</v>
      </c>
    </row>
    <row r="3600" spans="1:5" x14ac:dyDescent="0.25">
      <c r="A3600" s="3">
        <f t="shared" si="169"/>
        <v>78989</v>
      </c>
      <c r="B3600" t="str">
        <f ca="1">TEXT(DATE(YEAR(Invoer!$A$5),1,1)+INT((ROWS(B$2:B3600)-1)/24),"""18""jjmmdd")</f>
        <v>18980530</v>
      </c>
      <c r="C3600" s="11" t="str">
        <f>INDEX(Data,2,2+MOD(ROWS(C$2:C3600)-1,24))</f>
        <v>23.00</v>
      </c>
      <c r="D3600" s="8" t="str">
        <f t="shared" ca="1" si="170"/>
        <v>—</v>
      </c>
      <c r="E3600" s="16">
        <f t="shared" ca="1" si="171"/>
        <v>7</v>
      </c>
    </row>
    <row r="3601" spans="1:5" x14ac:dyDescent="0.25">
      <c r="A3601" s="3">
        <f t="shared" si="169"/>
        <v>78989</v>
      </c>
      <c r="B3601" t="str">
        <f ca="1">TEXT(DATE(YEAR(Invoer!$A$5),1,1)+INT((ROWS(B$2:B3601)-1)/24),"""18""jjmmdd")</f>
        <v>18980530</v>
      </c>
      <c r="C3601" s="11" t="str">
        <f>INDEX(Data,2,2+MOD(ROWS(C$2:C3601)-1,24))</f>
        <v>24.00</v>
      </c>
      <c r="D3601" s="8" t="str">
        <f t="shared" ca="1" si="170"/>
        <v>—</v>
      </c>
      <c r="E3601" s="16">
        <f t="shared" ca="1" si="171"/>
        <v>7</v>
      </c>
    </row>
    <row r="3602" spans="1:5" x14ac:dyDescent="0.25">
      <c r="A3602" s="3">
        <f t="shared" si="169"/>
        <v>78989</v>
      </c>
      <c r="B3602" t="str">
        <f ca="1">TEXT(DATE(YEAR(Invoer!$A$5),1,1)+INT((ROWS(B$2:B3602)-1)/24),"""18""jjmmdd")</f>
        <v>18980531</v>
      </c>
      <c r="C3602" s="11" t="str">
        <f>INDEX(Data,2,2+MOD(ROWS(C$2:C3602)-1,24))</f>
        <v>01.00</v>
      </c>
      <c r="D3602" s="8" t="str">
        <f t="shared" ca="1" si="170"/>
        <v>—</v>
      </c>
      <c r="E3602" s="16">
        <f t="shared" ca="1" si="171"/>
        <v>7</v>
      </c>
    </row>
    <row r="3603" spans="1:5" x14ac:dyDescent="0.25">
      <c r="A3603" s="3">
        <f t="shared" si="169"/>
        <v>78989</v>
      </c>
      <c r="B3603" t="str">
        <f ca="1">TEXT(DATE(YEAR(Invoer!$A$5),1,1)+INT((ROWS(B$2:B3603)-1)/24),"""18""jjmmdd")</f>
        <v>18980531</v>
      </c>
      <c r="C3603" s="11" t="str">
        <f>INDEX(Data,2,2+MOD(ROWS(C$2:C3603)-1,24))</f>
        <v>02.00</v>
      </c>
      <c r="D3603" s="8" t="str">
        <f t="shared" ca="1" si="170"/>
        <v>—</v>
      </c>
      <c r="E3603" s="16">
        <f t="shared" ca="1" si="171"/>
        <v>7</v>
      </c>
    </row>
    <row r="3604" spans="1:5" x14ac:dyDescent="0.25">
      <c r="A3604" s="3">
        <f t="shared" si="169"/>
        <v>78989</v>
      </c>
      <c r="B3604" t="str">
        <f ca="1">TEXT(DATE(YEAR(Invoer!$A$5),1,1)+INT((ROWS(B$2:B3604)-1)/24),"""18""jjmmdd")</f>
        <v>18980531</v>
      </c>
      <c r="C3604" s="11" t="str">
        <f>INDEX(Data,2,2+MOD(ROWS(C$2:C3604)-1,24))</f>
        <v>03.00</v>
      </c>
      <c r="D3604" s="8" t="str">
        <f t="shared" ca="1" si="170"/>
        <v>—</v>
      </c>
      <c r="E3604" s="16">
        <f t="shared" ca="1" si="171"/>
        <v>7</v>
      </c>
    </row>
    <row r="3605" spans="1:5" x14ac:dyDescent="0.25">
      <c r="A3605" s="3">
        <f t="shared" si="169"/>
        <v>78989</v>
      </c>
      <c r="B3605" t="str">
        <f ca="1">TEXT(DATE(YEAR(Invoer!$A$5),1,1)+INT((ROWS(B$2:B3605)-1)/24),"""18""jjmmdd")</f>
        <v>18980531</v>
      </c>
      <c r="C3605" s="11" t="str">
        <f>INDEX(Data,2,2+MOD(ROWS(C$2:C3605)-1,24))</f>
        <v>04.00</v>
      </c>
      <c r="D3605" s="8" t="str">
        <f t="shared" ca="1" si="170"/>
        <v>—</v>
      </c>
      <c r="E3605" s="16">
        <f t="shared" ca="1" si="171"/>
        <v>7</v>
      </c>
    </row>
    <row r="3606" spans="1:5" x14ac:dyDescent="0.25">
      <c r="A3606" s="3">
        <f t="shared" si="169"/>
        <v>78989</v>
      </c>
      <c r="B3606" t="str">
        <f ca="1">TEXT(DATE(YEAR(Invoer!$A$5),1,1)+INT((ROWS(B$2:B3606)-1)/24),"""18""jjmmdd")</f>
        <v>18980531</v>
      </c>
      <c r="C3606" s="11" t="str">
        <f>INDEX(Data,2,2+MOD(ROWS(C$2:C3606)-1,24))</f>
        <v>05.00</v>
      </c>
      <c r="D3606" s="8" t="str">
        <f t="shared" ca="1" si="170"/>
        <v>—</v>
      </c>
      <c r="E3606" s="16">
        <f t="shared" ca="1" si="171"/>
        <v>7</v>
      </c>
    </row>
    <row r="3607" spans="1:5" x14ac:dyDescent="0.25">
      <c r="A3607" s="3">
        <f t="shared" si="169"/>
        <v>78989</v>
      </c>
      <c r="B3607" t="str">
        <f ca="1">TEXT(DATE(YEAR(Invoer!$A$5),1,1)+INT((ROWS(B$2:B3607)-1)/24),"""18""jjmmdd")</f>
        <v>18980531</v>
      </c>
      <c r="C3607" s="11" t="str">
        <f>INDEX(Data,2,2+MOD(ROWS(C$2:C3607)-1,24))</f>
        <v>06.00</v>
      </c>
      <c r="D3607" s="8" t="str">
        <f t="shared" ca="1" si="170"/>
        <v>—</v>
      </c>
      <c r="E3607" s="16">
        <f t="shared" ca="1" si="171"/>
        <v>7</v>
      </c>
    </row>
    <row r="3608" spans="1:5" x14ac:dyDescent="0.25">
      <c r="A3608" s="3">
        <f t="shared" si="169"/>
        <v>78989</v>
      </c>
      <c r="B3608" t="str">
        <f ca="1">TEXT(DATE(YEAR(Invoer!$A$5),1,1)+INT((ROWS(B$2:B3608)-1)/24),"""18""jjmmdd")</f>
        <v>18980531</v>
      </c>
      <c r="C3608" s="11" t="str">
        <f>INDEX(Data,2,2+MOD(ROWS(C$2:C3608)-1,24))</f>
        <v>07.00</v>
      </c>
      <c r="D3608" s="8" t="str">
        <f t="shared" ca="1" si="170"/>
        <v>—</v>
      </c>
      <c r="E3608" s="16">
        <f t="shared" ca="1" si="171"/>
        <v>7</v>
      </c>
    </row>
    <row r="3609" spans="1:5" x14ac:dyDescent="0.25">
      <c r="A3609" s="3">
        <f t="shared" si="169"/>
        <v>78989</v>
      </c>
      <c r="B3609" t="str">
        <f ca="1">TEXT(DATE(YEAR(Invoer!$A$5),1,1)+INT((ROWS(B$2:B3609)-1)/24),"""18""jjmmdd")</f>
        <v>18980531</v>
      </c>
      <c r="C3609" s="11" t="str">
        <f>INDEX(Data,2,2+MOD(ROWS(C$2:C3609)-1,24))</f>
        <v>08.00</v>
      </c>
      <c r="D3609" s="8" t="str">
        <f t="shared" ca="1" si="170"/>
        <v>—</v>
      </c>
      <c r="E3609" s="16">
        <f t="shared" ca="1" si="171"/>
        <v>7</v>
      </c>
    </row>
    <row r="3610" spans="1:5" x14ac:dyDescent="0.25">
      <c r="A3610" s="3">
        <f t="shared" si="169"/>
        <v>78989</v>
      </c>
      <c r="B3610" t="str">
        <f ca="1">TEXT(DATE(YEAR(Invoer!$A$5),1,1)+INT((ROWS(B$2:B3610)-1)/24),"""18""jjmmdd")</f>
        <v>18980531</v>
      </c>
      <c r="C3610" s="11" t="str">
        <f>INDEX(Data,2,2+MOD(ROWS(C$2:C3610)-1,24))</f>
        <v>09.00</v>
      </c>
      <c r="D3610" s="8" t="str">
        <f t="shared" ca="1" si="170"/>
        <v>—</v>
      </c>
      <c r="E3610" s="16">
        <f t="shared" ca="1" si="171"/>
        <v>7</v>
      </c>
    </row>
    <row r="3611" spans="1:5" x14ac:dyDescent="0.25">
      <c r="A3611" s="3">
        <f t="shared" si="169"/>
        <v>78989</v>
      </c>
      <c r="B3611" t="str">
        <f ca="1">TEXT(DATE(YEAR(Invoer!$A$5),1,1)+INT((ROWS(B$2:B3611)-1)/24),"""18""jjmmdd")</f>
        <v>18980531</v>
      </c>
      <c r="C3611" s="11" t="str">
        <f>INDEX(Data,2,2+MOD(ROWS(C$2:C3611)-1,24))</f>
        <v>10.00</v>
      </c>
      <c r="D3611" s="8" t="str">
        <f t="shared" ca="1" si="170"/>
        <v>—</v>
      </c>
      <c r="E3611" s="16">
        <f t="shared" ca="1" si="171"/>
        <v>7</v>
      </c>
    </row>
    <row r="3612" spans="1:5" x14ac:dyDescent="0.25">
      <c r="A3612" s="3">
        <f t="shared" si="169"/>
        <v>78989</v>
      </c>
      <c r="B3612" t="str">
        <f ca="1">TEXT(DATE(YEAR(Invoer!$A$5),1,1)+INT((ROWS(B$2:B3612)-1)/24),"""18""jjmmdd")</f>
        <v>18980531</v>
      </c>
      <c r="C3612" s="11" t="str">
        <f>INDEX(Data,2,2+MOD(ROWS(C$2:C3612)-1,24))</f>
        <v>11.00</v>
      </c>
      <c r="D3612" s="8" t="str">
        <f t="shared" ca="1" si="170"/>
        <v>—</v>
      </c>
      <c r="E3612" s="16">
        <f t="shared" ca="1" si="171"/>
        <v>7</v>
      </c>
    </row>
    <row r="3613" spans="1:5" x14ac:dyDescent="0.25">
      <c r="A3613" s="3">
        <f t="shared" si="169"/>
        <v>78989</v>
      </c>
      <c r="B3613" t="str">
        <f ca="1">TEXT(DATE(YEAR(Invoer!$A$5),1,1)+INT((ROWS(B$2:B3613)-1)/24),"""18""jjmmdd")</f>
        <v>18980531</v>
      </c>
      <c r="C3613" s="11" t="str">
        <f>INDEX(Data,2,2+MOD(ROWS(C$2:C3613)-1,24))</f>
        <v>12.00</v>
      </c>
      <c r="D3613" s="8" t="str">
        <f t="shared" ca="1" si="170"/>
        <v>—</v>
      </c>
      <c r="E3613" s="16">
        <f t="shared" ca="1" si="171"/>
        <v>7</v>
      </c>
    </row>
    <row r="3614" spans="1:5" x14ac:dyDescent="0.25">
      <c r="A3614" s="3">
        <f t="shared" si="169"/>
        <v>78989</v>
      </c>
      <c r="B3614" t="str">
        <f ca="1">TEXT(DATE(YEAR(Invoer!$A$5),1,1)+INT((ROWS(B$2:B3614)-1)/24),"""18""jjmmdd")</f>
        <v>18980531</v>
      </c>
      <c r="C3614" s="11" t="str">
        <f>INDEX(Data,2,2+MOD(ROWS(C$2:C3614)-1,24))</f>
        <v>13.00</v>
      </c>
      <c r="D3614" s="8" t="str">
        <f t="shared" ca="1" si="170"/>
        <v>—</v>
      </c>
      <c r="E3614" s="16">
        <f t="shared" ca="1" si="171"/>
        <v>7</v>
      </c>
    </row>
    <row r="3615" spans="1:5" x14ac:dyDescent="0.25">
      <c r="A3615" s="3">
        <f t="shared" si="169"/>
        <v>78989</v>
      </c>
      <c r="B3615" t="str">
        <f ca="1">TEXT(DATE(YEAR(Invoer!$A$5),1,1)+INT((ROWS(B$2:B3615)-1)/24),"""18""jjmmdd")</f>
        <v>18980531</v>
      </c>
      <c r="C3615" s="11" t="str">
        <f>INDEX(Data,2,2+MOD(ROWS(C$2:C3615)-1,24))</f>
        <v>14.00</v>
      </c>
      <c r="D3615" s="8" t="str">
        <f t="shared" ca="1" si="170"/>
        <v>—</v>
      </c>
      <c r="E3615" s="16">
        <f t="shared" ca="1" si="171"/>
        <v>7</v>
      </c>
    </row>
    <row r="3616" spans="1:5" x14ac:dyDescent="0.25">
      <c r="A3616" s="3">
        <f t="shared" si="169"/>
        <v>78989</v>
      </c>
      <c r="B3616" t="str">
        <f ca="1">TEXT(DATE(YEAR(Invoer!$A$5),1,1)+INT((ROWS(B$2:B3616)-1)/24),"""18""jjmmdd")</f>
        <v>18980531</v>
      </c>
      <c r="C3616" s="11" t="str">
        <f>INDEX(Data,2,2+MOD(ROWS(C$2:C3616)-1,24))</f>
        <v>15.00</v>
      </c>
      <c r="D3616" s="8" t="str">
        <f t="shared" ca="1" si="170"/>
        <v>—</v>
      </c>
      <c r="E3616" s="16">
        <f t="shared" ca="1" si="171"/>
        <v>7</v>
      </c>
    </row>
    <row r="3617" spans="1:5" x14ac:dyDescent="0.25">
      <c r="A3617" s="3">
        <f t="shared" si="169"/>
        <v>78989</v>
      </c>
      <c r="B3617" t="str">
        <f ca="1">TEXT(DATE(YEAR(Invoer!$A$5),1,1)+INT((ROWS(B$2:B3617)-1)/24),"""18""jjmmdd")</f>
        <v>18980531</v>
      </c>
      <c r="C3617" s="11" t="str">
        <f>INDEX(Data,2,2+MOD(ROWS(C$2:C3617)-1,24))</f>
        <v>16.00</v>
      </c>
      <c r="D3617" s="8" t="str">
        <f t="shared" ca="1" si="170"/>
        <v>—</v>
      </c>
      <c r="E3617" s="16">
        <f t="shared" ca="1" si="171"/>
        <v>7</v>
      </c>
    </row>
    <row r="3618" spans="1:5" x14ac:dyDescent="0.25">
      <c r="A3618" s="3">
        <f t="shared" si="169"/>
        <v>78989</v>
      </c>
      <c r="B3618" t="str">
        <f ca="1">TEXT(DATE(YEAR(Invoer!$A$5),1,1)+INT((ROWS(B$2:B3618)-1)/24),"""18""jjmmdd")</f>
        <v>18980531</v>
      </c>
      <c r="C3618" s="11" t="str">
        <f>INDEX(Data,2,2+MOD(ROWS(C$2:C3618)-1,24))</f>
        <v>17.00</v>
      </c>
      <c r="D3618" s="8" t="str">
        <f t="shared" ca="1" si="170"/>
        <v>—</v>
      </c>
      <c r="E3618" s="16">
        <f t="shared" ca="1" si="171"/>
        <v>7</v>
      </c>
    </row>
    <row r="3619" spans="1:5" x14ac:dyDescent="0.25">
      <c r="A3619" s="3">
        <f t="shared" si="169"/>
        <v>78989</v>
      </c>
      <c r="B3619" t="str">
        <f ca="1">TEXT(DATE(YEAR(Invoer!$A$5),1,1)+INT((ROWS(B$2:B3619)-1)/24),"""18""jjmmdd")</f>
        <v>18980531</v>
      </c>
      <c r="C3619" s="11" t="str">
        <f>INDEX(Data,2,2+MOD(ROWS(C$2:C3619)-1,24))</f>
        <v>18.00</v>
      </c>
      <c r="D3619" s="8" t="str">
        <f t="shared" ca="1" si="170"/>
        <v>—</v>
      </c>
      <c r="E3619" s="16">
        <f t="shared" ca="1" si="171"/>
        <v>7</v>
      </c>
    </row>
    <row r="3620" spans="1:5" x14ac:dyDescent="0.25">
      <c r="A3620" s="3">
        <f t="shared" si="169"/>
        <v>78989</v>
      </c>
      <c r="B3620" t="str">
        <f ca="1">TEXT(DATE(YEAR(Invoer!$A$5),1,1)+INT((ROWS(B$2:B3620)-1)/24),"""18""jjmmdd")</f>
        <v>18980531</v>
      </c>
      <c r="C3620" s="11" t="str">
        <f>INDEX(Data,2,2+MOD(ROWS(C$2:C3620)-1,24))</f>
        <v>19.00</v>
      </c>
      <c r="D3620" s="8" t="str">
        <f t="shared" ca="1" si="170"/>
        <v>—</v>
      </c>
      <c r="E3620" s="16">
        <f t="shared" ca="1" si="171"/>
        <v>7</v>
      </c>
    </row>
    <row r="3621" spans="1:5" x14ac:dyDescent="0.25">
      <c r="A3621" s="3">
        <f t="shared" si="169"/>
        <v>78989</v>
      </c>
      <c r="B3621" t="str">
        <f ca="1">TEXT(DATE(YEAR(Invoer!$A$5),1,1)+INT((ROWS(B$2:B3621)-1)/24),"""18""jjmmdd")</f>
        <v>18980531</v>
      </c>
      <c r="C3621" s="11" t="str">
        <f>INDEX(Data,2,2+MOD(ROWS(C$2:C3621)-1,24))</f>
        <v>20.00</v>
      </c>
      <c r="D3621" s="8" t="str">
        <f t="shared" ca="1" si="170"/>
        <v>—</v>
      </c>
      <c r="E3621" s="16">
        <f t="shared" ca="1" si="171"/>
        <v>7</v>
      </c>
    </row>
    <row r="3622" spans="1:5" x14ac:dyDescent="0.25">
      <c r="A3622" s="3">
        <f t="shared" si="169"/>
        <v>78989</v>
      </c>
      <c r="B3622" t="str">
        <f ca="1">TEXT(DATE(YEAR(Invoer!$A$5),1,1)+INT((ROWS(B$2:B3622)-1)/24),"""18""jjmmdd")</f>
        <v>18980531</v>
      </c>
      <c r="C3622" s="11" t="str">
        <f>INDEX(Data,2,2+MOD(ROWS(C$2:C3622)-1,24))</f>
        <v>21.00</v>
      </c>
      <c r="D3622" s="8" t="str">
        <f t="shared" ca="1" si="170"/>
        <v>—</v>
      </c>
      <c r="E3622" s="16">
        <f t="shared" ca="1" si="171"/>
        <v>7</v>
      </c>
    </row>
    <row r="3623" spans="1:5" x14ac:dyDescent="0.25">
      <c r="A3623" s="3">
        <f t="shared" si="169"/>
        <v>78989</v>
      </c>
      <c r="B3623" t="str">
        <f ca="1">TEXT(DATE(YEAR(Invoer!$A$5),1,1)+INT((ROWS(B$2:B3623)-1)/24),"""18""jjmmdd")</f>
        <v>18980531</v>
      </c>
      <c r="C3623" s="11" t="str">
        <f>INDEX(Data,2,2+MOD(ROWS(C$2:C3623)-1,24))</f>
        <v>22.00</v>
      </c>
      <c r="D3623" s="8" t="str">
        <f t="shared" ca="1" si="170"/>
        <v>—</v>
      </c>
      <c r="E3623" s="16">
        <f t="shared" ca="1" si="171"/>
        <v>7</v>
      </c>
    </row>
    <row r="3624" spans="1:5" x14ac:dyDescent="0.25">
      <c r="A3624" s="3">
        <f t="shared" si="169"/>
        <v>78989</v>
      </c>
      <c r="B3624" t="str">
        <f ca="1">TEXT(DATE(YEAR(Invoer!$A$5),1,1)+INT((ROWS(B$2:B3624)-1)/24),"""18""jjmmdd")</f>
        <v>18980531</v>
      </c>
      <c r="C3624" s="11" t="str">
        <f>INDEX(Data,2,2+MOD(ROWS(C$2:C3624)-1,24))</f>
        <v>23.00</v>
      </c>
      <c r="D3624" s="8" t="str">
        <f t="shared" ca="1" si="170"/>
        <v>—</v>
      </c>
      <c r="E3624" s="16">
        <f t="shared" ca="1" si="171"/>
        <v>7</v>
      </c>
    </row>
    <row r="3625" spans="1:5" x14ac:dyDescent="0.25">
      <c r="A3625" s="3">
        <f t="shared" si="169"/>
        <v>78989</v>
      </c>
      <c r="B3625" t="str">
        <f ca="1">TEXT(DATE(YEAR(Invoer!$A$5),1,1)+INT((ROWS(B$2:B3625)-1)/24),"""18""jjmmdd")</f>
        <v>18980531</v>
      </c>
      <c r="C3625" s="11" t="str">
        <f>INDEX(Data,2,2+MOD(ROWS(C$2:C3625)-1,24))</f>
        <v>24.00</v>
      </c>
      <c r="D3625" s="8" t="str">
        <f t="shared" ca="1" si="170"/>
        <v>—</v>
      </c>
      <c r="E3625" s="16">
        <f t="shared" ca="1" si="171"/>
        <v>7</v>
      </c>
    </row>
    <row r="3626" spans="1:5" x14ac:dyDescent="0.25">
      <c r="A3626" s="3">
        <f t="shared" si="169"/>
        <v>78989</v>
      </c>
      <c r="B3626" t="str">
        <f ca="1">TEXT(DATE(YEAR(Invoer!$A$5),1,1)+INT((ROWS(B$2:B3626)-1)/24),"""18""jjmmdd")</f>
        <v>18980601</v>
      </c>
      <c r="C3626" s="11" t="str">
        <f>INDEX(Data,2,2+MOD(ROWS(C$2:C3626)-1,24))</f>
        <v>01.00</v>
      </c>
      <c r="D3626" s="8" t="str">
        <f t="shared" ca="1" si="170"/>
        <v>—</v>
      </c>
      <c r="E3626" s="16">
        <f t="shared" ca="1" si="171"/>
        <v>7</v>
      </c>
    </row>
    <row r="3627" spans="1:5" x14ac:dyDescent="0.25">
      <c r="A3627" s="3">
        <f t="shared" si="169"/>
        <v>78989</v>
      </c>
      <c r="B3627" t="str">
        <f ca="1">TEXT(DATE(YEAR(Invoer!$A$5),1,1)+INT((ROWS(B$2:B3627)-1)/24),"""18""jjmmdd")</f>
        <v>18980601</v>
      </c>
      <c r="C3627" s="11" t="str">
        <f>INDEX(Data,2,2+MOD(ROWS(C$2:C3627)-1,24))</f>
        <v>02.00</v>
      </c>
      <c r="D3627" s="8" t="str">
        <f t="shared" ca="1" si="170"/>
        <v>—</v>
      </c>
      <c r="E3627" s="16">
        <f t="shared" ca="1" si="171"/>
        <v>7</v>
      </c>
    </row>
    <row r="3628" spans="1:5" x14ac:dyDescent="0.25">
      <c r="A3628" s="3">
        <f t="shared" si="169"/>
        <v>78989</v>
      </c>
      <c r="B3628" t="str">
        <f ca="1">TEXT(DATE(YEAR(Invoer!$A$5),1,1)+INT((ROWS(B$2:B3628)-1)/24),"""18""jjmmdd")</f>
        <v>18980601</v>
      </c>
      <c r="C3628" s="11" t="str">
        <f>INDEX(Data,2,2+MOD(ROWS(C$2:C3628)-1,24))</f>
        <v>03.00</v>
      </c>
      <c r="D3628" s="8" t="str">
        <f t="shared" ca="1" si="170"/>
        <v>—</v>
      </c>
      <c r="E3628" s="16">
        <f t="shared" ca="1" si="171"/>
        <v>7</v>
      </c>
    </row>
    <row r="3629" spans="1:5" x14ac:dyDescent="0.25">
      <c r="A3629" s="3">
        <f t="shared" si="169"/>
        <v>78989</v>
      </c>
      <c r="B3629" t="str">
        <f ca="1">TEXT(DATE(YEAR(Invoer!$A$5),1,1)+INT((ROWS(B$2:B3629)-1)/24),"""18""jjmmdd")</f>
        <v>18980601</v>
      </c>
      <c r="C3629" s="11" t="str">
        <f>INDEX(Data,2,2+MOD(ROWS(C$2:C3629)-1,24))</f>
        <v>04.00</v>
      </c>
      <c r="D3629" s="8" t="str">
        <f t="shared" ca="1" si="170"/>
        <v>—</v>
      </c>
      <c r="E3629" s="16">
        <f t="shared" ca="1" si="171"/>
        <v>7</v>
      </c>
    </row>
    <row r="3630" spans="1:5" x14ac:dyDescent="0.25">
      <c r="A3630" s="3">
        <f t="shared" si="169"/>
        <v>78989</v>
      </c>
      <c r="B3630" t="str">
        <f ca="1">TEXT(DATE(YEAR(Invoer!$A$5),1,1)+INT((ROWS(B$2:B3630)-1)/24),"""18""jjmmdd")</f>
        <v>18980601</v>
      </c>
      <c r="C3630" s="11" t="str">
        <f>INDEX(Data,2,2+MOD(ROWS(C$2:C3630)-1,24))</f>
        <v>05.00</v>
      </c>
      <c r="D3630" s="8" t="str">
        <f t="shared" ca="1" si="170"/>
        <v>—</v>
      </c>
      <c r="E3630" s="16">
        <f t="shared" ca="1" si="171"/>
        <v>7</v>
      </c>
    </row>
    <row r="3631" spans="1:5" x14ac:dyDescent="0.25">
      <c r="A3631" s="3">
        <f t="shared" si="169"/>
        <v>78989</v>
      </c>
      <c r="B3631" t="str">
        <f ca="1">TEXT(DATE(YEAR(Invoer!$A$5),1,1)+INT((ROWS(B$2:B3631)-1)/24),"""18""jjmmdd")</f>
        <v>18980601</v>
      </c>
      <c r="C3631" s="11" t="str">
        <f>INDEX(Data,2,2+MOD(ROWS(C$2:C3631)-1,24))</f>
        <v>06.00</v>
      </c>
      <c r="D3631" s="8" t="str">
        <f t="shared" ca="1" si="170"/>
        <v>—</v>
      </c>
      <c r="E3631" s="16">
        <f t="shared" ca="1" si="171"/>
        <v>7</v>
      </c>
    </row>
    <row r="3632" spans="1:5" x14ac:dyDescent="0.25">
      <c r="A3632" s="3">
        <f t="shared" si="169"/>
        <v>78989</v>
      </c>
      <c r="B3632" t="str">
        <f ca="1">TEXT(DATE(YEAR(Invoer!$A$5),1,1)+INT((ROWS(B$2:B3632)-1)/24),"""18""jjmmdd")</f>
        <v>18980601</v>
      </c>
      <c r="C3632" s="11" t="str">
        <f>INDEX(Data,2,2+MOD(ROWS(C$2:C3632)-1,24))</f>
        <v>07.00</v>
      </c>
      <c r="D3632" s="8" t="str">
        <f t="shared" ca="1" si="170"/>
        <v>—</v>
      </c>
      <c r="E3632" s="16">
        <f t="shared" ca="1" si="171"/>
        <v>7</v>
      </c>
    </row>
    <row r="3633" spans="1:5" x14ac:dyDescent="0.25">
      <c r="A3633" s="3">
        <f t="shared" si="169"/>
        <v>78989</v>
      </c>
      <c r="B3633" t="str">
        <f ca="1">TEXT(DATE(YEAR(Invoer!$A$5),1,1)+INT((ROWS(B$2:B3633)-1)/24),"""18""jjmmdd")</f>
        <v>18980601</v>
      </c>
      <c r="C3633" s="11" t="str">
        <f>INDEX(Data,2,2+MOD(ROWS(C$2:C3633)-1,24))</f>
        <v>08.00</v>
      </c>
      <c r="D3633" s="8" t="str">
        <f t="shared" ca="1" si="170"/>
        <v>—</v>
      </c>
      <c r="E3633" s="16">
        <f t="shared" ca="1" si="171"/>
        <v>7</v>
      </c>
    </row>
    <row r="3634" spans="1:5" x14ac:dyDescent="0.25">
      <c r="A3634" s="3">
        <f t="shared" si="169"/>
        <v>78989</v>
      </c>
      <c r="B3634" t="str">
        <f ca="1">TEXT(DATE(YEAR(Invoer!$A$5),1,1)+INT((ROWS(B$2:B3634)-1)/24),"""18""jjmmdd")</f>
        <v>18980601</v>
      </c>
      <c r="C3634" s="11" t="str">
        <f>INDEX(Data,2,2+MOD(ROWS(C$2:C3634)-1,24))</f>
        <v>09.00</v>
      </c>
      <c r="D3634" s="8" t="str">
        <f t="shared" ca="1" si="170"/>
        <v>—</v>
      </c>
      <c r="E3634" s="16">
        <f t="shared" ca="1" si="171"/>
        <v>7</v>
      </c>
    </row>
    <row r="3635" spans="1:5" x14ac:dyDescent="0.25">
      <c r="A3635" s="3">
        <f t="shared" si="169"/>
        <v>78989</v>
      </c>
      <c r="B3635" t="str">
        <f ca="1">TEXT(DATE(YEAR(Invoer!$A$5),1,1)+INT((ROWS(B$2:B3635)-1)/24),"""18""jjmmdd")</f>
        <v>18980601</v>
      </c>
      <c r="C3635" s="11" t="str">
        <f>INDEX(Data,2,2+MOD(ROWS(C$2:C3635)-1,24))</f>
        <v>10.00</v>
      </c>
      <c r="D3635" s="8" t="str">
        <f t="shared" ca="1" si="170"/>
        <v>—</v>
      </c>
      <c r="E3635" s="16">
        <f t="shared" ca="1" si="171"/>
        <v>7</v>
      </c>
    </row>
    <row r="3636" spans="1:5" x14ac:dyDescent="0.25">
      <c r="A3636" s="3">
        <f t="shared" si="169"/>
        <v>78989</v>
      </c>
      <c r="B3636" t="str">
        <f ca="1">TEXT(DATE(YEAR(Invoer!$A$5),1,1)+INT((ROWS(B$2:B3636)-1)/24),"""18""jjmmdd")</f>
        <v>18980601</v>
      </c>
      <c r="C3636" s="11" t="str">
        <f>INDEX(Data,2,2+MOD(ROWS(C$2:C3636)-1,24))</f>
        <v>11.00</v>
      </c>
      <c r="D3636" s="8" t="str">
        <f t="shared" ca="1" si="170"/>
        <v>—</v>
      </c>
      <c r="E3636" s="16">
        <f t="shared" ca="1" si="171"/>
        <v>7</v>
      </c>
    </row>
    <row r="3637" spans="1:5" x14ac:dyDescent="0.25">
      <c r="A3637" s="3">
        <f t="shared" si="169"/>
        <v>78989</v>
      </c>
      <c r="B3637" t="str">
        <f ca="1">TEXT(DATE(YEAR(Invoer!$A$5),1,1)+INT((ROWS(B$2:B3637)-1)/24),"""18""jjmmdd")</f>
        <v>18980601</v>
      </c>
      <c r="C3637" s="11" t="str">
        <f>INDEX(Data,2,2+MOD(ROWS(C$2:C3637)-1,24))</f>
        <v>12.00</v>
      </c>
      <c r="D3637" s="8" t="str">
        <f t="shared" ca="1" si="170"/>
        <v>—</v>
      </c>
      <c r="E3637" s="16">
        <f t="shared" ca="1" si="171"/>
        <v>7</v>
      </c>
    </row>
    <row r="3638" spans="1:5" x14ac:dyDescent="0.25">
      <c r="A3638" s="3">
        <f t="shared" si="169"/>
        <v>78989</v>
      </c>
      <c r="B3638" t="str">
        <f ca="1">TEXT(DATE(YEAR(Invoer!$A$5),1,1)+INT((ROWS(B$2:B3638)-1)/24),"""18""jjmmdd")</f>
        <v>18980601</v>
      </c>
      <c r="C3638" s="11" t="str">
        <f>INDEX(Data,2,2+MOD(ROWS(C$2:C3638)-1,24))</f>
        <v>13.00</v>
      </c>
      <c r="D3638" s="8" t="str">
        <f t="shared" ca="1" si="170"/>
        <v>—</v>
      </c>
      <c r="E3638" s="16">
        <f t="shared" ca="1" si="171"/>
        <v>7</v>
      </c>
    </row>
    <row r="3639" spans="1:5" x14ac:dyDescent="0.25">
      <c r="A3639" s="3">
        <f t="shared" si="169"/>
        <v>78989</v>
      </c>
      <c r="B3639" t="str">
        <f ca="1">TEXT(DATE(YEAR(Invoer!$A$5),1,1)+INT((ROWS(B$2:B3639)-1)/24),"""18""jjmmdd")</f>
        <v>18980601</v>
      </c>
      <c r="C3639" s="11" t="str">
        <f>INDEX(Data,2,2+MOD(ROWS(C$2:C3639)-1,24))</f>
        <v>14.00</v>
      </c>
      <c r="D3639" s="8" t="str">
        <f t="shared" ca="1" si="170"/>
        <v>—</v>
      </c>
      <c r="E3639" s="16">
        <f t="shared" ca="1" si="171"/>
        <v>7</v>
      </c>
    </row>
    <row r="3640" spans="1:5" x14ac:dyDescent="0.25">
      <c r="A3640" s="3">
        <f t="shared" si="169"/>
        <v>78989</v>
      </c>
      <c r="B3640" t="str">
        <f ca="1">TEXT(DATE(YEAR(Invoer!$A$5),1,1)+INT((ROWS(B$2:B3640)-1)/24),"""18""jjmmdd")</f>
        <v>18980601</v>
      </c>
      <c r="C3640" s="11" t="str">
        <f>INDEX(Data,2,2+MOD(ROWS(C$2:C3640)-1,24))</f>
        <v>15.00</v>
      </c>
      <c r="D3640" s="8" t="str">
        <f t="shared" ca="1" si="170"/>
        <v>—</v>
      </c>
      <c r="E3640" s="16">
        <f t="shared" ca="1" si="171"/>
        <v>7</v>
      </c>
    </row>
    <row r="3641" spans="1:5" x14ac:dyDescent="0.25">
      <c r="A3641" s="3">
        <f t="shared" si="169"/>
        <v>78989</v>
      </c>
      <c r="B3641" t="str">
        <f ca="1">TEXT(DATE(YEAR(Invoer!$A$5),1,1)+INT((ROWS(B$2:B3641)-1)/24),"""18""jjmmdd")</f>
        <v>18980601</v>
      </c>
      <c r="C3641" s="11" t="str">
        <f>INDEX(Data,2,2+MOD(ROWS(C$2:C3641)-1,24))</f>
        <v>16.00</v>
      </c>
      <c r="D3641" s="8" t="str">
        <f t="shared" ca="1" si="170"/>
        <v>—</v>
      </c>
      <c r="E3641" s="16">
        <f t="shared" ca="1" si="171"/>
        <v>7</v>
      </c>
    </row>
    <row r="3642" spans="1:5" x14ac:dyDescent="0.25">
      <c r="A3642" s="3">
        <f t="shared" si="169"/>
        <v>78989</v>
      </c>
      <c r="B3642" t="str">
        <f ca="1">TEXT(DATE(YEAR(Invoer!$A$5),1,1)+INT((ROWS(B$2:B3642)-1)/24),"""18""jjmmdd")</f>
        <v>18980601</v>
      </c>
      <c r="C3642" s="11" t="str">
        <f>INDEX(Data,2,2+MOD(ROWS(C$2:C3642)-1,24))</f>
        <v>17.00</v>
      </c>
      <c r="D3642" s="8" t="str">
        <f t="shared" ca="1" si="170"/>
        <v>—</v>
      </c>
      <c r="E3642" s="16">
        <f t="shared" ca="1" si="171"/>
        <v>7</v>
      </c>
    </row>
    <row r="3643" spans="1:5" x14ac:dyDescent="0.25">
      <c r="A3643" s="3">
        <f t="shared" si="169"/>
        <v>78989</v>
      </c>
      <c r="B3643" t="str">
        <f ca="1">TEXT(DATE(YEAR(Invoer!$A$5),1,1)+INT((ROWS(B$2:B3643)-1)/24),"""18""jjmmdd")</f>
        <v>18980601</v>
      </c>
      <c r="C3643" s="11" t="str">
        <f>INDEX(Data,2,2+MOD(ROWS(C$2:C3643)-1,24))</f>
        <v>18.00</v>
      </c>
      <c r="D3643" s="8" t="str">
        <f t="shared" ca="1" si="170"/>
        <v>—</v>
      </c>
      <c r="E3643" s="16">
        <f t="shared" ca="1" si="171"/>
        <v>7</v>
      </c>
    </row>
    <row r="3644" spans="1:5" x14ac:dyDescent="0.25">
      <c r="A3644" s="3">
        <f t="shared" si="169"/>
        <v>78989</v>
      </c>
      <c r="B3644" t="str">
        <f ca="1">TEXT(DATE(YEAR(Invoer!$A$5),1,1)+INT((ROWS(B$2:B3644)-1)/24),"""18""jjmmdd")</f>
        <v>18980601</v>
      </c>
      <c r="C3644" s="11" t="str">
        <f>INDEX(Data,2,2+MOD(ROWS(C$2:C3644)-1,24))</f>
        <v>19.00</v>
      </c>
      <c r="D3644" s="8" t="str">
        <f t="shared" ca="1" si="170"/>
        <v>—</v>
      </c>
      <c r="E3644" s="16">
        <f t="shared" ca="1" si="171"/>
        <v>7</v>
      </c>
    </row>
    <row r="3645" spans="1:5" x14ac:dyDescent="0.25">
      <c r="A3645" s="3">
        <f t="shared" si="169"/>
        <v>78989</v>
      </c>
      <c r="B3645" t="str">
        <f ca="1">TEXT(DATE(YEAR(Invoer!$A$5),1,1)+INT((ROWS(B$2:B3645)-1)/24),"""18""jjmmdd")</f>
        <v>18980601</v>
      </c>
      <c r="C3645" s="11" t="str">
        <f>INDEX(Data,2,2+MOD(ROWS(C$2:C3645)-1,24))</f>
        <v>20.00</v>
      </c>
      <c r="D3645" s="8" t="str">
        <f t="shared" ca="1" si="170"/>
        <v>—</v>
      </c>
      <c r="E3645" s="16">
        <f t="shared" ca="1" si="171"/>
        <v>7</v>
      </c>
    </row>
    <row r="3646" spans="1:5" x14ac:dyDescent="0.25">
      <c r="A3646" s="3">
        <f t="shared" si="169"/>
        <v>78989</v>
      </c>
      <c r="B3646" t="str">
        <f ca="1">TEXT(DATE(YEAR(Invoer!$A$5),1,1)+INT((ROWS(B$2:B3646)-1)/24),"""18""jjmmdd")</f>
        <v>18980601</v>
      </c>
      <c r="C3646" s="11" t="str">
        <f>INDEX(Data,2,2+MOD(ROWS(C$2:C3646)-1,24))</f>
        <v>21.00</v>
      </c>
      <c r="D3646" s="8" t="str">
        <f t="shared" ca="1" si="170"/>
        <v>—</v>
      </c>
      <c r="E3646" s="16">
        <f t="shared" ca="1" si="171"/>
        <v>7</v>
      </c>
    </row>
    <row r="3647" spans="1:5" x14ac:dyDescent="0.25">
      <c r="A3647" s="3">
        <f t="shared" si="169"/>
        <v>78989</v>
      </c>
      <c r="B3647" t="str">
        <f ca="1">TEXT(DATE(YEAR(Invoer!$A$5),1,1)+INT((ROWS(B$2:B3647)-1)/24),"""18""jjmmdd")</f>
        <v>18980601</v>
      </c>
      <c r="C3647" s="11" t="str">
        <f>INDEX(Data,2,2+MOD(ROWS(C$2:C3647)-1,24))</f>
        <v>22.00</v>
      </c>
      <c r="D3647" s="8" t="str">
        <f t="shared" ca="1" si="170"/>
        <v>—</v>
      </c>
      <c r="E3647" s="16">
        <f t="shared" ca="1" si="171"/>
        <v>7</v>
      </c>
    </row>
    <row r="3648" spans="1:5" x14ac:dyDescent="0.25">
      <c r="A3648" s="3">
        <f t="shared" si="169"/>
        <v>78989</v>
      </c>
      <c r="B3648" t="str">
        <f ca="1">TEXT(DATE(YEAR(Invoer!$A$5),1,1)+INT((ROWS(B$2:B3648)-1)/24),"""18""jjmmdd")</f>
        <v>18980601</v>
      </c>
      <c r="C3648" s="11" t="str">
        <f>INDEX(Data,2,2+MOD(ROWS(C$2:C3648)-1,24))</f>
        <v>23.00</v>
      </c>
      <c r="D3648" s="8" t="str">
        <f t="shared" ca="1" si="170"/>
        <v>—</v>
      </c>
      <c r="E3648" s="16">
        <f t="shared" ca="1" si="171"/>
        <v>7</v>
      </c>
    </row>
    <row r="3649" spans="1:5" x14ac:dyDescent="0.25">
      <c r="A3649" s="3">
        <f t="shared" si="169"/>
        <v>78989</v>
      </c>
      <c r="B3649" t="str">
        <f ca="1">TEXT(DATE(YEAR(Invoer!$A$5),1,1)+INT((ROWS(B$2:B3649)-1)/24),"""18""jjmmdd")</f>
        <v>18980601</v>
      </c>
      <c r="C3649" s="11" t="str">
        <f>INDEX(Data,2,2+MOD(ROWS(C$2:C3649)-1,24))</f>
        <v>24.00</v>
      </c>
      <c r="D3649" s="8" t="str">
        <f t="shared" ca="1" si="170"/>
        <v>—</v>
      </c>
      <c r="E3649" s="16">
        <f t="shared" ca="1" si="171"/>
        <v>7</v>
      </c>
    </row>
    <row r="3650" spans="1:5" x14ac:dyDescent="0.25">
      <c r="A3650" s="3">
        <f t="shared" ref="A3650:A3713" si="172">INDEX(Stations,2,1)</f>
        <v>78989</v>
      </c>
      <c r="B3650" t="str">
        <f ca="1">TEXT(DATE(YEAR(Invoer!$A$5),1,1)+INT((ROWS(B$2:B3650)-1)/24),"""18""jjmmdd")</f>
        <v>18980602</v>
      </c>
      <c r="C3650" s="11" t="str">
        <f>INDEX(Data,2,2+MOD(ROWS(C$2:C3650)-1,24))</f>
        <v>01.00</v>
      </c>
      <c r="D3650" s="8" t="str">
        <f t="shared" ref="D3650:D3713" ca="1" si="173">IF(OR(ISBLANK(VLOOKUP(DATEVALUE("37"&amp;MID($B3650,3,2)&amp;"-"&amp;MID($B3650,5,2)&amp;"-"&amp;RIGHT($B3650,2)),Data,MATCH(LEFT(VLOOKUP(D$1,Parameters,2,FALSE()),4)&amp;"*",OFFSET(Data,0,0,1),0)+MATCH($C3650,OFFSET(Data,1,0,1),0)-2,FALSE())),ISTEXT(VLOOKUP(DATEVALUE("37"&amp;MID($B3650,3,2)&amp;"-"&amp;MID($B3650,5,2)&amp;"-"&amp;RIGHT($B3650,2)),Data,MATCH(LEFT(VLOOKUP(D$1,Parameters,2,FALSE()),4)&amp;"*",OFFSET(Data,0,0,1),0)+MATCH($C3650,OFFSET(Data,1,0,1),0)-2,FALSE()))),"—",VLOOKUP(DATEVALUE("37"&amp;MID($B3650,3,2)&amp;"-"&amp;MID($B3650,5,2)&amp;"-"&amp;RIGHT($B3650,2)),Data,MATCH(LEFT(VLOOKUP(D$1,Parameters,2,FALSE()),4)&amp;"*",OFFSET(Data,0,0,1),0)+MATCH($C3650,OFFSET(Data,1,0,1),0)-2,FALSE()))</f>
        <v>—</v>
      </c>
      <c r="E3650" s="16">
        <f t="shared" ca="1" si="171"/>
        <v>7</v>
      </c>
    </row>
    <row r="3651" spans="1:5" x14ac:dyDescent="0.25">
      <c r="A3651" s="3">
        <f t="shared" si="172"/>
        <v>78989</v>
      </c>
      <c r="B3651" t="str">
        <f ca="1">TEXT(DATE(YEAR(Invoer!$A$5),1,1)+INT((ROWS(B$2:B3651)-1)/24),"""18""jjmmdd")</f>
        <v>18980602</v>
      </c>
      <c r="C3651" s="11" t="str">
        <f>INDEX(Data,2,2+MOD(ROWS(C$2:C3651)-1,24))</f>
        <v>02.00</v>
      </c>
      <c r="D3651" s="8" t="str">
        <f t="shared" ca="1" si="173"/>
        <v>—</v>
      </c>
      <c r="E3651" s="16">
        <f t="shared" ref="E3651:E3714" ca="1" si="174">IF(OR(ISBLANK(VLOOKUP(DATEVALUE("37"&amp;MID($B3651,3,2)&amp;"-"&amp;MID($B3651,5,2)&amp;"-"&amp;RIGHT($B3651,2)),Data,MATCH(LEFT(VLOOKUP(D$1,Parameters,2,FALSE()),4)&amp;"*",OFFSET(Data,0,0,1),0)+MATCH($C3651,OFFSET(Data,1,0,1),0)-2,FALSE())),ISTEXT(VLOOKUP(DATEVALUE("37"&amp;MID($B3651,3,2)&amp;"-"&amp;MID($B3651,5,2)&amp;"-"&amp;RIGHT($B3651,2)),Data,MATCH(LEFT(VLOOKUP(D$1,Parameters,2,FALSE()),4)&amp;"*",OFFSET(Data,0,0,1),0)+MATCH($C3651,OFFSET(Data,1,0,1),0)-2,FALSE()))),Lacking,IF(ISNA(MATCH(DATEVALUE("37"&amp;MID($B3651,3,2)&amp;"-"&amp;MID($B3651,5,2)&amp;"-"&amp;RIGHT($B3651,2)),OFFSET(Catalogus,0,0,,1),0)),Ok,VLOOKUP(DATEVALUE("37"&amp;MID($B3651,3,2)&amp;"-"&amp;MID($B3651,5,2)&amp;"-"&amp;RIGHT($B3651,2)),Catalogus,MATCH(LEFT(VLOOKUP(MID(E$1,2,LEN(E$1)-1),Parameters,2,FALSE()),4)&amp;"*",OFFSET(Catalogus,0,0,1),0)+MATCH($C3651,OFFSET(Catalogus,1,0,1),0)-2,FALSE())))</f>
        <v>7</v>
      </c>
    </row>
    <row r="3652" spans="1:5" x14ac:dyDescent="0.25">
      <c r="A3652" s="3">
        <f t="shared" si="172"/>
        <v>78989</v>
      </c>
      <c r="B3652" t="str">
        <f ca="1">TEXT(DATE(YEAR(Invoer!$A$5),1,1)+INT((ROWS(B$2:B3652)-1)/24),"""18""jjmmdd")</f>
        <v>18980602</v>
      </c>
      <c r="C3652" s="11" t="str">
        <f>INDEX(Data,2,2+MOD(ROWS(C$2:C3652)-1,24))</f>
        <v>03.00</v>
      </c>
      <c r="D3652" s="8" t="str">
        <f t="shared" ca="1" si="173"/>
        <v>—</v>
      </c>
      <c r="E3652" s="16">
        <f t="shared" ca="1" si="174"/>
        <v>7</v>
      </c>
    </row>
    <row r="3653" spans="1:5" x14ac:dyDescent="0.25">
      <c r="A3653" s="3">
        <f t="shared" si="172"/>
        <v>78989</v>
      </c>
      <c r="B3653" t="str">
        <f ca="1">TEXT(DATE(YEAR(Invoer!$A$5),1,1)+INT((ROWS(B$2:B3653)-1)/24),"""18""jjmmdd")</f>
        <v>18980602</v>
      </c>
      <c r="C3653" s="11" t="str">
        <f>INDEX(Data,2,2+MOD(ROWS(C$2:C3653)-1,24))</f>
        <v>04.00</v>
      </c>
      <c r="D3653" s="8" t="str">
        <f t="shared" ca="1" si="173"/>
        <v>—</v>
      </c>
      <c r="E3653" s="16">
        <f t="shared" ca="1" si="174"/>
        <v>7</v>
      </c>
    </row>
    <row r="3654" spans="1:5" x14ac:dyDescent="0.25">
      <c r="A3654" s="3">
        <f t="shared" si="172"/>
        <v>78989</v>
      </c>
      <c r="B3654" t="str">
        <f ca="1">TEXT(DATE(YEAR(Invoer!$A$5),1,1)+INT((ROWS(B$2:B3654)-1)/24),"""18""jjmmdd")</f>
        <v>18980602</v>
      </c>
      <c r="C3654" s="11" t="str">
        <f>INDEX(Data,2,2+MOD(ROWS(C$2:C3654)-1,24))</f>
        <v>05.00</v>
      </c>
      <c r="D3654" s="8" t="str">
        <f t="shared" ca="1" si="173"/>
        <v>—</v>
      </c>
      <c r="E3654" s="16">
        <f t="shared" ca="1" si="174"/>
        <v>7</v>
      </c>
    </row>
    <row r="3655" spans="1:5" x14ac:dyDescent="0.25">
      <c r="A3655" s="3">
        <f t="shared" si="172"/>
        <v>78989</v>
      </c>
      <c r="B3655" t="str">
        <f ca="1">TEXT(DATE(YEAR(Invoer!$A$5),1,1)+INT((ROWS(B$2:B3655)-1)/24),"""18""jjmmdd")</f>
        <v>18980602</v>
      </c>
      <c r="C3655" s="11" t="str">
        <f>INDEX(Data,2,2+MOD(ROWS(C$2:C3655)-1,24))</f>
        <v>06.00</v>
      </c>
      <c r="D3655" s="8" t="str">
        <f t="shared" ca="1" si="173"/>
        <v>—</v>
      </c>
      <c r="E3655" s="16">
        <f t="shared" ca="1" si="174"/>
        <v>7</v>
      </c>
    </row>
    <row r="3656" spans="1:5" x14ac:dyDescent="0.25">
      <c r="A3656" s="3">
        <f t="shared" si="172"/>
        <v>78989</v>
      </c>
      <c r="B3656" t="str">
        <f ca="1">TEXT(DATE(YEAR(Invoer!$A$5),1,1)+INT((ROWS(B$2:B3656)-1)/24),"""18""jjmmdd")</f>
        <v>18980602</v>
      </c>
      <c r="C3656" s="11" t="str">
        <f>INDEX(Data,2,2+MOD(ROWS(C$2:C3656)-1,24))</f>
        <v>07.00</v>
      </c>
      <c r="D3656" s="8" t="str">
        <f t="shared" ca="1" si="173"/>
        <v>—</v>
      </c>
      <c r="E3656" s="16">
        <f t="shared" ca="1" si="174"/>
        <v>7</v>
      </c>
    </row>
    <row r="3657" spans="1:5" x14ac:dyDescent="0.25">
      <c r="A3657" s="3">
        <f t="shared" si="172"/>
        <v>78989</v>
      </c>
      <c r="B3657" t="str">
        <f ca="1">TEXT(DATE(YEAR(Invoer!$A$5),1,1)+INT((ROWS(B$2:B3657)-1)/24),"""18""jjmmdd")</f>
        <v>18980602</v>
      </c>
      <c r="C3657" s="11" t="str">
        <f>INDEX(Data,2,2+MOD(ROWS(C$2:C3657)-1,24))</f>
        <v>08.00</v>
      </c>
      <c r="D3657" s="8" t="str">
        <f t="shared" ca="1" si="173"/>
        <v>—</v>
      </c>
      <c r="E3657" s="16">
        <f t="shared" ca="1" si="174"/>
        <v>7</v>
      </c>
    </row>
    <row r="3658" spans="1:5" x14ac:dyDescent="0.25">
      <c r="A3658" s="3">
        <f t="shared" si="172"/>
        <v>78989</v>
      </c>
      <c r="B3658" t="str">
        <f ca="1">TEXT(DATE(YEAR(Invoer!$A$5),1,1)+INT((ROWS(B$2:B3658)-1)/24),"""18""jjmmdd")</f>
        <v>18980602</v>
      </c>
      <c r="C3658" s="11" t="str">
        <f>INDEX(Data,2,2+MOD(ROWS(C$2:C3658)-1,24))</f>
        <v>09.00</v>
      </c>
      <c r="D3658" s="8" t="str">
        <f t="shared" ca="1" si="173"/>
        <v>—</v>
      </c>
      <c r="E3658" s="16">
        <f t="shared" ca="1" si="174"/>
        <v>7</v>
      </c>
    </row>
    <row r="3659" spans="1:5" x14ac:dyDescent="0.25">
      <c r="A3659" s="3">
        <f t="shared" si="172"/>
        <v>78989</v>
      </c>
      <c r="B3659" t="str">
        <f ca="1">TEXT(DATE(YEAR(Invoer!$A$5),1,1)+INT((ROWS(B$2:B3659)-1)/24),"""18""jjmmdd")</f>
        <v>18980602</v>
      </c>
      <c r="C3659" s="11" t="str">
        <f>INDEX(Data,2,2+MOD(ROWS(C$2:C3659)-1,24))</f>
        <v>10.00</v>
      </c>
      <c r="D3659" s="8" t="str">
        <f t="shared" ca="1" si="173"/>
        <v>—</v>
      </c>
      <c r="E3659" s="16">
        <f t="shared" ca="1" si="174"/>
        <v>7</v>
      </c>
    </row>
    <row r="3660" spans="1:5" x14ac:dyDescent="0.25">
      <c r="A3660" s="3">
        <f t="shared" si="172"/>
        <v>78989</v>
      </c>
      <c r="B3660" t="str">
        <f ca="1">TEXT(DATE(YEAR(Invoer!$A$5),1,1)+INT((ROWS(B$2:B3660)-1)/24),"""18""jjmmdd")</f>
        <v>18980602</v>
      </c>
      <c r="C3660" s="11" t="str">
        <f>INDEX(Data,2,2+MOD(ROWS(C$2:C3660)-1,24))</f>
        <v>11.00</v>
      </c>
      <c r="D3660" s="8" t="str">
        <f t="shared" ca="1" si="173"/>
        <v>—</v>
      </c>
      <c r="E3660" s="16">
        <f t="shared" ca="1" si="174"/>
        <v>7</v>
      </c>
    </row>
    <row r="3661" spans="1:5" x14ac:dyDescent="0.25">
      <c r="A3661" s="3">
        <f t="shared" si="172"/>
        <v>78989</v>
      </c>
      <c r="B3661" t="str">
        <f ca="1">TEXT(DATE(YEAR(Invoer!$A$5),1,1)+INT((ROWS(B$2:B3661)-1)/24),"""18""jjmmdd")</f>
        <v>18980602</v>
      </c>
      <c r="C3661" s="11" t="str">
        <f>INDEX(Data,2,2+MOD(ROWS(C$2:C3661)-1,24))</f>
        <v>12.00</v>
      </c>
      <c r="D3661" s="8" t="str">
        <f t="shared" ca="1" si="173"/>
        <v>—</v>
      </c>
      <c r="E3661" s="16">
        <f t="shared" ca="1" si="174"/>
        <v>7</v>
      </c>
    </row>
    <row r="3662" spans="1:5" x14ac:dyDescent="0.25">
      <c r="A3662" s="3">
        <f t="shared" si="172"/>
        <v>78989</v>
      </c>
      <c r="B3662" t="str">
        <f ca="1">TEXT(DATE(YEAR(Invoer!$A$5),1,1)+INT((ROWS(B$2:B3662)-1)/24),"""18""jjmmdd")</f>
        <v>18980602</v>
      </c>
      <c r="C3662" s="11" t="str">
        <f>INDEX(Data,2,2+MOD(ROWS(C$2:C3662)-1,24))</f>
        <v>13.00</v>
      </c>
      <c r="D3662" s="8" t="str">
        <f t="shared" ca="1" si="173"/>
        <v>—</v>
      </c>
      <c r="E3662" s="16">
        <f t="shared" ca="1" si="174"/>
        <v>7</v>
      </c>
    </row>
    <row r="3663" spans="1:5" x14ac:dyDescent="0.25">
      <c r="A3663" s="3">
        <f t="shared" si="172"/>
        <v>78989</v>
      </c>
      <c r="B3663" t="str">
        <f ca="1">TEXT(DATE(YEAR(Invoer!$A$5),1,1)+INT((ROWS(B$2:B3663)-1)/24),"""18""jjmmdd")</f>
        <v>18980602</v>
      </c>
      <c r="C3663" s="11" t="str">
        <f>INDEX(Data,2,2+MOD(ROWS(C$2:C3663)-1,24))</f>
        <v>14.00</v>
      </c>
      <c r="D3663" s="8" t="str">
        <f t="shared" ca="1" si="173"/>
        <v>—</v>
      </c>
      <c r="E3663" s="16">
        <f t="shared" ca="1" si="174"/>
        <v>7</v>
      </c>
    </row>
    <row r="3664" spans="1:5" x14ac:dyDescent="0.25">
      <c r="A3664" s="3">
        <f t="shared" si="172"/>
        <v>78989</v>
      </c>
      <c r="B3664" t="str">
        <f ca="1">TEXT(DATE(YEAR(Invoer!$A$5),1,1)+INT((ROWS(B$2:B3664)-1)/24),"""18""jjmmdd")</f>
        <v>18980602</v>
      </c>
      <c r="C3664" s="11" t="str">
        <f>INDEX(Data,2,2+MOD(ROWS(C$2:C3664)-1,24))</f>
        <v>15.00</v>
      </c>
      <c r="D3664" s="8" t="str">
        <f t="shared" ca="1" si="173"/>
        <v>—</v>
      </c>
      <c r="E3664" s="16">
        <f t="shared" ca="1" si="174"/>
        <v>7</v>
      </c>
    </row>
    <row r="3665" spans="1:5" x14ac:dyDescent="0.25">
      <c r="A3665" s="3">
        <f t="shared" si="172"/>
        <v>78989</v>
      </c>
      <c r="B3665" t="str">
        <f ca="1">TEXT(DATE(YEAR(Invoer!$A$5),1,1)+INT((ROWS(B$2:B3665)-1)/24),"""18""jjmmdd")</f>
        <v>18980602</v>
      </c>
      <c r="C3665" s="11" t="str">
        <f>INDEX(Data,2,2+MOD(ROWS(C$2:C3665)-1,24))</f>
        <v>16.00</v>
      </c>
      <c r="D3665" s="8" t="str">
        <f t="shared" ca="1" si="173"/>
        <v>—</v>
      </c>
      <c r="E3665" s="16">
        <f t="shared" ca="1" si="174"/>
        <v>7</v>
      </c>
    </row>
    <row r="3666" spans="1:5" x14ac:dyDescent="0.25">
      <c r="A3666" s="3">
        <f t="shared" si="172"/>
        <v>78989</v>
      </c>
      <c r="B3666" t="str">
        <f ca="1">TEXT(DATE(YEAR(Invoer!$A$5),1,1)+INT((ROWS(B$2:B3666)-1)/24),"""18""jjmmdd")</f>
        <v>18980602</v>
      </c>
      <c r="C3666" s="11" t="str">
        <f>INDEX(Data,2,2+MOD(ROWS(C$2:C3666)-1,24))</f>
        <v>17.00</v>
      </c>
      <c r="D3666" s="8" t="str">
        <f t="shared" ca="1" si="173"/>
        <v>—</v>
      </c>
      <c r="E3666" s="16">
        <f t="shared" ca="1" si="174"/>
        <v>7</v>
      </c>
    </row>
    <row r="3667" spans="1:5" x14ac:dyDescent="0.25">
      <c r="A3667" s="3">
        <f t="shared" si="172"/>
        <v>78989</v>
      </c>
      <c r="B3667" t="str">
        <f ca="1">TEXT(DATE(YEAR(Invoer!$A$5),1,1)+INT((ROWS(B$2:B3667)-1)/24),"""18""jjmmdd")</f>
        <v>18980602</v>
      </c>
      <c r="C3667" s="11" t="str">
        <f>INDEX(Data,2,2+MOD(ROWS(C$2:C3667)-1,24))</f>
        <v>18.00</v>
      </c>
      <c r="D3667" s="8" t="str">
        <f t="shared" ca="1" si="173"/>
        <v>—</v>
      </c>
      <c r="E3667" s="16">
        <f t="shared" ca="1" si="174"/>
        <v>7</v>
      </c>
    </row>
    <row r="3668" spans="1:5" x14ac:dyDescent="0.25">
      <c r="A3668" s="3">
        <f t="shared" si="172"/>
        <v>78989</v>
      </c>
      <c r="B3668" t="str">
        <f ca="1">TEXT(DATE(YEAR(Invoer!$A$5),1,1)+INT((ROWS(B$2:B3668)-1)/24),"""18""jjmmdd")</f>
        <v>18980602</v>
      </c>
      <c r="C3668" s="11" t="str">
        <f>INDEX(Data,2,2+MOD(ROWS(C$2:C3668)-1,24))</f>
        <v>19.00</v>
      </c>
      <c r="D3668" s="8" t="str">
        <f t="shared" ca="1" si="173"/>
        <v>—</v>
      </c>
      <c r="E3668" s="16">
        <f t="shared" ca="1" si="174"/>
        <v>7</v>
      </c>
    </row>
    <row r="3669" spans="1:5" x14ac:dyDescent="0.25">
      <c r="A3669" s="3">
        <f t="shared" si="172"/>
        <v>78989</v>
      </c>
      <c r="B3669" t="str">
        <f ca="1">TEXT(DATE(YEAR(Invoer!$A$5),1,1)+INT((ROWS(B$2:B3669)-1)/24),"""18""jjmmdd")</f>
        <v>18980602</v>
      </c>
      <c r="C3669" s="11" t="str">
        <f>INDEX(Data,2,2+MOD(ROWS(C$2:C3669)-1,24))</f>
        <v>20.00</v>
      </c>
      <c r="D3669" s="8" t="str">
        <f t="shared" ca="1" si="173"/>
        <v>—</v>
      </c>
      <c r="E3669" s="16">
        <f t="shared" ca="1" si="174"/>
        <v>7</v>
      </c>
    </row>
    <row r="3670" spans="1:5" x14ac:dyDescent="0.25">
      <c r="A3670" s="3">
        <f t="shared" si="172"/>
        <v>78989</v>
      </c>
      <c r="B3670" t="str">
        <f ca="1">TEXT(DATE(YEAR(Invoer!$A$5),1,1)+INT((ROWS(B$2:B3670)-1)/24),"""18""jjmmdd")</f>
        <v>18980602</v>
      </c>
      <c r="C3670" s="11" t="str">
        <f>INDEX(Data,2,2+MOD(ROWS(C$2:C3670)-1,24))</f>
        <v>21.00</v>
      </c>
      <c r="D3670" s="8" t="str">
        <f t="shared" ca="1" si="173"/>
        <v>—</v>
      </c>
      <c r="E3670" s="16">
        <f t="shared" ca="1" si="174"/>
        <v>7</v>
      </c>
    </row>
    <row r="3671" spans="1:5" x14ac:dyDescent="0.25">
      <c r="A3671" s="3">
        <f t="shared" si="172"/>
        <v>78989</v>
      </c>
      <c r="B3671" t="str">
        <f ca="1">TEXT(DATE(YEAR(Invoer!$A$5),1,1)+INT((ROWS(B$2:B3671)-1)/24),"""18""jjmmdd")</f>
        <v>18980602</v>
      </c>
      <c r="C3671" s="11" t="str">
        <f>INDEX(Data,2,2+MOD(ROWS(C$2:C3671)-1,24))</f>
        <v>22.00</v>
      </c>
      <c r="D3671" s="8" t="str">
        <f t="shared" ca="1" si="173"/>
        <v>—</v>
      </c>
      <c r="E3671" s="16">
        <f t="shared" ca="1" si="174"/>
        <v>7</v>
      </c>
    </row>
    <row r="3672" spans="1:5" x14ac:dyDescent="0.25">
      <c r="A3672" s="3">
        <f t="shared" si="172"/>
        <v>78989</v>
      </c>
      <c r="B3672" t="str">
        <f ca="1">TEXT(DATE(YEAR(Invoer!$A$5),1,1)+INT((ROWS(B$2:B3672)-1)/24),"""18""jjmmdd")</f>
        <v>18980602</v>
      </c>
      <c r="C3672" s="11" t="str">
        <f>INDEX(Data,2,2+MOD(ROWS(C$2:C3672)-1,24))</f>
        <v>23.00</v>
      </c>
      <c r="D3672" s="8" t="str">
        <f t="shared" ca="1" si="173"/>
        <v>—</v>
      </c>
      <c r="E3672" s="16">
        <f t="shared" ca="1" si="174"/>
        <v>7</v>
      </c>
    </row>
    <row r="3673" spans="1:5" x14ac:dyDescent="0.25">
      <c r="A3673" s="3">
        <f t="shared" si="172"/>
        <v>78989</v>
      </c>
      <c r="B3673" t="str">
        <f ca="1">TEXT(DATE(YEAR(Invoer!$A$5),1,1)+INT((ROWS(B$2:B3673)-1)/24),"""18""jjmmdd")</f>
        <v>18980602</v>
      </c>
      <c r="C3673" s="11" t="str">
        <f>INDEX(Data,2,2+MOD(ROWS(C$2:C3673)-1,24))</f>
        <v>24.00</v>
      </c>
      <c r="D3673" s="8" t="str">
        <f t="shared" ca="1" si="173"/>
        <v>—</v>
      </c>
      <c r="E3673" s="16">
        <f t="shared" ca="1" si="174"/>
        <v>7</v>
      </c>
    </row>
    <row r="3674" spans="1:5" x14ac:dyDescent="0.25">
      <c r="A3674" s="3">
        <f t="shared" si="172"/>
        <v>78989</v>
      </c>
      <c r="B3674" t="str">
        <f ca="1">TEXT(DATE(YEAR(Invoer!$A$5),1,1)+INT((ROWS(B$2:B3674)-1)/24),"""18""jjmmdd")</f>
        <v>18980603</v>
      </c>
      <c r="C3674" s="11" t="str">
        <f>INDEX(Data,2,2+MOD(ROWS(C$2:C3674)-1,24))</f>
        <v>01.00</v>
      </c>
      <c r="D3674" s="8" t="str">
        <f t="shared" ca="1" si="173"/>
        <v>—</v>
      </c>
      <c r="E3674" s="16">
        <f t="shared" ca="1" si="174"/>
        <v>7</v>
      </c>
    </row>
    <row r="3675" spans="1:5" x14ac:dyDescent="0.25">
      <c r="A3675" s="3">
        <f t="shared" si="172"/>
        <v>78989</v>
      </c>
      <c r="B3675" t="str">
        <f ca="1">TEXT(DATE(YEAR(Invoer!$A$5),1,1)+INT((ROWS(B$2:B3675)-1)/24),"""18""jjmmdd")</f>
        <v>18980603</v>
      </c>
      <c r="C3675" s="11" t="str">
        <f>INDEX(Data,2,2+MOD(ROWS(C$2:C3675)-1,24))</f>
        <v>02.00</v>
      </c>
      <c r="D3675" s="8" t="str">
        <f t="shared" ca="1" si="173"/>
        <v>—</v>
      </c>
      <c r="E3675" s="16">
        <f t="shared" ca="1" si="174"/>
        <v>7</v>
      </c>
    </row>
    <row r="3676" spans="1:5" x14ac:dyDescent="0.25">
      <c r="A3676" s="3">
        <f t="shared" si="172"/>
        <v>78989</v>
      </c>
      <c r="B3676" t="str">
        <f ca="1">TEXT(DATE(YEAR(Invoer!$A$5),1,1)+INT((ROWS(B$2:B3676)-1)/24),"""18""jjmmdd")</f>
        <v>18980603</v>
      </c>
      <c r="C3676" s="11" t="str">
        <f>INDEX(Data,2,2+MOD(ROWS(C$2:C3676)-1,24))</f>
        <v>03.00</v>
      </c>
      <c r="D3676" s="8" t="str">
        <f t="shared" ca="1" si="173"/>
        <v>—</v>
      </c>
      <c r="E3676" s="16">
        <f t="shared" ca="1" si="174"/>
        <v>7</v>
      </c>
    </row>
    <row r="3677" spans="1:5" x14ac:dyDescent="0.25">
      <c r="A3677" s="3">
        <f t="shared" si="172"/>
        <v>78989</v>
      </c>
      <c r="B3677" t="str">
        <f ca="1">TEXT(DATE(YEAR(Invoer!$A$5),1,1)+INT((ROWS(B$2:B3677)-1)/24),"""18""jjmmdd")</f>
        <v>18980603</v>
      </c>
      <c r="C3677" s="11" t="str">
        <f>INDEX(Data,2,2+MOD(ROWS(C$2:C3677)-1,24))</f>
        <v>04.00</v>
      </c>
      <c r="D3677" s="8" t="str">
        <f t="shared" ca="1" si="173"/>
        <v>—</v>
      </c>
      <c r="E3677" s="16">
        <f t="shared" ca="1" si="174"/>
        <v>7</v>
      </c>
    </row>
    <row r="3678" spans="1:5" x14ac:dyDescent="0.25">
      <c r="A3678" s="3">
        <f t="shared" si="172"/>
        <v>78989</v>
      </c>
      <c r="B3678" t="str">
        <f ca="1">TEXT(DATE(YEAR(Invoer!$A$5),1,1)+INT((ROWS(B$2:B3678)-1)/24),"""18""jjmmdd")</f>
        <v>18980603</v>
      </c>
      <c r="C3678" s="11" t="str">
        <f>INDEX(Data,2,2+MOD(ROWS(C$2:C3678)-1,24))</f>
        <v>05.00</v>
      </c>
      <c r="D3678" s="8" t="str">
        <f t="shared" ca="1" si="173"/>
        <v>—</v>
      </c>
      <c r="E3678" s="16">
        <f t="shared" ca="1" si="174"/>
        <v>7</v>
      </c>
    </row>
    <row r="3679" spans="1:5" x14ac:dyDescent="0.25">
      <c r="A3679" s="3">
        <f t="shared" si="172"/>
        <v>78989</v>
      </c>
      <c r="B3679" t="str">
        <f ca="1">TEXT(DATE(YEAR(Invoer!$A$5),1,1)+INT((ROWS(B$2:B3679)-1)/24),"""18""jjmmdd")</f>
        <v>18980603</v>
      </c>
      <c r="C3679" s="11" t="str">
        <f>INDEX(Data,2,2+MOD(ROWS(C$2:C3679)-1,24))</f>
        <v>06.00</v>
      </c>
      <c r="D3679" s="8" t="str">
        <f t="shared" ca="1" si="173"/>
        <v>—</v>
      </c>
      <c r="E3679" s="16">
        <f t="shared" ca="1" si="174"/>
        <v>7</v>
      </c>
    </row>
    <row r="3680" spans="1:5" x14ac:dyDescent="0.25">
      <c r="A3680" s="3">
        <f t="shared" si="172"/>
        <v>78989</v>
      </c>
      <c r="B3680" t="str">
        <f ca="1">TEXT(DATE(YEAR(Invoer!$A$5),1,1)+INT((ROWS(B$2:B3680)-1)/24),"""18""jjmmdd")</f>
        <v>18980603</v>
      </c>
      <c r="C3680" s="11" t="str">
        <f>INDEX(Data,2,2+MOD(ROWS(C$2:C3680)-1,24))</f>
        <v>07.00</v>
      </c>
      <c r="D3680" s="8" t="str">
        <f t="shared" ca="1" si="173"/>
        <v>—</v>
      </c>
      <c r="E3680" s="16">
        <f t="shared" ca="1" si="174"/>
        <v>7</v>
      </c>
    </row>
    <row r="3681" spans="1:5" x14ac:dyDescent="0.25">
      <c r="A3681" s="3">
        <f t="shared" si="172"/>
        <v>78989</v>
      </c>
      <c r="B3681" t="str">
        <f ca="1">TEXT(DATE(YEAR(Invoer!$A$5),1,1)+INT((ROWS(B$2:B3681)-1)/24),"""18""jjmmdd")</f>
        <v>18980603</v>
      </c>
      <c r="C3681" s="11" t="str">
        <f>INDEX(Data,2,2+MOD(ROWS(C$2:C3681)-1,24))</f>
        <v>08.00</v>
      </c>
      <c r="D3681" s="8" t="str">
        <f t="shared" ca="1" si="173"/>
        <v>—</v>
      </c>
      <c r="E3681" s="16">
        <f t="shared" ca="1" si="174"/>
        <v>7</v>
      </c>
    </row>
    <row r="3682" spans="1:5" x14ac:dyDescent="0.25">
      <c r="A3682" s="3">
        <f t="shared" si="172"/>
        <v>78989</v>
      </c>
      <c r="B3682" t="str">
        <f ca="1">TEXT(DATE(YEAR(Invoer!$A$5),1,1)+INT((ROWS(B$2:B3682)-1)/24),"""18""jjmmdd")</f>
        <v>18980603</v>
      </c>
      <c r="C3682" s="11" t="str">
        <f>INDEX(Data,2,2+MOD(ROWS(C$2:C3682)-1,24))</f>
        <v>09.00</v>
      </c>
      <c r="D3682" s="8" t="str">
        <f t="shared" ca="1" si="173"/>
        <v>—</v>
      </c>
      <c r="E3682" s="16">
        <f t="shared" ca="1" si="174"/>
        <v>7</v>
      </c>
    </row>
    <row r="3683" spans="1:5" x14ac:dyDescent="0.25">
      <c r="A3683" s="3">
        <f t="shared" si="172"/>
        <v>78989</v>
      </c>
      <c r="B3683" t="str">
        <f ca="1">TEXT(DATE(YEAR(Invoer!$A$5),1,1)+INT((ROWS(B$2:B3683)-1)/24),"""18""jjmmdd")</f>
        <v>18980603</v>
      </c>
      <c r="C3683" s="11" t="str">
        <f>INDEX(Data,2,2+MOD(ROWS(C$2:C3683)-1,24))</f>
        <v>10.00</v>
      </c>
      <c r="D3683" s="8" t="str">
        <f t="shared" ca="1" si="173"/>
        <v>—</v>
      </c>
      <c r="E3683" s="16">
        <f t="shared" ca="1" si="174"/>
        <v>7</v>
      </c>
    </row>
    <row r="3684" spans="1:5" x14ac:dyDescent="0.25">
      <c r="A3684" s="3">
        <f t="shared" si="172"/>
        <v>78989</v>
      </c>
      <c r="B3684" t="str">
        <f ca="1">TEXT(DATE(YEAR(Invoer!$A$5),1,1)+INT((ROWS(B$2:B3684)-1)/24),"""18""jjmmdd")</f>
        <v>18980603</v>
      </c>
      <c r="C3684" s="11" t="str">
        <f>INDEX(Data,2,2+MOD(ROWS(C$2:C3684)-1,24))</f>
        <v>11.00</v>
      </c>
      <c r="D3684" s="8" t="str">
        <f t="shared" ca="1" si="173"/>
        <v>—</v>
      </c>
      <c r="E3684" s="16">
        <f t="shared" ca="1" si="174"/>
        <v>7</v>
      </c>
    </row>
    <row r="3685" spans="1:5" x14ac:dyDescent="0.25">
      <c r="A3685" s="3">
        <f t="shared" si="172"/>
        <v>78989</v>
      </c>
      <c r="B3685" t="str">
        <f ca="1">TEXT(DATE(YEAR(Invoer!$A$5),1,1)+INT((ROWS(B$2:B3685)-1)/24),"""18""jjmmdd")</f>
        <v>18980603</v>
      </c>
      <c r="C3685" s="11" t="str">
        <f>INDEX(Data,2,2+MOD(ROWS(C$2:C3685)-1,24))</f>
        <v>12.00</v>
      </c>
      <c r="D3685" s="8" t="str">
        <f t="shared" ca="1" si="173"/>
        <v>—</v>
      </c>
      <c r="E3685" s="16">
        <f t="shared" ca="1" si="174"/>
        <v>7</v>
      </c>
    </row>
    <row r="3686" spans="1:5" x14ac:dyDescent="0.25">
      <c r="A3686" s="3">
        <f t="shared" si="172"/>
        <v>78989</v>
      </c>
      <c r="B3686" t="str">
        <f ca="1">TEXT(DATE(YEAR(Invoer!$A$5),1,1)+INT((ROWS(B$2:B3686)-1)/24),"""18""jjmmdd")</f>
        <v>18980603</v>
      </c>
      <c r="C3686" s="11" t="str">
        <f>INDEX(Data,2,2+MOD(ROWS(C$2:C3686)-1,24))</f>
        <v>13.00</v>
      </c>
      <c r="D3686" s="8" t="str">
        <f t="shared" ca="1" si="173"/>
        <v>—</v>
      </c>
      <c r="E3686" s="16">
        <f t="shared" ca="1" si="174"/>
        <v>7</v>
      </c>
    </row>
    <row r="3687" spans="1:5" x14ac:dyDescent="0.25">
      <c r="A3687" s="3">
        <f t="shared" si="172"/>
        <v>78989</v>
      </c>
      <c r="B3687" t="str">
        <f ca="1">TEXT(DATE(YEAR(Invoer!$A$5),1,1)+INT((ROWS(B$2:B3687)-1)/24),"""18""jjmmdd")</f>
        <v>18980603</v>
      </c>
      <c r="C3687" s="11" t="str">
        <f>INDEX(Data,2,2+MOD(ROWS(C$2:C3687)-1,24))</f>
        <v>14.00</v>
      </c>
      <c r="D3687" s="8" t="str">
        <f t="shared" ca="1" si="173"/>
        <v>—</v>
      </c>
      <c r="E3687" s="16">
        <f t="shared" ca="1" si="174"/>
        <v>7</v>
      </c>
    </row>
    <row r="3688" spans="1:5" x14ac:dyDescent="0.25">
      <c r="A3688" s="3">
        <f t="shared" si="172"/>
        <v>78989</v>
      </c>
      <c r="B3688" t="str">
        <f ca="1">TEXT(DATE(YEAR(Invoer!$A$5),1,1)+INT((ROWS(B$2:B3688)-1)/24),"""18""jjmmdd")</f>
        <v>18980603</v>
      </c>
      <c r="C3688" s="11" t="str">
        <f>INDEX(Data,2,2+MOD(ROWS(C$2:C3688)-1,24))</f>
        <v>15.00</v>
      </c>
      <c r="D3688" s="8" t="str">
        <f t="shared" ca="1" si="173"/>
        <v>—</v>
      </c>
      <c r="E3688" s="16">
        <f t="shared" ca="1" si="174"/>
        <v>7</v>
      </c>
    </row>
    <row r="3689" spans="1:5" x14ac:dyDescent="0.25">
      <c r="A3689" s="3">
        <f t="shared" si="172"/>
        <v>78989</v>
      </c>
      <c r="B3689" t="str">
        <f ca="1">TEXT(DATE(YEAR(Invoer!$A$5),1,1)+INT((ROWS(B$2:B3689)-1)/24),"""18""jjmmdd")</f>
        <v>18980603</v>
      </c>
      <c r="C3689" s="11" t="str">
        <f>INDEX(Data,2,2+MOD(ROWS(C$2:C3689)-1,24))</f>
        <v>16.00</v>
      </c>
      <c r="D3689" s="8" t="str">
        <f t="shared" ca="1" si="173"/>
        <v>—</v>
      </c>
      <c r="E3689" s="16">
        <f t="shared" ca="1" si="174"/>
        <v>7</v>
      </c>
    </row>
    <row r="3690" spans="1:5" x14ac:dyDescent="0.25">
      <c r="A3690" s="3">
        <f t="shared" si="172"/>
        <v>78989</v>
      </c>
      <c r="B3690" t="str">
        <f ca="1">TEXT(DATE(YEAR(Invoer!$A$5),1,1)+INT((ROWS(B$2:B3690)-1)/24),"""18""jjmmdd")</f>
        <v>18980603</v>
      </c>
      <c r="C3690" s="11" t="str">
        <f>INDEX(Data,2,2+MOD(ROWS(C$2:C3690)-1,24))</f>
        <v>17.00</v>
      </c>
      <c r="D3690" s="8" t="str">
        <f t="shared" ca="1" si="173"/>
        <v>—</v>
      </c>
      <c r="E3690" s="16">
        <f t="shared" ca="1" si="174"/>
        <v>7</v>
      </c>
    </row>
    <row r="3691" spans="1:5" x14ac:dyDescent="0.25">
      <c r="A3691" s="3">
        <f t="shared" si="172"/>
        <v>78989</v>
      </c>
      <c r="B3691" t="str">
        <f ca="1">TEXT(DATE(YEAR(Invoer!$A$5),1,1)+INT((ROWS(B$2:B3691)-1)/24),"""18""jjmmdd")</f>
        <v>18980603</v>
      </c>
      <c r="C3691" s="11" t="str">
        <f>INDEX(Data,2,2+MOD(ROWS(C$2:C3691)-1,24))</f>
        <v>18.00</v>
      </c>
      <c r="D3691" s="8" t="str">
        <f t="shared" ca="1" si="173"/>
        <v>—</v>
      </c>
      <c r="E3691" s="16">
        <f t="shared" ca="1" si="174"/>
        <v>7</v>
      </c>
    </row>
    <row r="3692" spans="1:5" x14ac:dyDescent="0.25">
      <c r="A3692" s="3">
        <f t="shared" si="172"/>
        <v>78989</v>
      </c>
      <c r="B3692" t="str">
        <f ca="1">TEXT(DATE(YEAR(Invoer!$A$5),1,1)+INT((ROWS(B$2:B3692)-1)/24),"""18""jjmmdd")</f>
        <v>18980603</v>
      </c>
      <c r="C3692" s="11" t="str">
        <f>INDEX(Data,2,2+MOD(ROWS(C$2:C3692)-1,24))</f>
        <v>19.00</v>
      </c>
      <c r="D3692" s="8" t="str">
        <f t="shared" ca="1" si="173"/>
        <v>—</v>
      </c>
      <c r="E3692" s="16">
        <f t="shared" ca="1" si="174"/>
        <v>7</v>
      </c>
    </row>
    <row r="3693" spans="1:5" x14ac:dyDescent="0.25">
      <c r="A3693" s="3">
        <f t="shared" si="172"/>
        <v>78989</v>
      </c>
      <c r="B3693" t="str">
        <f ca="1">TEXT(DATE(YEAR(Invoer!$A$5),1,1)+INT((ROWS(B$2:B3693)-1)/24),"""18""jjmmdd")</f>
        <v>18980603</v>
      </c>
      <c r="C3693" s="11" t="str">
        <f>INDEX(Data,2,2+MOD(ROWS(C$2:C3693)-1,24))</f>
        <v>20.00</v>
      </c>
      <c r="D3693" s="8" t="str">
        <f t="shared" ca="1" si="173"/>
        <v>—</v>
      </c>
      <c r="E3693" s="16">
        <f t="shared" ca="1" si="174"/>
        <v>7</v>
      </c>
    </row>
    <row r="3694" spans="1:5" x14ac:dyDescent="0.25">
      <c r="A3694" s="3">
        <f t="shared" si="172"/>
        <v>78989</v>
      </c>
      <c r="B3694" t="str">
        <f ca="1">TEXT(DATE(YEAR(Invoer!$A$5),1,1)+INT((ROWS(B$2:B3694)-1)/24),"""18""jjmmdd")</f>
        <v>18980603</v>
      </c>
      <c r="C3694" s="11" t="str">
        <f>INDEX(Data,2,2+MOD(ROWS(C$2:C3694)-1,24))</f>
        <v>21.00</v>
      </c>
      <c r="D3694" s="8" t="str">
        <f t="shared" ca="1" si="173"/>
        <v>—</v>
      </c>
      <c r="E3694" s="16">
        <f t="shared" ca="1" si="174"/>
        <v>7</v>
      </c>
    </row>
    <row r="3695" spans="1:5" x14ac:dyDescent="0.25">
      <c r="A3695" s="3">
        <f t="shared" si="172"/>
        <v>78989</v>
      </c>
      <c r="B3695" t="str">
        <f ca="1">TEXT(DATE(YEAR(Invoer!$A$5),1,1)+INT((ROWS(B$2:B3695)-1)/24),"""18""jjmmdd")</f>
        <v>18980603</v>
      </c>
      <c r="C3695" s="11" t="str">
        <f>INDEX(Data,2,2+MOD(ROWS(C$2:C3695)-1,24))</f>
        <v>22.00</v>
      </c>
      <c r="D3695" s="8" t="str">
        <f t="shared" ca="1" si="173"/>
        <v>—</v>
      </c>
      <c r="E3695" s="16">
        <f t="shared" ca="1" si="174"/>
        <v>7</v>
      </c>
    </row>
    <row r="3696" spans="1:5" x14ac:dyDescent="0.25">
      <c r="A3696" s="3">
        <f t="shared" si="172"/>
        <v>78989</v>
      </c>
      <c r="B3696" t="str">
        <f ca="1">TEXT(DATE(YEAR(Invoer!$A$5),1,1)+INT((ROWS(B$2:B3696)-1)/24),"""18""jjmmdd")</f>
        <v>18980603</v>
      </c>
      <c r="C3696" s="11" t="str">
        <f>INDEX(Data,2,2+MOD(ROWS(C$2:C3696)-1,24))</f>
        <v>23.00</v>
      </c>
      <c r="D3696" s="8" t="str">
        <f t="shared" ca="1" si="173"/>
        <v>—</v>
      </c>
      <c r="E3696" s="16">
        <f t="shared" ca="1" si="174"/>
        <v>7</v>
      </c>
    </row>
    <row r="3697" spans="1:5" x14ac:dyDescent="0.25">
      <c r="A3697" s="3">
        <f t="shared" si="172"/>
        <v>78989</v>
      </c>
      <c r="B3697" t="str">
        <f ca="1">TEXT(DATE(YEAR(Invoer!$A$5),1,1)+INT((ROWS(B$2:B3697)-1)/24),"""18""jjmmdd")</f>
        <v>18980603</v>
      </c>
      <c r="C3697" s="11" t="str">
        <f>INDEX(Data,2,2+MOD(ROWS(C$2:C3697)-1,24))</f>
        <v>24.00</v>
      </c>
      <c r="D3697" s="8" t="str">
        <f t="shared" ca="1" si="173"/>
        <v>—</v>
      </c>
      <c r="E3697" s="16">
        <f t="shared" ca="1" si="174"/>
        <v>7</v>
      </c>
    </row>
    <row r="3698" spans="1:5" x14ac:dyDescent="0.25">
      <c r="A3698" s="3">
        <f t="shared" si="172"/>
        <v>78989</v>
      </c>
      <c r="B3698" t="str">
        <f ca="1">TEXT(DATE(YEAR(Invoer!$A$5),1,1)+INT((ROWS(B$2:B3698)-1)/24),"""18""jjmmdd")</f>
        <v>18980604</v>
      </c>
      <c r="C3698" s="11" t="str">
        <f>INDEX(Data,2,2+MOD(ROWS(C$2:C3698)-1,24))</f>
        <v>01.00</v>
      </c>
      <c r="D3698" s="8" t="str">
        <f t="shared" ca="1" si="173"/>
        <v>—</v>
      </c>
      <c r="E3698" s="16">
        <f t="shared" ca="1" si="174"/>
        <v>7</v>
      </c>
    </row>
    <row r="3699" spans="1:5" x14ac:dyDescent="0.25">
      <c r="A3699" s="3">
        <f t="shared" si="172"/>
        <v>78989</v>
      </c>
      <c r="B3699" t="str">
        <f ca="1">TEXT(DATE(YEAR(Invoer!$A$5),1,1)+INT((ROWS(B$2:B3699)-1)/24),"""18""jjmmdd")</f>
        <v>18980604</v>
      </c>
      <c r="C3699" s="11" t="str">
        <f>INDEX(Data,2,2+MOD(ROWS(C$2:C3699)-1,24))</f>
        <v>02.00</v>
      </c>
      <c r="D3699" s="8" t="str">
        <f t="shared" ca="1" si="173"/>
        <v>—</v>
      </c>
      <c r="E3699" s="16">
        <f t="shared" ca="1" si="174"/>
        <v>7</v>
      </c>
    </row>
    <row r="3700" spans="1:5" x14ac:dyDescent="0.25">
      <c r="A3700" s="3">
        <f t="shared" si="172"/>
        <v>78989</v>
      </c>
      <c r="B3700" t="str">
        <f ca="1">TEXT(DATE(YEAR(Invoer!$A$5),1,1)+INT((ROWS(B$2:B3700)-1)/24),"""18""jjmmdd")</f>
        <v>18980604</v>
      </c>
      <c r="C3700" s="11" t="str">
        <f>INDEX(Data,2,2+MOD(ROWS(C$2:C3700)-1,24))</f>
        <v>03.00</v>
      </c>
      <c r="D3700" s="8" t="str">
        <f t="shared" ca="1" si="173"/>
        <v>—</v>
      </c>
      <c r="E3700" s="16">
        <f t="shared" ca="1" si="174"/>
        <v>7</v>
      </c>
    </row>
    <row r="3701" spans="1:5" x14ac:dyDescent="0.25">
      <c r="A3701" s="3">
        <f t="shared" si="172"/>
        <v>78989</v>
      </c>
      <c r="B3701" t="str">
        <f ca="1">TEXT(DATE(YEAR(Invoer!$A$5),1,1)+INT((ROWS(B$2:B3701)-1)/24),"""18""jjmmdd")</f>
        <v>18980604</v>
      </c>
      <c r="C3701" s="11" t="str">
        <f>INDEX(Data,2,2+MOD(ROWS(C$2:C3701)-1,24))</f>
        <v>04.00</v>
      </c>
      <c r="D3701" s="8" t="str">
        <f t="shared" ca="1" si="173"/>
        <v>—</v>
      </c>
      <c r="E3701" s="16">
        <f t="shared" ca="1" si="174"/>
        <v>7</v>
      </c>
    </row>
    <row r="3702" spans="1:5" x14ac:dyDescent="0.25">
      <c r="A3702" s="3">
        <f t="shared" si="172"/>
        <v>78989</v>
      </c>
      <c r="B3702" t="str">
        <f ca="1">TEXT(DATE(YEAR(Invoer!$A$5),1,1)+INT((ROWS(B$2:B3702)-1)/24),"""18""jjmmdd")</f>
        <v>18980604</v>
      </c>
      <c r="C3702" s="11" t="str">
        <f>INDEX(Data,2,2+MOD(ROWS(C$2:C3702)-1,24))</f>
        <v>05.00</v>
      </c>
      <c r="D3702" s="8" t="str">
        <f t="shared" ca="1" si="173"/>
        <v>—</v>
      </c>
      <c r="E3702" s="16">
        <f t="shared" ca="1" si="174"/>
        <v>7</v>
      </c>
    </row>
    <row r="3703" spans="1:5" x14ac:dyDescent="0.25">
      <c r="A3703" s="3">
        <f t="shared" si="172"/>
        <v>78989</v>
      </c>
      <c r="B3703" t="str">
        <f ca="1">TEXT(DATE(YEAR(Invoer!$A$5),1,1)+INT((ROWS(B$2:B3703)-1)/24),"""18""jjmmdd")</f>
        <v>18980604</v>
      </c>
      <c r="C3703" s="11" t="str">
        <f>INDEX(Data,2,2+MOD(ROWS(C$2:C3703)-1,24))</f>
        <v>06.00</v>
      </c>
      <c r="D3703" s="8" t="str">
        <f t="shared" ca="1" si="173"/>
        <v>—</v>
      </c>
      <c r="E3703" s="16">
        <f t="shared" ca="1" si="174"/>
        <v>7</v>
      </c>
    </row>
    <row r="3704" spans="1:5" x14ac:dyDescent="0.25">
      <c r="A3704" s="3">
        <f t="shared" si="172"/>
        <v>78989</v>
      </c>
      <c r="B3704" t="str">
        <f ca="1">TEXT(DATE(YEAR(Invoer!$A$5),1,1)+INT((ROWS(B$2:B3704)-1)/24),"""18""jjmmdd")</f>
        <v>18980604</v>
      </c>
      <c r="C3704" s="11" t="str">
        <f>INDEX(Data,2,2+MOD(ROWS(C$2:C3704)-1,24))</f>
        <v>07.00</v>
      </c>
      <c r="D3704" s="8" t="str">
        <f t="shared" ca="1" si="173"/>
        <v>—</v>
      </c>
      <c r="E3704" s="16">
        <f t="shared" ca="1" si="174"/>
        <v>7</v>
      </c>
    </row>
    <row r="3705" spans="1:5" x14ac:dyDescent="0.25">
      <c r="A3705" s="3">
        <f t="shared" si="172"/>
        <v>78989</v>
      </c>
      <c r="B3705" t="str">
        <f ca="1">TEXT(DATE(YEAR(Invoer!$A$5),1,1)+INT((ROWS(B$2:B3705)-1)/24),"""18""jjmmdd")</f>
        <v>18980604</v>
      </c>
      <c r="C3705" s="11" t="str">
        <f>INDEX(Data,2,2+MOD(ROWS(C$2:C3705)-1,24))</f>
        <v>08.00</v>
      </c>
      <c r="D3705" s="8" t="str">
        <f t="shared" ca="1" si="173"/>
        <v>—</v>
      </c>
      <c r="E3705" s="16">
        <f t="shared" ca="1" si="174"/>
        <v>7</v>
      </c>
    </row>
    <row r="3706" spans="1:5" x14ac:dyDescent="0.25">
      <c r="A3706" s="3">
        <f t="shared" si="172"/>
        <v>78989</v>
      </c>
      <c r="B3706" t="str">
        <f ca="1">TEXT(DATE(YEAR(Invoer!$A$5),1,1)+INT((ROWS(B$2:B3706)-1)/24),"""18""jjmmdd")</f>
        <v>18980604</v>
      </c>
      <c r="C3706" s="11" t="str">
        <f>INDEX(Data,2,2+MOD(ROWS(C$2:C3706)-1,24))</f>
        <v>09.00</v>
      </c>
      <c r="D3706" s="8" t="str">
        <f t="shared" ca="1" si="173"/>
        <v>—</v>
      </c>
      <c r="E3706" s="16">
        <f t="shared" ca="1" si="174"/>
        <v>7</v>
      </c>
    </row>
    <row r="3707" spans="1:5" x14ac:dyDescent="0.25">
      <c r="A3707" s="3">
        <f t="shared" si="172"/>
        <v>78989</v>
      </c>
      <c r="B3707" t="str">
        <f ca="1">TEXT(DATE(YEAR(Invoer!$A$5),1,1)+INT((ROWS(B$2:B3707)-1)/24),"""18""jjmmdd")</f>
        <v>18980604</v>
      </c>
      <c r="C3707" s="11" t="str">
        <f>INDEX(Data,2,2+MOD(ROWS(C$2:C3707)-1,24))</f>
        <v>10.00</v>
      </c>
      <c r="D3707" s="8" t="str">
        <f t="shared" ca="1" si="173"/>
        <v>—</v>
      </c>
      <c r="E3707" s="16">
        <f t="shared" ca="1" si="174"/>
        <v>7</v>
      </c>
    </row>
    <row r="3708" spans="1:5" x14ac:dyDescent="0.25">
      <c r="A3708" s="3">
        <f t="shared" si="172"/>
        <v>78989</v>
      </c>
      <c r="B3708" t="str">
        <f ca="1">TEXT(DATE(YEAR(Invoer!$A$5),1,1)+INT((ROWS(B$2:B3708)-1)/24),"""18""jjmmdd")</f>
        <v>18980604</v>
      </c>
      <c r="C3708" s="11" t="str">
        <f>INDEX(Data,2,2+MOD(ROWS(C$2:C3708)-1,24))</f>
        <v>11.00</v>
      </c>
      <c r="D3708" s="8" t="str">
        <f t="shared" ca="1" si="173"/>
        <v>—</v>
      </c>
      <c r="E3708" s="16">
        <f t="shared" ca="1" si="174"/>
        <v>7</v>
      </c>
    </row>
    <row r="3709" spans="1:5" x14ac:dyDescent="0.25">
      <c r="A3709" s="3">
        <f t="shared" si="172"/>
        <v>78989</v>
      </c>
      <c r="B3709" t="str">
        <f ca="1">TEXT(DATE(YEAR(Invoer!$A$5),1,1)+INT((ROWS(B$2:B3709)-1)/24),"""18""jjmmdd")</f>
        <v>18980604</v>
      </c>
      <c r="C3709" s="11" t="str">
        <f>INDEX(Data,2,2+MOD(ROWS(C$2:C3709)-1,24))</f>
        <v>12.00</v>
      </c>
      <c r="D3709" s="8" t="str">
        <f t="shared" ca="1" si="173"/>
        <v>—</v>
      </c>
      <c r="E3709" s="16">
        <f t="shared" ca="1" si="174"/>
        <v>7</v>
      </c>
    </row>
    <row r="3710" spans="1:5" x14ac:dyDescent="0.25">
      <c r="A3710" s="3">
        <f t="shared" si="172"/>
        <v>78989</v>
      </c>
      <c r="B3710" t="str">
        <f ca="1">TEXT(DATE(YEAR(Invoer!$A$5),1,1)+INT((ROWS(B$2:B3710)-1)/24),"""18""jjmmdd")</f>
        <v>18980604</v>
      </c>
      <c r="C3710" s="11" t="str">
        <f>INDEX(Data,2,2+MOD(ROWS(C$2:C3710)-1,24))</f>
        <v>13.00</v>
      </c>
      <c r="D3710" s="8" t="str">
        <f t="shared" ca="1" si="173"/>
        <v>—</v>
      </c>
      <c r="E3710" s="16">
        <f t="shared" ca="1" si="174"/>
        <v>7</v>
      </c>
    </row>
    <row r="3711" spans="1:5" x14ac:dyDescent="0.25">
      <c r="A3711" s="3">
        <f t="shared" si="172"/>
        <v>78989</v>
      </c>
      <c r="B3711" t="str">
        <f ca="1">TEXT(DATE(YEAR(Invoer!$A$5),1,1)+INT((ROWS(B$2:B3711)-1)/24),"""18""jjmmdd")</f>
        <v>18980604</v>
      </c>
      <c r="C3711" s="11" t="str">
        <f>INDEX(Data,2,2+MOD(ROWS(C$2:C3711)-1,24))</f>
        <v>14.00</v>
      </c>
      <c r="D3711" s="8" t="str">
        <f t="shared" ca="1" si="173"/>
        <v>—</v>
      </c>
      <c r="E3711" s="16">
        <f t="shared" ca="1" si="174"/>
        <v>7</v>
      </c>
    </row>
    <row r="3712" spans="1:5" x14ac:dyDescent="0.25">
      <c r="A3712" s="3">
        <f t="shared" si="172"/>
        <v>78989</v>
      </c>
      <c r="B3712" t="str">
        <f ca="1">TEXT(DATE(YEAR(Invoer!$A$5),1,1)+INT((ROWS(B$2:B3712)-1)/24),"""18""jjmmdd")</f>
        <v>18980604</v>
      </c>
      <c r="C3712" s="11" t="str">
        <f>INDEX(Data,2,2+MOD(ROWS(C$2:C3712)-1,24))</f>
        <v>15.00</v>
      </c>
      <c r="D3712" s="8" t="str">
        <f t="shared" ca="1" si="173"/>
        <v>—</v>
      </c>
      <c r="E3712" s="16">
        <f t="shared" ca="1" si="174"/>
        <v>7</v>
      </c>
    </row>
    <row r="3713" spans="1:5" x14ac:dyDescent="0.25">
      <c r="A3713" s="3">
        <f t="shared" si="172"/>
        <v>78989</v>
      </c>
      <c r="B3713" t="str">
        <f ca="1">TEXT(DATE(YEAR(Invoer!$A$5),1,1)+INT((ROWS(B$2:B3713)-1)/24),"""18""jjmmdd")</f>
        <v>18980604</v>
      </c>
      <c r="C3713" s="11" t="str">
        <f>INDEX(Data,2,2+MOD(ROWS(C$2:C3713)-1,24))</f>
        <v>16.00</v>
      </c>
      <c r="D3713" s="8" t="str">
        <f t="shared" ca="1" si="173"/>
        <v>—</v>
      </c>
      <c r="E3713" s="16">
        <f t="shared" ca="1" si="174"/>
        <v>7</v>
      </c>
    </row>
    <row r="3714" spans="1:5" x14ac:dyDescent="0.25">
      <c r="A3714" s="3">
        <f t="shared" ref="A3714:A3777" si="175">INDEX(Stations,2,1)</f>
        <v>78989</v>
      </c>
      <c r="B3714" t="str">
        <f ca="1">TEXT(DATE(YEAR(Invoer!$A$5),1,1)+INT((ROWS(B$2:B3714)-1)/24),"""18""jjmmdd")</f>
        <v>18980604</v>
      </c>
      <c r="C3714" s="11" t="str">
        <f>INDEX(Data,2,2+MOD(ROWS(C$2:C3714)-1,24))</f>
        <v>17.00</v>
      </c>
      <c r="D3714" s="8" t="str">
        <f t="shared" ref="D3714:D3777" ca="1" si="176">IF(OR(ISBLANK(VLOOKUP(DATEVALUE("37"&amp;MID($B3714,3,2)&amp;"-"&amp;MID($B3714,5,2)&amp;"-"&amp;RIGHT($B3714,2)),Data,MATCH(LEFT(VLOOKUP(D$1,Parameters,2,FALSE()),4)&amp;"*",OFFSET(Data,0,0,1),0)+MATCH($C3714,OFFSET(Data,1,0,1),0)-2,FALSE())),ISTEXT(VLOOKUP(DATEVALUE("37"&amp;MID($B3714,3,2)&amp;"-"&amp;MID($B3714,5,2)&amp;"-"&amp;RIGHT($B3714,2)),Data,MATCH(LEFT(VLOOKUP(D$1,Parameters,2,FALSE()),4)&amp;"*",OFFSET(Data,0,0,1),0)+MATCH($C3714,OFFSET(Data,1,0,1),0)-2,FALSE()))),"—",VLOOKUP(DATEVALUE("37"&amp;MID($B3714,3,2)&amp;"-"&amp;MID($B3714,5,2)&amp;"-"&amp;RIGHT($B3714,2)),Data,MATCH(LEFT(VLOOKUP(D$1,Parameters,2,FALSE()),4)&amp;"*",OFFSET(Data,0,0,1),0)+MATCH($C3714,OFFSET(Data,1,0,1),0)-2,FALSE()))</f>
        <v>—</v>
      </c>
      <c r="E3714" s="16">
        <f t="shared" ca="1" si="174"/>
        <v>7</v>
      </c>
    </row>
    <row r="3715" spans="1:5" x14ac:dyDescent="0.25">
      <c r="A3715" s="3">
        <f t="shared" si="175"/>
        <v>78989</v>
      </c>
      <c r="B3715" t="str">
        <f ca="1">TEXT(DATE(YEAR(Invoer!$A$5),1,1)+INT((ROWS(B$2:B3715)-1)/24),"""18""jjmmdd")</f>
        <v>18980604</v>
      </c>
      <c r="C3715" s="11" t="str">
        <f>INDEX(Data,2,2+MOD(ROWS(C$2:C3715)-1,24))</f>
        <v>18.00</v>
      </c>
      <c r="D3715" s="8" t="str">
        <f t="shared" ca="1" si="176"/>
        <v>—</v>
      </c>
      <c r="E3715" s="16">
        <f t="shared" ref="E3715:E3778" ca="1" si="177">IF(OR(ISBLANK(VLOOKUP(DATEVALUE("37"&amp;MID($B3715,3,2)&amp;"-"&amp;MID($B3715,5,2)&amp;"-"&amp;RIGHT($B3715,2)),Data,MATCH(LEFT(VLOOKUP(D$1,Parameters,2,FALSE()),4)&amp;"*",OFFSET(Data,0,0,1),0)+MATCH($C3715,OFFSET(Data,1,0,1),0)-2,FALSE())),ISTEXT(VLOOKUP(DATEVALUE("37"&amp;MID($B3715,3,2)&amp;"-"&amp;MID($B3715,5,2)&amp;"-"&amp;RIGHT($B3715,2)),Data,MATCH(LEFT(VLOOKUP(D$1,Parameters,2,FALSE()),4)&amp;"*",OFFSET(Data,0,0,1),0)+MATCH($C3715,OFFSET(Data,1,0,1),0)-2,FALSE()))),Lacking,IF(ISNA(MATCH(DATEVALUE("37"&amp;MID($B3715,3,2)&amp;"-"&amp;MID($B3715,5,2)&amp;"-"&amp;RIGHT($B3715,2)),OFFSET(Catalogus,0,0,,1),0)),Ok,VLOOKUP(DATEVALUE("37"&amp;MID($B3715,3,2)&amp;"-"&amp;MID($B3715,5,2)&amp;"-"&amp;RIGHT($B3715,2)),Catalogus,MATCH(LEFT(VLOOKUP(MID(E$1,2,LEN(E$1)-1),Parameters,2,FALSE()),4)&amp;"*",OFFSET(Catalogus,0,0,1),0)+MATCH($C3715,OFFSET(Catalogus,1,0,1),0)-2,FALSE())))</f>
        <v>7</v>
      </c>
    </row>
    <row r="3716" spans="1:5" x14ac:dyDescent="0.25">
      <c r="A3716" s="3">
        <f t="shared" si="175"/>
        <v>78989</v>
      </c>
      <c r="B3716" t="str">
        <f ca="1">TEXT(DATE(YEAR(Invoer!$A$5),1,1)+INT((ROWS(B$2:B3716)-1)/24),"""18""jjmmdd")</f>
        <v>18980604</v>
      </c>
      <c r="C3716" s="11" t="str">
        <f>INDEX(Data,2,2+MOD(ROWS(C$2:C3716)-1,24))</f>
        <v>19.00</v>
      </c>
      <c r="D3716" s="8" t="str">
        <f t="shared" ca="1" si="176"/>
        <v>—</v>
      </c>
      <c r="E3716" s="16">
        <f t="shared" ca="1" si="177"/>
        <v>7</v>
      </c>
    </row>
    <row r="3717" spans="1:5" x14ac:dyDescent="0.25">
      <c r="A3717" s="3">
        <f t="shared" si="175"/>
        <v>78989</v>
      </c>
      <c r="B3717" t="str">
        <f ca="1">TEXT(DATE(YEAR(Invoer!$A$5),1,1)+INT((ROWS(B$2:B3717)-1)/24),"""18""jjmmdd")</f>
        <v>18980604</v>
      </c>
      <c r="C3717" s="11" t="str">
        <f>INDEX(Data,2,2+MOD(ROWS(C$2:C3717)-1,24))</f>
        <v>20.00</v>
      </c>
      <c r="D3717" s="8" t="str">
        <f t="shared" ca="1" si="176"/>
        <v>—</v>
      </c>
      <c r="E3717" s="16">
        <f t="shared" ca="1" si="177"/>
        <v>7</v>
      </c>
    </row>
    <row r="3718" spans="1:5" x14ac:dyDescent="0.25">
      <c r="A3718" s="3">
        <f t="shared" si="175"/>
        <v>78989</v>
      </c>
      <c r="B3718" t="str">
        <f ca="1">TEXT(DATE(YEAR(Invoer!$A$5),1,1)+INT((ROWS(B$2:B3718)-1)/24),"""18""jjmmdd")</f>
        <v>18980604</v>
      </c>
      <c r="C3718" s="11" t="str">
        <f>INDEX(Data,2,2+MOD(ROWS(C$2:C3718)-1,24))</f>
        <v>21.00</v>
      </c>
      <c r="D3718" s="8" t="str">
        <f t="shared" ca="1" si="176"/>
        <v>—</v>
      </c>
      <c r="E3718" s="16">
        <f t="shared" ca="1" si="177"/>
        <v>7</v>
      </c>
    </row>
    <row r="3719" spans="1:5" x14ac:dyDescent="0.25">
      <c r="A3719" s="3">
        <f t="shared" si="175"/>
        <v>78989</v>
      </c>
      <c r="B3719" t="str">
        <f ca="1">TEXT(DATE(YEAR(Invoer!$A$5),1,1)+INT((ROWS(B$2:B3719)-1)/24),"""18""jjmmdd")</f>
        <v>18980604</v>
      </c>
      <c r="C3719" s="11" t="str">
        <f>INDEX(Data,2,2+MOD(ROWS(C$2:C3719)-1,24))</f>
        <v>22.00</v>
      </c>
      <c r="D3719" s="8" t="str">
        <f t="shared" ca="1" si="176"/>
        <v>—</v>
      </c>
      <c r="E3719" s="16">
        <f t="shared" ca="1" si="177"/>
        <v>7</v>
      </c>
    </row>
    <row r="3720" spans="1:5" x14ac:dyDescent="0.25">
      <c r="A3720" s="3">
        <f t="shared" si="175"/>
        <v>78989</v>
      </c>
      <c r="B3720" t="str">
        <f ca="1">TEXT(DATE(YEAR(Invoer!$A$5),1,1)+INT((ROWS(B$2:B3720)-1)/24),"""18""jjmmdd")</f>
        <v>18980604</v>
      </c>
      <c r="C3720" s="11" t="str">
        <f>INDEX(Data,2,2+MOD(ROWS(C$2:C3720)-1,24))</f>
        <v>23.00</v>
      </c>
      <c r="D3720" s="8" t="str">
        <f t="shared" ca="1" si="176"/>
        <v>—</v>
      </c>
      <c r="E3720" s="16">
        <f t="shared" ca="1" si="177"/>
        <v>7</v>
      </c>
    </row>
    <row r="3721" spans="1:5" x14ac:dyDescent="0.25">
      <c r="A3721" s="3">
        <f t="shared" si="175"/>
        <v>78989</v>
      </c>
      <c r="B3721" t="str">
        <f ca="1">TEXT(DATE(YEAR(Invoer!$A$5),1,1)+INT((ROWS(B$2:B3721)-1)/24),"""18""jjmmdd")</f>
        <v>18980604</v>
      </c>
      <c r="C3721" s="11" t="str">
        <f>INDEX(Data,2,2+MOD(ROWS(C$2:C3721)-1,24))</f>
        <v>24.00</v>
      </c>
      <c r="D3721" s="8" t="str">
        <f t="shared" ca="1" si="176"/>
        <v>—</v>
      </c>
      <c r="E3721" s="16">
        <f t="shared" ca="1" si="177"/>
        <v>7</v>
      </c>
    </row>
    <row r="3722" spans="1:5" x14ac:dyDescent="0.25">
      <c r="A3722" s="3">
        <f t="shared" si="175"/>
        <v>78989</v>
      </c>
      <c r="B3722" t="str">
        <f ca="1">TEXT(DATE(YEAR(Invoer!$A$5),1,1)+INT((ROWS(B$2:B3722)-1)/24),"""18""jjmmdd")</f>
        <v>18980605</v>
      </c>
      <c r="C3722" s="11" t="str">
        <f>INDEX(Data,2,2+MOD(ROWS(C$2:C3722)-1,24))</f>
        <v>01.00</v>
      </c>
      <c r="D3722" s="8" t="str">
        <f t="shared" ca="1" si="176"/>
        <v>—</v>
      </c>
      <c r="E3722" s="16">
        <f t="shared" ca="1" si="177"/>
        <v>7</v>
      </c>
    </row>
    <row r="3723" spans="1:5" x14ac:dyDescent="0.25">
      <c r="A3723" s="3">
        <f t="shared" si="175"/>
        <v>78989</v>
      </c>
      <c r="B3723" t="str">
        <f ca="1">TEXT(DATE(YEAR(Invoer!$A$5),1,1)+INT((ROWS(B$2:B3723)-1)/24),"""18""jjmmdd")</f>
        <v>18980605</v>
      </c>
      <c r="C3723" s="11" t="str">
        <f>INDEX(Data,2,2+MOD(ROWS(C$2:C3723)-1,24))</f>
        <v>02.00</v>
      </c>
      <c r="D3723" s="8" t="str">
        <f t="shared" ca="1" si="176"/>
        <v>—</v>
      </c>
      <c r="E3723" s="16">
        <f t="shared" ca="1" si="177"/>
        <v>7</v>
      </c>
    </row>
    <row r="3724" spans="1:5" x14ac:dyDescent="0.25">
      <c r="A3724" s="3">
        <f t="shared" si="175"/>
        <v>78989</v>
      </c>
      <c r="B3724" t="str">
        <f ca="1">TEXT(DATE(YEAR(Invoer!$A$5),1,1)+INT((ROWS(B$2:B3724)-1)/24),"""18""jjmmdd")</f>
        <v>18980605</v>
      </c>
      <c r="C3724" s="11" t="str">
        <f>INDEX(Data,2,2+MOD(ROWS(C$2:C3724)-1,24))</f>
        <v>03.00</v>
      </c>
      <c r="D3724" s="8" t="str">
        <f t="shared" ca="1" si="176"/>
        <v>—</v>
      </c>
      <c r="E3724" s="16">
        <f t="shared" ca="1" si="177"/>
        <v>7</v>
      </c>
    </row>
    <row r="3725" spans="1:5" x14ac:dyDescent="0.25">
      <c r="A3725" s="3">
        <f t="shared" si="175"/>
        <v>78989</v>
      </c>
      <c r="B3725" t="str">
        <f ca="1">TEXT(DATE(YEAR(Invoer!$A$5),1,1)+INT((ROWS(B$2:B3725)-1)/24),"""18""jjmmdd")</f>
        <v>18980605</v>
      </c>
      <c r="C3725" s="11" t="str">
        <f>INDEX(Data,2,2+MOD(ROWS(C$2:C3725)-1,24))</f>
        <v>04.00</v>
      </c>
      <c r="D3725" s="8" t="str">
        <f t="shared" ca="1" si="176"/>
        <v>—</v>
      </c>
      <c r="E3725" s="16">
        <f t="shared" ca="1" si="177"/>
        <v>7</v>
      </c>
    </row>
    <row r="3726" spans="1:5" x14ac:dyDescent="0.25">
      <c r="A3726" s="3">
        <f t="shared" si="175"/>
        <v>78989</v>
      </c>
      <c r="B3726" t="str">
        <f ca="1">TEXT(DATE(YEAR(Invoer!$A$5),1,1)+INT((ROWS(B$2:B3726)-1)/24),"""18""jjmmdd")</f>
        <v>18980605</v>
      </c>
      <c r="C3726" s="11" t="str">
        <f>INDEX(Data,2,2+MOD(ROWS(C$2:C3726)-1,24))</f>
        <v>05.00</v>
      </c>
      <c r="D3726" s="8" t="str">
        <f t="shared" ca="1" si="176"/>
        <v>—</v>
      </c>
      <c r="E3726" s="16">
        <f t="shared" ca="1" si="177"/>
        <v>7</v>
      </c>
    </row>
    <row r="3727" spans="1:5" x14ac:dyDescent="0.25">
      <c r="A3727" s="3">
        <f t="shared" si="175"/>
        <v>78989</v>
      </c>
      <c r="B3727" t="str">
        <f ca="1">TEXT(DATE(YEAR(Invoer!$A$5),1,1)+INT((ROWS(B$2:B3727)-1)/24),"""18""jjmmdd")</f>
        <v>18980605</v>
      </c>
      <c r="C3727" s="11" t="str">
        <f>INDEX(Data,2,2+MOD(ROWS(C$2:C3727)-1,24))</f>
        <v>06.00</v>
      </c>
      <c r="D3727" s="8" t="str">
        <f t="shared" ca="1" si="176"/>
        <v>—</v>
      </c>
      <c r="E3727" s="16">
        <f t="shared" ca="1" si="177"/>
        <v>7</v>
      </c>
    </row>
    <row r="3728" spans="1:5" x14ac:dyDescent="0.25">
      <c r="A3728" s="3">
        <f t="shared" si="175"/>
        <v>78989</v>
      </c>
      <c r="B3728" t="str">
        <f ca="1">TEXT(DATE(YEAR(Invoer!$A$5),1,1)+INT((ROWS(B$2:B3728)-1)/24),"""18""jjmmdd")</f>
        <v>18980605</v>
      </c>
      <c r="C3728" s="11" t="str">
        <f>INDEX(Data,2,2+MOD(ROWS(C$2:C3728)-1,24))</f>
        <v>07.00</v>
      </c>
      <c r="D3728" s="8" t="str">
        <f t="shared" ca="1" si="176"/>
        <v>—</v>
      </c>
      <c r="E3728" s="16">
        <f t="shared" ca="1" si="177"/>
        <v>7</v>
      </c>
    </row>
    <row r="3729" spans="1:5" x14ac:dyDescent="0.25">
      <c r="A3729" s="3">
        <f t="shared" si="175"/>
        <v>78989</v>
      </c>
      <c r="B3729" t="str">
        <f ca="1">TEXT(DATE(YEAR(Invoer!$A$5),1,1)+INT((ROWS(B$2:B3729)-1)/24),"""18""jjmmdd")</f>
        <v>18980605</v>
      </c>
      <c r="C3729" s="11" t="str">
        <f>INDEX(Data,2,2+MOD(ROWS(C$2:C3729)-1,24))</f>
        <v>08.00</v>
      </c>
      <c r="D3729" s="8" t="str">
        <f t="shared" ca="1" si="176"/>
        <v>—</v>
      </c>
      <c r="E3729" s="16">
        <f t="shared" ca="1" si="177"/>
        <v>7</v>
      </c>
    </row>
    <row r="3730" spans="1:5" x14ac:dyDescent="0.25">
      <c r="A3730" s="3">
        <f t="shared" si="175"/>
        <v>78989</v>
      </c>
      <c r="B3730" t="str">
        <f ca="1">TEXT(DATE(YEAR(Invoer!$A$5),1,1)+INT((ROWS(B$2:B3730)-1)/24),"""18""jjmmdd")</f>
        <v>18980605</v>
      </c>
      <c r="C3730" s="11" t="str">
        <f>INDEX(Data,2,2+MOD(ROWS(C$2:C3730)-1,24))</f>
        <v>09.00</v>
      </c>
      <c r="D3730" s="8" t="str">
        <f t="shared" ca="1" si="176"/>
        <v>—</v>
      </c>
      <c r="E3730" s="16">
        <f t="shared" ca="1" si="177"/>
        <v>7</v>
      </c>
    </row>
    <row r="3731" spans="1:5" x14ac:dyDescent="0.25">
      <c r="A3731" s="3">
        <f t="shared" si="175"/>
        <v>78989</v>
      </c>
      <c r="B3731" t="str">
        <f ca="1">TEXT(DATE(YEAR(Invoer!$A$5),1,1)+INT((ROWS(B$2:B3731)-1)/24),"""18""jjmmdd")</f>
        <v>18980605</v>
      </c>
      <c r="C3731" s="11" t="str">
        <f>INDEX(Data,2,2+MOD(ROWS(C$2:C3731)-1,24))</f>
        <v>10.00</v>
      </c>
      <c r="D3731" s="8" t="str">
        <f t="shared" ca="1" si="176"/>
        <v>—</v>
      </c>
      <c r="E3731" s="16">
        <f t="shared" ca="1" si="177"/>
        <v>7</v>
      </c>
    </row>
    <row r="3732" spans="1:5" x14ac:dyDescent="0.25">
      <c r="A3732" s="3">
        <f t="shared" si="175"/>
        <v>78989</v>
      </c>
      <c r="B3732" t="str">
        <f ca="1">TEXT(DATE(YEAR(Invoer!$A$5),1,1)+INT((ROWS(B$2:B3732)-1)/24),"""18""jjmmdd")</f>
        <v>18980605</v>
      </c>
      <c r="C3732" s="11" t="str">
        <f>INDEX(Data,2,2+MOD(ROWS(C$2:C3732)-1,24))</f>
        <v>11.00</v>
      </c>
      <c r="D3732" s="8" t="str">
        <f t="shared" ca="1" si="176"/>
        <v>—</v>
      </c>
      <c r="E3732" s="16">
        <f t="shared" ca="1" si="177"/>
        <v>7</v>
      </c>
    </row>
    <row r="3733" spans="1:5" x14ac:dyDescent="0.25">
      <c r="A3733" s="3">
        <f t="shared" si="175"/>
        <v>78989</v>
      </c>
      <c r="B3733" t="str">
        <f ca="1">TEXT(DATE(YEAR(Invoer!$A$5),1,1)+INT((ROWS(B$2:B3733)-1)/24),"""18""jjmmdd")</f>
        <v>18980605</v>
      </c>
      <c r="C3733" s="11" t="str">
        <f>INDEX(Data,2,2+MOD(ROWS(C$2:C3733)-1,24))</f>
        <v>12.00</v>
      </c>
      <c r="D3733" s="8" t="str">
        <f t="shared" ca="1" si="176"/>
        <v>—</v>
      </c>
      <c r="E3733" s="16">
        <f t="shared" ca="1" si="177"/>
        <v>7</v>
      </c>
    </row>
    <row r="3734" spans="1:5" x14ac:dyDescent="0.25">
      <c r="A3734" s="3">
        <f t="shared" si="175"/>
        <v>78989</v>
      </c>
      <c r="B3734" t="str">
        <f ca="1">TEXT(DATE(YEAR(Invoer!$A$5),1,1)+INT((ROWS(B$2:B3734)-1)/24),"""18""jjmmdd")</f>
        <v>18980605</v>
      </c>
      <c r="C3734" s="11" t="str">
        <f>INDEX(Data,2,2+MOD(ROWS(C$2:C3734)-1,24))</f>
        <v>13.00</v>
      </c>
      <c r="D3734" s="8" t="str">
        <f t="shared" ca="1" si="176"/>
        <v>—</v>
      </c>
      <c r="E3734" s="16">
        <f t="shared" ca="1" si="177"/>
        <v>7</v>
      </c>
    </row>
    <row r="3735" spans="1:5" x14ac:dyDescent="0.25">
      <c r="A3735" s="3">
        <f t="shared" si="175"/>
        <v>78989</v>
      </c>
      <c r="B3735" t="str">
        <f ca="1">TEXT(DATE(YEAR(Invoer!$A$5),1,1)+INT((ROWS(B$2:B3735)-1)/24),"""18""jjmmdd")</f>
        <v>18980605</v>
      </c>
      <c r="C3735" s="11" t="str">
        <f>INDEX(Data,2,2+MOD(ROWS(C$2:C3735)-1,24))</f>
        <v>14.00</v>
      </c>
      <c r="D3735" s="8" t="str">
        <f t="shared" ca="1" si="176"/>
        <v>—</v>
      </c>
      <c r="E3735" s="16">
        <f t="shared" ca="1" si="177"/>
        <v>7</v>
      </c>
    </row>
    <row r="3736" spans="1:5" x14ac:dyDescent="0.25">
      <c r="A3736" s="3">
        <f t="shared" si="175"/>
        <v>78989</v>
      </c>
      <c r="B3736" t="str">
        <f ca="1">TEXT(DATE(YEAR(Invoer!$A$5),1,1)+INT((ROWS(B$2:B3736)-1)/24),"""18""jjmmdd")</f>
        <v>18980605</v>
      </c>
      <c r="C3736" s="11" t="str">
        <f>INDEX(Data,2,2+MOD(ROWS(C$2:C3736)-1,24))</f>
        <v>15.00</v>
      </c>
      <c r="D3736" s="8" t="str">
        <f t="shared" ca="1" si="176"/>
        <v>—</v>
      </c>
      <c r="E3736" s="16">
        <f t="shared" ca="1" si="177"/>
        <v>7</v>
      </c>
    </row>
    <row r="3737" spans="1:5" x14ac:dyDescent="0.25">
      <c r="A3737" s="3">
        <f t="shared" si="175"/>
        <v>78989</v>
      </c>
      <c r="B3737" t="str">
        <f ca="1">TEXT(DATE(YEAR(Invoer!$A$5),1,1)+INT((ROWS(B$2:B3737)-1)/24),"""18""jjmmdd")</f>
        <v>18980605</v>
      </c>
      <c r="C3737" s="11" t="str">
        <f>INDEX(Data,2,2+MOD(ROWS(C$2:C3737)-1,24))</f>
        <v>16.00</v>
      </c>
      <c r="D3737" s="8" t="str">
        <f t="shared" ca="1" si="176"/>
        <v>—</v>
      </c>
      <c r="E3737" s="16">
        <f t="shared" ca="1" si="177"/>
        <v>7</v>
      </c>
    </row>
    <row r="3738" spans="1:5" x14ac:dyDescent="0.25">
      <c r="A3738" s="3">
        <f t="shared" si="175"/>
        <v>78989</v>
      </c>
      <c r="B3738" t="str">
        <f ca="1">TEXT(DATE(YEAR(Invoer!$A$5),1,1)+INT((ROWS(B$2:B3738)-1)/24),"""18""jjmmdd")</f>
        <v>18980605</v>
      </c>
      <c r="C3738" s="11" t="str">
        <f>INDEX(Data,2,2+MOD(ROWS(C$2:C3738)-1,24))</f>
        <v>17.00</v>
      </c>
      <c r="D3738" s="8" t="str">
        <f t="shared" ca="1" si="176"/>
        <v>—</v>
      </c>
      <c r="E3738" s="16">
        <f t="shared" ca="1" si="177"/>
        <v>7</v>
      </c>
    </row>
    <row r="3739" spans="1:5" x14ac:dyDescent="0.25">
      <c r="A3739" s="3">
        <f t="shared" si="175"/>
        <v>78989</v>
      </c>
      <c r="B3739" t="str">
        <f ca="1">TEXT(DATE(YEAR(Invoer!$A$5),1,1)+INT((ROWS(B$2:B3739)-1)/24),"""18""jjmmdd")</f>
        <v>18980605</v>
      </c>
      <c r="C3739" s="11" t="str">
        <f>INDEX(Data,2,2+MOD(ROWS(C$2:C3739)-1,24))</f>
        <v>18.00</v>
      </c>
      <c r="D3739" s="8" t="str">
        <f t="shared" ca="1" si="176"/>
        <v>—</v>
      </c>
      <c r="E3739" s="16">
        <f t="shared" ca="1" si="177"/>
        <v>7</v>
      </c>
    </row>
    <row r="3740" spans="1:5" x14ac:dyDescent="0.25">
      <c r="A3740" s="3">
        <f t="shared" si="175"/>
        <v>78989</v>
      </c>
      <c r="B3740" t="str">
        <f ca="1">TEXT(DATE(YEAR(Invoer!$A$5),1,1)+INT((ROWS(B$2:B3740)-1)/24),"""18""jjmmdd")</f>
        <v>18980605</v>
      </c>
      <c r="C3740" s="11" t="str">
        <f>INDEX(Data,2,2+MOD(ROWS(C$2:C3740)-1,24))</f>
        <v>19.00</v>
      </c>
      <c r="D3740" s="8" t="str">
        <f t="shared" ca="1" si="176"/>
        <v>—</v>
      </c>
      <c r="E3740" s="16">
        <f t="shared" ca="1" si="177"/>
        <v>7</v>
      </c>
    </row>
    <row r="3741" spans="1:5" x14ac:dyDescent="0.25">
      <c r="A3741" s="3">
        <f t="shared" si="175"/>
        <v>78989</v>
      </c>
      <c r="B3741" t="str">
        <f ca="1">TEXT(DATE(YEAR(Invoer!$A$5),1,1)+INT((ROWS(B$2:B3741)-1)/24),"""18""jjmmdd")</f>
        <v>18980605</v>
      </c>
      <c r="C3741" s="11" t="str">
        <f>INDEX(Data,2,2+MOD(ROWS(C$2:C3741)-1,24))</f>
        <v>20.00</v>
      </c>
      <c r="D3741" s="8" t="str">
        <f t="shared" ca="1" si="176"/>
        <v>—</v>
      </c>
      <c r="E3741" s="16">
        <f t="shared" ca="1" si="177"/>
        <v>7</v>
      </c>
    </row>
    <row r="3742" spans="1:5" x14ac:dyDescent="0.25">
      <c r="A3742" s="3">
        <f t="shared" si="175"/>
        <v>78989</v>
      </c>
      <c r="B3742" t="str">
        <f ca="1">TEXT(DATE(YEAR(Invoer!$A$5),1,1)+INT((ROWS(B$2:B3742)-1)/24),"""18""jjmmdd")</f>
        <v>18980605</v>
      </c>
      <c r="C3742" s="11" t="str">
        <f>INDEX(Data,2,2+MOD(ROWS(C$2:C3742)-1,24))</f>
        <v>21.00</v>
      </c>
      <c r="D3742" s="8" t="str">
        <f t="shared" ca="1" si="176"/>
        <v>—</v>
      </c>
      <c r="E3742" s="16">
        <f t="shared" ca="1" si="177"/>
        <v>7</v>
      </c>
    </row>
    <row r="3743" spans="1:5" x14ac:dyDescent="0.25">
      <c r="A3743" s="3">
        <f t="shared" si="175"/>
        <v>78989</v>
      </c>
      <c r="B3743" t="str">
        <f ca="1">TEXT(DATE(YEAR(Invoer!$A$5),1,1)+INT((ROWS(B$2:B3743)-1)/24),"""18""jjmmdd")</f>
        <v>18980605</v>
      </c>
      <c r="C3743" s="11" t="str">
        <f>INDEX(Data,2,2+MOD(ROWS(C$2:C3743)-1,24))</f>
        <v>22.00</v>
      </c>
      <c r="D3743" s="8" t="str">
        <f t="shared" ca="1" si="176"/>
        <v>—</v>
      </c>
      <c r="E3743" s="16">
        <f t="shared" ca="1" si="177"/>
        <v>7</v>
      </c>
    </row>
    <row r="3744" spans="1:5" x14ac:dyDescent="0.25">
      <c r="A3744" s="3">
        <f t="shared" si="175"/>
        <v>78989</v>
      </c>
      <c r="B3744" t="str">
        <f ca="1">TEXT(DATE(YEAR(Invoer!$A$5),1,1)+INT((ROWS(B$2:B3744)-1)/24),"""18""jjmmdd")</f>
        <v>18980605</v>
      </c>
      <c r="C3744" s="11" t="str">
        <f>INDEX(Data,2,2+MOD(ROWS(C$2:C3744)-1,24))</f>
        <v>23.00</v>
      </c>
      <c r="D3744" s="8" t="str">
        <f t="shared" ca="1" si="176"/>
        <v>—</v>
      </c>
      <c r="E3744" s="16">
        <f t="shared" ca="1" si="177"/>
        <v>7</v>
      </c>
    </row>
    <row r="3745" spans="1:5" x14ac:dyDescent="0.25">
      <c r="A3745" s="3">
        <f t="shared" si="175"/>
        <v>78989</v>
      </c>
      <c r="B3745" t="str">
        <f ca="1">TEXT(DATE(YEAR(Invoer!$A$5),1,1)+INT((ROWS(B$2:B3745)-1)/24),"""18""jjmmdd")</f>
        <v>18980605</v>
      </c>
      <c r="C3745" s="11" t="str">
        <f>INDEX(Data,2,2+MOD(ROWS(C$2:C3745)-1,24))</f>
        <v>24.00</v>
      </c>
      <c r="D3745" s="8" t="str">
        <f t="shared" ca="1" si="176"/>
        <v>—</v>
      </c>
      <c r="E3745" s="16">
        <f t="shared" ca="1" si="177"/>
        <v>7</v>
      </c>
    </row>
    <row r="3746" spans="1:5" x14ac:dyDescent="0.25">
      <c r="A3746" s="3">
        <f t="shared" si="175"/>
        <v>78989</v>
      </c>
      <c r="B3746" t="str">
        <f ca="1">TEXT(DATE(YEAR(Invoer!$A$5),1,1)+INT((ROWS(B$2:B3746)-1)/24),"""18""jjmmdd")</f>
        <v>18980606</v>
      </c>
      <c r="C3746" s="11" t="str">
        <f>INDEX(Data,2,2+MOD(ROWS(C$2:C3746)-1,24))</f>
        <v>01.00</v>
      </c>
      <c r="D3746" s="8" t="str">
        <f t="shared" ca="1" si="176"/>
        <v>—</v>
      </c>
      <c r="E3746" s="16">
        <f t="shared" ca="1" si="177"/>
        <v>7</v>
      </c>
    </row>
    <row r="3747" spans="1:5" x14ac:dyDescent="0.25">
      <c r="A3747" s="3">
        <f t="shared" si="175"/>
        <v>78989</v>
      </c>
      <c r="B3747" t="str">
        <f ca="1">TEXT(DATE(YEAR(Invoer!$A$5),1,1)+INT((ROWS(B$2:B3747)-1)/24),"""18""jjmmdd")</f>
        <v>18980606</v>
      </c>
      <c r="C3747" s="11" t="str">
        <f>INDEX(Data,2,2+MOD(ROWS(C$2:C3747)-1,24))</f>
        <v>02.00</v>
      </c>
      <c r="D3747" s="8" t="str">
        <f t="shared" ca="1" si="176"/>
        <v>—</v>
      </c>
      <c r="E3747" s="16">
        <f t="shared" ca="1" si="177"/>
        <v>7</v>
      </c>
    </row>
    <row r="3748" spans="1:5" x14ac:dyDescent="0.25">
      <c r="A3748" s="3">
        <f t="shared" si="175"/>
        <v>78989</v>
      </c>
      <c r="B3748" t="str">
        <f ca="1">TEXT(DATE(YEAR(Invoer!$A$5),1,1)+INT((ROWS(B$2:B3748)-1)/24),"""18""jjmmdd")</f>
        <v>18980606</v>
      </c>
      <c r="C3748" s="11" t="str">
        <f>INDEX(Data,2,2+MOD(ROWS(C$2:C3748)-1,24))</f>
        <v>03.00</v>
      </c>
      <c r="D3748" s="8" t="str">
        <f t="shared" ca="1" si="176"/>
        <v>—</v>
      </c>
      <c r="E3748" s="16">
        <f t="shared" ca="1" si="177"/>
        <v>7</v>
      </c>
    </row>
    <row r="3749" spans="1:5" x14ac:dyDescent="0.25">
      <c r="A3749" s="3">
        <f t="shared" si="175"/>
        <v>78989</v>
      </c>
      <c r="B3749" t="str">
        <f ca="1">TEXT(DATE(YEAR(Invoer!$A$5),1,1)+INT((ROWS(B$2:B3749)-1)/24),"""18""jjmmdd")</f>
        <v>18980606</v>
      </c>
      <c r="C3749" s="11" t="str">
        <f>INDEX(Data,2,2+MOD(ROWS(C$2:C3749)-1,24))</f>
        <v>04.00</v>
      </c>
      <c r="D3749" s="8" t="str">
        <f t="shared" ca="1" si="176"/>
        <v>—</v>
      </c>
      <c r="E3749" s="16">
        <f t="shared" ca="1" si="177"/>
        <v>7</v>
      </c>
    </row>
    <row r="3750" spans="1:5" x14ac:dyDescent="0.25">
      <c r="A3750" s="3">
        <f t="shared" si="175"/>
        <v>78989</v>
      </c>
      <c r="B3750" t="str">
        <f ca="1">TEXT(DATE(YEAR(Invoer!$A$5),1,1)+INT((ROWS(B$2:B3750)-1)/24),"""18""jjmmdd")</f>
        <v>18980606</v>
      </c>
      <c r="C3750" s="11" t="str">
        <f>INDEX(Data,2,2+MOD(ROWS(C$2:C3750)-1,24))</f>
        <v>05.00</v>
      </c>
      <c r="D3750" s="8" t="str">
        <f t="shared" ca="1" si="176"/>
        <v>—</v>
      </c>
      <c r="E3750" s="16">
        <f t="shared" ca="1" si="177"/>
        <v>7</v>
      </c>
    </row>
    <row r="3751" spans="1:5" x14ac:dyDescent="0.25">
      <c r="A3751" s="3">
        <f t="shared" si="175"/>
        <v>78989</v>
      </c>
      <c r="B3751" t="str">
        <f ca="1">TEXT(DATE(YEAR(Invoer!$A$5),1,1)+INT((ROWS(B$2:B3751)-1)/24),"""18""jjmmdd")</f>
        <v>18980606</v>
      </c>
      <c r="C3751" s="11" t="str">
        <f>INDEX(Data,2,2+MOD(ROWS(C$2:C3751)-1,24))</f>
        <v>06.00</v>
      </c>
      <c r="D3751" s="8" t="str">
        <f t="shared" ca="1" si="176"/>
        <v>—</v>
      </c>
      <c r="E3751" s="16">
        <f t="shared" ca="1" si="177"/>
        <v>7</v>
      </c>
    </row>
    <row r="3752" spans="1:5" x14ac:dyDescent="0.25">
      <c r="A3752" s="3">
        <f t="shared" si="175"/>
        <v>78989</v>
      </c>
      <c r="B3752" t="str">
        <f ca="1">TEXT(DATE(YEAR(Invoer!$A$5),1,1)+INT((ROWS(B$2:B3752)-1)/24),"""18""jjmmdd")</f>
        <v>18980606</v>
      </c>
      <c r="C3752" s="11" t="str">
        <f>INDEX(Data,2,2+MOD(ROWS(C$2:C3752)-1,24))</f>
        <v>07.00</v>
      </c>
      <c r="D3752" s="8" t="str">
        <f t="shared" ca="1" si="176"/>
        <v>—</v>
      </c>
      <c r="E3752" s="16">
        <f t="shared" ca="1" si="177"/>
        <v>7</v>
      </c>
    </row>
    <row r="3753" spans="1:5" x14ac:dyDescent="0.25">
      <c r="A3753" s="3">
        <f t="shared" si="175"/>
        <v>78989</v>
      </c>
      <c r="B3753" t="str">
        <f ca="1">TEXT(DATE(YEAR(Invoer!$A$5),1,1)+INT((ROWS(B$2:B3753)-1)/24),"""18""jjmmdd")</f>
        <v>18980606</v>
      </c>
      <c r="C3753" s="11" t="str">
        <f>INDEX(Data,2,2+MOD(ROWS(C$2:C3753)-1,24))</f>
        <v>08.00</v>
      </c>
      <c r="D3753" s="8" t="str">
        <f t="shared" ca="1" si="176"/>
        <v>—</v>
      </c>
      <c r="E3753" s="16">
        <f t="shared" ca="1" si="177"/>
        <v>7</v>
      </c>
    </row>
    <row r="3754" spans="1:5" x14ac:dyDescent="0.25">
      <c r="A3754" s="3">
        <f t="shared" si="175"/>
        <v>78989</v>
      </c>
      <c r="B3754" t="str">
        <f ca="1">TEXT(DATE(YEAR(Invoer!$A$5),1,1)+INT((ROWS(B$2:B3754)-1)/24),"""18""jjmmdd")</f>
        <v>18980606</v>
      </c>
      <c r="C3754" s="11" t="str">
        <f>INDEX(Data,2,2+MOD(ROWS(C$2:C3754)-1,24))</f>
        <v>09.00</v>
      </c>
      <c r="D3754" s="8" t="str">
        <f t="shared" ca="1" si="176"/>
        <v>—</v>
      </c>
      <c r="E3754" s="16">
        <f t="shared" ca="1" si="177"/>
        <v>7</v>
      </c>
    </row>
    <row r="3755" spans="1:5" x14ac:dyDescent="0.25">
      <c r="A3755" s="3">
        <f t="shared" si="175"/>
        <v>78989</v>
      </c>
      <c r="B3755" t="str">
        <f ca="1">TEXT(DATE(YEAR(Invoer!$A$5),1,1)+INT((ROWS(B$2:B3755)-1)/24),"""18""jjmmdd")</f>
        <v>18980606</v>
      </c>
      <c r="C3755" s="11" t="str">
        <f>INDEX(Data,2,2+MOD(ROWS(C$2:C3755)-1,24))</f>
        <v>10.00</v>
      </c>
      <c r="D3755" s="8" t="str">
        <f t="shared" ca="1" si="176"/>
        <v>—</v>
      </c>
      <c r="E3755" s="16">
        <f t="shared" ca="1" si="177"/>
        <v>7</v>
      </c>
    </row>
    <row r="3756" spans="1:5" x14ac:dyDescent="0.25">
      <c r="A3756" s="3">
        <f t="shared" si="175"/>
        <v>78989</v>
      </c>
      <c r="B3756" t="str">
        <f ca="1">TEXT(DATE(YEAR(Invoer!$A$5),1,1)+INT((ROWS(B$2:B3756)-1)/24),"""18""jjmmdd")</f>
        <v>18980606</v>
      </c>
      <c r="C3756" s="11" t="str">
        <f>INDEX(Data,2,2+MOD(ROWS(C$2:C3756)-1,24))</f>
        <v>11.00</v>
      </c>
      <c r="D3756" s="8" t="str">
        <f t="shared" ca="1" si="176"/>
        <v>—</v>
      </c>
      <c r="E3756" s="16">
        <f t="shared" ca="1" si="177"/>
        <v>7</v>
      </c>
    </row>
    <row r="3757" spans="1:5" x14ac:dyDescent="0.25">
      <c r="A3757" s="3">
        <f t="shared" si="175"/>
        <v>78989</v>
      </c>
      <c r="B3757" t="str">
        <f ca="1">TEXT(DATE(YEAR(Invoer!$A$5),1,1)+INT((ROWS(B$2:B3757)-1)/24),"""18""jjmmdd")</f>
        <v>18980606</v>
      </c>
      <c r="C3757" s="11" t="str">
        <f>INDEX(Data,2,2+MOD(ROWS(C$2:C3757)-1,24))</f>
        <v>12.00</v>
      </c>
      <c r="D3757" s="8" t="str">
        <f t="shared" ca="1" si="176"/>
        <v>—</v>
      </c>
      <c r="E3757" s="16">
        <f t="shared" ca="1" si="177"/>
        <v>7</v>
      </c>
    </row>
    <row r="3758" spans="1:5" x14ac:dyDescent="0.25">
      <c r="A3758" s="3">
        <f t="shared" si="175"/>
        <v>78989</v>
      </c>
      <c r="B3758" t="str">
        <f ca="1">TEXT(DATE(YEAR(Invoer!$A$5),1,1)+INT((ROWS(B$2:B3758)-1)/24),"""18""jjmmdd")</f>
        <v>18980606</v>
      </c>
      <c r="C3758" s="11" t="str">
        <f>INDEX(Data,2,2+MOD(ROWS(C$2:C3758)-1,24))</f>
        <v>13.00</v>
      </c>
      <c r="D3758" s="8" t="str">
        <f t="shared" ca="1" si="176"/>
        <v>—</v>
      </c>
      <c r="E3758" s="16">
        <f t="shared" ca="1" si="177"/>
        <v>7</v>
      </c>
    </row>
    <row r="3759" spans="1:5" x14ac:dyDescent="0.25">
      <c r="A3759" s="3">
        <f t="shared" si="175"/>
        <v>78989</v>
      </c>
      <c r="B3759" t="str">
        <f ca="1">TEXT(DATE(YEAR(Invoer!$A$5),1,1)+INT((ROWS(B$2:B3759)-1)/24),"""18""jjmmdd")</f>
        <v>18980606</v>
      </c>
      <c r="C3759" s="11" t="str">
        <f>INDEX(Data,2,2+MOD(ROWS(C$2:C3759)-1,24))</f>
        <v>14.00</v>
      </c>
      <c r="D3759" s="8" t="str">
        <f t="shared" ca="1" si="176"/>
        <v>—</v>
      </c>
      <c r="E3759" s="16">
        <f t="shared" ca="1" si="177"/>
        <v>7</v>
      </c>
    </row>
    <row r="3760" spans="1:5" x14ac:dyDescent="0.25">
      <c r="A3760" s="3">
        <f t="shared" si="175"/>
        <v>78989</v>
      </c>
      <c r="B3760" t="str">
        <f ca="1">TEXT(DATE(YEAR(Invoer!$A$5),1,1)+INT((ROWS(B$2:B3760)-1)/24),"""18""jjmmdd")</f>
        <v>18980606</v>
      </c>
      <c r="C3760" s="11" t="str">
        <f>INDEX(Data,2,2+MOD(ROWS(C$2:C3760)-1,24))</f>
        <v>15.00</v>
      </c>
      <c r="D3760" s="8" t="str">
        <f t="shared" ca="1" si="176"/>
        <v>—</v>
      </c>
      <c r="E3760" s="16">
        <f t="shared" ca="1" si="177"/>
        <v>7</v>
      </c>
    </row>
    <row r="3761" spans="1:5" x14ac:dyDescent="0.25">
      <c r="A3761" s="3">
        <f t="shared" si="175"/>
        <v>78989</v>
      </c>
      <c r="B3761" t="str">
        <f ca="1">TEXT(DATE(YEAR(Invoer!$A$5),1,1)+INT((ROWS(B$2:B3761)-1)/24),"""18""jjmmdd")</f>
        <v>18980606</v>
      </c>
      <c r="C3761" s="11" t="str">
        <f>INDEX(Data,2,2+MOD(ROWS(C$2:C3761)-1,24))</f>
        <v>16.00</v>
      </c>
      <c r="D3761" s="8" t="str">
        <f t="shared" ca="1" si="176"/>
        <v>—</v>
      </c>
      <c r="E3761" s="16">
        <f t="shared" ca="1" si="177"/>
        <v>7</v>
      </c>
    </row>
    <row r="3762" spans="1:5" x14ac:dyDescent="0.25">
      <c r="A3762" s="3">
        <f t="shared" si="175"/>
        <v>78989</v>
      </c>
      <c r="B3762" t="str">
        <f ca="1">TEXT(DATE(YEAR(Invoer!$A$5),1,1)+INT((ROWS(B$2:B3762)-1)/24),"""18""jjmmdd")</f>
        <v>18980606</v>
      </c>
      <c r="C3762" s="11" t="str">
        <f>INDEX(Data,2,2+MOD(ROWS(C$2:C3762)-1,24))</f>
        <v>17.00</v>
      </c>
      <c r="D3762" s="8" t="str">
        <f t="shared" ca="1" si="176"/>
        <v>—</v>
      </c>
      <c r="E3762" s="16">
        <f t="shared" ca="1" si="177"/>
        <v>7</v>
      </c>
    </row>
    <row r="3763" spans="1:5" x14ac:dyDescent="0.25">
      <c r="A3763" s="3">
        <f t="shared" si="175"/>
        <v>78989</v>
      </c>
      <c r="B3763" t="str">
        <f ca="1">TEXT(DATE(YEAR(Invoer!$A$5),1,1)+INT((ROWS(B$2:B3763)-1)/24),"""18""jjmmdd")</f>
        <v>18980606</v>
      </c>
      <c r="C3763" s="11" t="str">
        <f>INDEX(Data,2,2+MOD(ROWS(C$2:C3763)-1,24))</f>
        <v>18.00</v>
      </c>
      <c r="D3763" s="8" t="str">
        <f t="shared" ca="1" si="176"/>
        <v>—</v>
      </c>
      <c r="E3763" s="16">
        <f t="shared" ca="1" si="177"/>
        <v>7</v>
      </c>
    </row>
    <row r="3764" spans="1:5" x14ac:dyDescent="0.25">
      <c r="A3764" s="3">
        <f t="shared" si="175"/>
        <v>78989</v>
      </c>
      <c r="B3764" t="str">
        <f ca="1">TEXT(DATE(YEAR(Invoer!$A$5),1,1)+INT((ROWS(B$2:B3764)-1)/24),"""18""jjmmdd")</f>
        <v>18980606</v>
      </c>
      <c r="C3764" s="11" t="str">
        <f>INDEX(Data,2,2+MOD(ROWS(C$2:C3764)-1,24))</f>
        <v>19.00</v>
      </c>
      <c r="D3764" s="8" t="str">
        <f t="shared" ca="1" si="176"/>
        <v>—</v>
      </c>
      <c r="E3764" s="16">
        <f t="shared" ca="1" si="177"/>
        <v>7</v>
      </c>
    </row>
    <row r="3765" spans="1:5" x14ac:dyDescent="0.25">
      <c r="A3765" s="3">
        <f t="shared" si="175"/>
        <v>78989</v>
      </c>
      <c r="B3765" t="str">
        <f ca="1">TEXT(DATE(YEAR(Invoer!$A$5),1,1)+INT((ROWS(B$2:B3765)-1)/24),"""18""jjmmdd")</f>
        <v>18980606</v>
      </c>
      <c r="C3765" s="11" t="str">
        <f>INDEX(Data,2,2+MOD(ROWS(C$2:C3765)-1,24))</f>
        <v>20.00</v>
      </c>
      <c r="D3765" s="8" t="str">
        <f t="shared" ca="1" si="176"/>
        <v>—</v>
      </c>
      <c r="E3765" s="16">
        <f t="shared" ca="1" si="177"/>
        <v>7</v>
      </c>
    </row>
    <row r="3766" spans="1:5" x14ac:dyDescent="0.25">
      <c r="A3766" s="3">
        <f t="shared" si="175"/>
        <v>78989</v>
      </c>
      <c r="B3766" t="str">
        <f ca="1">TEXT(DATE(YEAR(Invoer!$A$5),1,1)+INT((ROWS(B$2:B3766)-1)/24),"""18""jjmmdd")</f>
        <v>18980606</v>
      </c>
      <c r="C3766" s="11" t="str">
        <f>INDEX(Data,2,2+MOD(ROWS(C$2:C3766)-1,24))</f>
        <v>21.00</v>
      </c>
      <c r="D3766" s="8" t="str">
        <f t="shared" ca="1" si="176"/>
        <v>—</v>
      </c>
      <c r="E3766" s="16">
        <f t="shared" ca="1" si="177"/>
        <v>7</v>
      </c>
    </row>
    <row r="3767" spans="1:5" x14ac:dyDescent="0.25">
      <c r="A3767" s="3">
        <f t="shared" si="175"/>
        <v>78989</v>
      </c>
      <c r="B3767" t="str">
        <f ca="1">TEXT(DATE(YEAR(Invoer!$A$5),1,1)+INT((ROWS(B$2:B3767)-1)/24),"""18""jjmmdd")</f>
        <v>18980606</v>
      </c>
      <c r="C3767" s="11" t="str">
        <f>INDEX(Data,2,2+MOD(ROWS(C$2:C3767)-1,24))</f>
        <v>22.00</v>
      </c>
      <c r="D3767" s="8" t="str">
        <f t="shared" ca="1" si="176"/>
        <v>—</v>
      </c>
      <c r="E3767" s="16">
        <f t="shared" ca="1" si="177"/>
        <v>7</v>
      </c>
    </row>
    <row r="3768" spans="1:5" x14ac:dyDescent="0.25">
      <c r="A3768" s="3">
        <f t="shared" si="175"/>
        <v>78989</v>
      </c>
      <c r="B3768" t="str">
        <f ca="1">TEXT(DATE(YEAR(Invoer!$A$5),1,1)+INT((ROWS(B$2:B3768)-1)/24),"""18""jjmmdd")</f>
        <v>18980606</v>
      </c>
      <c r="C3768" s="11" t="str">
        <f>INDEX(Data,2,2+MOD(ROWS(C$2:C3768)-1,24))</f>
        <v>23.00</v>
      </c>
      <c r="D3768" s="8" t="str">
        <f t="shared" ca="1" si="176"/>
        <v>—</v>
      </c>
      <c r="E3768" s="16">
        <f t="shared" ca="1" si="177"/>
        <v>7</v>
      </c>
    </row>
    <row r="3769" spans="1:5" x14ac:dyDescent="0.25">
      <c r="A3769" s="3">
        <f t="shared" si="175"/>
        <v>78989</v>
      </c>
      <c r="B3769" t="str">
        <f ca="1">TEXT(DATE(YEAR(Invoer!$A$5),1,1)+INT((ROWS(B$2:B3769)-1)/24),"""18""jjmmdd")</f>
        <v>18980606</v>
      </c>
      <c r="C3769" s="11" t="str">
        <f>INDEX(Data,2,2+MOD(ROWS(C$2:C3769)-1,24))</f>
        <v>24.00</v>
      </c>
      <c r="D3769" s="8" t="str">
        <f t="shared" ca="1" si="176"/>
        <v>—</v>
      </c>
      <c r="E3769" s="16">
        <f t="shared" ca="1" si="177"/>
        <v>7</v>
      </c>
    </row>
    <row r="3770" spans="1:5" x14ac:dyDescent="0.25">
      <c r="A3770" s="3">
        <f t="shared" si="175"/>
        <v>78989</v>
      </c>
      <c r="B3770" t="str">
        <f ca="1">TEXT(DATE(YEAR(Invoer!$A$5),1,1)+INT((ROWS(B$2:B3770)-1)/24),"""18""jjmmdd")</f>
        <v>18980607</v>
      </c>
      <c r="C3770" s="11" t="str">
        <f>INDEX(Data,2,2+MOD(ROWS(C$2:C3770)-1,24))</f>
        <v>01.00</v>
      </c>
      <c r="D3770" s="8" t="str">
        <f t="shared" ca="1" si="176"/>
        <v>—</v>
      </c>
      <c r="E3770" s="16">
        <f t="shared" ca="1" si="177"/>
        <v>7</v>
      </c>
    </row>
    <row r="3771" spans="1:5" x14ac:dyDescent="0.25">
      <c r="A3771" s="3">
        <f t="shared" si="175"/>
        <v>78989</v>
      </c>
      <c r="B3771" t="str">
        <f ca="1">TEXT(DATE(YEAR(Invoer!$A$5),1,1)+INT((ROWS(B$2:B3771)-1)/24),"""18""jjmmdd")</f>
        <v>18980607</v>
      </c>
      <c r="C3771" s="11" t="str">
        <f>INDEX(Data,2,2+MOD(ROWS(C$2:C3771)-1,24))</f>
        <v>02.00</v>
      </c>
      <c r="D3771" s="8" t="str">
        <f t="shared" ca="1" si="176"/>
        <v>—</v>
      </c>
      <c r="E3771" s="16">
        <f t="shared" ca="1" si="177"/>
        <v>7</v>
      </c>
    </row>
    <row r="3772" spans="1:5" x14ac:dyDescent="0.25">
      <c r="A3772" s="3">
        <f t="shared" si="175"/>
        <v>78989</v>
      </c>
      <c r="B3772" t="str">
        <f ca="1">TEXT(DATE(YEAR(Invoer!$A$5),1,1)+INT((ROWS(B$2:B3772)-1)/24),"""18""jjmmdd")</f>
        <v>18980607</v>
      </c>
      <c r="C3772" s="11" t="str">
        <f>INDEX(Data,2,2+MOD(ROWS(C$2:C3772)-1,24))</f>
        <v>03.00</v>
      </c>
      <c r="D3772" s="8" t="str">
        <f t="shared" ca="1" si="176"/>
        <v>—</v>
      </c>
      <c r="E3772" s="16">
        <f t="shared" ca="1" si="177"/>
        <v>7</v>
      </c>
    </row>
    <row r="3773" spans="1:5" x14ac:dyDescent="0.25">
      <c r="A3773" s="3">
        <f t="shared" si="175"/>
        <v>78989</v>
      </c>
      <c r="B3773" t="str">
        <f ca="1">TEXT(DATE(YEAR(Invoer!$A$5),1,1)+INT((ROWS(B$2:B3773)-1)/24),"""18""jjmmdd")</f>
        <v>18980607</v>
      </c>
      <c r="C3773" s="11" t="str">
        <f>INDEX(Data,2,2+MOD(ROWS(C$2:C3773)-1,24))</f>
        <v>04.00</v>
      </c>
      <c r="D3773" s="8" t="str">
        <f t="shared" ca="1" si="176"/>
        <v>—</v>
      </c>
      <c r="E3773" s="16">
        <f t="shared" ca="1" si="177"/>
        <v>7</v>
      </c>
    </row>
    <row r="3774" spans="1:5" x14ac:dyDescent="0.25">
      <c r="A3774" s="3">
        <f t="shared" si="175"/>
        <v>78989</v>
      </c>
      <c r="B3774" t="str">
        <f ca="1">TEXT(DATE(YEAR(Invoer!$A$5),1,1)+INT((ROWS(B$2:B3774)-1)/24),"""18""jjmmdd")</f>
        <v>18980607</v>
      </c>
      <c r="C3774" s="11" t="str">
        <f>INDEX(Data,2,2+MOD(ROWS(C$2:C3774)-1,24))</f>
        <v>05.00</v>
      </c>
      <c r="D3774" s="8" t="str">
        <f t="shared" ca="1" si="176"/>
        <v>—</v>
      </c>
      <c r="E3774" s="16">
        <f t="shared" ca="1" si="177"/>
        <v>7</v>
      </c>
    </row>
    <row r="3775" spans="1:5" x14ac:dyDescent="0.25">
      <c r="A3775" s="3">
        <f t="shared" si="175"/>
        <v>78989</v>
      </c>
      <c r="B3775" t="str">
        <f ca="1">TEXT(DATE(YEAR(Invoer!$A$5),1,1)+INT((ROWS(B$2:B3775)-1)/24),"""18""jjmmdd")</f>
        <v>18980607</v>
      </c>
      <c r="C3775" s="11" t="str">
        <f>INDEX(Data,2,2+MOD(ROWS(C$2:C3775)-1,24))</f>
        <v>06.00</v>
      </c>
      <c r="D3775" s="8" t="str">
        <f t="shared" ca="1" si="176"/>
        <v>—</v>
      </c>
      <c r="E3775" s="16">
        <f t="shared" ca="1" si="177"/>
        <v>7</v>
      </c>
    </row>
    <row r="3776" spans="1:5" x14ac:dyDescent="0.25">
      <c r="A3776" s="3">
        <f t="shared" si="175"/>
        <v>78989</v>
      </c>
      <c r="B3776" t="str">
        <f ca="1">TEXT(DATE(YEAR(Invoer!$A$5),1,1)+INT((ROWS(B$2:B3776)-1)/24),"""18""jjmmdd")</f>
        <v>18980607</v>
      </c>
      <c r="C3776" s="11" t="str">
        <f>INDEX(Data,2,2+MOD(ROWS(C$2:C3776)-1,24))</f>
        <v>07.00</v>
      </c>
      <c r="D3776" s="8" t="str">
        <f t="shared" ca="1" si="176"/>
        <v>—</v>
      </c>
      <c r="E3776" s="16">
        <f t="shared" ca="1" si="177"/>
        <v>7</v>
      </c>
    </row>
    <row r="3777" spans="1:5" x14ac:dyDescent="0.25">
      <c r="A3777" s="3">
        <f t="shared" si="175"/>
        <v>78989</v>
      </c>
      <c r="B3777" t="str">
        <f ca="1">TEXT(DATE(YEAR(Invoer!$A$5),1,1)+INT((ROWS(B$2:B3777)-1)/24),"""18""jjmmdd")</f>
        <v>18980607</v>
      </c>
      <c r="C3777" s="11" t="str">
        <f>INDEX(Data,2,2+MOD(ROWS(C$2:C3777)-1,24))</f>
        <v>08.00</v>
      </c>
      <c r="D3777" s="8" t="str">
        <f t="shared" ca="1" si="176"/>
        <v>—</v>
      </c>
      <c r="E3777" s="16">
        <f t="shared" ca="1" si="177"/>
        <v>7</v>
      </c>
    </row>
    <row r="3778" spans="1:5" x14ac:dyDescent="0.25">
      <c r="A3778" s="3">
        <f t="shared" ref="A3778:A3841" si="178">INDEX(Stations,2,1)</f>
        <v>78989</v>
      </c>
      <c r="B3778" t="str">
        <f ca="1">TEXT(DATE(YEAR(Invoer!$A$5),1,1)+INT((ROWS(B$2:B3778)-1)/24),"""18""jjmmdd")</f>
        <v>18980607</v>
      </c>
      <c r="C3778" s="11" t="str">
        <f>INDEX(Data,2,2+MOD(ROWS(C$2:C3778)-1,24))</f>
        <v>09.00</v>
      </c>
      <c r="D3778" s="8" t="str">
        <f t="shared" ref="D3778:D3841" ca="1" si="179">IF(OR(ISBLANK(VLOOKUP(DATEVALUE("37"&amp;MID($B3778,3,2)&amp;"-"&amp;MID($B3778,5,2)&amp;"-"&amp;RIGHT($B3778,2)),Data,MATCH(LEFT(VLOOKUP(D$1,Parameters,2,FALSE()),4)&amp;"*",OFFSET(Data,0,0,1),0)+MATCH($C3778,OFFSET(Data,1,0,1),0)-2,FALSE())),ISTEXT(VLOOKUP(DATEVALUE("37"&amp;MID($B3778,3,2)&amp;"-"&amp;MID($B3778,5,2)&amp;"-"&amp;RIGHT($B3778,2)),Data,MATCH(LEFT(VLOOKUP(D$1,Parameters,2,FALSE()),4)&amp;"*",OFFSET(Data,0,0,1),0)+MATCH($C3778,OFFSET(Data,1,0,1),0)-2,FALSE()))),"—",VLOOKUP(DATEVALUE("37"&amp;MID($B3778,3,2)&amp;"-"&amp;MID($B3778,5,2)&amp;"-"&amp;RIGHT($B3778,2)),Data,MATCH(LEFT(VLOOKUP(D$1,Parameters,2,FALSE()),4)&amp;"*",OFFSET(Data,0,0,1),0)+MATCH($C3778,OFFSET(Data,1,0,1),0)-2,FALSE()))</f>
        <v>—</v>
      </c>
      <c r="E3778" s="16">
        <f t="shared" ca="1" si="177"/>
        <v>7</v>
      </c>
    </row>
    <row r="3779" spans="1:5" x14ac:dyDescent="0.25">
      <c r="A3779" s="3">
        <f t="shared" si="178"/>
        <v>78989</v>
      </c>
      <c r="B3779" t="str">
        <f ca="1">TEXT(DATE(YEAR(Invoer!$A$5),1,1)+INT((ROWS(B$2:B3779)-1)/24),"""18""jjmmdd")</f>
        <v>18980607</v>
      </c>
      <c r="C3779" s="11" t="str">
        <f>INDEX(Data,2,2+MOD(ROWS(C$2:C3779)-1,24))</f>
        <v>10.00</v>
      </c>
      <c r="D3779" s="8" t="str">
        <f t="shared" ca="1" si="179"/>
        <v>—</v>
      </c>
      <c r="E3779" s="16">
        <f t="shared" ref="E3779:E3842" ca="1" si="180">IF(OR(ISBLANK(VLOOKUP(DATEVALUE("37"&amp;MID($B3779,3,2)&amp;"-"&amp;MID($B3779,5,2)&amp;"-"&amp;RIGHT($B3779,2)),Data,MATCH(LEFT(VLOOKUP(D$1,Parameters,2,FALSE()),4)&amp;"*",OFFSET(Data,0,0,1),0)+MATCH($C3779,OFFSET(Data,1,0,1),0)-2,FALSE())),ISTEXT(VLOOKUP(DATEVALUE("37"&amp;MID($B3779,3,2)&amp;"-"&amp;MID($B3779,5,2)&amp;"-"&amp;RIGHT($B3779,2)),Data,MATCH(LEFT(VLOOKUP(D$1,Parameters,2,FALSE()),4)&amp;"*",OFFSET(Data,0,0,1),0)+MATCH($C3779,OFFSET(Data,1,0,1),0)-2,FALSE()))),Lacking,IF(ISNA(MATCH(DATEVALUE("37"&amp;MID($B3779,3,2)&amp;"-"&amp;MID($B3779,5,2)&amp;"-"&amp;RIGHT($B3779,2)),OFFSET(Catalogus,0,0,,1),0)),Ok,VLOOKUP(DATEVALUE("37"&amp;MID($B3779,3,2)&amp;"-"&amp;MID($B3779,5,2)&amp;"-"&amp;RIGHT($B3779,2)),Catalogus,MATCH(LEFT(VLOOKUP(MID(E$1,2,LEN(E$1)-1),Parameters,2,FALSE()),4)&amp;"*",OFFSET(Catalogus,0,0,1),0)+MATCH($C3779,OFFSET(Catalogus,1,0,1),0)-2,FALSE())))</f>
        <v>7</v>
      </c>
    </row>
    <row r="3780" spans="1:5" x14ac:dyDescent="0.25">
      <c r="A3780" s="3">
        <f t="shared" si="178"/>
        <v>78989</v>
      </c>
      <c r="B3780" t="str">
        <f ca="1">TEXT(DATE(YEAR(Invoer!$A$5),1,1)+INT((ROWS(B$2:B3780)-1)/24),"""18""jjmmdd")</f>
        <v>18980607</v>
      </c>
      <c r="C3780" s="11" t="str">
        <f>INDEX(Data,2,2+MOD(ROWS(C$2:C3780)-1,24))</f>
        <v>11.00</v>
      </c>
      <c r="D3780" s="8" t="str">
        <f t="shared" ca="1" si="179"/>
        <v>—</v>
      </c>
      <c r="E3780" s="16">
        <f t="shared" ca="1" si="180"/>
        <v>7</v>
      </c>
    </row>
    <row r="3781" spans="1:5" x14ac:dyDescent="0.25">
      <c r="A3781" s="3">
        <f t="shared" si="178"/>
        <v>78989</v>
      </c>
      <c r="B3781" t="str">
        <f ca="1">TEXT(DATE(YEAR(Invoer!$A$5),1,1)+INT((ROWS(B$2:B3781)-1)/24),"""18""jjmmdd")</f>
        <v>18980607</v>
      </c>
      <c r="C3781" s="11" t="str">
        <f>INDEX(Data,2,2+MOD(ROWS(C$2:C3781)-1,24))</f>
        <v>12.00</v>
      </c>
      <c r="D3781" s="8" t="str">
        <f t="shared" ca="1" si="179"/>
        <v>—</v>
      </c>
      <c r="E3781" s="16">
        <f t="shared" ca="1" si="180"/>
        <v>7</v>
      </c>
    </row>
    <row r="3782" spans="1:5" x14ac:dyDescent="0.25">
      <c r="A3782" s="3">
        <f t="shared" si="178"/>
        <v>78989</v>
      </c>
      <c r="B3782" t="str">
        <f ca="1">TEXT(DATE(YEAR(Invoer!$A$5),1,1)+INT((ROWS(B$2:B3782)-1)/24),"""18""jjmmdd")</f>
        <v>18980607</v>
      </c>
      <c r="C3782" s="11" t="str">
        <f>INDEX(Data,2,2+MOD(ROWS(C$2:C3782)-1,24))</f>
        <v>13.00</v>
      </c>
      <c r="D3782" s="8" t="str">
        <f t="shared" ca="1" si="179"/>
        <v>—</v>
      </c>
      <c r="E3782" s="16">
        <f t="shared" ca="1" si="180"/>
        <v>7</v>
      </c>
    </row>
    <row r="3783" spans="1:5" x14ac:dyDescent="0.25">
      <c r="A3783" s="3">
        <f t="shared" si="178"/>
        <v>78989</v>
      </c>
      <c r="B3783" t="str">
        <f ca="1">TEXT(DATE(YEAR(Invoer!$A$5),1,1)+INT((ROWS(B$2:B3783)-1)/24),"""18""jjmmdd")</f>
        <v>18980607</v>
      </c>
      <c r="C3783" s="11" t="str">
        <f>INDEX(Data,2,2+MOD(ROWS(C$2:C3783)-1,24))</f>
        <v>14.00</v>
      </c>
      <c r="D3783" s="8" t="str">
        <f t="shared" ca="1" si="179"/>
        <v>—</v>
      </c>
      <c r="E3783" s="16">
        <f t="shared" ca="1" si="180"/>
        <v>7</v>
      </c>
    </row>
    <row r="3784" spans="1:5" x14ac:dyDescent="0.25">
      <c r="A3784" s="3">
        <f t="shared" si="178"/>
        <v>78989</v>
      </c>
      <c r="B3784" t="str">
        <f ca="1">TEXT(DATE(YEAR(Invoer!$A$5),1,1)+INT((ROWS(B$2:B3784)-1)/24),"""18""jjmmdd")</f>
        <v>18980607</v>
      </c>
      <c r="C3784" s="11" t="str">
        <f>INDEX(Data,2,2+MOD(ROWS(C$2:C3784)-1,24))</f>
        <v>15.00</v>
      </c>
      <c r="D3784" s="8" t="str">
        <f t="shared" ca="1" si="179"/>
        <v>—</v>
      </c>
      <c r="E3784" s="16">
        <f t="shared" ca="1" si="180"/>
        <v>7</v>
      </c>
    </row>
    <row r="3785" spans="1:5" x14ac:dyDescent="0.25">
      <c r="A3785" s="3">
        <f t="shared" si="178"/>
        <v>78989</v>
      </c>
      <c r="B3785" t="str">
        <f ca="1">TEXT(DATE(YEAR(Invoer!$A$5),1,1)+INT((ROWS(B$2:B3785)-1)/24),"""18""jjmmdd")</f>
        <v>18980607</v>
      </c>
      <c r="C3785" s="11" t="str">
        <f>INDEX(Data,2,2+MOD(ROWS(C$2:C3785)-1,24))</f>
        <v>16.00</v>
      </c>
      <c r="D3785" s="8" t="str">
        <f t="shared" ca="1" si="179"/>
        <v>—</v>
      </c>
      <c r="E3785" s="16">
        <f t="shared" ca="1" si="180"/>
        <v>7</v>
      </c>
    </row>
    <row r="3786" spans="1:5" x14ac:dyDescent="0.25">
      <c r="A3786" s="3">
        <f t="shared" si="178"/>
        <v>78989</v>
      </c>
      <c r="B3786" t="str">
        <f ca="1">TEXT(DATE(YEAR(Invoer!$A$5),1,1)+INT((ROWS(B$2:B3786)-1)/24),"""18""jjmmdd")</f>
        <v>18980607</v>
      </c>
      <c r="C3786" s="11" t="str">
        <f>INDEX(Data,2,2+MOD(ROWS(C$2:C3786)-1,24))</f>
        <v>17.00</v>
      </c>
      <c r="D3786" s="8" t="str">
        <f t="shared" ca="1" si="179"/>
        <v>—</v>
      </c>
      <c r="E3786" s="16">
        <f t="shared" ca="1" si="180"/>
        <v>7</v>
      </c>
    </row>
    <row r="3787" spans="1:5" x14ac:dyDescent="0.25">
      <c r="A3787" s="3">
        <f t="shared" si="178"/>
        <v>78989</v>
      </c>
      <c r="B3787" t="str">
        <f ca="1">TEXT(DATE(YEAR(Invoer!$A$5),1,1)+INT((ROWS(B$2:B3787)-1)/24),"""18""jjmmdd")</f>
        <v>18980607</v>
      </c>
      <c r="C3787" s="11" t="str">
        <f>INDEX(Data,2,2+MOD(ROWS(C$2:C3787)-1,24))</f>
        <v>18.00</v>
      </c>
      <c r="D3787" s="8" t="str">
        <f t="shared" ca="1" si="179"/>
        <v>—</v>
      </c>
      <c r="E3787" s="16">
        <f t="shared" ca="1" si="180"/>
        <v>7</v>
      </c>
    </row>
    <row r="3788" spans="1:5" x14ac:dyDescent="0.25">
      <c r="A3788" s="3">
        <f t="shared" si="178"/>
        <v>78989</v>
      </c>
      <c r="B3788" t="str">
        <f ca="1">TEXT(DATE(YEAR(Invoer!$A$5),1,1)+INT((ROWS(B$2:B3788)-1)/24),"""18""jjmmdd")</f>
        <v>18980607</v>
      </c>
      <c r="C3788" s="11" t="str">
        <f>INDEX(Data,2,2+MOD(ROWS(C$2:C3788)-1,24))</f>
        <v>19.00</v>
      </c>
      <c r="D3788" s="8" t="str">
        <f t="shared" ca="1" si="179"/>
        <v>—</v>
      </c>
      <c r="E3788" s="16">
        <f t="shared" ca="1" si="180"/>
        <v>7</v>
      </c>
    </row>
    <row r="3789" spans="1:5" x14ac:dyDescent="0.25">
      <c r="A3789" s="3">
        <f t="shared" si="178"/>
        <v>78989</v>
      </c>
      <c r="B3789" t="str">
        <f ca="1">TEXT(DATE(YEAR(Invoer!$A$5),1,1)+INT((ROWS(B$2:B3789)-1)/24),"""18""jjmmdd")</f>
        <v>18980607</v>
      </c>
      <c r="C3789" s="11" t="str">
        <f>INDEX(Data,2,2+MOD(ROWS(C$2:C3789)-1,24))</f>
        <v>20.00</v>
      </c>
      <c r="D3789" s="8" t="str">
        <f t="shared" ca="1" si="179"/>
        <v>—</v>
      </c>
      <c r="E3789" s="16">
        <f t="shared" ca="1" si="180"/>
        <v>7</v>
      </c>
    </row>
    <row r="3790" spans="1:5" x14ac:dyDescent="0.25">
      <c r="A3790" s="3">
        <f t="shared" si="178"/>
        <v>78989</v>
      </c>
      <c r="B3790" t="str">
        <f ca="1">TEXT(DATE(YEAR(Invoer!$A$5),1,1)+INT((ROWS(B$2:B3790)-1)/24),"""18""jjmmdd")</f>
        <v>18980607</v>
      </c>
      <c r="C3790" s="11" t="str">
        <f>INDEX(Data,2,2+MOD(ROWS(C$2:C3790)-1,24))</f>
        <v>21.00</v>
      </c>
      <c r="D3790" s="8" t="str">
        <f t="shared" ca="1" si="179"/>
        <v>—</v>
      </c>
      <c r="E3790" s="16">
        <f t="shared" ca="1" si="180"/>
        <v>7</v>
      </c>
    </row>
    <row r="3791" spans="1:5" x14ac:dyDescent="0.25">
      <c r="A3791" s="3">
        <f t="shared" si="178"/>
        <v>78989</v>
      </c>
      <c r="B3791" t="str">
        <f ca="1">TEXT(DATE(YEAR(Invoer!$A$5),1,1)+INT((ROWS(B$2:B3791)-1)/24),"""18""jjmmdd")</f>
        <v>18980607</v>
      </c>
      <c r="C3791" s="11" t="str">
        <f>INDEX(Data,2,2+MOD(ROWS(C$2:C3791)-1,24))</f>
        <v>22.00</v>
      </c>
      <c r="D3791" s="8" t="str">
        <f t="shared" ca="1" si="179"/>
        <v>—</v>
      </c>
      <c r="E3791" s="16">
        <f t="shared" ca="1" si="180"/>
        <v>7</v>
      </c>
    </row>
    <row r="3792" spans="1:5" x14ac:dyDescent="0.25">
      <c r="A3792" s="3">
        <f t="shared" si="178"/>
        <v>78989</v>
      </c>
      <c r="B3792" t="str">
        <f ca="1">TEXT(DATE(YEAR(Invoer!$A$5),1,1)+INT((ROWS(B$2:B3792)-1)/24),"""18""jjmmdd")</f>
        <v>18980607</v>
      </c>
      <c r="C3792" s="11" t="str">
        <f>INDEX(Data,2,2+MOD(ROWS(C$2:C3792)-1,24))</f>
        <v>23.00</v>
      </c>
      <c r="D3792" s="8" t="str">
        <f t="shared" ca="1" si="179"/>
        <v>—</v>
      </c>
      <c r="E3792" s="16">
        <f t="shared" ca="1" si="180"/>
        <v>7</v>
      </c>
    </row>
    <row r="3793" spans="1:5" x14ac:dyDescent="0.25">
      <c r="A3793" s="3">
        <f t="shared" si="178"/>
        <v>78989</v>
      </c>
      <c r="B3793" t="str">
        <f ca="1">TEXT(DATE(YEAR(Invoer!$A$5),1,1)+INT((ROWS(B$2:B3793)-1)/24),"""18""jjmmdd")</f>
        <v>18980607</v>
      </c>
      <c r="C3793" s="11" t="str">
        <f>INDEX(Data,2,2+MOD(ROWS(C$2:C3793)-1,24))</f>
        <v>24.00</v>
      </c>
      <c r="D3793" s="8" t="str">
        <f t="shared" ca="1" si="179"/>
        <v>—</v>
      </c>
      <c r="E3793" s="16">
        <f t="shared" ca="1" si="180"/>
        <v>7</v>
      </c>
    </row>
    <row r="3794" spans="1:5" x14ac:dyDescent="0.25">
      <c r="A3794" s="3">
        <f t="shared" si="178"/>
        <v>78989</v>
      </c>
      <c r="B3794" t="str">
        <f ca="1">TEXT(DATE(YEAR(Invoer!$A$5),1,1)+INT((ROWS(B$2:B3794)-1)/24),"""18""jjmmdd")</f>
        <v>18980608</v>
      </c>
      <c r="C3794" s="11" t="str">
        <f>INDEX(Data,2,2+MOD(ROWS(C$2:C3794)-1,24))</f>
        <v>01.00</v>
      </c>
      <c r="D3794" s="8" t="str">
        <f t="shared" ca="1" si="179"/>
        <v>—</v>
      </c>
      <c r="E3794" s="16">
        <f t="shared" ca="1" si="180"/>
        <v>7</v>
      </c>
    </row>
    <row r="3795" spans="1:5" x14ac:dyDescent="0.25">
      <c r="A3795" s="3">
        <f t="shared" si="178"/>
        <v>78989</v>
      </c>
      <c r="B3795" t="str">
        <f ca="1">TEXT(DATE(YEAR(Invoer!$A$5),1,1)+INT((ROWS(B$2:B3795)-1)/24),"""18""jjmmdd")</f>
        <v>18980608</v>
      </c>
      <c r="C3795" s="11" t="str">
        <f>INDEX(Data,2,2+MOD(ROWS(C$2:C3795)-1,24))</f>
        <v>02.00</v>
      </c>
      <c r="D3795" s="8" t="str">
        <f t="shared" ca="1" si="179"/>
        <v>—</v>
      </c>
      <c r="E3795" s="16">
        <f t="shared" ca="1" si="180"/>
        <v>7</v>
      </c>
    </row>
    <row r="3796" spans="1:5" x14ac:dyDescent="0.25">
      <c r="A3796" s="3">
        <f t="shared" si="178"/>
        <v>78989</v>
      </c>
      <c r="B3796" t="str">
        <f ca="1">TEXT(DATE(YEAR(Invoer!$A$5),1,1)+INT((ROWS(B$2:B3796)-1)/24),"""18""jjmmdd")</f>
        <v>18980608</v>
      </c>
      <c r="C3796" s="11" t="str">
        <f>INDEX(Data,2,2+MOD(ROWS(C$2:C3796)-1,24))</f>
        <v>03.00</v>
      </c>
      <c r="D3796" s="8" t="str">
        <f t="shared" ca="1" si="179"/>
        <v>—</v>
      </c>
      <c r="E3796" s="16">
        <f t="shared" ca="1" si="180"/>
        <v>7</v>
      </c>
    </row>
    <row r="3797" spans="1:5" x14ac:dyDescent="0.25">
      <c r="A3797" s="3">
        <f t="shared" si="178"/>
        <v>78989</v>
      </c>
      <c r="B3797" t="str">
        <f ca="1">TEXT(DATE(YEAR(Invoer!$A$5),1,1)+INT((ROWS(B$2:B3797)-1)/24),"""18""jjmmdd")</f>
        <v>18980608</v>
      </c>
      <c r="C3797" s="11" t="str">
        <f>INDEX(Data,2,2+MOD(ROWS(C$2:C3797)-1,24))</f>
        <v>04.00</v>
      </c>
      <c r="D3797" s="8" t="str">
        <f t="shared" ca="1" si="179"/>
        <v>—</v>
      </c>
      <c r="E3797" s="16">
        <f t="shared" ca="1" si="180"/>
        <v>7</v>
      </c>
    </row>
    <row r="3798" spans="1:5" x14ac:dyDescent="0.25">
      <c r="A3798" s="3">
        <f t="shared" si="178"/>
        <v>78989</v>
      </c>
      <c r="B3798" t="str">
        <f ca="1">TEXT(DATE(YEAR(Invoer!$A$5),1,1)+INT((ROWS(B$2:B3798)-1)/24),"""18""jjmmdd")</f>
        <v>18980608</v>
      </c>
      <c r="C3798" s="11" t="str">
        <f>INDEX(Data,2,2+MOD(ROWS(C$2:C3798)-1,24))</f>
        <v>05.00</v>
      </c>
      <c r="D3798" s="8" t="str">
        <f t="shared" ca="1" si="179"/>
        <v>—</v>
      </c>
      <c r="E3798" s="16">
        <f t="shared" ca="1" si="180"/>
        <v>7</v>
      </c>
    </row>
    <row r="3799" spans="1:5" x14ac:dyDescent="0.25">
      <c r="A3799" s="3">
        <f t="shared" si="178"/>
        <v>78989</v>
      </c>
      <c r="B3799" t="str">
        <f ca="1">TEXT(DATE(YEAR(Invoer!$A$5),1,1)+INT((ROWS(B$2:B3799)-1)/24),"""18""jjmmdd")</f>
        <v>18980608</v>
      </c>
      <c r="C3799" s="11" t="str">
        <f>INDEX(Data,2,2+MOD(ROWS(C$2:C3799)-1,24))</f>
        <v>06.00</v>
      </c>
      <c r="D3799" s="8" t="str">
        <f t="shared" ca="1" si="179"/>
        <v>—</v>
      </c>
      <c r="E3799" s="16">
        <f t="shared" ca="1" si="180"/>
        <v>7</v>
      </c>
    </row>
    <row r="3800" spans="1:5" x14ac:dyDescent="0.25">
      <c r="A3800" s="3">
        <f t="shared" si="178"/>
        <v>78989</v>
      </c>
      <c r="B3800" t="str">
        <f ca="1">TEXT(DATE(YEAR(Invoer!$A$5),1,1)+INT((ROWS(B$2:B3800)-1)/24),"""18""jjmmdd")</f>
        <v>18980608</v>
      </c>
      <c r="C3800" s="11" t="str">
        <f>INDEX(Data,2,2+MOD(ROWS(C$2:C3800)-1,24))</f>
        <v>07.00</v>
      </c>
      <c r="D3800" s="8" t="str">
        <f t="shared" ca="1" si="179"/>
        <v>—</v>
      </c>
      <c r="E3800" s="16">
        <f t="shared" ca="1" si="180"/>
        <v>7</v>
      </c>
    </row>
    <row r="3801" spans="1:5" x14ac:dyDescent="0.25">
      <c r="A3801" s="3">
        <f t="shared" si="178"/>
        <v>78989</v>
      </c>
      <c r="B3801" t="str">
        <f ca="1">TEXT(DATE(YEAR(Invoer!$A$5),1,1)+INT((ROWS(B$2:B3801)-1)/24),"""18""jjmmdd")</f>
        <v>18980608</v>
      </c>
      <c r="C3801" s="11" t="str">
        <f>INDEX(Data,2,2+MOD(ROWS(C$2:C3801)-1,24))</f>
        <v>08.00</v>
      </c>
      <c r="D3801" s="8" t="str">
        <f t="shared" ca="1" si="179"/>
        <v>—</v>
      </c>
      <c r="E3801" s="16">
        <f t="shared" ca="1" si="180"/>
        <v>7</v>
      </c>
    </row>
    <row r="3802" spans="1:5" x14ac:dyDescent="0.25">
      <c r="A3802" s="3">
        <f t="shared" si="178"/>
        <v>78989</v>
      </c>
      <c r="B3802" t="str">
        <f ca="1">TEXT(DATE(YEAR(Invoer!$A$5),1,1)+INT((ROWS(B$2:B3802)-1)/24),"""18""jjmmdd")</f>
        <v>18980608</v>
      </c>
      <c r="C3802" s="11" t="str">
        <f>INDEX(Data,2,2+MOD(ROWS(C$2:C3802)-1,24))</f>
        <v>09.00</v>
      </c>
      <c r="D3802" s="8" t="str">
        <f t="shared" ca="1" si="179"/>
        <v>—</v>
      </c>
      <c r="E3802" s="16">
        <f t="shared" ca="1" si="180"/>
        <v>7</v>
      </c>
    </row>
    <row r="3803" spans="1:5" x14ac:dyDescent="0.25">
      <c r="A3803" s="3">
        <f t="shared" si="178"/>
        <v>78989</v>
      </c>
      <c r="B3803" t="str">
        <f ca="1">TEXT(DATE(YEAR(Invoer!$A$5),1,1)+INT((ROWS(B$2:B3803)-1)/24),"""18""jjmmdd")</f>
        <v>18980608</v>
      </c>
      <c r="C3803" s="11" t="str">
        <f>INDEX(Data,2,2+MOD(ROWS(C$2:C3803)-1,24))</f>
        <v>10.00</v>
      </c>
      <c r="D3803" s="8" t="str">
        <f t="shared" ca="1" si="179"/>
        <v>—</v>
      </c>
      <c r="E3803" s="16">
        <f t="shared" ca="1" si="180"/>
        <v>7</v>
      </c>
    </row>
    <row r="3804" spans="1:5" x14ac:dyDescent="0.25">
      <c r="A3804" s="3">
        <f t="shared" si="178"/>
        <v>78989</v>
      </c>
      <c r="B3804" t="str">
        <f ca="1">TEXT(DATE(YEAR(Invoer!$A$5),1,1)+INT((ROWS(B$2:B3804)-1)/24),"""18""jjmmdd")</f>
        <v>18980608</v>
      </c>
      <c r="C3804" s="11" t="str">
        <f>INDEX(Data,2,2+MOD(ROWS(C$2:C3804)-1,24))</f>
        <v>11.00</v>
      </c>
      <c r="D3804" s="8" t="str">
        <f t="shared" ca="1" si="179"/>
        <v>—</v>
      </c>
      <c r="E3804" s="16">
        <f t="shared" ca="1" si="180"/>
        <v>7</v>
      </c>
    </row>
    <row r="3805" spans="1:5" x14ac:dyDescent="0.25">
      <c r="A3805" s="3">
        <f t="shared" si="178"/>
        <v>78989</v>
      </c>
      <c r="B3805" t="str">
        <f ca="1">TEXT(DATE(YEAR(Invoer!$A$5),1,1)+INT((ROWS(B$2:B3805)-1)/24),"""18""jjmmdd")</f>
        <v>18980608</v>
      </c>
      <c r="C3805" s="11" t="str">
        <f>INDEX(Data,2,2+MOD(ROWS(C$2:C3805)-1,24))</f>
        <v>12.00</v>
      </c>
      <c r="D3805" s="8" t="str">
        <f t="shared" ca="1" si="179"/>
        <v>—</v>
      </c>
      <c r="E3805" s="16">
        <f t="shared" ca="1" si="180"/>
        <v>7</v>
      </c>
    </row>
    <row r="3806" spans="1:5" x14ac:dyDescent="0.25">
      <c r="A3806" s="3">
        <f t="shared" si="178"/>
        <v>78989</v>
      </c>
      <c r="B3806" t="str">
        <f ca="1">TEXT(DATE(YEAR(Invoer!$A$5),1,1)+INT((ROWS(B$2:B3806)-1)/24),"""18""jjmmdd")</f>
        <v>18980608</v>
      </c>
      <c r="C3806" s="11" t="str">
        <f>INDEX(Data,2,2+MOD(ROWS(C$2:C3806)-1,24))</f>
        <v>13.00</v>
      </c>
      <c r="D3806" s="8" t="str">
        <f t="shared" ca="1" si="179"/>
        <v>—</v>
      </c>
      <c r="E3806" s="16">
        <f t="shared" ca="1" si="180"/>
        <v>7</v>
      </c>
    </row>
    <row r="3807" spans="1:5" x14ac:dyDescent="0.25">
      <c r="A3807" s="3">
        <f t="shared" si="178"/>
        <v>78989</v>
      </c>
      <c r="B3807" t="str">
        <f ca="1">TEXT(DATE(YEAR(Invoer!$A$5),1,1)+INT((ROWS(B$2:B3807)-1)/24),"""18""jjmmdd")</f>
        <v>18980608</v>
      </c>
      <c r="C3807" s="11" t="str">
        <f>INDEX(Data,2,2+MOD(ROWS(C$2:C3807)-1,24))</f>
        <v>14.00</v>
      </c>
      <c r="D3807" s="8" t="str">
        <f t="shared" ca="1" si="179"/>
        <v>—</v>
      </c>
      <c r="E3807" s="16">
        <f t="shared" ca="1" si="180"/>
        <v>7</v>
      </c>
    </row>
    <row r="3808" spans="1:5" x14ac:dyDescent="0.25">
      <c r="A3808" s="3">
        <f t="shared" si="178"/>
        <v>78989</v>
      </c>
      <c r="B3808" t="str">
        <f ca="1">TEXT(DATE(YEAR(Invoer!$A$5),1,1)+INT((ROWS(B$2:B3808)-1)/24),"""18""jjmmdd")</f>
        <v>18980608</v>
      </c>
      <c r="C3808" s="11" t="str">
        <f>INDEX(Data,2,2+MOD(ROWS(C$2:C3808)-1,24))</f>
        <v>15.00</v>
      </c>
      <c r="D3808" s="8" t="str">
        <f t="shared" ca="1" si="179"/>
        <v>—</v>
      </c>
      <c r="E3808" s="16">
        <f t="shared" ca="1" si="180"/>
        <v>7</v>
      </c>
    </row>
    <row r="3809" spans="1:5" x14ac:dyDescent="0.25">
      <c r="A3809" s="3">
        <f t="shared" si="178"/>
        <v>78989</v>
      </c>
      <c r="B3809" t="str">
        <f ca="1">TEXT(DATE(YEAR(Invoer!$A$5),1,1)+INT((ROWS(B$2:B3809)-1)/24),"""18""jjmmdd")</f>
        <v>18980608</v>
      </c>
      <c r="C3809" s="11" t="str">
        <f>INDEX(Data,2,2+MOD(ROWS(C$2:C3809)-1,24))</f>
        <v>16.00</v>
      </c>
      <c r="D3809" s="8" t="str">
        <f t="shared" ca="1" si="179"/>
        <v>—</v>
      </c>
      <c r="E3809" s="16">
        <f t="shared" ca="1" si="180"/>
        <v>7</v>
      </c>
    </row>
    <row r="3810" spans="1:5" x14ac:dyDescent="0.25">
      <c r="A3810" s="3">
        <f t="shared" si="178"/>
        <v>78989</v>
      </c>
      <c r="B3810" t="str">
        <f ca="1">TEXT(DATE(YEAR(Invoer!$A$5),1,1)+INT((ROWS(B$2:B3810)-1)/24),"""18""jjmmdd")</f>
        <v>18980608</v>
      </c>
      <c r="C3810" s="11" t="str">
        <f>INDEX(Data,2,2+MOD(ROWS(C$2:C3810)-1,24))</f>
        <v>17.00</v>
      </c>
      <c r="D3810" s="8" t="str">
        <f t="shared" ca="1" si="179"/>
        <v>—</v>
      </c>
      <c r="E3810" s="16">
        <f t="shared" ca="1" si="180"/>
        <v>7</v>
      </c>
    </row>
    <row r="3811" spans="1:5" x14ac:dyDescent="0.25">
      <c r="A3811" s="3">
        <f t="shared" si="178"/>
        <v>78989</v>
      </c>
      <c r="B3811" t="str">
        <f ca="1">TEXT(DATE(YEAR(Invoer!$A$5),1,1)+INT((ROWS(B$2:B3811)-1)/24),"""18""jjmmdd")</f>
        <v>18980608</v>
      </c>
      <c r="C3811" s="11" t="str">
        <f>INDEX(Data,2,2+MOD(ROWS(C$2:C3811)-1,24))</f>
        <v>18.00</v>
      </c>
      <c r="D3811" s="8" t="str">
        <f t="shared" ca="1" si="179"/>
        <v>—</v>
      </c>
      <c r="E3811" s="16">
        <f t="shared" ca="1" si="180"/>
        <v>7</v>
      </c>
    </row>
    <row r="3812" spans="1:5" x14ac:dyDescent="0.25">
      <c r="A3812" s="3">
        <f t="shared" si="178"/>
        <v>78989</v>
      </c>
      <c r="B3812" t="str">
        <f ca="1">TEXT(DATE(YEAR(Invoer!$A$5),1,1)+INT((ROWS(B$2:B3812)-1)/24),"""18""jjmmdd")</f>
        <v>18980608</v>
      </c>
      <c r="C3812" s="11" t="str">
        <f>INDEX(Data,2,2+MOD(ROWS(C$2:C3812)-1,24))</f>
        <v>19.00</v>
      </c>
      <c r="D3812" s="8" t="str">
        <f t="shared" ca="1" si="179"/>
        <v>—</v>
      </c>
      <c r="E3812" s="16">
        <f t="shared" ca="1" si="180"/>
        <v>7</v>
      </c>
    </row>
    <row r="3813" spans="1:5" x14ac:dyDescent="0.25">
      <c r="A3813" s="3">
        <f t="shared" si="178"/>
        <v>78989</v>
      </c>
      <c r="B3813" t="str">
        <f ca="1">TEXT(DATE(YEAR(Invoer!$A$5),1,1)+INT((ROWS(B$2:B3813)-1)/24),"""18""jjmmdd")</f>
        <v>18980608</v>
      </c>
      <c r="C3813" s="11" t="str">
        <f>INDEX(Data,2,2+MOD(ROWS(C$2:C3813)-1,24))</f>
        <v>20.00</v>
      </c>
      <c r="D3813" s="8" t="str">
        <f t="shared" ca="1" si="179"/>
        <v>—</v>
      </c>
      <c r="E3813" s="16">
        <f t="shared" ca="1" si="180"/>
        <v>7</v>
      </c>
    </row>
    <row r="3814" spans="1:5" x14ac:dyDescent="0.25">
      <c r="A3814" s="3">
        <f t="shared" si="178"/>
        <v>78989</v>
      </c>
      <c r="B3814" t="str">
        <f ca="1">TEXT(DATE(YEAR(Invoer!$A$5),1,1)+INT((ROWS(B$2:B3814)-1)/24),"""18""jjmmdd")</f>
        <v>18980608</v>
      </c>
      <c r="C3814" s="11" t="str">
        <f>INDEX(Data,2,2+MOD(ROWS(C$2:C3814)-1,24))</f>
        <v>21.00</v>
      </c>
      <c r="D3814" s="8" t="str">
        <f t="shared" ca="1" si="179"/>
        <v>—</v>
      </c>
      <c r="E3814" s="16">
        <f t="shared" ca="1" si="180"/>
        <v>7</v>
      </c>
    </row>
    <row r="3815" spans="1:5" x14ac:dyDescent="0.25">
      <c r="A3815" s="3">
        <f t="shared" si="178"/>
        <v>78989</v>
      </c>
      <c r="B3815" t="str">
        <f ca="1">TEXT(DATE(YEAR(Invoer!$A$5),1,1)+INT((ROWS(B$2:B3815)-1)/24),"""18""jjmmdd")</f>
        <v>18980608</v>
      </c>
      <c r="C3815" s="11" t="str">
        <f>INDEX(Data,2,2+MOD(ROWS(C$2:C3815)-1,24))</f>
        <v>22.00</v>
      </c>
      <c r="D3815" s="8" t="str">
        <f t="shared" ca="1" si="179"/>
        <v>—</v>
      </c>
      <c r="E3815" s="16">
        <f t="shared" ca="1" si="180"/>
        <v>7</v>
      </c>
    </row>
    <row r="3816" spans="1:5" x14ac:dyDescent="0.25">
      <c r="A3816" s="3">
        <f t="shared" si="178"/>
        <v>78989</v>
      </c>
      <c r="B3816" t="str">
        <f ca="1">TEXT(DATE(YEAR(Invoer!$A$5),1,1)+INT((ROWS(B$2:B3816)-1)/24),"""18""jjmmdd")</f>
        <v>18980608</v>
      </c>
      <c r="C3816" s="11" t="str">
        <f>INDEX(Data,2,2+MOD(ROWS(C$2:C3816)-1,24))</f>
        <v>23.00</v>
      </c>
      <c r="D3816" s="8" t="str">
        <f t="shared" ca="1" si="179"/>
        <v>—</v>
      </c>
      <c r="E3816" s="16">
        <f t="shared" ca="1" si="180"/>
        <v>7</v>
      </c>
    </row>
    <row r="3817" spans="1:5" x14ac:dyDescent="0.25">
      <c r="A3817" s="3">
        <f t="shared" si="178"/>
        <v>78989</v>
      </c>
      <c r="B3817" t="str">
        <f ca="1">TEXT(DATE(YEAR(Invoer!$A$5),1,1)+INT((ROWS(B$2:B3817)-1)/24),"""18""jjmmdd")</f>
        <v>18980608</v>
      </c>
      <c r="C3817" s="11" t="str">
        <f>INDEX(Data,2,2+MOD(ROWS(C$2:C3817)-1,24))</f>
        <v>24.00</v>
      </c>
      <c r="D3817" s="8" t="str">
        <f t="shared" ca="1" si="179"/>
        <v>—</v>
      </c>
      <c r="E3817" s="16">
        <f t="shared" ca="1" si="180"/>
        <v>7</v>
      </c>
    </row>
    <row r="3818" spans="1:5" x14ac:dyDescent="0.25">
      <c r="A3818" s="3">
        <f t="shared" si="178"/>
        <v>78989</v>
      </c>
      <c r="B3818" t="str">
        <f ca="1">TEXT(DATE(YEAR(Invoer!$A$5),1,1)+INT((ROWS(B$2:B3818)-1)/24),"""18""jjmmdd")</f>
        <v>18980609</v>
      </c>
      <c r="C3818" s="11" t="str">
        <f>INDEX(Data,2,2+MOD(ROWS(C$2:C3818)-1,24))</f>
        <v>01.00</v>
      </c>
      <c r="D3818" s="8" t="str">
        <f t="shared" ca="1" si="179"/>
        <v>—</v>
      </c>
      <c r="E3818" s="16">
        <f t="shared" ca="1" si="180"/>
        <v>7</v>
      </c>
    </row>
    <row r="3819" spans="1:5" x14ac:dyDescent="0.25">
      <c r="A3819" s="3">
        <f t="shared" si="178"/>
        <v>78989</v>
      </c>
      <c r="B3819" t="str">
        <f ca="1">TEXT(DATE(YEAR(Invoer!$A$5),1,1)+INT((ROWS(B$2:B3819)-1)/24),"""18""jjmmdd")</f>
        <v>18980609</v>
      </c>
      <c r="C3819" s="11" t="str">
        <f>INDEX(Data,2,2+MOD(ROWS(C$2:C3819)-1,24))</f>
        <v>02.00</v>
      </c>
      <c r="D3819" s="8" t="str">
        <f t="shared" ca="1" si="179"/>
        <v>—</v>
      </c>
      <c r="E3819" s="16">
        <f t="shared" ca="1" si="180"/>
        <v>7</v>
      </c>
    </row>
    <row r="3820" spans="1:5" x14ac:dyDescent="0.25">
      <c r="A3820" s="3">
        <f t="shared" si="178"/>
        <v>78989</v>
      </c>
      <c r="B3820" t="str">
        <f ca="1">TEXT(DATE(YEAR(Invoer!$A$5),1,1)+INT((ROWS(B$2:B3820)-1)/24),"""18""jjmmdd")</f>
        <v>18980609</v>
      </c>
      <c r="C3820" s="11" t="str">
        <f>INDEX(Data,2,2+MOD(ROWS(C$2:C3820)-1,24))</f>
        <v>03.00</v>
      </c>
      <c r="D3820" s="8" t="str">
        <f t="shared" ca="1" si="179"/>
        <v>—</v>
      </c>
      <c r="E3820" s="16">
        <f t="shared" ca="1" si="180"/>
        <v>7</v>
      </c>
    </row>
    <row r="3821" spans="1:5" x14ac:dyDescent="0.25">
      <c r="A3821" s="3">
        <f t="shared" si="178"/>
        <v>78989</v>
      </c>
      <c r="B3821" t="str">
        <f ca="1">TEXT(DATE(YEAR(Invoer!$A$5),1,1)+INT((ROWS(B$2:B3821)-1)/24),"""18""jjmmdd")</f>
        <v>18980609</v>
      </c>
      <c r="C3821" s="11" t="str">
        <f>INDEX(Data,2,2+MOD(ROWS(C$2:C3821)-1,24))</f>
        <v>04.00</v>
      </c>
      <c r="D3821" s="8" t="str">
        <f t="shared" ca="1" si="179"/>
        <v>—</v>
      </c>
      <c r="E3821" s="16">
        <f t="shared" ca="1" si="180"/>
        <v>7</v>
      </c>
    </row>
    <row r="3822" spans="1:5" x14ac:dyDescent="0.25">
      <c r="A3822" s="3">
        <f t="shared" si="178"/>
        <v>78989</v>
      </c>
      <c r="B3822" t="str">
        <f ca="1">TEXT(DATE(YEAR(Invoer!$A$5),1,1)+INT((ROWS(B$2:B3822)-1)/24),"""18""jjmmdd")</f>
        <v>18980609</v>
      </c>
      <c r="C3822" s="11" t="str">
        <f>INDEX(Data,2,2+MOD(ROWS(C$2:C3822)-1,24))</f>
        <v>05.00</v>
      </c>
      <c r="D3822" s="8" t="str">
        <f t="shared" ca="1" si="179"/>
        <v>—</v>
      </c>
      <c r="E3822" s="16">
        <f t="shared" ca="1" si="180"/>
        <v>7</v>
      </c>
    </row>
    <row r="3823" spans="1:5" x14ac:dyDescent="0.25">
      <c r="A3823" s="3">
        <f t="shared" si="178"/>
        <v>78989</v>
      </c>
      <c r="B3823" t="str">
        <f ca="1">TEXT(DATE(YEAR(Invoer!$A$5),1,1)+INT((ROWS(B$2:B3823)-1)/24),"""18""jjmmdd")</f>
        <v>18980609</v>
      </c>
      <c r="C3823" s="11" t="str">
        <f>INDEX(Data,2,2+MOD(ROWS(C$2:C3823)-1,24))</f>
        <v>06.00</v>
      </c>
      <c r="D3823" s="8" t="str">
        <f t="shared" ca="1" si="179"/>
        <v>—</v>
      </c>
      <c r="E3823" s="16">
        <f t="shared" ca="1" si="180"/>
        <v>7</v>
      </c>
    </row>
    <row r="3824" spans="1:5" x14ac:dyDescent="0.25">
      <c r="A3824" s="3">
        <f t="shared" si="178"/>
        <v>78989</v>
      </c>
      <c r="B3824" t="str">
        <f ca="1">TEXT(DATE(YEAR(Invoer!$A$5),1,1)+INT((ROWS(B$2:B3824)-1)/24),"""18""jjmmdd")</f>
        <v>18980609</v>
      </c>
      <c r="C3824" s="11" t="str">
        <f>INDEX(Data,2,2+MOD(ROWS(C$2:C3824)-1,24))</f>
        <v>07.00</v>
      </c>
      <c r="D3824" s="8" t="str">
        <f t="shared" ca="1" si="179"/>
        <v>—</v>
      </c>
      <c r="E3824" s="16">
        <f t="shared" ca="1" si="180"/>
        <v>7</v>
      </c>
    </row>
    <row r="3825" spans="1:5" x14ac:dyDescent="0.25">
      <c r="A3825" s="3">
        <f t="shared" si="178"/>
        <v>78989</v>
      </c>
      <c r="B3825" t="str">
        <f ca="1">TEXT(DATE(YEAR(Invoer!$A$5),1,1)+INT((ROWS(B$2:B3825)-1)/24),"""18""jjmmdd")</f>
        <v>18980609</v>
      </c>
      <c r="C3825" s="11" t="str">
        <f>INDEX(Data,2,2+MOD(ROWS(C$2:C3825)-1,24))</f>
        <v>08.00</v>
      </c>
      <c r="D3825" s="8" t="str">
        <f t="shared" ca="1" si="179"/>
        <v>—</v>
      </c>
      <c r="E3825" s="16">
        <f t="shared" ca="1" si="180"/>
        <v>7</v>
      </c>
    </row>
    <row r="3826" spans="1:5" x14ac:dyDescent="0.25">
      <c r="A3826" s="3">
        <f t="shared" si="178"/>
        <v>78989</v>
      </c>
      <c r="B3826" t="str">
        <f ca="1">TEXT(DATE(YEAR(Invoer!$A$5),1,1)+INT((ROWS(B$2:B3826)-1)/24),"""18""jjmmdd")</f>
        <v>18980609</v>
      </c>
      <c r="C3826" s="11" t="str">
        <f>INDEX(Data,2,2+MOD(ROWS(C$2:C3826)-1,24))</f>
        <v>09.00</v>
      </c>
      <c r="D3826" s="8" t="str">
        <f t="shared" ca="1" si="179"/>
        <v>—</v>
      </c>
      <c r="E3826" s="16">
        <f t="shared" ca="1" si="180"/>
        <v>7</v>
      </c>
    </row>
    <row r="3827" spans="1:5" x14ac:dyDescent="0.25">
      <c r="A3827" s="3">
        <f t="shared" si="178"/>
        <v>78989</v>
      </c>
      <c r="B3827" t="str">
        <f ca="1">TEXT(DATE(YEAR(Invoer!$A$5),1,1)+INT((ROWS(B$2:B3827)-1)/24),"""18""jjmmdd")</f>
        <v>18980609</v>
      </c>
      <c r="C3827" s="11" t="str">
        <f>INDEX(Data,2,2+MOD(ROWS(C$2:C3827)-1,24))</f>
        <v>10.00</v>
      </c>
      <c r="D3827" s="8" t="str">
        <f t="shared" ca="1" si="179"/>
        <v>—</v>
      </c>
      <c r="E3827" s="16">
        <f t="shared" ca="1" si="180"/>
        <v>7</v>
      </c>
    </row>
    <row r="3828" spans="1:5" x14ac:dyDescent="0.25">
      <c r="A3828" s="3">
        <f t="shared" si="178"/>
        <v>78989</v>
      </c>
      <c r="B3828" t="str">
        <f ca="1">TEXT(DATE(YEAR(Invoer!$A$5),1,1)+INT((ROWS(B$2:B3828)-1)/24),"""18""jjmmdd")</f>
        <v>18980609</v>
      </c>
      <c r="C3828" s="11" t="str">
        <f>INDEX(Data,2,2+MOD(ROWS(C$2:C3828)-1,24))</f>
        <v>11.00</v>
      </c>
      <c r="D3828" s="8" t="str">
        <f t="shared" ca="1" si="179"/>
        <v>—</v>
      </c>
      <c r="E3828" s="16">
        <f t="shared" ca="1" si="180"/>
        <v>7</v>
      </c>
    </row>
    <row r="3829" spans="1:5" x14ac:dyDescent="0.25">
      <c r="A3829" s="3">
        <f t="shared" si="178"/>
        <v>78989</v>
      </c>
      <c r="B3829" t="str">
        <f ca="1">TEXT(DATE(YEAR(Invoer!$A$5),1,1)+INT((ROWS(B$2:B3829)-1)/24),"""18""jjmmdd")</f>
        <v>18980609</v>
      </c>
      <c r="C3829" s="11" t="str">
        <f>INDEX(Data,2,2+MOD(ROWS(C$2:C3829)-1,24))</f>
        <v>12.00</v>
      </c>
      <c r="D3829" s="8" t="str">
        <f t="shared" ca="1" si="179"/>
        <v>—</v>
      </c>
      <c r="E3829" s="16">
        <f t="shared" ca="1" si="180"/>
        <v>7</v>
      </c>
    </row>
    <row r="3830" spans="1:5" x14ac:dyDescent="0.25">
      <c r="A3830" s="3">
        <f t="shared" si="178"/>
        <v>78989</v>
      </c>
      <c r="B3830" t="str">
        <f ca="1">TEXT(DATE(YEAR(Invoer!$A$5),1,1)+INT((ROWS(B$2:B3830)-1)/24),"""18""jjmmdd")</f>
        <v>18980609</v>
      </c>
      <c r="C3830" s="11" t="str">
        <f>INDEX(Data,2,2+MOD(ROWS(C$2:C3830)-1,24))</f>
        <v>13.00</v>
      </c>
      <c r="D3830" s="8" t="str">
        <f t="shared" ca="1" si="179"/>
        <v>—</v>
      </c>
      <c r="E3830" s="16">
        <f t="shared" ca="1" si="180"/>
        <v>7</v>
      </c>
    </row>
    <row r="3831" spans="1:5" x14ac:dyDescent="0.25">
      <c r="A3831" s="3">
        <f t="shared" si="178"/>
        <v>78989</v>
      </c>
      <c r="B3831" t="str">
        <f ca="1">TEXT(DATE(YEAR(Invoer!$A$5),1,1)+INT((ROWS(B$2:B3831)-1)/24),"""18""jjmmdd")</f>
        <v>18980609</v>
      </c>
      <c r="C3831" s="11" t="str">
        <f>INDEX(Data,2,2+MOD(ROWS(C$2:C3831)-1,24))</f>
        <v>14.00</v>
      </c>
      <c r="D3831" s="8" t="str">
        <f t="shared" ca="1" si="179"/>
        <v>—</v>
      </c>
      <c r="E3831" s="16">
        <f t="shared" ca="1" si="180"/>
        <v>7</v>
      </c>
    </row>
    <row r="3832" spans="1:5" x14ac:dyDescent="0.25">
      <c r="A3832" s="3">
        <f t="shared" si="178"/>
        <v>78989</v>
      </c>
      <c r="B3832" t="str">
        <f ca="1">TEXT(DATE(YEAR(Invoer!$A$5),1,1)+INT((ROWS(B$2:B3832)-1)/24),"""18""jjmmdd")</f>
        <v>18980609</v>
      </c>
      <c r="C3832" s="11" t="str">
        <f>INDEX(Data,2,2+MOD(ROWS(C$2:C3832)-1,24))</f>
        <v>15.00</v>
      </c>
      <c r="D3832" s="8" t="str">
        <f t="shared" ca="1" si="179"/>
        <v>—</v>
      </c>
      <c r="E3832" s="16">
        <f t="shared" ca="1" si="180"/>
        <v>7</v>
      </c>
    </row>
    <row r="3833" spans="1:5" x14ac:dyDescent="0.25">
      <c r="A3833" s="3">
        <f t="shared" si="178"/>
        <v>78989</v>
      </c>
      <c r="B3833" t="str">
        <f ca="1">TEXT(DATE(YEAR(Invoer!$A$5),1,1)+INT((ROWS(B$2:B3833)-1)/24),"""18""jjmmdd")</f>
        <v>18980609</v>
      </c>
      <c r="C3833" s="11" t="str">
        <f>INDEX(Data,2,2+MOD(ROWS(C$2:C3833)-1,24))</f>
        <v>16.00</v>
      </c>
      <c r="D3833" s="8" t="str">
        <f t="shared" ca="1" si="179"/>
        <v>—</v>
      </c>
      <c r="E3833" s="16">
        <f t="shared" ca="1" si="180"/>
        <v>7</v>
      </c>
    </row>
    <row r="3834" spans="1:5" x14ac:dyDescent="0.25">
      <c r="A3834" s="3">
        <f t="shared" si="178"/>
        <v>78989</v>
      </c>
      <c r="B3834" t="str">
        <f ca="1">TEXT(DATE(YEAR(Invoer!$A$5),1,1)+INT((ROWS(B$2:B3834)-1)/24),"""18""jjmmdd")</f>
        <v>18980609</v>
      </c>
      <c r="C3834" s="11" t="str">
        <f>INDEX(Data,2,2+MOD(ROWS(C$2:C3834)-1,24))</f>
        <v>17.00</v>
      </c>
      <c r="D3834" s="8" t="str">
        <f t="shared" ca="1" si="179"/>
        <v>—</v>
      </c>
      <c r="E3834" s="16">
        <f t="shared" ca="1" si="180"/>
        <v>7</v>
      </c>
    </row>
    <row r="3835" spans="1:5" x14ac:dyDescent="0.25">
      <c r="A3835" s="3">
        <f t="shared" si="178"/>
        <v>78989</v>
      </c>
      <c r="B3835" t="str">
        <f ca="1">TEXT(DATE(YEAR(Invoer!$A$5),1,1)+INT((ROWS(B$2:B3835)-1)/24),"""18""jjmmdd")</f>
        <v>18980609</v>
      </c>
      <c r="C3835" s="11" t="str">
        <f>INDEX(Data,2,2+MOD(ROWS(C$2:C3835)-1,24))</f>
        <v>18.00</v>
      </c>
      <c r="D3835" s="8" t="str">
        <f t="shared" ca="1" si="179"/>
        <v>—</v>
      </c>
      <c r="E3835" s="16">
        <f t="shared" ca="1" si="180"/>
        <v>7</v>
      </c>
    </row>
    <row r="3836" spans="1:5" x14ac:dyDescent="0.25">
      <c r="A3836" s="3">
        <f t="shared" si="178"/>
        <v>78989</v>
      </c>
      <c r="B3836" t="str">
        <f ca="1">TEXT(DATE(YEAR(Invoer!$A$5),1,1)+INT((ROWS(B$2:B3836)-1)/24),"""18""jjmmdd")</f>
        <v>18980609</v>
      </c>
      <c r="C3836" s="11" t="str">
        <f>INDEX(Data,2,2+MOD(ROWS(C$2:C3836)-1,24))</f>
        <v>19.00</v>
      </c>
      <c r="D3836" s="8" t="str">
        <f t="shared" ca="1" si="179"/>
        <v>—</v>
      </c>
      <c r="E3836" s="16">
        <f t="shared" ca="1" si="180"/>
        <v>7</v>
      </c>
    </row>
    <row r="3837" spans="1:5" x14ac:dyDescent="0.25">
      <c r="A3837" s="3">
        <f t="shared" si="178"/>
        <v>78989</v>
      </c>
      <c r="B3837" t="str">
        <f ca="1">TEXT(DATE(YEAR(Invoer!$A$5),1,1)+INT((ROWS(B$2:B3837)-1)/24),"""18""jjmmdd")</f>
        <v>18980609</v>
      </c>
      <c r="C3837" s="11" t="str">
        <f>INDEX(Data,2,2+MOD(ROWS(C$2:C3837)-1,24))</f>
        <v>20.00</v>
      </c>
      <c r="D3837" s="8" t="str">
        <f t="shared" ca="1" si="179"/>
        <v>—</v>
      </c>
      <c r="E3837" s="16">
        <f t="shared" ca="1" si="180"/>
        <v>7</v>
      </c>
    </row>
    <row r="3838" spans="1:5" x14ac:dyDescent="0.25">
      <c r="A3838" s="3">
        <f t="shared" si="178"/>
        <v>78989</v>
      </c>
      <c r="B3838" t="str">
        <f ca="1">TEXT(DATE(YEAR(Invoer!$A$5),1,1)+INT((ROWS(B$2:B3838)-1)/24),"""18""jjmmdd")</f>
        <v>18980609</v>
      </c>
      <c r="C3838" s="11" t="str">
        <f>INDEX(Data,2,2+MOD(ROWS(C$2:C3838)-1,24))</f>
        <v>21.00</v>
      </c>
      <c r="D3838" s="8" t="str">
        <f t="shared" ca="1" si="179"/>
        <v>—</v>
      </c>
      <c r="E3838" s="16">
        <f t="shared" ca="1" si="180"/>
        <v>7</v>
      </c>
    </row>
    <row r="3839" spans="1:5" x14ac:dyDescent="0.25">
      <c r="A3839" s="3">
        <f t="shared" si="178"/>
        <v>78989</v>
      </c>
      <c r="B3839" t="str">
        <f ca="1">TEXT(DATE(YEAR(Invoer!$A$5),1,1)+INT((ROWS(B$2:B3839)-1)/24),"""18""jjmmdd")</f>
        <v>18980609</v>
      </c>
      <c r="C3839" s="11" t="str">
        <f>INDEX(Data,2,2+MOD(ROWS(C$2:C3839)-1,24))</f>
        <v>22.00</v>
      </c>
      <c r="D3839" s="8" t="str">
        <f t="shared" ca="1" si="179"/>
        <v>—</v>
      </c>
      <c r="E3839" s="16">
        <f t="shared" ca="1" si="180"/>
        <v>7</v>
      </c>
    </row>
    <row r="3840" spans="1:5" x14ac:dyDescent="0.25">
      <c r="A3840" s="3">
        <f t="shared" si="178"/>
        <v>78989</v>
      </c>
      <c r="B3840" t="str">
        <f ca="1">TEXT(DATE(YEAR(Invoer!$A$5),1,1)+INT((ROWS(B$2:B3840)-1)/24),"""18""jjmmdd")</f>
        <v>18980609</v>
      </c>
      <c r="C3840" s="11" t="str">
        <f>INDEX(Data,2,2+MOD(ROWS(C$2:C3840)-1,24))</f>
        <v>23.00</v>
      </c>
      <c r="D3840" s="8" t="str">
        <f t="shared" ca="1" si="179"/>
        <v>—</v>
      </c>
      <c r="E3840" s="16">
        <f t="shared" ca="1" si="180"/>
        <v>7</v>
      </c>
    </row>
    <row r="3841" spans="1:5" x14ac:dyDescent="0.25">
      <c r="A3841" s="3">
        <f t="shared" si="178"/>
        <v>78989</v>
      </c>
      <c r="B3841" t="str">
        <f ca="1">TEXT(DATE(YEAR(Invoer!$A$5),1,1)+INT((ROWS(B$2:B3841)-1)/24),"""18""jjmmdd")</f>
        <v>18980609</v>
      </c>
      <c r="C3841" s="11" t="str">
        <f>INDEX(Data,2,2+MOD(ROWS(C$2:C3841)-1,24))</f>
        <v>24.00</v>
      </c>
      <c r="D3841" s="8" t="str">
        <f t="shared" ca="1" si="179"/>
        <v>—</v>
      </c>
      <c r="E3841" s="16">
        <f t="shared" ca="1" si="180"/>
        <v>7</v>
      </c>
    </row>
    <row r="3842" spans="1:5" x14ac:dyDescent="0.25">
      <c r="A3842" s="3">
        <f t="shared" ref="A3842:A3905" si="181">INDEX(Stations,2,1)</f>
        <v>78989</v>
      </c>
      <c r="B3842" t="str">
        <f ca="1">TEXT(DATE(YEAR(Invoer!$A$5),1,1)+INT((ROWS(B$2:B3842)-1)/24),"""18""jjmmdd")</f>
        <v>18980610</v>
      </c>
      <c r="C3842" s="11" t="str">
        <f>INDEX(Data,2,2+MOD(ROWS(C$2:C3842)-1,24))</f>
        <v>01.00</v>
      </c>
      <c r="D3842" s="8" t="str">
        <f t="shared" ref="D3842:D3905" ca="1" si="182">IF(OR(ISBLANK(VLOOKUP(DATEVALUE("37"&amp;MID($B3842,3,2)&amp;"-"&amp;MID($B3842,5,2)&amp;"-"&amp;RIGHT($B3842,2)),Data,MATCH(LEFT(VLOOKUP(D$1,Parameters,2,FALSE()),4)&amp;"*",OFFSET(Data,0,0,1),0)+MATCH($C3842,OFFSET(Data,1,0,1),0)-2,FALSE())),ISTEXT(VLOOKUP(DATEVALUE("37"&amp;MID($B3842,3,2)&amp;"-"&amp;MID($B3842,5,2)&amp;"-"&amp;RIGHT($B3842,2)),Data,MATCH(LEFT(VLOOKUP(D$1,Parameters,2,FALSE()),4)&amp;"*",OFFSET(Data,0,0,1),0)+MATCH($C3842,OFFSET(Data,1,0,1),0)-2,FALSE()))),"—",VLOOKUP(DATEVALUE("37"&amp;MID($B3842,3,2)&amp;"-"&amp;MID($B3842,5,2)&amp;"-"&amp;RIGHT($B3842,2)),Data,MATCH(LEFT(VLOOKUP(D$1,Parameters,2,FALSE()),4)&amp;"*",OFFSET(Data,0,0,1),0)+MATCH($C3842,OFFSET(Data,1,0,1),0)-2,FALSE()))</f>
        <v>—</v>
      </c>
      <c r="E3842" s="16">
        <f t="shared" ca="1" si="180"/>
        <v>7</v>
      </c>
    </row>
    <row r="3843" spans="1:5" x14ac:dyDescent="0.25">
      <c r="A3843" s="3">
        <f t="shared" si="181"/>
        <v>78989</v>
      </c>
      <c r="B3843" t="str">
        <f ca="1">TEXT(DATE(YEAR(Invoer!$A$5),1,1)+INT((ROWS(B$2:B3843)-1)/24),"""18""jjmmdd")</f>
        <v>18980610</v>
      </c>
      <c r="C3843" s="11" t="str">
        <f>INDEX(Data,2,2+MOD(ROWS(C$2:C3843)-1,24))</f>
        <v>02.00</v>
      </c>
      <c r="D3843" s="8" t="str">
        <f t="shared" ca="1" si="182"/>
        <v>—</v>
      </c>
      <c r="E3843" s="16">
        <f t="shared" ref="E3843:E3906" ca="1" si="183">IF(OR(ISBLANK(VLOOKUP(DATEVALUE("37"&amp;MID($B3843,3,2)&amp;"-"&amp;MID($B3843,5,2)&amp;"-"&amp;RIGHT($B3843,2)),Data,MATCH(LEFT(VLOOKUP(D$1,Parameters,2,FALSE()),4)&amp;"*",OFFSET(Data,0,0,1),0)+MATCH($C3843,OFFSET(Data,1,0,1),0)-2,FALSE())),ISTEXT(VLOOKUP(DATEVALUE("37"&amp;MID($B3843,3,2)&amp;"-"&amp;MID($B3843,5,2)&amp;"-"&amp;RIGHT($B3843,2)),Data,MATCH(LEFT(VLOOKUP(D$1,Parameters,2,FALSE()),4)&amp;"*",OFFSET(Data,0,0,1),0)+MATCH($C3843,OFFSET(Data,1,0,1),0)-2,FALSE()))),Lacking,IF(ISNA(MATCH(DATEVALUE("37"&amp;MID($B3843,3,2)&amp;"-"&amp;MID($B3843,5,2)&amp;"-"&amp;RIGHT($B3843,2)),OFFSET(Catalogus,0,0,,1),0)),Ok,VLOOKUP(DATEVALUE("37"&amp;MID($B3843,3,2)&amp;"-"&amp;MID($B3843,5,2)&amp;"-"&amp;RIGHT($B3843,2)),Catalogus,MATCH(LEFT(VLOOKUP(MID(E$1,2,LEN(E$1)-1),Parameters,2,FALSE()),4)&amp;"*",OFFSET(Catalogus,0,0,1),0)+MATCH($C3843,OFFSET(Catalogus,1,0,1),0)-2,FALSE())))</f>
        <v>7</v>
      </c>
    </row>
    <row r="3844" spans="1:5" x14ac:dyDescent="0.25">
      <c r="A3844" s="3">
        <f t="shared" si="181"/>
        <v>78989</v>
      </c>
      <c r="B3844" t="str">
        <f ca="1">TEXT(DATE(YEAR(Invoer!$A$5),1,1)+INT((ROWS(B$2:B3844)-1)/24),"""18""jjmmdd")</f>
        <v>18980610</v>
      </c>
      <c r="C3844" s="11" t="str">
        <f>INDEX(Data,2,2+MOD(ROWS(C$2:C3844)-1,24))</f>
        <v>03.00</v>
      </c>
      <c r="D3844" s="8" t="str">
        <f t="shared" ca="1" si="182"/>
        <v>—</v>
      </c>
      <c r="E3844" s="16">
        <f t="shared" ca="1" si="183"/>
        <v>7</v>
      </c>
    </row>
    <row r="3845" spans="1:5" x14ac:dyDescent="0.25">
      <c r="A3845" s="3">
        <f t="shared" si="181"/>
        <v>78989</v>
      </c>
      <c r="B3845" t="str">
        <f ca="1">TEXT(DATE(YEAR(Invoer!$A$5),1,1)+INT((ROWS(B$2:B3845)-1)/24),"""18""jjmmdd")</f>
        <v>18980610</v>
      </c>
      <c r="C3845" s="11" t="str">
        <f>INDEX(Data,2,2+MOD(ROWS(C$2:C3845)-1,24))</f>
        <v>04.00</v>
      </c>
      <c r="D3845" s="8" t="str">
        <f t="shared" ca="1" si="182"/>
        <v>—</v>
      </c>
      <c r="E3845" s="16">
        <f t="shared" ca="1" si="183"/>
        <v>7</v>
      </c>
    </row>
    <row r="3846" spans="1:5" x14ac:dyDescent="0.25">
      <c r="A3846" s="3">
        <f t="shared" si="181"/>
        <v>78989</v>
      </c>
      <c r="B3846" t="str">
        <f ca="1">TEXT(DATE(YEAR(Invoer!$A$5),1,1)+INT((ROWS(B$2:B3846)-1)/24),"""18""jjmmdd")</f>
        <v>18980610</v>
      </c>
      <c r="C3846" s="11" t="str">
        <f>INDEX(Data,2,2+MOD(ROWS(C$2:C3846)-1,24))</f>
        <v>05.00</v>
      </c>
      <c r="D3846" s="8" t="str">
        <f t="shared" ca="1" si="182"/>
        <v>—</v>
      </c>
      <c r="E3846" s="16">
        <f t="shared" ca="1" si="183"/>
        <v>7</v>
      </c>
    </row>
    <row r="3847" spans="1:5" x14ac:dyDescent="0.25">
      <c r="A3847" s="3">
        <f t="shared" si="181"/>
        <v>78989</v>
      </c>
      <c r="B3847" t="str">
        <f ca="1">TEXT(DATE(YEAR(Invoer!$A$5),1,1)+INT((ROWS(B$2:B3847)-1)/24),"""18""jjmmdd")</f>
        <v>18980610</v>
      </c>
      <c r="C3847" s="11" t="str">
        <f>INDEX(Data,2,2+MOD(ROWS(C$2:C3847)-1,24))</f>
        <v>06.00</v>
      </c>
      <c r="D3847" s="8" t="str">
        <f t="shared" ca="1" si="182"/>
        <v>—</v>
      </c>
      <c r="E3847" s="16">
        <f t="shared" ca="1" si="183"/>
        <v>7</v>
      </c>
    </row>
    <row r="3848" spans="1:5" x14ac:dyDescent="0.25">
      <c r="A3848" s="3">
        <f t="shared" si="181"/>
        <v>78989</v>
      </c>
      <c r="B3848" t="str">
        <f ca="1">TEXT(DATE(YEAR(Invoer!$A$5),1,1)+INT((ROWS(B$2:B3848)-1)/24),"""18""jjmmdd")</f>
        <v>18980610</v>
      </c>
      <c r="C3848" s="11" t="str">
        <f>INDEX(Data,2,2+MOD(ROWS(C$2:C3848)-1,24))</f>
        <v>07.00</v>
      </c>
      <c r="D3848" s="8" t="str">
        <f t="shared" ca="1" si="182"/>
        <v>—</v>
      </c>
      <c r="E3848" s="16">
        <f t="shared" ca="1" si="183"/>
        <v>7</v>
      </c>
    </row>
    <row r="3849" spans="1:5" x14ac:dyDescent="0.25">
      <c r="A3849" s="3">
        <f t="shared" si="181"/>
        <v>78989</v>
      </c>
      <c r="B3849" t="str">
        <f ca="1">TEXT(DATE(YEAR(Invoer!$A$5),1,1)+INT((ROWS(B$2:B3849)-1)/24),"""18""jjmmdd")</f>
        <v>18980610</v>
      </c>
      <c r="C3849" s="11" t="str">
        <f>INDEX(Data,2,2+MOD(ROWS(C$2:C3849)-1,24))</f>
        <v>08.00</v>
      </c>
      <c r="D3849" s="8" t="str">
        <f t="shared" ca="1" si="182"/>
        <v>—</v>
      </c>
      <c r="E3849" s="16">
        <f t="shared" ca="1" si="183"/>
        <v>7</v>
      </c>
    </row>
    <row r="3850" spans="1:5" x14ac:dyDescent="0.25">
      <c r="A3850" s="3">
        <f t="shared" si="181"/>
        <v>78989</v>
      </c>
      <c r="B3850" t="str">
        <f ca="1">TEXT(DATE(YEAR(Invoer!$A$5),1,1)+INT((ROWS(B$2:B3850)-1)/24),"""18""jjmmdd")</f>
        <v>18980610</v>
      </c>
      <c r="C3850" s="11" t="str">
        <f>INDEX(Data,2,2+MOD(ROWS(C$2:C3850)-1,24))</f>
        <v>09.00</v>
      </c>
      <c r="D3850" s="8" t="str">
        <f t="shared" ca="1" si="182"/>
        <v>—</v>
      </c>
      <c r="E3850" s="16">
        <f t="shared" ca="1" si="183"/>
        <v>7</v>
      </c>
    </row>
    <row r="3851" spans="1:5" x14ac:dyDescent="0.25">
      <c r="A3851" s="3">
        <f t="shared" si="181"/>
        <v>78989</v>
      </c>
      <c r="B3851" t="str">
        <f ca="1">TEXT(DATE(YEAR(Invoer!$A$5),1,1)+INT((ROWS(B$2:B3851)-1)/24),"""18""jjmmdd")</f>
        <v>18980610</v>
      </c>
      <c r="C3851" s="11" t="str">
        <f>INDEX(Data,2,2+MOD(ROWS(C$2:C3851)-1,24))</f>
        <v>10.00</v>
      </c>
      <c r="D3851" s="8" t="str">
        <f t="shared" ca="1" si="182"/>
        <v>—</v>
      </c>
      <c r="E3851" s="16">
        <f t="shared" ca="1" si="183"/>
        <v>7</v>
      </c>
    </row>
    <row r="3852" spans="1:5" x14ac:dyDescent="0.25">
      <c r="A3852" s="3">
        <f t="shared" si="181"/>
        <v>78989</v>
      </c>
      <c r="B3852" t="str">
        <f ca="1">TEXT(DATE(YEAR(Invoer!$A$5),1,1)+INT((ROWS(B$2:B3852)-1)/24),"""18""jjmmdd")</f>
        <v>18980610</v>
      </c>
      <c r="C3852" s="11" t="str">
        <f>INDEX(Data,2,2+MOD(ROWS(C$2:C3852)-1,24))</f>
        <v>11.00</v>
      </c>
      <c r="D3852" s="8" t="str">
        <f t="shared" ca="1" si="182"/>
        <v>—</v>
      </c>
      <c r="E3852" s="16">
        <f t="shared" ca="1" si="183"/>
        <v>7</v>
      </c>
    </row>
    <row r="3853" spans="1:5" x14ac:dyDescent="0.25">
      <c r="A3853" s="3">
        <f t="shared" si="181"/>
        <v>78989</v>
      </c>
      <c r="B3853" t="str">
        <f ca="1">TEXT(DATE(YEAR(Invoer!$A$5),1,1)+INT((ROWS(B$2:B3853)-1)/24),"""18""jjmmdd")</f>
        <v>18980610</v>
      </c>
      <c r="C3853" s="11" t="str">
        <f>INDEX(Data,2,2+MOD(ROWS(C$2:C3853)-1,24))</f>
        <v>12.00</v>
      </c>
      <c r="D3853" s="8" t="str">
        <f t="shared" ca="1" si="182"/>
        <v>—</v>
      </c>
      <c r="E3853" s="16">
        <f t="shared" ca="1" si="183"/>
        <v>7</v>
      </c>
    </row>
    <row r="3854" spans="1:5" x14ac:dyDescent="0.25">
      <c r="A3854" s="3">
        <f t="shared" si="181"/>
        <v>78989</v>
      </c>
      <c r="B3854" t="str">
        <f ca="1">TEXT(DATE(YEAR(Invoer!$A$5),1,1)+INT((ROWS(B$2:B3854)-1)/24),"""18""jjmmdd")</f>
        <v>18980610</v>
      </c>
      <c r="C3854" s="11" t="str">
        <f>INDEX(Data,2,2+MOD(ROWS(C$2:C3854)-1,24))</f>
        <v>13.00</v>
      </c>
      <c r="D3854" s="8" t="str">
        <f t="shared" ca="1" si="182"/>
        <v>—</v>
      </c>
      <c r="E3854" s="16">
        <f t="shared" ca="1" si="183"/>
        <v>7</v>
      </c>
    </row>
    <row r="3855" spans="1:5" x14ac:dyDescent="0.25">
      <c r="A3855" s="3">
        <f t="shared" si="181"/>
        <v>78989</v>
      </c>
      <c r="B3855" t="str">
        <f ca="1">TEXT(DATE(YEAR(Invoer!$A$5),1,1)+INT((ROWS(B$2:B3855)-1)/24),"""18""jjmmdd")</f>
        <v>18980610</v>
      </c>
      <c r="C3855" s="11" t="str">
        <f>INDEX(Data,2,2+MOD(ROWS(C$2:C3855)-1,24))</f>
        <v>14.00</v>
      </c>
      <c r="D3855" s="8" t="str">
        <f t="shared" ca="1" si="182"/>
        <v>—</v>
      </c>
      <c r="E3855" s="16">
        <f t="shared" ca="1" si="183"/>
        <v>7</v>
      </c>
    </row>
    <row r="3856" spans="1:5" x14ac:dyDescent="0.25">
      <c r="A3856" s="3">
        <f t="shared" si="181"/>
        <v>78989</v>
      </c>
      <c r="B3856" t="str">
        <f ca="1">TEXT(DATE(YEAR(Invoer!$A$5),1,1)+INT((ROWS(B$2:B3856)-1)/24),"""18""jjmmdd")</f>
        <v>18980610</v>
      </c>
      <c r="C3856" s="11" t="str">
        <f>INDEX(Data,2,2+MOD(ROWS(C$2:C3856)-1,24))</f>
        <v>15.00</v>
      </c>
      <c r="D3856" s="8" t="str">
        <f t="shared" ca="1" si="182"/>
        <v>—</v>
      </c>
      <c r="E3856" s="16">
        <f t="shared" ca="1" si="183"/>
        <v>7</v>
      </c>
    </row>
    <row r="3857" spans="1:5" x14ac:dyDescent="0.25">
      <c r="A3857" s="3">
        <f t="shared" si="181"/>
        <v>78989</v>
      </c>
      <c r="B3857" t="str">
        <f ca="1">TEXT(DATE(YEAR(Invoer!$A$5),1,1)+INT((ROWS(B$2:B3857)-1)/24),"""18""jjmmdd")</f>
        <v>18980610</v>
      </c>
      <c r="C3857" s="11" t="str">
        <f>INDEX(Data,2,2+MOD(ROWS(C$2:C3857)-1,24))</f>
        <v>16.00</v>
      </c>
      <c r="D3857" s="8" t="str">
        <f t="shared" ca="1" si="182"/>
        <v>—</v>
      </c>
      <c r="E3857" s="16">
        <f t="shared" ca="1" si="183"/>
        <v>7</v>
      </c>
    </row>
    <row r="3858" spans="1:5" x14ac:dyDescent="0.25">
      <c r="A3858" s="3">
        <f t="shared" si="181"/>
        <v>78989</v>
      </c>
      <c r="B3858" t="str">
        <f ca="1">TEXT(DATE(YEAR(Invoer!$A$5),1,1)+INT((ROWS(B$2:B3858)-1)/24),"""18""jjmmdd")</f>
        <v>18980610</v>
      </c>
      <c r="C3858" s="11" t="str">
        <f>INDEX(Data,2,2+MOD(ROWS(C$2:C3858)-1,24))</f>
        <v>17.00</v>
      </c>
      <c r="D3858" s="8" t="str">
        <f t="shared" ca="1" si="182"/>
        <v>—</v>
      </c>
      <c r="E3858" s="16">
        <f t="shared" ca="1" si="183"/>
        <v>7</v>
      </c>
    </row>
    <row r="3859" spans="1:5" x14ac:dyDescent="0.25">
      <c r="A3859" s="3">
        <f t="shared" si="181"/>
        <v>78989</v>
      </c>
      <c r="B3859" t="str">
        <f ca="1">TEXT(DATE(YEAR(Invoer!$A$5),1,1)+INT((ROWS(B$2:B3859)-1)/24),"""18""jjmmdd")</f>
        <v>18980610</v>
      </c>
      <c r="C3859" s="11" t="str">
        <f>INDEX(Data,2,2+MOD(ROWS(C$2:C3859)-1,24))</f>
        <v>18.00</v>
      </c>
      <c r="D3859" s="8" t="str">
        <f t="shared" ca="1" si="182"/>
        <v>—</v>
      </c>
      <c r="E3859" s="16">
        <f t="shared" ca="1" si="183"/>
        <v>7</v>
      </c>
    </row>
    <row r="3860" spans="1:5" x14ac:dyDescent="0.25">
      <c r="A3860" s="3">
        <f t="shared" si="181"/>
        <v>78989</v>
      </c>
      <c r="B3860" t="str">
        <f ca="1">TEXT(DATE(YEAR(Invoer!$A$5),1,1)+INT((ROWS(B$2:B3860)-1)/24),"""18""jjmmdd")</f>
        <v>18980610</v>
      </c>
      <c r="C3860" s="11" t="str">
        <f>INDEX(Data,2,2+MOD(ROWS(C$2:C3860)-1,24))</f>
        <v>19.00</v>
      </c>
      <c r="D3860" s="8" t="str">
        <f t="shared" ca="1" si="182"/>
        <v>—</v>
      </c>
      <c r="E3860" s="16">
        <f t="shared" ca="1" si="183"/>
        <v>7</v>
      </c>
    </row>
    <row r="3861" spans="1:5" x14ac:dyDescent="0.25">
      <c r="A3861" s="3">
        <f t="shared" si="181"/>
        <v>78989</v>
      </c>
      <c r="B3861" t="str">
        <f ca="1">TEXT(DATE(YEAR(Invoer!$A$5),1,1)+INT((ROWS(B$2:B3861)-1)/24),"""18""jjmmdd")</f>
        <v>18980610</v>
      </c>
      <c r="C3861" s="11" t="str">
        <f>INDEX(Data,2,2+MOD(ROWS(C$2:C3861)-1,24))</f>
        <v>20.00</v>
      </c>
      <c r="D3861" s="8" t="str">
        <f t="shared" ca="1" si="182"/>
        <v>—</v>
      </c>
      <c r="E3861" s="16">
        <f t="shared" ca="1" si="183"/>
        <v>7</v>
      </c>
    </row>
    <row r="3862" spans="1:5" x14ac:dyDescent="0.25">
      <c r="A3862" s="3">
        <f t="shared" si="181"/>
        <v>78989</v>
      </c>
      <c r="B3862" t="str">
        <f ca="1">TEXT(DATE(YEAR(Invoer!$A$5),1,1)+INT((ROWS(B$2:B3862)-1)/24),"""18""jjmmdd")</f>
        <v>18980610</v>
      </c>
      <c r="C3862" s="11" t="str">
        <f>INDEX(Data,2,2+MOD(ROWS(C$2:C3862)-1,24))</f>
        <v>21.00</v>
      </c>
      <c r="D3862" s="8" t="str">
        <f t="shared" ca="1" si="182"/>
        <v>—</v>
      </c>
      <c r="E3862" s="16">
        <f t="shared" ca="1" si="183"/>
        <v>7</v>
      </c>
    </row>
    <row r="3863" spans="1:5" x14ac:dyDescent="0.25">
      <c r="A3863" s="3">
        <f t="shared" si="181"/>
        <v>78989</v>
      </c>
      <c r="B3863" t="str">
        <f ca="1">TEXT(DATE(YEAR(Invoer!$A$5),1,1)+INT((ROWS(B$2:B3863)-1)/24),"""18""jjmmdd")</f>
        <v>18980610</v>
      </c>
      <c r="C3863" s="11" t="str">
        <f>INDEX(Data,2,2+MOD(ROWS(C$2:C3863)-1,24))</f>
        <v>22.00</v>
      </c>
      <c r="D3863" s="8" t="str">
        <f t="shared" ca="1" si="182"/>
        <v>—</v>
      </c>
      <c r="E3863" s="16">
        <f t="shared" ca="1" si="183"/>
        <v>7</v>
      </c>
    </row>
    <row r="3864" spans="1:5" x14ac:dyDescent="0.25">
      <c r="A3864" s="3">
        <f t="shared" si="181"/>
        <v>78989</v>
      </c>
      <c r="B3864" t="str">
        <f ca="1">TEXT(DATE(YEAR(Invoer!$A$5),1,1)+INT((ROWS(B$2:B3864)-1)/24),"""18""jjmmdd")</f>
        <v>18980610</v>
      </c>
      <c r="C3864" s="11" t="str">
        <f>INDEX(Data,2,2+MOD(ROWS(C$2:C3864)-1,24))</f>
        <v>23.00</v>
      </c>
      <c r="D3864" s="8" t="str">
        <f t="shared" ca="1" si="182"/>
        <v>—</v>
      </c>
      <c r="E3864" s="16">
        <f t="shared" ca="1" si="183"/>
        <v>7</v>
      </c>
    </row>
    <row r="3865" spans="1:5" x14ac:dyDescent="0.25">
      <c r="A3865" s="3">
        <f t="shared" si="181"/>
        <v>78989</v>
      </c>
      <c r="B3865" t="str">
        <f ca="1">TEXT(DATE(YEAR(Invoer!$A$5),1,1)+INT((ROWS(B$2:B3865)-1)/24),"""18""jjmmdd")</f>
        <v>18980610</v>
      </c>
      <c r="C3865" s="11" t="str">
        <f>INDEX(Data,2,2+MOD(ROWS(C$2:C3865)-1,24))</f>
        <v>24.00</v>
      </c>
      <c r="D3865" s="8" t="str">
        <f t="shared" ca="1" si="182"/>
        <v>—</v>
      </c>
      <c r="E3865" s="16">
        <f t="shared" ca="1" si="183"/>
        <v>7</v>
      </c>
    </row>
    <row r="3866" spans="1:5" x14ac:dyDescent="0.25">
      <c r="A3866" s="3">
        <f t="shared" si="181"/>
        <v>78989</v>
      </c>
      <c r="B3866" t="str">
        <f ca="1">TEXT(DATE(YEAR(Invoer!$A$5),1,1)+INT((ROWS(B$2:B3866)-1)/24),"""18""jjmmdd")</f>
        <v>18980611</v>
      </c>
      <c r="C3866" s="11" t="str">
        <f>INDEX(Data,2,2+MOD(ROWS(C$2:C3866)-1,24))</f>
        <v>01.00</v>
      </c>
      <c r="D3866" s="8" t="str">
        <f t="shared" ca="1" si="182"/>
        <v>—</v>
      </c>
      <c r="E3866" s="16">
        <f t="shared" ca="1" si="183"/>
        <v>7</v>
      </c>
    </row>
    <row r="3867" spans="1:5" x14ac:dyDescent="0.25">
      <c r="A3867" s="3">
        <f t="shared" si="181"/>
        <v>78989</v>
      </c>
      <c r="B3867" t="str">
        <f ca="1">TEXT(DATE(YEAR(Invoer!$A$5),1,1)+INT((ROWS(B$2:B3867)-1)/24),"""18""jjmmdd")</f>
        <v>18980611</v>
      </c>
      <c r="C3867" s="11" t="str">
        <f>INDEX(Data,2,2+MOD(ROWS(C$2:C3867)-1,24))</f>
        <v>02.00</v>
      </c>
      <c r="D3867" s="8" t="str">
        <f t="shared" ca="1" si="182"/>
        <v>—</v>
      </c>
      <c r="E3867" s="16">
        <f t="shared" ca="1" si="183"/>
        <v>7</v>
      </c>
    </row>
    <row r="3868" spans="1:5" x14ac:dyDescent="0.25">
      <c r="A3868" s="3">
        <f t="shared" si="181"/>
        <v>78989</v>
      </c>
      <c r="B3868" t="str">
        <f ca="1">TEXT(DATE(YEAR(Invoer!$A$5),1,1)+INT((ROWS(B$2:B3868)-1)/24),"""18""jjmmdd")</f>
        <v>18980611</v>
      </c>
      <c r="C3868" s="11" t="str">
        <f>INDEX(Data,2,2+MOD(ROWS(C$2:C3868)-1,24))</f>
        <v>03.00</v>
      </c>
      <c r="D3868" s="8" t="str">
        <f t="shared" ca="1" si="182"/>
        <v>—</v>
      </c>
      <c r="E3868" s="16">
        <f t="shared" ca="1" si="183"/>
        <v>7</v>
      </c>
    </row>
    <row r="3869" spans="1:5" x14ac:dyDescent="0.25">
      <c r="A3869" s="3">
        <f t="shared" si="181"/>
        <v>78989</v>
      </c>
      <c r="B3869" t="str">
        <f ca="1">TEXT(DATE(YEAR(Invoer!$A$5),1,1)+INT((ROWS(B$2:B3869)-1)/24),"""18""jjmmdd")</f>
        <v>18980611</v>
      </c>
      <c r="C3869" s="11" t="str">
        <f>INDEX(Data,2,2+MOD(ROWS(C$2:C3869)-1,24))</f>
        <v>04.00</v>
      </c>
      <c r="D3869" s="8" t="str">
        <f t="shared" ca="1" si="182"/>
        <v>—</v>
      </c>
      <c r="E3869" s="16">
        <f t="shared" ca="1" si="183"/>
        <v>7</v>
      </c>
    </row>
    <row r="3870" spans="1:5" x14ac:dyDescent="0.25">
      <c r="A3870" s="3">
        <f t="shared" si="181"/>
        <v>78989</v>
      </c>
      <c r="B3870" t="str">
        <f ca="1">TEXT(DATE(YEAR(Invoer!$A$5),1,1)+INT((ROWS(B$2:B3870)-1)/24),"""18""jjmmdd")</f>
        <v>18980611</v>
      </c>
      <c r="C3870" s="11" t="str">
        <f>INDEX(Data,2,2+MOD(ROWS(C$2:C3870)-1,24))</f>
        <v>05.00</v>
      </c>
      <c r="D3870" s="8" t="str">
        <f t="shared" ca="1" si="182"/>
        <v>—</v>
      </c>
      <c r="E3870" s="16">
        <f t="shared" ca="1" si="183"/>
        <v>7</v>
      </c>
    </row>
    <row r="3871" spans="1:5" x14ac:dyDescent="0.25">
      <c r="A3871" s="3">
        <f t="shared" si="181"/>
        <v>78989</v>
      </c>
      <c r="B3871" t="str">
        <f ca="1">TEXT(DATE(YEAR(Invoer!$A$5),1,1)+INT((ROWS(B$2:B3871)-1)/24),"""18""jjmmdd")</f>
        <v>18980611</v>
      </c>
      <c r="C3871" s="11" t="str">
        <f>INDEX(Data,2,2+MOD(ROWS(C$2:C3871)-1,24))</f>
        <v>06.00</v>
      </c>
      <c r="D3871" s="8" t="str">
        <f t="shared" ca="1" si="182"/>
        <v>—</v>
      </c>
      <c r="E3871" s="16">
        <f t="shared" ca="1" si="183"/>
        <v>7</v>
      </c>
    </row>
    <row r="3872" spans="1:5" x14ac:dyDescent="0.25">
      <c r="A3872" s="3">
        <f t="shared" si="181"/>
        <v>78989</v>
      </c>
      <c r="B3872" t="str">
        <f ca="1">TEXT(DATE(YEAR(Invoer!$A$5),1,1)+INT((ROWS(B$2:B3872)-1)/24),"""18""jjmmdd")</f>
        <v>18980611</v>
      </c>
      <c r="C3872" s="11" t="str">
        <f>INDEX(Data,2,2+MOD(ROWS(C$2:C3872)-1,24))</f>
        <v>07.00</v>
      </c>
      <c r="D3872" s="8" t="str">
        <f t="shared" ca="1" si="182"/>
        <v>—</v>
      </c>
      <c r="E3872" s="16">
        <f t="shared" ca="1" si="183"/>
        <v>7</v>
      </c>
    </row>
    <row r="3873" spans="1:5" x14ac:dyDescent="0.25">
      <c r="A3873" s="3">
        <f t="shared" si="181"/>
        <v>78989</v>
      </c>
      <c r="B3873" t="str">
        <f ca="1">TEXT(DATE(YEAR(Invoer!$A$5),1,1)+INT((ROWS(B$2:B3873)-1)/24),"""18""jjmmdd")</f>
        <v>18980611</v>
      </c>
      <c r="C3873" s="11" t="str">
        <f>INDEX(Data,2,2+MOD(ROWS(C$2:C3873)-1,24))</f>
        <v>08.00</v>
      </c>
      <c r="D3873" s="8" t="str">
        <f t="shared" ca="1" si="182"/>
        <v>—</v>
      </c>
      <c r="E3873" s="16">
        <f t="shared" ca="1" si="183"/>
        <v>7</v>
      </c>
    </row>
    <row r="3874" spans="1:5" x14ac:dyDescent="0.25">
      <c r="A3874" s="3">
        <f t="shared" si="181"/>
        <v>78989</v>
      </c>
      <c r="B3874" t="str">
        <f ca="1">TEXT(DATE(YEAR(Invoer!$A$5),1,1)+INT((ROWS(B$2:B3874)-1)/24),"""18""jjmmdd")</f>
        <v>18980611</v>
      </c>
      <c r="C3874" s="11" t="str">
        <f>INDEX(Data,2,2+MOD(ROWS(C$2:C3874)-1,24))</f>
        <v>09.00</v>
      </c>
      <c r="D3874" s="8" t="str">
        <f t="shared" ca="1" si="182"/>
        <v>—</v>
      </c>
      <c r="E3874" s="16">
        <f t="shared" ca="1" si="183"/>
        <v>7</v>
      </c>
    </row>
    <row r="3875" spans="1:5" x14ac:dyDescent="0.25">
      <c r="A3875" s="3">
        <f t="shared" si="181"/>
        <v>78989</v>
      </c>
      <c r="B3875" t="str">
        <f ca="1">TEXT(DATE(YEAR(Invoer!$A$5),1,1)+INT((ROWS(B$2:B3875)-1)/24),"""18""jjmmdd")</f>
        <v>18980611</v>
      </c>
      <c r="C3875" s="11" t="str">
        <f>INDEX(Data,2,2+MOD(ROWS(C$2:C3875)-1,24))</f>
        <v>10.00</v>
      </c>
      <c r="D3875" s="8" t="str">
        <f t="shared" ca="1" si="182"/>
        <v>—</v>
      </c>
      <c r="E3875" s="16">
        <f t="shared" ca="1" si="183"/>
        <v>7</v>
      </c>
    </row>
    <row r="3876" spans="1:5" x14ac:dyDescent="0.25">
      <c r="A3876" s="3">
        <f t="shared" si="181"/>
        <v>78989</v>
      </c>
      <c r="B3876" t="str">
        <f ca="1">TEXT(DATE(YEAR(Invoer!$A$5),1,1)+INT((ROWS(B$2:B3876)-1)/24),"""18""jjmmdd")</f>
        <v>18980611</v>
      </c>
      <c r="C3876" s="11" t="str">
        <f>INDEX(Data,2,2+MOD(ROWS(C$2:C3876)-1,24))</f>
        <v>11.00</v>
      </c>
      <c r="D3876" s="8" t="str">
        <f t="shared" ca="1" si="182"/>
        <v>—</v>
      </c>
      <c r="E3876" s="16">
        <f t="shared" ca="1" si="183"/>
        <v>7</v>
      </c>
    </row>
    <row r="3877" spans="1:5" x14ac:dyDescent="0.25">
      <c r="A3877" s="3">
        <f t="shared" si="181"/>
        <v>78989</v>
      </c>
      <c r="B3877" t="str">
        <f ca="1">TEXT(DATE(YEAR(Invoer!$A$5),1,1)+INT((ROWS(B$2:B3877)-1)/24),"""18""jjmmdd")</f>
        <v>18980611</v>
      </c>
      <c r="C3877" s="11" t="str">
        <f>INDEX(Data,2,2+MOD(ROWS(C$2:C3877)-1,24))</f>
        <v>12.00</v>
      </c>
      <c r="D3877" s="8" t="str">
        <f t="shared" ca="1" si="182"/>
        <v>—</v>
      </c>
      <c r="E3877" s="16">
        <f t="shared" ca="1" si="183"/>
        <v>7</v>
      </c>
    </row>
    <row r="3878" spans="1:5" x14ac:dyDescent="0.25">
      <c r="A3878" s="3">
        <f t="shared" si="181"/>
        <v>78989</v>
      </c>
      <c r="B3878" t="str">
        <f ca="1">TEXT(DATE(YEAR(Invoer!$A$5),1,1)+INT((ROWS(B$2:B3878)-1)/24),"""18""jjmmdd")</f>
        <v>18980611</v>
      </c>
      <c r="C3878" s="11" t="str">
        <f>INDEX(Data,2,2+MOD(ROWS(C$2:C3878)-1,24))</f>
        <v>13.00</v>
      </c>
      <c r="D3878" s="8" t="str">
        <f t="shared" ca="1" si="182"/>
        <v>—</v>
      </c>
      <c r="E3878" s="16">
        <f t="shared" ca="1" si="183"/>
        <v>7</v>
      </c>
    </row>
    <row r="3879" spans="1:5" x14ac:dyDescent="0.25">
      <c r="A3879" s="3">
        <f t="shared" si="181"/>
        <v>78989</v>
      </c>
      <c r="B3879" t="str">
        <f ca="1">TEXT(DATE(YEAR(Invoer!$A$5),1,1)+INT((ROWS(B$2:B3879)-1)/24),"""18""jjmmdd")</f>
        <v>18980611</v>
      </c>
      <c r="C3879" s="11" t="str">
        <f>INDEX(Data,2,2+MOD(ROWS(C$2:C3879)-1,24))</f>
        <v>14.00</v>
      </c>
      <c r="D3879" s="8" t="str">
        <f t="shared" ca="1" si="182"/>
        <v>—</v>
      </c>
      <c r="E3879" s="16">
        <f t="shared" ca="1" si="183"/>
        <v>7</v>
      </c>
    </row>
    <row r="3880" spans="1:5" x14ac:dyDescent="0.25">
      <c r="A3880" s="3">
        <f t="shared" si="181"/>
        <v>78989</v>
      </c>
      <c r="B3880" t="str">
        <f ca="1">TEXT(DATE(YEAR(Invoer!$A$5),1,1)+INT((ROWS(B$2:B3880)-1)/24),"""18""jjmmdd")</f>
        <v>18980611</v>
      </c>
      <c r="C3880" s="11" t="str">
        <f>INDEX(Data,2,2+MOD(ROWS(C$2:C3880)-1,24))</f>
        <v>15.00</v>
      </c>
      <c r="D3880" s="8" t="str">
        <f t="shared" ca="1" si="182"/>
        <v>—</v>
      </c>
      <c r="E3880" s="16">
        <f t="shared" ca="1" si="183"/>
        <v>7</v>
      </c>
    </row>
    <row r="3881" spans="1:5" x14ac:dyDescent="0.25">
      <c r="A3881" s="3">
        <f t="shared" si="181"/>
        <v>78989</v>
      </c>
      <c r="B3881" t="str">
        <f ca="1">TEXT(DATE(YEAR(Invoer!$A$5),1,1)+INT((ROWS(B$2:B3881)-1)/24),"""18""jjmmdd")</f>
        <v>18980611</v>
      </c>
      <c r="C3881" s="11" t="str">
        <f>INDEX(Data,2,2+MOD(ROWS(C$2:C3881)-1,24))</f>
        <v>16.00</v>
      </c>
      <c r="D3881" s="8" t="str">
        <f t="shared" ca="1" si="182"/>
        <v>—</v>
      </c>
      <c r="E3881" s="16">
        <f t="shared" ca="1" si="183"/>
        <v>7</v>
      </c>
    </row>
    <row r="3882" spans="1:5" x14ac:dyDescent="0.25">
      <c r="A3882" s="3">
        <f t="shared" si="181"/>
        <v>78989</v>
      </c>
      <c r="B3882" t="str">
        <f ca="1">TEXT(DATE(YEAR(Invoer!$A$5),1,1)+INT((ROWS(B$2:B3882)-1)/24),"""18""jjmmdd")</f>
        <v>18980611</v>
      </c>
      <c r="C3882" s="11" t="str">
        <f>INDEX(Data,2,2+MOD(ROWS(C$2:C3882)-1,24))</f>
        <v>17.00</v>
      </c>
      <c r="D3882" s="8" t="str">
        <f t="shared" ca="1" si="182"/>
        <v>—</v>
      </c>
      <c r="E3882" s="16">
        <f t="shared" ca="1" si="183"/>
        <v>7</v>
      </c>
    </row>
    <row r="3883" spans="1:5" x14ac:dyDescent="0.25">
      <c r="A3883" s="3">
        <f t="shared" si="181"/>
        <v>78989</v>
      </c>
      <c r="B3883" t="str">
        <f ca="1">TEXT(DATE(YEAR(Invoer!$A$5),1,1)+INT((ROWS(B$2:B3883)-1)/24),"""18""jjmmdd")</f>
        <v>18980611</v>
      </c>
      <c r="C3883" s="11" t="str">
        <f>INDEX(Data,2,2+MOD(ROWS(C$2:C3883)-1,24))</f>
        <v>18.00</v>
      </c>
      <c r="D3883" s="8" t="str">
        <f t="shared" ca="1" si="182"/>
        <v>—</v>
      </c>
      <c r="E3883" s="16">
        <f t="shared" ca="1" si="183"/>
        <v>7</v>
      </c>
    </row>
    <row r="3884" spans="1:5" x14ac:dyDescent="0.25">
      <c r="A3884" s="3">
        <f t="shared" si="181"/>
        <v>78989</v>
      </c>
      <c r="B3884" t="str">
        <f ca="1">TEXT(DATE(YEAR(Invoer!$A$5),1,1)+INT((ROWS(B$2:B3884)-1)/24),"""18""jjmmdd")</f>
        <v>18980611</v>
      </c>
      <c r="C3884" s="11" t="str">
        <f>INDEX(Data,2,2+MOD(ROWS(C$2:C3884)-1,24))</f>
        <v>19.00</v>
      </c>
      <c r="D3884" s="8" t="str">
        <f t="shared" ca="1" si="182"/>
        <v>—</v>
      </c>
      <c r="E3884" s="16">
        <f t="shared" ca="1" si="183"/>
        <v>7</v>
      </c>
    </row>
    <row r="3885" spans="1:5" x14ac:dyDescent="0.25">
      <c r="A3885" s="3">
        <f t="shared" si="181"/>
        <v>78989</v>
      </c>
      <c r="B3885" t="str">
        <f ca="1">TEXT(DATE(YEAR(Invoer!$A$5),1,1)+INT((ROWS(B$2:B3885)-1)/24),"""18""jjmmdd")</f>
        <v>18980611</v>
      </c>
      <c r="C3885" s="11" t="str">
        <f>INDEX(Data,2,2+MOD(ROWS(C$2:C3885)-1,24))</f>
        <v>20.00</v>
      </c>
      <c r="D3885" s="8" t="str">
        <f t="shared" ca="1" si="182"/>
        <v>—</v>
      </c>
      <c r="E3885" s="16">
        <f t="shared" ca="1" si="183"/>
        <v>7</v>
      </c>
    </row>
    <row r="3886" spans="1:5" x14ac:dyDescent="0.25">
      <c r="A3886" s="3">
        <f t="shared" si="181"/>
        <v>78989</v>
      </c>
      <c r="B3886" t="str">
        <f ca="1">TEXT(DATE(YEAR(Invoer!$A$5),1,1)+INT((ROWS(B$2:B3886)-1)/24),"""18""jjmmdd")</f>
        <v>18980611</v>
      </c>
      <c r="C3886" s="11" t="str">
        <f>INDEX(Data,2,2+MOD(ROWS(C$2:C3886)-1,24))</f>
        <v>21.00</v>
      </c>
      <c r="D3886" s="8" t="str">
        <f t="shared" ca="1" si="182"/>
        <v>—</v>
      </c>
      <c r="E3886" s="16">
        <f t="shared" ca="1" si="183"/>
        <v>7</v>
      </c>
    </row>
    <row r="3887" spans="1:5" x14ac:dyDescent="0.25">
      <c r="A3887" s="3">
        <f t="shared" si="181"/>
        <v>78989</v>
      </c>
      <c r="B3887" t="str">
        <f ca="1">TEXT(DATE(YEAR(Invoer!$A$5),1,1)+INT((ROWS(B$2:B3887)-1)/24),"""18""jjmmdd")</f>
        <v>18980611</v>
      </c>
      <c r="C3887" s="11" t="str">
        <f>INDEX(Data,2,2+MOD(ROWS(C$2:C3887)-1,24))</f>
        <v>22.00</v>
      </c>
      <c r="D3887" s="8" t="str">
        <f t="shared" ca="1" si="182"/>
        <v>—</v>
      </c>
      <c r="E3887" s="16">
        <f t="shared" ca="1" si="183"/>
        <v>7</v>
      </c>
    </row>
    <row r="3888" spans="1:5" x14ac:dyDescent="0.25">
      <c r="A3888" s="3">
        <f t="shared" si="181"/>
        <v>78989</v>
      </c>
      <c r="B3888" t="str">
        <f ca="1">TEXT(DATE(YEAR(Invoer!$A$5),1,1)+INT((ROWS(B$2:B3888)-1)/24),"""18""jjmmdd")</f>
        <v>18980611</v>
      </c>
      <c r="C3888" s="11" t="str">
        <f>INDEX(Data,2,2+MOD(ROWS(C$2:C3888)-1,24))</f>
        <v>23.00</v>
      </c>
      <c r="D3888" s="8" t="str">
        <f t="shared" ca="1" si="182"/>
        <v>—</v>
      </c>
      <c r="E3888" s="16">
        <f t="shared" ca="1" si="183"/>
        <v>7</v>
      </c>
    </row>
    <row r="3889" spans="1:5" x14ac:dyDescent="0.25">
      <c r="A3889" s="3">
        <f t="shared" si="181"/>
        <v>78989</v>
      </c>
      <c r="B3889" t="str">
        <f ca="1">TEXT(DATE(YEAR(Invoer!$A$5),1,1)+INT((ROWS(B$2:B3889)-1)/24),"""18""jjmmdd")</f>
        <v>18980611</v>
      </c>
      <c r="C3889" s="11" t="str">
        <f>INDEX(Data,2,2+MOD(ROWS(C$2:C3889)-1,24))</f>
        <v>24.00</v>
      </c>
      <c r="D3889" s="8" t="str">
        <f t="shared" ca="1" si="182"/>
        <v>—</v>
      </c>
      <c r="E3889" s="16">
        <f t="shared" ca="1" si="183"/>
        <v>7</v>
      </c>
    </row>
    <row r="3890" spans="1:5" x14ac:dyDescent="0.25">
      <c r="A3890" s="3">
        <f t="shared" si="181"/>
        <v>78989</v>
      </c>
      <c r="B3890" t="str">
        <f ca="1">TEXT(DATE(YEAR(Invoer!$A$5),1,1)+INT((ROWS(B$2:B3890)-1)/24),"""18""jjmmdd")</f>
        <v>18980612</v>
      </c>
      <c r="C3890" s="11" t="str">
        <f>INDEX(Data,2,2+MOD(ROWS(C$2:C3890)-1,24))</f>
        <v>01.00</v>
      </c>
      <c r="D3890" s="8" t="str">
        <f t="shared" ca="1" si="182"/>
        <v>—</v>
      </c>
      <c r="E3890" s="16">
        <f t="shared" ca="1" si="183"/>
        <v>7</v>
      </c>
    </row>
    <row r="3891" spans="1:5" x14ac:dyDescent="0.25">
      <c r="A3891" s="3">
        <f t="shared" si="181"/>
        <v>78989</v>
      </c>
      <c r="B3891" t="str">
        <f ca="1">TEXT(DATE(YEAR(Invoer!$A$5),1,1)+INT((ROWS(B$2:B3891)-1)/24),"""18""jjmmdd")</f>
        <v>18980612</v>
      </c>
      <c r="C3891" s="11" t="str">
        <f>INDEX(Data,2,2+MOD(ROWS(C$2:C3891)-1,24))</f>
        <v>02.00</v>
      </c>
      <c r="D3891" s="8" t="str">
        <f t="shared" ca="1" si="182"/>
        <v>—</v>
      </c>
      <c r="E3891" s="16">
        <f t="shared" ca="1" si="183"/>
        <v>7</v>
      </c>
    </row>
    <row r="3892" spans="1:5" x14ac:dyDescent="0.25">
      <c r="A3892" s="3">
        <f t="shared" si="181"/>
        <v>78989</v>
      </c>
      <c r="B3892" t="str">
        <f ca="1">TEXT(DATE(YEAR(Invoer!$A$5),1,1)+INT((ROWS(B$2:B3892)-1)/24),"""18""jjmmdd")</f>
        <v>18980612</v>
      </c>
      <c r="C3892" s="11" t="str">
        <f>INDEX(Data,2,2+MOD(ROWS(C$2:C3892)-1,24))</f>
        <v>03.00</v>
      </c>
      <c r="D3892" s="8" t="str">
        <f t="shared" ca="1" si="182"/>
        <v>—</v>
      </c>
      <c r="E3892" s="16">
        <f t="shared" ca="1" si="183"/>
        <v>7</v>
      </c>
    </row>
    <row r="3893" spans="1:5" x14ac:dyDescent="0.25">
      <c r="A3893" s="3">
        <f t="shared" si="181"/>
        <v>78989</v>
      </c>
      <c r="B3893" t="str">
        <f ca="1">TEXT(DATE(YEAR(Invoer!$A$5),1,1)+INT((ROWS(B$2:B3893)-1)/24),"""18""jjmmdd")</f>
        <v>18980612</v>
      </c>
      <c r="C3893" s="11" t="str">
        <f>INDEX(Data,2,2+MOD(ROWS(C$2:C3893)-1,24))</f>
        <v>04.00</v>
      </c>
      <c r="D3893" s="8" t="str">
        <f t="shared" ca="1" si="182"/>
        <v>—</v>
      </c>
      <c r="E3893" s="16">
        <f t="shared" ca="1" si="183"/>
        <v>7</v>
      </c>
    </row>
    <row r="3894" spans="1:5" x14ac:dyDescent="0.25">
      <c r="A3894" s="3">
        <f t="shared" si="181"/>
        <v>78989</v>
      </c>
      <c r="B3894" t="str">
        <f ca="1">TEXT(DATE(YEAR(Invoer!$A$5),1,1)+INT((ROWS(B$2:B3894)-1)/24),"""18""jjmmdd")</f>
        <v>18980612</v>
      </c>
      <c r="C3894" s="11" t="str">
        <f>INDEX(Data,2,2+MOD(ROWS(C$2:C3894)-1,24))</f>
        <v>05.00</v>
      </c>
      <c r="D3894" s="8" t="str">
        <f t="shared" ca="1" si="182"/>
        <v>—</v>
      </c>
      <c r="E3894" s="16">
        <f t="shared" ca="1" si="183"/>
        <v>7</v>
      </c>
    </row>
    <row r="3895" spans="1:5" x14ac:dyDescent="0.25">
      <c r="A3895" s="3">
        <f t="shared" si="181"/>
        <v>78989</v>
      </c>
      <c r="B3895" t="str">
        <f ca="1">TEXT(DATE(YEAR(Invoer!$A$5),1,1)+INT((ROWS(B$2:B3895)-1)/24),"""18""jjmmdd")</f>
        <v>18980612</v>
      </c>
      <c r="C3895" s="11" t="str">
        <f>INDEX(Data,2,2+MOD(ROWS(C$2:C3895)-1,24))</f>
        <v>06.00</v>
      </c>
      <c r="D3895" s="8" t="str">
        <f t="shared" ca="1" si="182"/>
        <v>—</v>
      </c>
      <c r="E3895" s="16">
        <f t="shared" ca="1" si="183"/>
        <v>7</v>
      </c>
    </row>
    <row r="3896" spans="1:5" x14ac:dyDescent="0.25">
      <c r="A3896" s="3">
        <f t="shared" si="181"/>
        <v>78989</v>
      </c>
      <c r="B3896" t="str">
        <f ca="1">TEXT(DATE(YEAR(Invoer!$A$5),1,1)+INT((ROWS(B$2:B3896)-1)/24),"""18""jjmmdd")</f>
        <v>18980612</v>
      </c>
      <c r="C3896" s="11" t="str">
        <f>INDEX(Data,2,2+MOD(ROWS(C$2:C3896)-1,24))</f>
        <v>07.00</v>
      </c>
      <c r="D3896" s="8" t="str">
        <f t="shared" ca="1" si="182"/>
        <v>—</v>
      </c>
      <c r="E3896" s="16">
        <f t="shared" ca="1" si="183"/>
        <v>7</v>
      </c>
    </row>
    <row r="3897" spans="1:5" x14ac:dyDescent="0.25">
      <c r="A3897" s="3">
        <f t="shared" si="181"/>
        <v>78989</v>
      </c>
      <c r="B3897" t="str">
        <f ca="1">TEXT(DATE(YEAR(Invoer!$A$5),1,1)+INT((ROWS(B$2:B3897)-1)/24),"""18""jjmmdd")</f>
        <v>18980612</v>
      </c>
      <c r="C3897" s="11" t="str">
        <f>INDEX(Data,2,2+MOD(ROWS(C$2:C3897)-1,24))</f>
        <v>08.00</v>
      </c>
      <c r="D3897" s="8" t="str">
        <f t="shared" ca="1" si="182"/>
        <v>—</v>
      </c>
      <c r="E3897" s="16">
        <f t="shared" ca="1" si="183"/>
        <v>7</v>
      </c>
    </row>
    <row r="3898" spans="1:5" x14ac:dyDescent="0.25">
      <c r="A3898" s="3">
        <f t="shared" si="181"/>
        <v>78989</v>
      </c>
      <c r="B3898" t="str">
        <f ca="1">TEXT(DATE(YEAR(Invoer!$A$5),1,1)+INT((ROWS(B$2:B3898)-1)/24),"""18""jjmmdd")</f>
        <v>18980612</v>
      </c>
      <c r="C3898" s="11" t="str">
        <f>INDEX(Data,2,2+MOD(ROWS(C$2:C3898)-1,24))</f>
        <v>09.00</v>
      </c>
      <c r="D3898" s="8" t="str">
        <f t="shared" ca="1" si="182"/>
        <v>—</v>
      </c>
      <c r="E3898" s="16">
        <f t="shared" ca="1" si="183"/>
        <v>7</v>
      </c>
    </row>
    <row r="3899" spans="1:5" x14ac:dyDescent="0.25">
      <c r="A3899" s="3">
        <f t="shared" si="181"/>
        <v>78989</v>
      </c>
      <c r="B3899" t="str">
        <f ca="1">TEXT(DATE(YEAR(Invoer!$A$5),1,1)+INT((ROWS(B$2:B3899)-1)/24),"""18""jjmmdd")</f>
        <v>18980612</v>
      </c>
      <c r="C3899" s="11" t="str">
        <f>INDEX(Data,2,2+MOD(ROWS(C$2:C3899)-1,24))</f>
        <v>10.00</v>
      </c>
      <c r="D3899" s="8" t="str">
        <f t="shared" ca="1" si="182"/>
        <v>—</v>
      </c>
      <c r="E3899" s="16">
        <f t="shared" ca="1" si="183"/>
        <v>7</v>
      </c>
    </row>
    <row r="3900" spans="1:5" x14ac:dyDescent="0.25">
      <c r="A3900" s="3">
        <f t="shared" si="181"/>
        <v>78989</v>
      </c>
      <c r="B3900" t="str">
        <f ca="1">TEXT(DATE(YEAR(Invoer!$A$5),1,1)+INT((ROWS(B$2:B3900)-1)/24),"""18""jjmmdd")</f>
        <v>18980612</v>
      </c>
      <c r="C3900" s="11" t="str">
        <f>INDEX(Data,2,2+MOD(ROWS(C$2:C3900)-1,24))</f>
        <v>11.00</v>
      </c>
      <c r="D3900" s="8" t="str">
        <f t="shared" ca="1" si="182"/>
        <v>—</v>
      </c>
      <c r="E3900" s="16">
        <f t="shared" ca="1" si="183"/>
        <v>7</v>
      </c>
    </row>
    <row r="3901" spans="1:5" x14ac:dyDescent="0.25">
      <c r="A3901" s="3">
        <f t="shared" si="181"/>
        <v>78989</v>
      </c>
      <c r="B3901" t="str">
        <f ca="1">TEXT(DATE(YEAR(Invoer!$A$5),1,1)+INT((ROWS(B$2:B3901)-1)/24),"""18""jjmmdd")</f>
        <v>18980612</v>
      </c>
      <c r="C3901" s="11" t="str">
        <f>INDEX(Data,2,2+MOD(ROWS(C$2:C3901)-1,24))</f>
        <v>12.00</v>
      </c>
      <c r="D3901" s="8" t="str">
        <f t="shared" ca="1" si="182"/>
        <v>—</v>
      </c>
      <c r="E3901" s="16">
        <f t="shared" ca="1" si="183"/>
        <v>7</v>
      </c>
    </row>
    <row r="3902" spans="1:5" x14ac:dyDescent="0.25">
      <c r="A3902" s="3">
        <f t="shared" si="181"/>
        <v>78989</v>
      </c>
      <c r="B3902" t="str">
        <f ca="1">TEXT(DATE(YEAR(Invoer!$A$5),1,1)+INT((ROWS(B$2:B3902)-1)/24),"""18""jjmmdd")</f>
        <v>18980612</v>
      </c>
      <c r="C3902" s="11" t="str">
        <f>INDEX(Data,2,2+MOD(ROWS(C$2:C3902)-1,24))</f>
        <v>13.00</v>
      </c>
      <c r="D3902" s="8" t="str">
        <f t="shared" ca="1" si="182"/>
        <v>—</v>
      </c>
      <c r="E3902" s="16">
        <f t="shared" ca="1" si="183"/>
        <v>7</v>
      </c>
    </row>
    <row r="3903" spans="1:5" x14ac:dyDescent="0.25">
      <c r="A3903" s="3">
        <f t="shared" si="181"/>
        <v>78989</v>
      </c>
      <c r="B3903" t="str">
        <f ca="1">TEXT(DATE(YEAR(Invoer!$A$5),1,1)+INT((ROWS(B$2:B3903)-1)/24),"""18""jjmmdd")</f>
        <v>18980612</v>
      </c>
      <c r="C3903" s="11" t="str">
        <f>INDEX(Data,2,2+MOD(ROWS(C$2:C3903)-1,24))</f>
        <v>14.00</v>
      </c>
      <c r="D3903" s="8" t="str">
        <f t="shared" ca="1" si="182"/>
        <v>—</v>
      </c>
      <c r="E3903" s="16">
        <f t="shared" ca="1" si="183"/>
        <v>7</v>
      </c>
    </row>
    <row r="3904" spans="1:5" x14ac:dyDescent="0.25">
      <c r="A3904" s="3">
        <f t="shared" si="181"/>
        <v>78989</v>
      </c>
      <c r="B3904" t="str">
        <f ca="1">TEXT(DATE(YEAR(Invoer!$A$5),1,1)+INT((ROWS(B$2:B3904)-1)/24),"""18""jjmmdd")</f>
        <v>18980612</v>
      </c>
      <c r="C3904" s="11" t="str">
        <f>INDEX(Data,2,2+MOD(ROWS(C$2:C3904)-1,24))</f>
        <v>15.00</v>
      </c>
      <c r="D3904" s="8" t="str">
        <f t="shared" ca="1" si="182"/>
        <v>—</v>
      </c>
      <c r="E3904" s="16">
        <f t="shared" ca="1" si="183"/>
        <v>7</v>
      </c>
    </row>
    <row r="3905" spans="1:5" x14ac:dyDescent="0.25">
      <c r="A3905" s="3">
        <f t="shared" si="181"/>
        <v>78989</v>
      </c>
      <c r="B3905" t="str">
        <f ca="1">TEXT(DATE(YEAR(Invoer!$A$5),1,1)+INT((ROWS(B$2:B3905)-1)/24),"""18""jjmmdd")</f>
        <v>18980612</v>
      </c>
      <c r="C3905" s="11" t="str">
        <f>INDEX(Data,2,2+MOD(ROWS(C$2:C3905)-1,24))</f>
        <v>16.00</v>
      </c>
      <c r="D3905" s="8" t="str">
        <f t="shared" ca="1" si="182"/>
        <v>—</v>
      </c>
      <c r="E3905" s="16">
        <f t="shared" ca="1" si="183"/>
        <v>7</v>
      </c>
    </row>
    <row r="3906" spans="1:5" x14ac:dyDescent="0.25">
      <c r="A3906" s="3">
        <f t="shared" ref="A3906:A3969" si="184">INDEX(Stations,2,1)</f>
        <v>78989</v>
      </c>
      <c r="B3906" t="str">
        <f ca="1">TEXT(DATE(YEAR(Invoer!$A$5),1,1)+INT((ROWS(B$2:B3906)-1)/24),"""18""jjmmdd")</f>
        <v>18980612</v>
      </c>
      <c r="C3906" s="11" t="str">
        <f>INDEX(Data,2,2+MOD(ROWS(C$2:C3906)-1,24))</f>
        <v>17.00</v>
      </c>
      <c r="D3906" s="8" t="str">
        <f t="shared" ref="D3906:D3969" ca="1" si="185">IF(OR(ISBLANK(VLOOKUP(DATEVALUE("37"&amp;MID($B3906,3,2)&amp;"-"&amp;MID($B3906,5,2)&amp;"-"&amp;RIGHT($B3906,2)),Data,MATCH(LEFT(VLOOKUP(D$1,Parameters,2,FALSE()),4)&amp;"*",OFFSET(Data,0,0,1),0)+MATCH($C3906,OFFSET(Data,1,0,1),0)-2,FALSE())),ISTEXT(VLOOKUP(DATEVALUE("37"&amp;MID($B3906,3,2)&amp;"-"&amp;MID($B3906,5,2)&amp;"-"&amp;RIGHT($B3906,2)),Data,MATCH(LEFT(VLOOKUP(D$1,Parameters,2,FALSE()),4)&amp;"*",OFFSET(Data,0,0,1),0)+MATCH($C3906,OFFSET(Data,1,0,1),0)-2,FALSE()))),"—",VLOOKUP(DATEVALUE("37"&amp;MID($B3906,3,2)&amp;"-"&amp;MID($B3906,5,2)&amp;"-"&amp;RIGHT($B3906,2)),Data,MATCH(LEFT(VLOOKUP(D$1,Parameters,2,FALSE()),4)&amp;"*",OFFSET(Data,0,0,1),0)+MATCH($C3906,OFFSET(Data,1,0,1),0)-2,FALSE()))</f>
        <v>—</v>
      </c>
      <c r="E3906" s="16">
        <f t="shared" ca="1" si="183"/>
        <v>7</v>
      </c>
    </row>
    <row r="3907" spans="1:5" x14ac:dyDescent="0.25">
      <c r="A3907" s="3">
        <f t="shared" si="184"/>
        <v>78989</v>
      </c>
      <c r="B3907" t="str">
        <f ca="1">TEXT(DATE(YEAR(Invoer!$A$5),1,1)+INT((ROWS(B$2:B3907)-1)/24),"""18""jjmmdd")</f>
        <v>18980612</v>
      </c>
      <c r="C3907" s="11" t="str">
        <f>INDEX(Data,2,2+MOD(ROWS(C$2:C3907)-1,24))</f>
        <v>18.00</v>
      </c>
      <c r="D3907" s="8" t="str">
        <f t="shared" ca="1" si="185"/>
        <v>—</v>
      </c>
      <c r="E3907" s="16">
        <f t="shared" ref="E3907:E3970" ca="1" si="186">IF(OR(ISBLANK(VLOOKUP(DATEVALUE("37"&amp;MID($B3907,3,2)&amp;"-"&amp;MID($B3907,5,2)&amp;"-"&amp;RIGHT($B3907,2)),Data,MATCH(LEFT(VLOOKUP(D$1,Parameters,2,FALSE()),4)&amp;"*",OFFSET(Data,0,0,1),0)+MATCH($C3907,OFFSET(Data,1,0,1),0)-2,FALSE())),ISTEXT(VLOOKUP(DATEVALUE("37"&amp;MID($B3907,3,2)&amp;"-"&amp;MID($B3907,5,2)&amp;"-"&amp;RIGHT($B3907,2)),Data,MATCH(LEFT(VLOOKUP(D$1,Parameters,2,FALSE()),4)&amp;"*",OFFSET(Data,0,0,1),0)+MATCH($C3907,OFFSET(Data,1,0,1),0)-2,FALSE()))),Lacking,IF(ISNA(MATCH(DATEVALUE("37"&amp;MID($B3907,3,2)&amp;"-"&amp;MID($B3907,5,2)&amp;"-"&amp;RIGHT($B3907,2)),OFFSET(Catalogus,0,0,,1),0)),Ok,VLOOKUP(DATEVALUE("37"&amp;MID($B3907,3,2)&amp;"-"&amp;MID($B3907,5,2)&amp;"-"&amp;RIGHT($B3907,2)),Catalogus,MATCH(LEFT(VLOOKUP(MID(E$1,2,LEN(E$1)-1),Parameters,2,FALSE()),4)&amp;"*",OFFSET(Catalogus,0,0,1),0)+MATCH($C3907,OFFSET(Catalogus,1,0,1),0)-2,FALSE())))</f>
        <v>7</v>
      </c>
    </row>
    <row r="3908" spans="1:5" x14ac:dyDescent="0.25">
      <c r="A3908" s="3">
        <f t="shared" si="184"/>
        <v>78989</v>
      </c>
      <c r="B3908" t="str">
        <f ca="1">TEXT(DATE(YEAR(Invoer!$A$5),1,1)+INT((ROWS(B$2:B3908)-1)/24),"""18""jjmmdd")</f>
        <v>18980612</v>
      </c>
      <c r="C3908" s="11" t="str">
        <f>INDEX(Data,2,2+MOD(ROWS(C$2:C3908)-1,24))</f>
        <v>19.00</v>
      </c>
      <c r="D3908" s="8" t="str">
        <f t="shared" ca="1" si="185"/>
        <v>—</v>
      </c>
      <c r="E3908" s="16">
        <f t="shared" ca="1" si="186"/>
        <v>7</v>
      </c>
    </row>
    <row r="3909" spans="1:5" x14ac:dyDescent="0.25">
      <c r="A3909" s="3">
        <f t="shared" si="184"/>
        <v>78989</v>
      </c>
      <c r="B3909" t="str">
        <f ca="1">TEXT(DATE(YEAR(Invoer!$A$5),1,1)+INT((ROWS(B$2:B3909)-1)/24),"""18""jjmmdd")</f>
        <v>18980612</v>
      </c>
      <c r="C3909" s="11" t="str">
        <f>INDEX(Data,2,2+MOD(ROWS(C$2:C3909)-1,24))</f>
        <v>20.00</v>
      </c>
      <c r="D3909" s="8" t="str">
        <f t="shared" ca="1" si="185"/>
        <v>—</v>
      </c>
      <c r="E3909" s="16">
        <f t="shared" ca="1" si="186"/>
        <v>7</v>
      </c>
    </row>
    <row r="3910" spans="1:5" x14ac:dyDescent="0.25">
      <c r="A3910" s="3">
        <f t="shared" si="184"/>
        <v>78989</v>
      </c>
      <c r="B3910" t="str">
        <f ca="1">TEXT(DATE(YEAR(Invoer!$A$5),1,1)+INT((ROWS(B$2:B3910)-1)/24),"""18""jjmmdd")</f>
        <v>18980612</v>
      </c>
      <c r="C3910" s="11" t="str">
        <f>INDEX(Data,2,2+MOD(ROWS(C$2:C3910)-1,24))</f>
        <v>21.00</v>
      </c>
      <c r="D3910" s="8" t="str">
        <f t="shared" ca="1" si="185"/>
        <v>—</v>
      </c>
      <c r="E3910" s="16">
        <f t="shared" ca="1" si="186"/>
        <v>7</v>
      </c>
    </row>
    <row r="3911" spans="1:5" x14ac:dyDescent="0.25">
      <c r="A3911" s="3">
        <f t="shared" si="184"/>
        <v>78989</v>
      </c>
      <c r="B3911" t="str">
        <f ca="1">TEXT(DATE(YEAR(Invoer!$A$5),1,1)+INT((ROWS(B$2:B3911)-1)/24),"""18""jjmmdd")</f>
        <v>18980612</v>
      </c>
      <c r="C3911" s="11" t="str">
        <f>INDEX(Data,2,2+MOD(ROWS(C$2:C3911)-1,24))</f>
        <v>22.00</v>
      </c>
      <c r="D3911" s="8" t="str">
        <f t="shared" ca="1" si="185"/>
        <v>—</v>
      </c>
      <c r="E3911" s="16">
        <f t="shared" ca="1" si="186"/>
        <v>7</v>
      </c>
    </row>
    <row r="3912" spans="1:5" x14ac:dyDescent="0.25">
      <c r="A3912" s="3">
        <f t="shared" si="184"/>
        <v>78989</v>
      </c>
      <c r="B3912" t="str">
        <f ca="1">TEXT(DATE(YEAR(Invoer!$A$5),1,1)+INT((ROWS(B$2:B3912)-1)/24),"""18""jjmmdd")</f>
        <v>18980612</v>
      </c>
      <c r="C3912" s="11" t="str">
        <f>INDEX(Data,2,2+MOD(ROWS(C$2:C3912)-1,24))</f>
        <v>23.00</v>
      </c>
      <c r="D3912" s="8" t="str">
        <f t="shared" ca="1" si="185"/>
        <v>—</v>
      </c>
      <c r="E3912" s="16">
        <f t="shared" ca="1" si="186"/>
        <v>7</v>
      </c>
    </row>
    <row r="3913" spans="1:5" x14ac:dyDescent="0.25">
      <c r="A3913" s="3">
        <f t="shared" si="184"/>
        <v>78989</v>
      </c>
      <c r="B3913" t="str">
        <f ca="1">TEXT(DATE(YEAR(Invoer!$A$5),1,1)+INT((ROWS(B$2:B3913)-1)/24),"""18""jjmmdd")</f>
        <v>18980612</v>
      </c>
      <c r="C3913" s="11" t="str">
        <f>INDEX(Data,2,2+MOD(ROWS(C$2:C3913)-1,24))</f>
        <v>24.00</v>
      </c>
      <c r="D3913" s="8" t="str">
        <f t="shared" ca="1" si="185"/>
        <v>—</v>
      </c>
      <c r="E3913" s="16">
        <f t="shared" ca="1" si="186"/>
        <v>7</v>
      </c>
    </row>
    <row r="3914" spans="1:5" x14ac:dyDescent="0.25">
      <c r="A3914" s="3">
        <f t="shared" si="184"/>
        <v>78989</v>
      </c>
      <c r="B3914" t="str">
        <f ca="1">TEXT(DATE(YEAR(Invoer!$A$5),1,1)+INT((ROWS(B$2:B3914)-1)/24),"""18""jjmmdd")</f>
        <v>18980613</v>
      </c>
      <c r="C3914" s="11" t="str">
        <f>INDEX(Data,2,2+MOD(ROWS(C$2:C3914)-1,24))</f>
        <v>01.00</v>
      </c>
      <c r="D3914" s="8" t="str">
        <f t="shared" ca="1" si="185"/>
        <v>—</v>
      </c>
      <c r="E3914" s="16">
        <f t="shared" ca="1" si="186"/>
        <v>7</v>
      </c>
    </row>
    <row r="3915" spans="1:5" x14ac:dyDescent="0.25">
      <c r="A3915" s="3">
        <f t="shared" si="184"/>
        <v>78989</v>
      </c>
      <c r="B3915" t="str">
        <f ca="1">TEXT(DATE(YEAR(Invoer!$A$5),1,1)+INT((ROWS(B$2:B3915)-1)/24),"""18""jjmmdd")</f>
        <v>18980613</v>
      </c>
      <c r="C3915" s="11" t="str">
        <f>INDEX(Data,2,2+MOD(ROWS(C$2:C3915)-1,24))</f>
        <v>02.00</v>
      </c>
      <c r="D3915" s="8" t="str">
        <f t="shared" ca="1" si="185"/>
        <v>—</v>
      </c>
      <c r="E3915" s="16">
        <f t="shared" ca="1" si="186"/>
        <v>7</v>
      </c>
    </row>
    <row r="3916" spans="1:5" x14ac:dyDescent="0.25">
      <c r="A3916" s="3">
        <f t="shared" si="184"/>
        <v>78989</v>
      </c>
      <c r="B3916" t="str">
        <f ca="1">TEXT(DATE(YEAR(Invoer!$A$5),1,1)+INT((ROWS(B$2:B3916)-1)/24),"""18""jjmmdd")</f>
        <v>18980613</v>
      </c>
      <c r="C3916" s="11" t="str">
        <f>INDEX(Data,2,2+MOD(ROWS(C$2:C3916)-1,24))</f>
        <v>03.00</v>
      </c>
      <c r="D3916" s="8" t="str">
        <f t="shared" ca="1" si="185"/>
        <v>—</v>
      </c>
      <c r="E3916" s="16">
        <f t="shared" ca="1" si="186"/>
        <v>7</v>
      </c>
    </row>
    <row r="3917" spans="1:5" x14ac:dyDescent="0.25">
      <c r="A3917" s="3">
        <f t="shared" si="184"/>
        <v>78989</v>
      </c>
      <c r="B3917" t="str">
        <f ca="1">TEXT(DATE(YEAR(Invoer!$A$5),1,1)+INT((ROWS(B$2:B3917)-1)/24),"""18""jjmmdd")</f>
        <v>18980613</v>
      </c>
      <c r="C3917" s="11" t="str">
        <f>INDEX(Data,2,2+MOD(ROWS(C$2:C3917)-1,24))</f>
        <v>04.00</v>
      </c>
      <c r="D3917" s="8" t="str">
        <f t="shared" ca="1" si="185"/>
        <v>—</v>
      </c>
      <c r="E3917" s="16">
        <f t="shared" ca="1" si="186"/>
        <v>7</v>
      </c>
    </row>
    <row r="3918" spans="1:5" x14ac:dyDescent="0.25">
      <c r="A3918" s="3">
        <f t="shared" si="184"/>
        <v>78989</v>
      </c>
      <c r="B3918" t="str">
        <f ca="1">TEXT(DATE(YEAR(Invoer!$A$5),1,1)+INT((ROWS(B$2:B3918)-1)/24),"""18""jjmmdd")</f>
        <v>18980613</v>
      </c>
      <c r="C3918" s="11" t="str">
        <f>INDEX(Data,2,2+MOD(ROWS(C$2:C3918)-1,24))</f>
        <v>05.00</v>
      </c>
      <c r="D3918" s="8" t="str">
        <f t="shared" ca="1" si="185"/>
        <v>—</v>
      </c>
      <c r="E3918" s="16">
        <f t="shared" ca="1" si="186"/>
        <v>7</v>
      </c>
    </row>
    <row r="3919" spans="1:5" x14ac:dyDescent="0.25">
      <c r="A3919" s="3">
        <f t="shared" si="184"/>
        <v>78989</v>
      </c>
      <c r="B3919" t="str">
        <f ca="1">TEXT(DATE(YEAR(Invoer!$A$5),1,1)+INT((ROWS(B$2:B3919)-1)/24),"""18""jjmmdd")</f>
        <v>18980613</v>
      </c>
      <c r="C3919" s="11" t="str">
        <f>INDEX(Data,2,2+MOD(ROWS(C$2:C3919)-1,24))</f>
        <v>06.00</v>
      </c>
      <c r="D3919" s="8" t="str">
        <f t="shared" ca="1" si="185"/>
        <v>—</v>
      </c>
      <c r="E3919" s="16">
        <f t="shared" ca="1" si="186"/>
        <v>7</v>
      </c>
    </row>
    <row r="3920" spans="1:5" x14ac:dyDescent="0.25">
      <c r="A3920" s="3">
        <f t="shared" si="184"/>
        <v>78989</v>
      </c>
      <c r="B3920" t="str">
        <f ca="1">TEXT(DATE(YEAR(Invoer!$A$5),1,1)+INT((ROWS(B$2:B3920)-1)/24),"""18""jjmmdd")</f>
        <v>18980613</v>
      </c>
      <c r="C3920" s="11" t="str">
        <f>INDEX(Data,2,2+MOD(ROWS(C$2:C3920)-1,24))</f>
        <v>07.00</v>
      </c>
      <c r="D3920" s="8" t="str">
        <f t="shared" ca="1" si="185"/>
        <v>—</v>
      </c>
      <c r="E3920" s="16">
        <f t="shared" ca="1" si="186"/>
        <v>7</v>
      </c>
    </row>
    <row r="3921" spans="1:5" x14ac:dyDescent="0.25">
      <c r="A3921" s="3">
        <f t="shared" si="184"/>
        <v>78989</v>
      </c>
      <c r="B3921" t="str">
        <f ca="1">TEXT(DATE(YEAR(Invoer!$A$5),1,1)+INT((ROWS(B$2:B3921)-1)/24),"""18""jjmmdd")</f>
        <v>18980613</v>
      </c>
      <c r="C3921" s="11" t="str">
        <f>INDEX(Data,2,2+MOD(ROWS(C$2:C3921)-1,24))</f>
        <v>08.00</v>
      </c>
      <c r="D3921" s="8" t="str">
        <f t="shared" ca="1" si="185"/>
        <v>—</v>
      </c>
      <c r="E3921" s="16">
        <f t="shared" ca="1" si="186"/>
        <v>7</v>
      </c>
    </row>
    <row r="3922" spans="1:5" x14ac:dyDescent="0.25">
      <c r="A3922" s="3">
        <f t="shared" si="184"/>
        <v>78989</v>
      </c>
      <c r="B3922" t="str">
        <f ca="1">TEXT(DATE(YEAR(Invoer!$A$5),1,1)+INT((ROWS(B$2:B3922)-1)/24),"""18""jjmmdd")</f>
        <v>18980613</v>
      </c>
      <c r="C3922" s="11" t="str">
        <f>INDEX(Data,2,2+MOD(ROWS(C$2:C3922)-1,24))</f>
        <v>09.00</v>
      </c>
      <c r="D3922" s="8" t="str">
        <f t="shared" ca="1" si="185"/>
        <v>—</v>
      </c>
      <c r="E3922" s="16">
        <f t="shared" ca="1" si="186"/>
        <v>7</v>
      </c>
    </row>
    <row r="3923" spans="1:5" x14ac:dyDescent="0.25">
      <c r="A3923" s="3">
        <f t="shared" si="184"/>
        <v>78989</v>
      </c>
      <c r="B3923" t="str">
        <f ca="1">TEXT(DATE(YEAR(Invoer!$A$5),1,1)+INT((ROWS(B$2:B3923)-1)/24),"""18""jjmmdd")</f>
        <v>18980613</v>
      </c>
      <c r="C3923" s="11" t="str">
        <f>INDEX(Data,2,2+MOD(ROWS(C$2:C3923)-1,24))</f>
        <v>10.00</v>
      </c>
      <c r="D3923" s="8" t="str">
        <f t="shared" ca="1" si="185"/>
        <v>—</v>
      </c>
      <c r="E3923" s="16">
        <f t="shared" ca="1" si="186"/>
        <v>7</v>
      </c>
    </row>
    <row r="3924" spans="1:5" x14ac:dyDescent="0.25">
      <c r="A3924" s="3">
        <f t="shared" si="184"/>
        <v>78989</v>
      </c>
      <c r="B3924" t="str">
        <f ca="1">TEXT(DATE(YEAR(Invoer!$A$5),1,1)+INT((ROWS(B$2:B3924)-1)/24),"""18""jjmmdd")</f>
        <v>18980613</v>
      </c>
      <c r="C3924" s="11" t="str">
        <f>INDEX(Data,2,2+MOD(ROWS(C$2:C3924)-1,24))</f>
        <v>11.00</v>
      </c>
      <c r="D3924" s="8" t="str">
        <f t="shared" ca="1" si="185"/>
        <v>—</v>
      </c>
      <c r="E3924" s="16">
        <f t="shared" ca="1" si="186"/>
        <v>7</v>
      </c>
    </row>
    <row r="3925" spans="1:5" x14ac:dyDescent="0.25">
      <c r="A3925" s="3">
        <f t="shared" si="184"/>
        <v>78989</v>
      </c>
      <c r="B3925" t="str">
        <f ca="1">TEXT(DATE(YEAR(Invoer!$A$5),1,1)+INT((ROWS(B$2:B3925)-1)/24),"""18""jjmmdd")</f>
        <v>18980613</v>
      </c>
      <c r="C3925" s="11" t="str">
        <f>INDEX(Data,2,2+MOD(ROWS(C$2:C3925)-1,24))</f>
        <v>12.00</v>
      </c>
      <c r="D3925" s="8" t="str">
        <f t="shared" ca="1" si="185"/>
        <v>—</v>
      </c>
      <c r="E3925" s="16">
        <f t="shared" ca="1" si="186"/>
        <v>7</v>
      </c>
    </row>
    <row r="3926" spans="1:5" x14ac:dyDescent="0.25">
      <c r="A3926" s="3">
        <f t="shared" si="184"/>
        <v>78989</v>
      </c>
      <c r="B3926" t="str">
        <f ca="1">TEXT(DATE(YEAR(Invoer!$A$5),1,1)+INT((ROWS(B$2:B3926)-1)/24),"""18""jjmmdd")</f>
        <v>18980613</v>
      </c>
      <c r="C3926" s="11" t="str">
        <f>INDEX(Data,2,2+MOD(ROWS(C$2:C3926)-1,24))</f>
        <v>13.00</v>
      </c>
      <c r="D3926" s="8" t="str">
        <f t="shared" ca="1" si="185"/>
        <v>—</v>
      </c>
      <c r="E3926" s="16">
        <f t="shared" ca="1" si="186"/>
        <v>7</v>
      </c>
    </row>
    <row r="3927" spans="1:5" x14ac:dyDescent="0.25">
      <c r="A3927" s="3">
        <f t="shared" si="184"/>
        <v>78989</v>
      </c>
      <c r="B3927" t="str">
        <f ca="1">TEXT(DATE(YEAR(Invoer!$A$5),1,1)+INT((ROWS(B$2:B3927)-1)/24),"""18""jjmmdd")</f>
        <v>18980613</v>
      </c>
      <c r="C3927" s="11" t="str">
        <f>INDEX(Data,2,2+MOD(ROWS(C$2:C3927)-1,24))</f>
        <v>14.00</v>
      </c>
      <c r="D3927" s="8" t="str">
        <f t="shared" ca="1" si="185"/>
        <v>—</v>
      </c>
      <c r="E3927" s="16">
        <f t="shared" ca="1" si="186"/>
        <v>7</v>
      </c>
    </row>
    <row r="3928" spans="1:5" x14ac:dyDescent="0.25">
      <c r="A3928" s="3">
        <f t="shared" si="184"/>
        <v>78989</v>
      </c>
      <c r="B3928" t="str">
        <f ca="1">TEXT(DATE(YEAR(Invoer!$A$5),1,1)+INT((ROWS(B$2:B3928)-1)/24),"""18""jjmmdd")</f>
        <v>18980613</v>
      </c>
      <c r="C3928" s="11" t="str">
        <f>INDEX(Data,2,2+MOD(ROWS(C$2:C3928)-1,24))</f>
        <v>15.00</v>
      </c>
      <c r="D3928" s="8" t="str">
        <f t="shared" ca="1" si="185"/>
        <v>—</v>
      </c>
      <c r="E3928" s="16">
        <f t="shared" ca="1" si="186"/>
        <v>7</v>
      </c>
    </row>
    <row r="3929" spans="1:5" x14ac:dyDescent="0.25">
      <c r="A3929" s="3">
        <f t="shared" si="184"/>
        <v>78989</v>
      </c>
      <c r="B3929" t="str">
        <f ca="1">TEXT(DATE(YEAR(Invoer!$A$5),1,1)+INT((ROWS(B$2:B3929)-1)/24),"""18""jjmmdd")</f>
        <v>18980613</v>
      </c>
      <c r="C3929" s="11" t="str">
        <f>INDEX(Data,2,2+MOD(ROWS(C$2:C3929)-1,24))</f>
        <v>16.00</v>
      </c>
      <c r="D3929" s="8" t="str">
        <f t="shared" ca="1" si="185"/>
        <v>—</v>
      </c>
      <c r="E3929" s="16">
        <f t="shared" ca="1" si="186"/>
        <v>7</v>
      </c>
    </row>
    <row r="3930" spans="1:5" x14ac:dyDescent="0.25">
      <c r="A3930" s="3">
        <f t="shared" si="184"/>
        <v>78989</v>
      </c>
      <c r="B3930" t="str">
        <f ca="1">TEXT(DATE(YEAR(Invoer!$A$5),1,1)+INT((ROWS(B$2:B3930)-1)/24),"""18""jjmmdd")</f>
        <v>18980613</v>
      </c>
      <c r="C3930" s="11" t="str">
        <f>INDEX(Data,2,2+MOD(ROWS(C$2:C3930)-1,24))</f>
        <v>17.00</v>
      </c>
      <c r="D3930" s="8" t="str">
        <f t="shared" ca="1" si="185"/>
        <v>—</v>
      </c>
      <c r="E3930" s="16">
        <f t="shared" ca="1" si="186"/>
        <v>7</v>
      </c>
    </row>
    <row r="3931" spans="1:5" x14ac:dyDescent="0.25">
      <c r="A3931" s="3">
        <f t="shared" si="184"/>
        <v>78989</v>
      </c>
      <c r="B3931" t="str">
        <f ca="1">TEXT(DATE(YEAR(Invoer!$A$5),1,1)+INT((ROWS(B$2:B3931)-1)/24),"""18""jjmmdd")</f>
        <v>18980613</v>
      </c>
      <c r="C3931" s="11" t="str">
        <f>INDEX(Data,2,2+MOD(ROWS(C$2:C3931)-1,24))</f>
        <v>18.00</v>
      </c>
      <c r="D3931" s="8" t="str">
        <f t="shared" ca="1" si="185"/>
        <v>—</v>
      </c>
      <c r="E3931" s="16">
        <f t="shared" ca="1" si="186"/>
        <v>7</v>
      </c>
    </row>
    <row r="3932" spans="1:5" x14ac:dyDescent="0.25">
      <c r="A3932" s="3">
        <f t="shared" si="184"/>
        <v>78989</v>
      </c>
      <c r="B3932" t="str">
        <f ca="1">TEXT(DATE(YEAR(Invoer!$A$5),1,1)+INT((ROWS(B$2:B3932)-1)/24),"""18""jjmmdd")</f>
        <v>18980613</v>
      </c>
      <c r="C3932" s="11" t="str">
        <f>INDEX(Data,2,2+MOD(ROWS(C$2:C3932)-1,24))</f>
        <v>19.00</v>
      </c>
      <c r="D3932" s="8" t="str">
        <f t="shared" ca="1" si="185"/>
        <v>—</v>
      </c>
      <c r="E3932" s="16">
        <f t="shared" ca="1" si="186"/>
        <v>7</v>
      </c>
    </row>
    <row r="3933" spans="1:5" x14ac:dyDescent="0.25">
      <c r="A3933" s="3">
        <f t="shared" si="184"/>
        <v>78989</v>
      </c>
      <c r="B3933" t="str">
        <f ca="1">TEXT(DATE(YEAR(Invoer!$A$5),1,1)+INT((ROWS(B$2:B3933)-1)/24),"""18""jjmmdd")</f>
        <v>18980613</v>
      </c>
      <c r="C3933" s="11" t="str">
        <f>INDEX(Data,2,2+MOD(ROWS(C$2:C3933)-1,24))</f>
        <v>20.00</v>
      </c>
      <c r="D3933" s="8" t="str">
        <f t="shared" ca="1" si="185"/>
        <v>—</v>
      </c>
      <c r="E3933" s="16">
        <f t="shared" ca="1" si="186"/>
        <v>7</v>
      </c>
    </row>
    <row r="3934" spans="1:5" x14ac:dyDescent="0.25">
      <c r="A3934" s="3">
        <f t="shared" si="184"/>
        <v>78989</v>
      </c>
      <c r="B3934" t="str">
        <f ca="1">TEXT(DATE(YEAR(Invoer!$A$5),1,1)+INT((ROWS(B$2:B3934)-1)/24),"""18""jjmmdd")</f>
        <v>18980613</v>
      </c>
      <c r="C3934" s="11" t="str">
        <f>INDEX(Data,2,2+MOD(ROWS(C$2:C3934)-1,24))</f>
        <v>21.00</v>
      </c>
      <c r="D3934" s="8" t="str">
        <f t="shared" ca="1" si="185"/>
        <v>—</v>
      </c>
      <c r="E3934" s="16">
        <f t="shared" ca="1" si="186"/>
        <v>7</v>
      </c>
    </row>
    <row r="3935" spans="1:5" x14ac:dyDescent="0.25">
      <c r="A3935" s="3">
        <f t="shared" si="184"/>
        <v>78989</v>
      </c>
      <c r="B3935" t="str">
        <f ca="1">TEXT(DATE(YEAR(Invoer!$A$5),1,1)+INT((ROWS(B$2:B3935)-1)/24),"""18""jjmmdd")</f>
        <v>18980613</v>
      </c>
      <c r="C3935" s="11" t="str">
        <f>INDEX(Data,2,2+MOD(ROWS(C$2:C3935)-1,24))</f>
        <v>22.00</v>
      </c>
      <c r="D3935" s="8" t="str">
        <f t="shared" ca="1" si="185"/>
        <v>—</v>
      </c>
      <c r="E3935" s="16">
        <f t="shared" ca="1" si="186"/>
        <v>7</v>
      </c>
    </row>
    <row r="3936" spans="1:5" x14ac:dyDescent="0.25">
      <c r="A3936" s="3">
        <f t="shared" si="184"/>
        <v>78989</v>
      </c>
      <c r="B3936" t="str">
        <f ca="1">TEXT(DATE(YEAR(Invoer!$A$5),1,1)+INT((ROWS(B$2:B3936)-1)/24),"""18""jjmmdd")</f>
        <v>18980613</v>
      </c>
      <c r="C3936" s="11" t="str">
        <f>INDEX(Data,2,2+MOD(ROWS(C$2:C3936)-1,24))</f>
        <v>23.00</v>
      </c>
      <c r="D3936" s="8" t="str">
        <f t="shared" ca="1" si="185"/>
        <v>—</v>
      </c>
      <c r="E3936" s="16">
        <f t="shared" ca="1" si="186"/>
        <v>7</v>
      </c>
    </row>
    <row r="3937" spans="1:5" x14ac:dyDescent="0.25">
      <c r="A3937" s="3">
        <f t="shared" si="184"/>
        <v>78989</v>
      </c>
      <c r="B3937" t="str">
        <f ca="1">TEXT(DATE(YEAR(Invoer!$A$5),1,1)+INT((ROWS(B$2:B3937)-1)/24),"""18""jjmmdd")</f>
        <v>18980613</v>
      </c>
      <c r="C3937" s="11" t="str">
        <f>INDEX(Data,2,2+MOD(ROWS(C$2:C3937)-1,24))</f>
        <v>24.00</v>
      </c>
      <c r="D3937" s="8" t="str">
        <f t="shared" ca="1" si="185"/>
        <v>—</v>
      </c>
      <c r="E3937" s="16">
        <f t="shared" ca="1" si="186"/>
        <v>7</v>
      </c>
    </row>
    <row r="3938" spans="1:5" x14ac:dyDescent="0.25">
      <c r="A3938" s="3">
        <f t="shared" si="184"/>
        <v>78989</v>
      </c>
      <c r="B3938" t="str">
        <f ca="1">TEXT(DATE(YEAR(Invoer!$A$5),1,1)+INT((ROWS(B$2:B3938)-1)/24),"""18""jjmmdd")</f>
        <v>18980614</v>
      </c>
      <c r="C3938" s="11" t="str">
        <f>INDEX(Data,2,2+MOD(ROWS(C$2:C3938)-1,24))</f>
        <v>01.00</v>
      </c>
      <c r="D3938" s="8" t="str">
        <f t="shared" ca="1" si="185"/>
        <v>—</v>
      </c>
      <c r="E3938" s="16">
        <f t="shared" ca="1" si="186"/>
        <v>7</v>
      </c>
    </row>
    <row r="3939" spans="1:5" x14ac:dyDescent="0.25">
      <c r="A3939" s="3">
        <f t="shared" si="184"/>
        <v>78989</v>
      </c>
      <c r="B3939" t="str">
        <f ca="1">TEXT(DATE(YEAR(Invoer!$A$5),1,1)+INT((ROWS(B$2:B3939)-1)/24),"""18""jjmmdd")</f>
        <v>18980614</v>
      </c>
      <c r="C3939" s="11" t="str">
        <f>INDEX(Data,2,2+MOD(ROWS(C$2:C3939)-1,24))</f>
        <v>02.00</v>
      </c>
      <c r="D3939" s="8" t="str">
        <f t="shared" ca="1" si="185"/>
        <v>—</v>
      </c>
      <c r="E3939" s="16">
        <f t="shared" ca="1" si="186"/>
        <v>7</v>
      </c>
    </row>
    <row r="3940" spans="1:5" x14ac:dyDescent="0.25">
      <c r="A3940" s="3">
        <f t="shared" si="184"/>
        <v>78989</v>
      </c>
      <c r="B3940" t="str">
        <f ca="1">TEXT(DATE(YEAR(Invoer!$A$5),1,1)+INT((ROWS(B$2:B3940)-1)/24),"""18""jjmmdd")</f>
        <v>18980614</v>
      </c>
      <c r="C3940" s="11" t="str">
        <f>INDEX(Data,2,2+MOD(ROWS(C$2:C3940)-1,24))</f>
        <v>03.00</v>
      </c>
      <c r="D3940" s="8" t="str">
        <f t="shared" ca="1" si="185"/>
        <v>—</v>
      </c>
      <c r="E3940" s="16">
        <f t="shared" ca="1" si="186"/>
        <v>7</v>
      </c>
    </row>
    <row r="3941" spans="1:5" x14ac:dyDescent="0.25">
      <c r="A3941" s="3">
        <f t="shared" si="184"/>
        <v>78989</v>
      </c>
      <c r="B3941" t="str">
        <f ca="1">TEXT(DATE(YEAR(Invoer!$A$5),1,1)+INT((ROWS(B$2:B3941)-1)/24),"""18""jjmmdd")</f>
        <v>18980614</v>
      </c>
      <c r="C3941" s="11" t="str">
        <f>INDEX(Data,2,2+MOD(ROWS(C$2:C3941)-1,24))</f>
        <v>04.00</v>
      </c>
      <c r="D3941" s="8" t="str">
        <f t="shared" ca="1" si="185"/>
        <v>—</v>
      </c>
      <c r="E3941" s="16">
        <f t="shared" ca="1" si="186"/>
        <v>7</v>
      </c>
    </row>
    <row r="3942" spans="1:5" x14ac:dyDescent="0.25">
      <c r="A3942" s="3">
        <f t="shared" si="184"/>
        <v>78989</v>
      </c>
      <c r="B3942" t="str">
        <f ca="1">TEXT(DATE(YEAR(Invoer!$A$5),1,1)+INT((ROWS(B$2:B3942)-1)/24),"""18""jjmmdd")</f>
        <v>18980614</v>
      </c>
      <c r="C3942" s="11" t="str">
        <f>INDEX(Data,2,2+MOD(ROWS(C$2:C3942)-1,24))</f>
        <v>05.00</v>
      </c>
      <c r="D3942" s="8" t="str">
        <f t="shared" ca="1" si="185"/>
        <v>—</v>
      </c>
      <c r="E3942" s="16">
        <f t="shared" ca="1" si="186"/>
        <v>7</v>
      </c>
    </row>
    <row r="3943" spans="1:5" x14ac:dyDescent="0.25">
      <c r="A3943" s="3">
        <f t="shared" si="184"/>
        <v>78989</v>
      </c>
      <c r="B3943" t="str">
        <f ca="1">TEXT(DATE(YEAR(Invoer!$A$5),1,1)+INT((ROWS(B$2:B3943)-1)/24),"""18""jjmmdd")</f>
        <v>18980614</v>
      </c>
      <c r="C3943" s="11" t="str">
        <f>INDEX(Data,2,2+MOD(ROWS(C$2:C3943)-1,24))</f>
        <v>06.00</v>
      </c>
      <c r="D3943" s="8" t="str">
        <f t="shared" ca="1" si="185"/>
        <v>—</v>
      </c>
      <c r="E3943" s="16">
        <f t="shared" ca="1" si="186"/>
        <v>7</v>
      </c>
    </row>
    <row r="3944" spans="1:5" x14ac:dyDescent="0.25">
      <c r="A3944" s="3">
        <f t="shared" si="184"/>
        <v>78989</v>
      </c>
      <c r="B3944" t="str">
        <f ca="1">TEXT(DATE(YEAR(Invoer!$A$5),1,1)+INT((ROWS(B$2:B3944)-1)/24),"""18""jjmmdd")</f>
        <v>18980614</v>
      </c>
      <c r="C3944" s="11" t="str">
        <f>INDEX(Data,2,2+MOD(ROWS(C$2:C3944)-1,24))</f>
        <v>07.00</v>
      </c>
      <c r="D3944" s="8" t="str">
        <f t="shared" ca="1" si="185"/>
        <v>—</v>
      </c>
      <c r="E3944" s="16">
        <f t="shared" ca="1" si="186"/>
        <v>7</v>
      </c>
    </row>
    <row r="3945" spans="1:5" x14ac:dyDescent="0.25">
      <c r="A3945" s="3">
        <f t="shared" si="184"/>
        <v>78989</v>
      </c>
      <c r="B3945" t="str">
        <f ca="1">TEXT(DATE(YEAR(Invoer!$A$5),1,1)+INT((ROWS(B$2:B3945)-1)/24),"""18""jjmmdd")</f>
        <v>18980614</v>
      </c>
      <c r="C3945" s="11" t="str">
        <f>INDEX(Data,2,2+MOD(ROWS(C$2:C3945)-1,24))</f>
        <v>08.00</v>
      </c>
      <c r="D3945" s="8" t="str">
        <f t="shared" ca="1" si="185"/>
        <v>—</v>
      </c>
      <c r="E3945" s="16">
        <f t="shared" ca="1" si="186"/>
        <v>7</v>
      </c>
    </row>
    <row r="3946" spans="1:5" x14ac:dyDescent="0.25">
      <c r="A3946" s="3">
        <f t="shared" si="184"/>
        <v>78989</v>
      </c>
      <c r="B3946" t="str">
        <f ca="1">TEXT(DATE(YEAR(Invoer!$A$5),1,1)+INT((ROWS(B$2:B3946)-1)/24),"""18""jjmmdd")</f>
        <v>18980614</v>
      </c>
      <c r="C3946" s="11" t="str">
        <f>INDEX(Data,2,2+MOD(ROWS(C$2:C3946)-1,24))</f>
        <v>09.00</v>
      </c>
      <c r="D3946" s="8" t="str">
        <f t="shared" ca="1" si="185"/>
        <v>—</v>
      </c>
      <c r="E3946" s="16">
        <f t="shared" ca="1" si="186"/>
        <v>7</v>
      </c>
    </row>
    <row r="3947" spans="1:5" x14ac:dyDescent="0.25">
      <c r="A3947" s="3">
        <f t="shared" si="184"/>
        <v>78989</v>
      </c>
      <c r="B3947" t="str">
        <f ca="1">TEXT(DATE(YEAR(Invoer!$A$5),1,1)+INT((ROWS(B$2:B3947)-1)/24),"""18""jjmmdd")</f>
        <v>18980614</v>
      </c>
      <c r="C3947" s="11" t="str">
        <f>INDEX(Data,2,2+MOD(ROWS(C$2:C3947)-1,24))</f>
        <v>10.00</v>
      </c>
      <c r="D3947" s="8" t="str">
        <f t="shared" ca="1" si="185"/>
        <v>—</v>
      </c>
      <c r="E3947" s="16">
        <f t="shared" ca="1" si="186"/>
        <v>7</v>
      </c>
    </row>
    <row r="3948" spans="1:5" x14ac:dyDescent="0.25">
      <c r="A3948" s="3">
        <f t="shared" si="184"/>
        <v>78989</v>
      </c>
      <c r="B3948" t="str">
        <f ca="1">TEXT(DATE(YEAR(Invoer!$A$5),1,1)+INT((ROWS(B$2:B3948)-1)/24),"""18""jjmmdd")</f>
        <v>18980614</v>
      </c>
      <c r="C3948" s="11" t="str">
        <f>INDEX(Data,2,2+MOD(ROWS(C$2:C3948)-1,24))</f>
        <v>11.00</v>
      </c>
      <c r="D3948" s="8" t="str">
        <f t="shared" ca="1" si="185"/>
        <v>—</v>
      </c>
      <c r="E3948" s="16">
        <f t="shared" ca="1" si="186"/>
        <v>7</v>
      </c>
    </row>
    <row r="3949" spans="1:5" x14ac:dyDescent="0.25">
      <c r="A3949" s="3">
        <f t="shared" si="184"/>
        <v>78989</v>
      </c>
      <c r="B3949" t="str">
        <f ca="1">TEXT(DATE(YEAR(Invoer!$A$5),1,1)+INT((ROWS(B$2:B3949)-1)/24),"""18""jjmmdd")</f>
        <v>18980614</v>
      </c>
      <c r="C3949" s="11" t="str">
        <f>INDEX(Data,2,2+MOD(ROWS(C$2:C3949)-1,24))</f>
        <v>12.00</v>
      </c>
      <c r="D3949" s="8" t="str">
        <f t="shared" ca="1" si="185"/>
        <v>—</v>
      </c>
      <c r="E3949" s="16">
        <f t="shared" ca="1" si="186"/>
        <v>7</v>
      </c>
    </row>
    <row r="3950" spans="1:5" x14ac:dyDescent="0.25">
      <c r="A3950" s="3">
        <f t="shared" si="184"/>
        <v>78989</v>
      </c>
      <c r="B3950" t="str">
        <f ca="1">TEXT(DATE(YEAR(Invoer!$A$5),1,1)+INT((ROWS(B$2:B3950)-1)/24),"""18""jjmmdd")</f>
        <v>18980614</v>
      </c>
      <c r="C3950" s="11" t="str">
        <f>INDEX(Data,2,2+MOD(ROWS(C$2:C3950)-1,24))</f>
        <v>13.00</v>
      </c>
      <c r="D3950" s="8" t="str">
        <f t="shared" ca="1" si="185"/>
        <v>—</v>
      </c>
      <c r="E3950" s="16">
        <f t="shared" ca="1" si="186"/>
        <v>7</v>
      </c>
    </row>
    <row r="3951" spans="1:5" x14ac:dyDescent="0.25">
      <c r="A3951" s="3">
        <f t="shared" si="184"/>
        <v>78989</v>
      </c>
      <c r="B3951" t="str">
        <f ca="1">TEXT(DATE(YEAR(Invoer!$A$5),1,1)+INT((ROWS(B$2:B3951)-1)/24),"""18""jjmmdd")</f>
        <v>18980614</v>
      </c>
      <c r="C3951" s="11" t="str">
        <f>INDEX(Data,2,2+MOD(ROWS(C$2:C3951)-1,24))</f>
        <v>14.00</v>
      </c>
      <c r="D3951" s="8" t="str">
        <f t="shared" ca="1" si="185"/>
        <v>—</v>
      </c>
      <c r="E3951" s="16">
        <f t="shared" ca="1" si="186"/>
        <v>7</v>
      </c>
    </row>
    <row r="3952" spans="1:5" x14ac:dyDescent="0.25">
      <c r="A3952" s="3">
        <f t="shared" si="184"/>
        <v>78989</v>
      </c>
      <c r="B3952" t="str">
        <f ca="1">TEXT(DATE(YEAR(Invoer!$A$5),1,1)+INT((ROWS(B$2:B3952)-1)/24),"""18""jjmmdd")</f>
        <v>18980614</v>
      </c>
      <c r="C3952" s="11" t="str">
        <f>INDEX(Data,2,2+MOD(ROWS(C$2:C3952)-1,24))</f>
        <v>15.00</v>
      </c>
      <c r="D3952" s="8" t="str">
        <f t="shared" ca="1" si="185"/>
        <v>—</v>
      </c>
      <c r="E3952" s="16">
        <f t="shared" ca="1" si="186"/>
        <v>7</v>
      </c>
    </row>
    <row r="3953" spans="1:5" x14ac:dyDescent="0.25">
      <c r="A3953" s="3">
        <f t="shared" si="184"/>
        <v>78989</v>
      </c>
      <c r="B3953" t="str">
        <f ca="1">TEXT(DATE(YEAR(Invoer!$A$5),1,1)+INT((ROWS(B$2:B3953)-1)/24),"""18""jjmmdd")</f>
        <v>18980614</v>
      </c>
      <c r="C3953" s="11" t="str">
        <f>INDEX(Data,2,2+MOD(ROWS(C$2:C3953)-1,24))</f>
        <v>16.00</v>
      </c>
      <c r="D3953" s="8" t="str">
        <f t="shared" ca="1" si="185"/>
        <v>—</v>
      </c>
      <c r="E3953" s="16">
        <f t="shared" ca="1" si="186"/>
        <v>7</v>
      </c>
    </row>
    <row r="3954" spans="1:5" x14ac:dyDescent="0.25">
      <c r="A3954" s="3">
        <f t="shared" si="184"/>
        <v>78989</v>
      </c>
      <c r="B3954" t="str">
        <f ca="1">TEXT(DATE(YEAR(Invoer!$A$5),1,1)+INT((ROWS(B$2:B3954)-1)/24),"""18""jjmmdd")</f>
        <v>18980614</v>
      </c>
      <c r="C3954" s="11" t="str">
        <f>INDEX(Data,2,2+MOD(ROWS(C$2:C3954)-1,24))</f>
        <v>17.00</v>
      </c>
      <c r="D3954" s="8" t="str">
        <f t="shared" ca="1" si="185"/>
        <v>—</v>
      </c>
      <c r="E3954" s="16">
        <f t="shared" ca="1" si="186"/>
        <v>7</v>
      </c>
    </row>
    <row r="3955" spans="1:5" x14ac:dyDescent="0.25">
      <c r="A3955" s="3">
        <f t="shared" si="184"/>
        <v>78989</v>
      </c>
      <c r="B3955" t="str">
        <f ca="1">TEXT(DATE(YEAR(Invoer!$A$5),1,1)+INT((ROWS(B$2:B3955)-1)/24),"""18""jjmmdd")</f>
        <v>18980614</v>
      </c>
      <c r="C3955" s="11" t="str">
        <f>INDEX(Data,2,2+MOD(ROWS(C$2:C3955)-1,24))</f>
        <v>18.00</v>
      </c>
      <c r="D3955" s="8" t="str">
        <f t="shared" ca="1" si="185"/>
        <v>—</v>
      </c>
      <c r="E3955" s="16">
        <f t="shared" ca="1" si="186"/>
        <v>7</v>
      </c>
    </row>
    <row r="3956" spans="1:5" x14ac:dyDescent="0.25">
      <c r="A3956" s="3">
        <f t="shared" si="184"/>
        <v>78989</v>
      </c>
      <c r="B3956" t="str">
        <f ca="1">TEXT(DATE(YEAR(Invoer!$A$5),1,1)+INT((ROWS(B$2:B3956)-1)/24),"""18""jjmmdd")</f>
        <v>18980614</v>
      </c>
      <c r="C3956" s="11" t="str">
        <f>INDEX(Data,2,2+MOD(ROWS(C$2:C3956)-1,24))</f>
        <v>19.00</v>
      </c>
      <c r="D3956" s="8" t="str">
        <f t="shared" ca="1" si="185"/>
        <v>—</v>
      </c>
      <c r="E3956" s="16">
        <f t="shared" ca="1" si="186"/>
        <v>7</v>
      </c>
    </row>
    <row r="3957" spans="1:5" x14ac:dyDescent="0.25">
      <c r="A3957" s="3">
        <f t="shared" si="184"/>
        <v>78989</v>
      </c>
      <c r="B3957" t="str">
        <f ca="1">TEXT(DATE(YEAR(Invoer!$A$5),1,1)+INT((ROWS(B$2:B3957)-1)/24),"""18""jjmmdd")</f>
        <v>18980614</v>
      </c>
      <c r="C3957" s="11" t="str">
        <f>INDEX(Data,2,2+MOD(ROWS(C$2:C3957)-1,24))</f>
        <v>20.00</v>
      </c>
      <c r="D3957" s="8" t="str">
        <f t="shared" ca="1" si="185"/>
        <v>—</v>
      </c>
      <c r="E3957" s="16">
        <f t="shared" ca="1" si="186"/>
        <v>7</v>
      </c>
    </row>
    <row r="3958" spans="1:5" x14ac:dyDescent="0.25">
      <c r="A3958" s="3">
        <f t="shared" si="184"/>
        <v>78989</v>
      </c>
      <c r="B3958" t="str">
        <f ca="1">TEXT(DATE(YEAR(Invoer!$A$5),1,1)+INT((ROWS(B$2:B3958)-1)/24),"""18""jjmmdd")</f>
        <v>18980614</v>
      </c>
      <c r="C3958" s="11" t="str">
        <f>INDEX(Data,2,2+MOD(ROWS(C$2:C3958)-1,24))</f>
        <v>21.00</v>
      </c>
      <c r="D3958" s="8" t="str">
        <f t="shared" ca="1" si="185"/>
        <v>—</v>
      </c>
      <c r="E3958" s="16">
        <f t="shared" ca="1" si="186"/>
        <v>7</v>
      </c>
    </row>
    <row r="3959" spans="1:5" x14ac:dyDescent="0.25">
      <c r="A3959" s="3">
        <f t="shared" si="184"/>
        <v>78989</v>
      </c>
      <c r="B3959" t="str">
        <f ca="1">TEXT(DATE(YEAR(Invoer!$A$5),1,1)+INT((ROWS(B$2:B3959)-1)/24),"""18""jjmmdd")</f>
        <v>18980614</v>
      </c>
      <c r="C3959" s="11" t="str">
        <f>INDEX(Data,2,2+MOD(ROWS(C$2:C3959)-1,24))</f>
        <v>22.00</v>
      </c>
      <c r="D3959" s="8" t="str">
        <f t="shared" ca="1" si="185"/>
        <v>—</v>
      </c>
      <c r="E3959" s="16">
        <f t="shared" ca="1" si="186"/>
        <v>7</v>
      </c>
    </row>
    <row r="3960" spans="1:5" x14ac:dyDescent="0.25">
      <c r="A3960" s="3">
        <f t="shared" si="184"/>
        <v>78989</v>
      </c>
      <c r="B3960" t="str">
        <f ca="1">TEXT(DATE(YEAR(Invoer!$A$5),1,1)+INT((ROWS(B$2:B3960)-1)/24),"""18""jjmmdd")</f>
        <v>18980614</v>
      </c>
      <c r="C3960" s="11" t="str">
        <f>INDEX(Data,2,2+MOD(ROWS(C$2:C3960)-1,24))</f>
        <v>23.00</v>
      </c>
      <c r="D3960" s="8" t="str">
        <f t="shared" ca="1" si="185"/>
        <v>—</v>
      </c>
      <c r="E3960" s="16">
        <f t="shared" ca="1" si="186"/>
        <v>7</v>
      </c>
    </row>
    <row r="3961" spans="1:5" x14ac:dyDescent="0.25">
      <c r="A3961" s="3">
        <f t="shared" si="184"/>
        <v>78989</v>
      </c>
      <c r="B3961" t="str">
        <f ca="1">TEXT(DATE(YEAR(Invoer!$A$5),1,1)+INT((ROWS(B$2:B3961)-1)/24),"""18""jjmmdd")</f>
        <v>18980614</v>
      </c>
      <c r="C3961" s="11" t="str">
        <f>INDEX(Data,2,2+MOD(ROWS(C$2:C3961)-1,24))</f>
        <v>24.00</v>
      </c>
      <c r="D3961" s="8" t="str">
        <f t="shared" ca="1" si="185"/>
        <v>—</v>
      </c>
      <c r="E3961" s="16">
        <f t="shared" ca="1" si="186"/>
        <v>7</v>
      </c>
    </row>
    <row r="3962" spans="1:5" x14ac:dyDescent="0.25">
      <c r="A3962" s="3">
        <f t="shared" si="184"/>
        <v>78989</v>
      </c>
      <c r="B3962" t="str">
        <f ca="1">TEXT(DATE(YEAR(Invoer!$A$5),1,1)+INT((ROWS(B$2:B3962)-1)/24),"""18""jjmmdd")</f>
        <v>18980615</v>
      </c>
      <c r="C3962" s="11" t="str">
        <f>INDEX(Data,2,2+MOD(ROWS(C$2:C3962)-1,24))</f>
        <v>01.00</v>
      </c>
      <c r="D3962" s="8" t="str">
        <f t="shared" ca="1" si="185"/>
        <v>—</v>
      </c>
      <c r="E3962" s="16">
        <f t="shared" ca="1" si="186"/>
        <v>7</v>
      </c>
    </row>
    <row r="3963" spans="1:5" x14ac:dyDescent="0.25">
      <c r="A3963" s="3">
        <f t="shared" si="184"/>
        <v>78989</v>
      </c>
      <c r="B3963" t="str">
        <f ca="1">TEXT(DATE(YEAR(Invoer!$A$5),1,1)+INT((ROWS(B$2:B3963)-1)/24),"""18""jjmmdd")</f>
        <v>18980615</v>
      </c>
      <c r="C3963" s="11" t="str">
        <f>INDEX(Data,2,2+MOD(ROWS(C$2:C3963)-1,24))</f>
        <v>02.00</v>
      </c>
      <c r="D3963" s="8" t="str">
        <f t="shared" ca="1" si="185"/>
        <v>—</v>
      </c>
      <c r="E3963" s="16">
        <f t="shared" ca="1" si="186"/>
        <v>7</v>
      </c>
    </row>
    <row r="3964" spans="1:5" x14ac:dyDescent="0.25">
      <c r="A3964" s="3">
        <f t="shared" si="184"/>
        <v>78989</v>
      </c>
      <c r="B3964" t="str">
        <f ca="1">TEXT(DATE(YEAR(Invoer!$A$5),1,1)+INT((ROWS(B$2:B3964)-1)/24),"""18""jjmmdd")</f>
        <v>18980615</v>
      </c>
      <c r="C3964" s="11" t="str">
        <f>INDEX(Data,2,2+MOD(ROWS(C$2:C3964)-1,24))</f>
        <v>03.00</v>
      </c>
      <c r="D3964" s="8" t="str">
        <f t="shared" ca="1" si="185"/>
        <v>—</v>
      </c>
      <c r="E3964" s="16">
        <f t="shared" ca="1" si="186"/>
        <v>7</v>
      </c>
    </row>
    <row r="3965" spans="1:5" x14ac:dyDescent="0.25">
      <c r="A3965" s="3">
        <f t="shared" si="184"/>
        <v>78989</v>
      </c>
      <c r="B3965" t="str">
        <f ca="1">TEXT(DATE(YEAR(Invoer!$A$5),1,1)+INT((ROWS(B$2:B3965)-1)/24),"""18""jjmmdd")</f>
        <v>18980615</v>
      </c>
      <c r="C3965" s="11" t="str">
        <f>INDEX(Data,2,2+MOD(ROWS(C$2:C3965)-1,24))</f>
        <v>04.00</v>
      </c>
      <c r="D3965" s="8" t="str">
        <f t="shared" ca="1" si="185"/>
        <v>—</v>
      </c>
      <c r="E3965" s="16">
        <f t="shared" ca="1" si="186"/>
        <v>7</v>
      </c>
    </row>
    <row r="3966" spans="1:5" x14ac:dyDescent="0.25">
      <c r="A3966" s="3">
        <f t="shared" si="184"/>
        <v>78989</v>
      </c>
      <c r="B3966" t="str">
        <f ca="1">TEXT(DATE(YEAR(Invoer!$A$5),1,1)+INT((ROWS(B$2:B3966)-1)/24),"""18""jjmmdd")</f>
        <v>18980615</v>
      </c>
      <c r="C3966" s="11" t="str">
        <f>INDEX(Data,2,2+MOD(ROWS(C$2:C3966)-1,24))</f>
        <v>05.00</v>
      </c>
      <c r="D3966" s="8" t="str">
        <f t="shared" ca="1" si="185"/>
        <v>—</v>
      </c>
      <c r="E3966" s="16">
        <f t="shared" ca="1" si="186"/>
        <v>7</v>
      </c>
    </row>
    <row r="3967" spans="1:5" x14ac:dyDescent="0.25">
      <c r="A3967" s="3">
        <f t="shared" si="184"/>
        <v>78989</v>
      </c>
      <c r="B3967" t="str">
        <f ca="1">TEXT(DATE(YEAR(Invoer!$A$5),1,1)+INT((ROWS(B$2:B3967)-1)/24),"""18""jjmmdd")</f>
        <v>18980615</v>
      </c>
      <c r="C3967" s="11" t="str">
        <f>INDEX(Data,2,2+MOD(ROWS(C$2:C3967)-1,24))</f>
        <v>06.00</v>
      </c>
      <c r="D3967" s="8" t="str">
        <f t="shared" ca="1" si="185"/>
        <v>—</v>
      </c>
      <c r="E3967" s="16">
        <f t="shared" ca="1" si="186"/>
        <v>7</v>
      </c>
    </row>
    <row r="3968" spans="1:5" x14ac:dyDescent="0.25">
      <c r="A3968" s="3">
        <f t="shared" si="184"/>
        <v>78989</v>
      </c>
      <c r="B3968" t="str">
        <f ca="1">TEXT(DATE(YEAR(Invoer!$A$5),1,1)+INT((ROWS(B$2:B3968)-1)/24),"""18""jjmmdd")</f>
        <v>18980615</v>
      </c>
      <c r="C3968" s="11" t="str">
        <f>INDEX(Data,2,2+MOD(ROWS(C$2:C3968)-1,24))</f>
        <v>07.00</v>
      </c>
      <c r="D3968" s="8" t="str">
        <f t="shared" ca="1" si="185"/>
        <v>—</v>
      </c>
      <c r="E3968" s="16">
        <f t="shared" ca="1" si="186"/>
        <v>7</v>
      </c>
    </row>
    <row r="3969" spans="1:5" x14ac:dyDescent="0.25">
      <c r="A3969" s="3">
        <f t="shared" si="184"/>
        <v>78989</v>
      </c>
      <c r="B3969" t="str">
        <f ca="1">TEXT(DATE(YEAR(Invoer!$A$5),1,1)+INT((ROWS(B$2:B3969)-1)/24),"""18""jjmmdd")</f>
        <v>18980615</v>
      </c>
      <c r="C3969" s="11" t="str">
        <f>INDEX(Data,2,2+MOD(ROWS(C$2:C3969)-1,24))</f>
        <v>08.00</v>
      </c>
      <c r="D3969" s="8" t="str">
        <f t="shared" ca="1" si="185"/>
        <v>—</v>
      </c>
      <c r="E3969" s="16">
        <f t="shared" ca="1" si="186"/>
        <v>7</v>
      </c>
    </row>
    <row r="3970" spans="1:5" x14ac:dyDescent="0.25">
      <c r="A3970" s="3">
        <f t="shared" ref="A3970:A4033" si="187">INDEX(Stations,2,1)</f>
        <v>78989</v>
      </c>
      <c r="B3970" t="str">
        <f ca="1">TEXT(DATE(YEAR(Invoer!$A$5),1,1)+INT((ROWS(B$2:B3970)-1)/24),"""18""jjmmdd")</f>
        <v>18980615</v>
      </c>
      <c r="C3970" s="11" t="str">
        <f>INDEX(Data,2,2+MOD(ROWS(C$2:C3970)-1,24))</f>
        <v>09.00</v>
      </c>
      <c r="D3970" s="8" t="str">
        <f t="shared" ref="D3970:D4033" ca="1" si="188">IF(OR(ISBLANK(VLOOKUP(DATEVALUE("37"&amp;MID($B3970,3,2)&amp;"-"&amp;MID($B3970,5,2)&amp;"-"&amp;RIGHT($B3970,2)),Data,MATCH(LEFT(VLOOKUP(D$1,Parameters,2,FALSE()),4)&amp;"*",OFFSET(Data,0,0,1),0)+MATCH($C3970,OFFSET(Data,1,0,1),0)-2,FALSE())),ISTEXT(VLOOKUP(DATEVALUE("37"&amp;MID($B3970,3,2)&amp;"-"&amp;MID($B3970,5,2)&amp;"-"&amp;RIGHT($B3970,2)),Data,MATCH(LEFT(VLOOKUP(D$1,Parameters,2,FALSE()),4)&amp;"*",OFFSET(Data,0,0,1),0)+MATCH($C3970,OFFSET(Data,1,0,1),0)-2,FALSE()))),"—",VLOOKUP(DATEVALUE("37"&amp;MID($B3970,3,2)&amp;"-"&amp;MID($B3970,5,2)&amp;"-"&amp;RIGHT($B3970,2)),Data,MATCH(LEFT(VLOOKUP(D$1,Parameters,2,FALSE()),4)&amp;"*",OFFSET(Data,0,0,1),0)+MATCH($C3970,OFFSET(Data,1,0,1),0)-2,FALSE()))</f>
        <v>—</v>
      </c>
      <c r="E3970" s="16">
        <f t="shared" ca="1" si="186"/>
        <v>7</v>
      </c>
    </row>
    <row r="3971" spans="1:5" x14ac:dyDescent="0.25">
      <c r="A3971" s="3">
        <f t="shared" si="187"/>
        <v>78989</v>
      </c>
      <c r="B3971" t="str">
        <f ca="1">TEXT(DATE(YEAR(Invoer!$A$5),1,1)+INT((ROWS(B$2:B3971)-1)/24),"""18""jjmmdd")</f>
        <v>18980615</v>
      </c>
      <c r="C3971" s="11" t="str">
        <f>INDEX(Data,2,2+MOD(ROWS(C$2:C3971)-1,24))</f>
        <v>10.00</v>
      </c>
      <c r="D3971" s="8" t="str">
        <f t="shared" ca="1" si="188"/>
        <v>—</v>
      </c>
      <c r="E3971" s="16">
        <f t="shared" ref="E3971:E4034" ca="1" si="189">IF(OR(ISBLANK(VLOOKUP(DATEVALUE("37"&amp;MID($B3971,3,2)&amp;"-"&amp;MID($B3971,5,2)&amp;"-"&amp;RIGHT($B3971,2)),Data,MATCH(LEFT(VLOOKUP(D$1,Parameters,2,FALSE()),4)&amp;"*",OFFSET(Data,0,0,1),0)+MATCH($C3971,OFFSET(Data,1,0,1),0)-2,FALSE())),ISTEXT(VLOOKUP(DATEVALUE("37"&amp;MID($B3971,3,2)&amp;"-"&amp;MID($B3971,5,2)&amp;"-"&amp;RIGHT($B3971,2)),Data,MATCH(LEFT(VLOOKUP(D$1,Parameters,2,FALSE()),4)&amp;"*",OFFSET(Data,0,0,1),0)+MATCH($C3971,OFFSET(Data,1,0,1),0)-2,FALSE()))),Lacking,IF(ISNA(MATCH(DATEVALUE("37"&amp;MID($B3971,3,2)&amp;"-"&amp;MID($B3971,5,2)&amp;"-"&amp;RIGHT($B3971,2)),OFFSET(Catalogus,0,0,,1),0)),Ok,VLOOKUP(DATEVALUE("37"&amp;MID($B3971,3,2)&amp;"-"&amp;MID($B3971,5,2)&amp;"-"&amp;RIGHT($B3971,2)),Catalogus,MATCH(LEFT(VLOOKUP(MID(E$1,2,LEN(E$1)-1),Parameters,2,FALSE()),4)&amp;"*",OFFSET(Catalogus,0,0,1),0)+MATCH($C3971,OFFSET(Catalogus,1,0,1),0)-2,FALSE())))</f>
        <v>7</v>
      </c>
    </row>
    <row r="3972" spans="1:5" x14ac:dyDescent="0.25">
      <c r="A3972" s="3">
        <f t="shared" si="187"/>
        <v>78989</v>
      </c>
      <c r="B3972" t="str">
        <f ca="1">TEXT(DATE(YEAR(Invoer!$A$5),1,1)+INT((ROWS(B$2:B3972)-1)/24),"""18""jjmmdd")</f>
        <v>18980615</v>
      </c>
      <c r="C3972" s="11" t="str">
        <f>INDEX(Data,2,2+MOD(ROWS(C$2:C3972)-1,24))</f>
        <v>11.00</v>
      </c>
      <c r="D3972" s="8" t="str">
        <f t="shared" ca="1" si="188"/>
        <v>—</v>
      </c>
      <c r="E3972" s="16">
        <f t="shared" ca="1" si="189"/>
        <v>7</v>
      </c>
    </row>
    <row r="3973" spans="1:5" x14ac:dyDescent="0.25">
      <c r="A3973" s="3">
        <f t="shared" si="187"/>
        <v>78989</v>
      </c>
      <c r="B3973" t="str">
        <f ca="1">TEXT(DATE(YEAR(Invoer!$A$5),1,1)+INT((ROWS(B$2:B3973)-1)/24),"""18""jjmmdd")</f>
        <v>18980615</v>
      </c>
      <c r="C3973" s="11" t="str">
        <f>INDEX(Data,2,2+MOD(ROWS(C$2:C3973)-1,24))</f>
        <v>12.00</v>
      </c>
      <c r="D3973" s="8" t="str">
        <f t="shared" ca="1" si="188"/>
        <v>—</v>
      </c>
      <c r="E3973" s="16">
        <f t="shared" ca="1" si="189"/>
        <v>7</v>
      </c>
    </row>
    <row r="3974" spans="1:5" x14ac:dyDescent="0.25">
      <c r="A3974" s="3">
        <f t="shared" si="187"/>
        <v>78989</v>
      </c>
      <c r="B3974" t="str">
        <f ca="1">TEXT(DATE(YEAR(Invoer!$A$5),1,1)+INT((ROWS(B$2:B3974)-1)/24),"""18""jjmmdd")</f>
        <v>18980615</v>
      </c>
      <c r="C3974" s="11" t="str">
        <f>INDEX(Data,2,2+MOD(ROWS(C$2:C3974)-1,24))</f>
        <v>13.00</v>
      </c>
      <c r="D3974" s="8" t="str">
        <f t="shared" ca="1" si="188"/>
        <v>—</v>
      </c>
      <c r="E3974" s="16">
        <f t="shared" ca="1" si="189"/>
        <v>7</v>
      </c>
    </row>
    <row r="3975" spans="1:5" x14ac:dyDescent="0.25">
      <c r="A3975" s="3">
        <f t="shared" si="187"/>
        <v>78989</v>
      </c>
      <c r="B3975" t="str">
        <f ca="1">TEXT(DATE(YEAR(Invoer!$A$5),1,1)+INT((ROWS(B$2:B3975)-1)/24),"""18""jjmmdd")</f>
        <v>18980615</v>
      </c>
      <c r="C3975" s="11" t="str">
        <f>INDEX(Data,2,2+MOD(ROWS(C$2:C3975)-1,24))</f>
        <v>14.00</v>
      </c>
      <c r="D3975" s="8" t="str">
        <f t="shared" ca="1" si="188"/>
        <v>—</v>
      </c>
      <c r="E3975" s="16">
        <f t="shared" ca="1" si="189"/>
        <v>7</v>
      </c>
    </row>
    <row r="3976" spans="1:5" x14ac:dyDescent="0.25">
      <c r="A3976" s="3">
        <f t="shared" si="187"/>
        <v>78989</v>
      </c>
      <c r="B3976" t="str">
        <f ca="1">TEXT(DATE(YEAR(Invoer!$A$5),1,1)+INT((ROWS(B$2:B3976)-1)/24),"""18""jjmmdd")</f>
        <v>18980615</v>
      </c>
      <c r="C3976" s="11" t="str">
        <f>INDEX(Data,2,2+MOD(ROWS(C$2:C3976)-1,24))</f>
        <v>15.00</v>
      </c>
      <c r="D3976" s="8" t="str">
        <f t="shared" ca="1" si="188"/>
        <v>—</v>
      </c>
      <c r="E3976" s="16">
        <f t="shared" ca="1" si="189"/>
        <v>7</v>
      </c>
    </row>
    <row r="3977" spans="1:5" x14ac:dyDescent="0.25">
      <c r="A3977" s="3">
        <f t="shared" si="187"/>
        <v>78989</v>
      </c>
      <c r="B3977" t="str">
        <f ca="1">TEXT(DATE(YEAR(Invoer!$A$5),1,1)+INT((ROWS(B$2:B3977)-1)/24),"""18""jjmmdd")</f>
        <v>18980615</v>
      </c>
      <c r="C3977" s="11" t="str">
        <f>INDEX(Data,2,2+MOD(ROWS(C$2:C3977)-1,24))</f>
        <v>16.00</v>
      </c>
      <c r="D3977" s="8" t="str">
        <f t="shared" ca="1" si="188"/>
        <v>—</v>
      </c>
      <c r="E3977" s="16">
        <f t="shared" ca="1" si="189"/>
        <v>7</v>
      </c>
    </row>
    <row r="3978" spans="1:5" x14ac:dyDescent="0.25">
      <c r="A3978" s="3">
        <f t="shared" si="187"/>
        <v>78989</v>
      </c>
      <c r="B3978" t="str">
        <f ca="1">TEXT(DATE(YEAR(Invoer!$A$5),1,1)+INT((ROWS(B$2:B3978)-1)/24),"""18""jjmmdd")</f>
        <v>18980615</v>
      </c>
      <c r="C3978" s="11" t="str">
        <f>INDEX(Data,2,2+MOD(ROWS(C$2:C3978)-1,24))</f>
        <v>17.00</v>
      </c>
      <c r="D3978" s="8" t="str">
        <f t="shared" ca="1" si="188"/>
        <v>—</v>
      </c>
      <c r="E3978" s="16">
        <f t="shared" ca="1" si="189"/>
        <v>7</v>
      </c>
    </row>
    <row r="3979" spans="1:5" x14ac:dyDescent="0.25">
      <c r="A3979" s="3">
        <f t="shared" si="187"/>
        <v>78989</v>
      </c>
      <c r="B3979" t="str">
        <f ca="1">TEXT(DATE(YEAR(Invoer!$A$5),1,1)+INT((ROWS(B$2:B3979)-1)/24),"""18""jjmmdd")</f>
        <v>18980615</v>
      </c>
      <c r="C3979" s="11" t="str">
        <f>INDEX(Data,2,2+MOD(ROWS(C$2:C3979)-1,24))</f>
        <v>18.00</v>
      </c>
      <c r="D3979" s="8" t="str">
        <f t="shared" ca="1" si="188"/>
        <v>—</v>
      </c>
      <c r="E3979" s="16">
        <f t="shared" ca="1" si="189"/>
        <v>7</v>
      </c>
    </row>
    <row r="3980" spans="1:5" x14ac:dyDescent="0.25">
      <c r="A3980" s="3">
        <f t="shared" si="187"/>
        <v>78989</v>
      </c>
      <c r="B3980" t="str">
        <f ca="1">TEXT(DATE(YEAR(Invoer!$A$5),1,1)+INT((ROWS(B$2:B3980)-1)/24),"""18""jjmmdd")</f>
        <v>18980615</v>
      </c>
      <c r="C3980" s="11" t="str">
        <f>INDEX(Data,2,2+MOD(ROWS(C$2:C3980)-1,24))</f>
        <v>19.00</v>
      </c>
      <c r="D3980" s="8" t="str">
        <f t="shared" ca="1" si="188"/>
        <v>—</v>
      </c>
      <c r="E3980" s="16">
        <f t="shared" ca="1" si="189"/>
        <v>7</v>
      </c>
    </row>
    <row r="3981" spans="1:5" x14ac:dyDescent="0.25">
      <c r="A3981" s="3">
        <f t="shared" si="187"/>
        <v>78989</v>
      </c>
      <c r="B3981" t="str">
        <f ca="1">TEXT(DATE(YEAR(Invoer!$A$5),1,1)+INT((ROWS(B$2:B3981)-1)/24),"""18""jjmmdd")</f>
        <v>18980615</v>
      </c>
      <c r="C3981" s="11" t="str">
        <f>INDEX(Data,2,2+MOD(ROWS(C$2:C3981)-1,24))</f>
        <v>20.00</v>
      </c>
      <c r="D3981" s="8" t="str">
        <f t="shared" ca="1" si="188"/>
        <v>—</v>
      </c>
      <c r="E3981" s="16">
        <f t="shared" ca="1" si="189"/>
        <v>7</v>
      </c>
    </row>
    <row r="3982" spans="1:5" x14ac:dyDescent="0.25">
      <c r="A3982" s="3">
        <f t="shared" si="187"/>
        <v>78989</v>
      </c>
      <c r="B3982" t="str">
        <f ca="1">TEXT(DATE(YEAR(Invoer!$A$5),1,1)+INT((ROWS(B$2:B3982)-1)/24),"""18""jjmmdd")</f>
        <v>18980615</v>
      </c>
      <c r="C3982" s="11" t="str">
        <f>INDEX(Data,2,2+MOD(ROWS(C$2:C3982)-1,24))</f>
        <v>21.00</v>
      </c>
      <c r="D3982" s="8" t="str">
        <f t="shared" ca="1" si="188"/>
        <v>—</v>
      </c>
      <c r="E3982" s="16">
        <f t="shared" ca="1" si="189"/>
        <v>7</v>
      </c>
    </row>
    <row r="3983" spans="1:5" x14ac:dyDescent="0.25">
      <c r="A3983" s="3">
        <f t="shared" si="187"/>
        <v>78989</v>
      </c>
      <c r="B3983" t="str">
        <f ca="1">TEXT(DATE(YEAR(Invoer!$A$5),1,1)+INT((ROWS(B$2:B3983)-1)/24),"""18""jjmmdd")</f>
        <v>18980615</v>
      </c>
      <c r="C3983" s="11" t="str">
        <f>INDEX(Data,2,2+MOD(ROWS(C$2:C3983)-1,24))</f>
        <v>22.00</v>
      </c>
      <c r="D3983" s="8" t="str">
        <f t="shared" ca="1" si="188"/>
        <v>—</v>
      </c>
      <c r="E3983" s="16">
        <f t="shared" ca="1" si="189"/>
        <v>7</v>
      </c>
    </row>
    <row r="3984" spans="1:5" x14ac:dyDescent="0.25">
      <c r="A3984" s="3">
        <f t="shared" si="187"/>
        <v>78989</v>
      </c>
      <c r="B3984" t="str">
        <f ca="1">TEXT(DATE(YEAR(Invoer!$A$5),1,1)+INT((ROWS(B$2:B3984)-1)/24),"""18""jjmmdd")</f>
        <v>18980615</v>
      </c>
      <c r="C3984" s="11" t="str">
        <f>INDEX(Data,2,2+MOD(ROWS(C$2:C3984)-1,24))</f>
        <v>23.00</v>
      </c>
      <c r="D3984" s="8" t="str">
        <f t="shared" ca="1" si="188"/>
        <v>—</v>
      </c>
      <c r="E3984" s="16">
        <f t="shared" ca="1" si="189"/>
        <v>7</v>
      </c>
    </row>
    <row r="3985" spans="1:5" x14ac:dyDescent="0.25">
      <c r="A3985" s="3">
        <f t="shared" si="187"/>
        <v>78989</v>
      </c>
      <c r="B3985" t="str">
        <f ca="1">TEXT(DATE(YEAR(Invoer!$A$5),1,1)+INT((ROWS(B$2:B3985)-1)/24),"""18""jjmmdd")</f>
        <v>18980615</v>
      </c>
      <c r="C3985" s="11" t="str">
        <f>INDEX(Data,2,2+MOD(ROWS(C$2:C3985)-1,24))</f>
        <v>24.00</v>
      </c>
      <c r="D3985" s="8" t="str">
        <f t="shared" ca="1" si="188"/>
        <v>—</v>
      </c>
      <c r="E3985" s="16">
        <f t="shared" ca="1" si="189"/>
        <v>7</v>
      </c>
    </row>
    <row r="3986" spans="1:5" x14ac:dyDescent="0.25">
      <c r="A3986" s="3">
        <f t="shared" si="187"/>
        <v>78989</v>
      </c>
      <c r="B3986" t="str">
        <f ca="1">TEXT(DATE(YEAR(Invoer!$A$5),1,1)+INT((ROWS(B$2:B3986)-1)/24),"""18""jjmmdd")</f>
        <v>18980616</v>
      </c>
      <c r="C3986" s="11" t="str">
        <f>INDEX(Data,2,2+MOD(ROWS(C$2:C3986)-1,24))</f>
        <v>01.00</v>
      </c>
      <c r="D3986" s="8" t="str">
        <f t="shared" ca="1" si="188"/>
        <v>—</v>
      </c>
      <c r="E3986" s="16">
        <f t="shared" ca="1" si="189"/>
        <v>7</v>
      </c>
    </row>
    <row r="3987" spans="1:5" x14ac:dyDescent="0.25">
      <c r="A3987" s="3">
        <f t="shared" si="187"/>
        <v>78989</v>
      </c>
      <c r="B3987" t="str">
        <f ca="1">TEXT(DATE(YEAR(Invoer!$A$5),1,1)+INT((ROWS(B$2:B3987)-1)/24),"""18""jjmmdd")</f>
        <v>18980616</v>
      </c>
      <c r="C3987" s="11" t="str">
        <f>INDEX(Data,2,2+MOD(ROWS(C$2:C3987)-1,24))</f>
        <v>02.00</v>
      </c>
      <c r="D3987" s="8" t="str">
        <f t="shared" ca="1" si="188"/>
        <v>—</v>
      </c>
      <c r="E3987" s="16">
        <f t="shared" ca="1" si="189"/>
        <v>7</v>
      </c>
    </row>
    <row r="3988" spans="1:5" x14ac:dyDescent="0.25">
      <c r="A3988" s="3">
        <f t="shared" si="187"/>
        <v>78989</v>
      </c>
      <c r="B3988" t="str">
        <f ca="1">TEXT(DATE(YEAR(Invoer!$A$5),1,1)+INT((ROWS(B$2:B3988)-1)/24),"""18""jjmmdd")</f>
        <v>18980616</v>
      </c>
      <c r="C3988" s="11" t="str">
        <f>INDEX(Data,2,2+MOD(ROWS(C$2:C3988)-1,24))</f>
        <v>03.00</v>
      </c>
      <c r="D3988" s="8" t="str">
        <f t="shared" ca="1" si="188"/>
        <v>—</v>
      </c>
      <c r="E3988" s="16">
        <f t="shared" ca="1" si="189"/>
        <v>7</v>
      </c>
    </row>
    <row r="3989" spans="1:5" x14ac:dyDescent="0.25">
      <c r="A3989" s="3">
        <f t="shared" si="187"/>
        <v>78989</v>
      </c>
      <c r="B3989" t="str">
        <f ca="1">TEXT(DATE(YEAR(Invoer!$A$5),1,1)+INT((ROWS(B$2:B3989)-1)/24),"""18""jjmmdd")</f>
        <v>18980616</v>
      </c>
      <c r="C3989" s="11" t="str">
        <f>INDEX(Data,2,2+MOD(ROWS(C$2:C3989)-1,24))</f>
        <v>04.00</v>
      </c>
      <c r="D3989" s="8" t="str">
        <f t="shared" ca="1" si="188"/>
        <v>—</v>
      </c>
      <c r="E3989" s="16">
        <f t="shared" ca="1" si="189"/>
        <v>7</v>
      </c>
    </row>
    <row r="3990" spans="1:5" x14ac:dyDescent="0.25">
      <c r="A3990" s="3">
        <f t="shared" si="187"/>
        <v>78989</v>
      </c>
      <c r="B3990" t="str">
        <f ca="1">TEXT(DATE(YEAR(Invoer!$A$5),1,1)+INT((ROWS(B$2:B3990)-1)/24),"""18""jjmmdd")</f>
        <v>18980616</v>
      </c>
      <c r="C3990" s="11" t="str">
        <f>INDEX(Data,2,2+MOD(ROWS(C$2:C3990)-1,24))</f>
        <v>05.00</v>
      </c>
      <c r="D3990" s="8" t="str">
        <f t="shared" ca="1" si="188"/>
        <v>—</v>
      </c>
      <c r="E3990" s="16">
        <f t="shared" ca="1" si="189"/>
        <v>7</v>
      </c>
    </row>
    <row r="3991" spans="1:5" x14ac:dyDescent="0.25">
      <c r="A3991" s="3">
        <f t="shared" si="187"/>
        <v>78989</v>
      </c>
      <c r="B3991" t="str">
        <f ca="1">TEXT(DATE(YEAR(Invoer!$A$5),1,1)+INT((ROWS(B$2:B3991)-1)/24),"""18""jjmmdd")</f>
        <v>18980616</v>
      </c>
      <c r="C3991" s="11" t="str">
        <f>INDEX(Data,2,2+MOD(ROWS(C$2:C3991)-1,24))</f>
        <v>06.00</v>
      </c>
      <c r="D3991" s="8" t="str">
        <f t="shared" ca="1" si="188"/>
        <v>—</v>
      </c>
      <c r="E3991" s="16">
        <f t="shared" ca="1" si="189"/>
        <v>7</v>
      </c>
    </row>
    <row r="3992" spans="1:5" x14ac:dyDescent="0.25">
      <c r="A3992" s="3">
        <f t="shared" si="187"/>
        <v>78989</v>
      </c>
      <c r="B3992" t="str">
        <f ca="1">TEXT(DATE(YEAR(Invoer!$A$5),1,1)+INT((ROWS(B$2:B3992)-1)/24),"""18""jjmmdd")</f>
        <v>18980616</v>
      </c>
      <c r="C3992" s="11" t="str">
        <f>INDEX(Data,2,2+MOD(ROWS(C$2:C3992)-1,24))</f>
        <v>07.00</v>
      </c>
      <c r="D3992" s="8" t="str">
        <f t="shared" ca="1" si="188"/>
        <v>—</v>
      </c>
      <c r="E3992" s="16">
        <f t="shared" ca="1" si="189"/>
        <v>7</v>
      </c>
    </row>
    <row r="3993" spans="1:5" x14ac:dyDescent="0.25">
      <c r="A3993" s="3">
        <f t="shared" si="187"/>
        <v>78989</v>
      </c>
      <c r="B3993" t="str">
        <f ca="1">TEXT(DATE(YEAR(Invoer!$A$5),1,1)+INT((ROWS(B$2:B3993)-1)/24),"""18""jjmmdd")</f>
        <v>18980616</v>
      </c>
      <c r="C3993" s="11" t="str">
        <f>INDEX(Data,2,2+MOD(ROWS(C$2:C3993)-1,24))</f>
        <v>08.00</v>
      </c>
      <c r="D3993" s="8" t="str">
        <f t="shared" ca="1" si="188"/>
        <v>—</v>
      </c>
      <c r="E3993" s="16">
        <f t="shared" ca="1" si="189"/>
        <v>7</v>
      </c>
    </row>
    <row r="3994" spans="1:5" x14ac:dyDescent="0.25">
      <c r="A3994" s="3">
        <f t="shared" si="187"/>
        <v>78989</v>
      </c>
      <c r="B3994" t="str">
        <f ca="1">TEXT(DATE(YEAR(Invoer!$A$5),1,1)+INT((ROWS(B$2:B3994)-1)/24),"""18""jjmmdd")</f>
        <v>18980616</v>
      </c>
      <c r="C3994" s="11" t="str">
        <f>INDEX(Data,2,2+MOD(ROWS(C$2:C3994)-1,24))</f>
        <v>09.00</v>
      </c>
      <c r="D3994" s="8" t="str">
        <f t="shared" ca="1" si="188"/>
        <v>—</v>
      </c>
      <c r="E3994" s="16">
        <f t="shared" ca="1" si="189"/>
        <v>7</v>
      </c>
    </row>
    <row r="3995" spans="1:5" x14ac:dyDescent="0.25">
      <c r="A3995" s="3">
        <f t="shared" si="187"/>
        <v>78989</v>
      </c>
      <c r="B3995" t="str">
        <f ca="1">TEXT(DATE(YEAR(Invoer!$A$5),1,1)+INT((ROWS(B$2:B3995)-1)/24),"""18""jjmmdd")</f>
        <v>18980616</v>
      </c>
      <c r="C3995" s="11" t="str">
        <f>INDEX(Data,2,2+MOD(ROWS(C$2:C3995)-1,24))</f>
        <v>10.00</v>
      </c>
      <c r="D3995" s="8" t="str">
        <f t="shared" ca="1" si="188"/>
        <v>—</v>
      </c>
      <c r="E3995" s="16">
        <f t="shared" ca="1" si="189"/>
        <v>7</v>
      </c>
    </row>
    <row r="3996" spans="1:5" x14ac:dyDescent="0.25">
      <c r="A3996" s="3">
        <f t="shared" si="187"/>
        <v>78989</v>
      </c>
      <c r="B3996" t="str">
        <f ca="1">TEXT(DATE(YEAR(Invoer!$A$5),1,1)+INT((ROWS(B$2:B3996)-1)/24),"""18""jjmmdd")</f>
        <v>18980616</v>
      </c>
      <c r="C3996" s="11" t="str">
        <f>INDEX(Data,2,2+MOD(ROWS(C$2:C3996)-1,24))</f>
        <v>11.00</v>
      </c>
      <c r="D3996" s="8" t="str">
        <f t="shared" ca="1" si="188"/>
        <v>—</v>
      </c>
      <c r="E3996" s="16">
        <f t="shared" ca="1" si="189"/>
        <v>7</v>
      </c>
    </row>
    <row r="3997" spans="1:5" x14ac:dyDescent="0.25">
      <c r="A3997" s="3">
        <f t="shared" si="187"/>
        <v>78989</v>
      </c>
      <c r="B3997" t="str">
        <f ca="1">TEXT(DATE(YEAR(Invoer!$A$5),1,1)+INT((ROWS(B$2:B3997)-1)/24),"""18""jjmmdd")</f>
        <v>18980616</v>
      </c>
      <c r="C3997" s="11" t="str">
        <f>INDEX(Data,2,2+MOD(ROWS(C$2:C3997)-1,24))</f>
        <v>12.00</v>
      </c>
      <c r="D3997" s="8" t="str">
        <f t="shared" ca="1" si="188"/>
        <v>—</v>
      </c>
      <c r="E3997" s="16">
        <f t="shared" ca="1" si="189"/>
        <v>7</v>
      </c>
    </row>
    <row r="3998" spans="1:5" x14ac:dyDescent="0.25">
      <c r="A3998" s="3">
        <f t="shared" si="187"/>
        <v>78989</v>
      </c>
      <c r="B3998" t="str">
        <f ca="1">TEXT(DATE(YEAR(Invoer!$A$5),1,1)+INT((ROWS(B$2:B3998)-1)/24),"""18""jjmmdd")</f>
        <v>18980616</v>
      </c>
      <c r="C3998" s="11" t="str">
        <f>INDEX(Data,2,2+MOD(ROWS(C$2:C3998)-1,24))</f>
        <v>13.00</v>
      </c>
      <c r="D3998" s="8" t="str">
        <f t="shared" ca="1" si="188"/>
        <v>—</v>
      </c>
      <c r="E3998" s="16">
        <f t="shared" ca="1" si="189"/>
        <v>7</v>
      </c>
    </row>
    <row r="3999" spans="1:5" x14ac:dyDescent="0.25">
      <c r="A3999" s="3">
        <f t="shared" si="187"/>
        <v>78989</v>
      </c>
      <c r="B3999" t="str">
        <f ca="1">TEXT(DATE(YEAR(Invoer!$A$5),1,1)+INT((ROWS(B$2:B3999)-1)/24),"""18""jjmmdd")</f>
        <v>18980616</v>
      </c>
      <c r="C3999" s="11" t="str">
        <f>INDEX(Data,2,2+MOD(ROWS(C$2:C3999)-1,24))</f>
        <v>14.00</v>
      </c>
      <c r="D3999" s="8" t="str">
        <f t="shared" ca="1" si="188"/>
        <v>—</v>
      </c>
      <c r="E3999" s="16">
        <f t="shared" ca="1" si="189"/>
        <v>7</v>
      </c>
    </row>
    <row r="4000" spans="1:5" x14ac:dyDescent="0.25">
      <c r="A4000" s="3">
        <f t="shared" si="187"/>
        <v>78989</v>
      </c>
      <c r="B4000" t="str">
        <f ca="1">TEXT(DATE(YEAR(Invoer!$A$5),1,1)+INT((ROWS(B$2:B4000)-1)/24),"""18""jjmmdd")</f>
        <v>18980616</v>
      </c>
      <c r="C4000" s="11" t="str">
        <f>INDEX(Data,2,2+MOD(ROWS(C$2:C4000)-1,24))</f>
        <v>15.00</v>
      </c>
      <c r="D4000" s="8" t="str">
        <f t="shared" ca="1" si="188"/>
        <v>—</v>
      </c>
      <c r="E4000" s="16">
        <f t="shared" ca="1" si="189"/>
        <v>7</v>
      </c>
    </row>
    <row r="4001" spans="1:5" x14ac:dyDescent="0.25">
      <c r="A4001" s="3">
        <f t="shared" si="187"/>
        <v>78989</v>
      </c>
      <c r="B4001" t="str">
        <f ca="1">TEXT(DATE(YEAR(Invoer!$A$5),1,1)+INT((ROWS(B$2:B4001)-1)/24),"""18""jjmmdd")</f>
        <v>18980616</v>
      </c>
      <c r="C4001" s="11" t="str">
        <f>INDEX(Data,2,2+MOD(ROWS(C$2:C4001)-1,24))</f>
        <v>16.00</v>
      </c>
      <c r="D4001" s="8" t="str">
        <f t="shared" ca="1" si="188"/>
        <v>—</v>
      </c>
      <c r="E4001" s="16">
        <f t="shared" ca="1" si="189"/>
        <v>7</v>
      </c>
    </row>
    <row r="4002" spans="1:5" x14ac:dyDescent="0.25">
      <c r="A4002" s="3">
        <f t="shared" si="187"/>
        <v>78989</v>
      </c>
      <c r="B4002" t="str">
        <f ca="1">TEXT(DATE(YEAR(Invoer!$A$5),1,1)+INT((ROWS(B$2:B4002)-1)/24),"""18""jjmmdd")</f>
        <v>18980616</v>
      </c>
      <c r="C4002" s="11" t="str">
        <f>INDEX(Data,2,2+MOD(ROWS(C$2:C4002)-1,24))</f>
        <v>17.00</v>
      </c>
      <c r="D4002" s="8" t="str">
        <f t="shared" ca="1" si="188"/>
        <v>—</v>
      </c>
      <c r="E4002" s="16">
        <f t="shared" ca="1" si="189"/>
        <v>7</v>
      </c>
    </row>
    <row r="4003" spans="1:5" x14ac:dyDescent="0.25">
      <c r="A4003" s="3">
        <f t="shared" si="187"/>
        <v>78989</v>
      </c>
      <c r="B4003" t="str">
        <f ca="1">TEXT(DATE(YEAR(Invoer!$A$5),1,1)+INT((ROWS(B$2:B4003)-1)/24),"""18""jjmmdd")</f>
        <v>18980616</v>
      </c>
      <c r="C4003" s="11" t="str">
        <f>INDEX(Data,2,2+MOD(ROWS(C$2:C4003)-1,24))</f>
        <v>18.00</v>
      </c>
      <c r="D4003" s="8" t="str">
        <f t="shared" ca="1" si="188"/>
        <v>—</v>
      </c>
      <c r="E4003" s="16">
        <f t="shared" ca="1" si="189"/>
        <v>7</v>
      </c>
    </row>
    <row r="4004" spans="1:5" x14ac:dyDescent="0.25">
      <c r="A4004" s="3">
        <f t="shared" si="187"/>
        <v>78989</v>
      </c>
      <c r="B4004" t="str">
        <f ca="1">TEXT(DATE(YEAR(Invoer!$A$5),1,1)+INT((ROWS(B$2:B4004)-1)/24),"""18""jjmmdd")</f>
        <v>18980616</v>
      </c>
      <c r="C4004" s="11" t="str">
        <f>INDEX(Data,2,2+MOD(ROWS(C$2:C4004)-1,24))</f>
        <v>19.00</v>
      </c>
      <c r="D4004" s="8" t="str">
        <f t="shared" ca="1" si="188"/>
        <v>—</v>
      </c>
      <c r="E4004" s="16">
        <f t="shared" ca="1" si="189"/>
        <v>7</v>
      </c>
    </row>
    <row r="4005" spans="1:5" x14ac:dyDescent="0.25">
      <c r="A4005" s="3">
        <f t="shared" si="187"/>
        <v>78989</v>
      </c>
      <c r="B4005" t="str">
        <f ca="1">TEXT(DATE(YEAR(Invoer!$A$5),1,1)+INT((ROWS(B$2:B4005)-1)/24),"""18""jjmmdd")</f>
        <v>18980616</v>
      </c>
      <c r="C4005" s="11" t="str">
        <f>INDEX(Data,2,2+MOD(ROWS(C$2:C4005)-1,24))</f>
        <v>20.00</v>
      </c>
      <c r="D4005" s="8" t="str">
        <f t="shared" ca="1" si="188"/>
        <v>—</v>
      </c>
      <c r="E4005" s="16">
        <f t="shared" ca="1" si="189"/>
        <v>7</v>
      </c>
    </row>
    <row r="4006" spans="1:5" x14ac:dyDescent="0.25">
      <c r="A4006" s="3">
        <f t="shared" si="187"/>
        <v>78989</v>
      </c>
      <c r="B4006" t="str">
        <f ca="1">TEXT(DATE(YEAR(Invoer!$A$5),1,1)+INT((ROWS(B$2:B4006)-1)/24),"""18""jjmmdd")</f>
        <v>18980616</v>
      </c>
      <c r="C4006" s="11" t="str">
        <f>INDEX(Data,2,2+MOD(ROWS(C$2:C4006)-1,24))</f>
        <v>21.00</v>
      </c>
      <c r="D4006" s="8" t="str">
        <f t="shared" ca="1" si="188"/>
        <v>—</v>
      </c>
      <c r="E4006" s="16">
        <f t="shared" ca="1" si="189"/>
        <v>7</v>
      </c>
    </row>
    <row r="4007" spans="1:5" x14ac:dyDescent="0.25">
      <c r="A4007" s="3">
        <f t="shared" si="187"/>
        <v>78989</v>
      </c>
      <c r="B4007" t="str">
        <f ca="1">TEXT(DATE(YEAR(Invoer!$A$5),1,1)+INT((ROWS(B$2:B4007)-1)/24),"""18""jjmmdd")</f>
        <v>18980616</v>
      </c>
      <c r="C4007" s="11" t="str">
        <f>INDEX(Data,2,2+MOD(ROWS(C$2:C4007)-1,24))</f>
        <v>22.00</v>
      </c>
      <c r="D4007" s="8" t="str">
        <f t="shared" ca="1" si="188"/>
        <v>—</v>
      </c>
      <c r="E4007" s="16">
        <f t="shared" ca="1" si="189"/>
        <v>7</v>
      </c>
    </row>
    <row r="4008" spans="1:5" x14ac:dyDescent="0.25">
      <c r="A4008" s="3">
        <f t="shared" si="187"/>
        <v>78989</v>
      </c>
      <c r="B4008" t="str">
        <f ca="1">TEXT(DATE(YEAR(Invoer!$A$5),1,1)+INT((ROWS(B$2:B4008)-1)/24),"""18""jjmmdd")</f>
        <v>18980616</v>
      </c>
      <c r="C4008" s="11" t="str">
        <f>INDEX(Data,2,2+MOD(ROWS(C$2:C4008)-1,24))</f>
        <v>23.00</v>
      </c>
      <c r="D4008" s="8" t="str">
        <f t="shared" ca="1" si="188"/>
        <v>—</v>
      </c>
      <c r="E4008" s="16">
        <f t="shared" ca="1" si="189"/>
        <v>7</v>
      </c>
    </row>
    <row r="4009" spans="1:5" x14ac:dyDescent="0.25">
      <c r="A4009" s="3">
        <f t="shared" si="187"/>
        <v>78989</v>
      </c>
      <c r="B4009" t="str">
        <f ca="1">TEXT(DATE(YEAR(Invoer!$A$5),1,1)+INT((ROWS(B$2:B4009)-1)/24),"""18""jjmmdd")</f>
        <v>18980616</v>
      </c>
      <c r="C4009" s="11" t="str">
        <f>INDEX(Data,2,2+MOD(ROWS(C$2:C4009)-1,24))</f>
        <v>24.00</v>
      </c>
      <c r="D4009" s="8" t="str">
        <f t="shared" ca="1" si="188"/>
        <v>—</v>
      </c>
      <c r="E4009" s="16">
        <f t="shared" ca="1" si="189"/>
        <v>7</v>
      </c>
    </row>
    <row r="4010" spans="1:5" x14ac:dyDescent="0.25">
      <c r="A4010" s="3">
        <f t="shared" si="187"/>
        <v>78989</v>
      </c>
      <c r="B4010" t="str">
        <f ca="1">TEXT(DATE(YEAR(Invoer!$A$5),1,1)+INT((ROWS(B$2:B4010)-1)/24),"""18""jjmmdd")</f>
        <v>18980617</v>
      </c>
      <c r="C4010" s="11" t="str">
        <f>INDEX(Data,2,2+MOD(ROWS(C$2:C4010)-1,24))</f>
        <v>01.00</v>
      </c>
      <c r="D4010" s="8" t="str">
        <f t="shared" ca="1" si="188"/>
        <v>—</v>
      </c>
      <c r="E4010" s="16">
        <f t="shared" ca="1" si="189"/>
        <v>7</v>
      </c>
    </row>
    <row r="4011" spans="1:5" x14ac:dyDescent="0.25">
      <c r="A4011" s="3">
        <f t="shared" si="187"/>
        <v>78989</v>
      </c>
      <c r="B4011" t="str">
        <f ca="1">TEXT(DATE(YEAR(Invoer!$A$5),1,1)+INT((ROWS(B$2:B4011)-1)/24),"""18""jjmmdd")</f>
        <v>18980617</v>
      </c>
      <c r="C4011" s="11" t="str">
        <f>INDEX(Data,2,2+MOD(ROWS(C$2:C4011)-1,24))</f>
        <v>02.00</v>
      </c>
      <c r="D4011" s="8" t="str">
        <f t="shared" ca="1" si="188"/>
        <v>—</v>
      </c>
      <c r="E4011" s="16">
        <f t="shared" ca="1" si="189"/>
        <v>7</v>
      </c>
    </row>
    <row r="4012" spans="1:5" x14ac:dyDescent="0.25">
      <c r="A4012" s="3">
        <f t="shared" si="187"/>
        <v>78989</v>
      </c>
      <c r="B4012" t="str">
        <f ca="1">TEXT(DATE(YEAR(Invoer!$A$5),1,1)+INT((ROWS(B$2:B4012)-1)/24),"""18""jjmmdd")</f>
        <v>18980617</v>
      </c>
      <c r="C4012" s="11" t="str">
        <f>INDEX(Data,2,2+MOD(ROWS(C$2:C4012)-1,24))</f>
        <v>03.00</v>
      </c>
      <c r="D4012" s="8" t="str">
        <f t="shared" ca="1" si="188"/>
        <v>—</v>
      </c>
      <c r="E4012" s="16">
        <f t="shared" ca="1" si="189"/>
        <v>7</v>
      </c>
    </row>
    <row r="4013" spans="1:5" x14ac:dyDescent="0.25">
      <c r="A4013" s="3">
        <f t="shared" si="187"/>
        <v>78989</v>
      </c>
      <c r="B4013" t="str">
        <f ca="1">TEXT(DATE(YEAR(Invoer!$A$5),1,1)+INT((ROWS(B$2:B4013)-1)/24),"""18""jjmmdd")</f>
        <v>18980617</v>
      </c>
      <c r="C4013" s="11" t="str">
        <f>INDEX(Data,2,2+MOD(ROWS(C$2:C4013)-1,24))</f>
        <v>04.00</v>
      </c>
      <c r="D4013" s="8" t="str">
        <f t="shared" ca="1" si="188"/>
        <v>—</v>
      </c>
      <c r="E4013" s="16">
        <f t="shared" ca="1" si="189"/>
        <v>7</v>
      </c>
    </row>
    <row r="4014" spans="1:5" x14ac:dyDescent="0.25">
      <c r="A4014" s="3">
        <f t="shared" si="187"/>
        <v>78989</v>
      </c>
      <c r="B4014" t="str">
        <f ca="1">TEXT(DATE(YEAR(Invoer!$A$5),1,1)+INT((ROWS(B$2:B4014)-1)/24),"""18""jjmmdd")</f>
        <v>18980617</v>
      </c>
      <c r="C4014" s="11" t="str">
        <f>INDEX(Data,2,2+MOD(ROWS(C$2:C4014)-1,24))</f>
        <v>05.00</v>
      </c>
      <c r="D4014" s="8" t="str">
        <f t="shared" ca="1" si="188"/>
        <v>—</v>
      </c>
      <c r="E4014" s="16">
        <f t="shared" ca="1" si="189"/>
        <v>7</v>
      </c>
    </row>
    <row r="4015" spans="1:5" x14ac:dyDescent="0.25">
      <c r="A4015" s="3">
        <f t="shared" si="187"/>
        <v>78989</v>
      </c>
      <c r="B4015" t="str">
        <f ca="1">TEXT(DATE(YEAR(Invoer!$A$5),1,1)+INT((ROWS(B$2:B4015)-1)/24),"""18""jjmmdd")</f>
        <v>18980617</v>
      </c>
      <c r="C4015" s="11" t="str">
        <f>INDEX(Data,2,2+MOD(ROWS(C$2:C4015)-1,24))</f>
        <v>06.00</v>
      </c>
      <c r="D4015" s="8" t="str">
        <f t="shared" ca="1" si="188"/>
        <v>—</v>
      </c>
      <c r="E4015" s="16">
        <f t="shared" ca="1" si="189"/>
        <v>7</v>
      </c>
    </row>
    <row r="4016" spans="1:5" x14ac:dyDescent="0.25">
      <c r="A4016" s="3">
        <f t="shared" si="187"/>
        <v>78989</v>
      </c>
      <c r="B4016" t="str">
        <f ca="1">TEXT(DATE(YEAR(Invoer!$A$5),1,1)+INT((ROWS(B$2:B4016)-1)/24),"""18""jjmmdd")</f>
        <v>18980617</v>
      </c>
      <c r="C4016" s="11" t="str">
        <f>INDEX(Data,2,2+MOD(ROWS(C$2:C4016)-1,24))</f>
        <v>07.00</v>
      </c>
      <c r="D4016" s="8" t="str">
        <f t="shared" ca="1" si="188"/>
        <v>—</v>
      </c>
      <c r="E4016" s="16">
        <f t="shared" ca="1" si="189"/>
        <v>7</v>
      </c>
    </row>
    <row r="4017" spans="1:5" x14ac:dyDescent="0.25">
      <c r="A4017" s="3">
        <f t="shared" si="187"/>
        <v>78989</v>
      </c>
      <c r="B4017" t="str">
        <f ca="1">TEXT(DATE(YEAR(Invoer!$A$5),1,1)+INT((ROWS(B$2:B4017)-1)/24),"""18""jjmmdd")</f>
        <v>18980617</v>
      </c>
      <c r="C4017" s="11" t="str">
        <f>INDEX(Data,2,2+MOD(ROWS(C$2:C4017)-1,24))</f>
        <v>08.00</v>
      </c>
      <c r="D4017" s="8" t="str">
        <f t="shared" ca="1" si="188"/>
        <v>—</v>
      </c>
      <c r="E4017" s="16">
        <f t="shared" ca="1" si="189"/>
        <v>7</v>
      </c>
    </row>
    <row r="4018" spans="1:5" x14ac:dyDescent="0.25">
      <c r="A4018" s="3">
        <f t="shared" si="187"/>
        <v>78989</v>
      </c>
      <c r="B4018" t="str">
        <f ca="1">TEXT(DATE(YEAR(Invoer!$A$5),1,1)+INT((ROWS(B$2:B4018)-1)/24),"""18""jjmmdd")</f>
        <v>18980617</v>
      </c>
      <c r="C4018" s="11" t="str">
        <f>INDEX(Data,2,2+MOD(ROWS(C$2:C4018)-1,24))</f>
        <v>09.00</v>
      </c>
      <c r="D4018" s="8" t="str">
        <f t="shared" ca="1" si="188"/>
        <v>—</v>
      </c>
      <c r="E4018" s="16">
        <f t="shared" ca="1" si="189"/>
        <v>7</v>
      </c>
    </row>
    <row r="4019" spans="1:5" x14ac:dyDescent="0.25">
      <c r="A4019" s="3">
        <f t="shared" si="187"/>
        <v>78989</v>
      </c>
      <c r="B4019" t="str">
        <f ca="1">TEXT(DATE(YEAR(Invoer!$A$5),1,1)+INT((ROWS(B$2:B4019)-1)/24),"""18""jjmmdd")</f>
        <v>18980617</v>
      </c>
      <c r="C4019" s="11" t="str">
        <f>INDEX(Data,2,2+MOD(ROWS(C$2:C4019)-1,24))</f>
        <v>10.00</v>
      </c>
      <c r="D4019" s="8" t="str">
        <f t="shared" ca="1" si="188"/>
        <v>—</v>
      </c>
      <c r="E4019" s="16">
        <f t="shared" ca="1" si="189"/>
        <v>7</v>
      </c>
    </row>
    <row r="4020" spans="1:5" x14ac:dyDescent="0.25">
      <c r="A4020" s="3">
        <f t="shared" si="187"/>
        <v>78989</v>
      </c>
      <c r="B4020" t="str">
        <f ca="1">TEXT(DATE(YEAR(Invoer!$A$5),1,1)+INT((ROWS(B$2:B4020)-1)/24),"""18""jjmmdd")</f>
        <v>18980617</v>
      </c>
      <c r="C4020" s="11" t="str">
        <f>INDEX(Data,2,2+MOD(ROWS(C$2:C4020)-1,24))</f>
        <v>11.00</v>
      </c>
      <c r="D4020" s="8" t="str">
        <f t="shared" ca="1" si="188"/>
        <v>—</v>
      </c>
      <c r="E4020" s="16">
        <f t="shared" ca="1" si="189"/>
        <v>7</v>
      </c>
    </row>
    <row r="4021" spans="1:5" x14ac:dyDescent="0.25">
      <c r="A4021" s="3">
        <f t="shared" si="187"/>
        <v>78989</v>
      </c>
      <c r="B4021" t="str">
        <f ca="1">TEXT(DATE(YEAR(Invoer!$A$5),1,1)+INT((ROWS(B$2:B4021)-1)/24),"""18""jjmmdd")</f>
        <v>18980617</v>
      </c>
      <c r="C4021" s="11" t="str">
        <f>INDEX(Data,2,2+MOD(ROWS(C$2:C4021)-1,24))</f>
        <v>12.00</v>
      </c>
      <c r="D4021" s="8" t="str">
        <f t="shared" ca="1" si="188"/>
        <v>—</v>
      </c>
      <c r="E4021" s="16">
        <f t="shared" ca="1" si="189"/>
        <v>7</v>
      </c>
    </row>
    <row r="4022" spans="1:5" x14ac:dyDescent="0.25">
      <c r="A4022" s="3">
        <f t="shared" si="187"/>
        <v>78989</v>
      </c>
      <c r="B4022" t="str">
        <f ca="1">TEXT(DATE(YEAR(Invoer!$A$5),1,1)+INT((ROWS(B$2:B4022)-1)/24),"""18""jjmmdd")</f>
        <v>18980617</v>
      </c>
      <c r="C4022" s="11" t="str">
        <f>INDEX(Data,2,2+MOD(ROWS(C$2:C4022)-1,24))</f>
        <v>13.00</v>
      </c>
      <c r="D4022" s="8" t="str">
        <f t="shared" ca="1" si="188"/>
        <v>—</v>
      </c>
      <c r="E4022" s="16">
        <f t="shared" ca="1" si="189"/>
        <v>7</v>
      </c>
    </row>
    <row r="4023" spans="1:5" x14ac:dyDescent="0.25">
      <c r="A4023" s="3">
        <f t="shared" si="187"/>
        <v>78989</v>
      </c>
      <c r="B4023" t="str">
        <f ca="1">TEXT(DATE(YEAR(Invoer!$A$5),1,1)+INT((ROWS(B$2:B4023)-1)/24),"""18""jjmmdd")</f>
        <v>18980617</v>
      </c>
      <c r="C4023" s="11" t="str">
        <f>INDEX(Data,2,2+MOD(ROWS(C$2:C4023)-1,24))</f>
        <v>14.00</v>
      </c>
      <c r="D4023" s="8" t="str">
        <f t="shared" ca="1" si="188"/>
        <v>—</v>
      </c>
      <c r="E4023" s="16">
        <f t="shared" ca="1" si="189"/>
        <v>7</v>
      </c>
    </row>
    <row r="4024" spans="1:5" x14ac:dyDescent="0.25">
      <c r="A4024" s="3">
        <f t="shared" si="187"/>
        <v>78989</v>
      </c>
      <c r="B4024" t="str">
        <f ca="1">TEXT(DATE(YEAR(Invoer!$A$5),1,1)+INT((ROWS(B$2:B4024)-1)/24),"""18""jjmmdd")</f>
        <v>18980617</v>
      </c>
      <c r="C4024" s="11" t="str">
        <f>INDEX(Data,2,2+MOD(ROWS(C$2:C4024)-1,24))</f>
        <v>15.00</v>
      </c>
      <c r="D4024" s="8" t="str">
        <f t="shared" ca="1" si="188"/>
        <v>—</v>
      </c>
      <c r="E4024" s="16">
        <f t="shared" ca="1" si="189"/>
        <v>7</v>
      </c>
    </row>
    <row r="4025" spans="1:5" x14ac:dyDescent="0.25">
      <c r="A4025" s="3">
        <f t="shared" si="187"/>
        <v>78989</v>
      </c>
      <c r="B4025" t="str">
        <f ca="1">TEXT(DATE(YEAR(Invoer!$A$5),1,1)+INT((ROWS(B$2:B4025)-1)/24),"""18""jjmmdd")</f>
        <v>18980617</v>
      </c>
      <c r="C4025" s="11" t="str">
        <f>INDEX(Data,2,2+MOD(ROWS(C$2:C4025)-1,24))</f>
        <v>16.00</v>
      </c>
      <c r="D4025" s="8" t="str">
        <f t="shared" ca="1" si="188"/>
        <v>—</v>
      </c>
      <c r="E4025" s="16">
        <f t="shared" ca="1" si="189"/>
        <v>7</v>
      </c>
    </row>
    <row r="4026" spans="1:5" x14ac:dyDescent="0.25">
      <c r="A4026" s="3">
        <f t="shared" si="187"/>
        <v>78989</v>
      </c>
      <c r="B4026" t="str">
        <f ca="1">TEXT(DATE(YEAR(Invoer!$A$5),1,1)+INT((ROWS(B$2:B4026)-1)/24),"""18""jjmmdd")</f>
        <v>18980617</v>
      </c>
      <c r="C4026" s="11" t="str">
        <f>INDEX(Data,2,2+MOD(ROWS(C$2:C4026)-1,24))</f>
        <v>17.00</v>
      </c>
      <c r="D4026" s="8" t="str">
        <f t="shared" ca="1" si="188"/>
        <v>—</v>
      </c>
      <c r="E4026" s="16">
        <f t="shared" ca="1" si="189"/>
        <v>7</v>
      </c>
    </row>
    <row r="4027" spans="1:5" x14ac:dyDescent="0.25">
      <c r="A4027" s="3">
        <f t="shared" si="187"/>
        <v>78989</v>
      </c>
      <c r="B4027" t="str">
        <f ca="1">TEXT(DATE(YEAR(Invoer!$A$5),1,1)+INT((ROWS(B$2:B4027)-1)/24),"""18""jjmmdd")</f>
        <v>18980617</v>
      </c>
      <c r="C4027" s="11" t="str">
        <f>INDEX(Data,2,2+MOD(ROWS(C$2:C4027)-1,24))</f>
        <v>18.00</v>
      </c>
      <c r="D4027" s="8" t="str">
        <f t="shared" ca="1" si="188"/>
        <v>—</v>
      </c>
      <c r="E4027" s="16">
        <f t="shared" ca="1" si="189"/>
        <v>7</v>
      </c>
    </row>
    <row r="4028" spans="1:5" x14ac:dyDescent="0.25">
      <c r="A4028" s="3">
        <f t="shared" si="187"/>
        <v>78989</v>
      </c>
      <c r="B4028" t="str">
        <f ca="1">TEXT(DATE(YEAR(Invoer!$A$5),1,1)+INT((ROWS(B$2:B4028)-1)/24),"""18""jjmmdd")</f>
        <v>18980617</v>
      </c>
      <c r="C4028" s="11" t="str">
        <f>INDEX(Data,2,2+MOD(ROWS(C$2:C4028)-1,24))</f>
        <v>19.00</v>
      </c>
      <c r="D4028" s="8" t="str">
        <f t="shared" ca="1" si="188"/>
        <v>—</v>
      </c>
      <c r="E4028" s="16">
        <f t="shared" ca="1" si="189"/>
        <v>7</v>
      </c>
    </row>
    <row r="4029" spans="1:5" x14ac:dyDescent="0.25">
      <c r="A4029" s="3">
        <f t="shared" si="187"/>
        <v>78989</v>
      </c>
      <c r="B4029" t="str">
        <f ca="1">TEXT(DATE(YEAR(Invoer!$A$5),1,1)+INT((ROWS(B$2:B4029)-1)/24),"""18""jjmmdd")</f>
        <v>18980617</v>
      </c>
      <c r="C4029" s="11" t="str">
        <f>INDEX(Data,2,2+MOD(ROWS(C$2:C4029)-1,24))</f>
        <v>20.00</v>
      </c>
      <c r="D4029" s="8" t="str">
        <f t="shared" ca="1" si="188"/>
        <v>—</v>
      </c>
      <c r="E4029" s="16">
        <f t="shared" ca="1" si="189"/>
        <v>7</v>
      </c>
    </row>
    <row r="4030" spans="1:5" x14ac:dyDescent="0.25">
      <c r="A4030" s="3">
        <f t="shared" si="187"/>
        <v>78989</v>
      </c>
      <c r="B4030" t="str">
        <f ca="1">TEXT(DATE(YEAR(Invoer!$A$5),1,1)+INT((ROWS(B$2:B4030)-1)/24),"""18""jjmmdd")</f>
        <v>18980617</v>
      </c>
      <c r="C4030" s="11" t="str">
        <f>INDEX(Data,2,2+MOD(ROWS(C$2:C4030)-1,24))</f>
        <v>21.00</v>
      </c>
      <c r="D4030" s="8" t="str">
        <f t="shared" ca="1" si="188"/>
        <v>—</v>
      </c>
      <c r="E4030" s="16">
        <f t="shared" ca="1" si="189"/>
        <v>7</v>
      </c>
    </row>
    <row r="4031" spans="1:5" x14ac:dyDescent="0.25">
      <c r="A4031" s="3">
        <f t="shared" si="187"/>
        <v>78989</v>
      </c>
      <c r="B4031" t="str">
        <f ca="1">TEXT(DATE(YEAR(Invoer!$A$5),1,1)+INT((ROWS(B$2:B4031)-1)/24),"""18""jjmmdd")</f>
        <v>18980617</v>
      </c>
      <c r="C4031" s="11" t="str">
        <f>INDEX(Data,2,2+MOD(ROWS(C$2:C4031)-1,24))</f>
        <v>22.00</v>
      </c>
      <c r="D4031" s="8" t="str">
        <f t="shared" ca="1" si="188"/>
        <v>—</v>
      </c>
      <c r="E4031" s="16">
        <f t="shared" ca="1" si="189"/>
        <v>7</v>
      </c>
    </row>
    <row r="4032" spans="1:5" x14ac:dyDescent="0.25">
      <c r="A4032" s="3">
        <f t="shared" si="187"/>
        <v>78989</v>
      </c>
      <c r="B4032" t="str">
        <f ca="1">TEXT(DATE(YEAR(Invoer!$A$5),1,1)+INT((ROWS(B$2:B4032)-1)/24),"""18""jjmmdd")</f>
        <v>18980617</v>
      </c>
      <c r="C4032" s="11" t="str">
        <f>INDEX(Data,2,2+MOD(ROWS(C$2:C4032)-1,24))</f>
        <v>23.00</v>
      </c>
      <c r="D4032" s="8" t="str">
        <f t="shared" ca="1" si="188"/>
        <v>—</v>
      </c>
      <c r="E4032" s="16">
        <f t="shared" ca="1" si="189"/>
        <v>7</v>
      </c>
    </row>
    <row r="4033" spans="1:5" x14ac:dyDescent="0.25">
      <c r="A4033" s="3">
        <f t="shared" si="187"/>
        <v>78989</v>
      </c>
      <c r="B4033" t="str">
        <f ca="1">TEXT(DATE(YEAR(Invoer!$A$5),1,1)+INT((ROWS(B$2:B4033)-1)/24),"""18""jjmmdd")</f>
        <v>18980617</v>
      </c>
      <c r="C4033" s="11" t="str">
        <f>INDEX(Data,2,2+MOD(ROWS(C$2:C4033)-1,24))</f>
        <v>24.00</v>
      </c>
      <c r="D4033" s="8" t="str">
        <f t="shared" ca="1" si="188"/>
        <v>—</v>
      </c>
      <c r="E4033" s="16">
        <f t="shared" ca="1" si="189"/>
        <v>7</v>
      </c>
    </row>
    <row r="4034" spans="1:5" x14ac:dyDescent="0.25">
      <c r="A4034" s="3">
        <f t="shared" ref="A4034:A4097" si="190">INDEX(Stations,2,1)</f>
        <v>78989</v>
      </c>
      <c r="B4034" t="str">
        <f ca="1">TEXT(DATE(YEAR(Invoer!$A$5),1,1)+INT((ROWS(B$2:B4034)-1)/24),"""18""jjmmdd")</f>
        <v>18980618</v>
      </c>
      <c r="C4034" s="11" t="str">
        <f>INDEX(Data,2,2+MOD(ROWS(C$2:C4034)-1,24))</f>
        <v>01.00</v>
      </c>
      <c r="D4034" s="8" t="str">
        <f t="shared" ref="D4034:D4097" ca="1" si="191">IF(OR(ISBLANK(VLOOKUP(DATEVALUE("37"&amp;MID($B4034,3,2)&amp;"-"&amp;MID($B4034,5,2)&amp;"-"&amp;RIGHT($B4034,2)),Data,MATCH(LEFT(VLOOKUP(D$1,Parameters,2,FALSE()),4)&amp;"*",OFFSET(Data,0,0,1),0)+MATCH($C4034,OFFSET(Data,1,0,1),0)-2,FALSE())),ISTEXT(VLOOKUP(DATEVALUE("37"&amp;MID($B4034,3,2)&amp;"-"&amp;MID($B4034,5,2)&amp;"-"&amp;RIGHT($B4034,2)),Data,MATCH(LEFT(VLOOKUP(D$1,Parameters,2,FALSE()),4)&amp;"*",OFFSET(Data,0,0,1),0)+MATCH($C4034,OFFSET(Data,1,0,1),0)-2,FALSE()))),"—",VLOOKUP(DATEVALUE("37"&amp;MID($B4034,3,2)&amp;"-"&amp;MID($B4034,5,2)&amp;"-"&amp;RIGHT($B4034,2)),Data,MATCH(LEFT(VLOOKUP(D$1,Parameters,2,FALSE()),4)&amp;"*",OFFSET(Data,0,0,1),0)+MATCH($C4034,OFFSET(Data,1,0,1),0)-2,FALSE()))</f>
        <v>—</v>
      </c>
      <c r="E4034" s="16">
        <f t="shared" ca="1" si="189"/>
        <v>7</v>
      </c>
    </row>
    <row r="4035" spans="1:5" x14ac:dyDescent="0.25">
      <c r="A4035" s="3">
        <f t="shared" si="190"/>
        <v>78989</v>
      </c>
      <c r="B4035" t="str">
        <f ca="1">TEXT(DATE(YEAR(Invoer!$A$5),1,1)+INT((ROWS(B$2:B4035)-1)/24),"""18""jjmmdd")</f>
        <v>18980618</v>
      </c>
      <c r="C4035" s="11" t="str">
        <f>INDEX(Data,2,2+MOD(ROWS(C$2:C4035)-1,24))</f>
        <v>02.00</v>
      </c>
      <c r="D4035" s="8" t="str">
        <f t="shared" ca="1" si="191"/>
        <v>—</v>
      </c>
      <c r="E4035" s="16">
        <f t="shared" ref="E4035:E4098" ca="1" si="192">IF(OR(ISBLANK(VLOOKUP(DATEVALUE("37"&amp;MID($B4035,3,2)&amp;"-"&amp;MID($B4035,5,2)&amp;"-"&amp;RIGHT($B4035,2)),Data,MATCH(LEFT(VLOOKUP(D$1,Parameters,2,FALSE()),4)&amp;"*",OFFSET(Data,0,0,1),0)+MATCH($C4035,OFFSET(Data,1,0,1),0)-2,FALSE())),ISTEXT(VLOOKUP(DATEVALUE("37"&amp;MID($B4035,3,2)&amp;"-"&amp;MID($B4035,5,2)&amp;"-"&amp;RIGHT($B4035,2)),Data,MATCH(LEFT(VLOOKUP(D$1,Parameters,2,FALSE()),4)&amp;"*",OFFSET(Data,0,0,1),0)+MATCH($C4035,OFFSET(Data,1,0,1),0)-2,FALSE()))),Lacking,IF(ISNA(MATCH(DATEVALUE("37"&amp;MID($B4035,3,2)&amp;"-"&amp;MID($B4035,5,2)&amp;"-"&amp;RIGHT($B4035,2)),OFFSET(Catalogus,0,0,,1),0)),Ok,VLOOKUP(DATEVALUE("37"&amp;MID($B4035,3,2)&amp;"-"&amp;MID($B4035,5,2)&amp;"-"&amp;RIGHT($B4035,2)),Catalogus,MATCH(LEFT(VLOOKUP(MID(E$1,2,LEN(E$1)-1),Parameters,2,FALSE()),4)&amp;"*",OFFSET(Catalogus,0,0,1),0)+MATCH($C4035,OFFSET(Catalogus,1,0,1),0)-2,FALSE())))</f>
        <v>7</v>
      </c>
    </row>
    <row r="4036" spans="1:5" x14ac:dyDescent="0.25">
      <c r="A4036" s="3">
        <f t="shared" si="190"/>
        <v>78989</v>
      </c>
      <c r="B4036" t="str">
        <f ca="1">TEXT(DATE(YEAR(Invoer!$A$5),1,1)+INT((ROWS(B$2:B4036)-1)/24),"""18""jjmmdd")</f>
        <v>18980618</v>
      </c>
      <c r="C4036" s="11" t="str">
        <f>INDEX(Data,2,2+MOD(ROWS(C$2:C4036)-1,24))</f>
        <v>03.00</v>
      </c>
      <c r="D4036" s="8" t="str">
        <f t="shared" ca="1" si="191"/>
        <v>—</v>
      </c>
      <c r="E4036" s="16">
        <f t="shared" ca="1" si="192"/>
        <v>7</v>
      </c>
    </row>
    <row r="4037" spans="1:5" x14ac:dyDescent="0.25">
      <c r="A4037" s="3">
        <f t="shared" si="190"/>
        <v>78989</v>
      </c>
      <c r="B4037" t="str">
        <f ca="1">TEXT(DATE(YEAR(Invoer!$A$5),1,1)+INT((ROWS(B$2:B4037)-1)/24),"""18""jjmmdd")</f>
        <v>18980618</v>
      </c>
      <c r="C4037" s="11" t="str">
        <f>INDEX(Data,2,2+MOD(ROWS(C$2:C4037)-1,24))</f>
        <v>04.00</v>
      </c>
      <c r="D4037" s="8" t="str">
        <f t="shared" ca="1" si="191"/>
        <v>—</v>
      </c>
      <c r="E4037" s="16">
        <f t="shared" ca="1" si="192"/>
        <v>7</v>
      </c>
    </row>
    <row r="4038" spans="1:5" x14ac:dyDescent="0.25">
      <c r="A4038" s="3">
        <f t="shared" si="190"/>
        <v>78989</v>
      </c>
      <c r="B4038" t="str">
        <f ca="1">TEXT(DATE(YEAR(Invoer!$A$5),1,1)+INT((ROWS(B$2:B4038)-1)/24),"""18""jjmmdd")</f>
        <v>18980618</v>
      </c>
      <c r="C4038" s="11" t="str">
        <f>INDEX(Data,2,2+MOD(ROWS(C$2:C4038)-1,24))</f>
        <v>05.00</v>
      </c>
      <c r="D4038" s="8" t="str">
        <f t="shared" ca="1" si="191"/>
        <v>—</v>
      </c>
      <c r="E4038" s="16">
        <f t="shared" ca="1" si="192"/>
        <v>7</v>
      </c>
    </row>
    <row r="4039" spans="1:5" x14ac:dyDescent="0.25">
      <c r="A4039" s="3">
        <f t="shared" si="190"/>
        <v>78989</v>
      </c>
      <c r="B4039" t="str">
        <f ca="1">TEXT(DATE(YEAR(Invoer!$A$5),1,1)+INT((ROWS(B$2:B4039)-1)/24),"""18""jjmmdd")</f>
        <v>18980618</v>
      </c>
      <c r="C4039" s="11" t="str">
        <f>INDEX(Data,2,2+MOD(ROWS(C$2:C4039)-1,24))</f>
        <v>06.00</v>
      </c>
      <c r="D4039" s="8" t="str">
        <f t="shared" ca="1" si="191"/>
        <v>—</v>
      </c>
      <c r="E4039" s="16">
        <f t="shared" ca="1" si="192"/>
        <v>7</v>
      </c>
    </row>
    <row r="4040" spans="1:5" x14ac:dyDescent="0.25">
      <c r="A4040" s="3">
        <f t="shared" si="190"/>
        <v>78989</v>
      </c>
      <c r="B4040" t="str">
        <f ca="1">TEXT(DATE(YEAR(Invoer!$A$5),1,1)+INT((ROWS(B$2:B4040)-1)/24),"""18""jjmmdd")</f>
        <v>18980618</v>
      </c>
      <c r="C4040" s="11" t="str">
        <f>INDEX(Data,2,2+MOD(ROWS(C$2:C4040)-1,24))</f>
        <v>07.00</v>
      </c>
      <c r="D4040" s="8" t="str">
        <f t="shared" ca="1" si="191"/>
        <v>—</v>
      </c>
      <c r="E4040" s="16">
        <f t="shared" ca="1" si="192"/>
        <v>7</v>
      </c>
    </row>
    <row r="4041" spans="1:5" x14ac:dyDescent="0.25">
      <c r="A4041" s="3">
        <f t="shared" si="190"/>
        <v>78989</v>
      </c>
      <c r="B4041" t="str">
        <f ca="1">TEXT(DATE(YEAR(Invoer!$A$5),1,1)+INT((ROWS(B$2:B4041)-1)/24),"""18""jjmmdd")</f>
        <v>18980618</v>
      </c>
      <c r="C4041" s="11" t="str">
        <f>INDEX(Data,2,2+MOD(ROWS(C$2:C4041)-1,24))</f>
        <v>08.00</v>
      </c>
      <c r="D4041" s="8" t="str">
        <f t="shared" ca="1" si="191"/>
        <v>—</v>
      </c>
      <c r="E4041" s="16">
        <f t="shared" ca="1" si="192"/>
        <v>7</v>
      </c>
    </row>
    <row r="4042" spans="1:5" x14ac:dyDescent="0.25">
      <c r="A4042" s="3">
        <f t="shared" si="190"/>
        <v>78989</v>
      </c>
      <c r="B4042" t="str">
        <f ca="1">TEXT(DATE(YEAR(Invoer!$A$5),1,1)+INT((ROWS(B$2:B4042)-1)/24),"""18""jjmmdd")</f>
        <v>18980618</v>
      </c>
      <c r="C4042" s="11" t="str">
        <f>INDEX(Data,2,2+MOD(ROWS(C$2:C4042)-1,24))</f>
        <v>09.00</v>
      </c>
      <c r="D4042" s="8" t="str">
        <f t="shared" ca="1" si="191"/>
        <v>—</v>
      </c>
      <c r="E4042" s="16">
        <f t="shared" ca="1" si="192"/>
        <v>7</v>
      </c>
    </row>
    <row r="4043" spans="1:5" x14ac:dyDescent="0.25">
      <c r="A4043" s="3">
        <f t="shared" si="190"/>
        <v>78989</v>
      </c>
      <c r="B4043" t="str">
        <f ca="1">TEXT(DATE(YEAR(Invoer!$A$5),1,1)+INT((ROWS(B$2:B4043)-1)/24),"""18""jjmmdd")</f>
        <v>18980618</v>
      </c>
      <c r="C4043" s="11" t="str">
        <f>INDEX(Data,2,2+MOD(ROWS(C$2:C4043)-1,24))</f>
        <v>10.00</v>
      </c>
      <c r="D4043" s="8" t="str">
        <f t="shared" ca="1" si="191"/>
        <v>—</v>
      </c>
      <c r="E4043" s="16">
        <f t="shared" ca="1" si="192"/>
        <v>7</v>
      </c>
    </row>
    <row r="4044" spans="1:5" x14ac:dyDescent="0.25">
      <c r="A4044" s="3">
        <f t="shared" si="190"/>
        <v>78989</v>
      </c>
      <c r="B4044" t="str">
        <f ca="1">TEXT(DATE(YEAR(Invoer!$A$5),1,1)+INT((ROWS(B$2:B4044)-1)/24),"""18""jjmmdd")</f>
        <v>18980618</v>
      </c>
      <c r="C4044" s="11" t="str">
        <f>INDEX(Data,2,2+MOD(ROWS(C$2:C4044)-1,24))</f>
        <v>11.00</v>
      </c>
      <c r="D4044" s="8" t="str">
        <f t="shared" ca="1" si="191"/>
        <v>—</v>
      </c>
      <c r="E4044" s="16">
        <f t="shared" ca="1" si="192"/>
        <v>7</v>
      </c>
    </row>
    <row r="4045" spans="1:5" x14ac:dyDescent="0.25">
      <c r="A4045" s="3">
        <f t="shared" si="190"/>
        <v>78989</v>
      </c>
      <c r="B4045" t="str">
        <f ca="1">TEXT(DATE(YEAR(Invoer!$A$5),1,1)+INT((ROWS(B$2:B4045)-1)/24),"""18""jjmmdd")</f>
        <v>18980618</v>
      </c>
      <c r="C4045" s="11" t="str">
        <f>INDEX(Data,2,2+MOD(ROWS(C$2:C4045)-1,24))</f>
        <v>12.00</v>
      </c>
      <c r="D4045" s="8" t="str">
        <f t="shared" ca="1" si="191"/>
        <v>—</v>
      </c>
      <c r="E4045" s="16">
        <f t="shared" ca="1" si="192"/>
        <v>7</v>
      </c>
    </row>
    <row r="4046" spans="1:5" x14ac:dyDescent="0.25">
      <c r="A4046" s="3">
        <f t="shared" si="190"/>
        <v>78989</v>
      </c>
      <c r="B4046" t="str">
        <f ca="1">TEXT(DATE(YEAR(Invoer!$A$5),1,1)+INT((ROWS(B$2:B4046)-1)/24),"""18""jjmmdd")</f>
        <v>18980618</v>
      </c>
      <c r="C4046" s="11" t="str">
        <f>INDEX(Data,2,2+MOD(ROWS(C$2:C4046)-1,24))</f>
        <v>13.00</v>
      </c>
      <c r="D4046" s="8" t="str">
        <f t="shared" ca="1" si="191"/>
        <v>—</v>
      </c>
      <c r="E4046" s="16">
        <f t="shared" ca="1" si="192"/>
        <v>7</v>
      </c>
    </row>
    <row r="4047" spans="1:5" x14ac:dyDescent="0.25">
      <c r="A4047" s="3">
        <f t="shared" si="190"/>
        <v>78989</v>
      </c>
      <c r="B4047" t="str">
        <f ca="1">TEXT(DATE(YEAR(Invoer!$A$5),1,1)+INT((ROWS(B$2:B4047)-1)/24),"""18""jjmmdd")</f>
        <v>18980618</v>
      </c>
      <c r="C4047" s="11" t="str">
        <f>INDEX(Data,2,2+MOD(ROWS(C$2:C4047)-1,24))</f>
        <v>14.00</v>
      </c>
      <c r="D4047" s="8" t="str">
        <f t="shared" ca="1" si="191"/>
        <v>—</v>
      </c>
      <c r="E4047" s="16">
        <f t="shared" ca="1" si="192"/>
        <v>7</v>
      </c>
    </row>
    <row r="4048" spans="1:5" x14ac:dyDescent="0.25">
      <c r="A4048" s="3">
        <f t="shared" si="190"/>
        <v>78989</v>
      </c>
      <c r="B4048" t="str">
        <f ca="1">TEXT(DATE(YEAR(Invoer!$A$5),1,1)+INT((ROWS(B$2:B4048)-1)/24),"""18""jjmmdd")</f>
        <v>18980618</v>
      </c>
      <c r="C4048" s="11" t="str">
        <f>INDEX(Data,2,2+MOD(ROWS(C$2:C4048)-1,24))</f>
        <v>15.00</v>
      </c>
      <c r="D4048" s="8" t="str">
        <f t="shared" ca="1" si="191"/>
        <v>—</v>
      </c>
      <c r="E4048" s="16">
        <f t="shared" ca="1" si="192"/>
        <v>7</v>
      </c>
    </row>
    <row r="4049" spans="1:5" x14ac:dyDescent="0.25">
      <c r="A4049" s="3">
        <f t="shared" si="190"/>
        <v>78989</v>
      </c>
      <c r="B4049" t="str">
        <f ca="1">TEXT(DATE(YEAR(Invoer!$A$5),1,1)+INT((ROWS(B$2:B4049)-1)/24),"""18""jjmmdd")</f>
        <v>18980618</v>
      </c>
      <c r="C4049" s="11" t="str">
        <f>INDEX(Data,2,2+MOD(ROWS(C$2:C4049)-1,24))</f>
        <v>16.00</v>
      </c>
      <c r="D4049" s="8" t="str">
        <f t="shared" ca="1" si="191"/>
        <v>—</v>
      </c>
      <c r="E4049" s="16">
        <f t="shared" ca="1" si="192"/>
        <v>7</v>
      </c>
    </row>
    <row r="4050" spans="1:5" x14ac:dyDescent="0.25">
      <c r="A4050" s="3">
        <f t="shared" si="190"/>
        <v>78989</v>
      </c>
      <c r="B4050" t="str">
        <f ca="1">TEXT(DATE(YEAR(Invoer!$A$5),1,1)+INT((ROWS(B$2:B4050)-1)/24),"""18""jjmmdd")</f>
        <v>18980618</v>
      </c>
      <c r="C4050" s="11" t="str">
        <f>INDEX(Data,2,2+MOD(ROWS(C$2:C4050)-1,24))</f>
        <v>17.00</v>
      </c>
      <c r="D4050" s="8" t="str">
        <f t="shared" ca="1" si="191"/>
        <v>—</v>
      </c>
      <c r="E4050" s="16">
        <f t="shared" ca="1" si="192"/>
        <v>7</v>
      </c>
    </row>
    <row r="4051" spans="1:5" x14ac:dyDescent="0.25">
      <c r="A4051" s="3">
        <f t="shared" si="190"/>
        <v>78989</v>
      </c>
      <c r="B4051" t="str">
        <f ca="1">TEXT(DATE(YEAR(Invoer!$A$5),1,1)+INT((ROWS(B$2:B4051)-1)/24),"""18""jjmmdd")</f>
        <v>18980618</v>
      </c>
      <c r="C4051" s="11" t="str">
        <f>INDEX(Data,2,2+MOD(ROWS(C$2:C4051)-1,24))</f>
        <v>18.00</v>
      </c>
      <c r="D4051" s="8" t="str">
        <f t="shared" ca="1" si="191"/>
        <v>—</v>
      </c>
      <c r="E4051" s="16">
        <f t="shared" ca="1" si="192"/>
        <v>7</v>
      </c>
    </row>
    <row r="4052" spans="1:5" x14ac:dyDescent="0.25">
      <c r="A4052" s="3">
        <f t="shared" si="190"/>
        <v>78989</v>
      </c>
      <c r="B4052" t="str">
        <f ca="1">TEXT(DATE(YEAR(Invoer!$A$5),1,1)+INT((ROWS(B$2:B4052)-1)/24),"""18""jjmmdd")</f>
        <v>18980618</v>
      </c>
      <c r="C4052" s="11" t="str">
        <f>INDEX(Data,2,2+MOD(ROWS(C$2:C4052)-1,24))</f>
        <v>19.00</v>
      </c>
      <c r="D4052" s="8" t="str">
        <f t="shared" ca="1" si="191"/>
        <v>—</v>
      </c>
      <c r="E4052" s="16">
        <f t="shared" ca="1" si="192"/>
        <v>7</v>
      </c>
    </row>
    <row r="4053" spans="1:5" x14ac:dyDescent="0.25">
      <c r="A4053" s="3">
        <f t="shared" si="190"/>
        <v>78989</v>
      </c>
      <c r="B4053" t="str">
        <f ca="1">TEXT(DATE(YEAR(Invoer!$A$5),1,1)+INT((ROWS(B$2:B4053)-1)/24),"""18""jjmmdd")</f>
        <v>18980618</v>
      </c>
      <c r="C4053" s="11" t="str">
        <f>INDEX(Data,2,2+MOD(ROWS(C$2:C4053)-1,24))</f>
        <v>20.00</v>
      </c>
      <c r="D4053" s="8" t="str">
        <f t="shared" ca="1" si="191"/>
        <v>—</v>
      </c>
      <c r="E4053" s="16">
        <f t="shared" ca="1" si="192"/>
        <v>7</v>
      </c>
    </row>
    <row r="4054" spans="1:5" x14ac:dyDescent="0.25">
      <c r="A4054" s="3">
        <f t="shared" si="190"/>
        <v>78989</v>
      </c>
      <c r="B4054" t="str">
        <f ca="1">TEXT(DATE(YEAR(Invoer!$A$5),1,1)+INT((ROWS(B$2:B4054)-1)/24),"""18""jjmmdd")</f>
        <v>18980618</v>
      </c>
      <c r="C4054" s="11" t="str">
        <f>INDEX(Data,2,2+MOD(ROWS(C$2:C4054)-1,24))</f>
        <v>21.00</v>
      </c>
      <c r="D4054" s="8" t="str">
        <f t="shared" ca="1" si="191"/>
        <v>—</v>
      </c>
      <c r="E4054" s="16">
        <f t="shared" ca="1" si="192"/>
        <v>7</v>
      </c>
    </row>
    <row r="4055" spans="1:5" x14ac:dyDescent="0.25">
      <c r="A4055" s="3">
        <f t="shared" si="190"/>
        <v>78989</v>
      </c>
      <c r="B4055" t="str">
        <f ca="1">TEXT(DATE(YEAR(Invoer!$A$5),1,1)+INT((ROWS(B$2:B4055)-1)/24),"""18""jjmmdd")</f>
        <v>18980618</v>
      </c>
      <c r="C4055" s="11" t="str">
        <f>INDEX(Data,2,2+MOD(ROWS(C$2:C4055)-1,24))</f>
        <v>22.00</v>
      </c>
      <c r="D4055" s="8" t="str">
        <f t="shared" ca="1" si="191"/>
        <v>—</v>
      </c>
      <c r="E4055" s="16">
        <f t="shared" ca="1" si="192"/>
        <v>7</v>
      </c>
    </row>
    <row r="4056" spans="1:5" x14ac:dyDescent="0.25">
      <c r="A4056" s="3">
        <f t="shared" si="190"/>
        <v>78989</v>
      </c>
      <c r="B4056" t="str">
        <f ca="1">TEXT(DATE(YEAR(Invoer!$A$5),1,1)+INT((ROWS(B$2:B4056)-1)/24),"""18""jjmmdd")</f>
        <v>18980618</v>
      </c>
      <c r="C4056" s="11" t="str">
        <f>INDEX(Data,2,2+MOD(ROWS(C$2:C4056)-1,24))</f>
        <v>23.00</v>
      </c>
      <c r="D4056" s="8" t="str">
        <f t="shared" ca="1" si="191"/>
        <v>—</v>
      </c>
      <c r="E4056" s="16">
        <f t="shared" ca="1" si="192"/>
        <v>7</v>
      </c>
    </row>
    <row r="4057" spans="1:5" x14ac:dyDescent="0.25">
      <c r="A4057" s="3">
        <f t="shared" si="190"/>
        <v>78989</v>
      </c>
      <c r="B4057" t="str">
        <f ca="1">TEXT(DATE(YEAR(Invoer!$A$5),1,1)+INT((ROWS(B$2:B4057)-1)/24),"""18""jjmmdd")</f>
        <v>18980618</v>
      </c>
      <c r="C4057" s="11" t="str">
        <f>INDEX(Data,2,2+MOD(ROWS(C$2:C4057)-1,24))</f>
        <v>24.00</v>
      </c>
      <c r="D4057" s="8" t="str">
        <f t="shared" ca="1" si="191"/>
        <v>—</v>
      </c>
      <c r="E4057" s="16">
        <f t="shared" ca="1" si="192"/>
        <v>7</v>
      </c>
    </row>
    <row r="4058" spans="1:5" x14ac:dyDescent="0.25">
      <c r="A4058" s="3">
        <f t="shared" si="190"/>
        <v>78989</v>
      </c>
      <c r="B4058" t="str">
        <f ca="1">TEXT(DATE(YEAR(Invoer!$A$5),1,1)+INT((ROWS(B$2:B4058)-1)/24),"""18""jjmmdd")</f>
        <v>18980619</v>
      </c>
      <c r="C4058" s="11" t="str">
        <f>INDEX(Data,2,2+MOD(ROWS(C$2:C4058)-1,24))</f>
        <v>01.00</v>
      </c>
      <c r="D4058" s="8" t="str">
        <f t="shared" ca="1" si="191"/>
        <v>—</v>
      </c>
      <c r="E4058" s="16">
        <f t="shared" ca="1" si="192"/>
        <v>7</v>
      </c>
    </row>
    <row r="4059" spans="1:5" x14ac:dyDescent="0.25">
      <c r="A4059" s="3">
        <f t="shared" si="190"/>
        <v>78989</v>
      </c>
      <c r="B4059" t="str">
        <f ca="1">TEXT(DATE(YEAR(Invoer!$A$5),1,1)+INT((ROWS(B$2:B4059)-1)/24),"""18""jjmmdd")</f>
        <v>18980619</v>
      </c>
      <c r="C4059" s="11" t="str">
        <f>INDEX(Data,2,2+MOD(ROWS(C$2:C4059)-1,24))</f>
        <v>02.00</v>
      </c>
      <c r="D4059" s="8" t="str">
        <f t="shared" ca="1" si="191"/>
        <v>—</v>
      </c>
      <c r="E4059" s="16">
        <f t="shared" ca="1" si="192"/>
        <v>7</v>
      </c>
    </row>
    <row r="4060" spans="1:5" x14ac:dyDescent="0.25">
      <c r="A4060" s="3">
        <f t="shared" si="190"/>
        <v>78989</v>
      </c>
      <c r="B4060" t="str">
        <f ca="1">TEXT(DATE(YEAR(Invoer!$A$5),1,1)+INT((ROWS(B$2:B4060)-1)/24),"""18""jjmmdd")</f>
        <v>18980619</v>
      </c>
      <c r="C4060" s="11" t="str">
        <f>INDEX(Data,2,2+MOD(ROWS(C$2:C4060)-1,24))</f>
        <v>03.00</v>
      </c>
      <c r="D4060" s="8" t="str">
        <f t="shared" ca="1" si="191"/>
        <v>—</v>
      </c>
      <c r="E4060" s="16">
        <f t="shared" ca="1" si="192"/>
        <v>7</v>
      </c>
    </row>
    <row r="4061" spans="1:5" x14ac:dyDescent="0.25">
      <c r="A4061" s="3">
        <f t="shared" si="190"/>
        <v>78989</v>
      </c>
      <c r="B4061" t="str">
        <f ca="1">TEXT(DATE(YEAR(Invoer!$A$5),1,1)+INT((ROWS(B$2:B4061)-1)/24),"""18""jjmmdd")</f>
        <v>18980619</v>
      </c>
      <c r="C4061" s="11" t="str">
        <f>INDEX(Data,2,2+MOD(ROWS(C$2:C4061)-1,24))</f>
        <v>04.00</v>
      </c>
      <c r="D4061" s="8" t="str">
        <f t="shared" ca="1" si="191"/>
        <v>—</v>
      </c>
      <c r="E4061" s="16">
        <f t="shared" ca="1" si="192"/>
        <v>7</v>
      </c>
    </row>
    <row r="4062" spans="1:5" x14ac:dyDescent="0.25">
      <c r="A4062" s="3">
        <f t="shared" si="190"/>
        <v>78989</v>
      </c>
      <c r="B4062" t="str">
        <f ca="1">TEXT(DATE(YEAR(Invoer!$A$5),1,1)+INT((ROWS(B$2:B4062)-1)/24),"""18""jjmmdd")</f>
        <v>18980619</v>
      </c>
      <c r="C4062" s="11" t="str">
        <f>INDEX(Data,2,2+MOD(ROWS(C$2:C4062)-1,24))</f>
        <v>05.00</v>
      </c>
      <c r="D4062" s="8" t="str">
        <f t="shared" ca="1" si="191"/>
        <v>—</v>
      </c>
      <c r="E4062" s="16">
        <f t="shared" ca="1" si="192"/>
        <v>7</v>
      </c>
    </row>
    <row r="4063" spans="1:5" x14ac:dyDescent="0.25">
      <c r="A4063" s="3">
        <f t="shared" si="190"/>
        <v>78989</v>
      </c>
      <c r="B4063" t="str">
        <f ca="1">TEXT(DATE(YEAR(Invoer!$A$5),1,1)+INT((ROWS(B$2:B4063)-1)/24),"""18""jjmmdd")</f>
        <v>18980619</v>
      </c>
      <c r="C4063" s="11" t="str">
        <f>INDEX(Data,2,2+MOD(ROWS(C$2:C4063)-1,24))</f>
        <v>06.00</v>
      </c>
      <c r="D4063" s="8" t="str">
        <f t="shared" ca="1" si="191"/>
        <v>—</v>
      </c>
      <c r="E4063" s="16">
        <f t="shared" ca="1" si="192"/>
        <v>7</v>
      </c>
    </row>
    <row r="4064" spans="1:5" x14ac:dyDescent="0.25">
      <c r="A4064" s="3">
        <f t="shared" si="190"/>
        <v>78989</v>
      </c>
      <c r="B4064" t="str">
        <f ca="1">TEXT(DATE(YEAR(Invoer!$A$5),1,1)+INT((ROWS(B$2:B4064)-1)/24),"""18""jjmmdd")</f>
        <v>18980619</v>
      </c>
      <c r="C4064" s="11" t="str">
        <f>INDEX(Data,2,2+MOD(ROWS(C$2:C4064)-1,24))</f>
        <v>07.00</v>
      </c>
      <c r="D4064" s="8" t="str">
        <f t="shared" ca="1" si="191"/>
        <v>—</v>
      </c>
      <c r="E4064" s="16">
        <f t="shared" ca="1" si="192"/>
        <v>7</v>
      </c>
    </row>
    <row r="4065" spans="1:5" x14ac:dyDescent="0.25">
      <c r="A4065" s="3">
        <f t="shared" si="190"/>
        <v>78989</v>
      </c>
      <c r="B4065" t="str">
        <f ca="1">TEXT(DATE(YEAR(Invoer!$A$5),1,1)+INT((ROWS(B$2:B4065)-1)/24),"""18""jjmmdd")</f>
        <v>18980619</v>
      </c>
      <c r="C4065" s="11" t="str">
        <f>INDEX(Data,2,2+MOD(ROWS(C$2:C4065)-1,24))</f>
        <v>08.00</v>
      </c>
      <c r="D4065" s="8" t="str">
        <f t="shared" ca="1" si="191"/>
        <v>—</v>
      </c>
      <c r="E4065" s="16">
        <f t="shared" ca="1" si="192"/>
        <v>7</v>
      </c>
    </row>
    <row r="4066" spans="1:5" x14ac:dyDescent="0.25">
      <c r="A4066" s="3">
        <f t="shared" si="190"/>
        <v>78989</v>
      </c>
      <c r="B4066" t="str">
        <f ca="1">TEXT(DATE(YEAR(Invoer!$A$5),1,1)+INT((ROWS(B$2:B4066)-1)/24),"""18""jjmmdd")</f>
        <v>18980619</v>
      </c>
      <c r="C4066" s="11" t="str">
        <f>INDEX(Data,2,2+MOD(ROWS(C$2:C4066)-1,24))</f>
        <v>09.00</v>
      </c>
      <c r="D4066" s="8" t="str">
        <f t="shared" ca="1" si="191"/>
        <v>—</v>
      </c>
      <c r="E4066" s="16">
        <f t="shared" ca="1" si="192"/>
        <v>7</v>
      </c>
    </row>
    <row r="4067" spans="1:5" x14ac:dyDescent="0.25">
      <c r="A4067" s="3">
        <f t="shared" si="190"/>
        <v>78989</v>
      </c>
      <c r="B4067" t="str">
        <f ca="1">TEXT(DATE(YEAR(Invoer!$A$5),1,1)+INT((ROWS(B$2:B4067)-1)/24),"""18""jjmmdd")</f>
        <v>18980619</v>
      </c>
      <c r="C4067" s="11" t="str">
        <f>INDEX(Data,2,2+MOD(ROWS(C$2:C4067)-1,24))</f>
        <v>10.00</v>
      </c>
      <c r="D4067" s="8" t="str">
        <f t="shared" ca="1" si="191"/>
        <v>—</v>
      </c>
      <c r="E4067" s="16">
        <f t="shared" ca="1" si="192"/>
        <v>7</v>
      </c>
    </row>
    <row r="4068" spans="1:5" x14ac:dyDescent="0.25">
      <c r="A4068" s="3">
        <f t="shared" si="190"/>
        <v>78989</v>
      </c>
      <c r="B4068" t="str">
        <f ca="1">TEXT(DATE(YEAR(Invoer!$A$5),1,1)+INT((ROWS(B$2:B4068)-1)/24),"""18""jjmmdd")</f>
        <v>18980619</v>
      </c>
      <c r="C4068" s="11" t="str">
        <f>INDEX(Data,2,2+MOD(ROWS(C$2:C4068)-1,24))</f>
        <v>11.00</v>
      </c>
      <c r="D4068" s="8" t="str">
        <f t="shared" ca="1" si="191"/>
        <v>—</v>
      </c>
      <c r="E4068" s="16">
        <f t="shared" ca="1" si="192"/>
        <v>7</v>
      </c>
    </row>
    <row r="4069" spans="1:5" x14ac:dyDescent="0.25">
      <c r="A4069" s="3">
        <f t="shared" si="190"/>
        <v>78989</v>
      </c>
      <c r="B4069" t="str">
        <f ca="1">TEXT(DATE(YEAR(Invoer!$A$5),1,1)+INT((ROWS(B$2:B4069)-1)/24),"""18""jjmmdd")</f>
        <v>18980619</v>
      </c>
      <c r="C4069" s="11" t="str">
        <f>INDEX(Data,2,2+MOD(ROWS(C$2:C4069)-1,24))</f>
        <v>12.00</v>
      </c>
      <c r="D4069" s="8" t="str">
        <f t="shared" ca="1" si="191"/>
        <v>—</v>
      </c>
      <c r="E4069" s="16">
        <f t="shared" ca="1" si="192"/>
        <v>7</v>
      </c>
    </row>
    <row r="4070" spans="1:5" x14ac:dyDescent="0.25">
      <c r="A4070" s="3">
        <f t="shared" si="190"/>
        <v>78989</v>
      </c>
      <c r="B4070" t="str">
        <f ca="1">TEXT(DATE(YEAR(Invoer!$A$5),1,1)+INT((ROWS(B$2:B4070)-1)/24),"""18""jjmmdd")</f>
        <v>18980619</v>
      </c>
      <c r="C4070" s="11" t="str">
        <f>INDEX(Data,2,2+MOD(ROWS(C$2:C4070)-1,24))</f>
        <v>13.00</v>
      </c>
      <c r="D4070" s="8" t="str">
        <f t="shared" ca="1" si="191"/>
        <v>—</v>
      </c>
      <c r="E4070" s="16">
        <f t="shared" ca="1" si="192"/>
        <v>7</v>
      </c>
    </row>
    <row r="4071" spans="1:5" x14ac:dyDescent="0.25">
      <c r="A4071" s="3">
        <f t="shared" si="190"/>
        <v>78989</v>
      </c>
      <c r="B4071" t="str">
        <f ca="1">TEXT(DATE(YEAR(Invoer!$A$5),1,1)+INT((ROWS(B$2:B4071)-1)/24),"""18""jjmmdd")</f>
        <v>18980619</v>
      </c>
      <c r="C4071" s="11" t="str">
        <f>INDEX(Data,2,2+MOD(ROWS(C$2:C4071)-1,24))</f>
        <v>14.00</v>
      </c>
      <c r="D4071" s="8" t="str">
        <f t="shared" ca="1" si="191"/>
        <v>—</v>
      </c>
      <c r="E4071" s="16">
        <f t="shared" ca="1" si="192"/>
        <v>7</v>
      </c>
    </row>
    <row r="4072" spans="1:5" x14ac:dyDescent="0.25">
      <c r="A4072" s="3">
        <f t="shared" si="190"/>
        <v>78989</v>
      </c>
      <c r="B4072" t="str">
        <f ca="1">TEXT(DATE(YEAR(Invoer!$A$5),1,1)+INT((ROWS(B$2:B4072)-1)/24),"""18""jjmmdd")</f>
        <v>18980619</v>
      </c>
      <c r="C4072" s="11" t="str">
        <f>INDEX(Data,2,2+MOD(ROWS(C$2:C4072)-1,24))</f>
        <v>15.00</v>
      </c>
      <c r="D4072" s="8" t="str">
        <f t="shared" ca="1" si="191"/>
        <v>—</v>
      </c>
      <c r="E4072" s="16">
        <f t="shared" ca="1" si="192"/>
        <v>7</v>
      </c>
    </row>
    <row r="4073" spans="1:5" x14ac:dyDescent="0.25">
      <c r="A4073" s="3">
        <f t="shared" si="190"/>
        <v>78989</v>
      </c>
      <c r="B4073" t="str">
        <f ca="1">TEXT(DATE(YEAR(Invoer!$A$5),1,1)+INT((ROWS(B$2:B4073)-1)/24),"""18""jjmmdd")</f>
        <v>18980619</v>
      </c>
      <c r="C4073" s="11" t="str">
        <f>INDEX(Data,2,2+MOD(ROWS(C$2:C4073)-1,24))</f>
        <v>16.00</v>
      </c>
      <c r="D4073" s="8" t="str">
        <f t="shared" ca="1" si="191"/>
        <v>—</v>
      </c>
      <c r="E4073" s="16">
        <f t="shared" ca="1" si="192"/>
        <v>7</v>
      </c>
    </row>
    <row r="4074" spans="1:5" x14ac:dyDescent="0.25">
      <c r="A4074" s="3">
        <f t="shared" si="190"/>
        <v>78989</v>
      </c>
      <c r="B4074" t="str">
        <f ca="1">TEXT(DATE(YEAR(Invoer!$A$5),1,1)+INT((ROWS(B$2:B4074)-1)/24),"""18""jjmmdd")</f>
        <v>18980619</v>
      </c>
      <c r="C4074" s="11" t="str">
        <f>INDEX(Data,2,2+MOD(ROWS(C$2:C4074)-1,24))</f>
        <v>17.00</v>
      </c>
      <c r="D4074" s="8" t="str">
        <f t="shared" ca="1" si="191"/>
        <v>—</v>
      </c>
      <c r="E4074" s="16">
        <f t="shared" ca="1" si="192"/>
        <v>7</v>
      </c>
    </row>
    <row r="4075" spans="1:5" x14ac:dyDescent="0.25">
      <c r="A4075" s="3">
        <f t="shared" si="190"/>
        <v>78989</v>
      </c>
      <c r="B4075" t="str">
        <f ca="1">TEXT(DATE(YEAR(Invoer!$A$5),1,1)+INT((ROWS(B$2:B4075)-1)/24),"""18""jjmmdd")</f>
        <v>18980619</v>
      </c>
      <c r="C4075" s="11" t="str">
        <f>INDEX(Data,2,2+MOD(ROWS(C$2:C4075)-1,24))</f>
        <v>18.00</v>
      </c>
      <c r="D4075" s="8" t="str">
        <f t="shared" ca="1" si="191"/>
        <v>—</v>
      </c>
      <c r="E4075" s="16">
        <f t="shared" ca="1" si="192"/>
        <v>7</v>
      </c>
    </row>
    <row r="4076" spans="1:5" x14ac:dyDescent="0.25">
      <c r="A4076" s="3">
        <f t="shared" si="190"/>
        <v>78989</v>
      </c>
      <c r="B4076" t="str">
        <f ca="1">TEXT(DATE(YEAR(Invoer!$A$5),1,1)+INT((ROWS(B$2:B4076)-1)/24),"""18""jjmmdd")</f>
        <v>18980619</v>
      </c>
      <c r="C4076" s="11" t="str">
        <f>INDEX(Data,2,2+MOD(ROWS(C$2:C4076)-1,24))</f>
        <v>19.00</v>
      </c>
      <c r="D4076" s="8" t="str">
        <f t="shared" ca="1" si="191"/>
        <v>—</v>
      </c>
      <c r="E4076" s="16">
        <f t="shared" ca="1" si="192"/>
        <v>7</v>
      </c>
    </row>
    <row r="4077" spans="1:5" x14ac:dyDescent="0.25">
      <c r="A4077" s="3">
        <f t="shared" si="190"/>
        <v>78989</v>
      </c>
      <c r="B4077" t="str">
        <f ca="1">TEXT(DATE(YEAR(Invoer!$A$5),1,1)+INT((ROWS(B$2:B4077)-1)/24),"""18""jjmmdd")</f>
        <v>18980619</v>
      </c>
      <c r="C4077" s="11" t="str">
        <f>INDEX(Data,2,2+MOD(ROWS(C$2:C4077)-1,24))</f>
        <v>20.00</v>
      </c>
      <c r="D4077" s="8" t="str">
        <f t="shared" ca="1" si="191"/>
        <v>—</v>
      </c>
      <c r="E4077" s="16">
        <f t="shared" ca="1" si="192"/>
        <v>7</v>
      </c>
    </row>
    <row r="4078" spans="1:5" x14ac:dyDescent="0.25">
      <c r="A4078" s="3">
        <f t="shared" si="190"/>
        <v>78989</v>
      </c>
      <c r="B4078" t="str">
        <f ca="1">TEXT(DATE(YEAR(Invoer!$A$5),1,1)+INT((ROWS(B$2:B4078)-1)/24),"""18""jjmmdd")</f>
        <v>18980619</v>
      </c>
      <c r="C4078" s="11" t="str">
        <f>INDEX(Data,2,2+MOD(ROWS(C$2:C4078)-1,24))</f>
        <v>21.00</v>
      </c>
      <c r="D4078" s="8" t="str">
        <f t="shared" ca="1" si="191"/>
        <v>—</v>
      </c>
      <c r="E4078" s="16">
        <f t="shared" ca="1" si="192"/>
        <v>7</v>
      </c>
    </row>
    <row r="4079" spans="1:5" x14ac:dyDescent="0.25">
      <c r="A4079" s="3">
        <f t="shared" si="190"/>
        <v>78989</v>
      </c>
      <c r="B4079" t="str">
        <f ca="1">TEXT(DATE(YEAR(Invoer!$A$5),1,1)+INT((ROWS(B$2:B4079)-1)/24),"""18""jjmmdd")</f>
        <v>18980619</v>
      </c>
      <c r="C4079" s="11" t="str">
        <f>INDEX(Data,2,2+MOD(ROWS(C$2:C4079)-1,24))</f>
        <v>22.00</v>
      </c>
      <c r="D4079" s="8" t="str">
        <f t="shared" ca="1" si="191"/>
        <v>—</v>
      </c>
      <c r="E4079" s="16">
        <f t="shared" ca="1" si="192"/>
        <v>7</v>
      </c>
    </row>
    <row r="4080" spans="1:5" x14ac:dyDescent="0.25">
      <c r="A4080" s="3">
        <f t="shared" si="190"/>
        <v>78989</v>
      </c>
      <c r="B4080" t="str">
        <f ca="1">TEXT(DATE(YEAR(Invoer!$A$5),1,1)+INT((ROWS(B$2:B4080)-1)/24),"""18""jjmmdd")</f>
        <v>18980619</v>
      </c>
      <c r="C4080" s="11" t="str">
        <f>INDEX(Data,2,2+MOD(ROWS(C$2:C4080)-1,24))</f>
        <v>23.00</v>
      </c>
      <c r="D4080" s="8" t="str">
        <f t="shared" ca="1" si="191"/>
        <v>—</v>
      </c>
      <c r="E4080" s="16">
        <f t="shared" ca="1" si="192"/>
        <v>7</v>
      </c>
    </row>
    <row r="4081" spans="1:5" x14ac:dyDescent="0.25">
      <c r="A4081" s="3">
        <f t="shared" si="190"/>
        <v>78989</v>
      </c>
      <c r="B4081" t="str">
        <f ca="1">TEXT(DATE(YEAR(Invoer!$A$5),1,1)+INT((ROWS(B$2:B4081)-1)/24),"""18""jjmmdd")</f>
        <v>18980619</v>
      </c>
      <c r="C4081" s="11" t="str">
        <f>INDEX(Data,2,2+MOD(ROWS(C$2:C4081)-1,24))</f>
        <v>24.00</v>
      </c>
      <c r="D4081" s="8" t="str">
        <f t="shared" ca="1" si="191"/>
        <v>—</v>
      </c>
      <c r="E4081" s="16">
        <f t="shared" ca="1" si="192"/>
        <v>7</v>
      </c>
    </row>
    <row r="4082" spans="1:5" x14ac:dyDescent="0.25">
      <c r="A4082" s="3">
        <f t="shared" si="190"/>
        <v>78989</v>
      </c>
      <c r="B4082" t="str">
        <f ca="1">TEXT(DATE(YEAR(Invoer!$A$5),1,1)+INT((ROWS(B$2:B4082)-1)/24),"""18""jjmmdd")</f>
        <v>18980620</v>
      </c>
      <c r="C4082" s="11" t="str">
        <f>INDEX(Data,2,2+MOD(ROWS(C$2:C4082)-1,24))</f>
        <v>01.00</v>
      </c>
      <c r="D4082" s="8" t="str">
        <f t="shared" ca="1" si="191"/>
        <v>—</v>
      </c>
      <c r="E4082" s="16">
        <f t="shared" ca="1" si="192"/>
        <v>7</v>
      </c>
    </row>
    <row r="4083" spans="1:5" x14ac:dyDescent="0.25">
      <c r="A4083" s="3">
        <f t="shared" si="190"/>
        <v>78989</v>
      </c>
      <c r="B4083" t="str">
        <f ca="1">TEXT(DATE(YEAR(Invoer!$A$5),1,1)+INT((ROWS(B$2:B4083)-1)/24),"""18""jjmmdd")</f>
        <v>18980620</v>
      </c>
      <c r="C4083" s="11" t="str">
        <f>INDEX(Data,2,2+MOD(ROWS(C$2:C4083)-1,24))</f>
        <v>02.00</v>
      </c>
      <c r="D4083" s="8" t="str">
        <f t="shared" ca="1" si="191"/>
        <v>—</v>
      </c>
      <c r="E4083" s="16">
        <f t="shared" ca="1" si="192"/>
        <v>7</v>
      </c>
    </row>
    <row r="4084" spans="1:5" x14ac:dyDescent="0.25">
      <c r="A4084" s="3">
        <f t="shared" si="190"/>
        <v>78989</v>
      </c>
      <c r="B4084" t="str">
        <f ca="1">TEXT(DATE(YEAR(Invoer!$A$5),1,1)+INT((ROWS(B$2:B4084)-1)/24),"""18""jjmmdd")</f>
        <v>18980620</v>
      </c>
      <c r="C4084" s="11" t="str">
        <f>INDEX(Data,2,2+MOD(ROWS(C$2:C4084)-1,24))</f>
        <v>03.00</v>
      </c>
      <c r="D4084" s="8" t="str">
        <f t="shared" ca="1" si="191"/>
        <v>—</v>
      </c>
      <c r="E4084" s="16">
        <f t="shared" ca="1" si="192"/>
        <v>7</v>
      </c>
    </row>
    <row r="4085" spans="1:5" x14ac:dyDescent="0.25">
      <c r="A4085" s="3">
        <f t="shared" si="190"/>
        <v>78989</v>
      </c>
      <c r="B4085" t="str">
        <f ca="1">TEXT(DATE(YEAR(Invoer!$A$5),1,1)+INT((ROWS(B$2:B4085)-1)/24),"""18""jjmmdd")</f>
        <v>18980620</v>
      </c>
      <c r="C4085" s="11" t="str">
        <f>INDEX(Data,2,2+MOD(ROWS(C$2:C4085)-1,24))</f>
        <v>04.00</v>
      </c>
      <c r="D4085" s="8" t="str">
        <f t="shared" ca="1" si="191"/>
        <v>—</v>
      </c>
      <c r="E4085" s="16">
        <f t="shared" ca="1" si="192"/>
        <v>7</v>
      </c>
    </row>
    <row r="4086" spans="1:5" x14ac:dyDescent="0.25">
      <c r="A4086" s="3">
        <f t="shared" si="190"/>
        <v>78989</v>
      </c>
      <c r="B4086" t="str">
        <f ca="1">TEXT(DATE(YEAR(Invoer!$A$5),1,1)+INT((ROWS(B$2:B4086)-1)/24),"""18""jjmmdd")</f>
        <v>18980620</v>
      </c>
      <c r="C4086" s="11" t="str">
        <f>INDEX(Data,2,2+MOD(ROWS(C$2:C4086)-1,24))</f>
        <v>05.00</v>
      </c>
      <c r="D4086" s="8" t="str">
        <f t="shared" ca="1" si="191"/>
        <v>—</v>
      </c>
      <c r="E4086" s="16">
        <f t="shared" ca="1" si="192"/>
        <v>7</v>
      </c>
    </row>
    <row r="4087" spans="1:5" x14ac:dyDescent="0.25">
      <c r="A4087" s="3">
        <f t="shared" si="190"/>
        <v>78989</v>
      </c>
      <c r="B4087" t="str">
        <f ca="1">TEXT(DATE(YEAR(Invoer!$A$5),1,1)+INT((ROWS(B$2:B4087)-1)/24),"""18""jjmmdd")</f>
        <v>18980620</v>
      </c>
      <c r="C4087" s="11" t="str">
        <f>INDEX(Data,2,2+MOD(ROWS(C$2:C4087)-1,24))</f>
        <v>06.00</v>
      </c>
      <c r="D4087" s="8" t="str">
        <f t="shared" ca="1" si="191"/>
        <v>—</v>
      </c>
      <c r="E4087" s="16">
        <f t="shared" ca="1" si="192"/>
        <v>7</v>
      </c>
    </row>
    <row r="4088" spans="1:5" x14ac:dyDescent="0.25">
      <c r="A4088" s="3">
        <f t="shared" si="190"/>
        <v>78989</v>
      </c>
      <c r="B4088" t="str">
        <f ca="1">TEXT(DATE(YEAR(Invoer!$A$5),1,1)+INT((ROWS(B$2:B4088)-1)/24),"""18""jjmmdd")</f>
        <v>18980620</v>
      </c>
      <c r="C4088" s="11" t="str">
        <f>INDEX(Data,2,2+MOD(ROWS(C$2:C4088)-1,24))</f>
        <v>07.00</v>
      </c>
      <c r="D4088" s="8" t="str">
        <f t="shared" ca="1" si="191"/>
        <v>—</v>
      </c>
      <c r="E4088" s="16">
        <f t="shared" ca="1" si="192"/>
        <v>7</v>
      </c>
    </row>
    <row r="4089" spans="1:5" x14ac:dyDescent="0.25">
      <c r="A4089" s="3">
        <f t="shared" si="190"/>
        <v>78989</v>
      </c>
      <c r="B4089" t="str">
        <f ca="1">TEXT(DATE(YEAR(Invoer!$A$5),1,1)+INT((ROWS(B$2:B4089)-1)/24),"""18""jjmmdd")</f>
        <v>18980620</v>
      </c>
      <c r="C4089" s="11" t="str">
        <f>INDEX(Data,2,2+MOD(ROWS(C$2:C4089)-1,24))</f>
        <v>08.00</v>
      </c>
      <c r="D4089" s="8" t="str">
        <f t="shared" ca="1" si="191"/>
        <v>—</v>
      </c>
      <c r="E4089" s="16">
        <f t="shared" ca="1" si="192"/>
        <v>7</v>
      </c>
    </row>
    <row r="4090" spans="1:5" x14ac:dyDescent="0.25">
      <c r="A4090" s="3">
        <f t="shared" si="190"/>
        <v>78989</v>
      </c>
      <c r="B4090" t="str">
        <f ca="1">TEXT(DATE(YEAR(Invoer!$A$5),1,1)+INT((ROWS(B$2:B4090)-1)/24),"""18""jjmmdd")</f>
        <v>18980620</v>
      </c>
      <c r="C4090" s="11" t="str">
        <f>INDEX(Data,2,2+MOD(ROWS(C$2:C4090)-1,24))</f>
        <v>09.00</v>
      </c>
      <c r="D4090" s="8" t="str">
        <f t="shared" ca="1" si="191"/>
        <v>—</v>
      </c>
      <c r="E4090" s="16">
        <f t="shared" ca="1" si="192"/>
        <v>7</v>
      </c>
    </row>
    <row r="4091" spans="1:5" x14ac:dyDescent="0.25">
      <c r="A4091" s="3">
        <f t="shared" si="190"/>
        <v>78989</v>
      </c>
      <c r="B4091" t="str">
        <f ca="1">TEXT(DATE(YEAR(Invoer!$A$5),1,1)+INT((ROWS(B$2:B4091)-1)/24),"""18""jjmmdd")</f>
        <v>18980620</v>
      </c>
      <c r="C4091" s="11" t="str">
        <f>INDEX(Data,2,2+MOD(ROWS(C$2:C4091)-1,24))</f>
        <v>10.00</v>
      </c>
      <c r="D4091" s="8" t="str">
        <f t="shared" ca="1" si="191"/>
        <v>—</v>
      </c>
      <c r="E4091" s="16">
        <f t="shared" ca="1" si="192"/>
        <v>7</v>
      </c>
    </row>
    <row r="4092" spans="1:5" x14ac:dyDescent="0.25">
      <c r="A4092" s="3">
        <f t="shared" si="190"/>
        <v>78989</v>
      </c>
      <c r="B4092" t="str">
        <f ca="1">TEXT(DATE(YEAR(Invoer!$A$5),1,1)+INT((ROWS(B$2:B4092)-1)/24),"""18""jjmmdd")</f>
        <v>18980620</v>
      </c>
      <c r="C4092" s="11" t="str">
        <f>INDEX(Data,2,2+MOD(ROWS(C$2:C4092)-1,24))</f>
        <v>11.00</v>
      </c>
      <c r="D4092" s="8" t="str">
        <f t="shared" ca="1" si="191"/>
        <v>—</v>
      </c>
      <c r="E4092" s="16">
        <f t="shared" ca="1" si="192"/>
        <v>7</v>
      </c>
    </row>
    <row r="4093" spans="1:5" x14ac:dyDescent="0.25">
      <c r="A4093" s="3">
        <f t="shared" si="190"/>
        <v>78989</v>
      </c>
      <c r="B4093" t="str">
        <f ca="1">TEXT(DATE(YEAR(Invoer!$A$5),1,1)+INT((ROWS(B$2:B4093)-1)/24),"""18""jjmmdd")</f>
        <v>18980620</v>
      </c>
      <c r="C4093" s="11" t="str">
        <f>INDEX(Data,2,2+MOD(ROWS(C$2:C4093)-1,24))</f>
        <v>12.00</v>
      </c>
      <c r="D4093" s="8" t="str">
        <f t="shared" ca="1" si="191"/>
        <v>—</v>
      </c>
      <c r="E4093" s="16">
        <f t="shared" ca="1" si="192"/>
        <v>7</v>
      </c>
    </row>
    <row r="4094" spans="1:5" x14ac:dyDescent="0.25">
      <c r="A4094" s="3">
        <f t="shared" si="190"/>
        <v>78989</v>
      </c>
      <c r="B4094" t="str">
        <f ca="1">TEXT(DATE(YEAR(Invoer!$A$5),1,1)+INT((ROWS(B$2:B4094)-1)/24),"""18""jjmmdd")</f>
        <v>18980620</v>
      </c>
      <c r="C4094" s="11" t="str">
        <f>INDEX(Data,2,2+MOD(ROWS(C$2:C4094)-1,24))</f>
        <v>13.00</v>
      </c>
      <c r="D4094" s="8" t="str">
        <f t="shared" ca="1" si="191"/>
        <v>—</v>
      </c>
      <c r="E4094" s="16">
        <f t="shared" ca="1" si="192"/>
        <v>7</v>
      </c>
    </row>
    <row r="4095" spans="1:5" x14ac:dyDescent="0.25">
      <c r="A4095" s="3">
        <f t="shared" si="190"/>
        <v>78989</v>
      </c>
      <c r="B4095" t="str">
        <f ca="1">TEXT(DATE(YEAR(Invoer!$A$5),1,1)+INT((ROWS(B$2:B4095)-1)/24),"""18""jjmmdd")</f>
        <v>18980620</v>
      </c>
      <c r="C4095" s="11" t="str">
        <f>INDEX(Data,2,2+MOD(ROWS(C$2:C4095)-1,24))</f>
        <v>14.00</v>
      </c>
      <c r="D4095" s="8" t="str">
        <f t="shared" ca="1" si="191"/>
        <v>—</v>
      </c>
      <c r="E4095" s="16">
        <f t="shared" ca="1" si="192"/>
        <v>7</v>
      </c>
    </row>
    <row r="4096" spans="1:5" x14ac:dyDescent="0.25">
      <c r="A4096" s="3">
        <f t="shared" si="190"/>
        <v>78989</v>
      </c>
      <c r="B4096" t="str">
        <f ca="1">TEXT(DATE(YEAR(Invoer!$A$5),1,1)+INT((ROWS(B$2:B4096)-1)/24),"""18""jjmmdd")</f>
        <v>18980620</v>
      </c>
      <c r="C4096" s="11" t="str">
        <f>INDEX(Data,2,2+MOD(ROWS(C$2:C4096)-1,24))</f>
        <v>15.00</v>
      </c>
      <c r="D4096" s="8" t="str">
        <f t="shared" ca="1" si="191"/>
        <v>—</v>
      </c>
      <c r="E4096" s="16">
        <f t="shared" ca="1" si="192"/>
        <v>7</v>
      </c>
    </row>
    <row r="4097" spans="1:5" x14ac:dyDescent="0.25">
      <c r="A4097" s="3">
        <f t="shared" si="190"/>
        <v>78989</v>
      </c>
      <c r="B4097" t="str">
        <f ca="1">TEXT(DATE(YEAR(Invoer!$A$5),1,1)+INT((ROWS(B$2:B4097)-1)/24),"""18""jjmmdd")</f>
        <v>18980620</v>
      </c>
      <c r="C4097" s="11" t="str">
        <f>INDEX(Data,2,2+MOD(ROWS(C$2:C4097)-1,24))</f>
        <v>16.00</v>
      </c>
      <c r="D4097" s="8" t="str">
        <f t="shared" ca="1" si="191"/>
        <v>—</v>
      </c>
      <c r="E4097" s="16">
        <f t="shared" ca="1" si="192"/>
        <v>7</v>
      </c>
    </row>
    <row r="4098" spans="1:5" x14ac:dyDescent="0.25">
      <c r="A4098" s="3">
        <f t="shared" ref="A4098:A4161" si="193">INDEX(Stations,2,1)</f>
        <v>78989</v>
      </c>
      <c r="B4098" t="str">
        <f ca="1">TEXT(DATE(YEAR(Invoer!$A$5),1,1)+INT((ROWS(B$2:B4098)-1)/24),"""18""jjmmdd")</f>
        <v>18980620</v>
      </c>
      <c r="C4098" s="11" t="str">
        <f>INDEX(Data,2,2+MOD(ROWS(C$2:C4098)-1,24))</f>
        <v>17.00</v>
      </c>
      <c r="D4098" s="8" t="str">
        <f t="shared" ref="D4098:D4161" ca="1" si="194">IF(OR(ISBLANK(VLOOKUP(DATEVALUE("37"&amp;MID($B4098,3,2)&amp;"-"&amp;MID($B4098,5,2)&amp;"-"&amp;RIGHT($B4098,2)),Data,MATCH(LEFT(VLOOKUP(D$1,Parameters,2,FALSE()),4)&amp;"*",OFFSET(Data,0,0,1),0)+MATCH($C4098,OFFSET(Data,1,0,1),0)-2,FALSE())),ISTEXT(VLOOKUP(DATEVALUE("37"&amp;MID($B4098,3,2)&amp;"-"&amp;MID($B4098,5,2)&amp;"-"&amp;RIGHT($B4098,2)),Data,MATCH(LEFT(VLOOKUP(D$1,Parameters,2,FALSE()),4)&amp;"*",OFFSET(Data,0,0,1),0)+MATCH($C4098,OFFSET(Data,1,0,1),0)-2,FALSE()))),"—",VLOOKUP(DATEVALUE("37"&amp;MID($B4098,3,2)&amp;"-"&amp;MID($B4098,5,2)&amp;"-"&amp;RIGHT($B4098,2)),Data,MATCH(LEFT(VLOOKUP(D$1,Parameters,2,FALSE()),4)&amp;"*",OFFSET(Data,0,0,1),0)+MATCH($C4098,OFFSET(Data,1,0,1),0)-2,FALSE()))</f>
        <v>—</v>
      </c>
      <c r="E4098" s="16">
        <f t="shared" ca="1" si="192"/>
        <v>7</v>
      </c>
    </row>
    <row r="4099" spans="1:5" x14ac:dyDescent="0.25">
      <c r="A4099" s="3">
        <f t="shared" si="193"/>
        <v>78989</v>
      </c>
      <c r="B4099" t="str">
        <f ca="1">TEXT(DATE(YEAR(Invoer!$A$5),1,1)+INT((ROWS(B$2:B4099)-1)/24),"""18""jjmmdd")</f>
        <v>18980620</v>
      </c>
      <c r="C4099" s="11" t="str">
        <f>INDEX(Data,2,2+MOD(ROWS(C$2:C4099)-1,24))</f>
        <v>18.00</v>
      </c>
      <c r="D4099" s="8" t="str">
        <f t="shared" ca="1" si="194"/>
        <v>—</v>
      </c>
      <c r="E4099" s="16">
        <f t="shared" ref="E4099:E4162" ca="1" si="195">IF(OR(ISBLANK(VLOOKUP(DATEVALUE("37"&amp;MID($B4099,3,2)&amp;"-"&amp;MID($B4099,5,2)&amp;"-"&amp;RIGHT($B4099,2)),Data,MATCH(LEFT(VLOOKUP(D$1,Parameters,2,FALSE()),4)&amp;"*",OFFSET(Data,0,0,1),0)+MATCH($C4099,OFFSET(Data,1,0,1),0)-2,FALSE())),ISTEXT(VLOOKUP(DATEVALUE("37"&amp;MID($B4099,3,2)&amp;"-"&amp;MID($B4099,5,2)&amp;"-"&amp;RIGHT($B4099,2)),Data,MATCH(LEFT(VLOOKUP(D$1,Parameters,2,FALSE()),4)&amp;"*",OFFSET(Data,0,0,1),0)+MATCH($C4099,OFFSET(Data,1,0,1),0)-2,FALSE()))),Lacking,IF(ISNA(MATCH(DATEVALUE("37"&amp;MID($B4099,3,2)&amp;"-"&amp;MID($B4099,5,2)&amp;"-"&amp;RIGHT($B4099,2)),OFFSET(Catalogus,0,0,,1),0)),Ok,VLOOKUP(DATEVALUE("37"&amp;MID($B4099,3,2)&amp;"-"&amp;MID($B4099,5,2)&amp;"-"&amp;RIGHT($B4099,2)),Catalogus,MATCH(LEFT(VLOOKUP(MID(E$1,2,LEN(E$1)-1),Parameters,2,FALSE()),4)&amp;"*",OFFSET(Catalogus,0,0,1),0)+MATCH($C4099,OFFSET(Catalogus,1,0,1),0)-2,FALSE())))</f>
        <v>7</v>
      </c>
    </row>
    <row r="4100" spans="1:5" x14ac:dyDescent="0.25">
      <c r="A4100" s="3">
        <f t="shared" si="193"/>
        <v>78989</v>
      </c>
      <c r="B4100" t="str">
        <f ca="1">TEXT(DATE(YEAR(Invoer!$A$5),1,1)+INT((ROWS(B$2:B4100)-1)/24),"""18""jjmmdd")</f>
        <v>18980620</v>
      </c>
      <c r="C4100" s="11" t="str">
        <f>INDEX(Data,2,2+MOD(ROWS(C$2:C4100)-1,24))</f>
        <v>19.00</v>
      </c>
      <c r="D4100" s="8" t="str">
        <f t="shared" ca="1" si="194"/>
        <v>—</v>
      </c>
      <c r="E4100" s="16">
        <f t="shared" ca="1" si="195"/>
        <v>7</v>
      </c>
    </row>
    <row r="4101" spans="1:5" x14ac:dyDescent="0.25">
      <c r="A4101" s="3">
        <f t="shared" si="193"/>
        <v>78989</v>
      </c>
      <c r="B4101" t="str">
        <f ca="1">TEXT(DATE(YEAR(Invoer!$A$5),1,1)+INT((ROWS(B$2:B4101)-1)/24),"""18""jjmmdd")</f>
        <v>18980620</v>
      </c>
      <c r="C4101" s="11" t="str">
        <f>INDEX(Data,2,2+MOD(ROWS(C$2:C4101)-1,24))</f>
        <v>20.00</v>
      </c>
      <c r="D4101" s="8" t="str">
        <f t="shared" ca="1" si="194"/>
        <v>—</v>
      </c>
      <c r="E4101" s="16">
        <f t="shared" ca="1" si="195"/>
        <v>7</v>
      </c>
    </row>
    <row r="4102" spans="1:5" x14ac:dyDescent="0.25">
      <c r="A4102" s="3">
        <f t="shared" si="193"/>
        <v>78989</v>
      </c>
      <c r="B4102" t="str">
        <f ca="1">TEXT(DATE(YEAR(Invoer!$A$5),1,1)+INT((ROWS(B$2:B4102)-1)/24),"""18""jjmmdd")</f>
        <v>18980620</v>
      </c>
      <c r="C4102" s="11" t="str">
        <f>INDEX(Data,2,2+MOD(ROWS(C$2:C4102)-1,24))</f>
        <v>21.00</v>
      </c>
      <c r="D4102" s="8" t="str">
        <f t="shared" ca="1" si="194"/>
        <v>—</v>
      </c>
      <c r="E4102" s="16">
        <f t="shared" ca="1" si="195"/>
        <v>7</v>
      </c>
    </row>
    <row r="4103" spans="1:5" x14ac:dyDescent="0.25">
      <c r="A4103" s="3">
        <f t="shared" si="193"/>
        <v>78989</v>
      </c>
      <c r="B4103" t="str">
        <f ca="1">TEXT(DATE(YEAR(Invoer!$A$5),1,1)+INT((ROWS(B$2:B4103)-1)/24),"""18""jjmmdd")</f>
        <v>18980620</v>
      </c>
      <c r="C4103" s="11" t="str">
        <f>INDEX(Data,2,2+MOD(ROWS(C$2:C4103)-1,24))</f>
        <v>22.00</v>
      </c>
      <c r="D4103" s="8" t="str">
        <f t="shared" ca="1" si="194"/>
        <v>—</v>
      </c>
      <c r="E4103" s="16">
        <f t="shared" ca="1" si="195"/>
        <v>7</v>
      </c>
    </row>
    <row r="4104" spans="1:5" x14ac:dyDescent="0.25">
      <c r="A4104" s="3">
        <f t="shared" si="193"/>
        <v>78989</v>
      </c>
      <c r="B4104" t="str">
        <f ca="1">TEXT(DATE(YEAR(Invoer!$A$5),1,1)+INT((ROWS(B$2:B4104)-1)/24),"""18""jjmmdd")</f>
        <v>18980620</v>
      </c>
      <c r="C4104" s="11" t="str">
        <f>INDEX(Data,2,2+MOD(ROWS(C$2:C4104)-1,24))</f>
        <v>23.00</v>
      </c>
      <c r="D4104" s="8" t="str">
        <f t="shared" ca="1" si="194"/>
        <v>—</v>
      </c>
      <c r="E4104" s="16">
        <f t="shared" ca="1" si="195"/>
        <v>7</v>
      </c>
    </row>
    <row r="4105" spans="1:5" x14ac:dyDescent="0.25">
      <c r="A4105" s="3">
        <f t="shared" si="193"/>
        <v>78989</v>
      </c>
      <c r="B4105" t="str">
        <f ca="1">TEXT(DATE(YEAR(Invoer!$A$5),1,1)+INT((ROWS(B$2:B4105)-1)/24),"""18""jjmmdd")</f>
        <v>18980620</v>
      </c>
      <c r="C4105" s="11" t="str">
        <f>INDEX(Data,2,2+MOD(ROWS(C$2:C4105)-1,24))</f>
        <v>24.00</v>
      </c>
      <c r="D4105" s="8" t="str">
        <f t="shared" ca="1" si="194"/>
        <v>—</v>
      </c>
      <c r="E4105" s="16">
        <f t="shared" ca="1" si="195"/>
        <v>7</v>
      </c>
    </row>
    <row r="4106" spans="1:5" x14ac:dyDescent="0.25">
      <c r="A4106" s="3">
        <f t="shared" si="193"/>
        <v>78989</v>
      </c>
      <c r="B4106" t="str">
        <f ca="1">TEXT(DATE(YEAR(Invoer!$A$5),1,1)+INT((ROWS(B$2:B4106)-1)/24),"""18""jjmmdd")</f>
        <v>18980621</v>
      </c>
      <c r="C4106" s="11" t="str">
        <f>INDEX(Data,2,2+MOD(ROWS(C$2:C4106)-1,24))</f>
        <v>01.00</v>
      </c>
      <c r="D4106" s="8" t="str">
        <f t="shared" ca="1" si="194"/>
        <v>—</v>
      </c>
      <c r="E4106" s="16">
        <f t="shared" ca="1" si="195"/>
        <v>7</v>
      </c>
    </row>
    <row r="4107" spans="1:5" x14ac:dyDescent="0.25">
      <c r="A4107" s="3">
        <f t="shared" si="193"/>
        <v>78989</v>
      </c>
      <c r="B4107" t="str">
        <f ca="1">TEXT(DATE(YEAR(Invoer!$A$5),1,1)+INT((ROWS(B$2:B4107)-1)/24),"""18""jjmmdd")</f>
        <v>18980621</v>
      </c>
      <c r="C4107" s="11" t="str">
        <f>INDEX(Data,2,2+MOD(ROWS(C$2:C4107)-1,24))</f>
        <v>02.00</v>
      </c>
      <c r="D4107" s="8" t="str">
        <f t="shared" ca="1" si="194"/>
        <v>—</v>
      </c>
      <c r="E4107" s="16">
        <f t="shared" ca="1" si="195"/>
        <v>7</v>
      </c>
    </row>
    <row r="4108" spans="1:5" x14ac:dyDescent="0.25">
      <c r="A4108" s="3">
        <f t="shared" si="193"/>
        <v>78989</v>
      </c>
      <c r="B4108" t="str">
        <f ca="1">TEXT(DATE(YEAR(Invoer!$A$5),1,1)+INT((ROWS(B$2:B4108)-1)/24),"""18""jjmmdd")</f>
        <v>18980621</v>
      </c>
      <c r="C4108" s="11" t="str">
        <f>INDEX(Data,2,2+MOD(ROWS(C$2:C4108)-1,24))</f>
        <v>03.00</v>
      </c>
      <c r="D4108" s="8" t="str">
        <f t="shared" ca="1" si="194"/>
        <v>—</v>
      </c>
      <c r="E4108" s="16">
        <f t="shared" ca="1" si="195"/>
        <v>7</v>
      </c>
    </row>
    <row r="4109" spans="1:5" x14ac:dyDescent="0.25">
      <c r="A4109" s="3">
        <f t="shared" si="193"/>
        <v>78989</v>
      </c>
      <c r="B4109" t="str">
        <f ca="1">TEXT(DATE(YEAR(Invoer!$A$5),1,1)+INT((ROWS(B$2:B4109)-1)/24),"""18""jjmmdd")</f>
        <v>18980621</v>
      </c>
      <c r="C4109" s="11" t="str">
        <f>INDEX(Data,2,2+MOD(ROWS(C$2:C4109)-1,24))</f>
        <v>04.00</v>
      </c>
      <c r="D4109" s="8" t="str">
        <f t="shared" ca="1" si="194"/>
        <v>—</v>
      </c>
      <c r="E4109" s="16">
        <f t="shared" ca="1" si="195"/>
        <v>7</v>
      </c>
    </row>
    <row r="4110" spans="1:5" x14ac:dyDescent="0.25">
      <c r="A4110" s="3">
        <f t="shared" si="193"/>
        <v>78989</v>
      </c>
      <c r="B4110" t="str">
        <f ca="1">TEXT(DATE(YEAR(Invoer!$A$5),1,1)+INT((ROWS(B$2:B4110)-1)/24),"""18""jjmmdd")</f>
        <v>18980621</v>
      </c>
      <c r="C4110" s="11" t="str">
        <f>INDEX(Data,2,2+MOD(ROWS(C$2:C4110)-1,24))</f>
        <v>05.00</v>
      </c>
      <c r="D4110" s="8" t="str">
        <f t="shared" ca="1" si="194"/>
        <v>—</v>
      </c>
      <c r="E4110" s="16">
        <f t="shared" ca="1" si="195"/>
        <v>7</v>
      </c>
    </row>
    <row r="4111" spans="1:5" x14ac:dyDescent="0.25">
      <c r="A4111" s="3">
        <f t="shared" si="193"/>
        <v>78989</v>
      </c>
      <c r="B4111" t="str">
        <f ca="1">TEXT(DATE(YEAR(Invoer!$A$5),1,1)+INT((ROWS(B$2:B4111)-1)/24),"""18""jjmmdd")</f>
        <v>18980621</v>
      </c>
      <c r="C4111" s="11" t="str">
        <f>INDEX(Data,2,2+MOD(ROWS(C$2:C4111)-1,24))</f>
        <v>06.00</v>
      </c>
      <c r="D4111" s="8" t="str">
        <f t="shared" ca="1" si="194"/>
        <v>—</v>
      </c>
      <c r="E4111" s="16">
        <f t="shared" ca="1" si="195"/>
        <v>7</v>
      </c>
    </row>
    <row r="4112" spans="1:5" x14ac:dyDescent="0.25">
      <c r="A4112" s="3">
        <f t="shared" si="193"/>
        <v>78989</v>
      </c>
      <c r="B4112" t="str">
        <f ca="1">TEXT(DATE(YEAR(Invoer!$A$5),1,1)+INT((ROWS(B$2:B4112)-1)/24),"""18""jjmmdd")</f>
        <v>18980621</v>
      </c>
      <c r="C4112" s="11" t="str">
        <f>INDEX(Data,2,2+MOD(ROWS(C$2:C4112)-1,24))</f>
        <v>07.00</v>
      </c>
      <c r="D4112" s="8" t="str">
        <f t="shared" ca="1" si="194"/>
        <v>—</v>
      </c>
      <c r="E4112" s="16">
        <f t="shared" ca="1" si="195"/>
        <v>7</v>
      </c>
    </row>
    <row r="4113" spans="1:5" x14ac:dyDescent="0.25">
      <c r="A4113" s="3">
        <f t="shared" si="193"/>
        <v>78989</v>
      </c>
      <c r="B4113" t="str">
        <f ca="1">TEXT(DATE(YEAR(Invoer!$A$5),1,1)+INT((ROWS(B$2:B4113)-1)/24),"""18""jjmmdd")</f>
        <v>18980621</v>
      </c>
      <c r="C4113" s="11" t="str">
        <f>INDEX(Data,2,2+MOD(ROWS(C$2:C4113)-1,24))</f>
        <v>08.00</v>
      </c>
      <c r="D4113" s="8" t="str">
        <f t="shared" ca="1" si="194"/>
        <v>—</v>
      </c>
      <c r="E4113" s="16">
        <f t="shared" ca="1" si="195"/>
        <v>7</v>
      </c>
    </row>
    <row r="4114" spans="1:5" x14ac:dyDescent="0.25">
      <c r="A4114" s="3">
        <f t="shared" si="193"/>
        <v>78989</v>
      </c>
      <c r="B4114" t="str">
        <f ca="1">TEXT(DATE(YEAR(Invoer!$A$5),1,1)+INT((ROWS(B$2:B4114)-1)/24),"""18""jjmmdd")</f>
        <v>18980621</v>
      </c>
      <c r="C4114" s="11" t="str">
        <f>INDEX(Data,2,2+MOD(ROWS(C$2:C4114)-1,24))</f>
        <v>09.00</v>
      </c>
      <c r="D4114" s="8" t="str">
        <f t="shared" ca="1" si="194"/>
        <v>—</v>
      </c>
      <c r="E4114" s="16">
        <f t="shared" ca="1" si="195"/>
        <v>7</v>
      </c>
    </row>
    <row r="4115" spans="1:5" x14ac:dyDescent="0.25">
      <c r="A4115" s="3">
        <f t="shared" si="193"/>
        <v>78989</v>
      </c>
      <c r="B4115" t="str">
        <f ca="1">TEXT(DATE(YEAR(Invoer!$A$5),1,1)+INT((ROWS(B$2:B4115)-1)/24),"""18""jjmmdd")</f>
        <v>18980621</v>
      </c>
      <c r="C4115" s="11" t="str">
        <f>INDEX(Data,2,2+MOD(ROWS(C$2:C4115)-1,24))</f>
        <v>10.00</v>
      </c>
      <c r="D4115" s="8" t="str">
        <f t="shared" ca="1" si="194"/>
        <v>—</v>
      </c>
      <c r="E4115" s="16">
        <f t="shared" ca="1" si="195"/>
        <v>7</v>
      </c>
    </row>
    <row r="4116" spans="1:5" x14ac:dyDescent="0.25">
      <c r="A4116" s="3">
        <f t="shared" si="193"/>
        <v>78989</v>
      </c>
      <c r="B4116" t="str">
        <f ca="1">TEXT(DATE(YEAR(Invoer!$A$5),1,1)+INT((ROWS(B$2:B4116)-1)/24),"""18""jjmmdd")</f>
        <v>18980621</v>
      </c>
      <c r="C4116" s="11" t="str">
        <f>INDEX(Data,2,2+MOD(ROWS(C$2:C4116)-1,24))</f>
        <v>11.00</v>
      </c>
      <c r="D4116" s="8" t="str">
        <f t="shared" ca="1" si="194"/>
        <v>—</v>
      </c>
      <c r="E4116" s="16">
        <f t="shared" ca="1" si="195"/>
        <v>7</v>
      </c>
    </row>
    <row r="4117" spans="1:5" x14ac:dyDescent="0.25">
      <c r="A4117" s="3">
        <f t="shared" si="193"/>
        <v>78989</v>
      </c>
      <c r="B4117" t="str">
        <f ca="1">TEXT(DATE(YEAR(Invoer!$A$5),1,1)+INT((ROWS(B$2:B4117)-1)/24),"""18""jjmmdd")</f>
        <v>18980621</v>
      </c>
      <c r="C4117" s="11" t="str">
        <f>INDEX(Data,2,2+MOD(ROWS(C$2:C4117)-1,24))</f>
        <v>12.00</v>
      </c>
      <c r="D4117" s="8" t="str">
        <f t="shared" ca="1" si="194"/>
        <v>—</v>
      </c>
      <c r="E4117" s="16">
        <f t="shared" ca="1" si="195"/>
        <v>7</v>
      </c>
    </row>
    <row r="4118" spans="1:5" x14ac:dyDescent="0.25">
      <c r="A4118" s="3">
        <f t="shared" si="193"/>
        <v>78989</v>
      </c>
      <c r="B4118" t="str">
        <f ca="1">TEXT(DATE(YEAR(Invoer!$A$5),1,1)+INT((ROWS(B$2:B4118)-1)/24),"""18""jjmmdd")</f>
        <v>18980621</v>
      </c>
      <c r="C4118" s="11" t="str">
        <f>INDEX(Data,2,2+MOD(ROWS(C$2:C4118)-1,24))</f>
        <v>13.00</v>
      </c>
      <c r="D4118" s="8" t="str">
        <f t="shared" ca="1" si="194"/>
        <v>—</v>
      </c>
      <c r="E4118" s="16">
        <f t="shared" ca="1" si="195"/>
        <v>7</v>
      </c>
    </row>
    <row r="4119" spans="1:5" x14ac:dyDescent="0.25">
      <c r="A4119" s="3">
        <f t="shared" si="193"/>
        <v>78989</v>
      </c>
      <c r="B4119" t="str">
        <f ca="1">TEXT(DATE(YEAR(Invoer!$A$5),1,1)+INT((ROWS(B$2:B4119)-1)/24),"""18""jjmmdd")</f>
        <v>18980621</v>
      </c>
      <c r="C4119" s="11" t="str">
        <f>INDEX(Data,2,2+MOD(ROWS(C$2:C4119)-1,24))</f>
        <v>14.00</v>
      </c>
      <c r="D4119" s="8" t="str">
        <f t="shared" ca="1" si="194"/>
        <v>—</v>
      </c>
      <c r="E4119" s="16">
        <f t="shared" ca="1" si="195"/>
        <v>7</v>
      </c>
    </row>
    <row r="4120" spans="1:5" x14ac:dyDescent="0.25">
      <c r="A4120" s="3">
        <f t="shared" si="193"/>
        <v>78989</v>
      </c>
      <c r="B4120" t="str">
        <f ca="1">TEXT(DATE(YEAR(Invoer!$A$5),1,1)+INT((ROWS(B$2:B4120)-1)/24),"""18""jjmmdd")</f>
        <v>18980621</v>
      </c>
      <c r="C4120" s="11" t="str">
        <f>INDEX(Data,2,2+MOD(ROWS(C$2:C4120)-1,24))</f>
        <v>15.00</v>
      </c>
      <c r="D4120" s="8" t="str">
        <f t="shared" ca="1" si="194"/>
        <v>—</v>
      </c>
      <c r="E4120" s="16">
        <f t="shared" ca="1" si="195"/>
        <v>7</v>
      </c>
    </row>
    <row r="4121" spans="1:5" x14ac:dyDescent="0.25">
      <c r="A4121" s="3">
        <f t="shared" si="193"/>
        <v>78989</v>
      </c>
      <c r="B4121" t="str">
        <f ca="1">TEXT(DATE(YEAR(Invoer!$A$5),1,1)+INT((ROWS(B$2:B4121)-1)/24),"""18""jjmmdd")</f>
        <v>18980621</v>
      </c>
      <c r="C4121" s="11" t="str">
        <f>INDEX(Data,2,2+MOD(ROWS(C$2:C4121)-1,24))</f>
        <v>16.00</v>
      </c>
      <c r="D4121" s="8" t="str">
        <f t="shared" ca="1" si="194"/>
        <v>—</v>
      </c>
      <c r="E4121" s="16">
        <f t="shared" ca="1" si="195"/>
        <v>7</v>
      </c>
    </row>
    <row r="4122" spans="1:5" x14ac:dyDescent="0.25">
      <c r="A4122" s="3">
        <f t="shared" si="193"/>
        <v>78989</v>
      </c>
      <c r="B4122" t="str">
        <f ca="1">TEXT(DATE(YEAR(Invoer!$A$5),1,1)+INT((ROWS(B$2:B4122)-1)/24),"""18""jjmmdd")</f>
        <v>18980621</v>
      </c>
      <c r="C4122" s="11" t="str">
        <f>INDEX(Data,2,2+MOD(ROWS(C$2:C4122)-1,24))</f>
        <v>17.00</v>
      </c>
      <c r="D4122" s="8" t="str">
        <f t="shared" ca="1" si="194"/>
        <v>—</v>
      </c>
      <c r="E4122" s="16">
        <f t="shared" ca="1" si="195"/>
        <v>7</v>
      </c>
    </row>
    <row r="4123" spans="1:5" x14ac:dyDescent="0.25">
      <c r="A4123" s="3">
        <f t="shared" si="193"/>
        <v>78989</v>
      </c>
      <c r="B4123" t="str">
        <f ca="1">TEXT(DATE(YEAR(Invoer!$A$5),1,1)+INT((ROWS(B$2:B4123)-1)/24),"""18""jjmmdd")</f>
        <v>18980621</v>
      </c>
      <c r="C4123" s="11" t="str">
        <f>INDEX(Data,2,2+MOD(ROWS(C$2:C4123)-1,24))</f>
        <v>18.00</v>
      </c>
      <c r="D4123" s="8" t="str">
        <f t="shared" ca="1" si="194"/>
        <v>—</v>
      </c>
      <c r="E4123" s="16">
        <f t="shared" ca="1" si="195"/>
        <v>7</v>
      </c>
    </row>
    <row r="4124" spans="1:5" x14ac:dyDescent="0.25">
      <c r="A4124" s="3">
        <f t="shared" si="193"/>
        <v>78989</v>
      </c>
      <c r="B4124" t="str">
        <f ca="1">TEXT(DATE(YEAR(Invoer!$A$5),1,1)+INT((ROWS(B$2:B4124)-1)/24),"""18""jjmmdd")</f>
        <v>18980621</v>
      </c>
      <c r="C4124" s="11" t="str">
        <f>INDEX(Data,2,2+MOD(ROWS(C$2:C4124)-1,24))</f>
        <v>19.00</v>
      </c>
      <c r="D4124" s="8" t="str">
        <f t="shared" ca="1" si="194"/>
        <v>—</v>
      </c>
      <c r="E4124" s="16">
        <f t="shared" ca="1" si="195"/>
        <v>7</v>
      </c>
    </row>
    <row r="4125" spans="1:5" x14ac:dyDescent="0.25">
      <c r="A4125" s="3">
        <f t="shared" si="193"/>
        <v>78989</v>
      </c>
      <c r="B4125" t="str">
        <f ca="1">TEXT(DATE(YEAR(Invoer!$A$5),1,1)+INT((ROWS(B$2:B4125)-1)/24),"""18""jjmmdd")</f>
        <v>18980621</v>
      </c>
      <c r="C4125" s="11" t="str">
        <f>INDEX(Data,2,2+MOD(ROWS(C$2:C4125)-1,24))</f>
        <v>20.00</v>
      </c>
      <c r="D4125" s="8" t="str">
        <f t="shared" ca="1" si="194"/>
        <v>—</v>
      </c>
      <c r="E4125" s="16">
        <f t="shared" ca="1" si="195"/>
        <v>7</v>
      </c>
    </row>
    <row r="4126" spans="1:5" x14ac:dyDescent="0.25">
      <c r="A4126" s="3">
        <f t="shared" si="193"/>
        <v>78989</v>
      </c>
      <c r="B4126" t="str">
        <f ca="1">TEXT(DATE(YEAR(Invoer!$A$5),1,1)+INT((ROWS(B$2:B4126)-1)/24),"""18""jjmmdd")</f>
        <v>18980621</v>
      </c>
      <c r="C4126" s="11" t="str">
        <f>INDEX(Data,2,2+MOD(ROWS(C$2:C4126)-1,24))</f>
        <v>21.00</v>
      </c>
      <c r="D4126" s="8" t="str">
        <f t="shared" ca="1" si="194"/>
        <v>—</v>
      </c>
      <c r="E4126" s="16">
        <f t="shared" ca="1" si="195"/>
        <v>7</v>
      </c>
    </row>
    <row r="4127" spans="1:5" x14ac:dyDescent="0.25">
      <c r="A4127" s="3">
        <f t="shared" si="193"/>
        <v>78989</v>
      </c>
      <c r="B4127" t="str">
        <f ca="1">TEXT(DATE(YEAR(Invoer!$A$5),1,1)+INT((ROWS(B$2:B4127)-1)/24),"""18""jjmmdd")</f>
        <v>18980621</v>
      </c>
      <c r="C4127" s="11" t="str">
        <f>INDEX(Data,2,2+MOD(ROWS(C$2:C4127)-1,24))</f>
        <v>22.00</v>
      </c>
      <c r="D4127" s="8" t="str">
        <f t="shared" ca="1" si="194"/>
        <v>—</v>
      </c>
      <c r="E4127" s="16">
        <f t="shared" ca="1" si="195"/>
        <v>7</v>
      </c>
    </row>
    <row r="4128" spans="1:5" x14ac:dyDescent="0.25">
      <c r="A4128" s="3">
        <f t="shared" si="193"/>
        <v>78989</v>
      </c>
      <c r="B4128" t="str">
        <f ca="1">TEXT(DATE(YEAR(Invoer!$A$5),1,1)+INT((ROWS(B$2:B4128)-1)/24),"""18""jjmmdd")</f>
        <v>18980621</v>
      </c>
      <c r="C4128" s="11" t="str">
        <f>INDEX(Data,2,2+MOD(ROWS(C$2:C4128)-1,24))</f>
        <v>23.00</v>
      </c>
      <c r="D4128" s="8" t="str">
        <f t="shared" ca="1" si="194"/>
        <v>—</v>
      </c>
      <c r="E4128" s="16">
        <f t="shared" ca="1" si="195"/>
        <v>7</v>
      </c>
    </row>
    <row r="4129" spans="1:5" x14ac:dyDescent="0.25">
      <c r="A4129" s="3">
        <f t="shared" si="193"/>
        <v>78989</v>
      </c>
      <c r="B4129" t="str">
        <f ca="1">TEXT(DATE(YEAR(Invoer!$A$5),1,1)+INT((ROWS(B$2:B4129)-1)/24),"""18""jjmmdd")</f>
        <v>18980621</v>
      </c>
      <c r="C4129" s="11" t="str">
        <f>INDEX(Data,2,2+MOD(ROWS(C$2:C4129)-1,24))</f>
        <v>24.00</v>
      </c>
      <c r="D4129" s="8" t="str">
        <f t="shared" ca="1" si="194"/>
        <v>—</v>
      </c>
      <c r="E4129" s="16">
        <f t="shared" ca="1" si="195"/>
        <v>7</v>
      </c>
    </row>
    <row r="4130" spans="1:5" x14ac:dyDescent="0.25">
      <c r="A4130" s="3">
        <f t="shared" si="193"/>
        <v>78989</v>
      </c>
      <c r="B4130" t="str">
        <f ca="1">TEXT(DATE(YEAR(Invoer!$A$5),1,1)+INT((ROWS(B$2:B4130)-1)/24),"""18""jjmmdd")</f>
        <v>18980622</v>
      </c>
      <c r="C4130" s="11" t="str">
        <f>INDEX(Data,2,2+MOD(ROWS(C$2:C4130)-1,24))</f>
        <v>01.00</v>
      </c>
      <c r="D4130" s="8" t="str">
        <f t="shared" ca="1" si="194"/>
        <v>—</v>
      </c>
      <c r="E4130" s="16">
        <f t="shared" ca="1" si="195"/>
        <v>7</v>
      </c>
    </row>
    <row r="4131" spans="1:5" x14ac:dyDescent="0.25">
      <c r="A4131" s="3">
        <f t="shared" si="193"/>
        <v>78989</v>
      </c>
      <c r="B4131" t="str">
        <f ca="1">TEXT(DATE(YEAR(Invoer!$A$5),1,1)+INT((ROWS(B$2:B4131)-1)/24),"""18""jjmmdd")</f>
        <v>18980622</v>
      </c>
      <c r="C4131" s="11" t="str">
        <f>INDEX(Data,2,2+MOD(ROWS(C$2:C4131)-1,24))</f>
        <v>02.00</v>
      </c>
      <c r="D4131" s="8" t="str">
        <f t="shared" ca="1" si="194"/>
        <v>—</v>
      </c>
      <c r="E4131" s="16">
        <f t="shared" ca="1" si="195"/>
        <v>7</v>
      </c>
    </row>
    <row r="4132" spans="1:5" x14ac:dyDescent="0.25">
      <c r="A4132" s="3">
        <f t="shared" si="193"/>
        <v>78989</v>
      </c>
      <c r="B4132" t="str">
        <f ca="1">TEXT(DATE(YEAR(Invoer!$A$5),1,1)+INT((ROWS(B$2:B4132)-1)/24),"""18""jjmmdd")</f>
        <v>18980622</v>
      </c>
      <c r="C4132" s="11" t="str">
        <f>INDEX(Data,2,2+MOD(ROWS(C$2:C4132)-1,24))</f>
        <v>03.00</v>
      </c>
      <c r="D4132" s="8" t="str">
        <f t="shared" ca="1" si="194"/>
        <v>—</v>
      </c>
      <c r="E4132" s="16">
        <f t="shared" ca="1" si="195"/>
        <v>7</v>
      </c>
    </row>
    <row r="4133" spans="1:5" x14ac:dyDescent="0.25">
      <c r="A4133" s="3">
        <f t="shared" si="193"/>
        <v>78989</v>
      </c>
      <c r="B4133" t="str">
        <f ca="1">TEXT(DATE(YEAR(Invoer!$A$5),1,1)+INT((ROWS(B$2:B4133)-1)/24),"""18""jjmmdd")</f>
        <v>18980622</v>
      </c>
      <c r="C4133" s="11" t="str">
        <f>INDEX(Data,2,2+MOD(ROWS(C$2:C4133)-1,24))</f>
        <v>04.00</v>
      </c>
      <c r="D4133" s="8" t="str">
        <f t="shared" ca="1" si="194"/>
        <v>—</v>
      </c>
      <c r="E4133" s="16">
        <f t="shared" ca="1" si="195"/>
        <v>7</v>
      </c>
    </row>
    <row r="4134" spans="1:5" x14ac:dyDescent="0.25">
      <c r="A4134" s="3">
        <f t="shared" si="193"/>
        <v>78989</v>
      </c>
      <c r="B4134" t="str">
        <f ca="1">TEXT(DATE(YEAR(Invoer!$A$5),1,1)+INT((ROWS(B$2:B4134)-1)/24),"""18""jjmmdd")</f>
        <v>18980622</v>
      </c>
      <c r="C4134" s="11" t="str">
        <f>INDEX(Data,2,2+MOD(ROWS(C$2:C4134)-1,24))</f>
        <v>05.00</v>
      </c>
      <c r="D4134" s="8" t="str">
        <f t="shared" ca="1" si="194"/>
        <v>—</v>
      </c>
      <c r="E4134" s="16">
        <f t="shared" ca="1" si="195"/>
        <v>7</v>
      </c>
    </row>
    <row r="4135" spans="1:5" x14ac:dyDescent="0.25">
      <c r="A4135" s="3">
        <f t="shared" si="193"/>
        <v>78989</v>
      </c>
      <c r="B4135" t="str">
        <f ca="1">TEXT(DATE(YEAR(Invoer!$A$5),1,1)+INT((ROWS(B$2:B4135)-1)/24),"""18""jjmmdd")</f>
        <v>18980622</v>
      </c>
      <c r="C4135" s="11" t="str">
        <f>INDEX(Data,2,2+MOD(ROWS(C$2:C4135)-1,24))</f>
        <v>06.00</v>
      </c>
      <c r="D4135" s="8" t="str">
        <f t="shared" ca="1" si="194"/>
        <v>—</v>
      </c>
      <c r="E4135" s="16">
        <f t="shared" ca="1" si="195"/>
        <v>7</v>
      </c>
    </row>
    <row r="4136" spans="1:5" x14ac:dyDescent="0.25">
      <c r="A4136" s="3">
        <f t="shared" si="193"/>
        <v>78989</v>
      </c>
      <c r="B4136" t="str">
        <f ca="1">TEXT(DATE(YEAR(Invoer!$A$5),1,1)+INT((ROWS(B$2:B4136)-1)/24),"""18""jjmmdd")</f>
        <v>18980622</v>
      </c>
      <c r="C4136" s="11" t="str">
        <f>INDEX(Data,2,2+MOD(ROWS(C$2:C4136)-1,24))</f>
        <v>07.00</v>
      </c>
      <c r="D4136" s="8" t="str">
        <f t="shared" ca="1" si="194"/>
        <v>—</v>
      </c>
      <c r="E4136" s="16">
        <f t="shared" ca="1" si="195"/>
        <v>7</v>
      </c>
    </row>
    <row r="4137" spans="1:5" x14ac:dyDescent="0.25">
      <c r="A4137" s="3">
        <f t="shared" si="193"/>
        <v>78989</v>
      </c>
      <c r="B4137" t="str">
        <f ca="1">TEXT(DATE(YEAR(Invoer!$A$5),1,1)+INT((ROWS(B$2:B4137)-1)/24),"""18""jjmmdd")</f>
        <v>18980622</v>
      </c>
      <c r="C4137" s="11" t="str">
        <f>INDEX(Data,2,2+MOD(ROWS(C$2:C4137)-1,24))</f>
        <v>08.00</v>
      </c>
      <c r="D4137" s="8" t="str">
        <f t="shared" ca="1" si="194"/>
        <v>—</v>
      </c>
      <c r="E4137" s="16">
        <f t="shared" ca="1" si="195"/>
        <v>7</v>
      </c>
    </row>
    <row r="4138" spans="1:5" x14ac:dyDescent="0.25">
      <c r="A4138" s="3">
        <f t="shared" si="193"/>
        <v>78989</v>
      </c>
      <c r="B4138" t="str">
        <f ca="1">TEXT(DATE(YEAR(Invoer!$A$5),1,1)+INT((ROWS(B$2:B4138)-1)/24),"""18""jjmmdd")</f>
        <v>18980622</v>
      </c>
      <c r="C4138" s="11" t="str">
        <f>INDEX(Data,2,2+MOD(ROWS(C$2:C4138)-1,24))</f>
        <v>09.00</v>
      </c>
      <c r="D4138" s="8" t="str">
        <f t="shared" ca="1" si="194"/>
        <v>—</v>
      </c>
      <c r="E4138" s="16">
        <f t="shared" ca="1" si="195"/>
        <v>7</v>
      </c>
    </row>
    <row r="4139" spans="1:5" x14ac:dyDescent="0.25">
      <c r="A4139" s="3">
        <f t="shared" si="193"/>
        <v>78989</v>
      </c>
      <c r="B4139" t="str">
        <f ca="1">TEXT(DATE(YEAR(Invoer!$A$5),1,1)+INT((ROWS(B$2:B4139)-1)/24),"""18""jjmmdd")</f>
        <v>18980622</v>
      </c>
      <c r="C4139" s="11" t="str">
        <f>INDEX(Data,2,2+MOD(ROWS(C$2:C4139)-1,24))</f>
        <v>10.00</v>
      </c>
      <c r="D4139" s="8" t="str">
        <f t="shared" ca="1" si="194"/>
        <v>—</v>
      </c>
      <c r="E4139" s="16">
        <f t="shared" ca="1" si="195"/>
        <v>7</v>
      </c>
    </row>
    <row r="4140" spans="1:5" x14ac:dyDescent="0.25">
      <c r="A4140" s="3">
        <f t="shared" si="193"/>
        <v>78989</v>
      </c>
      <c r="B4140" t="str">
        <f ca="1">TEXT(DATE(YEAR(Invoer!$A$5),1,1)+INT((ROWS(B$2:B4140)-1)/24),"""18""jjmmdd")</f>
        <v>18980622</v>
      </c>
      <c r="C4140" s="11" t="str">
        <f>INDEX(Data,2,2+MOD(ROWS(C$2:C4140)-1,24))</f>
        <v>11.00</v>
      </c>
      <c r="D4140" s="8" t="str">
        <f t="shared" ca="1" si="194"/>
        <v>—</v>
      </c>
      <c r="E4140" s="16">
        <f t="shared" ca="1" si="195"/>
        <v>7</v>
      </c>
    </row>
    <row r="4141" spans="1:5" x14ac:dyDescent="0.25">
      <c r="A4141" s="3">
        <f t="shared" si="193"/>
        <v>78989</v>
      </c>
      <c r="B4141" t="str">
        <f ca="1">TEXT(DATE(YEAR(Invoer!$A$5),1,1)+INT((ROWS(B$2:B4141)-1)/24),"""18""jjmmdd")</f>
        <v>18980622</v>
      </c>
      <c r="C4141" s="11" t="str">
        <f>INDEX(Data,2,2+MOD(ROWS(C$2:C4141)-1,24))</f>
        <v>12.00</v>
      </c>
      <c r="D4141" s="8" t="str">
        <f t="shared" ca="1" si="194"/>
        <v>—</v>
      </c>
      <c r="E4141" s="16">
        <f t="shared" ca="1" si="195"/>
        <v>7</v>
      </c>
    </row>
    <row r="4142" spans="1:5" x14ac:dyDescent="0.25">
      <c r="A4142" s="3">
        <f t="shared" si="193"/>
        <v>78989</v>
      </c>
      <c r="B4142" t="str">
        <f ca="1">TEXT(DATE(YEAR(Invoer!$A$5),1,1)+INT((ROWS(B$2:B4142)-1)/24),"""18""jjmmdd")</f>
        <v>18980622</v>
      </c>
      <c r="C4142" s="11" t="str">
        <f>INDEX(Data,2,2+MOD(ROWS(C$2:C4142)-1,24))</f>
        <v>13.00</v>
      </c>
      <c r="D4142" s="8" t="str">
        <f t="shared" ca="1" si="194"/>
        <v>—</v>
      </c>
      <c r="E4142" s="16">
        <f t="shared" ca="1" si="195"/>
        <v>7</v>
      </c>
    </row>
    <row r="4143" spans="1:5" x14ac:dyDescent="0.25">
      <c r="A4143" s="3">
        <f t="shared" si="193"/>
        <v>78989</v>
      </c>
      <c r="B4143" t="str">
        <f ca="1">TEXT(DATE(YEAR(Invoer!$A$5),1,1)+INT((ROWS(B$2:B4143)-1)/24),"""18""jjmmdd")</f>
        <v>18980622</v>
      </c>
      <c r="C4143" s="11" t="str">
        <f>INDEX(Data,2,2+MOD(ROWS(C$2:C4143)-1,24))</f>
        <v>14.00</v>
      </c>
      <c r="D4143" s="8" t="str">
        <f t="shared" ca="1" si="194"/>
        <v>—</v>
      </c>
      <c r="E4143" s="16">
        <f t="shared" ca="1" si="195"/>
        <v>7</v>
      </c>
    </row>
    <row r="4144" spans="1:5" x14ac:dyDescent="0.25">
      <c r="A4144" s="3">
        <f t="shared" si="193"/>
        <v>78989</v>
      </c>
      <c r="B4144" t="str">
        <f ca="1">TEXT(DATE(YEAR(Invoer!$A$5),1,1)+INT((ROWS(B$2:B4144)-1)/24),"""18""jjmmdd")</f>
        <v>18980622</v>
      </c>
      <c r="C4144" s="11" t="str">
        <f>INDEX(Data,2,2+MOD(ROWS(C$2:C4144)-1,24))</f>
        <v>15.00</v>
      </c>
      <c r="D4144" s="8" t="str">
        <f t="shared" ca="1" si="194"/>
        <v>—</v>
      </c>
      <c r="E4144" s="16">
        <f t="shared" ca="1" si="195"/>
        <v>7</v>
      </c>
    </row>
    <row r="4145" spans="1:5" x14ac:dyDescent="0.25">
      <c r="A4145" s="3">
        <f t="shared" si="193"/>
        <v>78989</v>
      </c>
      <c r="B4145" t="str">
        <f ca="1">TEXT(DATE(YEAR(Invoer!$A$5),1,1)+INT((ROWS(B$2:B4145)-1)/24),"""18""jjmmdd")</f>
        <v>18980622</v>
      </c>
      <c r="C4145" s="11" t="str">
        <f>INDEX(Data,2,2+MOD(ROWS(C$2:C4145)-1,24))</f>
        <v>16.00</v>
      </c>
      <c r="D4145" s="8" t="str">
        <f t="shared" ca="1" si="194"/>
        <v>—</v>
      </c>
      <c r="E4145" s="16">
        <f t="shared" ca="1" si="195"/>
        <v>7</v>
      </c>
    </row>
    <row r="4146" spans="1:5" x14ac:dyDescent="0.25">
      <c r="A4146" s="3">
        <f t="shared" si="193"/>
        <v>78989</v>
      </c>
      <c r="B4146" t="str">
        <f ca="1">TEXT(DATE(YEAR(Invoer!$A$5),1,1)+INT((ROWS(B$2:B4146)-1)/24),"""18""jjmmdd")</f>
        <v>18980622</v>
      </c>
      <c r="C4146" s="11" t="str">
        <f>INDEX(Data,2,2+MOD(ROWS(C$2:C4146)-1,24))</f>
        <v>17.00</v>
      </c>
      <c r="D4146" s="8" t="str">
        <f t="shared" ca="1" si="194"/>
        <v>—</v>
      </c>
      <c r="E4146" s="16">
        <f t="shared" ca="1" si="195"/>
        <v>7</v>
      </c>
    </row>
    <row r="4147" spans="1:5" x14ac:dyDescent="0.25">
      <c r="A4147" s="3">
        <f t="shared" si="193"/>
        <v>78989</v>
      </c>
      <c r="B4147" t="str">
        <f ca="1">TEXT(DATE(YEAR(Invoer!$A$5),1,1)+INT((ROWS(B$2:B4147)-1)/24),"""18""jjmmdd")</f>
        <v>18980622</v>
      </c>
      <c r="C4147" s="11" t="str">
        <f>INDEX(Data,2,2+MOD(ROWS(C$2:C4147)-1,24))</f>
        <v>18.00</v>
      </c>
      <c r="D4147" s="8" t="str">
        <f t="shared" ca="1" si="194"/>
        <v>—</v>
      </c>
      <c r="E4147" s="16">
        <f t="shared" ca="1" si="195"/>
        <v>7</v>
      </c>
    </row>
    <row r="4148" spans="1:5" x14ac:dyDescent="0.25">
      <c r="A4148" s="3">
        <f t="shared" si="193"/>
        <v>78989</v>
      </c>
      <c r="B4148" t="str">
        <f ca="1">TEXT(DATE(YEAR(Invoer!$A$5),1,1)+INT((ROWS(B$2:B4148)-1)/24),"""18""jjmmdd")</f>
        <v>18980622</v>
      </c>
      <c r="C4148" s="11" t="str">
        <f>INDEX(Data,2,2+MOD(ROWS(C$2:C4148)-1,24))</f>
        <v>19.00</v>
      </c>
      <c r="D4148" s="8" t="str">
        <f t="shared" ca="1" si="194"/>
        <v>—</v>
      </c>
      <c r="E4148" s="16">
        <f t="shared" ca="1" si="195"/>
        <v>7</v>
      </c>
    </row>
    <row r="4149" spans="1:5" x14ac:dyDescent="0.25">
      <c r="A4149" s="3">
        <f t="shared" si="193"/>
        <v>78989</v>
      </c>
      <c r="B4149" t="str">
        <f ca="1">TEXT(DATE(YEAR(Invoer!$A$5),1,1)+INT((ROWS(B$2:B4149)-1)/24),"""18""jjmmdd")</f>
        <v>18980622</v>
      </c>
      <c r="C4149" s="11" t="str">
        <f>INDEX(Data,2,2+MOD(ROWS(C$2:C4149)-1,24))</f>
        <v>20.00</v>
      </c>
      <c r="D4149" s="8" t="str">
        <f t="shared" ca="1" si="194"/>
        <v>—</v>
      </c>
      <c r="E4149" s="16">
        <f t="shared" ca="1" si="195"/>
        <v>7</v>
      </c>
    </row>
    <row r="4150" spans="1:5" x14ac:dyDescent="0.25">
      <c r="A4150" s="3">
        <f t="shared" si="193"/>
        <v>78989</v>
      </c>
      <c r="B4150" t="str">
        <f ca="1">TEXT(DATE(YEAR(Invoer!$A$5),1,1)+INT((ROWS(B$2:B4150)-1)/24),"""18""jjmmdd")</f>
        <v>18980622</v>
      </c>
      <c r="C4150" s="11" t="str">
        <f>INDEX(Data,2,2+MOD(ROWS(C$2:C4150)-1,24))</f>
        <v>21.00</v>
      </c>
      <c r="D4150" s="8" t="str">
        <f t="shared" ca="1" si="194"/>
        <v>—</v>
      </c>
      <c r="E4150" s="16">
        <f t="shared" ca="1" si="195"/>
        <v>7</v>
      </c>
    </row>
    <row r="4151" spans="1:5" x14ac:dyDescent="0.25">
      <c r="A4151" s="3">
        <f t="shared" si="193"/>
        <v>78989</v>
      </c>
      <c r="B4151" t="str">
        <f ca="1">TEXT(DATE(YEAR(Invoer!$A$5),1,1)+INT((ROWS(B$2:B4151)-1)/24),"""18""jjmmdd")</f>
        <v>18980622</v>
      </c>
      <c r="C4151" s="11" t="str">
        <f>INDEX(Data,2,2+MOD(ROWS(C$2:C4151)-1,24))</f>
        <v>22.00</v>
      </c>
      <c r="D4151" s="8" t="str">
        <f t="shared" ca="1" si="194"/>
        <v>—</v>
      </c>
      <c r="E4151" s="16">
        <f t="shared" ca="1" si="195"/>
        <v>7</v>
      </c>
    </row>
    <row r="4152" spans="1:5" x14ac:dyDescent="0.25">
      <c r="A4152" s="3">
        <f t="shared" si="193"/>
        <v>78989</v>
      </c>
      <c r="B4152" t="str">
        <f ca="1">TEXT(DATE(YEAR(Invoer!$A$5),1,1)+INT((ROWS(B$2:B4152)-1)/24),"""18""jjmmdd")</f>
        <v>18980622</v>
      </c>
      <c r="C4152" s="11" t="str">
        <f>INDEX(Data,2,2+MOD(ROWS(C$2:C4152)-1,24))</f>
        <v>23.00</v>
      </c>
      <c r="D4152" s="8" t="str">
        <f t="shared" ca="1" si="194"/>
        <v>—</v>
      </c>
      <c r="E4152" s="16">
        <f t="shared" ca="1" si="195"/>
        <v>7</v>
      </c>
    </row>
    <row r="4153" spans="1:5" x14ac:dyDescent="0.25">
      <c r="A4153" s="3">
        <f t="shared" si="193"/>
        <v>78989</v>
      </c>
      <c r="B4153" t="str">
        <f ca="1">TEXT(DATE(YEAR(Invoer!$A$5),1,1)+INT((ROWS(B$2:B4153)-1)/24),"""18""jjmmdd")</f>
        <v>18980622</v>
      </c>
      <c r="C4153" s="11" t="str">
        <f>INDEX(Data,2,2+MOD(ROWS(C$2:C4153)-1,24))</f>
        <v>24.00</v>
      </c>
      <c r="D4153" s="8" t="str">
        <f t="shared" ca="1" si="194"/>
        <v>—</v>
      </c>
      <c r="E4153" s="16">
        <f t="shared" ca="1" si="195"/>
        <v>7</v>
      </c>
    </row>
    <row r="4154" spans="1:5" x14ac:dyDescent="0.25">
      <c r="A4154" s="3">
        <f t="shared" si="193"/>
        <v>78989</v>
      </c>
      <c r="B4154" t="str">
        <f ca="1">TEXT(DATE(YEAR(Invoer!$A$5),1,1)+INT((ROWS(B$2:B4154)-1)/24),"""18""jjmmdd")</f>
        <v>18980623</v>
      </c>
      <c r="C4154" s="11" t="str">
        <f>INDEX(Data,2,2+MOD(ROWS(C$2:C4154)-1,24))</f>
        <v>01.00</v>
      </c>
      <c r="D4154" s="8" t="str">
        <f t="shared" ca="1" si="194"/>
        <v>—</v>
      </c>
      <c r="E4154" s="16">
        <f t="shared" ca="1" si="195"/>
        <v>7</v>
      </c>
    </row>
    <row r="4155" spans="1:5" x14ac:dyDescent="0.25">
      <c r="A4155" s="3">
        <f t="shared" si="193"/>
        <v>78989</v>
      </c>
      <c r="B4155" t="str">
        <f ca="1">TEXT(DATE(YEAR(Invoer!$A$5),1,1)+INT((ROWS(B$2:B4155)-1)/24),"""18""jjmmdd")</f>
        <v>18980623</v>
      </c>
      <c r="C4155" s="11" t="str">
        <f>INDEX(Data,2,2+MOD(ROWS(C$2:C4155)-1,24))</f>
        <v>02.00</v>
      </c>
      <c r="D4155" s="8" t="str">
        <f t="shared" ca="1" si="194"/>
        <v>—</v>
      </c>
      <c r="E4155" s="16">
        <f t="shared" ca="1" si="195"/>
        <v>7</v>
      </c>
    </row>
    <row r="4156" spans="1:5" x14ac:dyDescent="0.25">
      <c r="A4156" s="3">
        <f t="shared" si="193"/>
        <v>78989</v>
      </c>
      <c r="B4156" t="str">
        <f ca="1">TEXT(DATE(YEAR(Invoer!$A$5),1,1)+INT((ROWS(B$2:B4156)-1)/24),"""18""jjmmdd")</f>
        <v>18980623</v>
      </c>
      <c r="C4156" s="11" t="str">
        <f>INDEX(Data,2,2+MOD(ROWS(C$2:C4156)-1,24))</f>
        <v>03.00</v>
      </c>
      <c r="D4156" s="8" t="str">
        <f t="shared" ca="1" si="194"/>
        <v>—</v>
      </c>
      <c r="E4156" s="16">
        <f t="shared" ca="1" si="195"/>
        <v>7</v>
      </c>
    </row>
    <row r="4157" spans="1:5" x14ac:dyDescent="0.25">
      <c r="A4157" s="3">
        <f t="shared" si="193"/>
        <v>78989</v>
      </c>
      <c r="B4157" t="str">
        <f ca="1">TEXT(DATE(YEAR(Invoer!$A$5),1,1)+INT((ROWS(B$2:B4157)-1)/24),"""18""jjmmdd")</f>
        <v>18980623</v>
      </c>
      <c r="C4157" s="11" t="str">
        <f>INDEX(Data,2,2+MOD(ROWS(C$2:C4157)-1,24))</f>
        <v>04.00</v>
      </c>
      <c r="D4157" s="8" t="str">
        <f t="shared" ca="1" si="194"/>
        <v>—</v>
      </c>
      <c r="E4157" s="16">
        <f t="shared" ca="1" si="195"/>
        <v>7</v>
      </c>
    </row>
    <row r="4158" spans="1:5" x14ac:dyDescent="0.25">
      <c r="A4158" s="3">
        <f t="shared" si="193"/>
        <v>78989</v>
      </c>
      <c r="B4158" t="str">
        <f ca="1">TEXT(DATE(YEAR(Invoer!$A$5),1,1)+INT((ROWS(B$2:B4158)-1)/24),"""18""jjmmdd")</f>
        <v>18980623</v>
      </c>
      <c r="C4158" s="11" t="str">
        <f>INDEX(Data,2,2+MOD(ROWS(C$2:C4158)-1,24))</f>
        <v>05.00</v>
      </c>
      <c r="D4158" s="8" t="str">
        <f t="shared" ca="1" si="194"/>
        <v>—</v>
      </c>
      <c r="E4158" s="16">
        <f t="shared" ca="1" si="195"/>
        <v>7</v>
      </c>
    </row>
    <row r="4159" spans="1:5" x14ac:dyDescent="0.25">
      <c r="A4159" s="3">
        <f t="shared" si="193"/>
        <v>78989</v>
      </c>
      <c r="B4159" t="str">
        <f ca="1">TEXT(DATE(YEAR(Invoer!$A$5),1,1)+INT((ROWS(B$2:B4159)-1)/24),"""18""jjmmdd")</f>
        <v>18980623</v>
      </c>
      <c r="C4159" s="11" t="str">
        <f>INDEX(Data,2,2+MOD(ROWS(C$2:C4159)-1,24))</f>
        <v>06.00</v>
      </c>
      <c r="D4159" s="8" t="str">
        <f t="shared" ca="1" si="194"/>
        <v>—</v>
      </c>
      <c r="E4159" s="16">
        <f t="shared" ca="1" si="195"/>
        <v>7</v>
      </c>
    </row>
    <row r="4160" spans="1:5" x14ac:dyDescent="0.25">
      <c r="A4160" s="3">
        <f t="shared" si="193"/>
        <v>78989</v>
      </c>
      <c r="B4160" t="str">
        <f ca="1">TEXT(DATE(YEAR(Invoer!$A$5),1,1)+INT((ROWS(B$2:B4160)-1)/24),"""18""jjmmdd")</f>
        <v>18980623</v>
      </c>
      <c r="C4160" s="11" t="str">
        <f>INDEX(Data,2,2+MOD(ROWS(C$2:C4160)-1,24))</f>
        <v>07.00</v>
      </c>
      <c r="D4160" s="8" t="str">
        <f t="shared" ca="1" si="194"/>
        <v>—</v>
      </c>
      <c r="E4160" s="16">
        <f t="shared" ca="1" si="195"/>
        <v>7</v>
      </c>
    </row>
    <row r="4161" spans="1:5" x14ac:dyDescent="0.25">
      <c r="A4161" s="3">
        <f t="shared" si="193"/>
        <v>78989</v>
      </c>
      <c r="B4161" t="str">
        <f ca="1">TEXT(DATE(YEAR(Invoer!$A$5),1,1)+INT((ROWS(B$2:B4161)-1)/24),"""18""jjmmdd")</f>
        <v>18980623</v>
      </c>
      <c r="C4161" s="11" t="str">
        <f>INDEX(Data,2,2+MOD(ROWS(C$2:C4161)-1,24))</f>
        <v>08.00</v>
      </c>
      <c r="D4161" s="8" t="str">
        <f t="shared" ca="1" si="194"/>
        <v>—</v>
      </c>
      <c r="E4161" s="16">
        <f t="shared" ca="1" si="195"/>
        <v>7</v>
      </c>
    </row>
    <row r="4162" spans="1:5" x14ac:dyDescent="0.25">
      <c r="A4162" s="3">
        <f t="shared" ref="A4162:A4225" si="196">INDEX(Stations,2,1)</f>
        <v>78989</v>
      </c>
      <c r="B4162" t="str">
        <f ca="1">TEXT(DATE(YEAR(Invoer!$A$5),1,1)+INT((ROWS(B$2:B4162)-1)/24),"""18""jjmmdd")</f>
        <v>18980623</v>
      </c>
      <c r="C4162" s="11" t="str">
        <f>INDEX(Data,2,2+MOD(ROWS(C$2:C4162)-1,24))</f>
        <v>09.00</v>
      </c>
      <c r="D4162" s="8" t="str">
        <f t="shared" ref="D4162:D4225" ca="1" si="197">IF(OR(ISBLANK(VLOOKUP(DATEVALUE("37"&amp;MID($B4162,3,2)&amp;"-"&amp;MID($B4162,5,2)&amp;"-"&amp;RIGHT($B4162,2)),Data,MATCH(LEFT(VLOOKUP(D$1,Parameters,2,FALSE()),4)&amp;"*",OFFSET(Data,0,0,1),0)+MATCH($C4162,OFFSET(Data,1,0,1),0)-2,FALSE())),ISTEXT(VLOOKUP(DATEVALUE("37"&amp;MID($B4162,3,2)&amp;"-"&amp;MID($B4162,5,2)&amp;"-"&amp;RIGHT($B4162,2)),Data,MATCH(LEFT(VLOOKUP(D$1,Parameters,2,FALSE()),4)&amp;"*",OFFSET(Data,0,0,1),0)+MATCH($C4162,OFFSET(Data,1,0,1),0)-2,FALSE()))),"—",VLOOKUP(DATEVALUE("37"&amp;MID($B4162,3,2)&amp;"-"&amp;MID($B4162,5,2)&amp;"-"&amp;RIGHT($B4162,2)),Data,MATCH(LEFT(VLOOKUP(D$1,Parameters,2,FALSE()),4)&amp;"*",OFFSET(Data,0,0,1),0)+MATCH($C4162,OFFSET(Data,1,0,1),0)-2,FALSE()))</f>
        <v>—</v>
      </c>
      <c r="E4162" s="16">
        <f t="shared" ca="1" si="195"/>
        <v>7</v>
      </c>
    </row>
    <row r="4163" spans="1:5" x14ac:dyDescent="0.25">
      <c r="A4163" s="3">
        <f t="shared" si="196"/>
        <v>78989</v>
      </c>
      <c r="B4163" t="str">
        <f ca="1">TEXT(DATE(YEAR(Invoer!$A$5),1,1)+INT((ROWS(B$2:B4163)-1)/24),"""18""jjmmdd")</f>
        <v>18980623</v>
      </c>
      <c r="C4163" s="11" t="str">
        <f>INDEX(Data,2,2+MOD(ROWS(C$2:C4163)-1,24))</f>
        <v>10.00</v>
      </c>
      <c r="D4163" s="8" t="str">
        <f t="shared" ca="1" si="197"/>
        <v>—</v>
      </c>
      <c r="E4163" s="16">
        <f t="shared" ref="E4163:E4226" ca="1" si="198">IF(OR(ISBLANK(VLOOKUP(DATEVALUE("37"&amp;MID($B4163,3,2)&amp;"-"&amp;MID($B4163,5,2)&amp;"-"&amp;RIGHT($B4163,2)),Data,MATCH(LEFT(VLOOKUP(D$1,Parameters,2,FALSE()),4)&amp;"*",OFFSET(Data,0,0,1),0)+MATCH($C4163,OFFSET(Data,1,0,1),0)-2,FALSE())),ISTEXT(VLOOKUP(DATEVALUE("37"&amp;MID($B4163,3,2)&amp;"-"&amp;MID($B4163,5,2)&amp;"-"&amp;RIGHT($B4163,2)),Data,MATCH(LEFT(VLOOKUP(D$1,Parameters,2,FALSE()),4)&amp;"*",OFFSET(Data,0,0,1),0)+MATCH($C4163,OFFSET(Data,1,0,1),0)-2,FALSE()))),Lacking,IF(ISNA(MATCH(DATEVALUE("37"&amp;MID($B4163,3,2)&amp;"-"&amp;MID($B4163,5,2)&amp;"-"&amp;RIGHT($B4163,2)),OFFSET(Catalogus,0,0,,1),0)),Ok,VLOOKUP(DATEVALUE("37"&amp;MID($B4163,3,2)&amp;"-"&amp;MID($B4163,5,2)&amp;"-"&amp;RIGHT($B4163,2)),Catalogus,MATCH(LEFT(VLOOKUP(MID(E$1,2,LEN(E$1)-1),Parameters,2,FALSE()),4)&amp;"*",OFFSET(Catalogus,0,0,1),0)+MATCH($C4163,OFFSET(Catalogus,1,0,1),0)-2,FALSE())))</f>
        <v>7</v>
      </c>
    </row>
    <row r="4164" spans="1:5" x14ac:dyDescent="0.25">
      <c r="A4164" s="3">
        <f t="shared" si="196"/>
        <v>78989</v>
      </c>
      <c r="B4164" t="str">
        <f ca="1">TEXT(DATE(YEAR(Invoer!$A$5),1,1)+INT((ROWS(B$2:B4164)-1)/24),"""18""jjmmdd")</f>
        <v>18980623</v>
      </c>
      <c r="C4164" s="11" t="str">
        <f>INDEX(Data,2,2+MOD(ROWS(C$2:C4164)-1,24))</f>
        <v>11.00</v>
      </c>
      <c r="D4164" s="8" t="str">
        <f t="shared" ca="1" si="197"/>
        <v>—</v>
      </c>
      <c r="E4164" s="16">
        <f t="shared" ca="1" si="198"/>
        <v>7</v>
      </c>
    </row>
    <row r="4165" spans="1:5" x14ac:dyDescent="0.25">
      <c r="A4165" s="3">
        <f t="shared" si="196"/>
        <v>78989</v>
      </c>
      <c r="B4165" t="str">
        <f ca="1">TEXT(DATE(YEAR(Invoer!$A$5),1,1)+INT((ROWS(B$2:B4165)-1)/24),"""18""jjmmdd")</f>
        <v>18980623</v>
      </c>
      <c r="C4165" s="11" t="str">
        <f>INDEX(Data,2,2+MOD(ROWS(C$2:C4165)-1,24))</f>
        <v>12.00</v>
      </c>
      <c r="D4165" s="8" t="str">
        <f t="shared" ca="1" si="197"/>
        <v>—</v>
      </c>
      <c r="E4165" s="16">
        <f t="shared" ca="1" si="198"/>
        <v>7</v>
      </c>
    </row>
    <row r="4166" spans="1:5" x14ac:dyDescent="0.25">
      <c r="A4166" s="3">
        <f t="shared" si="196"/>
        <v>78989</v>
      </c>
      <c r="B4166" t="str">
        <f ca="1">TEXT(DATE(YEAR(Invoer!$A$5),1,1)+INT((ROWS(B$2:B4166)-1)/24),"""18""jjmmdd")</f>
        <v>18980623</v>
      </c>
      <c r="C4166" s="11" t="str">
        <f>INDEX(Data,2,2+MOD(ROWS(C$2:C4166)-1,24))</f>
        <v>13.00</v>
      </c>
      <c r="D4166" s="8" t="str">
        <f t="shared" ca="1" si="197"/>
        <v>—</v>
      </c>
      <c r="E4166" s="16">
        <f t="shared" ca="1" si="198"/>
        <v>7</v>
      </c>
    </row>
    <row r="4167" spans="1:5" x14ac:dyDescent="0.25">
      <c r="A4167" s="3">
        <f t="shared" si="196"/>
        <v>78989</v>
      </c>
      <c r="B4167" t="str">
        <f ca="1">TEXT(DATE(YEAR(Invoer!$A$5),1,1)+INT((ROWS(B$2:B4167)-1)/24),"""18""jjmmdd")</f>
        <v>18980623</v>
      </c>
      <c r="C4167" s="11" t="str">
        <f>INDEX(Data,2,2+MOD(ROWS(C$2:C4167)-1,24))</f>
        <v>14.00</v>
      </c>
      <c r="D4167" s="8" t="str">
        <f t="shared" ca="1" si="197"/>
        <v>—</v>
      </c>
      <c r="E4167" s="16">
        <f t="shared" ca="1" si="198"/>
        <v>7</v>
      </c>
    </row>
    <row r="4168" spans="1:5" x14ac:dyDescent="0.25">
      <c r="A4168" s="3">
        <f t="shared" si="196"/>
        <v>78989</v>
      </c>
      <c r="B4168" t="str">
        <f ca="1">TEXT(DATE(YEAR(Invoer!$A$5),1,1)+INT((ROWS(B$2:B4168)-1)/24),"""18""jjmmdd")</f>
        <v>18980623</v>
      </c>
      <c r="C4168" s="11" t="str">
        <f>INDEX(Data,2,2+MOD(ROWS(C$2:C4168)-1,24))</f>
        <v>15.00</v>
      </c>
      <c r="D4168" s="8" t="str">
        <f t="shared" ca="1" si="197"/>
        <v>—</v>
      </c>
      <c r="E4168" s="16">
        <f t="shared" ca="1" si="198"/>
        <v>7</v>
      </c>
    </row>
    <row r="4169" spans="1:5" x14ac:dyDescent="0.25">
      <c r="A4169" s="3">
        <f t="shared" si="196"/>
        <v>78989</v>
      </c>
      <c r="B4169" t="str">
        <f ca="1">TEXT(DATE(YEAR(Invoer!$A$5),1,1)+INT((ROWS(B$2:B4169)-1)/24),"""18""jjmmdd")</f>
        <v>18980623</v>
      </c>
      <c r="C4169" s="11" t="str">
        <f>INDEX(Data,2,2+MOD(ROWS(C$2:C4169)-1,24))</f>
        <v>16.00</v>
      </c>
      <c r="D4169" s="8" t="str">
        <f t="shared" ca="1" si="197"/>
        <v>—</v>
      </c>
      <c r="E4169" s="16">
        <f t="shared" ca="1" si="198"/>
        <v>7</v>
      </c>
    </row>
    <row r="4170" spans="1:5" x14ac:dyDescent="0.25">
      <c r="A4170" s="3">
        <f t="shared" si="196"/>
        <v>78989</v>
      </c>
      <c r="B4170" t="str">
        <f ca="1">TEXT(DATE(YEAR(Invoer!$A$5),1,1)+INT((ROWS(B$2:B4170)-1)/24),"""18""jjmmdd")</f>
        <v>18980623</v>
      </c>
      <c r="C4170" s="11" t="str">
        <f>INDEX(Data,2,2+MOD(ROWS(C$2:C4170)-1,24))</f>
        <v>17.00</v>
      </c>
      <c r="D4170" s="8" t="str">
        <f t="shared" ca="1" si="197"/>
        <v>—</v>
      </c>
      <c r="E4170" s="16">
        <f t="shared" ca="1" si="198"/>
        <v>7</v>
      </c>
    </row>
    <row r="4171" spans="1:5" x14ac:dyDescent="0.25">
      <c r="A4171" s="3">
        <f t="shared" si="196"/>
        <v>78989</v>
      </c>
      <c r="B4171" t="str">
        <f ca="1">TEXT(DATE(YEAR(Invoer!$A$5),1,1)+INT((ROWS(B$2:B4171)-1)/24),"""18""jjmmdd")</f>
        <v>18980623</v>
      </c>
      <c r="C4171" s="11" t="str">
        <f>INDEX(Data,2,2+MOD(ROWS(C$2:C4171)-1,24))</f>
        <v>18.00</v>
      </c>
      <c r="D4171" s="8" t="str">
        <f t="shared" ca="1" si="197"/>
        <v>—</v>
      </c>
      <c r="E4171" s="16">
        <f t="shared" ca="1" si="198"/>
        <v>7</v>
      </c>
    </row>
    <row r="4172" spans="1:5" x14ac:dyDescent="0.25">
      <c r="A4172" s="3">
        <f t="shared" si="196"/>
        <v>78989</v>
      </c>
      <c r="B4172" t="str">
        <f ca="1">TEXT(DATE(YEAR(Invoer!$A$5),1,1)+INT((ROWS(B$2:B4172)-1)/24),"""18""jjmmdd")</f>
        <v>18980623</v>
      </c>
      <c r="C4172" s="11" t="str">
        <f>INDEX(Data,2,2+MOD(ROWS(C$2:C4172)-1,24))</f>
        <v>19.00</v>
      </c>
      <c r="D4172" s="8" t="str">
        <f t="shared" ca="1" si="197"/>
        <v>—</v>
      </c>
      <c r="E4172" s="16">
        <f t="shared" ca="1" si="198"/>
        <v>7</v>
      </c>
    </row>
    <row r="4173" spans="1:5" x14ac:dyDescent="0.25">
      <c r="A4173" s="3">
        <f t="shared" si="196"/>
        <v>78989</v>
      </c>
      <c r="B4173" t="str">
        <f ca="1">TEXT(DATE(YEAR(Invoer!$A$5),1,1)+INT((ROWS(B$2:B4173)-1)/24),"""18""jjmmdd")</f>
        <v>18980623</v>
      </c>
      <c r="C4173" s="11" t="str">
        <f>INDEX(Data,2,2+MOD(ROWS(C$2:C4173)-1,24))</f>
        <v>20.00</v>
      </c>
      <c r="D4173" s="8" t="str">
        <f t="shared" ca="1" si="197"/>
        <v>—</v>
      </c>
      <c r="E4173" s="16">
        <f t="shared" ca="1" si="198"/>
        <v>7</v>
      </c>
    </row>
    <row r="4174" spans="1:5" x14ac:dyDescent="0.25">
      <c r="A4174" s="3">
        <f t="shared" si="196"/>
        <v>78989</v>
      </c>
      <c r="B4174" t="str">
        <f ca="1">TEXT(DATE(YEAR(Invoer!$A$5),1,1)+INT((ROWS(B$2:B4174)-1)/24),"""18""jjmmdd")</f>
        <v>18980623</v>
      </c>
      <c r="C4174" s="11" t="str">
        <f>INDEX(Data,2,2+MOD(ROWS(C$2:C4174)-1,24))</f>
        <v>21.00</v>
      </c>
      <c r="D4174" s="8" t="str">
        <f t="shared" ca="1" si="197"/>
        <v>—</v>
      </c>
      <c r="E4174" s="16">
        <f t="shared" ca="1" si="198"/>
        <v>7</v>
      </c>
    </row>
    <row r="4175" spans="1:5" x14ac:dyDescent="0.25">
      <c r="A4175" s="3">
        <f t="shared" si="196"/>
        <v>78989</v>
      </c>
      <c r="B4175" t="str">
        <f ca="1">TEXT(DATE(YEAR(Invoer!$A$5),1,1)+INT((ROWS(B$2:B4175)-1)/24),"""18""jjmmdd")</f>
        <v>18980623</v>
      </c>
      <c r="C4175" s="11" t="str">
        <f>INDEX(Data,2,2+MOD(ROWS(C$2:C4175)-1,24))</f>
        <v>22.00</v>
      </c>
      <c r="D4175" s="8" t="str">
        <f t="shared" ca="1" si="197"/>
        <v>—</v>
      </c>
      <c r="E4175" s="16">
        <f t="shared" ca="1" si="198"/>
        <v>7</v>
      </c>
    </row>
    <row r="4176" spans="1:5" x14ac:dyDescent="0.25">
      <c r="A4176" s="3">
        <f t="shared" si="196"/>
        <v>78989</v>
      </c>
      <c r="B4176" t="str">
        <f ca="1">TEXT(DATE(YEAR(Invoer!$A$5),1,1)+INT((ROWS(B$2:B4176)-1)/24),"""18""jjmmdd")</f>
        <v>18980623</v>
      </c>
      <c r="C4176" s="11" t="str">
        <f>INDEX(Data,2,2+MOD(ROWS(C$2:C4176)-1,24))</f>
        <v>23.00</v>
      </c>
      <c r="D4176" s="8" t="str">
        <f t="shared" ca="1" si="197"/>
        <v>—</v>
      </c>
      <c r="E4176" s="16">
        <f t="shared" ca="1" si="198"/>
        <v>7</v>
      </c>
    </row>
    <row r="4177" spans="1:5" x14ac:dyDescent="0.25">
      <c r="A4177" s="3">
        <f t="shared" si="196"/>
        <v>78989</v>
      </c>
      <c r="B4177" t="str">
        <f ca="1">TEXT(DATE(YEAR(Invoer!$A$5),1,1)+INT((ROWS(B$2:B4177)-1)/24),"""18""jjmmdd")</f>
        <v>18980623</v>
      </c>
      <c r="C4177" s="11" t="str">
        <f>INDEX(Data,2,2+MOD(ROWS(C$2:C4177)-1,24))</f>
        <v>24.00</v>
      </c>
      <c r="D4177" s="8" t="str">
        <f t="shared" ca="1" si="197"/>
        <v>—</v>
      </c>
      <c r="E4177" s="16">
        <f t="shared" ca="1" si="198"/>
        <v>7</v>
      </c>
    </row>
    <row r="4178" spans="1:5" x14ac:dyDescent="0.25">
      <c r="A4178" s="3">
        <f t="shared" si="196"/>
        <v>78989</v>
      </c>
      <c r="B4178" t="str">
        <f ca="1">TEXT(DATE(YEAR(Invoer!$A$5),1,1)+INT((ROWS(B$2:B4178)-1)/24),"""18""jjmmdd")</f>
        <v>18980624</v>
      </c>
      <c r="C4178" s="11" t="str">
        <f>INDEX(Data,2,2+MOD(ROWS(C$2:C4178)-1,24))</f>
        <v>01.00</v>
      </c>
      <c r="D4178" s="8" t="str">
        <f t="shared" ca="1" si="197"/>
        <v>—</v>
      </c>
      <c r="E4178" s="16">
        <f t="shared" ca="1" si="198"/>
        <v>7</v>
      </c>
    </row>
    <row r="4179" spans="1:5" x14ac:dyDescent="0.25">
      <c r="A4179" s="3">
        <f t="shared" si="196"/>
        <v>78989</v>
      </c>
      <c r="B4179" t="str">
        <f ca="1">TEXT(DATE(YEAR(Invoer!$A$5),1,1)+INT((ROWS(B$2:B4179)-1)/24),"""18""jjmmdd")</f>
        <v>18980624</v>
      </c>
      <c r="C4179" s="11" t="str">
        <f>INDEX(Data,2,2+MOD(ROWS(C$2:C4179)-1,24))</f>
        <v>02.00</v>
      </c>
      <c r="D4179" s="8" t="str">
        <f t="shared" ca="1" si="197"/>
        <v>—</v>
      </c>
      <c r="E4179" s="16">
        <f t="shared" ca="1" si="198"/>
        <v>7</v>
      </c>
    </row>
    <row r="4180" spans="1:5" x14ac:dyDescent="0.25">
      <c r="A4180" s="3">
        <f t="shared" si="196"/>
        <v>78989</v>
      </c>
      <c r="B4180" t="str">
        <f ca="1">TEXT(DATE(YEAR(Invoer!$A$5),1,1)+INT((ROWS(B$2:B4180)-1)/24),"""18""jjmmdd")</f>
        <v>18980624</v>
      </c>
      <c r="C4180" s="11" t="str">
        <f>INDEX(Data,2,2+MOD(ROWS(C$2:C4180)-1,24))</f>
        <v>03.00</v>
      </c>
      <c r="D4180" s="8" t="str">
        <f t="shared" ca="1" si="197"/>
        <v>—</v>
      </c>
      <c r="E4180" s="16">
        <f t="shared" ca="1" si="198"/>
        <v>7</v>
      </c>
    </row>
    <row r="4181" spans="1:5" x14ac:dyDescent="0.25">
      <c r="A4181" s="3">
        <f t="shared" si="196"/>
        <v>78989</v>
      </c>
      <c r="B4181" t="str">
        <f ca="1">TEXT(DATE(YEAR(Invoer!$A$5),1,1)+INT((ROWS(B$2:B4181)-1)/24),"""18""jjmmdd")</f>
        <v>18980624</v>
      </c>
      <c r="C4181" s="11" t="str">
        <f>INDEX(Data,2,2+MOD(ROWS(C$2:C4181)-1,24))</f>
        <v>04.00</v>
      </c>
      <c r="D4181" s="8" t="str">
        <f t="shared" ca="1" si="197"/>
        <v>—</v>
      </c>
      <c r="E4181" s="16">
        <f t="shared" ca="1" si="198"/>
        <v>7</v>
      </c>
    </row>
    <row r="4182" spans="1:5" x14ac:dyDescent="0.25">
      <c r="A4182" s="3">
        <f t="shared" si="196"/>
        <v>78989</v>
      </c>
      <c r="B4182" t="str">
        <f ca="1">TEXT(DATE(YEAR(Invoer!$A$5),1,1)+INT((ROWS(B$2:B4182)-1)/24),"""18""jjmmdd")</f>
        <v>18980624</v>
      </c>
      <c r="C4182" s="11" t="str">
        <f>INDEX(Data,2,2+MOD(ROWS(C$2:C4182)-1,24))</f>
        <v>05.00</v>
      </c>
      <c r="D4182" s="8" t="str">
        <f t="shared" ca="1" si="197"/>
        <v>—</v>
      </c>
      <c r="E4182" s="16">
        <f t="shared" ca="1" si="198"/>
        <v>7</v>
      </c>
    </row>
    <row r="4183" spans="1:5" x14ac:dyDescent="0.25">
      <c r="A4183" s="3">
        <f t="shared" si="196"/>
        <v>78989</v>
      </c>
      <c r="B4183" t="str">
        <f ca="1">TEXT(DATE(YEAR(Invoer!$A$5),1,1)+INT((ROWS(B$2:B4183)-1)/24),"""18""jjmmdd")</f>
        <v>18980624</v>
      </c>
      <c r="C4183" s="11" t="str">
        <f>INDEX(Data,2,2+MOD(ROWS(C$2:C4183)-1,24))</f>
        <v>06.00</v>
      </c>
      <c r="D4183" s="8" t="str">
        <f t="shared" ca="1" si="197"/>
        <v>—</v>
      </c>
      <c r="E4183" s="16">
        <f t="shared" ca="1" si="198"/>
        <v>7</v>
      </c>
    </row>
    <row r="4184" spans="1:5" x14ac:dyDescent="0.25">
      <c r="A4184" s="3">
        <f t="shared" si="196"/>
        <v>78989</v>
      </c>
      <c r="B4184" t="str">
        <f ca="1">TEXT(DATE(YEAR(Invoer!$A$5),1,1)+INT((ROWS(B$2:B4184)-1)/24),"""18""jjmmdd")</f>
        <v>18980624</v>
      </c>
      <c r="C4184" s="11" t="str">
        <f>INDEX(Data,2,2+MOD(ROWS(C$2:C4184)-1,24))</f>
        <v>07.00</v>
      </c>
      <c r="D4184" s="8" t="str">
        <f t="shared" ca="1" si="197"/>
        <v>—</v>
      </c>
      <c r="E4184" s="16">
        <f t="shared" ca="1" si="198"/>
        <v>7</v>
      </c>
    </row>
    <row r="4185" spans="1:5" x14ac:dyDescent="0.25">
      <c r="A4185" s="3">
        <f t="shared" si="196"/>
        <v>78989</v>
      </c>
      <c r="B4185" t="str">
        <f ca="1">TEXT(DATE(YEAR(Invoer!$A$5),1,1)+INT((ROWS(B$2:B4185)-1)/24),"""18""jjmmdd")</f>
        <v>18980624</v>
      </c>
      <c r="C4185" s="11" t="str">
        <f>INDEX(Data,2,2+MOD(ROWS(C$2:C4185)-1,24))</f>
        <v>08.00</v>
      </c>
      <c r="D4185" s="8" t="str">
        <f t="shared" ca="1" si="197"/>
        <v>—</v>
      </c>
      <c r="E4185" s="16">
        <f t="shared" ca="1" si="198"/>
        <v>7</v>
      </c>
    </row>
    <row r="4186" spans="1:5" x14ac:dyDescent="0.25">
      <c r="A4186" s="3">
        <f t="shared" si="196"/>
        <v>78989</v>
      </c>
      <c r="B4186" t="str">
        <f ca="1">TEXT(DATE(YEAR(Invoer!$A$5),1,1)+INT((ROWS(B$2:B4186)-1)/24),"""18""jjmmdd")</f>
        <v>18980624</v>
      </c>
      <c r="C4186" s="11" t="str">
        <f>INDEX(Data,2,2+MOD(ROWS(C$2:C4186)-1,24))</f>
        <v>09.00</v>
      </c>
      <c r="D4186" s="8" t="str">
        <f t="shared" ca="1" si="197"/>
        <v>—</v>
      </c>
      <c r="E4186" s="16">
        <f t="shared" ca="1" si="198"/>
        <v>7</v>
      </c>
    </row>
    <row r="4187" spans="1:5" x14ac:dyDescent="0.25">
      <c r="A4187" s="3">
        <f t="shared" si="196"/>
        <v>78989</v>
      </c>
      <c r="B4187" t="str">
        <f ca="1">TEXT(DATE(YEAR(Invoer!$A$5),1,1)+INT((ROWS(B$2:B4187)-1)/24),"""18""jjmmdd")</f>
        <v>18980624</v>
      </c>
      <c r="C4187" s="11" t="str">
        <f>INDEX(Data,2,2+MOD(ROWS(C$2:C4187)-1,24))</f>
        <v>10.00</v>
      </c>
      <c r="D4187" s="8" t="str">
        <f t="shared" ca="1" si="197"/>
        <v>—</v>
      </c>
      <c r="E4187" s="16">
        <f t="shared" ca="1" si="198"/>
        <v>7</v>
      </c>
    </row>
    <row r="4188" spans="1:5" x14ac:dyDescent="0.25">
      <c r="A4188" s="3">
        <f t="shared" si="196"/>
        <v>78989</v>
      </c>
      <c r="B4188" t="str">
        <f ca="1">TEXT(DATE(YEAR(Invoer!$A$5),1,1)+INT((ROWS(B$2:B4188)-1)/24),"""18""jjmmdd")</f>
        <v>18980624</v>
      </c>
      <c r="C4188" s="11" t="str">
        <f>INDEX(Data,2,2+MOD(ROWS(C$2:C4188)-1,24))</f>
        <v>11.00</v>
      </c>
      <c r="D4188" s="8" t="str">
        <f t="shared" ca="1" si="197"/>
        <v>—</v>
      </c>
      <c r="E4188" s="16">
        <f t="shared" ca="1" si="198"/>
        <v>7</v>
      </c>
    </row>
    <row r="4189" spans="1:5" x14ac:dyDescent="0.25">
      <c r="A4189" s="3">
        <f t="shared" si="196"/>
        <v>78989</v>
      </c>
      <c r="B4189" t="str">
        <f ca="1">TEXT(DATE(YEAR(Invoer!$A$5),1,1)+INT((ROWS(B$2:B4189)-1)/24),"""18""jjmmdd")</f>
        <v>18980624</v>
      </c>
      <c r="C4189" s="11" t="str">
        <f>INDEX(Data,2,2+MOD(ROWS(C$2:C4189)-1,24))</f>
        <v>12.00</v>
      </c>
      <c r="D4189" s="8" t="str">
        <f t="shared" ca="1" si="197"/>
        <v>—</v>
      </c>
      <c r="E4189" s="16">
        <f t="shared" ca="1" si="198"/>
        <v>7</v>
      </c>
    </row>
    <row r="4190" spans="1:5" x14ac:dyDescent="0.25">
      <c r="A4190" s="3">
        <f t="shared" si="196"/>
        <v>78989</v>
      </c>
      <c r="B4190" t="str">
        <f ca="1">TEXT(DATE(YEAR(Invoer!$A$5),1,1)+INT((ROWS(B$2:B4190)-1)/24),"""18""jjmmdd")</f>
        <v>18980624</v>
      </c>
      <c r="C4190" s="11" t="str">
        <f>INDEX(Data,2,2+MOD(ROWS(C$2:C4190)-1,24))</f>
        <v>13.00</v>
      </c>
      <c r="D4190" s="8" t="str">
        <f t="shared" ca="1" si="197"/>
        <v>—</v>
      </c>
      <c r="E4190" s="16">
        <f t="shared" ca="1" si="198"/>
        <v>7</v>
      </c>
    </row>
    <row r="4191" spans="1:5" x14ac:dyDescent="0.25">
      <c r="A4191" s="3">
        <f t="shared" si="196"/>
        <v>78989</v>
      </c>
      <c r="B4191" t="str">
        <f ca="1">TEXT(DATE(YEAR(Invoer!$A$5),1,1)+INT((ROWS(B$2:B4191)-1)/24),"""18""jjmmdd")</f>
        <v>18980624</v>
      </c>
      <c r="C4191" s="11" t="str">
        <f>INDEX(Data,2,2+MOD(ROWS(C$2:C4191)-1,24))</f>
        <v>14.00</v>
      </c>
      <c r="D4191" s="8" t="str">
        <f t="shared" ca="1" si="197"/>
        <v>—</v>
      </c>
      <c r="E4191" s="16">
        <f t="shared" ca="1" si="198"/>
        <v>7</v>
      </c>
    </row>
    <row r="4192" spans="1:5" x14ac:dyDescent="0.25">
      <c r="A4192" s="3">
        <f t="shared" si="196"/>
        <v>78989</v>
      </c>
      <c r="B4192" t="str">
        <f ca="1">TEXT(DATE(YEAR(Invoer!$A$5),1,1)+INT((ROWS(B$2:B4192)-1)/24),"""18""jjmmdd")</f>
        <v>18980624</v>
      </c>
      <c r="C4192" s="11" t="str">
        <f>INDEX(Data,2,2+MOD(ROWS(C$2:C4192)-1,24))</f>
        <v>15.00</v>
      </c>
      <c r="D4192" s="8" t="str">
        <f t="shared" ca="1" si="197"/>
        <v>—</v>
      </c>
      <c r="E4192" s="16">
        <f t="shared" ca="1" si="198"/>
        <v>7</v>
      </c>
    </row>
    <row r="4193" spans="1:5" x14ac:dyDescent="0.25">
      <c r="A4193" s="3">
        <f t="shared" si="196"/>
        <v>78989</v>
      </c>
      <c r="B4193" t="str">
        <f ca="1">TEXT(DATE(YEAR(Invoer!$A$5),1,1)+INT((ROWS(B$2:B4193)-1)/24),"""18""jjmmdd")</f>
        <v>18980624</v>
      </c>
      <c r="C4193" s="11" t="str">
        <f>INDEX(Data,2,2+MOD(ROWS(C$2:C4193)-1,24))</f>
        <v>16.00</v>
      </c>
      <c r="D4193" s="8" t="str">
        <f t="shared" ca="1" si="197"/>
        <v>—</v>
      </c>
      <c r="E4193" s="16">
        <f t="shared" ca="1" si="198"/>
        <v>7</v>
      </c>
    </row>
    <row r="4194" spans="1:5" x14ac:dyDescent="0.25">
      <c r="A4194" s="3">
        <f t="shared" si="196"/>
        <v>78989</v>
      </c>
      <c r="B4194" t="str">
        <f ca="1">TEXT(DATE(YEAR(Invoer!$A$5),1,1)+INT((ROWS(B$2:B4194)-1)/24),"""18""jjmmdd")</f>
        <v>18980624</v>
      </c>
      <c r="C4194" s="11" t="str">
        <f>INDEX(Data,2,2+MOD(ROWS(C$2:C4194)-1,24))</f>
        <v>17.00</v>
      </c>
      <c r="D4194" s="8" t="str">
        <f t="shared" ca="1" si="197"/>
        <v>—</v>
      </c>
      <c r="E4194" s="16">
        <f t="shared" ca="1" si="198"/>
        <v>7</v>
      </c>
    </row>
    <row r="4195" spans="1:5" x14ac:dyDescent="0.25">
      <c r="A4195" s="3">
        <f t="shared" si="196"/>
        <v>78989</v>
      </c>
      <c r="B4195" t="str">
        <f ca="1">TEXT(DATE(YEAR(Invoer!$A$5),1,1)+INT((ROWS(B$2:B4195)-1)/24),"""18""jjmmdd")</f>
        <v>18980624</v>
      </c>
      <c r="C4195" s="11" t="str">
        <f>INDEX(Data,2,2+MOD(ROWS(C$2:C4195)-1,24))</f>
        <v>18.00</v>
      </c>
      <c r="D4195" s="8" t="str">
        <f t="shared" ca="1" si="197"/>
        <v>—</v>
      </c>
      <c r="E4195" s="16">
        <f t="shared" ca="1" si="198"/>
        <v>7</v>
      </c>
    </row>
    <row r="4196" spans="1:5" x14ac:dyDescent="0.25">
      <c r="A4196" s="3">
        <f t="shared" si="196"/>
        <v>78989</v>
      </c>
      <c r="B4196" t="str">
        <f ca="1">TEXT(DATE(YEAR(Invoer!$A$5),1,1)+INT((ROWS(B$2:B4196)-1)/24),"""18""jjmmdd")</f>
        <v>18980624</v>
      </c>
      <c r="C4196" s="11" t="str">
        <f>INDEX(Data,2,2+MOD(ROWS(C$2:C4196)-1,24))</f>
        <v>19.00</v>
      </c>
      <c r="D4196" s="8" t="str">
        <f t="shared" ca="1" si="197"/>
        <v>—</v>
      </c>
      <c r="E4196" s="16">
        <f t="shared" ca="1" si="198"/>
        <v>7</v>
      </c>
    </row>
    <row r="4197" spans="1:5" x14ac:dyDescent="0.25">
      <c r="A4197" s="3">
        <f t="shared" si="196"/>
        <v>78989</v>
      </c>
      <c r="B4197" t="str">
        <f ca="1">TEXT(DATE(YEAR(Invoer!$A$5),1,1)+INT((ROWS(B$2:B4197)-1)/24),"""18""jjmmdd")</f>
        <v>18980624</v>
      </c>
      <c r="C4197" s="11" t="str">
        <f>INDEX(Data,2,2+MOD(ROWS(C$2:C4197)-1,24))</f>
        <v>20.00</v>
      </c>
      <c r="D4197" s="8" t="str">
        <f t="shared" ca="1" si="197"/>
        <v>—</v>
      </c>
      <c r="E4197" s="16">
        <f t="shared" ca="1" si="198"/>
        <v>7</v>
      </c>
    </row>
    <row r="4198" spans="1:5" x14ac:dyDescent="0.25">
      <c r="A4198" s="3">
        <f t="shared" si="196"/>
        <v>78989</v>
      </c>
      <c r="B4198" t="str">
        <f ca="1">TEXT(DATE(YEAR(Invoer!$A$5),1,1)+INT((ROWS(B$2:B4198)-1)/24),"""18""jjmmdd")</f>
        <v>18980624</v>
      </c>
      <c r="C4198" s="11" t="str">
        <f>INDEX(Data,2,2+MOD(ROWS(C$2:C4198)-1,24))</f>
        <v>21.00</v>
      </c>
      <c r="D4198" s="8" t="str">
        <f t="shared" ca="1" si="197"/>
        <v>—</v>
      </c>
      <c r="E4198" s="16">
        <f t="shared" ca="1" si="198"/>
        <v>7</v>
      </c>
    </row>
    <row r="4199" spans="1:5" x14ac:dyDescent="0.25">
      <c r="A4199" s="3">
        <f t="shared" si="196"/>
        <v>78989</v>
      </c>
      <c r="B4199" t="str">
        <f ca="1">TEXT(DATE(YEAR(Invoer!$A$5),1,1)+INT((ROWS(B$2:B4199)-1)/24),"""18""jjmmdd")</f>
        <v>18980624</v>
      </c>
      <c r="C4199" s="11" t="str">
        <f>INDEX(Data,2,2+MOD(ROWS(C$2:C4199)-1,24))</f>
        <v>22.00</v>
      </c>
      <c r="D4199" s="8" t="str">
        <f t="shared" ca="1" si="197"/>
        <v>—</v>
      </c>
      <c r="E4199" s="16">
        <f t="shared" ca="1" si="198"/>
        <v>7</v>
      </c>
    </row>
    <row r="4200" spans="1:5" x14ac:dyDescent="0.25">
      <c r="A4200" s="3">
        <f t="shared" si="196"/>
        <v>78989</v>
      </c>
      <c r="B4200" t="str">
        <f ca="1">TEXT(DATE(YEAR(Invoer!$A$5),1,1)+INT((ROWS(B$2:B4200)-1)/24),"""18""jjmmdd")</f>
        <v>18980624</v>
      </c>
      <c r="C4200" s="11" t="str">
        <f>INDEX(Data,2,2+MOD(ROWS(C$2:C4200)-1,24))</f>
        <v>23.00</v>
      </c>
      <c r="D4200" s="8" t="str">
        <f t="shared" ca="1" si="197"/>
        <v>—</v>
      </c>
      <c r="E4200" s="16">
        <f t="shared" ca="1" si="198"/>
        <v>7</v>
      </c>
    </row>
    <row r="4201" spans="1:5" x14ac:dyDescent="0.25">
      <c r="A4201" s="3">
        <f t="shared" si="196"/>
        <v>78989</v>
      </c>
      <c r="B4201" t="str">
        <f ca="1">TEXT(DATE(YEAR(Invoer!$A$5),1,1)+INT((ROWS(B$2:B4201)-1)/24),"""18""jjmmdd")</f>
        <v>18980624</v>
      </c>
      <c r="C4201" s="11" t="str">
        <f>INDEX(Data,2,2+MOD(ROWS(C$2:C4201)-1,24))</f>
        <v>24.00</v>
      </c>
      <c r="D4201" s="8" t="str">
        <f t="shared" ca="1" si="197"/>
        <v>—</v>
      </c>
      <c r="E4201" s="16">
        <f t="shared" ca="1" si="198"/>
        <v>7</v>
      </c>
    </row>
    <row r="4202" spans="1:5" x14ac:dyDescent="0.25">
      <c r="A4202" s="3">
        <f t="shared" si="196"/>
        <v>78989</v>
      </c>
      <c r="B4202" t="str">
        <f ca="1">TEXT(DATE(YEAR(Invoer!$A$5),1,1)+INT((ROWS(B$2:B4202)-1)/24),"""18""jjmmdd")</f>
        <v>18980625</v>
      </c>
      <c r="C4202" s="11" t="str">
        <f>INDEX(Data,2,2+MOD(ROWS(C$2:C4202)-1,24))</f>
        <v>01.00</v>
      </c>
      <c r="D4202" s="8" t="str">
        <f t="shared" ca="1" si="197"/>
        <v>—</v>
      </c>
      <c r="E4202" s="16">
        <f t="shared" ca="1" si="198"/>
        <v>7</v>
      </c>
    </row>
    <row r="4203" spans="1:5" x14ac:dyDescent="0.25">
      <c r="A4203" s="3">
        <f t="shared" si="196"/>
        <v>78989</v>
      </c>
      <c r="B4203" t="str">
        <f ca="1">TEXT(DATE(YEAR(Invoer!$A$5),1,1)+INT((ROWS(B$2:B4203)-1)/24),"""18""jjmmdd")</f>
        <v>18980625</v>
      </c>
      <c r="C4203" s="11" t="str">
        <f>INDEX(Data,2,2+MOD(ROWS(C$2:C4203)-1,24))</f>
        <v>02.00</v>
      </c>
      <c r="D4203" s="8" t="str">
        <f t="shared" ca="1" si="197"/>
        <v>—</v>
      </c>
      <c r="E4203" s="16">
        <f t="shared" ca="1" si="198"/>
        <v>7</v>
      </c>
    </row>
    <row r="4204" spans="1:5" x14ac:dyDescent="0.25">
      <c r="A4204" s="3">
        <f t="shared" si="196"/>
        <v>78989</v>
      </c>
      <c r="B4204" t="str">
        <f ca="1">TEXT(DATE(YEAR(Invoer!$A$5),1,1)+INT((ROWS(B$2:B4204)-1)/24),"""18""jjmmdd")</f>
        <v>18980625</v>
      </c>
      <c r="C4204" s="11" t="str">
        <f>INDEX(Data,2,2+MOD(ROWS(C$2:C4204)-1,24))</f>
        <v>03.00</v>
      </c>
      <c r="D4204" s="8" t="str">
        <f t="shared" ca="1" si="197"/>
        <v>—</v>
      </c>
      <c r="E4204" s="16">
        <f t="shared" ca="1" si="198"/>
        <v>7</v>
      </c>
    </row>
    <row r="4205" spans="1:5" x14ac:dyDescent="0.25">
      <c r="A4205" s="3">
        <f t="shared" si="196"/>
        <v>78989</v>
      </c>
      <c r="B4205" t="str">
        <f ca="1">TEXT(DATE(YEAR(Invoer!$A$5),1,1)+INT((ROWS(B$2:B4205)-1)/24),"""18""jjmmdd")</f>
        <v>18980625</v>
      </c>
      <c r="C4205" s="11" t="str">
        <f>INDEX(Data,2,2+MOD(ROWS(C$2:C4205)-1,24))</f>
        <v>04.00</v>
      </c>
      <c r="D4205" s="8" t="str">
        <f t="shared" ca="1" si="197"/>
        <v>—</v>
      </c>
      <c r="E4205" s="16">
        <f t="shared" ca="1" si="198"/>
        <v>7</v>
      </c>
    </row>
    <row r="4206" spans="1:5" x14ac:dyDescent="0.25">
      <c r="A4206" s="3">
        <f t="shared" si="196"/>
        <v>78989</v>
      </c>
      <c r="B4206" t="str">
        <f ca="1">TEXT(DATE(YEAR(Invoer!$A$5),1,1)+INT((ROWS(B$2:B4206)-1)/24),"""18""jjmmdd")</f>
        <v>18980625</v>
      </c>
      <c r="C4206" s="11" t="str">
        <f>INDEX(Data,2,2+MOD(ROWS(C$2:C4206)-1,24))</f>
        <v>05.00</v>
      </c>
      <c r="D4206" s="8" t="str">
        <f t="shared" ca="1" si="197"/>
        <v>—</v>
      </c>
      <c r="E4206" s="16">
        <f t="shared" ca="1" si="198"/>
        <v>7</v>
      </c>
    </row>
    <row r="4207" spans="1:5" x14ac:dyDescent="0.25">
      <c r="A4207" s="3">
        <f t="shared" si="196"/>
        <v>78989</v>
      </c>
      <c r="B4207" t="str">
        <f ca="1">TEXT(DATE(YEAR(Invoer!$A$5),1,1)+INT((ROWS(B$2:B4207)-1)/24),"""18""jjmmdd")</f>
        <v>18980625</v>
      </c>
      <c r="C4207" s="11" t="str">
        <f>INDEX(Data,2,2+MOD(ROWS(C$2:C4207)-1,24))</f>
        <v>06.00</v>
      </c>
      <c r="D4207" s="8" t="str">
        <f t="shared" ca="1" si="197"/>
        <v>—</v>
      </c>
      <c r="E4207" s="16">
        <f t="shared" ca="1" si="198"/>
        <v>7</v>
      </c>
    </row>
    <row r="4208" spans="1:5" x14ac:dyDescent="0.25">
      <c r="A4208" s="3">
        <f t="shared" si="196"/>
        <v>78989</v>
      </c>
      <c r="B4208" t="str">
        <f ca="1">TEXT(DATE(YEAR(Invoer!$A$5),1,1)+INT((ROWS(B$2:B4208)-1)/24),"""18""jjmmdd")</f>
        <v>18980625</v>
      </c>
      <c r="C4208" s="11" t="str">
        <f>INDEX(Data,2,2+MOD(ROWS(C$2:C4208)-1,24))</f>
        <v>07.00</v>
      </c>
      <c r="D4208" s="8" t="str">
        <f t="shared" ca="1" si="197"/>
        <v>—</v>
      </c>
      <c r="E4208" s="16">
        <f t="shared" ca="1" si="198"/>
        <v>7</v>
      </c>
    </row>
    <row r="4209" spans="1:5" x14ac:dyDescent="0.25">
      <c r="A4209" s="3">
        <f t="shared" si="196"/>
        <v>78989</v>
      </c>
      <c r="B4209" t="str">
        <f ca="1">TEXT(DATE(YEAR(Invoer!$A$5),1,1)+INT((ROWS(B$2:B4209)-1)/24),"""18""jjmmdd")</f>
        <v>18980625</v>
      </c>
      <c r="C4209" s="11" t="str">
        <f>INDEX(Data,2,2+MOD(ROWS(C$2:C4209)-1,24))</f>
        <v>08.00</v>
      </c>
      <c r="D4209" s="8" t="str">
        <f t="shared" ca="1" si="197"/>
        <v>—</v>
      </c>
      <c r="E4209" s="16">
        <f t="shared" ca="1" si="198"/>
        <v>7</v>
      </c>
    </row>
    <row r="4210" spans="1:5" x14ac:dyDescent="0.25">
      <c r="A4210" s="3">
        <f t="shared" si="196"/>
        <v>78989</v>
      </c>
      <c r="B4210" t="str">
        <f ca="1">TEXT(DATE(YEAR(Invoer!$A$5),1,1)+INT((ROWS(B$2:B4210)-1)/24),"""18""jjmmdd")</f>
        <v>18980625</v>
      </c>
      <c r="C4210" s="11" t="str">
        <f>INDEX(Data,2,2+MOD(ROWS(C$2:C4210)-1,24))</f>
        <v>09.00</v>
      </c>
      <c r="D4210" s="8" t="str">
        <f t="shared" ca="1" si="197"/>
        <v>—</v>
      </c>
      <c r="E4210" s="16">
        <f t="shared" ca="1" si="198"/>
        <v>7</v>
      </c>
    </row>
    <row r="4211" spans="1:5" x14ac:dyDescent="0.25">
      <c r="A4211" s="3">
        <f t="shared" si="196"/>
        <v>78989</v>
      </c>
      <c r="B4211" t="str">
        <f ca="1">TEXT(DATE(YEAR(Invoer!$A$5),1,1)+INT((ROWS(B$2:B4211)-1)/24),"""18""jjmmdd")</f>
        <v>18980625</v>
      </c>
      <c r="C4211" s="11" t="str">
        <f>INDEX(Data,2,2+MOD(ROWS(C$2:C4211)-1,24))</f>
        <v>10.00</v>
      </c>
      <c r="D4211" s="8" t="str">
        <f t="shared" ca="1" si="197"/>
        <v>—</v>
      </c>
      <c r="E4211" s="16">
        <f t="shared" ca="1" si="198"/>
        <v>7</v>
      </c>
    </row>
    <row r="4212" spans="1:5" x14ac:dyDescent="0.25">
      <c r="A4212" s="3">
        <f t="shared" si="196"/>
        <v>78989</v>
      </c>
      <c r="B4212" t="str">
        <f ca="1">TEXT(DATE(YEAR(Invoer!$A$5),1,1)+INT((ROWS(B$2:B4212)-1)/24),"""18""jjmmdd")</f>
        <v>18980625</v>
      </c>
      <c r="C4212" s="11" t="str">
        <f>INDEX(Data,2,2+MOD(ROWS(C$2:C4212)-1,24))</f>
        <v>11.00</v>
      </c>
      <c r="D4212" s="8" t="str">
        <f t="shared" ca="1" si="197"/>
        <v>—</v>
      </c>
      <c r="E4212" s="16">
        <f t="shared" ca="1" si="198"/>
        <v>7</v>
      </c>
    </row>
    <row r="4213" spans="1:5" x14ac:dyDescent="0.25">
      <c r="A4213" s="3">
        <f t="shared" si="196"/>
        <v>78989</v>
      </c>
      <c r="B4213" t="str">
        <f ca="1">TEXT(DATE(YEAR(Invoer!$A$5),1,1)+INT((ROWS(B$2:B4213)-1)/24),"""18""jjmmdd")</f>
        <v>18980625</v>
      </c>
      <c r="C4213" s="11" t="str">
        <f>INDEX(Data,2,2+MOD(ROWS(C$2:C4213)-1,24))</f>
        <v>12.00</v>
      </c>
      <c r="D4213" s="8" t="str">
        <f t="shared" ca="1" si="197"/>
        <v>—</v>
      </c>
      <c r="E4213" s="16">
        <f t="shared" ca="1" si="198"/>
        <v>7</v>
      </c>
    </row>
    <row r="4214" spans="1:5" x14ac:dyDescent="0.25">
      <c r="A4214" s="3">
        <f t="shared" si="196"/>
        <v>78989</v>
      </c>
      <c r="B4214" t="str">
        <f ca="1">TEXT(DATE(YEAR(Invoer!$A$5),1,1)+INT((ROWS(B$2:B4214)-1)/24),"""18""jjmmdd")</f>
        <v>18980625</v>
      </c>
      <c r="C4214" s="11" t="str">
        <f>INDEX(Data,2,2+MOD(ROWS(C$2:C4214)-1,24))</f>
        <v>13.00</v>
      </c>
      <c r="D4214" s="8" t="str">
        <f t="shared" ca="1" si="197"/>
        <v>—</v>
      </c>
      <c r="E4214" s="16">
        <f t="shared" ca="1" si="198"/>
        <v>7</v>
      </c>
    </row>
    <row r="4215" spans="1:5" x14ac:dyDescent="0.25">
      <c r="A4215" s="3">
        <f t="shared" si="196"/>
        <v>78989</v>
      </c>
      <c r="B4215" t="str">
        <f ca="1">TEXT(DATE(YEAR(Invoer!$A$5),1,1)+INT((ROWS(B$2:B4215)-1)/24),"""18""jjmmdd")</f>
        <v>18980625</v>
      </c>
      <c r="C4215" s="11" t="str">
        <f>INDEX(Data,2,2+MOD(ROWS(C$2:C4215)-1,24))</f>
        <v>14.00</v>
      </c>
      <c r="D4215" s="8" t="str">
        <f t="shared" ca="1" si="197"/>
        <v>—</v>
      </c>
      <c r="E4215" s="16">
        <f t="shared" ca="1" si="198"/>
        <v>7</v>
      </c>
    </row>
    <row r="4216" spans="1:5" x14ac:dyDescent="0.25">
      <c r="A4216" s="3">
        <f t="shared" si="196"/>
        <v>78989</v>
      </c>
      <c r="B4216" t="str">
        <f ca="1">TEXT(DATE(YEAR(Invoer!$A$5),1,1)+INT((ROWS(B$2:B4216)-1)/24),"""18""jjmmdd")</f>
        <v>18980625</v>
      </c>
      <c r="C4216" s="11" t="str">
        <f>INDEX(Data,2,2+MOD(ROWS(C$2:C4216)-1,24))</f>
        <v>15.00</v>
      </c>
      <c r="D4216" s="8" t="str">
        <f t="shared" ca="1" si="197"/>
        <v>—</v>
      </c>
      <c r="E4216" s="16">
        <f t="shared" ca="1" si="198"/>
        <v>7</v>
      </c>
    </row>
    <row r="4217" spans="1:5" x14ac:dyDescent="0.25">
      <c r="A4217" s="3">
        <f t="shared" si="196"/>
        <v>78989</v>
      </c>
      <c r="B4217" t="str">
        <f ca="1">TEXT(DATE(YEAR(Invoer!$A$5),1,1)+INT((ROWS(B$2:B4217)-1)/24),"""18""jjmmdd")</f>
        <v>18980625</v>
      </c>
      <c r="C4217" s="11" t="str">
        <f>INDEX(Data,2,2+MOD(ROWS(C$2:C4217)-1,24))</f>
        <v>16.00</v>
      </c>
      <c r="D4217" s="8" t="str">
        <f t="shared" ca="1" si="197"/>
        <v>—</v>
      </c>
      <c r="E4217" s="16">
        <f t="shared" ca="1" si="198"/>
        <v>7</v>
      </c>
    </row>
    <row r="4218" spans="1:5" x14ac:dyDescent="0.25">
      <c r="A4218" s="3">
        <f t="shared" si="196"/>
        <v>78989</v>
      </c>
      <c r="B4218" t="str">
        <f ca="1">TEXT(DATE(YEAR(Invoer!$A$5),1,1)+INT((ROWS(B$2:B4218)-1)/24),"""18""jjmmdd")</f>
        <v>18980625</v>
      </c>
      <c r="C4218" s="11" t="str">
        <f>INDEX(Data,2,2+MOD(ROWS(C$2:C4218)-1,24))</f>
        <v>17.00</v>
      </c>
      <c r="D4218" s="8" t="str">
        <f t="shared" ca="1" si="197"/>
        <v>—</v>
      </c>
      <c r="E4218" s="16">
        <f t="shared" ca="1" si="198"/>
        <v>7</v>
      </c>
    </row>
    <row r="4219" spans="1:5" x14ac:dyDescent="0.25">
      <c r="A4219" s="3">
        <f t="shared" si="196"/>
        <v>78989</v>
      </c>
      <c r="B4219" t="str">
        <f ca="1">TEXT(DATE(YEAR(Invoer!$A$5),1,1)+INT((ROWS(B$2:B4219)-1)/24),"""18""jjmmdd")</f>
        <v>18980625</v>
      </c>
      <c r="C4219" s="11" t="str">
        <f>INDEX(Data,2,2+MOD(ROWS(C$2:C4219)-1,24))</f>
        <v>18.00</v>
      </c>
      <c r="D4219" s="8" t="str">
        <f t="shared" ca="1" si="197"/>
        <v>—</v>
      </c>
      <c r="E4219" s="16">
        <f t="shared" ca="1" si="198"/>
        <v>7</v>
      </c>
    </row>
    <row r="4220" spans="1:5" x14ac:dyDescent="0.25">
      <c r="A4220" s="3">
        <f t="shared" si="196"/>
        <v>78989</v>
      </c>
      <c r="B4220" t="str">
        <f ca="1">TEXT(DATE(YEAR(Invoer!$A$5),1,1)+INT((ROWS(B$2:B4220)-1)/24),"""18""jjmmdd")</f>
        <v>18980625</v>
      </c>
      <c r="C4220" s="11" t="str">
        <f>INDEX(Data,2,2+MOD(ROWS(C$2:C4220)-1,24))</f>
        <v>19.00</v>
      </c>
      <c r="D4220" s="8" t="str">
        <f t="shared" ca="1" si="197"/>
        <v>—</v>
      </c>
      <c r="E4220" s="16">
        <f t="shared" ca="1" si="198"/>
        <v>7</v>
      </c>
    </row>
    <row r="4221" spans="1:5" x14ac:dyDescent="0.25">
      <c r="A4221" s="3">
        <f t="shared" si="196"/>
        <v>78989</v>
      </c>
      <c r="B4221" t="str">
        <f ca="1">TEXT(DATE(YEAR(Invoer!$A$5),1,1)+INT((ROWS(B$2:B4221)-1)/24),"""18""jjmmdd")</f>
        <v>18980625</v>
      </c>
      <c r="C4221" s="11" t="str">
        <f>INDEX(Data,2,2+MOD(ROWS(C$2:C4221)-1,24))</f>
        <v>20.00</v>
      </c>
      <c r="D4221" s="8" t="str">
        <f t="shared" ca="1" si="197"/>
        <v>—</v>
      </c>
      <c r="E4221" s="16">
        <f t="shared" ca="1" si="198"/>
        <v>7</v>
      </c>
    </row>
    <row r="4222" spans="1:5" x14ac:dyDescent="0.25">
      <c r="A4222" s="3">
        <f t="shared" si="196"/>
        <v>78989</v>
      </c>
      <c r="B4222" t="str">
        <f ca="1">TEXT(DATE(YEAR(Invoer!$A$5),1,1)+INT((ROWS(B$2:B4222)-1)/24),"""18""jjmmdd")</f>
        <v>18980625</v>
      </c>
      <c r="C4222" s="11" t="str">
        <f>INDEX(Data,2,2+MOD(ROWS(C$2:C4222)-1,24))</f>
        <v>21.00</v>
      </c>
      <c r="D4222" s="8" t="str">
        <f t="shared" ca="1" si="197"/>
        <v>—</v>
      </c>
      <c r="E4222" s="16">
        <f t="shared" ca="1" si="198"/>
        <v>7</v>
      </c>
    </row>
    <row r="4223" spans="1:5" x14ac:dyDescent="0.25">
      <c r="A4223" s="3">
        <f t="shared" si="196"/>
        <v>78989</v>
      </c>
      <c r="B4223" t="str">
        <f ca="1">TEXT(DATE(YEAR(Invoer!$A$5),1,1)+INT((ROWS(B$2:B4223)-1)/24),"""18""jjmmdd")</f>
        <v>18980625</v>
      </c>
      <c r="C4223" s="11" t="str">
        <f>INDEX(Data,2,2+MOD(ROWS(C$2:C4223)-1,24))</f>
        <v>22.00</v>
      </c>
      <c r="D4223" s="8" t="str">
        <f t="shared" ca="1" si="197"/>
        <v>—</v>
      </c>
      <c r="E4223" s="16">
        <f t="shared" ca="1" si="198"/>
        <v>7</v>
      </c>
    </row>
    <row r="4224" spans="1:5" x14ac:dyDescent="0.25">
      <c r="A4224" s="3">
        <f t="shared" si="196"/>
        <v>78989</v>
      </c>
      <c r="B4224" t="str">
        <f ca="1">TEXT(DATE(YEAR(Invoer!$A$5),1,1)+INT((ROWS(B$2:B4224)-1)/24),"""18""jjmmdd")</f>
        <v>18980625</v>
      </c>
      <c r="C4224" s="11" t="str">
        <f>INDEX(Data,2,2+MOD(ROWS(C$2:C4224)-1,24))</f>
        <v>23.00</v>
      </c>
      <c r="D4224" s="8" t="str">
        <f t="shared" ca="1" si="197"/>
        <v>—</v>
      </c>
      <c r="E4224" s="16">
        <f t="shared" ca="1" si="198"/>
        <v>7</v>
      </c>
    </row>
    <row r="4225" spans="1:5" x14ac:dyDescent="0.25">
      <c r="A4225" s="3">
        <f t="shared" si="196"/>
        <v>78989</v>
      </c>
      <c r="B4225" t="str">
        <f ca="1">TEXT(DATE(YEAR(Invoer!$A$5),1,1)+INT((ROWS(B$2:B4225)-1)/24),"""18""jjmmdd")</f>
        <v>18980625</v>
      </c>
      <c r="C4225" s="11" t="str">
        <f>INDEX(Data,2,2+MOD(ROWS(C$2:C4225)-1,24))</f>
        <v>24.00</v>
      </c>
      <c r="D4225" s="8" t="str">
        <f t="shared" ca="1" si="197"/>
        <v>—</v>
      </c>
      <c r="E4225" s="16">
        <f t="shared" ca="1" si="198"/>
        <v>7</v>
      </c>
    </row>
    <row r="4226" spans="1:5" x14ac:dyDescent="0.25">
      <c r="A4226" s="3">
        <f t="shared" ref="A4226:A4289" si="199">INDEX(Stations,2,1)</f>
        <v>78989</v>
      </c>
      <c r="B4226" t="str">
        <f ca="1">TEXT(DATE(YEAR(Invoer!$A$5),1,1)+INT((ROWS(B$2:B4226)-1)/24),"""18""jjmmdd")</f>
        <v>18980626</v>
      </c>
      <c r="C4226" s="11" t="str">
        <f>INDEX(Data,2,2+MOD(ROWS(C$2:C4226)-1,24))</f>
        <v>01.00</v>
      </c>
      <c r="D4226" s="8" t="str">
        <f t="shared" ref="D4226:D4289" ca="1" si="200">IF(OR(ISBLANK(VLOOKUP(DATEVALUE("37"&amp;MID($B4226,3,2)&amp;"-"&amp;MID($B4226,5,2)&amp;"-"&amp;RIGHT($B4226,2)),Data,MATCH(LEFT(VLOOKUP(D$1,Parameters,2,FALSE()),4)&amp;"*",OFFSET(Data,0,0,1),0)+MATCH($C4226,OFFSET(Data,1,0,1),0)-2,FALSE())),ISTEXT(VLOOKUP(DATEVALUE("37"&amp;MID($B4226,3,2)&amp;"-"&amp;MID($B4226,5,2)&amp;"-"&amp;RIGHT($B4226,2)),Data,MATCH(LEFT(VLOOKUP(D$1,Parameters,2,FALSE()),4)&amp;"*",OFFSET(Data,0,0,1),0)+MATCH($C4226,OFFSET(Data,1,0,1),0)-2,FALSE()))),"—",VLOOKUP(DATEVALUE("37"&amp;MID($B4226,3,2)&amp;"-"&amp;MID($B4226,5,2)&amp;"-"&amp;RIGHT($B4226,2)),Data,MATCH(LEFT(VLOOKUP(D$1,Parameters,2,FALSE()),4)&amp;"*",OFFSET(Data,0,0,1),0)+MATCH($C4226,OFFSET(Data,1,0,1),0)-2,FALSE()))</f>
        <v>—</v>
      </c>
      <c r="E4226" s="16">
        <f t="shared" ca="1" si="198"/>
        <v>7</v>
      </c>
    </row>
    <row r="4227" spans="1:5" x14ac:dyDescent="0.25">
      <c r="A4227" s="3">
        <f t="shared" si="199"/>
        <v>78989</v>
      </c>
      <c r="B4227" t="str">
        <f ca="1">TEXT(DATE(YEAR(Invoer!$A$5),1,1)+INT((ROWS(B$2:B4227)-1)/24),"""18""jjmmdd")</f>
        <v>18980626</v>
      </c>
      <c r="C4227" s="11" t="str">
        <f>INDEX(Data,2,2+MOD(ROWS(C$2:C4227)-1,24))</f>
        <v>02.00</v>
      </c>
      <c r="D4227" s="8" t="str">
        <f t="shared" ca="1" si="200"/>
        <v>—</v>
      </c>
      <c r="E4227" s="16">
        <f t="shared" ref="E4227:E4290" ca="1" si="201">IF(OR(ISBLANK(VLOOKUP(DATEVALUE("37"&amp;MID($B4227,3,2)&amp;"-"&amp;MID($B4227,5,2)&amp;"-"&amp;RIGHT($B4227,2)),Data,MATCH(LEFT(VLOOKUP(D$1,Parameters,2,FALSE()),4)&amp;"*",OFFSET(Data,0,0,1),0)+MATCH($C4227,OFFSET(Data,1,0,1),0)-2,FALSE())),ISTEXT(VLOOKUP(DATEVALUE("37"&amp;MID($B4227,3,2)&amp;"-"&amp;MID($B4227,5,2)&amp;"-"&amp;RIGHT($B4227,2)),Data,MATCH(LEFT(VLOOKUP(D$1,Parameters,2,FALSE()),4)&amp;"*",OFFSET(Data,0,0,1),0)+MATCH($C4227,OFFSET(Data,1,0,1),0)-2,FALSE()))),Lacking,IF(ISNA(MATCH(DATEVALUE("37"&amp;MID($B4227,3,2)&amp;"-"&amp;MID($B4227,5,2)&amp;"-"&amp;RIGHT($B4227,2)),OFFSET(Catalogus,0,0,,1),0)),Ok,VLOOKUP(DATEVALUE("37"&amp;MID($B4227,3,2)&amp;"-"&amp;MID($B4227,5,2)&amp;"-"&amp;RIGHT($B4227,2)),Catalogus,MATCH(LEFT(VLOOKUP(MID(E$1,2,LEN(E$1)-1),Parameters,2,FALSE()),4)&amp;"*",OFFSET(Catalogus,0,0,1),0)+MATCH($C4227,OFFSET(Catalogus,1,0,1),0)-2,FALSE())))</f>
        <v>7</v>
      </c>
    </row>
    <row r="4228" spans="1:5" x14ac:dyDescent="0.25">
      <c r="A4228" s="3">
        <f t="shared" si="199"/>
        <v>78989</v>
      </c>
      <c r="B4228" t="str">
        <f ca="1">TEXT(DATE(YEAR(Invoer!$A$5),1,1)+INT((ROWS(B$2:B4228)-1)/24),"""18""jjmmdd")</f>
        <v>18980626</v>
      </c>
      <c r="C4228" s="11" t="str">
        <f>INDEX(Data,2,2+MOD(ROWS(C$2:C4228)-1,24))</f>
        <v>03.00</v>
      </c>
      <c r="D4228" s="8" t="str">
        <f t="shared" ca="1" si="200"/>
        <v>—</v>
      </c>
      <c r="E4228" s="16">
        <f t="shared" ca="1" si="201"/>
        <v>7</v>
      </c>
    </row>
    <row r="4229" spans="1:5" x14ac:dyDescent="0.25">
      <c r="A4229" s="3">
        <f t="shared" si="199"/>
        <v>78989</v>
      </c>
      <c r="B4229" t="str">
        <f ca="1">TEXT(DATE(YEAR(Invoer!$A$5),1,1)+INT((ROWS(B$2:B4229)-1)/24),"""18""jjmmdd")</f>
        <v>18980626</v>
      </c>
      <c r="C4229" s="11" t="str">
        <f>INDEX(Data,2,2+MOD(ROWS(C$2:C4229)-1,24))</f>
        <v>04.00</v>
      </c>
      <c r="D4229" s="8" t="str">
        <f t="shared" ca="1" si="200"/>
        <v>—</v>
      </c>
      <c r="E4229" s="16">
        <f t="shared" ca="1" si="201"/>
        <v>7</v>
      </c>
    </row>
    <row r="4230" spans="1:5" x14ac:dyDescent="0.25">
      <c r="A4230" s="3">
        <f t="shared" si="199"/>
        <v>78989</v>
      </c>
      <c r="B4230" t="str">
        <f ca="1">TEXT(DATE(YEAR(Invoer!$A$5),1,1)+INT((ROWS(B$2:B4230)-1)/24),"""18""jjmmdd")</f>
        <v>18980626</v>
      </c>
      <c r="C4230" s="11" t="str">
        <f>INDEX(Data,2,2+MOD(ROWS(C$2:C4230)-1,24))</f>
        <v>05.00</v>
      </c>
      <c r="D4230" s="8" t="str">
        <f t="shared" ca="1" si="200"/>
        <v>—</v>
      </c>
      <c r="E4230" s="16">
        <f t="shared" ca="1" si="201"/>
        <v>7</v>
      </c>
    </row>
    <row r="4231" spans="1:5" x14ac:dyDescent="0.25">
      <c r="A4231" s="3">
        <f t="shared" si="199"/>
        <v>78989</v>
      </c>
      <c r="B4231" t="str">
        <f ca="1">TEXT(DATE(YEAR(Invoer!$A$5),1,1)+INT((ROWS(B$2:B4231)-1)/24),"""18""jjmmdd")</f>
        <v>18980626</v>
      </c>
      <c r="C4231" s="11" t="str">
        <f>INDEX(Data,2,2+MOD(ROWS(C$2:C4231)-1,24))</f>
        <v>06.00</v>
      </c>
      <c r="D4231" s="8" t="str">
        <f t="shared" ca="1" si="200"/>
        <v>—</v>
      </c>
      <c r="E4231" s="16">
        <f t="shared" ca="1" si="201"/>
        <v>7</v>
      </c>
    </row>
    <row r="4232" spans="1:5" x14ac:dyDescent="0.25">
      <c r="A4232" s="3">
        <f t="shared" si="199"/>
        <v>78989</v>
      </c>
      <c r="B4232" t="str">
        <f ca="1">TEXT(DATE(YEAR(Invoer!$A$5),1,1)+INT((ROWS(B$2:B4232)-1)/24),"""18""jjmmdd")</f>
        <v>18980626</v>
      </c>
      <c r="C4232" s="11" t="str">
        <f>INDEX(Data,2,2+MOD(ROWS(C$2:C4232)-1,24))</f>
        <v>07.00</v>
      </c>
      <c r="D4232" s="8" t="str">
        <f t="shared" ca="1" si="200"/>
        <v>—</v>
      </c>
      <c r="E4232" s="16">
        <f t="shared" ca="1" si="201"/>
        <v>7</v>
      </c>
    </row>
    <row r="4233" spans="1:5" x14ac:dyDescent="0.25">
      <c r="A4233" s="3">
        <f t="shared" si="199"/>
        <v>78989</v>
      </c>
      <c r="B4233" t="str">
        <f ca="1">TEXT(DATE(YEAR(Invoer!$A$5),1,1)+INT((ROWS(B$2:B4233)-1)/24),"""18""jjmmdd")</f>
        <v>18980626</v>
      </c>
      <c r="C4233" s="11" t="str">
        <f>INDEX(Data,2,2+MOD(ROWS(C$2:C4233)-1,24))</f>
        <v>08.00</v>
      </c>
      <c r="D4233" s="8" t="str">
        <f t="shared" ca="1" si="200"/>
        <v>—</v>
      </c>
      <c r="E4233" s="16">
        <f t="shared" ca="1" si="201"/>
        <v>7</v>
      </c>
    </row>
    <row r="4234" spans="1:5" x14ac:dyDescent="0.25">
      <c r="A4234" s="3">
        <f t="shared" si="199"/>
        <v>78989</v>
      </c>
      <c r="B4234" t="str">
        <f ca="1">TEXT(DATE(YEAR(Invoer!$A$5),1,1)+INT((ROWS(B$2:B4234)-1)/24),"""18""jjmmdd")</f>
        <v>18980626</v>
      </c>
      <c r="C4234" s="11" t="str">
        <f>INDEX(Data,2,2+MOD(ROWS(C$2:C4234)-1,24))</f>
        <v>09.00</v>
      </c>
      <c r="D4234" s="8" t="str">
        <f t="shared" ca="1" si="200"/>
        <v>—</v>
      </c>
      <c r="E4234" s="16">
        <f t="shared" ca="1" si="201"/>
        <v>7</v>
      </c>
    </row>
    <row r="4235" spans="1:5" x14ac:dyDescent="0.25">
      <c r="A4235" s="3">
        <f t="shared" si="199"/>
        <v>78989</v>
      </c>
      <c r="B4235" t="str">
        <f ca="1">TEXT(DATE(YEAR(Invoer!$A$5),1,1)+INT((ROWS(B$2:B4235)-1)/24),"""18""jjmmdd")</f>
        <v>18980626</v>
      </c>
      <c r="C4235" s="11" t="str">
        <f>INDEX(Data,2,2+MOD(ROWS(C$2:C4235)-1,24))</f>
        <v>10.00</v>
      </c>
      <c r="D4235" s="8" t="str">
        <f t="shared" ca="1" si="200"/>
        <v>—</v>
      </c>
      <c r="E4235" s="16">
        <f t="shared" ca="1" si="201"/>
        <v>7</v>
      </c>
    </row>
    <row r="4236" spans="1:5" x14ac:dyDescent="0.25">
      <c r="A4236" s="3">
        <f t="shared" si="199"/>
        <v>78989</v>
      </c>
      <c r="B4236" t="str">
        <f ca="1">TEXT(DATE(YEAR(Invoer!$A$5),1,1)+INT((ROWS(B$2:B4236)-1)/24),"""18""jjmmdd")</f>
        <v>18980626</v>
      </c>
      <c r="C4236" s="11" t="str">
        <f>INDEX(Data,2,2+MOD(ROWS(C$2:C4236)-1,24))</f>
        <v>11.00</v>
      </c>
      <c r="D4236" s="8" t="str">
        <f t="shared" ca="1" si="200"/>
        <v>—</v>
      </c>
      <c r="E4236" s="16">
        <f t="shared" ca="1" si="201"/>
        <v>7</v>
      </c>
    </row>
    <row r="4237" spans="1:5" x14ac:dyDescent="0.25">
      <c r="A4237" s="3">
        <f t="shared" si="199"/>
        <v>78989</v>
      </c>
      <c r="B4237" t="str">
        <f ca="1">TEXT(DATE(YEAR(Invoer!$A$5),1,1)+INT((ROWS(B$2:B4237)-1)/24),"""18""jjmmdd")</f>
        <v>18980626</v>
      </c>
      <c r="C4237" s="11" t="str">
        <f>INDEX(Data,2,2+MOD(ROWS(C$2:C4237)-1,24))</f>
        <v>12.00</v>
      </c>
      <c r="D4237" s="8" t="str">
        <f t="shared" ca="1" si="200"/>
        <v>—</v>
      </c>
      <c r="E4237" s="16">
        <f t="shared" ca="1" si="201"/>
        <v>7</v>
      </c>
    </row>
    <row r="4238" spans="1:5" x14ac:dyDescent="0.25">
      <c r="A4238" s="3">
        <f t="shared" si="199"/>
        <v>78989</v>
      </c>
      <c r="B4238" t="str">
        <f ca="1">TEXT(DATE(YEAR(Invoer!$A$5),1,1)+INT((ROWS(B$2:B4238)-1)/24),"""18""jjmmdd")</f>
        <v>18980626</v>
      </c>
      <c r="C4238" s="11" t="str">
        <f>INDEX(Data,2,2+MOD(ROWS(C$2:C4238)-1,24))</f>
        <v>13.00</v>
      </c>
      <c r="D4238" s="8" t="str">
        <f t="shared" ca="1" si="200"/>
        <v>—</v>
      </c>
      <c r="E4238" s="16">
        <f t="shared" ca="1" si="201"/>
        <v>7</v>
      </c>
    </row>
    <row r="4239" spans="1:5" x14ac:dyDescent="0.25">
      <c r="A4239" s="3">
        <f t="shared" si="199"/>
        <v>78989</v>
      </c>
      <c r="B4239" t="str">
        <f ca="1">TEXT(DATE(YEAR(Invoer!$A$5),1,1)+INT((ROWS(B$2:B4239)-1)/24),"""18""jjmmdd")</f>
        <v>18980626</v>
      </c>
      <c r="C4239" s="11" t="str">
        <f>INDEX(Data,2,2+MOD(ROWS(C$2:C4239)-1,24))</f>
        <v>14.00</v>
      </c>
      <c r="D4239" s="8" t="str">
        <f t="shared" ca="1" si="200"/>
        <v>—</v>
      </c>
      <c r="E4239" s="16">
        <f t="shared" ca="1" si="201"/>
        <v>7</v>
      </c>
    </row>
    <row r="4240" spans="1:5" x14ac:dyDescent="0.25">
      <c r="A4240" s="3">
        <f t="shared" si="199"/>
        <v>78989</v>
      </c>
      <c r="B4240" t="str">
        <f ca="1">TEXT(DATE(YEAR(Invoer!$A$5),1,1)+INT((ROWS(B$2:B4240)-1)/24),"""18""jjmmdd")</f>
        <v>18980626</v>
      </c>
      <c r="C4240" s="11" t="str">
        <f>INDEX(Data,2,2+MOD(ROWS(C$2:C4240)-1,24))</f>
        <v>15.00</v>
      </c>
      <c r="D4240" s="8" t="str">
        <f t="shared" ca="1" si="200"/>
        <v>—</v>
      </c>
      <c r="E4240" s="16">
        <f t="shared" ca="1" si="201"/>
        <v>7</v>
      </c>
    </row>
    <row r="4241" spans="1:5" x14ac:dyDescent="0.25">
      <c r="A4241" s="3">
        <f t="shared" si="199"/>
        <v>78989</v>
      </c>
      <c r="B4241" t="str">
        <f ca="1">TEXT(DATE(YEAR(Invoer!$A$5),1,1)+INT((ROWS(B$2:B4241)-1)/24),"""18""jjmmdd")</f>
        <v>18980626</v>
      </c>
      <c r="C4241" s="11" t="str">
        <f>INDEX(Data,2,2+MOD(ROWS(C$2:C4241)-1,24))</f>
        <v>16.00</v>
      </c>
      <c r="D4241" s="8" t="str">
        <f t="shared" ca="1" si="200"/>
        <v>—</v>
      </c>
      <c r="E4241" s="16">
        <f t="shared" ca="1" si="201"/>
        <v>7</v>
      </c>
    </row>
    <row r="4242" spans="1:5" x14ac:dyDescent="0.25">
      <c r="A4242" s="3">
        <f t="shared" si="199"/>
        <v>78989</v>
      </c>
      <c r="B4242" t="str">
        <f ca="1">TEXT(DATE(YEAR(Invoer!$A$5),1,1)+INT((ROWS(B$2:B4242)-1)/24),"""18""jjmmdd")</f>
        <v>18980626</v>
      </c>
      <c r="C4242" s="11" t="str">
        <f>INDEX(Data,2,2+MOD(ROWS(C$2:C4242)-1,24))</f>
        <v>17.00</v>
      </c>
      <c r="D4242" s="8" t="str">
        <f t="shared" ca="1" si="200"/>
        <v>—</v>
      </c>
      <c r="E4242" s="16">
        <f t="shared" ca="1" si="201"/>
        <v>7</v>
      </c>
    </row>
    <row r="4243" spans="1:5" x14ac:dyDescent="0.25">
      <c r="A4243" s="3">
        <f t="shared" si="199"/>
        <v>78989</v>
      </c>
      <c r="B4243" t="str">
        <f ca="1">TEXT(DATE(YEAR(Invoer!$A$5),1,1)+INT((ROWS(B$2:B4243)-1)/24),"""18""jjmmdd")</f>
        <v>18980626</v>
      </c>
      <c r="C4243" s="11" t="str">
        <f>INDEX(Data,2,2+MOD(ROWS(C$2:C4243)-1,24))</f>
        <v>18.00</v>
      </c>
      <c r="D4243" s="8" t="str">
        <f t="shared" ca="1" si="200"/>
        <v>—</v>
      </c>
      <c r="E4243" s="16">
        <f t="shared" ca="1" si="201"/>
        <v>7</v>
      </c>
    </row>
    <row r="4244" spans="1:5" x14ac:dyDescent="0.25">
      <c r="A4244" s="3">
        <f t="shared" si="199"/>
        <v>78989</v>
      </c>
      <c r="B4244" t="str">
        <f ca="1">TEXT(DATE(YEAR(Invoer!$A$5),1,1)+INT((ROWS(B$2:B4244)-1)/24),"""18""jjmmdd")</f>
        <v>18980626</v>
      </c>
      <c r="C4244" s="11" t="str">
        <f>INDEX(Data,2,2+MOD(ROWS(C$2:C4244)-1,24))</f>
        <v>19.00</v>
      </c>
      <c r="D4244" s="8" t="str">
        <f t="shared" ca="1" si="200"/>
        <v>—</v>
      </c>
      <c r="E4244" s="16">
        <f t="shared" ca="1" si="201"/>
        <v>7</v>
      </c>
    </row>
    <row r="4245" spans="1:5" x14ac:dyDescent="0.25">
      <c r="A4245" s="3">
        <f t="shared" si="199"/>
        <v>78989</v>
      </c>
      <c r="B4245" t="str">
        <f ca="1">TEXT(DATE(YEAR(Invoer!$A$5),1,1)+INT((ROWS(B$2:B4245)-1)/24),"""18""jjmmdd")</f>
        <v>18980626</v>
      </c>
      <c r="C4245" s="11" t="str">
        <f>INDEX(Data,2,2+MOD(ROWS(C$2:C4245)-1,24))</f>
        <v>20.00</v>
      </c>
      <c r="D4245" s="8" t="str">
        <f t="shared" ca="1" si="200"/>
        <v>—</v>
      </c>
      <c r="E4245" s="16">
        <f t="shared" ca="1" si="201"/>
        <v>7</v>
      </c>
    </row>
    <row r="4246" spans="1:5" x14ac:dyDescent="0.25">
      <c r="A4246" s="3">
        <f t="shared" si="199"/>
        <v>78989</v>
      </c>
      <c r="B4246" t="str">
        <f ca="1">TEXT(DATE(YEAR(Invoer!$A$5),1,1)+INT((ROWS(B$2:B4246)-1)/24),"""18""jjmmdd")</f>
        <v>18980626</v>
      </c>
      <c r="C4246" s="11" t="str">
        <f>INDEX(Data,2,2+MOD(ROWS(C$2:C4246)-1,24))</f>
        <v>21.00</v>
      </c>
      <c r="D4246" s="8" t="str">
        <f t="shared" ca="1" si="200"/>
        <v>—</v>
      </c>
      <c r="E4246" s="16">
        <f t="shared" ca="1" si="201"/>
        <v>7</v>
      </c>
    </row>
    <row r="4247" spans="1:5" x14ac:dyDescent="0.25">
      <c r="A4247" s="3">
        <f t="shared" si="199"/>
        <v>78989</v>
      </c>
      <c r="B4247" t="str">
        <f ca="1">TEXT(DATE(YEAR(Invoer!$A$5),1,1)+INT((ROWS(B$2:B4247)-1)/24),"""18""jjmmdd")</f>
        <v>18980626</v>
      </c>
      <c r="C4247" s="11" t="str">
        <f>INDEX(Data,2,2+MOD(ROWS(C$2:C4247)-1,24))</f>
        <v>22.00</v>
      </c>
      <c r="D4247" s="8" t="str">
        <f t="shared" ca="1" si="200"/>
        <v>—</v>
      </c>
      <c r="E4247" s="16">
        <f t="shared" ca="1" si="201"/>
        <v>7</v>
      </c>
    </row>
    <row r="4248" spans="1:5" x14ac:dyDescent="0.25">
      <c r="A4248" s="3">
        <f t="shared" si="199"/>
        <v>78989</v>
      </c>
      <c r="B4248" t="str">
        <f ca="1">TEXT(DATE(YEAR(Invoer!$A$5),1,1)+INT((ROWS(B$2:B4248)-1)/24),"""18""jjmmdd")</f>
        <v>18980626</v>
      </c>
      <c r="C4248" s="11" t="str">
        <f>INDEX(Data,2,2+MOD(ROWS(C$2:C4248)-1,24))</f>
        <v>23.00</v>
      </c>
      <c r="D4248" s="8" t="str">
        <f t="shared" ca="1" si="200"/>
        <v>—</v>
      </c>
      <c r="E4248" s="16">
        <f t="shared" ca="1" si="201"/>
        <v>7</v>
      </c>
    </row>
    <row r="4249" spans="1:5" x14ac:dyDescent="0.25">
      <c r="A4249" s="3">
        <f t="shared" si="199"/>
        <v>78989</v>
      </c>
      <c r="B4249" t="str">
        <f ca="1">TEXT(DATE(YEAR(Invoer!$A$5),1,1)+INT((ROWS(B$2:B4249)-1)/24),"""18""jjmmdd")</f>
        <v>18980626</v>
      </c>
      <c r="C4249" s="11" t="str">
        <f>INDEX(Data,2,2+MOD(ROWS(C$2:C4249)-1,24))</f>
        <v>24.00</v>
      </c>
      <c r="D4249" s="8" t="str">
        <f t="shared" ca="1" si="200"/>
        <v>—</v>
      </c>
      <c r="E4249" s="16">
        <f t="shared" ca="1" si="201"/>
        <v>7</v>
      </c>
    </row>
    <row r="4250" spans="1:5" x14ac:dyDescent="0.25">
      <c r="A4250" s="3">
        <f t="shared" si="199"/>
        <v>78989</v>
      </c>
      <c r="B4250" t="str">
        <f ca="1">TEXT(DATE(YEAR(Invoer!$A$5),1,1)+INT((ROWS(B$2:B4250)-1)/24),"""18""jjmmdd")</f>
        <v>18980627</v>
      </c>
      <c r="C4250" s="11" t="str">
        <f>INDEX(Data,2,2+MOD(ROWS(C$2:C4250)-1,24))</f>
        <v>01.00</v>
      </c>
      <c r="D4250" s="8" t="str">
        <f t="shared" ca="1" si="200"/>
        <v>—</v>
      </c>
      <c r="E4250" s="16">
        <f t="shared" ca="1" si="201"/>
        <v>7</v>
      </c>
    </row>
    <row r="4251" spans="1:5" x14ac:dyDescent="0.25">
      <c r="A4251" s="3">
        <f t="shared" si="199"/>
        <v>78989</v>
      </c>
      <c r="B4251" t="str">
        <f ca="1">TEXT(DATE(YEAR(Invoer!$A$5),1,1)+INT((ROWS(B$2:B4251)-1)/24),"""18""jjmmdd")</f>
        <v>18980627</v>
      </c>
      <c r="C4251" s="11" t="str">
        <f>INDEX(Data,2,2+MOD(ROWS(C$2:C4251)-1,24))</f>
        <v>02.00</v>
      </c>
      <c r="D4251" s="8" t="str">
        <f t="shared" ca="1" si="200"/>
        <v>—</v>
      </c>
      <c r="E4251" s="16">
        <f t="shared" ca="1" si="201"/>
        <v>7</v>
      </c>
    </row>
    <row r="4252" spans="1:5" x14ac:dyDescent="0.25">
      <c r="A4252" s="3">
        <f t="shared" si="199"/>
        <v>78989</v>
      </c>
      <c r="B4252" t="str">
        <f ca="1">TEXT(DATE(YEAR(Invoer!$A$5),1,1)+INT((ROWS(B$2:B4252)-1)/24),"""18""jjmmdd")</f>
        <v>18980627</v>
      </c>
      <c r="C4252" s="11" t="str">
        <f>INDEX(Data,2,2+MOD(ROWS(C$2:C4252)-1,24))</f>
        <v>03.00</v>
      </c>
      <c r="D4252" s="8" t="str">
        <f t="shared" ca="1" si="200"/>
        <v>—</v>
      </c>
      <c r="E4252" s="16">
        <f t="shared" ca="1" si="201"/>
        <v>7</v>
      </c>
    </row>
    <row r="4253" spans="1:5" x14ac:dyDescent="0.25">
      <c r="A4253" s="3">
        <f t="shared" si="199"/>
        <v>78989</v>
      </c>
      <c r="B4253" t="str">
        <f ca="1">TEXT(DATE(YEAR(Invoer!$A$5),1,1)+INT((ROWS(B$2:B4253)-1)/24),"""18""jjmmdd")</f>
        <v>18980627</v>
      </c>
      <c r="C4253" s="11" t="str">
        <f>INDEX(Data,2,2+MOD(ROWS(C$2:C4253)-1,24))</f>
        <v>04.00</v>
      </c>
      <c r="D4253" s="8" t="str">
        <f t="shared" ca="1" si="200"/>
        <v>—</v>
      </c>
      <c r="E4253" s="16">
        <f t="shared" ca="1" si="201"/>
        <v>7</v>
      </c>
    </row>
    <row r="4254" spans="1:5" x14ac:dyDescent="0.25">
      <c r="A4254" s="3">
        <f t="shared" si="199"/>
        <v>78989</v>
      </c>
      <c r="B4254" t="str">
        <f ca="1">TEXT(DATE(YEAR(Invoer!$A$5),1,1)+INT((ROWS(B$2:B4254)-1)/24),"""18""jjmmdd")</f>
        <v>18980627</v>
      </c>
      <c r="C4254" s="11" t="str">
        <f>INDEX(Data,2,2+MOD(ROWS(C$2:C4254)-1,24))</f>
        <v>05.00</v>
      </c>
      <c r="D4254" s="8" t="str">
        <f t="shared" ca="1" si="200"/>
        <v>—</v>
      </c>
      <c r="E4254" s="16">
        <f t="shared" ca="1" si="201"/>
        <v>7</v>
      </c>
    </row>
    <row r="4255" spans="1:5" x14ac:dyDescent="0.25">
      <c r="A4255" s="3">
        <f t="shared" si="199"/>
        <v>78989</v>
      </c>
      <c r="B4255" t="str">
        <f ca="1">TEXT(DATE(YEAR(Invoer!$A$5),1,1)+INT((ROWS(B$2:B4255)-1)/24),"""18""jjmmdd")</f>
        <v>18980627</v>
      </c>
      <c r="C4255" s="11" t="str">
        <f>INDEX(Data,2,2+MOD(ROWS(C$2:C4255)-1,24))</f>
        <v>06.00</v>
      </c>
      <c r="D4255" s="8" t="str">
        <f t="shared" ca="1" si="200"/>
        <v>—</v>
      </c>
      <c r="E4255" s="16">
        <f t="shared" ca="1" si="201"/>
        <v>7</v>
      </c>
    </row>
    <row r="4256" spans="1:5" x14ac:dyDescent="0.25">
      <c r="A4256" s="3">
        <f t="shared" si="199"/>
        <v>78989</v>
      </c>
      <c r="B4256" t="str">
        <f ca="1">TEXT(DATE(YEAR(Invoer!$A$5),1,1)+INT((ROWS(B$2:B4256)-1)/24),"""18""jjmmdd")</f>
        <v>18980627</v>
      </c>
      <c r="C4256" s="11" t="str">
        <f>INDEX(Data,2,2+MOD(ROWS(C$2:C4256)-1,24))</f>
        <v>07.00</v>
      </c>
      <c r="D4256" s="8" t="str">
        <f t="shared" ca="1" si="200"/>
        <v>—</v>
      </c>
      <c r="E4256" s="16">
        <f t="shared" ca="1" si="201"/>
        <v>7</v>
      </c>
    </row>
    <row r="4257" spans="1:5" x14ac:dyDescent="0.25">
      <c r="A4257" s="3">
        <f t="shared" si="199"/>
        <v>78989</v>
      </c>
      <c r="B4257" t="str">
        <f ca="1">TEXT(DATE(YEAR(Invoer!$A$5),1,1)+INT((ROWS(B$2:B4257)-1)/24),"""18""jjmmdd")</f>
        <v>18980627</v>
      </c>
      <c r="C4257" s="11" t="str">
        <f>INDEX(Data,2,2+MOD(ROWS(C$2:C4257)-1,24))</f>
        <v>08.00</v>
      </c>
      <c r="D4257" s="8" t="str">
        <f t="shared" ca="1" si="200"/>
        <v>—</v>
      </c>
      <c r="E4257" s="16">
        <f t="shared" ca="1" si="201"/>
        <v>7</v>
      </c>
    </row>
    <row r="4258" spans="1:5" x14ac:dyDescent="0.25">
      <c r="A4258" s="3">
        <f t="shared" si="199"/>
        <v>78989</v>
      </c>
      <c r="B4258" t="str">
        <f ca="1">TEXT(DATE(YEAR(Invoer!$A$5),1,1)+INT((ROWS(B$2:B4258)-1)/24),"""18""jjmmdd")</f>
        <v>18980627</v>
      </c>
      <c r="C4258" s="11" t="str">
        <f>INDEX(Data,2,2+MOD(ROWS(C$2:C4258)-1,24))</f>
        <v>09.00</v>
      </c>
      <c r="D4258" s="8" t="str">
        <f t="shared" ca="1" si="200"/>
        <v>—</v>
      </c>
      <c r="E4258" s="16">
        <f t="shared" ca="1" si="201"/>
        <v>7</v>
      </c>
    </row>
    <row r="4259" spans="1:5" x14ac:dyDescent="0.25">
      <c r="A4259" s="3">
        <f t="shared" si="199"/>
        <v>78989</v>
      </c>
      <c r="B4259" t="str">
        <f ca="1">TEXT(DATE(YEAR(Invoer!$A$5),1,1)+INT((ROWS(B$2:B4259)-1)/24),"""18""jjmmdd")</f>
        <v>18980627</v>
      </c>
      <c r="C4259" s="11" t="str">
        <f>INDEX(Data,2,2+MOD(ROWS(C$2:C4259)-1,24))</f>
        <v>10.00</v>
      </c>
      <c r="D4259" s="8" t="str">
        <f t="shared" ca="1" si="200"/>
        <v>—</v>
      </c>
      <c r="E4259" s="16">
        <f t="shared" ca="1" si="201"/>
        <v>7</v>
      </c>
    </row>
    <row r="4260" spans="1:5" x14ac:dyDescent="0.25">
      <c r="A4260" s="3">
        <f t="shared" si="199"/>
        <v>78989</v>
      </c>
      <c r="B4260" t="str">
        <f ca="1">TEXT(DATE(YEAR(Invoer!$A$5),1,1)+INT((ROWS(B$2:B4260)-1)/24),"""18""jjmmdd")</f>
        <v>18980627</v>
      </c>
      <c r="C4260" s="11" t="str">
        <f>INDEX(Data,2,2+MOD(ROWS(C$2:C4260)-1,24))</f>
        <v>11.00</v>
      </c>
      <c r="D4260" s="8" t="str">
        <f t="shared" ca="1" si="200"/>
        <v>—</v>
      </c>
      <c r="E4260" s="16">
        <f t="shared" ca="1" si="201"/>
        <v>7</v>
      </c>
    </row>
    <row r="4261" spans="1:5" x14ac:dyDescent="0.25">
      <c r="A4261" s="3">
        <f t="shared" si="199"/>
        <v>78989</v>
      </c>
      <c r="B4261" t="str">
        <f ca="1">TEXT(DATE(YEAR(Invoer!$A$5),1,1)+INT((ROWS(B$2:B4261)-1)/24),"""18""jjmmdd")</f>
        <v>18980627</v>
      </c>
      <c r="C4261" s="11" t="str">
        <f>INDEX(Data,2,2+MOD(ROWS(C$2:C4261)-1,24))</f>
        <v>12.00</v>
      </c>
      <c r="D4261" s="8" t="str">
        <f t="shared" ca="1" si="200"/>
        <v>—</v>
      </c>
      <c r="E4261" s="16">
        <f t="shared" ca="1" si="201"/>
        <v>7</v>
      </c>
    </row>
    <row r="4262" spans="1:5" x14ac:dyDescent="0.25">
      <c r="A4262" s="3">
        <f t="shared" si="199"/>
        <v>78989</v>
      </c>
      <c r="B4262" t="str">
        <f ca="1">TEXT(DATE(YEAR(Invoer!$A$5),1,1)+INT((ROWS(B$2:B4262)-1)/24),"""18""jjmmdd")</f>
        <v>18980627</v>
      </c>
      <c r="C4262" s="11" t="str">
        <f>INDEX(Data,2,2+MOD(ROWS(C$2:C4262)-1,24))</f>
        <v>13.00</v>
      </c>
      <c r="D4262" s="8" t="str">
        <f t="shared" ca="1" si="200"/>
        <v>—</v>
      </c>
      <c r="E4262" s="16">
        <f t="shared" ca="1" si="201"/>
        <v>7</v>
      </c>
    </row>
    <row r="4263" spans="1:5" x14ac:dyDescent="0.25">
      <c r="A4263" s="3">
        <f t="shared" si="199"/>
        <v>78989</v>
      </c>
      <c r="B4263" t="str">
        <f ca="1">TEXT(DATE(YEAR(Invoer!$A$5),1,1)+INT((ROWS(B$2:B4263)-1)/24),"""18""jjmmdd")</f>
        <v>18980627</v>
      </c>
      <c r="C4263" s="11" t="str">
        <f>INDEX(Data,2,2+MOD(ROWS(C$2:C4263)-1,24))</f>
        <v>14.00</v>
      </c>
      <c r="D4263" s="8" t="str">
        <f t="shared" ca="1" si="200"/>
        <v>—</v>
      </c>
      <c r="E4263" s="16">
        <f t="shared" ca="1" si="201"/>
        <v>7</v>
      </c>
    </row>
    <row r="4264" spans="1:5" x14ac:dyDescent="0.25">
      <c r="A4264" s="3">
        <f t="shared" si="199"/>
        <v>78989</v>
      </c>
      <c r="B4264" t="str">
        <f ca="1">TEXT(DATE(YEAR(Invoer!$A$5),1,1)+INT((ROWS(B$2:B4264)-1)/24),"""18""jjmmdd")</f>
        <v>18980627</v>
      </c>
      <c r="C4264" s="11" t="str">
        <f>INDEX(Data,2,2+MOD(ROWS(C$2:C4264)-1,24))</f>
        <v>15.00</v>
      </c>
      <c r="D4264" s="8" t="str">
        <f t="shared" ca="1" si="200"/>
        <v>—</v>
      </c>
      <c r="E4264" s="16">
        <f t="shared" ca="1" si="201"/>
        <v>7</v>
      </c>
    </row>
    <row r="4265" spans="1:5" x14ac:dyDescent="0.25">
      <c r="A4265" s="3">
        <f t="shared" si="199"/>
        <v>78989</v>
      </c>
      <c r="B4265" t="str">
        <f ca="1">TEXT(DATE(YEAR(Invoer!$A$5),1,1)+INT((ROWS(B$2:B4265)-1)/24),"""18""jjmmdd")</f>
        <v>18980627</v>
      </c>
      <c r="C4265" s="11" t="str">
        <f>INDEX(Data,2,2+MOD(ROWS(C$2:C4265)-1,24))</f>
        <v>16.00</v>
      </c>
      <c r="D4265" s="8" t="str">
        <f t="shared" ca="1" si="200"/>
        <v>—</v>
      </c>
      <c r="E4265" s="16">
        <f t="shared" ca="1" si="201"/>
        <v>7</v>
      </c>
    </row>
    <row r="4266" spans="1:5" x14ac:dyDescent="0.25">
      <c r="A4266" s="3">
        <f t="shared" si="199"/>
        <v>78989</v>
      </c>
      <c r="B4266" t="str">
        <f ca="1">TEXT(DATE(YEAR(Invoer!$A$5),1,1)+INT((ROWS(B$2:B4266)-1)/24),"""18""jjmmdd")</f>
        <v>18980627</v>
      </c>
      <c r="C4266" s="11" t="str">
        <f>INDEX(Data,2,2+MOD(ROWS(C$2:C4266)-1,24))</f>
        <v>17.00</v>
      </c>
      <c r="D4266" s="8" t="str">
        <f t="shared" ca="1" si="200"/>
        <v>—</v>
      </c>
      <c r="E4266" s="16">
        <f t="shared" ca="1" si="201"/>
        <v>7</v>
      </c>
    </row>
    <row r="4267" spans="1:5" x14ac:dyDescent="0.25">
      <c r="A4267" s="3">
        <f t="shared" si="199"/>
        <v>78989</v>
      </c>
      <c r="B4267" t="str">
        <f ca="1">TEXT(DATE(YEAR(Invoer!$A$5),1,1)+INT((ROWS(B$2:B4267)-1)/24),"""18""jjmmdd")</f>
        <v>18980627</v>
      </c>
      <c r="C4267" s="11" t="str">
        <f>INDEX(Data,2,2+MOD(ROWS(C$2:C4267)-1,24))</f>
        <v>18.00</v>
      </c>
      <c r="D4267" s="8" t="str">
        <f t="shared" ca="1" si="200"/>
        <v>—</v>
      </c>
      <c r="E4267" s="16">
        <f t="shared" ca="1" si="201"/>
        <v>7</v>
      </c>
    </row>
    <row r="4268" spans="1:5" x14ac:dyDescent="0.25">
      <c r="A4268" s="3">
        <f t="shared" si="199"/>
        <v>78989</v>
      </c>
      <c r="B4268" t="str">
        <f ca="1">TEXT(DATE(YEAR(Invoer!$A$5),1,1)+INT((ROWS(B$2:B4268)-1)/24),"""18""jjmmdd")</f>
        <v>18980627</v>
      </c>
      <c r="C4268" s="11" t="str">
        <f>INDEX(Data,2,2+MOD(ROWS(C$2:C4268)-1,24))</f>
        <v>19.00</v>
      </c>
      <c r="D4268" s="8" t="str">
        <f t="shared" ca="1" si="200"/>
        <v>—</v>
      </c>
      <c r="E4268" s="16">
        <f t="shared" ca="1" si="201"/>
        <v>7</v>
      </c>
    </row>
    <row r="4269" spans="1:5" x14ac:dyDescent="0.25">
      <c r="A4269" s="3">
        <f t="shared" si="199"/>
        <v>78989</v>
      </c>
      <c r="B4269" t="str">
        <f ca="1">TEXT(DATE(YEAR(Invoer!$A$5),1,1)+INT((ROWS(B$2:B4269)-1)/24),"""18""jjmmdd")</f>
        <v>18980627</v>
      </c>
      <c r="C4269" s="11" t="str">
        <f>INDEX(Data,2,2+MOD(ROWS(C$2:C4269)-1,24))</f>
        <v>20.00</v>
      </c>
      <c r="D4269" s="8" t="str">
        <f t="shared" ca="1" si="200"/>
        <v>—</v>
      </c>
      <c r="E4269" s="16">
        <f t="shared" ca="1" si="201"/>
        <v>7</v>
      </c>
    </row>
    <row r="4270" spans="1:5" x14ac:dyDescent="0.25">
      <c r="A4270" s="3">
        <f t="shared" si="199"/>
        <v>78989</v>
      </c>
      <c r="B4270" t="str">
        <f ca="1">TEXT(DATE(YEAR(Invoer!$A$5),1,1)+INT((ROWS(B$2:B4270)-1)/24),"""18""jjmmdd")</f>
        <v>18980627</v>
      </c>
      <c r="C4270" s="11" t="str">
        <f>INDEX(Data,2,2+MOD(ROWS(C$2:C4270)-1,24))</f>
        <v>21.00</v>
      </c>
      <c r="D4270" s="8" t="str">
        <f t="shared" ca="1" si="200"/>
        <v>—</v>
      </c>
      <c r="E4270" s="16">
        <f t="shared" ca="1" si="201"/>
        <v>7</v>
      </c>
    </row>
    <row r="4271" spans="1:5" x14ac:dyDescent="0.25">
      <c r="A4271" s="3">
        <f t="shared" si="199"/>
        <v>78989</v>
      </c>
      <c r="B4271" t="str">
        <f ca="1">TEXT(DATE(YEAR(Invoer!$A$5),1,1)+INT((ROWS(B$2:B4271)-1)/24),"""18""jjmmdd")</f>
        <v>18980627</v>
      </c>
      <c r="C4271" s="11" t="str">
        <f>INDEX(Data,2,2+MOD(ROWS(C$2:C4271)-1,24))</f>
        <v>22.00</v>
      </c>
      <c r="D4271" s="8" t="str">
        <f t="shared" ca="1" si="200"/>
        <v>—</v>
      </c>
      <c r="E4271" s="16">
        <f t="shared" ca="1" si="201"/>
        <v>7</v>
      </c>
    </row>
    <row r="4272" spans="1:5" x14ac:dyDescent="0.25">
      <c r="A4272" s="3">
        <f t="shared" si="199"/>
        <v>78989</v>
      </c>
      <c r="B4272" t="str">
        <f ca="1">TEXT(DATE(YEAR(Invoer!$A$5),1,1)+INT((ROWS(B$2:B4272)-1)/24),"""18""jjmmdd")</f>
        <v>18980627</v>
      </c>
      <c r="C4272" s="11" t="str">
        <f>INDEX(Data,2,2+MOD(ROWS(C$2:C4272)-1,24))</f>
        <v>23.00</v>
      </c>
      <c r="D4272" s="8" t="str">
        <f t="shared" ca="1" si="200"/>
        <v>—</v>
      </c>
      <c r="E4272" s="16">
        <f t="shared" ca="1" si="201"/>
        <v>7</v>
      </c>
    </row>
    <row r="4273" spans="1:5" x14ac:dyDescent="0.25">
      <c r="A4273" s="3">
        <f t="shared" si="199"/>
        <v>78989</v>
      </c>
      <c r="B4273" t="str">
        <f ca="1">TEXT(DATE(YEAR(Invoer!$A$5),1,1)+INT((ROWS(B$2:B4273)-1)/24),"""18""jjmmdd")</f>
        <v>18980627</v>
      </c>
      <c r="C4273" s="11" t="str">
        <f>INDEX(Data,2,2+MOD(ROWS(C$2:C4273)-1,24))</f>
        <v>24.00</v>
      </c>
      <c r="D4273" s="8" t="str">
        <f t="shared" ca="1" si="200"/>
        <v>—</v>
      </c>
      <c r="E4273" s="16">
        <f t="shared" ca="1" si="201"/>
        <v>7</v>
      </c>
    </row>
    <row r="4274" spans="1:5" x14ac:dyDescent="0.25">
      <c r="A4274" s="3">
        <f t="shared" si="199"/>
        <v>78989</v>
      </c>
      <c r="B4274" t="str">
        <f ca="1">TEXT(DATE(YEAR(Invoer!$A$5),1,1)+INT((ROWS(B$2:B4274)-1)/24),"""18""jjmmdd")</f>
        <v>18980628</v>
      </c>
      <c r="C4274" s="11" t="str">
        <f>INDEX(Data,2,2+MOD(ROWS(C$2:C4274)-1,24))</f>
        <v>01.00</v>
      </c>
      <c r="D4274" s="8" t="str">
        <f t="shared" ca="1" si="200"/>
        <v>—</v>
      </c>
      <c r="E4274" s="16">
        <f t="shared" ca="1" si="201"/>
        <v>7</v>
      </c>
    </row>
    <row r="4275" spans="1:5" x14ac:dyDescent="0.25">
      <c r="A4275" s="3">
        <f t="shared" si="199"/>
        <v>78989</v>
      </c>
      <c r="B4275" t="str">
        <f ca="1">TEXT(DATE(YEAR(Invoer!$A$5),1,1)+INT((ROWS(B$2:B4275)-1)/24),"""18""jjmmdd")</f>
        <v>18980628</v>
      </c>
      <c r="C4275" s="11" t="str">
        <f>INDEX(Data,2,2+MOD(ROWS(C$2:C4275)-1,24))</f>
        <v>02.00</v>
      </c>
      <c r="D4275" s="8" t="str">
        <f t="shared" ca="1" si="200"/>
        <v>—</v>
      </c>
      <c r="E4275" s="16">
        <f t="shared" ca="1" si="201"/>
        <v>7</v>
      </c>
    </row>
    <row r="4276" spans="1:5" x14ac:dyDescent="0.25">
      <c r="A4276" s="3">
        <f t="shared" si="199"/>
        <v>78989</v>
      </c>
      <c r="B4276" t="str">
        <f ca="1">TEXT(DATE(YEAR(Invoer!$A$5),1,1)+INT((ROWS(B$2:B4276)-1)/24),"""18""jjmmdd")</f>
        <v>18980628</v>
      </c>
      <c r="C4276" s="11" t="str">
        <f>INDEX(Data,2,2+MOD(ROWS(C$2:C4276)-1,24))</f>
        <v>03.00</v>
      </c>
      <c r="D4276" s="8" t="str">
        <f t="shared" ca="1" si="200"/>
        <v>—</v>
      </c>
      <c r="E4276" s="16">
        <f t="shared" ca="1" si="201"/>
        <v>7</v>
      </c>
    </row>
    <row r="4277" spans="1:5" x14ac:dyDescent="0.25">
      <c r="A4277" s="3">
        <f t="shared" si="199"/>
        <v>78989</v>
      </c>
      <c r="B4277" t="str">
        <f ca="1">TEXT(DATE(YEAR(Invoer!$A$5),1,1)+INT((ROWS(B$2:B4277)-1)/24),"""18""jjmmdd")</f>
        <v>18980628</v>
      </c>
      <c r="C4277" s="11" t="str">
        <f>INDEX(Data,2,2+MOD(ROWS(C$2:C4277)-1,24))</f>
        <v>04.00</v>
      </c>
      <c r="D4277" s="8" t="str">
        <f t="shared" ca="1" si="200"/>
        <v>—</v>
      </c>
      <c r="E4277" s="16">
        <f t="shared" ca="1" si="201"/>
        <v>7</v>
      </c>
    </row>
    <row r="4278" spans="1:5" x14ac:dyDescent="0.25">
      <c r="A4278" s="3">
        <f t="shared" si="199"/>
        <v>78989</v>
      </c>
      <c r="B4278" t="str">
        <f ca="1">TEXT(DATE(YEAR(Invoer!$A$5),1,1)+INT((ROWS(B$2:B4278)-1)/24),"""18""jjmmdd")</f>
        <v>18980628</v>
      </c>
      <c r="C4278" s="11" t="str">
        <f>INDEX(Data,2,2+MOD(ROWS(C$2:C4278)-1,24))</f>
        <v>05.00</v>
      </c>
      <c r="D4278" s="8" t="str">
        <f t="shared" ca="1" si="200"/>
        <v>—</v>
      </c>
      <c r="E4278" s="16">
        <f t="shared" ca="1" si="201"/>
        <v>7</v>
      </c>
    </row>
    <row r="4279" spans="1:5" x14ac:dyDescent="0.25">
      <c r="A4279" s="3">
        <f t="shared" si="199"/>
        <v>78989</v>
      </c>
      <c r="B4279" t="str">
        <f ca="1">TEXT(DATE(YEAR(Invoer!$A$5),1,1)+INT((ROWS(B$2:B4279)-1)/24),"""18""jjmmdd")</f>
        <v>18980628</v>
      </c>
      <c r="C4279" s="11" t="str">
        <f>INDEX(Data,2,2+MOD(ROWS(C$2:C4279)-1,24))</f>
        <v>06.00</v>
      </c>
      <c r="D4279" s="8" t="str">
        <f t="shared" ca="1" si="200"/>
        <v>—</v>
      </c>
      <c r="E4279" s="16">
        <f t="shared" ca="1" si="201"/>
        <v>7</v>
      </c>
    </row>
    <row r="4280" spans="1:5" x14ac:dyDescent="0.25">
      <c r="A4280" s="3">
        <f t="shared" si="199"/>
        <v>78989</v>
      </c>
      <c r="B4280" t="str">
        <f ca="1">TEXT(DATE(YEAR(Invoer!$A$5),1,1)+INT((ROWS(B$2:B4280)-1)/24),"""18""jjmmdd")</f>
        <v>18980628</v>
      </c>
      <c r="C4280" s="11" t="str">
        <f>INDEX(Data,2,2+MOD(ROWS(C$2:C4280)-1,24))</f>
        <v>07.00</v>
      </c>
      <c r="D4280" s="8" t="str">
        <f t="shared" ca="1" si="200"/>
        <v>—</v>
      </c>
      <c r="E4280" s="16">
        <f t="shared" ca="1" si="201"/>
        <v>7</v>
      </c>
    </row>
    <row r="4281" spans="1:5" x14ac:dyDescent="0.25">
      <c r="A4281" s="3">
        <f t="shared" si="199"/>
        <v>78989</v>
      </c>
      <c r="B4281" t="str">
        <f ca="1">TEXT(DATE(YEAR(Invoer!$A$5),1,1)+INT((ROWS(B$2:B4281)-1)/24),"""18""jjmmdd")</f>
        <v>18980628</v>
      </c>
      <c r="C4281" s="11" t="str">
        <f>INDEX(Data,2,2+MOD(ROWS(C$2:C4281)-1,24))</f>
        <v>08.00</v>
      </c>
      <c r="D4281" s="8" t="str">
        <f t="shared" ca="1" si="200"/>
        <v>—</v>
      </c>
      <c r="E4281" s="16">
        <f t="shared" ca="1" si="201"/>
        <v>7</v>
      </c>
    </row>
    <row r="4282" spans="1:5" x14ac:dyDescent="0.25">
      <c r="A4282" s="3">
        <f t="shared" si="199"/>
        <v>78989</v>
      </c>
      <c r="B4282" t="str">
        <f ca="1">TEXT(DATE(YEAR(Invoer!$A$5),1,1)+INT((ROWS(B$2:B4282)-1)/24),"""18""jjmmdd")</f>
        <v>18980628</v>
      </c>
      <c r="C4282" s="11" t="str">
        <f>INDEX(Data,2,2+MOD(ROWS(C$2:C4282)-1,24))</f>
        <v>09.00</v>
      </c>
      <c r="D4282" s="8" t="str">
        <f t="shared" ca="1" si="200"/>
        <v>—</v>
      </c>
      <c r="E4282" s="16">
        <f t="shared" ca="1" si="201"/>
        <v>7</v>
      </c>
    </row>
    <row r="4283" spans="1:5" x14ac:dyDescent="0.25">
      <c r="A4283" s="3">
        <f t="shared" si="199"/>
        <v>78989</v>
      </c>
      <c r="B4283" t="str">
        <f ca="1">TEXT(DATE(YEAR(Invoer!$A$5),1,1)+INT((ROWS(B$2:B4283)-1)/24),"""18""jjmmdd")</f>
        <v>18980628</v>
      </c>
      <c r="C4283" s="11" t="str">
        <f>INDEX(Data,2,2+MOD(ROWS(C$2:C4283)-1,24))</f>
        <v>10.00</v>
      </c>
      <c r="D4283" s="8" t="str">
        <f t="shared" ca="1" si="200"/>
        <v>—</v>
      </c>
      <c r="E4283" s="16">
        <f t="shared" ca="1" si="201"/>
        <v>7</v>
      </c>
    </row>
    <row r="4284" spans="1:5" x14ac:dyDescent="0.25">
      <c r="A4284" s="3">
        <f t="shared" si="199"/>
        <v>78989</v>
      </c>
      <c r="B4284" t="str">
        <f ca="1">TEXT(DATE(YEAR(Invoer!$A$5),1,1)+INT((ROWS(B$2:B4284)-1)/24),"""18""jjmmdd")</f>
        <v>18980628</v>
      </c>
      <c r="C4284" s="11" t="str">
        <f>INDEX(Data,2,2+MOD(ROWS(C$2:C4284)-1,24))</f>
        <v>11.00</v>
      </c>
      <c r="D4284" s="8" t="str">
        <f t="shared" ca="1" si="200"/>
        <v>—</v>
      </c>
      <c r="E4284" s="16">
        <f t="shared" ca="1" si="201"/>
        <v>7</v>
      </c>
    </row>
    <row r="4285" spans="1:5" x14ac:dyDescent="0.25">
      <c r="A4285" s="3">
        <f t="shared" si="199"/>
        <v>78989</v>
      </c>
      <c r="B4285" t="str">
        <f ca="1">TEXT(DATE(YEAR(Invoer!$A$5),1,1)+INT((ROWS(B$2:B4285)-1)/24),"""18""jjmmdd")</f>
        <v>18980628</v>
      </c>
      <c r="C4285" s="11" t="str">
        <f>INDEX(Data,2,2+MOD(ROWS(C$2:C4285)-1,24))</f>
        <v>12.00</v>
      </c>
      <c r="D4285" s="8" t="str">
        <f t="shared" ca="1" si="200"/>
        <v>—</v>
      </c>
      <c r="E4285" s="16">
        <f t="shared" ca="1" si="201"/>
        <v>7</v>
      </c>
    </row>
    <row r="4286" spans="1:5" x14ac:dyDescent="0.25">
      <c r="A4286" s="3">
        <f t="shared" si="199"/>
        <v>78989</v>
      </c>
      <c r="B4286" t="str">
        <f ca="1">TEXT(DATE(YEAR(Invoer!$A$5),1,1)+INT((ROWS(B$2:B4286)-1)/24),"""18""jjmmdd")</f>
        <v>18980628</v>
      </c>
      <c r="C4286" s="11" t="str">
        <f>INDEX(Data,2,2+MOD(ROWS(C$2:C4286)-1,24))</f>
        <v>13.00</v>
      </c>
      <c r="D4286" s="8" t="str">
        <f t="shared" ca="1" si="200"/>
        <v>—</v>
      </c>
      <c r="E4286" s="16">
        <f t="shared" ca="1" si="201"/>
        <v>7</v>
      </c>
    </row>
    <row r="4287" spans="1:5" x14ac:dyDescent="0.25">
      <c r="A4287" s="3">
        <f t="shared" si="199"/>
        <v>78989</v>
      </c>
      <c r="B4287" t="str">
        <f ca="1">TEXT(DATE(YEAR(Invoer!$A$5),1,1)+INT((ROWS(B$2:B4287)-1)/24),"""18""jjmmdd")</f>
        <v>18980628</v>
      </c>
      <c r="C4287" s="11" t="str">
        <f>INDEX(Data,2,2+MOD(ROWS(C$2:C4287)-1,24))</f>
        <v>14.00</v>
      </c>
      <c r="D4287" s="8" t="str">
        <f t="shared" ca="1" si="200"/>
        <v>—</v>
      </c>
      <c r="E4287" s="16">
        <f t="shared" ca="1" si="201"/>
        <v>7</v>
      </c>
    </row>
    <row r="4288" spans="1:5" x14ac:dyDescent="0.25">
      <c r="A4288" s="3">
        <f t="shared" si="199"/>
        <v>78989</v>
      </c>
      <c r="B4288" t="str">
        <f ca="1">TEXT(DATE(YEAR(Invoer!$A$5),1,1)+INT((ROWS(B$2:B4288)-1)/24),"""18""jjmmdd")</f>
        <v>18980628</v>
      </c>
      <c r="C4288" s="11" t="str">
        <f>INDEX(Data,2,2+MOD(ROWS(C$2:C4288)-1,24))</f>
        <v>15.00</v>
      </c>
      <c r="D4288" s="8" t="str">
        <f t="shared" ca="1" si="200"/>
        <v>—</v>
      </c>
      <c r="E4288" s="16">
        <f t="shared" ca="1" si="201"/>
        <v>7</v>
      </c>
    </row>
    <row r="4289" spans="1:5" x14ac:dyDescent="0.25">
      <c r="A4289" s="3">
        <f t="shared" si="199"/>
        <v>78989</v>
      </c>
      <c r="B4289" t="str">
        <f ca="1">TEXT(DATE(YEAR(Invoer!$A$5),1,1)+INT((ROWS(B$2:B4289)-1)/24),"""18""jjmmdd")</f>
        <v>18980628</v>
      </c>
      <c r="C4289" s="11" t="str">
        <f>INDEX(Data,2,2+MOD(ROWS(C$2:C4289)-1,24))</f>
        <v>16.00</v>
      </c>
      <c r="D4289" s="8" t="str">
        <f t="shared" ca="1" si="200"/>
        <v>—</v>
      </c>
      <c r="E4289" s="16">
        <f t="shared" ca="1" si="201"/>
        <v>7</v>
      </c>
    </row>
    <row r="4290" spans="1:5" x14ac:dyDescent="0.25">
      <c r="A4290" s="3">
        <f t="shared" ref="A4290:A4353" si="202">INDEX(Stations,2,1)</f>
        <v>78989</v>
      </c>
      <c r="B4290" t="str">
        <f ca="1">TEXT(DATE(YEAR(Invoer!$A$5),1,1)+INT((ROWS(B$2:B4290)-1)/24),"""18""jjmmdd")</f>
        <v>18980628</v>
      </c>
      <c r="C4290" s="11" t="str">
        <f>INDEX(Data,2,2+MOD(ROWS(C$2:C4290)-1,24))</f>
        <v>17.00</v>
      </c>
      <c r="D4290" s="8" t="str">
        <f t="shared" ref="D4290:D4353" ca="1" si="203">IF(OR(ISBLANK(VLOOKUP(DATEVALUE("37"&amp;MID($B4290,3,2)&amp;"-"&amp;MID($B4290,5,2)&amp;"-"&amp;RIGHT($B4290,2)),Data,MATCH(LEFT(VLOOKUP(D$1,Parameters,2,FALSE()),4)&amp;"*",OFFSET(Data,0,0,1),0)+MATCH($C4290,OFFSET(Data,1,0,1),0)-2,FALSE())),ISTEXT(VLOOKUP(DATEVALUE("37"&amp;MID($B4290,3,2)&amp;"-"&amp;MID($B4290,5,2)&amp;"-"&amp;RIGHT($B4290,2)),Data,MATCH(LEFT(VLOOKUP(D$1,Parameters,2,FALSE()),4)&amp;"*",OFFSET(Data,0,0,1),0)+MATCH($C4290,OFFSET(Data,1,0,1),0)-2,FALSE()))),"—",VLOOKUP(DATEVALUE("37"&amp;MID($B4290,3,2)&amp;"-"&amp;MID($B4290,5,2)&amp;"-"&amp;RIGHT($B4290,2)),Data,MATCH(LEFT(VLOOKUP(D$1,Parameters,2,FALSE()),4)&amp;"*",OFFSET(Data,0,0,1),0)+MATCH($C4290,OFFSET(Data,1,0,1),0)-2,FALSE()))</f>
        <v>—</v>
      </c>
      <c r="E4290" s="16">
        <f t="shared" ca="1" si="201"/>
        <v>7</v>
      </c>
    </row>
    <row r="4291" spans="1:5" x14ac:dyDescent="0.25">
      <c r="A4291" s="3">
        <f t="shared" si="202"/>
        <v>78989</v>
      </c>
      <c r="B4291" t="str">
        <f ca="1">TEXT(DATE(YEAR(Invoer!$A$5),1,1)+INT((ROWS(B$2:B4291)-1)/24),"""18""jjmmdd")</f>
        <v>18980628</v>
      </c>
      <c r="C4291" s="11" t="str">
        <f>INDEX(Data,2,2+MOD(ROWS(C$2:C4291)-1,24))</f>
        <v>18.00</v>
      </c>
      <c r="D4291" s="8" t="str">
        <f t="shared" ca="1" si="203"/>
        <v>—</v>
      </c>
      <c r="E4291" s="16">
        <f t="shared" ref="E4291:E4354" ca="1" si="204">IF(OR(ISBLANK(VLOOKUP(DATEVALUE("37"&amp;MID($B4291,3,2)&amp;"-"&amp;MID($B4291,5,2)&amp;"-"&amp;RIGHT($B4291,2)),Data,MATCH(LEFT(VLOOKUP(D$1,Parameters,2,FALSE()),4)&amp;"*",OFFSET(Data,0,0,1),0)+MATCH($C4291,OFFSET(Data,1,0,1),0)-2,FALSE())),ISTEXT(VLOOKUP(DATEVALUE("37"&amp;MID($B4291,3,2)&amp;"-"&amp;MID($B4291,5,2)&amp;"-"&amp;RIGHT($B4291,2)),Data,MATCH(LEFT(VLOOKUP(D$1,Parameters,2,FALSE()),4)&amp;"*",OFFSET(Data,0,0,1),0)+MATCH($C4291,OFFSET(Data,1,0,1),0)-2,FALSE()))),Lacking,IF(ISNA(MATCH(DATEVALUE("37"&amp;MID($B4291,3,2)&amp;"-"&amp;MID($B4291,5,2)&amp;"-"&amp;RIGHT($B4291,2)),OFFSET(Catalogus,0,0,,1),0)),Ok,VLOOKUP(DATEVALUE("37"&amp;MID($B4291,3,2)&amp;"-"&amp;MID($B4291,5,2)&amp;"-"&amp;RIGHT($B4291,2)),Catalogus,MATCH(LEFT(VLOOKUP(MID(E$1,2,LEN(E$1)-1),Parameters,2,FALSE()),4)&amp;"*",OFFSET(Catalogus,0,0,1),0)+MATCH($C4291,OFFSET(Catalogus,1,0,1),0)-2,FALSE())))</f>
        <v>7</v>
      </c>
    </row>
    <row r="4292" spans="1:5" x14ac:dyDescent="0.25">
      <c r="A4292" s="3">
        <f t="shared" si="202"/>
        <v>78989</v>
      </c>
      <c r="B4292" t="str">
        <f ca="1">TEXT(DATE(YEAR(Invoer!$A$5),1,1)+INT((ROWS(B$2:B4292)-1)/24),"""18""jjmmdd")</f>
        <v>18980628</v>
      </c>
      <c r="C4292" s="11" t="str">
        <f>INDEX(Data,2,2+MOD(ROWS(C$2:C4292)-1,24))</f>
        <v>19.00</v>
      </c>
      <c r="D4292" s="8" t="str">
        <f t="shared" ca="1" si="203"/>
        <v>—</v>
      </c>
      <c r="E4292" s="16">
        <f t="shared" ca="1" si="204"/>
        <v>7</v>
      </c>
    </row>
    <row r="4293" spans="1:5" x14ac:dyDescent="0.25">
      <c r="A4293" s="3">
        <f t="shared" si="202"/>
        <v>78989</v>
      </c>
      <c r="B4293" t="str">
        <f ca="1">TEXT(DATE(YEAR(Invoer!$A$5),1,1)+INT((ROWS(B$2:B4293)-1)/24),"""18""jjmmdd")</f>
        <v>18980628</v>
      </c>
      <c r="C4293" s="11" t="str">
        <f>INDEX(Data,2,2+MOD(ROWS(C$2:C4293)-1,24))</f>
        <v>20.00</v>
      </c>
      <c r="D4293" s="8" t="str">
        <f t="shared" ca="1" si="203"/>
        <v>—</v>
      </c>
      <c r="E4293" s="16">
        <f t="shared" ca="1" si="204"/>
        <v>7</v>
      </c>
    </row>
    <row r="4294" spans="1:5" x14ac:dyDescent="0.25">
      <c r="A4294" s="3">
        <f t="shared" si="202"/>
        <v>78989</v>
      </c>
      <c r="B4294" t="str">
        <f ca="1">TEXT(DATE(YEAR(Invoer!$A$5),1,1)+INT((ROWS(B$2:B4294)-1)/24),"""18""jjmmdd")</f>
        <v>18980628</v>
      </c>
      <c r="C4294" s="11" t="str">
        <f>INDEX(Data,2,2+MOD(ROWS(C$2:C4294)-1,24))</f>
        <v>21.00</v>
      </c>
      <c r="D4294" s="8" t="str">
        <f t="shared" ca="1" si="203"/>
        <v>—</v>
      </c>
      <c r="E4294" s="16">
        <f t="shared" ca="1" si="204"/>
        <v>7</v>
      </c>
    </row>
    <row r="4295" spans="1:5" x14ac:dyDescent="0.25">
      <c r="A4295" s="3">
        <f t="shared" si="202"/>
        <v>78989</v>
      </c>
      <c r="B4295" t="str">
        <f ca="1">TEXT(DATE(YEAR(Invoer!$A$5),1,1)+INT((ROWS(B$2:B4295)-1)/24),"""18""jjmmdd")</f>
        <v>18980628</v>
      </c>
      <c r="C4295" s="11" t="str">
        <f>INDEX(Data,2,2+MOD(ROWS(C$2:C4295)-1,24))</f>
        <v>22.00</v>
      </c>
      <c r="D4295" s="8" t="str">
        <f t="shared" ca="1" si="203"/>
        <v>—</v>
      </c>
      <c r="E4295" s="16">
        <f t="shared" ca="1" si="204"/>
        <v>7</v>
      </c>
    </row>
    <row r="4296" spans="1:5" x14ac:dyDescent="0.25">
      <c r="A4296" s="3">
        <f t="shared" si="202"/>
        <v>78989</v>
      </c>
      <c r="B4296" t="str">
        <f ca="1">TEXT(DATE(YEAR(Invoer!$A$5),1,1)+INT((ROWS(B$2:B4296)-1)/24),"""18""jjmmdd")</f>
        <v>18980628</v>
      </c>
      <c r="C4296" s="11" t="str">
        <f>INDEX(Data,2,2+MOD(ROWS(C$2:C4296)-1,24))</f>
        <v>23.00</v>
      </c>
      <c r="D4296" s="8" t="str">
        <f t="shared" ca="1" si="203"/>
        <v>—</v>
      </c>
      <c r="E4296" s="16">
        <f t="shared" ca="1" si="204"/>
        <v>7</v>
      </c>
    </row>
    <row r="4297" spans="1:5" x14ac:dyDescent="0.25">
      <c r="A4297" s="3">
        <f t="shared" si="202"/>
        <v>78989</v>
      </c>
      <c r="B4297" t="str">
        <f ca="1">TEXT(DATE(YEAR(Invoer!$A$5),1,1)+INT((ROWS(B$2:B4297)-1)/24),"""18""jjmmdd")</f>
        <v>18980628</v>
      </c>
      <c r="C4297" s="11" t="str">
        <f>INDEX(Data,2,2+MOD(ROWS(C$2:C4297)-1,24))</f>
        <v>24.00</v>
      </c>
      <c r="D4297" s="8" t="str">
        <f t="shared" ca="1" si="203"/>
        <v>—</v>
      </c>
      <c r="E4297" s="16">
        <f t="shared" ca="1" si="204"/>
        <v>7</v>
      </c>
    </row>
    <row r="4298" spans="1:5" x14ac:dyDescent="0.25">
      <c r="A4298" s="3">
        <f t="shared" si="202"/>
        <v>78989</v>
      </c>
      <c r="B4298" t="str">
        <f ca="1">TEXT(DATE(YEAR(Invoer!$A$5),1,1)+INT((ROWS(B$2:B4298)-1)/24),"""18""jjmmdd")</f>
        <v>18980629</v>
      </c>
      <c r="C4298" s="11" t="str">
        <f>INDEX(Data,2,2+MOD(ROWS(C$2:C4298)-1,24))</f>
        <v>01.00</v>
      </c>
      <c r="D4298" s="8" t="str">
        <f t="shared" ca="1" si="203"/>
        <v>—</v>
      </c>
      <c r="E4298" s="16">
        <f t="shared" ca="1" si="204"/>
        <v>7</v>
      </c>
    </row>
    <row r="4299" spans="1:5" x14ac:dyDescent="0.25">
      <c r="A4299" s="3">
        <f t="shared" si="202"/>
        <v>78989</v>
      </c>
      <c r="B4299" t="str">
        <f ca="1">TEXT(DATE(YEAR(Invoer!$A$5),1,1)+INT((ROWS(B$2:B4299)-1)/24),"""18""jjmmdd")</f>
        <v>18980629</v>
      </c>
      <c r="C4299" s="11" t="str">
        <f>INDEX(Data,2,2+MOD(ROWS(C$2:C4299)-1,24))</f>
        <v>02.00</v>
      </c>
      <c r="D4299" s="8" t="str">
        <f t="shared" ca="1" si="203"/>
        <v>—</v>
      </c>
      <c r="E4299" s="16">
        <f t="shared" ca="1" si="204"/>
        <v>7</v>
      </c>
    </row>
    <row r="4300" spans="1:5" x14ac:dyDescent="0.25">
      <c r="A4300" s="3">
        <f t="shared" si="202"/>
        <v>78989</v>
      </c>
      <c r="B4300" t="str">
        <f ca="1">TEXT(DATE(YEAR(Invoer!$A$5),1,1)+INT((ROWS(B$2:B4300)-1)/24),"""18""jjmmdd")</f>
        <v>18980629</v>
      </c>
      <c r="C4300" s="11" t="str">
        <f>INDEX(Data,2,2+MOD(ROWS(C$2:C4300)-1,24))</f>
        <v>03.00</v>
      </c>
      <c r="D4300" s="8" t="str">
        <f t="shared" ca="1" si="203"/>
        <v>—</v>
      </c>
      <c r="E4300" s="16">
        <f t="shared" ca="1" si="204"/>
        <v>7</v>
      </c>
    </row>
    <row r="4301" spans="1:5" x14ac:dyDescent="0.25">
      <c r="A4301" s="3">
        <f t="shared" si="202"/>
        <v>78989</v>
      </c>
      <c r="B4301" t="str">
        <f ca="1">TEXT(DATE(YEAR(Invoer!$A$5),1,1)+INT((ROWS(B$2:B4301)-1)/24),"""18""jjmmdd")</f>
        <v>18980629</v>
      </c>
      <c r="C4301" s="11" t="str">
        <f>INDEX(Data,2,2+MOD(ROWS(C$2:C4301)-1,24))</f>
        <v>04.00</v>
      </c>
      <c r="D4301" s="8" t="str">
        <f t="shared" ca="1" si="203"/>
        <v>—</v>
      </c>
      <c r="E4301" s="16">
        <f t="shared" ca="1" si="204"/>
        <v>7</v>
      </c>
    </row>
    <row r="4302" spans="1:5" x14ac:dyDescent="0.25">
      <c r="A4302" s="3">
        <f t="shared" si="202"/>
        <v>78989</v>
      </c>
      <c r="B4302" t="str">
        <f ca="1">TEXT(DATE(YEAR(Invoer!$A$5),1,1)+INT((ROWS(B$2:B4302)-1)/24),"""18""jjmmdd")</f>
        <v>18980629</v>
      </c>
      <c r="C4302" s="11" t="str">
        <f>INDEX(Data,2,2+MOD(ROWS(C$2:C4302)-1,24))</f>
        <v>05.00</v>
      </c>
      <c r="D4302" s="8" t="str">
        <f t="shared" ca="1" si="203"/>
        <v>—</v>
      </c>
      <c r="E4302" s="16">
        <f t="shared" ca="1" si="204"/>
        <v>7</v>
      </c>
    </row>
    <row r="4303" spans="1:5" x14ac:dyDescent="0.25">
      <c r="A4303" s="3">
        <f t="shared" si="202"/>
        <v>78989</v>
      </c>
      <c r="B4303" t="str">
        <f ca="1">TEXT(DATE(YEAR(Invoer!$A$5),1,1)+INT((ROWS(B$2:B4303)-1)/24),"""18""jjmmdd")</f>
        <v>18980629</v>
      </c>
      <c r="C4303" s="11" t="str">
        <f>INDEX(Data,2,2+MOD(ROWS(C$2:C4303)-1,24))</f>
        <v>06.00</v>
      </c>
      <c r="D4303" s="8" t="str">
        <f t="shared" ca="1" si="203"/>
        <v>—</v>
      </c>
      <c r="E4303" s="16">
        <f t="shared" ca="1" si="204"/>
        <v>7</v>
      </c>
    </row>
    <row r="4304" spans="1:5" x14ac:dyDescent="0.25">
      <c r="A4304" s="3">
        <f t="shared" si="202"/>
        <v>78989</v>
      </c>
      <c r="B4304" t="str">
        <f ca="1">TEXT(DATE(YEAR(Invoer!$A$5),1,1)+INT((ROWS(B$2:B4304)-1)/24),"""18""jjmmdd")</f>
        <v>18980629</v>
      </c>
      <c r="C4304" s="11" t="str">
        <f>INDEX(Data,2,2+MOD(ROWS(C$2:C4304)-1,24))</f>
        <v>07.00</v>
      </c>
      <c r="D4304" s="8" t="str">
        <f t="shared" ca="1" si="203"/>
        <v>—</v>
      </c>
      <c r="E4304" s="16">
        <f t="shared" ca="1" si="204"/>
        <v>7</v>
      </c>
    </row>
    <row r="4305" spans="1:5" x14ac:dyDescent="0.25">
      <c r="A4305" s="3">
        <f t="shared" si="202"/>
        <v>78989</v>
      </c>
      <c r="B4305" t="str">
        <f ca="1">TEXT(DATE(YEAR(Invoer!$A$5),1,1)+INT((ROWS(B$2:B4305)-1)/24),"""18""jjmmdd")</f>
        <v>18980629</v>
      </c>
      <c r="C4305" s="11" t="str">
        <f>INDEX(Data,2,2+MOD(ROWS(C$2:C4305)-1,24))</f>
        <v>08.00</v>
      </c>
      <c r="D4305" s="8" t="str">
        <f t="shared" ca="1" si="203"/>
        <v>—</v>
      </c>
      <c r="E4305" s="16">
        <f t="shared" ca="1" si="204"/>
        <v>7</v>
      </c>
    </row>
    <row r="4306" spans="1:5" x14ac:dyDescent="0.25">
      <c r="A4306" s="3">
        <f t="shared" si="202"/>
        <v>78989</v>
      </c>
      <c r="B4306" t="str">
        <f ca="1">TEXT(DATE(YEAR(Invoer!$A$5),1,1)+INT((ROWS(B$2:B4306)-1)/24),"""18""jjmmdd")</f>
        <v>18980629</v>
      </c>
      <c r="C4306" s="11" t="str">
        <f>INDEX(Data,2,2+MOD(ROWS(C$2:C4306)-1,24))</f>
        <v>09.00</v>
      </c>
      <c r="D4306" s="8" t="str">
        <f t="shared" ca="1" si="203"/>
        <v>—</v>
      </c>
      <c r="E4306" s="16">
        <f t="shared" ca="1" si="204"/>
        <v>7</v>
      </c>
    </row>
    <row r="4307" spans="1:5" x14ac:dyDescent="0.25">
      <c r="A4307" s="3">
        <f t="shared" si="202"/>
        <v>78989</v>
      </c>
      <c r="B4307" t="str">
        <f ca="1">TEXT(DATE(YEAR(Invoer!$A$5),1,1)+INT((ROWS(B$2:B4307)-1)/24),"""18""jjmmdd")</f>
        <v>18980629</v>
      </c>
      <c r="C4307" s="11" t="str">
        <f>INDEX(Data,2,2+MOD(ROWS(C$2:C4307)-1,24))</f>
        <v>10.00</v>
      </c>
      <c r="D4307" s="8" t="str">
        <f t="shared" ca="1" si="203"/>
        <v>—</v>
      </c>
      <c r="E4307" s="16">
        <f t="shared" ca="1" si="204"/>
        <v>7</v>
      </c>
    </row>
    <row r="4308" spans="1:5" x14ac:dyDescent="0.25">
      <c r="A4308" s="3">
        <f t="shared" si="202"/>
        <v>78989</v>
      </c>
      <c r="B4308" t="str">
        <f ca="1">TEXT(DATE(YEAR(Invoer!$A$5),1,1)+INT((ROWS(B$2:B4308)-1)/24),"""18""jjmmdd")</f>
        <v>18980629</v>
      </c>
      <c r="C4308" s="11" t="str">
        <f>INDEX(Data,2,2+MOD(ROWS(C$2:C4308)-1,24))</f>
        <v>11.00</v>
      </c>
      <c r="D4308" s="8" t="str">
        <f t="shared" ca="1" si="203"/>
        <v>—</v>
      </c>
      <c r="E4308" s="16">
        <f t="shared" ca="1" si="204"/>
        <v>7</v>
      </c>
    </row>
    <row r="4309" spans="1:5" x14ac:dyDescent="0.25">
      <c r="A4309" s="3">
        <f t="shared" si="202"/>
        <v>78989</v>
      </c>
      <c r="B4309" t="str">
        <f ca="1">TEXT(DATE(YEAR(Invoer!$A$5),1,1)+INT((ROWS(B$2:B4309)-1)/24),"""18""jjmmdd")</f>
        <v>18980629</v>
      </c>
      <c r="C4309" s="11" t="str">
        <f>INDEX(Data,2,2+MOD(ROWS(C$2:C4309)-1,24))</f>
        <v>12.00</v>
      </c>
      <c r="D4309" s="8" t="str">
        <f t="shared" ca="1" si="203"/>
        <v>—</v>
      </c>
      <c r="E4309" s="16">
        <f t="shared" ca="1" si="204"/>
        <v>7</v>
      </c>
    </row>
    <row r="4310" spans="1:5" x14ac:dyDescent="0.25">
      <c r="A4310" s="3">
        <f t="shared" si="202"/>
        <v>78989</v>
      </c>
      <c r="B4310" t="str">
        <f ca="1">TEXT(DATE(YEAR(Invoer!$A$5),1,1)+INT((ROWS(B$2:B4310)-1)/24),"""18""jjmmdd")</f>
        <v>18980629</v>
      </c>
      <c r="C4310" s="11" t="str">
        <f>INDEX(Data,2,2+MOD(ROWS(C$2:C4310)-1,24))</f>
        <v>13.00</v>
      </c>
      <c r="D4310" s="8" t="str">
        <f t="shared" ca="1" si="203"/>
        <v>—</v>
      </c>
      <c r="E4310" s="16">
        <f t="shared" ca="1" si="204"/>
        <v>7</v>
      </c>
    </row>
    <row r="4311" spans="1:5" x14ac:dyDescent="0.25">
      <c r="A4311" s="3">
        <f t="shared" si="202"/>
        <v>78989</v>
      </c>
      <c r="B4311" t="str">
        <f ca="1">TEXT(DATE(YEAR(Invoer!$A$5),1,1)+INT((ROWS(B$2:B4311)-1)/24),"""18""jjmmdd")</f>
        <v>18980629</v>
      </c>
      <c r="C4311" s="11" t="str">
        <f>INDEX(Data,2,2+MOD(ROWS(C$2:C4311)-1,24))</f>
        <v>14.00</v>
      </c>
      <c r="D4311" s="8" t="str">
        <f t="shared" ca="1" si="203"/>
        <v>—</v>
      </c>
      <c r="E4311" s="16">
        <f t="shared" ca="1" si="204"/>
        <v>7</v>
      </c>
    </row>
    <row r="4312" spans="1:5" x14ac:dyDescent="0.25">
      <c r="A4312" s="3">
        <f t="shared" si="202"/>
        <v>78989</v>
      </c>
      <c r="B4312" t="str">
        <f ca="1">TEXT(DATE(YEAR(Invoer!$A$5),1,1)+INT((ROWS(B$2:B4312)-1)/24),"""18""jjmmdd")</f>
        <v>18980629</v>
      </c>
      <c r="C4312" s="11" t="str">
        <f>INDEX(Data,2,2+MOD(ROWS(C$2:C4312)-1,24))</f>
        <v>15.00</v>
      </c>
      <c r="D4312" s="8" t="str">
        <f t="shared" ca="1" si="203"/>
        <v>—</v>
      </c>
      <c r="E4312" s="16">
        <f t="shared" ca="1" si="204"/>
        <v>7</v>
      </c>
    </row>
    <row r="4313" spans="1:5" x14ac:dyDescent="0.25">
      <c r="A4313" s="3">
        <f t="shared" si="202"/>
        <v>78989</v>
      </c>
      <c r="B4313" t="str">
        <f ca="1">TEXT(DATE(YEAR(Invoer!$A$5),1,1)+INT((ROWS(B$2:B4313)-1)/24),"""18""jjmmdd")</f>
        <v>18980629</v>
      </c>
      <c r="C4313" s="11" t="str">
        <f>INDEX(Data,2,2+MOD(ROWS(C$2:C4313)-1,24))</f>
        <v>16.00</v>
      </c>
      <c r="D4313" s="8" t="str">
        <f t="shared" ca="1" si="203"/>
        <v>—</v>
      </c>
      <c r="E4313" s="16">
        <f t="shared" ca="1" si="204"/>
        <v>7</v>
      </c>
    </row>
    <row r="4314" spans="1:5" x14ac:dyDescent="0.25">
      <c r="A4314" s="3">
        <f t="shared" si="202"/>
        <v>78989</v>
      </c>
      <c r="B4314" t="str">
        <f ca="1">TEXT(DATE(YEAR(Invoer!$A$5),1,1)+INT((ROWS(B$2:B4314)-1)/24),"""18""jjmmdd")</f>
        <v>18980629</v>
      </c>
      <c r="C4314" s="11" t="str">
        <f>INDEX(Data,2,2+MOD(ROWS(C$2:C4314)-1,24))</f>
        <v>17.00</v>
      </c>
      <c r="D4314" s="8" t="str">
        <f t="shared" ca="1" si="203"/>
        <v>—</v>
      </c>
      <c r="E4314" s="16">
        <f t="shared" ca="1" si="204"/>
        <v>7</v>
      </c>
    </row>
    <row r="4315" spans="1:5" x14ac:dyDescent="0.25">
      <c r="A4315" s="3">
        <f t="shared" si="202"/>
        <v>78989</v>
      </c>
      <c r="B4315" t="str">
        <f ca="1">TEXT(DATE(YEAR(Invoer!$A$5),1,1)+INT((ROWS(B$2:B4315)-1)/24),"""18""jjmmdd")</f>
        <v>18980629</v>
      </c>
      <c r="C4315" s="11" t="str">
        <f>INDEX(Data,2,2+MOD(ROWS(C$2:C4315)-1,24))</f>
        <v>18.00</v>
      </c>
      <c r="D4315" s="8" t="str">
        <f t="shared" ca="1" si="203"/>
        <v>—</v>
      </c>
      <c r="E4315" s="16">
        <f t="shared" ca="1" si="204"/>
        <v>7</v>
      </c>
    </row>
    <row r="4316" spans="1:5" x14ac:dyDescent="0.25">
      <c r="A4316" s="3">
        <f t="shared" si="202"/>
        <v>78989</v>
      </c>
      <c r="B4316" t="str">
        <f ca="1">TEXT(DATE(YEAR(Invoer!$A$5),1,1)+INT((ROWS(B$2:B4316)-1)/24),"""18""jjmmdd")</f>
        <v>18980629</v>
      </c>
      <c r="C4316" s="11" t="str">
        <f>INDEX(Data,2,2+MOD(ROWS(C$2:C4316)-1,24))</f>
        <v>19.00</v>
      </c>
      <c r="D4316" s="8" t="str">
        <f t="shared" ca="1" si="203"/>
        <v>—</v>
      </c>
      <c r="E4316" s="16">
        <f t="shared" ca="1" si="204"/>
        <v>7</v>
      </c>
    </row>
    <row r="4317" spans="1:5" x14ac:dyDescent="0.25">
      <c r="A4317" s="3">
        <f t="shared" si="202"/>
        <v>78989</v>
      </c>
      <c r="B4317" t="str">
        <f ca="1">TEXT(DATE(YEAR(Invoer!$A$5),1,1)+INT((ROWS(B$2:B4317)-1)/24),"""18""jjmmdd")</f>
        <v>18980629</v>
      </c>
      <c r="C4317" s="11" t="str">
        <f>INDEX(Data,2,2+MOD(ROWS(C$2:C4317)-1,24))</f>
        <v>20.00</v>
      </c>
      <c r="D4317" s="8" t="str">
        <f t="shared" ca="1" si="203"/>
        <v>—</v>
      </c>
      <c r="E4317" s="16">
        <f t="shared" ca="1" si="204"/>
        <v>7</v>
      </c>
    </row>
    <row r="4318" spans="1:5" x14ac:dyDescent="0.25">
      <c r="A4318" s="3">
        <f t="shared" si="202"/>
        <v>78989</v>
      </c>
      <c r="B4318" t="str">
        <f ca="1">TEXT(DATE(YEAR(Invoer!$A$5),1,1)+INT((ROWS(B$2:B4318)-1)/24),"""18""jjmmdd")</f>
        <v>18980629</v>
      </c>
      <c r="C4318" s="11" t="str">
        <f>INDEX(Data,2,2+MOD(ROWS(C$2:C4318)-1,24))</f>
        <v>21.00</v>
      </c>
      <c r="D4318" s="8" t="str">
        <f t="shared" ca="1" si="203"/>
        <v>—</v>
      </c>
      <c r="E4318" s="16">
        <f t="shared" ca="1" si="204"/>
        <v>7</v>
      </c>
    </row>
    <row r="4319" spans="1:5" x14ac:dyDescent="0.25">
      <c r="A4319" s="3">
        <f t="shared" si="202"/>
        <v>78989</v>
      </c>
      <c r="B4319" t="str">
        <f ca="1">TEXT(DATE(YEAR(Invoer!$A$5),1,1)+INT((ROWS(B$2:B4319)-1)/24),"""18""jjmmdd")</f>
        <v>18980629</v>
      </c>
      <c r="C4319" s="11" t="str">
        <f>INDEX(Data,2,2+MOD(ROWS(C$2:C4319)-1,24))</f>
        <v>22.00</v>
      </c>
      <c r="D4319" s="8" t="str">
        <f t="shared" ca="1" si="203"/>
        <v>—</v>
      </c>
      <c r="E4319" s="16">
        <f t="shared" ca="1" si="204"/>
        <v>7</v>
      </c>
    </row>
    <row r="4320" spans="1:5" x14ac:dyDescent="0.25">
      <c r="A4320" s="3">
        <f t="shared" si="202"/>
        <v>78989</v>
      </c>
      <c r="B4320" t="str">
        <f ca="1">TEXT(DATE(YEAR(Invoer!$A$5),1,1)+INT((ROWS(B$2:B4320)-1)/24),"""18""jjmmdd")</f>
        <v>18980629</v>
      </c>
      <c r="C4320" s="11" t="str">
        <f>INDEX(Data,2,2+MOD(ROWS(C$2:C4320)-1,24))</f>
        <v>23.00</v>
      </c>
      <c r="D4320" s="8" t="str">
        <f t="shared" ca="1" si="203"/>
        <v>—</v>
      </c>
      <c r="E4320" s="16">
        <f t="shared" ca="1" si="204"/>
        <v>7</v>
      </c>
    </row>
    <row r="4321" spans="1:5" x14ac:dyDescent="0.25">
      <c r="A4321" s="3">
        <f t="shared" si="202"/>
        <v>78989</v>
      </c>
      <c r="B4321" t="str">
        <f ca="1">TEXT(DATE(YEAR(Invoer!$A$5),1,1)+INT((ROWS(B$2:B4321)-1)/24),"""18""jjmmdd")</f>
        <v>18980629</v>
      </c>
      <c r="C4321" s="11" t="str">
        <f>INDEX(Data,2,2+MOD(ROWS(C$2:C4321)-1,24))</f>
        <v>24.00</v>
      </c>
      <c r="D4321" s="8" t="str">
        <f t="shared" ca="1" si="203"/>
        <v>—</v>
      </c>
      <c r="E4321" s="16">
        <f t="shared" ca="1" si="204"/>
        <v>7</v>
      </c>
    </row>
    <row r="4322" spans="1:5" x14ac:dyDescent="0.25">
      <c r="A4322" s="3">
        <f t="shared" si="202"/>
        <v>78989</v>
      </c>
      <c r="B4322" t="str">
        <f ca="1">TEXT(DATE(YEAR(Invoer!$A$5),1,1)+INT((ROWS(B$2:B4322)-1)/24),"""18""jjmmdd")</f>
        <v>18980630</v>
      </c>
      <c r="C4322" s="11" t="str">
        <f>INDEX(Data,2,2+MOD(ROWS(C$2:C4322)-1,24))</f>
        <v>01.00</v>
      </c>
      <c r="D4322" s="8" t="str">
        <f t="shared" ca="1" si="203"/>
        <v>—</v>
      </c>
      <c r="E4322" s="16">
        <f t="shared" ca="1" si="204"/>
        <v>7</v>
      </c>
    </row>
    <row r="4323" spans="1:5" x14ac:dyDescent="0.25">
      <c r="A4323" s="3">
        <f t="shared" si="202"/>
        <v>78989</v>
      </c>
      <c r="B4323" t="str">
        <f ca="1">TEXT(DATE(YEAR(Invoer!$A$5),1,1)+INT((ROWS(B$2:B4323)-1)/24),"""18""jjmmdd")</f>
        <v>18980630</v>
      </c>
      <c r="C4323" s="11" t="str">
        <f>INDEX(Data,2,2+MOD(ROWS(C$2:C4323)-1,24))</f>
        <v>02.00</v>
      </c>
      <c r="D4323" s="8" t="str">
        <f t="shared" ca="1" si="203"/>
        <v>—</v>
      </c>
      <c r="E4323" s="16">
        <f t="shared" ca="1" si="204"/>
        <v>7</v>
      </c>
    </row>
    <row r="4324" spans="1:5" x14ac:dyDescent="0.25">
      <c r="A4324" s="3">
        <f t="shared" si="202"/>
        <v>78989</v>
      </c>
      <c r="B4324" t="str">
        <f ca="1">TEXT(DATE(YEAR(Invoer!$A$5),1,1)+INT((ROWS(B$2:B4324)-1)/24),"""18""jjmmdd")</f>
        <v>18980630</v>
      </c>
      <c r="C4324" s="11" t="str">
        <f>INDEX(Data,2,2+MOD(ROWS(C$2:C4324)-1,24))</f>
        <v>03.00</v>
      </c>
      <c r="D4324" s="8" t="str">
        <f t="shared" ca="1" si="203"/>
        <v>—</v>
      </c>
      <c r="E4324" s="16">
        <f t="shared" ca="1" si="204"/>
        <v>7</v>
      </c>
    </row>
    <row r="4325" spans="1:5" x14ac:dyDescent="0.25">
      <c r="A4325" s="3">
        <f t="shared" si="202"/>
        <v>78989</v>
      </c>
      <c r="B4325" t="str">
        <f ca="1">TEXT(DATE(YEAR(Invoer!$A$5),1,1)+INT((ROWS(B$2:B4325)-1)/24),"""18""jjmmdd")</f>
        <v>18980630</v>
      </c>
      <c r="C4325" s="11" t="str">
        <f>INDEX(Data,2,2+MOD(ROWS(C$2:C4325)-1,24))</f>
        <v>04.00</v>
      </c>
      <c r="D4325" s="8" t="str">
        <f t="shared" ca="1" si="203"/>
        <v>—</v>
      </c>
      <c r="E4325" s="16">
        <f t="shared" ca="1" si="204"/>
        <v>7</v>
      </c>
    </row>
    <row r="4326" spans="1:5" x14ac:dyDescent="0.25">
      <c r="A4326" s="3">
        <f t="shared" si="202"/>
        <v>78989</v>
      </c>
      <c r="B4326" t="str">
        <f ca="1">TEXT(DATE(YEAR(Invoer!$A$5),1,1)+INT((ROWS(B$2:B4326)-1)/24),"""18""jjmmdd")</f>
        <v>18980630</v>
      </c>
      <c r="C4326" s="11" t="str">
        <f>INDEX(Data,2,2+MOD(ROWS(C$2:C4326)-1,24))</f>
        <v>05.00</v>
      </c>
      <c r="D4326" s="8" t="str">
        <f t="shared" ca="1" si="203"/>
        <v>—</v>
      </c>
      <c r="E4326" s="16">
        <f t="shared" ca="1" si="204"/>
        <v>7</v>
      </c>
    </row>
    <row r="4327" spans="1:5" x14ac:dyDescent="0.25">
      <c r="A4327" s="3">
        <f t="shared" si="202"/>
        <v>78989</v>
      </c>
      <c r="B4327" t="str">
        <f ca="1">TEXT(DATE(YEAR(Invoer!$A$5),1,1)+INT((ROWS(B$2:B4327)-1)/24),"""18""jjmmdd")</f>
        <v>18980630</v>
      </c>
      <c r="C4327" s="11" t="str">
        <f>INDEX(Data,2,2+MOD(ROWS(C$2:C4327)-1,24))</f>
        <v>06.00</v>
      </c>
      <c r="D4327" s="8" t="str">
        <f t="shared" ca="1" si="203"/>
        <v>—</v>
      </c>
      <c r="E4327" s="16">
        <f t="shared" ca="1" si="204"/>
        <v>7</v>
      </c>
    </row>
    <row r="4328" spans="1:5" x14ac:dyDescent="0.25">
      <c r="A4328" s="3">
        <f t="shared" si="202"/>
        <v>78989</v>
      </c>
      <c r="B4328" t="str">
        <f ca="1">TEXT(DATE(YEAR(Invoer!$A$5),1,1)+INT((ROWS(B$2:B4328)-1)/24),"""18""jjmmdd")</f>
        <v>18980630</v>
      </c>
      <c r="C4328" s="11" t="str">
        <f>INDEX(Data,2,2+MOD(ROWS(C$2:C4328)-1,24))</f>
        <v>07.00</v>
      </c>
      <c r="D4328" s="8" t="str">
        <f t="shared" ca="1" si="203"/>
        <v>—</v>
      </c>
      <c r="E4328" s="16">
        <f t="shared" ca="1" si="204"/>
        <v>7</v>
      </c>
    </row>
    <row r="4329" spans="1:5" x14ac:dyDescent="0.25">
      <c r="A4329" s="3">
        <f t="shared" si="202"/>
        <v>78989</v>
      </c>
      <c r="B4329" t="str">
        <f ca="1">TEXT(DATE(YEAR(Invoer!$A$5),1,1)+INT((ROWS(B$2:B4329)-1)/24),"""18""jjmmdd")</f>
        <v>18980630</v>
      </c>
      <c r="C4329" s="11" t="str">
        <f>INDEX(Data,2,2+MOD(ROWS(C$2:C4329)-1,24))</f>
        <v>08.00</v>
      </c>
      <c r="D4329" s="8" t="str">
        <f t="shared" ca="1" si="203"/>
        <v>—</v>
      </c>
      <c r="E4329" s="16">
        <f t="shared" ca="1" si="204"/>
        <v>7</v>
      </c>
    </row>
    <row r="4330" spans="1:5" x14ac:dyDescent="0.25">
      <c r="A4330" s="3">
        <f t="shared" si="202"/>
        <v>78989</v>
      </c>
      <c r="B4330" t="str">
        <f ca="1">TEXT(DATE(YEAR(Invoer!$A$5),1,1)+INT((ROWS(B$2:B4330)-1)/24),"""18""jjmmdd")</f>
        <v>18980630</v>
      </c>
      <c r="C4330" s="11" t="str">
        <f>INDEX(Data,2,2+MOD(ROWS(C$2:C4330)-1,24))</f>
        <v>09.00</v>
      </c>
      <c r="D4330" s="8" t="str">
        <f t="shared" ca="1" si="203"/>
        <v>—</v>
      </c>
      <c r="E4330" s="16">
        <f t="shared" ca="1" si="204"/>
        <v>7</v>
      </c>
    </row>
    <row r="4331" spans="1:5" x14ac:dyDescent="0.25">
      <c r="A4331" s="3">
        <f t="shared" si="202"/>
        <v>78989</v>
      </c>
      <c r="B4331" t="str">
        <f ca="1">TEXT(DATE(YEAR(Invoer!$A$5),1,1)+INT((ROWS(B$2:B4331)-1)/24),"""18""jjmmdd")</f>
        <v>18980630</v>
      </c>
      <c r="C4331" s="11" t="str">
        <f>INDEX(Data,2,2+MOD(ROWS(C$2:C4331)-1,24))</f>
        <v>10.00</v>
      </c>
      <c r="D4331" s="8" t="str">
        <f t="shared" ca="1" si="203"/>
        <v>—</v>
      </c>
      <c r="E4331" s="16">
        <f t="shared" ca="1" si="204"/>
        <v>7</v>
      </c>
    </row>
    <row r="4332" spans="1:5" x14ac:dyDescent="0.25">
      <c r="A4332" s="3">
        <f t="shared" si="202"/>
        <v>78989</v>
      </c>
      <c r="B4332" t="str">
        <f ca="1">TEXT(DATE(YEAR(Invoer!$A$5),1,1)+INT((ROWS(B$2:B4332)-1)/24),"""18""jjmmdd")</f>
        <v>18980630</v>
      </c>
      <c r="C4332" s="11" t="str">
        <f>INDEX(Data,2,2+MOD(ROWS(C$2:C4332)-1,24))</f>
        <v>11.00</v>
      </c>
      <c r="D4332" s="8" t="str">
        <f t="shared" ca="1" si="203"/>
        <v>—</v>
      </c>
      <c r="E4332" s="16">
        <f t="shared" ca="1" si="204"/>
        <v>7</v>
      </c>
    </row>
    <row r="4333" spans="1:5" x14ac:dyDescent="0.25">
      <c r="A4333" s="3">
        <f t="shared" si="202"/>
        <v>78989</v>
      </c>
      <c r="B4333" t="str">
        <f ca="1">TEXT(DATE(YEAR(Invoer!$A$5),1,1)+INT((ROWS(B$2:B4333)-1)/24),"""18""jjmmdd")</f>
        <v>18980630</v>
      </c>
      <c r="C4333" s="11" t="str">
        <f>INDEX(Data,2,2+MOD(ROWS(C$2:C4333)-1,24))</f>
        <v>12.00</v>
      </c>
      <c r="D4333" s="8" t="str">
        <f t="shared" ca="1" si="203"/>
        <v>—</v>
      </c>
      <c r="E4333" s="16">
        <f t="shared" ca="1" si="204"/>
        <v>7</v>
      </c>
    </row>
    <row r="4334" spans="1:5" x14ac:dyDescent="0.25">
      <c r="A4334" s="3">
        <f t="shared" si="202"/>
        <v>78989</v>
      </c>
      <c r="B4334" t="str">
        <f ca="1">TEXT(DATE(YEAR(Invoer!$A$5),1,1)+INT((ROWS(B$2:B4334)-1)/24),"""18""jjmmdd")</f>
        <v>18980630</v>
      </c>
      <c r="C4334" s="11" t="str">
        <f>INDEX(Data,2,2+MOD(ROWS(C$2:C4334)-1,24))</f>
        <v>13.00</v>
      </c>
      <c r="D4334" s="8" t="str">
        <f t="shared" ca="1" si="203"/>
        <v>—</v>
      </c>
      <c r="E4334" s="16">
        <f t="shared" ca="1" si="204"/>
        <v>7</v>
      </c>
    </row>
    <row r="4335" spans="1:5" x14ac:dyDescent="0.25">
      <c r="A4335" s="3">
        <f t="shared" si="202"/>
        <v>78989</v>
      </c>
      <c r="B4335" t="str">
        <f ca="1">TEXT(DATE(YEAR(Invoer!$A$5),1,1)+INT((ROWS(B$2:B4335)-1)/24),"""18""jjmmdd")</f>
        <v>18980630</v>
      </c>
      <c r="C4335" s="11" t="str">
        <f>INDEX(Data,2,2+MOD(ROWS(C$2:C4335)-1,24))</f>
        <v>14.00</v>
      </c>
      <c r="D4335" s="8" t="str">
        <f t="shared" ca="1" si="203"/>
        <v>—</v>
      </c>
      <c r="E4335" s="16">
        <f t="shared" ca="1" si="204"/>
        <v>7</v>
      </c>
    </row>
    <row r="4336" spans="1:5" x14ac:dyDescent="0.25">
      <c r="A4336" s="3">
        <f t="shared" si="202"/>
        <v>78989</v>
      </c>
      <c r="B4336" t="str">
        <f ca="1">TEXT(DATE(YEAR(Invoer!$A$5),1,1)+INT((ROWS(B$2:B4336)-1)/24),"""18""jjmmdd")</f>
        <v>18980630</v>
      </c>
      <c r="C4336" s="11" t="str">
        <f>INDEX(Data,2,2+MOD(ROWS(C$2:C4336)-1,24))</f>
        <v>15.00</v>
      </c>
      <c r="D4336" s="8" t="str">
        <f t="shared" ca="1" si="203"/>
        <v>—</v>
      </c>
      <c r="E4336" s="16">
        <f t="shared" ca="1" si="204"/>
        <v>7</v>
      </c>
    </row>
    <row r="4337" spans="1:5" x14ac:dyDescent="0.25">
      <c r="A4337" s="3">
        <f t="shared" si="202"/>
        <v>78989</v>
      </c>
      <c r="B4337" t="str">
        <f ca="1">TEXT(DATE(YEAR(Invoer!$A$5),1,1)+INT((ROWS(B$2:B4337)-1)/24),"""18""jjmmdd")</f>
        <v>18980630</v>
      </c>
      <c r="C4337" s="11" t="str">
        <f>INDEX(Data,2,2+MOD(ROWS(C$2:C4337)-1,24))</f>
        <v>16.00</v>
      </c>
      <c r="D4337" s="8" t="str">
        <f t="shared" ca="1" si="203"/>
        <v>—</v>
      </c>
      <c r="E4337" s="16">
        <f t="shared" ca="1" si="204"/>
        <v>7</v>
      </c>
    </row>
    <row r="4338" spans="1:5" x14ac:dyDescent="0.25">
      <c r="A4338" s="3">
        <f t="shared" si="202"/>
        <v>78989</v>
      </c>
      <c r="B4338" t="str">
        <f ca="1">TEXT(DATE(YEAR(Invoer!$A$5),1,1)+INT((ROWS(B$2:B4338)-1)/24),"""18""jjmmdd")</f>
        <v>18980630</v>
      </c>
      <c r="C4338" s="11" t="str">
        <f>INDEX(Data,2,2+MOD(ROWS(C$2:C4338)-1,24))</f>
        <v>17.00</v>
      </c>
      <c r="D4338" s="8" t="str">
        <f t="shared" ca="1" si="203"/>
        <v>—</v>
      </c>
      <c r="E4338" s="16">
        <f t="shared" ca="1" si="204"/>
        <v>7</v>
      </c>
    </row>
    <row r="4339" spans="1:5" x14ac:dyDescent="0.25">
      <c r="A4339" s="3">
        <f t="shared" si="202"/>
        <v>78989</v>
      </c>
      <c r="B4339" t="str">
        <f ca="1">TEXT(DATE(YEAR(Invoer!$A$5),1,1)+INT((ROWS(B$2:B4339)-1)/24),"""18""jjmmdd")</f>
        <v>18980630</v>
      </c>
      <c r="C4339" s="11" t="str">
        <f>INDEX(Data,2,2+MOD(ROWS(C$2:C4339)-1,24))</f>
        <v>18.00</v>
      </c>
      <c r="D4339" s="8" t="str">
        <f t="shared" ca="1" si="203"/>
        <v>—</v>
      </c>
      <c r="E4339" s="16">
        <f t="shared" ca="1" si="204"/>
        <v>7</v>
      </c>
    </row>
    <row r="4340" spans="1:5" x14ac:dyDescent="0.25">
      <c r="A4340" s="3">
        <f t="shared" si="202"/>
        <v>78989</v>
      </c>
      <c r="B4340" t="str">
        <f ca="1">TEXT(DATE(YEAR(Invoer!$A$5),1,1)+INT((ROWS(B$2:B4340)-1)/24),"""18""jjmmdd")</f>
        <v>18980630</v>
      </c>
      <c r="C4340" s="11" t="str">
        <f>INDEX(Data,2,2+MOD(ROWS(C$2:C4340)-1,24))</f>
        <v>19.00</v>
      </c>
      <c r="D4340" s="8" t="str">
        <f t="shared" ca="1" si="203"/>
        <v>—</v>
      </c>
      <c r="E4340" s="16">
        <f t="shared" ca="1" si="204"/>
        <v>7</v>
      </c>
    </row>
    <row r="4341" spans="1:5" x14ac:dyDescent="0.25">
      <c r="A4341" s="3">
        <f t="shared" si="202"/>
        <v>78989</v>
      </c>
      <c r="B4341" t="str">
        <f ca="1">TEXT(DATE(YEAR(Invoer!$A$5),1,1)+INT((ROWS(B$2:B4341)-1)/24),"""18""jjmmdd")</f>
        <v>18980630</v>
      </c>
      <c r="C4341" s="11" t="str">
        <f>INDEX(Data,2,2+MOD(ROWS(C$2:C4341)-1,24))</f>
        <v>20.00</v>
      </c>
      <c r="D4341" s="8" t="str">
        <f t="shared" ca="1" si="203"/>
        <v>—</v>
      </c>
      <c r="E4341" s="16">
        <f t="shared" ca="1" si="204"/>
        <v>7</v>
      </c>
    </row>
    <row r="4342" spans="1:5" x14ac:dyDescent="0.25">
      <c r="A4342" s="3">
        <f t="shared" si="202"/>
        <v>78989</v>
      </c>
      <c r="B4342" t="str">
        <f ca="1">TEXT(DATE(YEAR(Invoer!$A$5),1,1)+INT((ROWS(B$2:B4342)-1)/24),"""18""jjmmdd")</f>
        <v>18980630</v>
      </c>
      <c r="C4342" s="11" t="str">
        <f>INDEX(Data,2,2+MOD(ROWS(C$2:C4342)-1,24))</f>
        <v>21.00</v>
      </c>
      <c r="D4342" s="8" t="str">
        <f t="shared" ca="1" si="203"/>
        <v>—</v>
      </c>
      <c r="E4342" s="16">
        <f t="shared" ca="1" si="204"/>
        <v>7</v>
      </c>
    </row>
    <row r="4343" spans="1:5" x14ac:dyDescent="0.25">
      <c r="A4343" s="3">
        <f t="shared" si="202"/>
        <v>78989</v>
      </c>
      <c r="B4343" t="str">
        <f ca="1">TEXT(DATE(YEAR(Invoer!$A$5),1,1)+INT((ROWS(B$2:B4343)-1)/24),"""18""jjmmdd")</f>
        <v>18980630</v>
      </c>
      <c r="C4343" s="11" t="str">
        <f>INDEX(Data,2,2+MOD(ROWS(C$2:C4343)-1,24))</f>
        <v>22.00</v>
      </c>
      <c r="D4343" s="8" t="str">
        <f t="shared" ca="1" si="203"/>
        <v>—</v>
      </c>
      <c r="E4343" s="16">
        <f t="shared" ca="1" si="204"/>
        <v>7</v>
      </c>
    </row>
    <row r="4344" spans="1:5" x14ac:dyDescent="0.25">
      <c r="A4344" s="3">
        <f t="shared" si="202"/>
        <v>78989</v>
      </c>
      <c r="B4344" t="str">
        <f ca="1">TEXT(DATE(YEAR(Invoer!$A$5),1,1)+INT((ROWS(B$2:B4344)-1)/24),"""18""jjmmdd")</f>
        <v>18980630</v>
      </c>
      <c r="C4344" s="11" t="str">
        <f>INDEX(Data,2,2+MOD(ROWS(C$2:C4344)-1,24))</f>
        <v>23.00</v>
      </c>
      <c r="D4344" s="8" t="str">
        <f t="shared" ca="1" si="203"/>
        <v>—</v>
      </c>
      <c r="E4344" s="16">
        <f t="shared" ca="1" si="204"/>
        <v>7</v>
      </c>
    </row>
    <row r="4345" spans="1:5" x14ac:dyDescent="0.25">
      <c r="A4345" s="3">
        <f t="shared" si="202"/>
        <v>78989</v>
      </c>
      <c r="B4345" t="str">
        <f ca="1">TEXT(DATE(YEAR(Invoer!$A$5),1,1)+INT((ROWS(B$2:B4345)-1)/24),"""18""jjmmdd")</f>
        <v>18980630</v>
      </c>
      <c r="C4345" s="11" t="str">
        <f>INDEX(Data,2,2+MOD(ROWS(C$2:C4345)-1,24))</f>
        <v>24.00</v>
      </c>
      <c r="D4345" s="8" t="str">
        <f t="shared" ca="1" si="203"/>
        <v>—</v>
      </c>
      <c r="E4345" s="16">
        <f t="shared" ca="1" si="204"/>
        <v>7</v>
      </c>
    </row>
    <row r="4346" spans="1:5" x14ac:dyDescent="0.25">
      <c r="A4346" s="3">
        <f t="shared" si="202"/>
        <v>78989</v>
      </c>
      <c r="B4346" t="str">
        <f ca="1">TEXT(DATE(YEAR(Invoer!$A$5),1,1)+INT((ROWS(B$2:B4346)-1)/24),"""18""jjmmdd")</f>
        <v>18980701</v>
      </c>
      <c r="C4346" s="11" t="str">
        <f>INDEX(Data,2,2+MOD(ROWS(C$2:C4346)-1,24))</f>
        <v>01.00</v>
      </c>
      <c r="D4346" s="8" t="str">
        <f t="shared" ca="1" si="203"/>
        <v>—</v>
      </c>
      <c r="E4346" s="16">
        <f t="shared" ca="1" si="204"/>
        <v>7</v>
      </c>
    </row>
    <row r="4347" spans="1:5" x14ac:dyDescent="0.25">
      <c r="A4347" s="3">
        <f t="shared" si="202"/>
        <v>78989</v>
      </c>
      <c r="B4347" t="str">
        <f ca="1">TEXT(DATE(YEAR(Invoer!$A$5),1,1)+INT((ROWS(B$2:B4347)-1)/24),"""18""jjmmdd")</f>
        <v>18980701</v>
      </c>
      <c r="C4347" s="11" t="str">
        <f>INDEX(Data,2,2+MOD(ROWS(C$2:C4347)-1,24))</f>
        <v>02.00</v>
      </c>
      <c r="D4347" s="8" t="str">
        <f t="shared" ca="1" si="203"/>
        <v>—</v>
      </c>
      <c r="E4347" s="16">
        <f t="shared" ca="1" si="204"/>
        <v>7</v>
      </c>
    </row>
    <row r="4348" spans="1:5" x14ac:dyDescent="0.25">
      <c r="A4348" s="3">
        <f t="shared" si="202"/>
        <v>78989</v>
      </c>
      <c r="B4348" t="str">
        <f ca="1">TEXT(DATE(YEAR(Invoer!$A$5),1,1)+INT((ROWS(B$2:B4348)-1)/24),"""18""jjmmdd")</f>
        <v>18980701</v>
      </c>
      <c r="C4348" s="11" t="str">
        <f>INDEX(Data,2,2+MOD(ROWS(C$2:C4348)-1,24))</f>
        <v>03.00</v>
      </c>
      <c r="D4348" s="8" t="str">
        <f t="shared" ca="1" si="203"/>
        <v>—</v>
      </c>
      <c r="E4348" s="16">
        <f t="shared" ca="1" si="204"/>
        <v>7</v>
      </c>
    </row>
    <row r="4349" spans="1:5" x14ac:dyDescent="0.25">
      <c r="A4349" s="3">
        <f t="shared" si="202"/>
        <v>78989</v>
      </c>
      <c r="B4349" t="str">
        <f ca="1">TEXT(DATE(YEAR(Invoer!$A$5),1,1)+INT((ROWS(B$2:B4349)-1)/24),"""18""jjmmdd")</f>
        <v>18980701</v>
      </c>
      <c r="C4349" s="11" t="str">
        <f>INDEX(Data,2,2+MOD(ROWS(C$2:C4349)-1,24))</f>
        <v>04.00</v>
      </c>
      <c r="D4349" s="8" t="str">
        <f t="shared" ca="1" si="203"/>
        <v>—</v>
      </c>
      <c r="E4349" s="16">
        <f t="shared" ca="1" si="204"/>
        <v>7</v>
      </c>
    </row>
    <row r="4350" spans="1:5" x14ac:dyDescent="0.25">
      <c r="A4350" s="3">
        <f t="shared" si="202"/>
        <v>78989</v>
      </c>
      <c r="B4350" t="str">
        <f ca="1">TEXT(DATE(YEAR(Invoer!$A$5),1,1)+INT((ROWS(B$2:B4350)-1)/24),"""18""jjmmdd")</f>
        <v>18980701</v>
      </c>
      <c r="C4350" s="11" t="str">
        <f>INDEX(Data,2,2+MOD(ROWS(C$2:C4350)-1,24))</f>
        <v>05.00</v>
      </c>
      <c r="D4350" s="8" t="str">
        <f t="shared" ca="1" si="203"/>
        <v>—</v>
      </c>
      <c r="E4350" s="16">
        <f t="shared" ca="1" si="204"/>
        <v>7</v>
      </c>
    </row>
    <row r="4351" spans="1:5" x14ac:dyDescent="0.25">
      <c r="A4351" s="3">
        <f t="shared" si="202"/>
        <v>78989</v>
      </c>
      <c r="B4351" t="str">
        <f ca="1">TEXT(DATE(YEAR(Invoer!$A$5),1,1)+INT((ROWS(B$2:B4351)-1)/24),"""18""jjmmdd")</f>
        <v>18980701</v>
      </c>
      <c r="C4351" s="11" t="str">
        <f>INDEX(Data,2,2+MOD(ROWS(C$2:C4351)-1,24))</f>
        <v>06.00</v>
      </c>
      <c r="D4351" s="8" t="str">
        <f t="shared" ca="1" si="203"/>
        <v>—</v>
      </c>
      <c r="E4351" s="16">
        <f t="shared" ca="1" si="204"/>
        <v>7</v>
      </c>
    </row>
    <row r="4352" spans="1:5" x14ac:dyDescent="0.25">
      <c r="A4352" s="3">
        <f t="shared" si="202"/>
        <v>78989</v>
      </c>
      <c r="B4352" t="str">
        <f ca="1">TEXT(DATE(YEAR(Invoer!$A$5),1,1)+INT((ROWS(B$2:B4352)-1)/24),"""18""jjmmdd")</f>
        <v>18980701</v>
      </c>
      <c r="C4352" s="11" t="str">
        <f>INDEX(Data,2,2+MOD(ROWS(C$2:C4352)-1,24))</f>
        <v>07.00</v>
      </c>
      <c r="D4352" s="8" t="str">
        <f t="shared" ca="1" si="203"/>
        <v>—</v>
      </c>
      <c r="E4352" s="16">
        <f t="shared" ca="1" si="204"/>
        <v>7</v>
      </c>
    </row>
    <row r="4353" spans="1:5" x14ac:dyDescent="0.25">
      <c r="A4353" s="3">
        <f t="shared" si="202"/>
        <v>78989</v>
      </c>
      <c r="B4353" t="str">
        <f ca="1">TEXT(DATE(YEAR(Invoer!$A$5),1,1)+INT((ROWS(B$2:B4353)-1)/24),"""18""jjmmdd")</f>
        <v>18980701</v>
      </c>
      <c r="C4353" s="11" t="str">
        <f>INDEX(Data,2,2+MOD(ROWS(C$2:C4353)-1,24))</f>
        <v>08.00</v>
      </c>
      <c r="D4353" s="8" t="str">
        <f t="shared" ca="1" si="203"/>
        <v>—</v>
      </c>
      <c r="E4353" s="16">
        <f t="shared" ca="1" si="204"/>
        <v>7</v>
      </c>
    </row>
    <row r="4354" spans="1:5" x14ac:dyDescent="0.25">
      <c r="A4354" s="3">
        <f t="shared" ref="A4354:A4417" si="205">INDEX(Stations,2,1)</f>
        <v>78989</v>
      </c>
      <c r="B4354" t="str">
        <f ca="1">TEXT(DATE(YEAR(Invoer!$A$5),1,1)+INT((ROWS(B$2:B4354)-1)/24),"""18""jjmmdd")</f>
        <v>18980701</v>
      </c>
      <c r="C4354" s="11" t="str">
        <f>INDEX(Data,2,2+MOD(ROWS(C$2:C4354)-1,24))</f>
        <v>09.00</v>
      </c>
      <c r="D4354" s="8" t="str">
        <f t="shared" ref="D4354:D4417" ca="1" si="206">IF(OR(ISBLANK(VLOOKUP(DATEVALUE("37"&amp;MID($B4354,3,2)&amp;"-"&amp;MID($B4354,5,2)&amp;"-"&amp;RIGHT($B4354,2)),Data,MATCH(LEFT(VLOOKUP(D$1,Parameters,2,FALSE()),4)&amp;"*",OFFSET(Data,0,0,1),0)+MATCH($C4354,OFFSET(Data,1,0,1),0)-2,FALSE())),ISTEXT(VLOOKUP(DATEVALUE("37"&amp;MID($B4354,3,2)&amp;"-"&amp;MID($B4354,5,2)&amp;"-"&amp;RIGHT($B4354,2)),Data,MATCH(LEFT(VLOOKUP(D$1,Parameters,2,FALSE()),4)&amp;"*",OFFSET(Data,0,0,1),0)+MATCH($C4354,OFFSET(Data,1,0,1),0)-2,FALSE()))),"—",VLOOKUP(DATEVALUE("37"&amp;MID($B4354,3,2)&amp;"-"&amp;MID($B4354,5,2)&amp;"-"&amp;RIGHT($B4354,2)),Data,MATCH(LEFT(VLOOKUP(D$1,Parameters,2,FALSE()),4)&amp;"*",OFFSET(Data,0,0,1),0)+MATCH($C4354,OFFSET(Data,1,0,1),0)-2,FALSE()))</f>
        <v>—</v>
      </c>
      <c r="E4354" s="16">
        <f t="shared" ca="1" si="204"/>
        <v>7</v>
      </c>
    </row>
    <row r="4355" spans="1:5" x14ac:dyDescent="0.25">
      <c r="A4355" s="3">
        <f t="shared" si="205"/>
        <v>78989</v>
      </c>
      <c r="B4355" t="str">
        <f ca="1">TEXT(DATE(YEAR(Invoer!$A$5),1,1)+INT((ROWS(B$2:B4355)-1)/24),"""18""jjmmdd")</f>
        <v>18980701</v>
      </c>
      <c r="C4355" s="11" t="str">
        <f>INDEX(Data,2,2+MOD(ROWS(C$2:C4355)-1,24))</f>
        <v>10.00</v>
      </c>
      <c r="D4355" s="8" t="str">
        <f t="shared" ca="1" si="206"/>
        <v>—</v>
      </c>
      <c r="E4355" s="16">
        <f t="shared" ref="E4355:E4418" ca="1" si="207">IF(OR(ISBLANK(VLOOKUP(DATEVALUE("37"&amp;MID($B4355,3,2)&amp;"-"&amp;MID($B4355,5,2)&amp;"-"&amp;RIGHT($B4355,2)),Data,MATCH(LEFT(VLOOKUP(D$1,Parameters,2,FALSE()),4)&amp;"*",OFFSET(Data,0,0,1),0)+MATCH($C4355,OFFSET(Data,1,0,1),0)-2,FALSE())),ISTEXT(VLOOKUP(DATEVALUE("37"&amp;MID($B4355,3,2)&amp;"-"&amp;MID($B4355,5,2)&amp;"-"&amp;RIGHT($B4355,2)),Data,MATCH(LEFT(VLOOKUP(D$1,Parameters,2,FALSE()),4)&amp;"*",OFFSET(Data,0,0,1),0)+MATCH($C4355,OFFSET(Data,1,0,1),0)-2,FALSE()))),Lacking,IF(ISNA(MATCH(DATEVALUE("37"&amp;MID($B4355,3,2)&amp;"-"&amp;MID($B4355,5,2)&amp;"-"&amp;RIGHT($B4355,2)),OFFSET(Catalogus,0,0,,1),0)),Ok,VLOOKUP(DATEVALUE("37"&amp;MID($B4355,3,2)&amp;"-"&amp;MID($B4355,5,2)&amp;"-"&amp;RIGHT($B4355,2)),Catalogus,MATCH(LEFT(VLOOKUP(MID(E$1,2,LEN(E$1)-1),Parameters,2,FALSE()),4)&amp;"*",OFFSET(Catalogus,0,0,1),0)+MATCH($C4355,OFFSET(Catalogus,1,0,1),0)-2,FALSE())))</f>
        <v>7</v>
      </c>
    </row>
    <row r="4356" spans="1:5" x14ac:dyDescent="0.25">
      <c r="A4356" s="3">
        <f t="shared" si="205"/>
        <v>78989</v>
      </c>
      <c r="B4356" t="str">
        <f ca="1">TEXT(DATE(YEAR(Invoer!$A$5),1,1)+INT((ROWS(B$2:B4356)-1)/24),"""18""jjmmdd")</f>
        <v>18980701</v>
      </c>
      <c r="C4356" s="11" t="str">
        <f>INDEX(Data,2,2+MOD(ROWS(C$2:C4356)-1,24))</f>
        <v>11.00</v>
      </c>
      <c r="D4356" s="8" t="str">
        <f t="shared" ca="1" si="206"/>
        <v>—</v>
      </c>
      <c r="E4356" s="16">
        <f t="shared" ca="1" si="207"/>
        <v>7</v>
      </c>
    </row>
    <row r="4357" spans="1:5" x14ac:dyDescent="0.25">
      <c r="A4357" s="3">
        <f t="shared" si="205"/>
        <v>78989</v>
      </c>
      <c r="B4357" t="str">
        <f ca="1">TEXT(DATE(YEAR(Invoer!$A$5),1,1)+INT((ROWS(B$2:B4357)-1)/24),"""18""jjmmdd")</f>
        <v>18980701</v>
      </c>
      <c r="C4357" s="11" t="str">
        <f>INDEX(Data,2,2+MOD(ROWS(C$2:C4357)-1,24))</f>
        <v>12.00</v>
      </c>
      <c r="D4357" s="8" t="str">
        <f t="shared" ca="1" si="206"/>
        <v>—</v>
      </c>
      <c r="E4357" s="16">
        <f t="shared" ca="1" si="207"/>
        <v>7</v>
      </c>
    </row>
    <row r="4358" spans="1:5" x14ac:dyDescent="0.25">
      <c r="A4358" s="3">
        <f t="shared" si="205"/>
        <v>78989</v>
      </c>
      <c r="B4358" t="str">
        <f ca="1">TEXT(DATE(YEAR(Invoer!$A$5),1,1)+INT((ROWS(B$2:B4358)-1)/24),"""18""jjmmdd")</f>
        <v>18980701</v>
      </c>
      <c r="C4358" s="11" t="str">
        <f>INDEX(Data,2,2+MOD(ROWS(C$2:C4358)-1,24))</f>
        <v>13.00</v>
      </c>
      <c r="D4358" s="8" t="str">
        <f t="shared" ca="1" si="206"/>
        <v>—</v>
      </c>
      <c r="E4358" s="16">
        <f t="shared" ca="1" si="207"/>
        <v>7</v>
      </c>
    </row>
    <row r="4359" spans="1:5" x14ac:dyDescent="0.25">
      <c r="A4359" s="3">
        <f t="shared" si="205"/>
        <v>78989</v>
      </c>
      <c r="B4359" t="str">
        <f ca="1">TEXT(DATE(YEAR(Invoer!$A$5),1,1)+INT((ROWS(B$2:B4359)-1)/24),"""18""jjmmdd")</f>
        <v>18980701</v>
      </c>
      <c r="C4359" s="11" t="str">
        <f>INDEX(Data,2,2+MOD(ROWS(C$2:C4359)-1,24))</f>
        <v>14.00</v>
      </c>
      <c r="D4359" s="8" t="str">
        <f t="shared" ca="1" si="206"/>
        <v>—</v>
      </c>
      <c r="E4359" s="16">
        <f t="shared" ca="1" si="207"/>
        <v>7</v>
      </c>
    </row>
    <row r="4360" spans="1:5" x14ac:dyDescent="0.25">
      <c r="A4360" s="3">
        <f t="shared" si="205"/>
        <v>78989</v>
      </c>
      <c r="B4360" t="str">
        <f ca="1">TEXT(DATE(YEAR(Invoer!$A$5),1,1)+INT((ROWS(B$2:B4360)-1)/24),"""18""jjmmdd")</f>
        <v>18980701</v>
      </c>
      <c r="C4360" s="11" t="str">
        <f>INDEX(Data,2,2+MOD(ROWS(C$2:C4360)-1,24))</f>
        <v>15.00</v>
      </c>
      <c r="D4360" s="8" t="str">
        <f t="shared" ca="1" si="206"/>
        <v>—</v>
      </c>
      <c r="E4360" s="16">
        <f t="shared" ca="1" si="207"/>
        <v>7</v>
      </c>
    </row>
    <row r="4361" spans="1:5" x14ac:dyDescent="0.25">
      <c r="A4361" s="3">
        <f t="shared" si="205"/>
        <v>78989</v>
      </c>
      <c r="B4361" t="str">
        <f ca="1">TEXT(DATE(YEAR(Invoer!$A$5),1,1)+INT((ROWS(B$2:B4361)-1)/24),"""18""jjmmdd")</f>
        <v>18980701</v>
      </c>
      <c r="C4361" s="11" t="str">
        <f>INDEX(Data,2,2+MOD(ROWS(C$2:C4361)-1,24))</f>
        <v>16.00</v>
      </c>
      <c r="D4361" s="8" t="str">
        <f t="shared" ca="1" si="206"/>
        <v>—</v>
      </c>
      <c r="E4361" s="16">
        <f t="shared" ca="1" si="207"/>
        <v>7</v>
      </c>
    </row>
    <row r="4362" spans="1:5" x14ac:dyDescent="0.25">
      <c r="A4362" s="3">
        <f t="shared" si="205"/>
        <v>78989</v>
      </c>
      <c r="B4362" t="str">
        <f ca="1">TEXT(DATE(YEAR(Invoer!$A$5),1,1)+INT((ROWS(B$2:B4362)-1)/24),"""18""jjmmdd")</f>
        <v>18980701</v>
      </c>
      <c r="C4362" s="11" t="str">
        <f>INDEX(Data,2,2+MOD(ROWS(C$2:C4362)-1,24))</f>
        <v>17.00</v>
      </c>
      <c r="D4362" s="8" t="str">
        <f t="shared" ca="1" si="206"/>
        <v>—</v>
      </c>
      <c r="E4362" s="16">
        <f t="shared" ca="1" si="207"/>
        <v>7</v>
      </c>
    </row>
    <row r="4363" spans="1:5" x14ac:dyDescent="0.25">
      <c r="A4363" s="3">
        <f t="shared" si="205"/>
        <v>78989</v>
      </c>
      <c r="B4363" t="str">
        <f ca="1">TEXT(DATE(YEAR(Invoer!$A$5),1,1)+INT((ROWS(B$2:B4363)-1)/24),"""18""jjmmdd")</f>
        <v>18980701</v>
      </c>
      <c r="C4363" s="11" t="str">
        <f>INDEX(Data,2,2+MOD(ROWS(C$2:C4363)-1,24))</f>
        <v>18.00</v>
      </c>
      <c r="D4363" s="8" t="str">
        <f t="shared" ca="1" si="206"/>
        <v>—</v>
      </c>
      <c r="E4363" s="16">
        <f t="shared" ca="1" si="207"/>
        <v>7</v>
      </c>
    </row>
    <row r="4364" spans="1:5" x14ac:dyDescent="0.25">
      <c r="A4364" s="3">
        <f t="shared" si="205"/>
        <v>78989</v>
      </c>
      <c r="B4364" t="str">
        <f ca="1">TEXT(DATE(YEAR(Invoer!$A$5),1,1)+INT((ROWS(B$2:B4364)-1)/24),"""18""jjmmdd")</f>
        <v>18980701</v>
      </c>
      <c r="C4364" s="11" t="str">
        <f>INDEX(Data,2,2+MOD(ROWS(C$2:C4364)-1,24))</f>
        <v>19.00</v>
      </c>
      <c r="D4364" s="8" t="str">
        <f t="shared" ca="1" si="206"/>
        <v>—</v>
      </c>
      <c r="E4364" s="16">
        <f t="shared" ca="1" si="207"/>
        <v>7</v>
      </c>
    </row>
    <row r="4365" spans="1:5" x14ac:dyDescent="0.25">
      <c r="A4365" s="3">
        <f t="shared" si="205"/>
        <v>78989</v>
      </c>
      <c r="B4365" t="str">
        <f ca="1">TEXT(DATE(YEAR(Invoer!$A$5),1,1)+INT((ROWS(B$2:B4365)-1)/24),"""18""jjmmdd")</f>
        <v>18980701</v>
      </c>
      <c r="C4365" s="11" t="str">
        <f>INDEX(Data,2,2+MOD(ROWS(C$2:C4365)-1,24))</f>
        <v>20.00</v>
      </c>
      <c r="D4365" s="8" t="str">
        <f t="shared" ca="1" si="206"/>
        <v>—</v>
      </c>
      <c r="E4365" s="16">
        <f t="shared" ca="1" si="207"/>
        <v>7</v>
      </c>
    </row>
    <row r="4366" spans="1:5" x14ac:dyDescent="0.25">
      <c r="A4366" s="3">
        <f t="shared" si="205"/>
        <v>78989</v>
      </c>
      <c r="B4366" t="str">
        <f ca="1">TEXT(DATE(YEAR(Invoer!$A$5),1,1)+INT((ROWS(B$2:B4366)-1)/24),"""18""jjmmdd")</f>
        <v>18980701</v>
      </c>
      <c r="C4366" s="11" t="str">
        <f>INDEX(Data,2,2+MOD(ROWS(C$2:C4366)-1,24))</f>
        <v>21.00</v>
      </c>
      <c r="D4366" s="8" t="str">
        <f t="shared" ca="1" si="206"/>
        <v>—</v>
      </c>
      <c r="E4366" s="16">
        <f t="shared" ca="1" si="207"/>
        <v>7</v>
      </c>
    </row>
    <row r="4367" spans="1:5" x14ac:dyDescent="0.25">
      <c r="A4367" s="3">
        <f t="shared" si="205"/>
        <v>78989</v>
      </c>
      <c r="B4367" t="str">
        <f ca="1">TEXT(DATE(YEAR(Invoer!$A$5),1,1)+INT((ROWS(B$2:B4367)-1)/24),"""18""jjmmdd")</f>
        <v>18980701</v>
      </c>
      <c r="C4367" s="11" t="str">
        <f>INDEX(Data,2,2+MOD(ROWS(C$2:C4367)-1,24))</f>
        <v>22.00</v>
      </c>
      <c r="D4367" s="8" t="str">
        <f t="shared" ca="1" si="206"/>
        <v>—</v>
      </c>
      <c r="E4367" s="16">
        <f t="shared" ca="1" si="207"/>
        <v>7</v>
      </c>
    </row>
    <row r="4368" spans="1:5" x14ac:dyDescent="0.25">
      <c r="A4368" s="3">
        <f t="shared" si="205"/>
        <v>78989</v>
      </c>
      <c r="B4368" t="str">
        <f ca="1">TEXT(DATE(YEAR(Invoer!$A$5),1,1)+INT((ROWS(B$2:B4368)-1)/24),"""18""jjmmdd")</f>
        <v>18980701</v>
      </c>
      <c r="C4368" s="11" t="str">
        <f>INDEX(Data,2,2+MOD(ROWS(C$2:C4368)-1,24))</f>
        <v>23.00</v>
      </c>
      <c r="D4368" s="8" t="str">
        <f t="shared" ca="1" si="206"/>
        <v>—</v>
      </c>
      <c r="E4368" s="16">
        <f t="shared" ca="1" si="207"/>
        <v>7</v>
      </c>
    </row>
    <row r="4369" spans="1:5" x14ac:dyDescent="0.25">
      <c r="A4369" s="3">
        <f t="shared" si="205"/>
        <v>78989</v>
      </c>
      <c r="B4369" t="str">
        <f ca="1">TEXT(DATE(YEAR(Invoer!$A$5),1,1)+INT((ROWS(B$2:B4369)-1)/24),"""18""jjmmdd")</f>
        <v>18980701</v>
      </c>
      <c r="C4369" s="11" t="str">
        <f>INDEX(Data,2,2+MOD(ROWS(C$2:C4369)-1,24))</f>
        <v>24.00</v>
      </c>
      <c r="D4369" s="8" t="str">
        <f t="shared" ca="1" si="206"/>
        <v>—</v>
      </c>
      <c r="E4369" s="16">
        <f t="shared" ca="1" si="207"/>
        <v>7</v>
      </c>
    </row>
    <row r="4370" spans="1:5" x14ac:dyDescent="0.25">
      <c r="A4370" s="3">
        <f t="shared" si="205"/>
        <v>78989</v>
      </c>
      <c r="B4370" t="str">
        <f ca="1">TEXT(DATE(YEAR(Invoer!$A$5),1,1)+INT((ROWS(B$2:B4370)-1)/24),"""18""jjmmdd")</f>
        <v>18980702</v>
      </c>
      <c r="C4370" s="11" t="str">
        <f>INDEX(Data,2,2+MOD(ROWS(C$2:C4370)-1,24))</f>
        <v>01.00</v>
      </c>
      <c r="D4370" s="8" t="str">
        <f t="shared" ca="1" si="206"/>
        <v>—</v>
      </c>
      <c r="E4370" s="16">
        <f t="shared" ca="1" si="207"/>
        <v>7</v>
      </c>
    </row>
    <row r="4371" spans="1:5" x14ac:dyDescent="0.25">
      <c r="A4371" s="3">
        <f t="shared" si="205"/>
        <v>78989</v>
      </c>
      <c r="B4371" t="str">
        <f ca="1">TEXT(DATE(YEAR(Invoer!$A$5),1,1)+INT((ROWS(B$2:B4371)-1)/24),"""18""jjmmdd")</f>
        <v>18980702</v>
      </c>
      <c r="C4371" s="11" t="str">
        <f>INDEX(Data,2,2+MOD(ROWS(C$2:C4371)-1,24))</f>
        <v>02.00</v>
      </c>
      <c r="D4371" s="8" t="str">
        <f t="shared" ca="1" si="206"/>
        <v>—</v>
      </c>
      <c r="E4371" s="16">
        <f t="shared" ca="1" si="207"/>
        <v>7</v>
      </c>
    </row>
    <row r="4372" spans="1:5" x14ac:dyDescent="0.25">
      <c r="A4372" s="3">
        <f t="shared" si="205"/>
        <v>78989</v>
      </c>
      <c r="B4372" t="str">
        <f ca="1">TEXT(DATE(YEAR(Invoer!$A$5),1,1)+INT((ROWS(B$2:B4372)-1)/24),"""18""jjmmdd")</f>
        <v>18980702</v>
      </c>
      <c r="C4372" s="11" t="str">
        <f>INDEX(Data,2,2+MOD(ROWS(C$2:C4372)-1,24))</f>
        <v>03.00</v>
      </c>
      <c r="D4372" s="8" t="str">
        <f t="shared" ca="1" si="206"/>
        <v>—</v>
      </c>
      <c r="E4372" s="16">
        <f t="shared" ca="1" si="207"/>
        <v>7</v>
      </c>
    </row>
    <row r="4373" spans="1:5" x14ac:dyDescent="0.25">
      <c r="A4373" s="3">
        <f t="shared" si="205"/>
        <v>78989</v>
      </c>
      <c r="B4373" t="str">
        <f ca="1">TEXT(DATE(YEAR(Invoer!$A$5),1,1)+INT((ROWS(B$2:B4373)-1)/24),"""18""jjmmdd")</f>
        <v>18980702</v>
      </c>
      <c r="C4373" s="11" t="str">
        <f>INDEX(Data,2,2+MOD(ROWS(C$2:C4373)-1,24))</f>
        <v>04.00</v>
      </c>
      <c r="D4373" s="8" t="str">
        <f t="shared" ca="1" si="206"/>
        <v>—</v>
      </c>
      <c r="E4373" s="16">
        <f t="shared" ca="1" si="207"/>
        <v>7</v>
      </c>
    </row>
    <row r="4374" spans="1:5" x14ac:dyDescent="0.25">
      <c r="A4374" s="3">
        <f t="shared" si="205"/>
        <v>78989</v>
      </c>
      <c r="B4374" t="str">
        <f ca="1">TEXT(DATE(YEAR(Invoer!$A$5),1,1)+INT((ROWS(B$2:B4374)-1)/24),"""18""jjmmdd")</f>
        <v>18980702</v>
      </c>
      <c r="C4374" s="11" t="str">
        <f>INDEX(Data,2,2+MOD(ROWS(C$2:C4374)-1,24))</f>
        <v>05.00</v>
      </c>
      <c r="D4374" s="8" t="str">
        <f t="shared" ca="1" si="206"/>
        <v>—</v>
      </c>
      <c r="E4374" s="16">
        <f t="shared" ca="1" si="207"/>
        <v>7</v>
      </c>
    </row>
    <row r="4375" spans="1:5" x14ac:dyDescent="0.25">
      <c r="A4375" s="3">
        <f t="shared" si="205"/>
        <v>78989</v>
      </c>
      <c r="B4375" t="str">
        <f ca="1">TEXT(DATE(YEAR(Invoer!$A$5),1,1)+INT((ROWS(B$2:B4375)-1)/24),"""18""jjmmdd")</f>
        <v>18980702</v>
      </c>
      <c r="C4375" s="11" t="str">
        <f>INDEX(Data,2,2+MOD(ROWS(C$2:C4375)-1,24))</f>
        <v>06.00</v>
      </c>
      <c r="D4375" s="8" t="str">
        <f t="shared" ca="1" si="206"/>
        <v>—</v>
      </c>
      <c r="E4375" s="16">
        <f t="shared" ca="1" si="207"/>
        <v>7</v>
      </c>
    </row>
    <row r="4376" spans="1:5" x14ac:dyDescent="0.25">
      <c r="A4376" s="3">
        <f t="shared" si="205"/>
        <v>78989</v>
      </c>
      <c r="B4376" t="str">
        <f ca="1">TEXT(DATE(YEAR(Invoer!$A$5),1,1)+INT((ROWS(B$2:B4376)-1)/24),"""18""jjmmdd")</f>
        <v>18980702</v>
      </c>
      <c r="C4376" s="11" t="str">
        <f>INDEX(Data,2,2+MOD(ROWS(C$2:C4376)-1,24))</f>
        <v>07.00</v>
      </c>
      <c r="D4376" s="8" t="str">
        <f t="shared" ca="1" si="206"/>
        <v>—</v>
      </c>
      <c r="E4376" s="16">
        <f t="shared" ca="1" si="207"/>
        <v>7</v>
      </c>
    </row>
    <row r="4377" spans="1:5" x14ac:dyDescent="0.25">
      <c r="A4377" s="3">
        <f t="shared" si="205"/>
        <v>78989</v>
      </c>
      <c r="B4377" t="str">
        <f ca="1">TEXT(DATE(YEAR(Invoer!$A$5),1,1)+INT((ROWS(B$2:B4377)-1)/24),"""18""jjmmdd")</f>
        <v>18980702</v>
      </c>
      <c r="C4377" s="11" t="str">
        <f>INDEX(Data,2,2+MOD(ROWS(C$2:C4377)-1,24))</f>
        <v>08.00</v>
      </c>
      <c r="D4377" s="8" t="str">
        <f t="shared" ca="1" si="206"/>
        <v>—</v>
      </c>
      <c r="E4377" s="16">
        <f t="shared" ca="1" si="207"/>
        <v>7</v>
      </c>
    </row>
    <row r="4378" spans="1:5" x14ac:dyDescent="0.25">
      <c r="A4378" s="3">
        <f t="shared" si="205"/>
        <v>78989</v>
      </c>
      <c r="B4378" t="str">
        <f ca="1">TEXT(DATE(YEAR(Invoer!$A$5),1,1)+INT((ROWS(B$2:B4378)-1)/24),"""18""jjmmdd")</f>
        <v>18980702</v>
      </c>
      <c r="C4378" s="11" t="str">
        <f>INDEX(Data,2,2+MOD(ROWS(C$2:C4378)-1,24))</f>
        <v>09.00</v>
      </c>
      <c r="D4378" s="8" t="str">
        <f t="shared" ca="1" si="206"/>
        <v>—</v>
      </c>
      <c r="E4378" s="16">
        <f t="shared" ca="1" si="207"/>
        <v>7</v>
      </c>
    </row>
    <row r="4379" spans="1:5" x14ac:dyDescent="0.25">
      <c r="A4379" s="3">
        <f t="shared" si="205"/>
        <v>78989</v>
      </c>
      <c r="B4379" t="str">
        <f ca="1">TEXT(DATE(YEAR(Invoer!$A$5),1,1)+INT((ROWS(B$2:B4379)-1)/24),"""18""jjmmdd")</f>
        <v>18980702</v>
      </c>
      <c r="C4379" s="11" t="str">
        <f>INDEX(Data,2,2+MOD(ROWS(C$2:C4379)-1,24))</f>
        <v>10.00</v>
      </c>
      <c r="D4379" s="8" t="str">
        <f t="shared" ca="1" si="206"/>
        <v>—</v>
      </c>
      <c r="E4379" s="16">
        <f t="shared" ca="1" si="207"/>
        <v>7</v>
      </c>
    </row>
    <row r="4380" spans="1:5" x14ac:dyDescent="0.25">
      <c r="A4380" s="3">
        <f t="shared" si="205"/>
        <v>78989</v>
      </c>
      <c r="B4380" t="str">
        <f ca="1">TEXT(DATE(YEAR(Invoer!$A$5),1,1)+INT((ROWS(B$2:B4380)-1)/24),"""18""jjmmdd")</f>
        <v>18980702</v>
      </c>
      <c r="C4380" s="11" t="str">
        <f>INDEX(Data,2,2+MOD(ROWS(C$2:C4380)-1,24))</f>
        <v>11.00</v>
      </c>
      <c r="D4380" s="8" t="str">
        <f t="shared" ca="1" si="206"/>
        <v>—</v>
      </c>
      <c r="E4380" s="16">
        <f t="shared" ca="1" si="207"/>
        <v>7</v>
      </c>
    </row>
    <row r="4381" spans="1:5" x14ac:dyDescent="0.25">
      <c r="A4381" s="3">
        <f t="shared" si="205"/>
        <v>78989</v>
      </c>
      <c r="B4381" t="str">
        <f ca="1">TEXT(DATE(YEAR(Invoer!$A$5),1,1)+INT((ROWS(B$2:B4381)-1)/24),"""18""jjmmdd")</f>
        <v>18980702</v>
      </c>
      <c r="C4381" s="11" t="str">
        <f>INDEX(Data,2,2+MOD(ROWS(C$2:C4381)-1,24))</f>
        <v>12.00</v>
      </c>
      <c r="D4381" s="8" t="str">
        <f t="shared" ca="1" si="206"/>
        <v>—</v>
      </c>
      <c r="E4381" s="16">
        <f t="shared" ca="1" si="207"/>
        <v>7</v>
      </c>
    </row>
    <row r="4382" spans="1:5" x14ac:dyDescent="0.25">
      <c r="A4382" s="3">
        <f t="shared" si="205"/>
        <v>78989</v>
      </c>
      <c r="B4382" t="str">
        <f ca="1">TEXT(DATE(YEAR(Invoer!$A$5),1,1)+INT((ROWS(B$2:B4382)-1)/24),"""18""jjmmdd")</f>
        <v>18980702</v>
      </c>
      <c r="C4382" s="11" t="str">
        <f>INDEX(Data,2,2+MOD(ROWS(C$2:C4382)-1,24))</f>
        <v>13.00</v>
      </c>
      <c r="D4382" s="8" t="str">
        <f t="shared" ca="1" si="206"/>
        <v>—</v>
      </c>
      <c r="E4382" s="16">
        <f t="shared" ca="1" si="207"/>
        <v>7</v>
      </c>
    </row>
    <row r="4383" spans="1:5" x14ac:dyDescent="0.25">
      <c r="A4383" s="3">
        <f t="shared" si="205"/>
        <v>78989</v>
      </c>
      <c r="B4383" t="str">
        <f ca="1">TEXT(DATE(YEAR(Invoer!$A$5),1,1)+INT((ROWS(B$2:B4383)-1)/24),"""18""jjmmdd")</f>
        <v>18980702</v>
      </c>
      <c r="C4383" s="11" t="str">
        <f>INDEX(Data,2,2+MOD(ROWS(C$2:C4383)-1,24))</f>
        <v>14.00</v>
      </c>
      <c r="D4383" s="8" t="str">
        <f t="shared" ca="1" si="206"/>
        <v>—</v>
      </c>
      <c r="E4383" s="16">
        <f t="shared" ca="1" si="207"/>
        <v>7</v>
      </c>
    </row>
    <row r="4384" spans="1:5" x14ac:dyDescent="0.25">
      <c r="A4384" s="3">
        <f t="shared" si="205"/>
        <v>78989</v>
      </c>
      <c r="B4384" t="str">
        <f ca="1">TEXT(DATE(YEAR(Invoer!$A$5),1,1)+INT((ROWS(B$2:B4384)-1)/24),"""18""jjmmdd")</f>
        <v>18980702</v>
      </c>
      <c r="C4384" s="11" t="str">
        <f>INDEX(Data,2,2+MOD(ROWS(C$2:C4384)-1,24))</f>
        <v>15.00</v>
      </c>
      <c r="D4384" s="8" t="str">
        <f t="shared" ca="1" si="206"/>
        <v>—</v>
      </c>
      <c r="E4384" s="16">
        <f t="shared" ca="1" si="207"/>
        <v>7</v>
      </c>
    </row>
    <row r="4385" spans="1:5" x14ac:dyDescent="0.25">
      <c r="A4385" s="3">
        <f t="shared" si="205"/>
        <v>78989</v>
      </c>
      <c r="B4385" t="str">
        <f ca="1">TEXT(DATE(YEAR(Invoer!$A$5),1,1)+INT((ROWS(B$2:B4385)-1)/24),"""18""jjmmdd")</f>
        <v>18980702</v>
      </c>
      <c r="C4385" s="11" t="str">
        <f>INDEX(Data,2,2+MOD(ROWS(C$2:C4385)-1,24))</f>
        <v>16.00</v>
      </c>
      <c r="D4385" s="8" t="str">
        <f t="shared" ca="1" si="206"/>
        <v>—</v>
      </c>
      <c r="E4385" s="16">
        <f t="shared" ca="1" si="207"/>
        <v>7</v>
      </c>
    </row>
    <row r="4386" spans="1:5" x14ac:dyDescent="0.25">
      <c r="A4386" s="3">
        <f t="shared" si="205"/>
        <v>78989</v>
      </c>
      <c r="B4386" t="str">
        <f ca="1">TEXT(DATE(YEAR(Invoer!$A$5),1,1)+INT((ROWS(B$2:B4386)-1)/24),"""18""jjmmdd")</f>
        <v>18980702</v>
      </c>
      <c r="C4386" s="11" t="str">
        <f>INDEX(Data,2,2+MOD(ROWS(C$2:C4386)-1,24))</f>
        <v>17.00</v>
      </c>
      <c r="D4386" s="8" t="str">
        <f t="shared" ca="1" si="206"/>
        <v>—</v>
      </c>
      <c r="E4386" s="16">
        <f t="shared" ca="1" si="207"/>
        <v>7</v>
      </c>
    </row>
    <row r="4387" spans="1:5" x14ac:dyDescent="0.25">
      <c r="A4387" s="3">
        <f t="shared" si="205"/>
        <v>78989</v>
      </c>
      <c r="B4387" t="str">
        <f ca="1">TEXT(DATE(YEAR(Invoer!$A$5),1,1)+INT((ROWS(B$2:B4387)-1)/24),"""18""jjmmdd")</f>
        <v>18980702</v>
      </c>
      <c r="C4387" s="11" t="str">
        <f>INDEX(Data,2,2+MOD(ROWS(C$2:C4387)-1,24))</f>
        <v>18.00</v>
      </c>
      <c r="D4387" s="8" t="str">
        <f t="shared" ca="1" si="206"/>
        <v>—</v>
      </c>
      <c r="E4387" s="16">
        <f t="shared" ca="1" si="207"/>
        <v>7</v>
      </c>
    </row>
    <row r="4388" spans="1:5" x14ac:dyDescent="0.25">
      <c r="A4388" s="3">
        <f t="shared" si="205"/>
        <v>78989</v>
      </c>
      <c r="B4388" t="str">
        <f ca="1">TEXT(DATE(YEAR(Invoer!$A$5),1,1)+INT((ROWS(B$2:B4388)-1)/24),"""18""jjmmdd")</f>
        <v>18980702</v>
      </c>
      <c r="C4388" s="11" t="str">
        <f>INDEX(Data,2,2+MOD(ROWS(C$2:C4388)-1,24))</f>
        <v>19.00</v>
      </c>
      <c r="D4388" s="8" t="str">
        <f t="shared" ca="1" si="206"/>
        <v>—</v>
      </c>
      <c r="E4388" s="16">
        <f t="shared" ca="1" si="207"/>
        <v>7</v>
      </c>
    </row>
    <row r="4389" spans="1:5" x14ac:dyDescent="0.25">
      <c r="A4389" s="3">
        <f t="shared" si="205"/>
        <v>78989</v>
      </c>
      <c r="B4389" t="str">
        <f ca="1">TEXT(DATE(YEAR(Invoer!$A$5),1,1)+INT((ROWS(B$2:B4389)-1)/24),"""18""jjmmdd")</f>
        <v>18980702</v>
      </c>
      <c r="C4389" s="11" t="str">
        <f>INDEX(Data,2,2+MOD(ROWS(C$2:C4389)-1,24))</f>
        <v>20.00</v>
      </c>
      <c r="D4389" s="8" t="str">
        <f t="shared" ca="1" si="206"/>
        <v>—</v>
      </c>
      <c r="E4389" s="16">
        <f t="shared" ca="1" si="207"/>
        <v>7</v>
      </c>
    </row>
    <row r="4390" spans="1:5" x14ac:dyDescent="0.25">
      <c r="A4390" s="3">
        <f t="shared" si="205"/>
        <v>78989</v>
      </c>
      <c r="B4390" t="str">
        <f ca="1">TEXT(DATE(YEAR(Invoer!$A$5),1,1)+INT((ROWS(B$2:B4390)-1)/24),"""18""jjmmdd")</f>
        <v>18980702</v>
      </c>
      <c r="C4390" s="11" t="str">
        <f>INDEX(Data,2,2+MOD(ROWS(C$2:C4390)-1,24))</f>
        <v>21.00</v>
      </c>
      <c r="D4390" s="8" t="str">
        <f t="shared" ca="1" si="206"/>
        <v>—</v>
      </c>
      <c r="E4390" s="16">
        <f t="shared" ca="1" si="207"/>
        <v>7</v>
      </c>
    </row>
    <row r="4391" spans="1:5" x14ac:dyDescent="0.25">
      <c r="A4391" s="3">
        <f t="shared" si="205"/>
        <v>78989</v>
      </c>
      <c r="B4391" t="str">
        <f ca="1">TEXT(DATE(YEAR(Invoer!$A$5),1,1)+INT((ROWS(B$2:B4391)-1)/24),"""18""jjmmdd")</f>
        <v>18980702</v>
      </c>
      <c r="C4391" s="11" t="str">
        <f>INDEX(Data,2,2+MOD(ROWS(C$2:C4391)-1,24))</f>
        <v>22.00</v>
      </c>
      <c r="D4391" s="8" t="str">
        <f t="shared" ca="1" si="206"/>
        <v>—</v>
      </c>
      <c r="E4391" s="16">
        <f t="shared" ca="1" si="207"/>
        <v>7</v>
      </c>
    </row>
    <row r="4392" spans="1:5" x14ac:dyDescent="0.25">
      <c r="A4392" s="3">
        <f t="shared" si="205"/>
        <v>78989</v>
      </c>
      <c r="B4392" t="str">
        <f ca="1">TEXT(DATE(YEAR(Invoer!$A$5),1,1)+INT((ROWS(B$2:B4392)-1)/24),"""18""jjmmdd")</f>
        <v>18980702</v>
      </c>
      <c r="C4392" s="11" t="str">
        <f>INDEX(Data,2,2+MOD(ROWS(C$2:C4392)-1,24))</f>
        <v>23.00</v>
      </c>
      <c r="D4392" s="8" t="str">
        <f t="shared" ca="1" si="206"/>
        <v>—</v>
      </c>
      <c r="E4392" s="16">
        <f t="shared" ca="1" si="207"/>
        <v>7</v>
      </c>
    </row>
    <row r="4393" spans="1:5" x14ac:dyDescent="0.25">
      <c r="A4393" s="3">
        <f t="shared" si="205"/>
        <v>78989</v>
      </c>
      <c r="B4393" t="str">
        <f ca="1">TEXT(DATE(YEAR(Invoer!$A$5),1,1)+INT((ROWS(B$2:B4393)-1)/24),"""18""jjmmdd")</f>
        <v>18980702</v>
      </c>
      <c r="C4393" s="11" t="str">
        <f>INDEX(Data,2,2+MOD(ROWS(C$2:C4393)-1,24))</f>
        <v>24.00</v>
      </c>
      <c r="D4393" s="8" t="str">
        <f t="shared" ca="1" si="206"/>
        <v>—</v>
      </c>
      <c r="E4393" s="16">
        <f t="shared" ca="1" si="207"/>
        <v>7</v>
      </c>
    </row>
    <row r="4394" spans="1:5" x14ac:dyDescent="0.25">
      <c r="A4394" s="3">
        <f t="shared" si="205"/>
        <v>78989</v>
      </c>
      <c r="B4394" t="str">
        <f ca="1">TEXT(DATE(YEAR(Invoer!$A$5),1,1)+INT((ROWS(B$2:B4394)-1)/24),"""18""jjmmdd")</f>
        <v>18980703</v>
      </c>
      <c r="C4394" s="11" t="str">
        <f>INDEX(Data,2,2+MOD(ROWS(C$2:C4394)-1,24))</f>
        <v>01.00</v>
      </c>
      <c r="D4394" s="8" t="str">
        <f t="shared" ca="1" si="206"/>
        <v>—</v>
      </c>
      <c r="E4394" s="16">
        <f t="shared" ca="1" si="207"/>
        <v>7</v>
      </c>
    </row>
    <row r="4395" spans="1:5" x14ac:dyDescent="0.25">
      <c r="A4395" s="3">
        <f t="shared" si="205"/>
        <v>78989</v>
      </c>
      <c r="B4395" t="str">
        <f ca="1">TEXT(DATE(YEAR(Invoer!$A$5),1,1)+INT((ROWS(B$2:B4395)-1)/24),"""18""jjmmdd")</f>
        <v>18980703</v>
      </c>
      <c r="C4395" s="11" t="str">
        <f>INDEX(Data,2,2+MOD(ROWS(C$2:C4395)-1,24))</f>
        <v>02.00</v>
      </c>
      <c r="D4395" s="8" t="str">
        <f t="shared" ca="1" si="206"/>
        <v>—</v>
      </c>
      <c r="E4395" s="16">
        <f t="shared" ca="1" si="207"/>
        <v>7</v>
      </c>
    </row>
    <row r="4396" spans="1:5" x14ac:dyDescent="0.25">
      <c r="A4396" s="3">
        <f t="shared" si="205"/>
        <v>78989</v>
      </c>
      <c r="B4396" t="str">
        <f ca="1">TEXT(DATE(YEAR(Invoer!$A$5),1,1)+INT((ROWS(B$2:B4396)-1)/24),"""18""jjmmdd")</f>
        <v>18980703</v>
      </c>
      <c r="C4396" s="11" t="str">
        <f>INDEX(Data,2,2+MOD(ROWS(C$2:C4396)-1,24))</f>
        <v>03.00</v>
      </c>
      <c r="D4396" s="8" t="str">
        <f t="shared" ca="1" si="206"/>
        <v>—</v>
      </c>
      <c r="E4396" s="16">
        <f t="shared" ca="1" si="207"/>
        <v>7</v>
      </c>
    </row>
    <row r="4397" spans="1:5" x14ac:dyDescent="0.25">
      <c r="A4397" s="3">
        <f t="shared" si="205"/>
        <v>78989</v>
      </c>
      <c r="B4397" t="str">
        <f ca="1">TEXT(DATE(YEAR(Invoer!$A$5),1,1)+INT((ROWS(B$2:B4397)-1)/24),"""18""jjmmdd")</f>
        <v>18980703</v>
      </c>
      <c r="C4397" s="11" t="str">
        <f>INDEX(Data,2,2+MOD(ROWS(C$2:C4397)-1,24))</f>
        <v>04.00</v>
      </c>
      <c r="D4397" s="8" t="str">
        <f t="shared" ca="1" si="206"/>
        <v>—</v>
      </c>
      <c r="E4397" s="16">
        <f t="shared" ca="1" si="207"/>
        <v>7</v>
      </c>
    </row>
    <row r="4398" spans="1:5" x14ac:dyDescent="0.25">
      <c r="A4398" s="3">
        <f t="shared" si="205"/>
        <v>78989</v>
      </c>
      <c r="B4398" t="str">
        <f ca="1">TEXT(DATE(YEAR(Invoer!$A$5),1,1)+INT((ROWS(B$2:B4398)-1)/24),"""18""jjmmdd")</f>
        <v>18980703</v>
      </c>
      <c r="C4398" s="11" t="str">
        <f>INDEX(Data,2,2+MOD(ROWS(C$2:C4398)-1,24))</f>
        <v>05.00</v>
      </c>
      <c r="D4398" s="8" t="str">
        <f t="shared" ca="1" si="206"/>
        <v>—</v>
      </c>
      <c r="E4398" s="16">
        <f t="shared" ca="1" si="207"/>
        <v>7</v>
      </c>
    </row>
    <row r="4399" spans="1:5" x14ac:dyDescent="0.25">
      <c r="A4399" s="3">
        <f t="shared" si="205"/>
        <v>78989</v>
      </c>
      <c r="B4399" t="str">
        <f ca="1">TEXT(DATE(YEAR(Invoer!$A$5),1,1)+INT((ROWS(B$2:B4399)-1)/24),"""18""jjmmdd")</f>
        <v>18980703</v>
      </c>
      <c r="C4399" s="11" t="str">
        <f>INDEX(Data,2,2+MOD(ROWS(C$2:C4399)-1,24))</f>
        <v>06.00</v>
      </c>
      <c r="D4399" s="8" t="str">
        <f t="shared" ca="1" si="206"/>
        <v>—</v>
      </c>
      <c r="E4399" s="16">
        <f t="shared" ca="1" si="207"/>
        <v>7</v>
      </c>
    </row>
    <row r="4400" spans="1:5" x14ac:dyDescent="0.25">
      <c r="A4400" s="3">
        <f t="shared" si="205"/>
        <v>78989</v>
      </c>
      <c r="B4400" t="str">
        <f ca="1">TEXT(DATE(YEAR(Invoer!$A$5),1,1)+INT((ROWS(B$2:B4400)-1)/24),"""18""jjmmdd")</f>
        <v>18980703</v>
      </c>
      <c r="C4400" s="11" t="str">
        <f>INDEX(Data,2,2+MOD(ROWS(C$2:C4400)-1,24))</f>
        <v>07.00</v>
      </c>
      <c r="D4400" s="8" t="str">
        <f t="shared" ca="1" si="206"/>
        <v>—</v>
      </c>
      <c r="E4400" s="16">
        <f t="shared" ca="1" si="207"/>
        <v>7</v>
      </c>
    </row>
    <row r="4401" spans="1:5" x14ac:dyDescent="0.25">
      <c r="A4401" s="3">
        <f t="shared" si="205"/>
        <v>78989</v>
      </c>
      <c r="B4401" t="str">
        <f ca="1">TEXT(DATE(YEAR(Invoer!$A$5),1,1)+INT((ROWS(B$2:B4401)-1)/24),"""18""jjmmdd")</f>
        <v>18980703</v>
      </c>
      <c r="C4401" s="11" t="str">
        <f>INDEX(Data,2,2+MOD(ROWS(C$2:C4401)-1,24))</f>
        <v>08.00</v>
      </c>
      <c r="D4401" s="8" t="str">
        <f t="shared" ca="1" si="206"/>
        <v>—</v>
      </c>
      <c r="E4401" s="16">
        <f t="shared" ca="1" si="207"/>
        <v>7</v>
      </c>
    </row>
    <row r="4402" spans="1:5" x14ac:dyDescent="0.25">
      <c r="A4402" s="3">
        <f t="shared" si="205"/>
        <v>78989</v>
      </c>
      <c r="B4402" t="str">
        <f ca="1">TEXT(DATE(YEAR(Invoer!$A$5),1,1)+INT((ROWS(B$2:B4402)-1)/24),"""18""jjmmdd")</f>
        <v>18980703</v>
      </c>
      <c r="C4402" s="11" t="str">
        <f>INDEX(Data,2,2+MOD(ROWS(C$2:C4402)-1,24))</f>
        <v>09.00</v>
      </c>
      <c r="D4402" s="8" t="str">
        <f t="shared" ca="1" si="206"/>
        <v>—</v>
      </c>
      <c r="E4402" s="16">
        <f t="shared" ca="1" si="207"/>
        <v>7</v>
      </c>
    </row>
    <row r="4403" spans="1:5" x14ac:dyDescent="0.25">
      <c r="A4403" s="3">
        <f t="shared" si="205"/>
        <v>78989</v>
      </c>
      <c r="B4403" t="str">
        <f ca="1">TEXT(DATE(YEAR(Invoer!$A$5),1,1)+INT((ROWS(B$2:B4403)-1)/24),"""18""jjmmdd")</f>
        <v>18980703</v>
      </c>
      <c r="C4403" s="11" t="str">
        <f>INDEX(Data,2,2+MOD(ROWS(C$2:C4403)-1,24))</f>
        <v>10.00</v>
      </c>
      <c r="D4403" s="8" t="str">
        <f t="shared" ca="1" si="206"/>
        <v>—</v>
      </c>
      <c r="E4403" s="16">
        <f t="shared" ca="1" si="207"/>
        <v>7</v>
      </c>
    </row>
    <row r="4404" spans="1:5" x14ac:dyDescent="0.25">
      <c r="A4404" s="3">
        <f t="shared" si="205"/>
        <v>78989</v>
      </c>
      <c r="B4404" t="str">
        <f ca="1">TEXT(DATE(YEAR(Invoer!$A$5),1,1)+INT((ROWS(B$2:B4404)-1)/24),"""18""jjmmdd")</f>
        <v>18980703</v>
      </c>
      <c r="C4404" s="11" t="str">
        <f>INDEX(Data,2,2+MOD(ROWS(C$2:C4404)-1,24))</f>
        <v>11.00</v>
      </c>
      <c r="D4404" s="8" t="str">
        <f t="shared" ca="1" si="206"/>
        <v>—</v>
      </c>
      <c r="E4404" s="16">
        <f t="shared" ca="1" si="207"/>
        <v>7</v>
      </c>
    </row>
    <row r="4405" spans="1:5" x14ac:dyDescent="0.25">
      <c r="A4405" s="3">
        <f t="shared" si="205"/>
        <v>78989</v>
      </c>
      <c r="B4405" t="str">
        <f ca="1">TEXT(DATE(YEAR(Invoer!$A$5),1,1)+INT((ROWS(B$2:B4405)-1)/24),"""18""jjmmdd")</f>
        <v>18980703</v>
      </c>
      <c r="C4405" s="11" t="str">
        <f>INDEX(Data,2,2+MOD(ROWS(C$2:C4405)-1,24))</f>
        <v>12.00</v>
      </c>
      <c r="D4405" s="8" t="str">
        <f t="shared" ca="1" si="206"/>
        <v>—</v>
      </c>
      <c r="E4405" s="16">
        <f t="shared" ca="1" si="207"/>
        <v>7</v>
      </c>
    </row>
    <row r="4406" spans="1:5" x14ac:dyDescent="0.25">
      <c r="A4406" s="3">
        <f t="shared" si="205"/>
        <v>78989</v>
      </c>
      <c r="B4406" t="str">
        <f ca="1">TEXT(DATE(YEAR(Invoer!$A$5),1,1)+INT((ROWS(B$2:B4406)-1)/24),"""18""jjmmdd")</f>
        <v>18980703</v>
      </c>
      <c r="C4406" s="11" t="str">
        <f>INDEX(Data,2,2+MOD(ROWS(C$2:C4406)-1,24))</f>
        <v>13.00</v>
      </c>
      <c r="D4406" s="8" t="str">
        <f t="shared" ca="1" si="206"/>
        <v>—</v>
      </c>
      <c r="E4406" s="16">
        <f t="shared" ca="1" si="207"/>
        <v>7</v>
      </c>
    </row>
    <row r="4407" spans="1:5" x14ac:dyDescent="0.25">
      <c r="A4407" s="3">
        <f t="shared" si="205"/>
        <v>78989</v>
      </c>
      <c r="B4407" t="str">
        <f ca="1">TEXT(DATE(YEAR(Invoer!$A$5),1,1)+INT((ROWS(B$2:B4407)-1)/24),"""18""jjmmdd")</f>
        <v>18980703</v>
      </c>
      <c r="C4407" s="11" t="str">
        <f>INDEX(Data,2,2+MOD(ROWS(C$2:C4407)-1,24))</f>
        <v>14.00</v>
      </c>
      <c r="D4407" s="8" t="str">
        <f t="shared" ca="1" si="206"/>
        <v>—</v>
      </c>
      <c r="E4407" s="16">
        <f t="shared" ca="1" si="207"/>
        <v>7</v>
      </c>
    </row>
    <row r="4408" spans="1:5" x14ac:dyDescent="0.25">
      <c r="A4408" s="3">
        <f t="shared" si="205"/>
        <v>78989</v>
      </c>
      <c r="B4408" t="str">
        <f ca="1">TEXT(DATE(YEAR(Invoer!$A$5),1,1)+INT((ROWS(B$2:B4408)-1)/24),"""18""jjmmdd")</f>
        <v>18980703</v>
      </c>
      <c r="C4408" s="11" t="str">
        <f>INDEX(Data,2,2+MOD(ROWS(C$2:C4408)-1,24))</f>
        <v>15.00</v>
      </c>
      <c r="D4408" s="8" t="str">
        <f t="shared" ca="1" si="206"/>
        <v>—</v>
      </c>
      <c r="E4408" s="16">
        <f t="shared" ca="1" si="207"/>
        <v>7</v>
      </c>
    </row>
    <row r="4409" spans="1:5" x14ac:dyDescent="0.25">
      <c r="A4409" s="3">
        <f t="shared" si="205"/>
        <v>78989</v>
      </c>
      <c r="B4409" t="str">
        <f ca="1">TEXT(DATE(YEAR(Invoer!$A$5),1,1)+INT((ROWS(B$2:B4409)-1)/24),"""18""jjmmdd")</f>
        <v>18980703</v>
      </c>
      <c r="C4409" s="11" t="str">
        <f>INDEX(Data,2,2+MOD(ROWS(C$2:C4409)-1,24))</f>
        <v>16.00</v>
      </c>
      <c r="D4409" s="8" t="str">
        <f t="shared" ca="1" si="206"/>
        <v>—</v>
      </c>
      <c r="E4409" s="16">
        <f t="shared" ca="1" si="207"/>
        <v>7</v>
      </c>
    </row>
    <row r="4410" spans="1:5" x14ac:dyDescent="0.25">
      <c r="A4410" s="3">
        <f t="shared" si="205"/>
        <v>78989</v>
      </c>
      <c r="B4410" t="str">
        <f ca="1">TEXT(DATE(YEAR(Invoer!$A$5),1,1)+INT((ROWS(B$2:B4410)-1)/24),"""18""jjmmdd")</f>
        <v>18980703</v>
      </c>
      <c r="C4410" s="11" t="str">
        <f>INDEX(Data,2,2+MOD(ROWS(C$2:C4410)-1,24))</f>
        <v>17.00</v>
      </c>
      <c r="D4410" s="8" t="str">
        <f t="shared" ca="1" si="206"/>
        <v>—</v>
      </c>
      <c r="E4410" s="16">
        <f t="shared" ca="1" si="207"/>
        <v>7</v>
      </c>
    </row>
    <row r="4411" spans="1:5" x14ac:dyDescent="0.25">
      <c r="A4411" s="3">
        <f t="shared" si="205"/>
        <v>78989</v>
      </c>
      <c r="B4411" t="str">
        <f ca="1">TEXT(DATE(YEAR(Invoer!$A$5),1,1)+INT((ROWS(B$2:B4411)-1)/24),"""18""jjmmdd")</f>
        <v>18980703</v>
      </c>
      <c r="C4411" s="11" t="str">
        <f>INDEX(Data,2,2+MOD(ROWS(C$2:C4411)-1,24))</f>
        <v>18.00</v>
      </c>
      <c r="D4411" s="8" t="str">
        <f t="shared" ca="1" si="206"/>
        <v>—</v>
      </c>
      <c r="E4411" s="16">
        <f t="shared" ca="1" si="207"/>
        <v>7</v>
      </c>
    </row>
    <row r="4412" spans="1:5" x14ac:dyDescent="0.25">
      <c r="A4412" s="3">
        <f t="shared" si="205"/>
        <v>78989</v>
      </c>
      <c r="B4412" t="str">
        <f ca="1">TEXT(DATE(YEAR(Invoer!$A$5),1,1)+INT((ROWS(B$2:B4412)-1)/24),"""18""jjmmdd")</f>
        <v>18980703</v>
      </c>
      <c r="C4412" s="11" t="str">
        <f>INDEX(Data,2,2+MOD(ROWS(C$2:C4412)-1,24))</f>
        <v>19.00</v>
      </c>
      <c r="D4412" s="8" t="str">
        <f t="shared" ca="1" si="206"/>
        <v>—</v>
      </c>
      <c r="E4412" s="16">
        <f t="shared" ca="1" si="207"/>
        <v>7</v>
      </c>
    </row>
    <row r="4413" spans="1:5" x14ac:dyDescent="0.25">
      <c r="A4413" s="3">
        <f t="shared" si="205"/>
        <v>78989</v>
      </c>
      <c r="B4413" t="str">
        <f ca="1">TEXT(DATE(YEAR(Invoer!$A$5),1,1)+INT((ROWS(B$2:B4413)-1)/24),"""18""jjmmdd")</f>
        <v>18980703</v>
      </c>
      <c r="C4413" s="11" t="str">
        <f>INDEX(Data,2,2+MOD(ROWS(C$2:C4413)-1,24))</f>
        <v>20.00</v>
      </c>
      <c r="D4413" s="8" t="str">
        <f t="shared" ca="1" si="206"/>
        <v>—</v>
      </c>
      <c r="E4413" s="16">
        <f t="shared" ca="1" si="207"/>
        <v>7</v>
      </c>
    </row>
    <row r="4414" spans="1:5" x14ac:dyDescent="0.25">
      <c r="A4414" s="3">
        <f t="shared" si="205"/>
        <v>78989</v>
      </c>
      <c r="B4414" t="str">
        <f ca="1">TEXT(DATE(YEAR(Invoer!$A$5),1,1)+INT((ROWS(B$2:B4414)-1)/24),"""18""jjmmdd")</f>
        <v>18980703</v>
      </c>
      <c r="C4414" s="11" t="str">
        <f>INDEX(Data,2,2+MOD(ROWS(C$2:C4414)-1,24))</f>
        <v>21.00</v>
      </c>
      <c r="D4414" s="8" t="str">
        <f t="shared" ca="1" si="206"/>
        <v>—</v>
      </c>
      <c r="E4414" s="16">
        <f t="shared" ca="1" si="207"/>
        <v>7</v>
      </c>
    </row>
    <row r="4415" spans="1:5" x14ac:dyDescent="0.25">
      <c r="A4415" s="3">
        <f t="shared" si="205"/>
        <v>78989</v>
      </c>
      <c r="B4415" t="str">
        <f ca="1">TEXT(DATE(YEAR(Invoer!$A$5),1,1)+INT((ROWS(B$2:B4415)-1)/24),"""18""jjmmdd")</f>
        <v>18980703</v>
      </c>
      <c r="C4415" s="11" t="str">
        <f>INDEX(Data,2,2+MOD(ROWS(C$2:C4415)-1,24))</f>
        <v>22.00</v>
      </c>
      <c r="D4415" s="8" t="str">
        <f t="shared" ca="1" si="206"/>
        <v>—</v>
      </c>
      <c r="E4415" s="16">
        <f t="shared" ca="1" si="207"/>
        <v>7</v>
      </c>
    </row>
    <row r="4416" spans="1:5" x14ac:dyDescent="0.25">
      <c r="A4416" s="3">
        <f t="shared" si="205"/>
        <v>78989</v>
      </c>
      <c r="B4416" t="str">
        <f ca="1">TEXT(DATE(YEAR(Invoer!$A$5),1,1)+INT((ROWS(B$2:B4416)-1)/24),"""18""jjmmdd")</f>
        <v>18980703</v>
      </c>
      <c r="C4416" s="11" t="str">
        <f>INDEX(Data,2,2+MOD(ROWS(C$2:C4416)-1,24))</f>
        <v>23.00</v>
      </c>
      <c r="D4416" s="8" t="str">
        <f t="shared" ca="1" si="206"/>
        <v>—</v>
      </c>
      <c r="E4416" s="16">
        <f t="shared" ca="1" si="207"/>
        <v>7</v>
      </c>
    </row>
    <row r="4417" spans="1:5" x14ac:dyDescent="0.25">
      <c r="A4417" s="3">
        <f t="shared" si="205"/>
        <v>78989</v>
      </c>
      <c r="B4417" t="str">
        <f ca="1">TEXT(DATE(YEAR(Invoer!$A$5),1,1)+INT((ROWS(B$2:B4417)-1)/24),"""18""jjmmdd")</f>
        <v>18980703</v>
      </c>
      <c r="C4417" s="11" t="str">
        <f>INDEX(Data,2,2+MOD(ROWS(C$2:C4417)-1,24))</f>
        <v>24.00</v>
      </c>
      <c r="D4417" s="8" t="str">
        <f t="shared" ca="1" si="206"/>
        <v>—</v>
      </c>
      <c r="E4417" s="16">
        <f t="shared" ca="1" si="207"/>
        <v>7</v>
      </c>
    </row>
    <row r="4418" spans="1:5" x14ac:dyDescent="0.25">
      <c r="A4418" s="3">
        <f t="shared" ref="A4418:A4481" si="208">INDEX(Stations,2,1)</f>
        <v>78989</v>
      </c>
      <c r="B4418" t="str">
        <f ca="1">TEXT(DATE(YEAR(Invoer!$A$5),1,1)+INT((ROWS(B$2:B4418)-1)/24),"""18""jjmmdd")</f>
        <v>18980704</v>
      </c>
      <c r="C4418" s="11" t="str">
        <f>INDEX(Data,2,2+MOD(ROWS(C$2:C4418)-1,24))</f>
        <v>01.00</v>
      </c>
      <c r="D4418" s="8" t="str">
        <f t="shared" ref="D4418:D4481" ca="1" si="209">IF(OR(ISBLANK(VLOOKUP(DATEVALUE("37"&amp;MID($B4418,3,2)&amp;"-"&amp;MID($B4418,5,2)&amp;"-"&amp;RIGHT($B4418,2)),Data,MATCH(LEFT(VLOOKUP(D$1,Parameters,2,FALSE()),4)&amp;"*",OFFSET(Data,0,0,1),0)+MATCH($C4418,OFFSET(Data,1,0,1),0)-2,FALSE())),ISTEXT(VLOOKUP(DATEVALUE("37"&amp;MID($B4418,3,2)&amp;"-"&amp;MID($B4418,5,2)&amp;"-"&amp;RIGHT($B4418,2)),Data,MATCH(LEFT(VLOOKUP(D$1,Parameters,2,FALSE()),4)&amp;"*",OFFSET(Data,0,0,1),0)+MATCH($C4418,OFFSET(Data,1,0,1),0)-2,FALSE()))),"—",VLOOKUP(DATEVALUE("37"&amp;MID($B4418,3,2)&amp;"-"&amp;MID($B4418,5,2)&amp;"-"&amp;RIGHT($B4418,2)),Data,MATCH(LEFT(VLOOKUP(D$1,Parameters,2,FALSE()),4)&amp;"*",OFFSET(Data,0,0,1),0)+MATCH($C4418,OFFSET(Data,1,0,1),0)-2,FALSE()))</f>
        <v>—</v>
      </c>
      <c r="E4418" s="16">
        <f t="shared" ca="1" si="207"/>
        <v>7</v>
      </c>
    </row>
    <row r="4419" spans="1:5" x14ac:dyDescent="0.25">
      <c r="A4419" s="3">
        <f t="shared" si="208"/>
        <v>78989</v>
      </c>
      <c r="B4419" t="str">
        <f ca="1">TEXT(DATE(YEAR(Invoer!$A$5),1,1)+INT((ROWS(B$2:B4419)-1)/24),"""18""jjmmdd")</f>
        <v>18980704</v>
      </c>
      <c r="C4419" s="11" t="str">
        <f>INDEX(Data,2,2+MOD(ROWS(C$2:C4419)-1,24))</f>
        <v>02.00</v>
      </c>
      <c r="D4419" s="8" t="str">
        <f t="shared" ca="1" si="209"/>
        <v>—</v>
      </c>
      <c r="E4419" s="16">
        <f t="shared" ref="E4419:E4482" ca="1" si="210">IF(OR(ISBLANK(VLOOKUP(DATEVALUE("37"&amp;MID($B4419,3,2)&amp;"-"&amp;MID($B4419,5,2)&amp;"-"&amp;RIGHT($B4419,2)),Data,MATCH(LEFT(VLOOKUP(D$1,Parameters,2,FALSE()),4)&amp;"*",OFFSET(Data,0,0,1),0)+MATCH($C4419,OFFSET(Data,1,0,1),0)-2,FALSE())),ISTEXT(VLOOKUP(DATEVALUE("37"&amp;MID($B4419,3,2)&amp;"-"&amp;MID($B4419,5,2)&amp;"-"&amp;RIGHT($B4419,2)),Data,MATCH(LEFT(VLOOKUP(D$1,Parameters,2,FALSE()),4)&amp;"*",OFFSET(Data,0,0,1),0)+MATCH($C4419,OFFSET(Data,1,0,1),0)-2,FALSE()))),Lacking,IF(ISNA(MATCH(DATEVALUE("37"&amp;MID($B4419,3,2)&amp;"-"&amp;MID($B4419,5,2)&amp;"-"&amp;RIGHT($B4419,2)),OFFSET(Catalogus,0,0,,1),0)),Ok,VLOOKUP(DATEVALUE("37"&amp;MID($B4419,3,2)&amp;"-"&amp;MID($B4419,5,2)&amp;"-"&amp;RIGHT($B4419,2)),Catalogus,MATCH(LEFT(VLOOKUP(MID(E$1,2,LEN(E$1)-1),Parameters,2,FALSE()),4)&amp;"*",OFFSET(Catalogus,0,0,1),0)+MATCH($C4419,OFFSET(Catalogus,1,0,1),0)-2,FALSE())))</f>
        <v>7</v>
      </c>
    </row>
    <row r="4420" spans="1:5" x14ac:dyDescent="0.25">
      <c r="A4420" s="3">
        <f t="shared" si="208"/>
        <v>78989</v>
      </c>
      <c r="B4420" t="str">
        <f ca="1">TEXT(DATE(YEAR(Invoer!$A$5),1,1)+INT((ROWS(B$2:B4420)-1)/24),"""18""jjmmdd")</f>
        <v>18980704</v>
      </c>
      <c r="C4420" s="11" t="str">
        <f>INDEX(Data,2,2+MOD(ROWS(C$2:C4420)-1,24))</f>
        <v>03.00</v>
      </c>
      <c r="D4420" s="8" t="str">
        <f t="shared" ca="1" si="209"/>
        <v>—</v>
      </c>
      <c r="E4420" s="16">
        <f t="shared" ca="1" si="210"/>
        <v>7</v>
      </c>
    </row>
    <row r="4421" spans="1:5" x14ac:dyDescent="0.25">
      <c r="A4421" s="3">
        <f t="shared" si="208"/>
        <v>78989</v>
      </c>
      <c r="B4421" t="str">
        <f ca="1">TEXT(DATE(YEAR(Invoer!$A$5),1,1)+INT((ROWS(B$2:B4421)-1)/24),"""18""jjmmdd")</f>
        <v>18980704</v>
      </c>
      <c r="C4421" s="11" t="str">
        <f>INDEX(Data,2,2+MOD(ROWS(C$2:C4421)-1,24))</f>
        <v>04.00</v>
      </c>
      <c r="D4421" s="8" t="str">
        <f t="shared" ca="1" si="209"/>
        <v>—</v>
      </c>
      <c r="E4421" s="16">
        <f t="shared" ca="1" si="210"/>
        <v>7</v>
      </c>
    </row>
    <row r="4422" spans="1:5" x14ac:dyDescent="0.25">
      <c r="A4422" s="3">
        <f t="shared" si="208"/>
        <v>78989</v>
      </c>
      <c r="B4422" t="str">
        <f ca="1">TEXT(DATE(YEAR(Invoer!$A$5),1,1)+INT((ROWS(B$2:B4422)-1)/24),"""18""jjmmdd")</f>
        <v>18980704</v>
      </c>
      <c r="C4422" s="11" t="str">
        <f>INDEX(Data,2,2+MOD(ROWS(C$2:C4422)-1,24))</f>
        <v>05.00</v>
      </c>
      <c r="D4422" s="8" t="str">
        <f t="shared" ca="1" si="209"/>
        <v>—</v>
      </c>
      <c r="E4422" s="16">
        <f t="shared" ca="1" si="210"/>
        <v>7</v>
      </c>
    </row>
    <row r="4423" spans="1:5" x14ac:dyDescent="0.25">
      <c r="A4423" s="3">
        <f t="shared" si="208"/>
        <v>78989</v>
      </c>
      <c r="B4423" t="str">
        <f ca="1">TEXT(DATE(YEAR(Invoer!$A$5),1,1)+INT((ROWS(B$2:B4423)-1)/24),"""18""jjmmdd")</f>
        <v>18980704</v>
      </c>
      <c r="C4423" s="11" t="str">
        <f>INDEX(Data,2,2+MOD(ROWS(C$2:C4423)-1,24))</f>
        <v>06.00</v>
      </c>
      <c r="D4423" s="8" t="str">
        <f t="shared" ca="1" si="209"/>
        <v>—</v>
      </c>
      <c r="E4423" s="16">
        <f t="shared" ca="1" si="210"/>
        <v>7</v>
      </c>
    </row>
    <row r="4424" spans="1:5" x14ac:dyDescent="0.25">
      <c r="A4424" s="3">
        <f t="shared" si="208"/>
        <v>78989</v>
      </c>
      <c r="B4424" t="str">
        <f ca="1">TEXT(DATE(YEAR(Invoer!$A$5),1,1)+INT((ROWS(B$2:B4424)-1)/24),"""18""jjmmdd")</f>
        <v>18980704</v>
      </c>
      <c r="C4424" s="11" t="str">
        <f>INDEX(Data,2,2+MOD(ROWS(C$2:C4424)-1,24))</f>
        <v>07.00</v>
      </c>
      <c r="D4424" s="8" t="str">
        <f t="shared" ca="1" si="209"/>
        <v>—</v>
      </c>
      <c r="E4424" s="16">
        <f t="shared" ca="1" si="210"/>
        <v>7</v>
      </c>
    </row>
    <row r="4425" spans="1:5" x14ac:dyDescent="0.25">
      <c r="A4425" s="3">
        <f t="shared" si="208"/>
        <v>78989</v>
      </c>
      <c r="B4425" t="str">
        <f ca="1">TEXT(DATE(YEAR(Invoer!$A$5),1,1)+INT((ROWS(B$2:B4425)-1)/24),"""18""jjmmdd")</f>
        <v>18980704</v>
      </c>
      <c r="C4425" s="11" t="str">
        <f>INDEX(Data,2,2+MOD(ROWS(C$2:C4425)-1,24))</f>
        <v>08.00</v>
      </c>
      <c r="D4425" s="8" t="str">
        <f t="shared" ca="1" si="209"/>
        <v>—</v>
      </c>
      <c r="E4425" s="16">
        <f t="shared" ca="1" si="210"/>
        <v>7</v>
      </c>
    </row>
    <row r="4426" spans="1:5" x14ac:dyDescent="0.25">
      <c r="A4426" s="3">
        <f t="shared" si="208"/>
        <v>78989</v>
      </c>
      <c r="B4426" t="str">
        <f ca="1">TEXT(DATE(YEAR(Invoer!$A$5),1,1)+INT((ROWS(B$2:B4426)-1)/24),"""18""jjmmdd")</f>
        <v>18980704</v>
      </c>
      <c r="C4426" s="11" t="str">
        <f>INDEX(Data,2,2+MOD(ROWS(C$2:C4426)-1,24))</f>
        <v>09.00</v>
      </c>
      <c r="D4426" s="8" t="str">
        <f t="shared" ca="1" si="209"/>
        <v>—</v>
      </c>
      <c r="E4426" s="16">
        <f t="shared" ca="1" si="210"/>
        <v>7</v>
      </c>
    </row>
    <row r="4427" spans="1:5" x14ac:dyDescent="0.25">
      <c r="A4427" s="3">
        <f t="shared" si="208"/>
        <v>78989</v>
      </c>
      <c r="B4427" t="str">
        <f ca="1">TEXT(DATE(YEAR(Invoer!$A$5),1,1)+INT((ROWS(B$2:B4427)-1)/24),"""18""jjmmdd")</f>
        <v>18980704</v>
      </c>
      <c r="C4427" s="11" t="str">
        <f>INDEX(Data,2,2+MOD(ROWS(C$2:C4427)-1,24))</f>
        <v>10.00</v>
      </c>
      <c r="D4427" s="8" t="str">
        <f t="shared" ca="1" si="209"/>
        <v>—</v>
      </c>
      <c r="E4427" s="16">
        <f t="shared" ca="1" si="210"/>
        <v>7</v>
      </c>
    </row>
    <row r="4428" spans="1:5" x14ac:dyDescent="0.25">
      <c r="A4428" s="3">
        <f t="shared" si="208"/>
        <v>78989</v>
      </c>
      <c r="B4428" t="str">
        <f ca="1">TEXT(DATE(YEAR(Invoer!$A$5),1,1)+INT((ROWS(B$2:B4428)-1)/24),"""18""jjmmdd")</f>
        <v>18980704</v>
      </c>
      <c r="C4428" s="11" t="str">
        <f>INDEX(Data,2,2+MOD(ROWS(C$2:C4428)-1,24))</f>
        <v>11.00</v>
      </c>
      <c r="D4428" s="8" t="str">
        <f t="shared" ca="1" si="209"/>
        <v>—</v>
      </c>
      <c r="E4428" s="16">
        <f t="shared" ca="1" si="210"/>
        <v>7</v>
      </c>
    </row>
    <row r="4429" spans="1:5" x14ac:dyDescent="0.25">
      <c r="A4429" s="3">
        <f t="shared" si="208"/>
        <v>78989</v>
      </c>
      <c r="B4429" t="str">
        <f ca="1">TEXT(DATE(YEAR(Invoer!$A$5),1,1)+INT((ROWS(B$2:B4429)-1)/24),"""18""jjmmdd")</f>
        <v>18980704</v>
      </c>
      <c r="C4429" s="11" t="str">
        <f>INDEX(Data,2,2+MOD(ROWS(C$2:C4429)-1,24))</f>
        <v>12.00</v>
      </c>
      <c r="D4429" s="8" t="str">
        <f t="shared" ca="1" si="209"/>
        <v>—</v>
      </c>
      <c r="E4429" s="16">
        <f t="shared" ca="1" si="210"/>
        <v>7</v>
      </c>
    </row>
    <row r="4430" spans="1:5" x14ac:dyDescent="0.25">
      <c r="A4430" s="3">
        <f t="shared" si="208"/>
        <v>78989</v>
      </c>
      <c r="B4430" t="str">
        <f ca="1">TEXT(DATE(YEAR(Invoer!$A$5),1,1)+INT((ROWS(B$2:B4430)-1)/24),"""18""jjmmdd")</f>
        <v>18980704</v>
      </c>
      <c r="C4430" s="11" t="str">
        <f>INDEX(Data,2,2+MOD(ROWS(C$2:C4430)-1,24))</f>
        <v>13.00</v>
      </c>
      <c r="D4430" s="8" t="str">
        <f t="shared" ca="1" si="209"/>
        <v>—</v>
      </c>
      <c r="E4430" s="16">
        <f t="shared" ca="1" si="210"/>
        <v>7</v>
      </c>
    </row>
    <row r="4431" spans="1:5" x14ac:dyDescent="0.25">
      <c r="A4431" s="3">
        <f t="shared" si="208"/>
        <v>78989</v>
      </c>
      <c r="B4431" t="str">
        <f ca="1">TEXT(DATE(YEAR(Invoer!$A$5),1,1)+INT((ROWS(B$2:B4431)-1)/24),"""18""jjmmdd")</f>
        <v>18980704</v>
      </c>
      <c r="C4431" s="11" t="str">
        <f>INDEX(Data,2,2+MOD(ROWS(C$2:C4431)-1,24))</f>
        <v>14.00</v>
      </c>
      <c r="D4431" s="8" t="str">
        <f t="shared" ca="1" si="209"/>
        <v>—</v>
      </c>
      <c r="E4431" s="16">
        <f t="shared" ca="1" si="210"/>
        <v>7</v>
      </c>
    </row>
    <row r="4432" spans="1:5" x14ac:dyDescent="0.25">
      <c r="A4432" s="3">
        <f t="shared" si="208"/>
        <v>78989</v>
      </c>
      <c r="B4432" t="str">
        <f ca="1">TEXT(DATE(YEAR(Invoer!$A$5),1,1)+INT((ROWS(B$2:B4432)-1)/24),"""18""jjmmdd")</f>
        <v>18980704</v>
      </c>
      <c r="C4432" s="11" t="str">
        <f>INDEX(Data,2,2+MOD(ROWS(C$2:C4432)-1,24))</f>
        <v>15.00</v>
      </c>
      <c r="D4432" s="8" t="str">
        <f t="shared" ca="1" si="209"/>
        <v>—</v>
      </c>
      <c r="E4432" s="16">
        <f t="shared" ca="1" si="210"/>
        <v>7</v>
      </c>
    </row>
    <row r="4433" spans="1:5" x14ac:dyDescent="0.25">
      <c r="A4433" s="3">
        <f t="shared" si="208"/>
        <v>78989</v>
      </c>
      <c r="B4433" t="str">
        <f ca="1">TEXT(DATE(YEAR(Invoer!$A$5),1,1)+INT((ROWS(B$2:B4433)-1)/24),"""18""jjmmdd")</f>
        <v>18980704</v>
      </c>
      <c r="C4433" s="11" t="str">
        <f>INDEX(Data,2,2+MOD(ROWS(C$2:C4433)-1,24))</f>
        <v>16.00</v>
      </c>
      <c r="D4433" s="8" t="str">
        <f t="shared" ca="1" si="209"/>
        <v>—</v>
      </c>
      <c r="E4433" s="16">
        <f t="shared" ca="1" si="210"/>
        <v>7</v>
      </c>
    </row>
    <row r="4434" spans="1:5" x14ac:dyDescent="0.25">
      <c r="A4434" s="3">
        <f t="shared" si="208"/>
        <v>78989</v>
      </c>
      <c r="B4434" t="str">
        <f ca="1">TEXT(DATE(YEAR(Invoer!$A$5),1,1)+INT((ROWS(B$2:B4434)-1)/24),"""18""jjmmdd")</f>
        <v>18980704</v>
      </c>
      <c r="C4434" s="11" t="str">
        <f>INDEX(Data,2,2+MOD(ROWS(C$2:C4434)-1,24))</f>
        <v>17.00</v>
      </c>
      <c r="D4434" s="8" t="str">
        <f t="shared" ca="1" si="209"/>
        <v>—</v>
      </c>
      <c r="E4434" s="16">
        <f t="shared" ca="1" si="210"/>
        <v>7</v>
      </c>
    </row>
    <row r="4435" spans="1:5" x14ac:dyDescent="0.25">
      <c r="A4435" s="3">
        <f t="shared" si="208"/>
        <v>78989</v>
      </c>
      <c r="B4435" t="str">
        <f ca="1">TEXT(DATE(YEAR(Invoer!$A$5),1,1)+INT((ROWS(B$2:B4435)-1)/24),"""18""jjmmdd")</f>
        <v>18980704</v>
      </c>
      <c r="C4435" s="11" t="str">
        <f>INDEX(Data,2,2+MOD(ROWS(C$2:C4435)-1,24))</f>
        <v>18.00</v>
      </c>
      <c r="D4435" s="8" t="str">
        <f t="shared" ca="1" si="209"/>
        <v>—</v>
      </c>
      <c r="E4435" s="16">
        <f t="shared" ca="1" si="210"/>
        <v>7</v>
      </c>
    </row>
    <row r="4436" spans="1:5" x14ac:dyDescent="0.25">
      <c r="A4436" s="3">
        <f t="shared" si="208"/>
        <v>78989</v>
      </c>
      <c r="B4436" t="str">
        <f ca="1">TEXT(DATE(YEAR(Invoer!$A$5),1,1)+INT((ROWS(B$2:B4436)-1)/24),"""18""jjmmdd")</f>
        <v>18980704</v>
      </c>
      <c r="C4436" s="11" t="str">
        <f>INDEX(Data,2,2+MOD(ROWS(C$2:C4436)-1,24))</f>
        <v>19.00</v>
      </c>
      <c r="D4436" s="8" t="str">
        <f t="shared" ca="1" si="209"/>
        <v>—</v>
      </c>
      <c r="E4436" s="16">
        <f t="shared" ca="1" si="210"/>
        <v>7</v>
      </c>
    </row>
    <row r="4437" spans="1:5" x14ac:dyDescent="0.25">
      <c r="A4437" s="3">
        <f t="shared" si="208"/>
        <v>78989</v>
      </c>
      <c r="B4437" t="str">
        <f ca="1">TEXT(DATE(YEAR(Invoer!$A$5),1,1)+INT((ROWS(B$2:B4437)-1)/24),"""18""jjmmdd")</f>
        <v>18980704</v>
      </c>
      <c r="C4437" s="11" t="str">
        <f>INDEX(Data,2,2+MOD(ROWS(C$2:C4437)-1,24))</f>
        <v>20.00</v>
      </c>
      <c r="D4437" s="8" t="str">
        <f t="shared" ca="1" si="209"/>
        <v>—</v>
      </c>
      <c r="E4437" s="16">
        <f t="shared" ca="1" si="210"/>
        <v>7</v>
      </c>
    </row>
    <row r="4438" spans="1:5" x14ac:dyDescent="0.25">
      <c r="A4438" s="3">
        <f t="shared" si="208"/>
        <v>78989</v>
      </c>
      <c r="B4438" t="str">
        <f ca="1">TEXT(DATE(YEAR(Invoer!$A$5),1,1)+INT((ROWS(B$2:B4438)-1)/24),"""18""jjmmdd")</f>
        <v>18980704</v>
      </c>
      <c r="C4438" s="11" t="str">
        <f>INDEX(Data,2,2+MOD(ROWS(C$2:C4438)-1,24))</f>
        <v>21.00</v>
      </c>
      <c r="D4438" s="8" t="str">
        <f t="shared" ca="1" si="209"/>
        <v>—</v>
      </c>
      <c r="E4438" s="16">
        <f t="shared" ca="1" si="210"/>
        <v>7</v>
      </c>
    </row>
    <row r="4439" spans="1:5" x14ac:dyDescent="0.25">
      <c r="A4439" s="3">
        <f t="shared" si="208"/>
        <v>78989</v>
      </c>
      <c r="B4439" t="str">
        <f ca="1">TEXT(DATE(YEAR(Invoer!$A$5),1,1)+INT((ROWS(B$2:B4439)-1)/24),"""18""jjmmdd")</f>
        <v>18980704</v>
      </c>
      <c r="C4439" s="11" t="str">
        <f>INDEX(Data,2,2+MOD(ROWS(C$2:C4439)-1,24))</f>
        <v>22.00</v>
      </c>
      <c r="D4439" s="8" t="str">
        <f t="shared" ca="1" si="209"/>
        <v>—</v>
      </c>
      <c r="E4439" s="16">
        <f t="shared" ca="1" si="210"/>
        <v>7</v>
      </c>
    </row>
    <row r="4440" spans="1:5" x14ac:dyDescent="0.25">
      <c r="A4440" s="3">
        <f t="shared" si="208"/>
        <v>78989</v>
      </c>
      <c r="B4440" t="str">
        <f ca="1">TEXT(DATE(YEAR(Invoer!$A$5),1,1)+INT((ROWS(B$2:B4440)-1)/24),"""18""jjmmdd")</f>
        <v>18980704</v>
      </c>
      <c r="C4440" s="11" t="str">
        <f>INDEX(Data,2,2+MOD(ROWS(C$2:C4440)-1,24))</f>
        <v>23.00</v>
      </c>
      <c r="D4440" s="8" t="str">
        <f t="shared" ca="1" si="209"/>
        <v>—</v>
      </c>
      <c r="E4440" s="16">
        <f t="shared" ca="1" si="210"/>
        <v>7</v>
      </c>
    </row>
    <row r="4441" spans="1:5" x14ac:dyDescent="0.25">
      <c r="A4441" s="3">
        <f t="shared" si="208"/>
        <v>78989</v>
      </c>
      <c r="B4441" t="str">
        <f ca="1">TEXT(DATE(YEAR(Invoer!$A$5),1,1)+INT((ROWS(B$2:B4441)-1)/24),"""18""jjmmdd")</f>
        <v>18980704</v>
      </c>
      <c r="C4441" s="11" t="str">
        <f>INDEX(Data,2,2+MOD(ROWS(C$2:C4441)-1,24))</f>
        <v>24.00</v>
      </c>
      <c r="D4441" s="8" t="str">
        <f t="shared" ca="1" si="209"/>
        <v>—</v>
      </c>
      <c r="E4441" s="16">
        <f t="shared" ca="1" si="210"/>
        <v>7</v>
      </c>
    </row>
    <row r="4442" spans="1:5" x14ac:dyDescent="0.25">
      <c r="A4442" s="3">
        <f t="shared" si="208"/>
        <v>78989</v>
      </c>
      <c r="B4442" t="str">
        <f ca="1">TEXT(DATE(YEAR(Invoer!$A$5),1,1)+INT((ROWS(B$2:B4442)-1)/24),"""18""jjmmdd")</f>
        <v>18980705</v>
      </c>
      <c r="C4442" s="11" t="str">
        <f>INDEX(Data,2,2+MOD(ROWS(C$2:C4442)-1,24))</f>
        <v>01.00</v>
      </c>
      <c r="D4442" s="8" t="str">
        <f t="shared" ca="1" si="209"/>
        <v>—</v>
      </c>
      <c r="E4442" s="16">
        <f t="shared" ca="1" si="210"/>
        <v>7</v>
      </c>
    </row>
    <row r="4443" spans="1:5" x14ac:dyDescent="0.25">
      <c r="A4443" s="3">
        <f t="shared" si="208"/>
        <v>78989</v>
      </c>
      <c r="B4443" t="str">
        <f ca="1">TEXT(DATE(YEAR(Invoer!$A$5),1,1)+INT((ROWS(B$2:B4443)-1)/24),"""18""jjmmdd")</f>
        <v>18980705</v>
      </c>
      <c r="C4443" s="11" t="str">
        <f>INDEX(Data,2,2+MOD(ROWS(C$2:C4443)-1,24))</f>
        <v>02.00</v>
      </c>
      <c r="D4443" s="8" t="str">
        <f t="shared" ca="1" si="209"/>
        <v>—</v>
      </c>
      <c r="E4443" s="16">
        <f t="shared" ca="1" si="210"/>
        <v>7</v>
      </c>
    </row>
    <row r="4444" spans="1:5" x14ac:dyDescent="0.25">
      <c r="A4444" s="3">
        <f t="shared" si="208"/>
        <v>78989</v>
      </c>
      <c r="B4444" t="str">
        <f ca="1">TEXT(DATE(YEAR(Invoer!$A$5),1,1)+INT((ROWS(B$2:B4444)-1)/24),"""18""jjmmdd")</f>
        <v>18980705</v>
      </c>
      <c r="C4444" s="11" t="str">
        <f>INDEX(Data,2,2+MOD(ROWS(C$2:C4444)-1,24))</f>
        <v>03.00</v>
      </c>
      <c r="D4444" s="8" t="str">
        <f t="shared" ca="1" si="209"/>
        <v>—</v>
      </c>
      <c r="E4444" s="16">
        <f t="shared" ca="1" si="210"/>
        <v>7</v>
      </c>
    </row>
    <row r="4445" spans="1:5" x14ac:dyDescent="0.25">
      <c r="A4445" s="3">
        <f t="shared" si="208"/>
        <v>78989</v>
      </c>
      <c r="B4445" t="str">
        <f ca="1">TEXT(DATE(YEAR(Invoer!$A$5),1,1)+INT((ROWS(B$2:B4445)-1)/24),"""18""jjmmdd")</f>
        <v>18980705</v>
      </c>
      <c r="C4445" s="11" t="str">
        <f>INDEX(Data,2,2+MOD(ROWS(C$2:C4445)-1,24))</f>
        <v>04.00</v>
      </c>
      <c r="D4445" s="8" t="str">
        <f t="shared" ca="1" si="209"/>
        <v>—</v>
      </c>
      <c r="E4445" s="16">
        <f t="shared" ca="1" si="210"/>
        <v>7</v>
      </c>
    </row>
    <row r="4446" spans="1:5" x14ac:dyDescent="0.25">
      <c r="A4446" s="3">
        <f t="shared" si="208"/>
        <v>78989</v>
      </c>
      <c r="B4446" t="str">
        <f ca="1">TEXT(DATE(YEAR(Invoer!$A$5),1,1)+INT((ROWS(B$2:B4446)-1)/24),"""18""jjmmdd")</f>
        <v>18980705</v>
      </c>
      <c r="C4446" s="11" t="str">
        <f>INDEX(Data,2,2+MOD(ROWS(C$2:C4446)-1,24))</f>
        <v>05.00</v>
      </c>
      <c r="D4446" s="8" t="str">
        <f t="shared" ca="1" si="209"/>
        <v>—</v>
      </c>
      <c r="E4446" s="16">
        <f t="shared" ca="1" si="210"/>
        <v>7</v>
      </c>
    </row>
    <row r="4447" spans="1:5" x14ac:dyDescent="0.25">
      <c r="A4447" s="3">
        <f t="shared" si="208"/>
        <v>78989</v>
      </c>
      <c r="B4447" t="str">
        <f ca="1">TEXT(DATE(YEAR(Invoer!$A$5),1,1)+INT((ROWS(B$2:B4447)-1)/24),"""18""jjmmdd")</f>
        <v>18980705</v>
      </c>
      <c r="C4447" s="11" t="str">
        <f>INDEX(Data,2,2+MOD(ROWS(C$2:C4447)-1,24))</f>
        <v>06.00</v>
      </c>
      <c r="D4447" s="8" t="str">
        <f t="shared" ca="1" si="209"/>
        <v>—</v>
      </c>
      <c r="E4447" s="16">
        <f t="shared" ca="1" si="210"/>
        <v>7</v>
      </c>
    </row>
    <row r="4448" spans="1:5" x14ac:dyDescent="0.25">
      <c r="A4448" s="3">
        <f t="shared" si="208"/>
        <v>78989</v>
      </c>
      <c r="B4448" t="str">
        <f ca="1">TEXT(DATE(YEAR(Invoer!$A$5),1,1)+INT((ROWS(B$2:B4448)-1)/24),"""18""jjmmdd")</f>
        <v>18980705</v>
      </c>
      <c r="C4448" s="11" t="str">
        <f>INDEX(Data,2,2+MOD(ROWS(C$2:C4448)-1,24))</f>
        <v>07.00</v>
      </c>
      <c r="D4448" s="8" t="str">
        <f t="shared" ca="1" si="209"/>
        <v>—</v>
      </c>
      <c r="E4448" s="16">
        <f t="shared" ca="1" si="210"/>
        <v>7</v>
      </c>
    </row>
    <row r="4449" spans="1:5" x14ac:dyDescent="0.25">
      <c r="A4449" s="3">
        <f t="shared" si="208"/>
        <v>78989</v>
      </c>
      <c r="B4449" t="str">
        <f ca="1">TEXT(DATE(YEAR(Invoer!$A$5),1,1)+INT((ROWS(B$2:B4449)-1)/24),"""18""jjmmdd")</f>
        <v>18980705</v>
      </c>
      <c r="C4449" s="11" t="str">
        <f>INDEX(Data,2,2+MOD(ROWS(C$2:C4449)-1,24))</f>
        <v>08.00</v>
      </c>
      <c r="D4449" s="8" t="str">
        <f t="shared" ca="1" si="209"/>
        <v>—</v>
      </c>
      <c r="E4449" s="16">
        <f t="shared" ca="1" si="210"/>
        <v>7</v>
      </c>
    </row>
    <row r="4450" spans="1:5" x14ac:dyDescent="0.25">
      <c r="A4450" s="3">
        <f t="shared" si="208"/>
        <v>78989</v>
      </c>
      <c r="B4450" t="str">
        <f ca="1">TEXT(DATE(YEAR(Invoer!$A$5),1,1)+INT((ROWS(B$2:B4450)-1)/24),"""18""jjmmdd")</f>
        <v>18980705</v>
      </c>
      <c r="C4450" s="11" t="str">
        <f>INDEX(Data,2,2+MOD(ROWS(C$2:C4450)-1,24))</f>
        <v>09.00</v>
      </c>
      <c r="D4450" s="8" t="str">
        <f t="shared" ca="1" si="209"/>
        <v>—</v>
      </c>
      <c r="E4450" s="16">
        <f t="shared" ca="1" si="210"/>
        <v>7</v>
      </c>
    </row>
    <row r="4451" spans="1:5" x14ac:dyDescent="0.25">
      <c r="A4451" s="3">
        <f t="shared" si="208"/>
        <v>78989</v>
      </c>
      <c r="B4451" t="str">
        <f ca="1">TEXT(DATE(YEAR(Invoer!$A$5),1,1)+INT((ROWS(B$2:B4451)-1)/24),"""18""jjmmdd")</f>
        <v>18980705</v>
      </c>
      <c r="C4451" s="11" t="str">
        <f>INDEX(Data,2,2+MOD(ROWS(C$2:C4451)-1,24))</f>
        <v>10.00</v>
      </c>
      <c r="D4451" s="8" t="str">
        <f t="shared" ca="1" si="209"/>
        <v>—</v>
      </c>
      <c r="E4451" s="16">
        <f t="shared" ca="1" si="210"/>
        <v>7</v>
      </c>
    </row>
    <row r="4452" spans="1:5" x14ac:dyDescent="0.25">
      <c r="A4452" s="3">
        <f t="shared" si="208"/>
        <v>78989</v>
      </c>
      <c r="B4452" t="str">
        <f ca="1">TEXT(DATE(YEAR(Invoer!$A$5),1,1)+INT((ROWS(B$2:B4452)-1)/24),"""18""jjmmdd")</f>
        <v>18980705</v>
      </c>
      <c r="C4452" s="11" t="str">
        <f>INDEX(Data,2,2+MOD(ROWS(C$2:C4452)-1,24))</f>
        <v>11.00</v>
      </c>
      <c r="D4452" s="8" t="str">
        <f t="shared" ca="1" si="209"/>
        <v>—</v>
      </c>
      <c r="E4452" s="16">
        <f t="shared" ca="1" si="210"/>
        <v>7</v>
      </c>
    </row>
    <row r="4453" spans="1:5" x14ac:dyDescent="0.25">
      <c r="A4453" s="3">
        <f t="shared" si="208"/>
        <v>78989</v>
      </c>
      <c r="B4453" t="str">
        <f ca="1">TEXT(DATE(YEAR(Invoer!$A$5),1,1)+INT((ROWS(B$2:B4453)-1)/24),"""18""jjmmdd")</f>
        <v>18980705</v>
      </c>
      <c r="C4453" s="11" t="str">
        <f>INDEX(Data,2,2+MOD(ROWS(C$2:C4453)-1,24))</f>
        <v>12.00</v>
      </c>
      <c r="D4453" s="8" t="str">
        <f t="shared" ca="1" si="209"/>
        <v>—</v>
      </c>
      <c r="E4453" s="16">
        <f t="shared" ca="1" si="210"/>
        <v>7</v>
      </c>
    </row>
    <row r="4454" spans="1:5" x14ac:dyDescent="0.25">
      <c r="A4454" s="3">
        <f t="shared" si="208"/>
        <v>78989</v>
      </c>
      <c r="B4454" t="str">
        <f ca="1">TEXT(DATE(YEAR(Invoer!$A$5),1,1)+INT((ROWS(B$2:B4454)-1)/24),"""18""jjmmdd")</f>
        <v>18980705</v>
      </c>
      <c r="C4454" s="11" t="str">
        <f>INDEX(Data,2,2+MOD(ROWS(C$2:C4454)-1,24))</f>
        <v>13.00</v>
      </c>
      <c r="D4454" s="8" t="str">
        <f t="shared" ca="1" si="209"/>
        <v>—</v>
      </c>
      <c r="E4454" s="16">
        <f t="shared" ca="1" si="210"/>
        <v>7</v>
      </c>
    </row>
    <row r="4455" spans="1:5" x14ac:dyDescent="0.25">
      <c r="A4455" s="3">
        <f t="shared" si="208"/>
        <v>78989</v>
      </c>
      <c r="B4455" t="str">
        <f ca="1">TEXT(DATE(YEAR(Invoer!$A$5),1,1)+INT((ROWS(B$2:B4455)-1)/24),"""18""jjmmdd")</f>
        <v>18980705</v>
      </c>
      <c r="C4455" s="11" t="str">
        <f>INDEX(Data,2,2+MOD(ROWS(C$2:C4455)-1,24))</f>
        <v>14.00</v>
      </c>
      <c r="D4455" s="8" t="str">
        <f t="shared" ca="1" si="209"/>
        <v>—</v>
      </c>
      <c r="E4455" s="16">
        <f t="shared" ca="1" si="210"/>
        <v>7</v>
      </c>
    </row>
    <row r="4456" spans="1:5" x14ac:dyDescent="0.25">
      <c r="A4456" s="3">
        <f t="shared" si="208"/>
        <v>78989</v>
      </c>
      <c r="B4456" t="str">
        <f ca="1">TEXT(DATE(YEAR(Invoer!$A$5),1,1)+INT((ROWS(B$2:B4456)-1)/24),"""18""jjmmdd")</f>
        <v>18980705</v>
      </c>
      <c r="C4456" s="11" t="str">
        <f>INDEX(Data,2,2+MOD(ROWS(C$2:C4456)-1,24))</f>
        <v>15.00</v>
      </c>
      <c r="D4456" s="8" t="str">
        <f t="shared" ca="1" si="209"/>
        <v>—</v>
      </c>
      <c r="E4456" s="16">
        <f t="shared" ca="1" si="210"/>
        <v>7</v>
      </c>
    </row>
    <row r="4457" spans="1:5" x14ac:dyDescent="0.25">
      <c r="A4457" s="3">
        <f t="shared" si="208"/>
        <v>78989</v>
      </c>
      <c r="B4457" t="str">
        <f ca="1">TEXT(DATE(YEAR(Invoer!$A$5),1,1)+INT((ROWS(B$2:B4457)-1)/24),"""18""jjmmdd")</f>
        <v>18980705</v>
      </c>
      <c r="C4457" s="11" t="str">
        <f>INDEX(Data,2,2+MOD(ROWS(C$2:C4457)-1,24))</f>
        <v>16.00</v>
      </c>
      <c r="D4457" s="8" t="str">
        <f t="shared" ca="1" si="209"/>
        <v>—</v>
      </c>
      <c r="E4457" s="16">
        <f t="shared" ca="1" si="210"/>
        <v>7</v>
      </c>
    </row>
    <row r="4458" spans="1:5" x14ac:dyDescent="0.25">
      <c r="A4458" s="3">
        <f t="shared" si="208"/>
        <v>78989</v>
      </c>
      <c r="B4458" t="str">
        <f ca="1">TEXT(DATE(YEAR(Invoer!$A$5),1,1)+INT((ROWS(B$2:B4458)-1)/24),"""18""jjmmdd")</f>
        <v>18980705</v>
      </c>
      <c r="C4458" s="11" t="str">
        <f>INDEX(Data,2,2+MOD(ROWS(C$2:C4458)-1,24))</f>
        <v>17.00</v>
      </c>
      <c r="D4458" s="8" t="str">
        <f t="shared" ca="1" si="209"/>
        <v>—</v>
      </c>
      <c r="E4458" s="16">
        <f t="shared" ca="1" si="210"/>
        <v>7</v>
      </c>
    </row>
    <row r="4459" spans="1:5" x14ac:dyDescent="0.25">
      <c r="A4459" s="3">
        <f t="shared" si="208"/>
        <v>78989</v>
      </c>
      <c r="B4459" t="str">
        <f ca="1">TEXT(DATE(YEAR(Invoer!$A$5),1,1)+INT((ROWS(B$2:B4459)-1)/24),"""18""jjmmdd")</f>
        <v>18980705</v>
      </c>
      <c r="C4459" s="11" t="str">
        <f>INDEX(Data,2,2+MOD(ROWS(C$2:C4459)-1,24))</f>
        <v>18.00</v>
      </c>
      <c r="D4459" s="8" t="str">
        <f t="shared" ca="1" si="209"/>
        <v>—</v>
      </c>
      <c r="E4459" s="16">
        <f t="shared" ca="1" si="210"/>
        <v>7</v>
      </c>
    </row>
    <row r="4460" spans="1:5" x14ac:dyDescent="0.25">
      <c r="A4460" s="3">
        <f t="shared" si="208"/>
        <v>78989</v>
      </c>
      <c r="B4460" t="str">
        <f ca="1">TEXT(DATE(YEAR(Invoer!$A$5),1,1)+INT((ROWS(B$2:B4460)-1)/24),"""18""jjmmdd")</f>
        <v>18980705</v>
      </c>
      <c r="C4460" s="11" t="str">
        <f>INDEX(Data,2,2+MOD(ROWS(C$2:C4460)-1,24))</f>
        <v>19.00</v>
      </c>
      <c r="D4460" s="8" t="str">
        <f t="shared" ca="1" si="209"/>
        <v>—</v>
      </c>
      <c r="E4460" s="16">
        <f t="shared" ca="1" si="210"/>
        <v>7</v>
      </c>
    </row>
    <row r="4461" spans="1:5" x14ac:dyDescent="0.25">
      <c r="A4461" s="3">
        <f t="shared" si="208"/>
        <v>78989</v>
      </c>
      <c r="B4461" t="str">
        <f ca="1">TEXT(DATE(YEAR(Invoer!$A$5),1,1)+INT((ROWS(B$2:B4461)-1)/24),"""18""jjmmdd")</f>
        <v>18980705</v>
      </c>
      <c r="C4461" s="11" t="str">
        <f>INDEX(Data,2,2+MOD(ROWS(C$2:C4461)-1,24))</f>
        <v>20.00</v>
      </c>
      <c r="D4461" s="8" t="str">
        <f t="shared" ca="1" si="209"/>
        <v>—</v>
      </c>
      <c r="E4461" s="16">
        <f t="shared" ca="1" si="210"/>
        <v>7</v>
      </c>
    </row>
    <row r="4462" spans="1:5" x14ac:dyDescent="0.25">
      <c r="A4462" s="3">
        <f t="shared" si="208"/>
        <v>78989</v>
      </c>
      <c r="B4462" t="str">
        <f ca="1">TEXT(DATE(YEAR(Invoer!$A$5),1,1)+INT((ROWS(B$2:B4462)-1)/24),"""18""jjmmdd")</f>
        <v>18980705</v>
      </c>
      <c r="C4462" s="11" t="str">
        <f>INDEX(Data,2,2+MOD(ROWS(C$2:C4462)-1,24))</f>
        <v>21.00</v>
      </c>
      <c r="D4462" s="8" t="str">
        <f t="shared" ca="1" si="209"/>
        <v>—</v>
      </c>
      <c r="E4462" s="16">
        <f t="shared" ca="1" si="210"/>
        <v>7</v>
      </c>
    </row>
    <row r="4463" spans="1:5" x14ac:dyDescent="0.25">
      <c r="A4463" s="3">
        <f t="shared" si="208"/>
        <v>78989</v>
      </c>
      <c r="B4463" t="str">
        <f ca="1">TEXT(DATE(YEAR(Invoer!$A$5),1,1)+INT((ROWS(B$2:B4463)-1)/24),"""18""jjmmdd")</f>
        <v>18980705</v>
      </c>
      <c r="C4463" s="11" t="str">
        <f>INDEX(Data,2,2+MOD(ROWS(C$2:C4463)-1,24))</f>
        <v>22.00</v>
      </c>
      <c r="D4463" s="8" t="str">
        <f t="shared" ca="1" si="209"/>
        <v>—</v>
      </c>
      <c r="E4463" s="16">
        <f t="shared" ca="1" si="210"/>
        <v>7</v>
      </c>
    </row>
    <row r="4464" spans="1:5" x14ac:dyDescent="0.25">
      <c r="A4464" s="3">
        <f t="shared" si="208"/>
        <v>78989</v>
      </c>
      <c r="B4464" t="str">
        <f ca="1">TEXT(DATE(YEAR(Invoer!$A$5),1,1)+INT((ROWS(B$2:B4464)-1)/24),"""18""jjmmdd")</f>
        <v>18980705</v>
      </c>
      <c r="C4464" s="11" t="str">
        <f>INDEX(Data,2,2+MOD(ROWS(C$2:C4464)-1,24))</f>
        <v>23.00</v>
      </c>
      <c r="D4464" s="8" t="str">
        <f t="shared" ca="1" si="209"/>
        <v>—</v>
      </c>
      <c r="E4464" s="16">
        <f t="shared" ca="1" si="210"/>
        <v>7</v>
      </c>
    </row>
    <row r="4465" spans="1:5" x14ac:dyDescent="0.25">
      <c r="A4465" s="3">
        <f t="shared" si="208"/>
        <v>78989</v>
      </c>
      <c r="B4465" t="str">
        <f ca="1">TEXT(DATE(YEAR(Invoer!$A$5),1,1)+INT((ROWS(B$2:B4465)-1)/24),"""18""jjmmdd")</f>
        <v>18980705</v>
      </c>
      <c r="C4465" s="11" t="str">
        <f>INDEX(Data,2,2+MOD(ROWS(C$2:C4465)-1,24))</f>
        <v>24.00</v>
      </c>
      <c r="D4465" s="8" t="str">
        <f t="shared" ca="1" si="209"/>
        <v>—</v>
      </c>
      <c r="E4465" s="16">
        <f t="shared" ca="1" si="210"/>
        <v>7</v>
      </c>
    </row>
    <row r="4466" spans="1:5" x14ac:dyDescent="0.25">
      <c r="A4466" s="3">
        <f t="shared" si="208"/>
        <v>78989</v>
      </c>
      <c r="B4466" t="str">
        <f ca="1">TEXT(DATE(YEAR(Invoer!$A$5),1,1)+INT((ROWS(B$2:B4466)-1)/24),"""18""jjmmdd")</f>
        <v>18980706</v>
      </c>
      <c r="C4466" s="11" t="str">
        <f>INDEX(Data,2,2+MOD(ROWS(C$2:C4466)-1,24))</f>
        <v>01.00</v>
      </c>
      <c r="D4466" s="8" t="str">
        <f t="shared" ca="1" si="209"/>
        <v>—</v>
      </c>
      <c r="E4466" s="16">
        <f t="shared" ca="1" si="210"/>
        <v>7</v>
      </c>
    </row>
    <row r="4467" spans="1:5" x14ac:dyDescent="0.25">
      <c r="A4467" s="3">
        <f t="shared" si="208"/>
        <v>78989</v>
      </c>
      <c r="B4467" t="str">
        <f ca="1">TEXT(DATE(YEAR(Invoer!$A$5),1,1)+INT((ROWS(B$2:B4467)-1)/24),"""18""jjmmdd")</f>
        <v>18980706</v>
      </c>
      <c r="C4467" s="11" t="str">
        <f>INDEX(Data,2,2+MOD(ROWS(C$2:C4467)-1,24))</f>
        <v>02.00</v>
      </c>
      <c r="D4467" s="8" t="str">
        <f t="shared" ca="1" si="209"/>
        <v>—</v>
      </c>
      <c r="E4467" s="16">
        <f t="shared" ca="1" si="210"/>
        <v>7</v>
      </c>
    </row>
    <row r="4468" spans="1:5" x14ac:dyDescent="0.25">
      <c r="A4468" s="3">
        <f t="shared" si="208"/>
        <v>78989</v>
      </c>
      <c r="B4468" t="str">
        <f ca="1">TEXT(DATE(YEAR(Invoer!$A$5),1,1)+INT((ROWS(B$2:B4468)-1)/24),"""18""jjmmdd")</f>
        <v>18980706</v>
      </c>
      <c r="C4468" s="11" t="str">
        <f>INDEX(Data,2,2+MOD(ROWS(C$2:C4468)-1,24))</f>
        <v>03.00</v>
      </c>
      <c r="D4468" s="8" t="str">
        <f t="shared" ca="1" si="209"/>
        <v>—</v>
      </c>
      <c r="E4468" s="16">
        <f t="shared" ca="1" si="210"/>
        <v>7</v>
      </c>
    </row>
    <row r="4469" spans="1:5" x14ac:dyDescent="0.25">
      <c r="A4469" s="3">
        <f t="shared" si="208"/>
        <v>78989</v>
      </c>
      <c r="B4469" t="str">
        <f ca="1">TEXT(DATE(YEAR(Invoer!$A$5),1,1)+INT((ROWS(B$2:B4469)-1)/24),"""18""jjmmdd")</f>
        <v>18980706</v>
      </c>
      <c r="C4469" s="11" t="str">
        <f>INDEX(Data,2,2+MOD(ROWS(C$2:C4469)-1,24))</f>
        <v>04.00</v>
      </c>
      <c r="D4469" s="8" t="str">
        <f t="shared" ca="1" si="209"/>
        <v>—</v>
      </c>
      <c r="E4469" s="16">
        <f t="shared" ca="1" si="210"/>
        <v>7</v>
      </c>
    </row>
    <row r="4470" spans="1:5" x14ac:dyDescent="0.25">
      <c r="A4470" s="3">
        <f t="shared" si="208"/>
        <v>78989</v>
      </c>
      <c r="B4470" t="str">
        <f ca="1">TEXT(DATE(YEAR(Invoer!$A$5),1,1)+INT((ROWS(B$2:B4470)-1)/24),"""18""jjmmdd")</f>
        <v>18980706</v>
      </c>
      <c r="C4470" s="11" t="str">
        <f>INDEX(Data,2,2+MOD(ROWS(C$2:C4470)-1,24))</f>
        <v>05.00</v>
      </c>
      <c r="D4470" s="8" t="str">
        <f t="shared" ca="1" si="209"/>
        <v>—</v>
      </c>
      <c r="E4470" s="16">
        <f t="shared" ca="1" si="210"/>
        <v>7</v>
      </c>
    </row>
    <row r="4471" spans="1:5" x14ac:dyDescent="0.25">
      <c r="A4471" s="3">
        <f t="shared" si="208"/>
        <v>78989</v>
      </c>
      <c r="B4471" t="str">
        <f ca="1">TEXT(DATE(YEAR(Invoer!$A$5),1,1)+INT((ROWS(B$2:B4471)-1)/24),"""18""jjmmdd")</f>
        <v>18980706</v>
      </c>
      <c r="C4471" s="11" t="str">
        <f>INDEX(Data,2,2+MOD(ROWS(C$2:C4471)-1,24))</f>
        <v>06.00</v>
      </c>
      <c r="D4471" s="8" t="str">
        <f t="shared" ca="1" si="209"/>
        <v>—</v>
      </c>
      <c r="E4471" s="16">
        <f t="shared" ca="1" si="210"/>
        <v>7</v>
      </c>
    </row>
    <row r="4472" spans="1:5" x14ac:dyDescent="0.25">
      <c r="A4472" s="3">
        <f t="shared" si="208"/>
        <v>78989</v>
      </c>
      <c r="B4472" t="str">
        <f ca="1">TEXT(DATE(YEAR(Invoer!$A$5),1,1)+INT((ROWS(B$2:B4472)-1)/24),"""18""jjmmdd")</f>
        <v>18980706</v>
      </c>
      <c r="C4472" s="11" t="str">
        <f>INDEX(Data,2,2+MOD(ROWS(C$2:C4472)-1,24))</f>
        <v>07.00</v>
      </c>
      <c r="D4472" s="8" t="str">
        <f t="shared" ca="1" si="209"/>
        <v>—</v>
      </c>
      <c r="E4472" s="16">
        <f t="shared" ca="1" si="210"/>
        <v>7</v>
      </c>
    </row>
    <row r="4473" spans="1:5" x14ac:dyDescent="0.25">
      <c r="A4473" s="3">
        <f t="shared" si="208"/>
        <v>78989</v>
      </c>
      <c r="B4473" t="str">
        <f ca="1">TEXT(DATE(YEAR(Invoer!$A$5),1,1)+INT((ROWS(B$2:B4473)-1)/24),"""18""jjmmdd")</f>
        <v>18980706</v>
      </c>
      <c r="C4473" s="11" t="str">
        <f>INDEX(Data,2,2+MOD(ROWS(C$2:C4473)-1,24))</f>
        <v>08.00</v>
      </c>
      <c r="D4473" s="8" t="str">
        <f t="shared" ca="1" si="209"/>
        <v>—</v>
      </c>
      <c r="E4473" s="16">
        <f t="shared" ca="1" si="210"/>
        <v>7</v>
      </c>
    </row>
    <row r="4474" spans="1:5" x14ac:dyDescent="0.25">
      <c r="A4474" s="3">
        <f t="shared" si="208"/>
        <v>78989</v>
      </c>
      <c r="B4474" t="str">
        <f ca="1">TEXT(DATE(YEAR(Invoer!$A$5),1,1)+INT((ROWS(B$2:B4474)-1)/24),"""18""jjmmdd")</f>
        <v>18980706</v>
      </c>
      <c r="C4474" s="11" t="str">
        <f>INDEX(Data,2,2+MOD(ROWS(C$2:C4474)-1,24))</f>
        <v>09.00</v>
      </c>
      <c r="D4474" s="8" t="str">
        <f t="shared" ca="1" si="209"/>
        <v>—</v>
      </c>
      <c r="E4474" s="16">
        <f t="shared" ca="1" si="210"/>
        <v>7</v>
      </c>
    </row>
    <row r="4475" spans="1:5" x14ac:dyDescent="0.25">
      <c r="A4475" s="3">
        <f t="shared" si="208"/>
        <v>78989</v>
      </c>
      <c r="B4475" t="str">
        <f ca="1">TEXT(DATE(YEAR(Invoer!$A$5),1,1)+INT((ROWS(B$2:B4475)-1)/24),"""18""jjmmdd")</f>
        <v>18980706</v>
      </c>
      <c r="C4475" s="11" t="str">
        <f>INDEX(Data,2,2+MOD(ROWS(C$2:C4475)-1,24))</f>
        <v>10.00</v>
      </c>
      <c r="D4475" s="8" t="str">
        <f t="shared" ca="1" si="209"/>
        <v>—</v>
      </c>
      <c r="E4475" s="16">
        <f t="shared" ca="1" si="210"/>
        <v>7</v>
      </c>
    </row>
    <row r="4476" spans="1:5" x14ac:dyDescent="0.25">
      <c r="A4476" s="3">
        <f t="shared" si="208"/>
        <v>78989</v>
      </c>
      <c r="B4476" t="str">
        <f ca="1">TEXT(DATE(YEAR(Invoer!$A$5),1,1)+INT((ROWS(B$2:B4476)-1)/24),"""18""jjmmdd")</f>
        <v>18980706</v>
      </c>
      <c r="C4476" s="11" t="str">
        <f>INDEX(Data,2,2+MOD(ROWS(C$2:C4476)-1,24))</f>
        <v>11.00</v>
      </c>
      <c r="D4476" s="8" t="str">
        <f t="shared" ca="1" si="209"/>
        <v>—</v>
      </c>
      <c r="E4476" s="16">
        <f t="shared" ca="1" si="210"/>
        <v>7</v>
      </c>
    </row>
    <row r="4477" spans="1:5" x14ac:dyDescent="0.25">
      <c r="A4477" s="3">
        <f t="shared" si="208"/>
        <v>78989</v>
      </c>
      <c r="B4477" t="str">
        <f ca="1">TEXT(DATE(YEAR(Invoer!$A$5),1,1)+INT((ROWS(B$2:B4477)-1)/24),"""18""jjmmdd")</f>
        <v>18980706</v>
      </c>
      <c r="C4477" s="11" t="str">
        <f>INDEX(Data,2,2+MOD(ROWS(C$2:C4477)-1,24))</f>
        <v>12.00</v>
      </c>
      <c r="D4477" s="8" t="str">
        <f t="shared" ca="1" si="209"/>
        <v>—</v>
      </c>
      <c r="E4477" s="16">
        <f t="shared" ca="1" si="210"/>
        <v>7</v>
      </c>
    </row>
    <row r="4478" spans="1:5" x14ac:dyDescent="0.25">
      <c r="A4478" s="3">
        <f t="shared" si="208"/>
        <v>78989</v>
      </c>
      <c r="B4478" t="str">
        <f ca="1">TEXT(DATE(YEAR(Invoer!$A$5),1,1)+INT((ROWS(B$2:B4478)-1)/24),"""18""jjmmdd")</f>
        <v>18980706</v>
      </c>
      <c r="C4478" s="11" t="str">
        <f>INDEX(Data,2,2+MOD(ROWS(C$2:C4478)-1,24))</f>
        <v>13.00</v>
      </c>
      <c r="D4478" s="8" t="str">
        <f t="shared" ca="1" si="209"/>
        <v>—</v>
      </c>
      <c r="E4478" s="16">
        <f t="shared" ca="1" si="210"/>
        <v>7</v>
      </c>
    </row>
    <row r="4479" spans="1:5" x14ac:dyDescent="0.25">
      <c r="A4479" s="3">
        <f t="shared" si="208"/>
        <v>78989</v>
      </c>
      <c r="B4479" t="str">
        <f ca="1">TEXT(DATE(YEAR(Invoer!$A$5),1,1)+INT((ROWS(B$2:B4479)-1)/24),"""18""jjmmdd")</f>
        <v>18980706</v>
      </c>
      <c r="C4479" s="11" t="str">
        <f>INDEX(Data,2,2+MOD(ROWS(C$2:C4479)-1,24))</f>
        <v>14.00</v>
      </c>
      <c r="D4479" s="8" t="str">
        <f t="shared" ca="1" si="209"/>
        <v>—</v>
      </c>
      <c r="E4479" s="16">
        <f t="shared" ca="1" si="210"/>
        <v>7</v>
      </c>
    </row>
    <row r="4480" spans="1:5" x14ac:dyDescent="0.25">
      <c r="A4480" s="3">
        <f t="shared" si="208"/>
        <v>78989</v>
      </c>
      <c r="B4480" t="str">
        <f ca="1">TEXT(DATE(YEAR(Invoer!$A$5),1,1)+INT((ROWS(B$2:B4480)-1)/24),"""18""jjmmdd")</f>
        <v>18980706</v>
      </c>
      <c r="C4480" s="11" t="str">
        <f>INDEX(Data,2,2+MOD(ROWS(C$2:C4480)-1,24))</f>
        <v>15.00</v>
      </c>
      <c r="D4480" s="8" t="str">
        <f t="shared" ca="1" si="209"/>
        <v>—</v>
      </c>
      <c r="E4480" s="16">
        <f t="shared" ca="1" si="210"/>
        <v>7</v>
      </c>
    </row>
    <row r="4481" spans="1:5" x14ac:dyDescent="0.25">
      <c r="A4481" s="3">
        <f t="shared" si="208"/>
        <v>78989</v>
      </c>
      <c r="B4481" t="str">
        <f ca="1">TEXT(DATE(YEAR(Invoer!$A$5),1,1)+INT((ROWS(B$2:B4481)-1)/24),"""18""jjmmdd")</f>
        <v>18980706</v>
      </c>
      <c r="C4481" s="11" t="str">
        <f>INDEX(Data,2,2+MOD(ROWS(C$2:C4481)-1,24))</f>
        <v>16.00</v>
      </c>
      <c r="D4481" s="8" t="str">
        <f t="shared" ca="1" si="209"/>
        <v>—</v>
      </c>
      <c r="E4481" s="16">
        <f t="shared" ca="1" si="210"/>
        <v>7</v>
      </c>
    </row>
    <row r="4482" spans="1:5" x14ac:dyDescent="0.25">
      <c r="A4482" s="3">
        <f t="shared" ref="A4482:A4545" si="211">INDEX(Stations,2,1)</f>
        <v>78989</v>
      </c>
      <c r="B4482" t="str">
        <f ca="1">TEXT(DATE(YEAR(Invoer!$A$5),1,1)+INT((ROWS(B$2:B4482)-1)/24),"""18""jjmmdd")</f>
        <v>18980706</v>
      </c>
      <c r="C4482" s="11" t="str">
        <f>INDEX(Data,2,2+MOD(ROWS(C$2:C4482)-1,24))</f>
        <v>17.00</v>
      </c>
      <c r="D4482" s="8" t="str">
        <f t="shared" ref="D4482:D4545" ca="1" si="212">IF(OR(ISBLANK(VLOOKUP(DATEVALUE("37"&amp;MID($B4482,3,2)&amp;"-"&amp;MID($B4482,5,2)&amp;"-"&amp;RIGHT($B4482,2)),Data,MATCH(LEFT(VLOOKUP(D$1,Parameters,2,FALSE()),4)&amp;"*",OFFSET(Data,0,0,1),0)+MATCH($C4482,OFFSET(Data,1,0,1),0)-2,FALSE())),ISTEXT(VLOOKUP(DATEVALUE("37"&amp;MID($B4482,3,2)&amp;"-"&amp;MID($B4482,5,2)&amp;"-"&amp;RIGHT($B4482,2)),Data,MATCH(LEFT(VLOOKUP(D$1,Parameters,2,FALSE()),4)&amp;"*",OFFSET(Data,0,0,1),0)+MATCH($C4482,OFFSET(Data,1,0,1),0)-2,FALSE()))),"—",VLOOKUP(DATEVALUE("37"&amp;MID($B4482,3,2)&amp;"-"&amp;MID($B4482,5,2)&amp;"-"&amp;RIGHT($B4482,2)),Data,MATCH(LEFT(VLOOKUP(D$1,Parameters,2,FALSE()),4)&amp;"*",OFFSET(Data,0,0,1),0)+MATCH($C4482,OFFSET(Data,1,0,1),0)-2,FALSE()))</f>
        <v>—</v>
      </c>
      <c r="E4482" s="16">
        <f t="shared" ca="1" si="210"/>
        <v>7</v>
      </c>
    </row>
    <row r="4483" spans="1:5" x14ac:dyDescent="0.25">
      <c r="A4483" s="3">
        <f t="shared" si="211"/>
        <v>78989</v>
      </c>
      <c r="B4483" t="str">
        <f ca="1">TEXT(DATE(YEAR(Invoer!$A$5),1,1)+INT((ROWS(B$2:B4483)-1)/24),"""18""jjmmdd")</f>
        <v>18980706</v>
      </c>
      <c r="C4483" s="11" t="str">
        <f>INDEX(Data,2,2+MOD(ROWS(C$2:C4483)-1,24))</f>
        <v>18.00</v>
      </c>
      <c r="D4483" s="8" t="str">
        <f t="shared" ca="1" si="212"/>
        <v>—</v>
      </c>
      <c r="E4483" s="16">
        <f t="shared" ref="E4483:E4546" ca="1" si="213">IF(OR(ISBLANK(VLOOKUP(DATEVALUE("37"&amp;MID($B4483,3,2)&amp;"-"&amp;MID($B4483,5,2)&amp;"-"&amp;RIGHT($B4483,2)),Data,MATCH(LEFT(VLOOKUP(D$1,Parameters,2,FALSE()),4)&amp;"*",OFFSET(Data,0,0,1),0)+MATCH($C4483,OFFSET(Data,1,0,1),0)-2,FALSE())),ISTEXT(VLOOKUP(DATEVALUE("37"&amp;MID($B4483,3,2)&amp;"-"&amp;MID($B4483,5,2)&amp;"-"&amp;RIGHT($B4483,2)),Data,MATCH(LEFT(VLOOKUP(D$1,Parameters,2,FALSE()),4)&amp;"*",OFFSET(Data,0,0,1),0)+MATCH($C4483,OFFSET(Data,1,0,1),0)-2,FALSE()))),Lacking,IF(ISNA(MATCH(DATEVALUE("37"&amp;MID($B4483,3,2)&amp;"-"&amp;MID($B4483,5,2)&amp;"-"&amp;RIGHT($B4483,2)),OFFSET(Catalogus,0,0,,1),0)),Ok,VLOOKUP(DATEVALUE("37"&amp;MID($B4483,3,2)&amp;"-"&amp;MID($B4483,5,2)&amp;"-"&amp;RIGHT($B4483,2)),Catalogus,MATCH(LEFT(VLOOKUP(MID(E$1,2,LEN(E$1)-1),Parameters,2,FALSE()),4)&amp;"*",OFFSET(Catalogus,0,0,1),0)+MATCH($C4483,OFFSET(Catalogus,1,0,1),0)-2,FALSE())))</f>
        <v>7</v>
      </c>
    </row>
    <row r="4484" spans="1:5" x14ac:dyDescent="0.25">
      <c r="A4484" s="3">
        <f t="shared" si="211"/>
        <v>78989</v>
      </c>
      <c r="B4484" t="str">
        <f ca="1">TEXT(DATE(YEAR(Invoer!$A$5),1,1)+INT((ROWS(B$2:B4484)-1)/24),"""18""jjmmdd")</f>
        <v>18980706</v>
      </c>
      <c r="C4484" s="11" t="str">
        <f>INDEX(Data,2,2+MOD(ROWS(C$2:C4484)-1,24))</f>
        <v>19.00</v>
      </c>
      <c r="D4484" s="8" t="str">
        <f t="shared" ca="1" si="212"/>
        <v>—</v>
      </c>
      <c r="E4484" s="16">
        <f t="shared" ca="1" si="213"/>
        <v>7</v>
      </c>
    </row>
    <row r="4485" spans="1:5" x14ac:dyDescent="0.25">
      <c r="A4485" s="3">
        <f t="shared" si="211"/>
        <v>78989</v>
      </c>
      <c r="B4485" t="str">
        <f ca="1">TEXT(DATE(YEAR(Invoer!$A$5),1,1)+INT((ROWS(B$2:B4485)-1)/24),"""18""jjmmdd")</f>
        <v>18980706</v>
      </c>
      <c r="C4485" s="11" t="str">
        <f>INDEX(Data,2,2+MOD(ROWS(C$2:C4485)-1,24))</f>
        <v>20.00</v>
      </c>
      <c r="D4485" s="8" t="str">
        <f t="shared" ca="1" si="212"/>
        <v>—</v>
      </c>
      <c r="E4485" s="16">
        <f t="shared" ca="1" si="213"/>
        <v>7</v>
      </c>
    </row>
    <row r="4486" spans="1:5" x14ac:dyDescent="0.25">
      <c r="A4486" s="3">
        <f t="shared" si="211"/>
        <v>78989</v>
      </c>
      <c r="B4486" t="str">
        <f ca="1">TEXT(DATE(YEAR(Invoer!$A$5),1,1)+INT((ROWS(B$2:B4486)-1)/24),"""18""jjmmdd")</f>
        <v>18980706</v>
      </c>
      <c r="C4486" s="11" t="str">
        <f>INDEX(Data,2,2+MOD(ROWS(C$2:C4486)-1,24))</f>
        <v>21.00</v>
      </c>
      <c r="D4486" s="8" t="str">
        <f t="shared" ca="1" si="212"/>
        <v>—</v>
      </c>
      <c r="E4486" s="16">
        <f t="shared" ca="1" si="213"/>
        <v>7</v>
      </c>
    </row>
    <row r="4487" spans="1:5" x14ac:dyDescent="0.25">
      <c r="A4487" s="3">
        <f t="shared" si="211"/>
        <v>78989</v>
      </c>
      <c r="B4487" t="str">
        <f ca="1">TEXT(DATE(YEAR(Invoer!$A$5),1,1)+INT((ROWS(B$2:B4487)-1)/24),"""18""jjmmdd")</f>
        <v>18980706</v>
      </c>
      <c r="C4487" s="11" t="str">
        <f>INDEX(Data,2,2+MOD(ROWS(C$2:C4487)-1,24))</f>
        <v>22.00</v>
      </c>
      <c r="D4487" s="8" t="str">
        <f t="shared" ca="1" si="212"/>
        <v>—</v>
      </c>
      <c r="E4487" s="16">
        <f t="shared" ca="1" si="213"/>
        <v>7</v>
      </c>
    </row>
    <row r="4488" spans="1:5" x14ac:dyDescent="0.25">
      <c r="A4488" s="3">
        <f t="shared" si="211"/>
        <v>78989</v>
      </c>
      <c r="B4488" t="str">
        <f ca="1">TEXT(DATE(YEAR(Invoer!$A$5),1,1)+INT((ROWS(B$2:B4488)-1)/24),"""18""jjmmdd")</f>
        <v>18980706</v>
      </c>
      <c r="C4488" s="11" t="str">
        <f>INDEX(Data,2,2+MOD(ROWS(C$2:C4488)-1,24))</f>
        <v>23.00</v>
      </c>
      <c r="D4488" s="8" t="str">
        <f t="shared" ca="1" si="212"/>
        <v>—</v>
      </c>
      <c r="E4488" s="16">
        <f t="shared" ca="1" si="213"/>
        <v>7</v>
      </c>
    </row>
    <row r="4489" spans="1:5" x14ac:dyDescent="0.25">
      <c r="A4489" s="3">
        <f t="shared" si="211"/>
        <v>78989</v>
      </c>
      <c r="B4489" t="str">
        <f ca="1">TEXT(DATE(YEAR(Invoer!$A$5),1,1)+INT((ROWS(B$2:B4489)-1)/24),"""18""jjmmdd")</f>
        <v>18980706</v>
      </c>
      <c r="C4489" s="11" t="str">
        <f>INDEX(Data,2,2+MOD(ROWS(C$2:C4489)-1,24))</f>
        <v>24.00</v>
      </c>
      <c r="D4489" s="8" t="str">
        <f t="shared" ca="1" si="212"/>
        <v>—</v>
      </c>
      <c r="E4489" s="16">
        <f t="shared" ca="1" si="213"/>
        <v>7</v>
      </c>
    </row>
    <row r="4490" spans="1:5" x14ac:dyDescent="0.25">
      <c r="A4490" s="3">
        <f t="shared" si="211"/>
        <v>78989</v>
      </c>
      <c r="B4490" t="str">
        <f ca="1">TEXT(DATE(YEAR(Invoer!$A$5),1,1)+INT((ROWS(B$2:B4490)-1)/24),"""18""jjmmdd")</f>
        <v>18980707</v>
      </c>
      <c r="C4490" s="11" t="str">
        <f>INDEX(Data,2,2+MOD(ROWS(C$2:C4490)-1,24))</f>
        <v>01.00</v>
      </c>
      <c r="D4490" s="8" t="str">
        <f t="shared" ca="1" si="212"/>
        <v>—</v>
      </c>
      <c r="E4490" s="16">
        <f t="shared" ca="1" si="213"/>
        <v>7</v>
      </c>
    </row>
    <row r="4491" spans="1:5" x14ac:dyDescent="0.25">
      <c r="A4491" s="3">
        <f t="shared" si="211"/>
        <v>78989</v>
      </c>
      <c r="B4491" t="str">
        <f ca="1">TEXT(DATE(YEAR(Invoer!$A$5),1,1)+INT((ROWS(B$2:B4491)-1)/24),"""18""jjmmdd")</f>
        <v>18980707</v>
      </c>
      <c r="C4491" s="11" t="str">
        <f>INDEX(Data,2,2+MOD(ROWS(C$2:C4491)-1,24))</f>
        <v>02.00</v>
      </c>
      <c r="D4491" s="8" t="str">
        <f t="shared" ca="1" si="212"/>
        <v>—</v>
      </c>
      <c r="E4491" s="16">
        <f t="shared" ca="1" si="213"/>
        <v>7</v>
      </c>
    </row>
    <row r="4492" spans="1:5" x14ac:dyDescent="0.25">
      <c r="A4492" s="3">
        <f t="shared" si="211"/>
        <v>78989</v>
      </c>
      <c r="B4492" t="str">
        <f ca="1">TEXT(DATE(YEAR(Invoer!$A$5),1,1)+INT((ROWS(B$2:B4492)-1)/24),"""18""jjmmdd")</f>
        <v>18980707</v>
      </c>
      <c r="C4492" s="11" t="str">
        <f>INDEX(Data,2,2+MOD(ROWS(C$2:C4492)-1,24))</f>
        <v>03.00</v>
      </c>
      <c r="D4492" s="8" t="str">
        <f t="shared" ca="1" si="212"/>
        <v>—</v>
      </c>
      <c r="E4492" s="16">
        <f t="shared" ca="1" si="213"/>
        <v>7</v>
      </c>
    </row>
    <row r="4493" spans="1:5" x14ac:dyDescent="0.25">
      <c r="A4493" s="3">
        <f t="shared" si="211"/>
        <v>78989</v>
      </c>
      <c r="B4493" t="str">
        <f ca="1">TEXT(DATE(YEAR(Invoer!$A$5),1,1)+INT((ROWS(B$2:B4493)-1)/24),"""18""jjmmdd")</f>
        <v>18980707</v>
      </c>
      <c r="C4493" s="11" t="str">
        <f>INDEX(Data,2,2+MOD(ROWS(C$2:C4493)-1,24))</f>
        <v>04.00</v>
      </c>
      <c r="D4493" s="8" t="str">
        <f t="shared" ca="1" si="212"/>
        <v>—</v>
      </c>
      <c r="E4493" s="16">
        <f t="shared" ca="1" si="213"/>
        <v>7</v>
      </c>
    </row>
    <row r="4494" spans="1:5" x14ac:dyDescent="0.25">
      <c r="A4494" s="3">
        <f t="shared" si="211"/>
        <v>78989</v>
      </c>
      <c r="B4494" t="str">
        <f ca="1">TEXT(DATE(YEAR(Invoer!$A$5),1,1)+INT((ROWS(B$2:B4494)-1)/24),"""18""jjmmdd")</f>
        <v>18980707</v>
      </c>
      <c r="C4494" s="11" t="str">
        <f>INDEX(Data,2,2+MOD(ROWS(C$2:C4494)-1,24))</f>
        <v>05.00</v>
      </c>
      <c r="D4494" s="8" t="str">
        <f t="shared" ca="1" si="212"/>
        <v>—</v>
      </c>
      <c r="E4494" s="16">
        <f t="shared" ca="1" si="213"/>
        <v>7</v>
      </c>
    </row>
    <row r="4495" spans="1:5" x14ac:dyDescent="0.25">
      <c r="A4495" s="3">
        <f t="shared" si="211"/>
        <v>78989</v>
      </c>
      <c r="B4495" t="str">
        <f ca="1">TEXT(DATE(YEAR(Invoer!$A$5),1,1)+INT((ROWS(B$2:B4495)-1)/24),"""18""jjmmdd")</f>
        <v>18980707</v>
      </c>
      <c r="C4495" s="11" t="str">
        <f>INDEX(Data,2,2+MOD(ROWS(C$2:C4495)-1,24))</f>
        <v>06.00</v>
      </c>
      <c r="D4495" s="8" t="str">
        <f t="shared" ca="1" si="212"/>
        <v>—</v>
      </c>
      <c r="E4495" s="16">
        <f t="shared" ca="1" si="213"/>
        <v>7</v>
      </c>
    </row>
    <row r="4496" spans="1:5" x14ac:dyDescent="0.25">
      <c r="A4496" s="3">
        <f t="shared" si="211"/>
        <v>78989</v>
      </c>
      <c r="B4496" t="str">
        <f ca="1">TEXT(DATE(YEAR(Invoer!$A$5),1,1)+INT((ROWS(B$2:B4496)-1)/24),"""18""jjmmdd")</f>
        <v>18980707</v>
      </c>
      <c r="C4496" s="11" t="str">
        <f>INDEX(Data,2,2+MOD(ROWS(C$2:C4496)-1,24))</f>
        <v>07.00</v>
      </c>
      <c r="D4496" s="8" t="str">
        <f t="shared" ca="1" si="212"/>
        <v>—</v>
      </c>
      <c r="E4496" s="16">
        <f t="shared" ca="1" si="213"/>
        <v>7</v>
      </c>
    </row>
    <row r="4497" spans="1:5" x14ac:dyDescent="0.25">
      <c r="A4497" s="3">
        <f t="shared" si="211"/>
        <v>78989</v>
      </c>
      <c r="B4497" t="str">
        <f ca="1">TEXT(DATE(YEAR(Invoer!$A$5),1,1)+INT((ROWS(B$2:B4497)-1)/24),"""18""jjmmdd")</f>
        <v>18980707</v>
      </c>
      <c r="C4497" s="11" t="str">
        <f>INDEX(Data,2,2+MOD(ROWS(C$2:C4497)-1,24))</f>
        <v>08.00</v>
      </c>
      <c r="D4497" s="8" t="str">
        <f t="shared" ca="1" si="212"/>
        <v>—</v>
      </c>
      <c r="E4497" s="16">
        <f t="shared" ca="1" si="213"/>
        <v>7</v>
      </c>
    </row>
    <row r="4498" spans="1:5" x14ac:dyDescent="0.25">
      <c r="A4498" s="3">
        <f t="shared" si="211"/>
        <v>78989</v>
      </c>
      <c r="B4498" t="str">
        <f ca="1">TEXT(DATE(YEAR(Invoer!$A$5),1,1)+INT((ROWS(B$2:B4498)-1)/24),"""18""jjmmdd")</f>
        <v>18980707</v>
      </c>
      <c r="C4498" s="11" t="str">
        <f>INDEX(Data,2,2+MOD(ROWS(C$2:C4498)-1,24))</f>
        <v>09.00</v>
      </c>
      <c r="D4498" s="8" t="str">
        <f t="shared" ca="1" si="212"/>
        <v>—</v>
      </c>
      <c r="E4498" s="16">
        <f t="shared" ca="1" si="213"/>
        <v>7</v>
      </c>
    </row>
    <row r="4499" spans="1:5" x14ac:dyDescent="0.25">
      <c r="A4499" s="3">
        <f t="shared" si="211"/>
        <v>78989</v>
      </c>
      <c r="B4499" t="str">
        <f ca="1">TEXT(DATE(YEAR(Invoer!$A$5),1,1)+INT((ROWS(B$2:B4499)-1)/24),"""18""jjmmdd")</f>
        <v>18980707</v>
      </c>
      <c r="C4499" s="11" t="str">
        <f>INDEX(Data,2,2+MOD(ROWS(C$2:C4499)-1,24))</f>
        <v>10.00</v>
      </c>
      <c r="D4499" s="8" t="str">
        <f t="shared" ca="1" si="212"/>
        <v>—</v>
      </c>
      <c r="E4499" s="16">
        <f t="shared" ca="1" si="213"/>
        <v>7</v>
      </c>
    </row>
    <row r="4500" spans="1:5" x14ac:dyDescent="0.25">
      <c r="A4500" s="3">
        <f t="shared" si="211"/>
        <v>78989</v>
      </c>
      <c r="B4500" t="str">
        <f ca="1">TEXT(DATE(YEAR(Invoer!$A$5),1,1)+INT((ROWS(B$2:B4500)-1)/24),"""18""jjmmdd")</f>
        <v>18980707</v>
      </c>
      <c r="C4500" s="11" t="str">
        <f>INDEX(Data,2,2+MOD(ROWS(C$2:C4500)-1,24))</f>
        <v>11.00</v>
      </c>
      <c r="D4500" s="8" t="str">
        <f t="shared" ca="1" si="212"/>
        <v>—</v>
      </c>
      <c r="E4500" s="16">
        <f t="shared" ca="1" si="213"/>
        <v>7</v>
      </c>
    </row>
    <row r="4501" spans="1:5" x14ac:dyDescent="0.25">
      <c r="A4501" s="3">
        <f t="shared" si="211"/>
        <v>78989</v>
      </c>
      <c r="B4501" t="str">
        <f ca="1">TEXT(DATE(YEAR(Invoer!$A$5),1,1)+INT((ROWS(B$2:B4501)-1)/24),"""18""jjmmdd")</f>
        <v>18980707</v>
      </c>
      <c r="C4501" s="11" t="str">
        <f>INDEX(Data,2,2+MOD(ROWS(C$2:C4501)-1,24))</f>
        <v>12.00</v>
      </c>
      <c r="D4501" s="8" t="str">
        <f t="shared" ca="1" si="212"/>
        <v>—</v>
      </c>
      <c r="E4501" s="16">
        <f t="shared" ca="1" si="213"/>
        <v>7</v>
      </c>
    </row>
    <row r="4502" spans="1:5" x14ac:dyDescent="0.25">
      <c r="A4502" s="3">
        <f t="shared" si="211"/>
        <v>78989</v>
      </c>
      <c r="B4502" t="str">
        <f ca="1">TEXT(DATE(YEAR(Invoer!$A$5),1,1)+INT((ROWS(B$2:B4502)-1)/24),"""18""jjmmdd")</f>
        <v>18980707</v>
      </c>
      <c r="C4502" s="11" t="str">
        <f>INDEX(Data,2,2+MOD(ROWS(C$2:C4502)-1,24))</f>
        <v>13.00</v>
      </c>
      <c r="D4502" s="8" t="str">
        <f t="shared" ca="1" si="212"/>
        <v>—</v>
      </c>
      <c r="E4502" s="16">
        <f t="shared" ca="1" si="213"/>
        <v>7</v>
      </c>
    </row>
    <row r="4503" spans="1:5" x14ac:dyDescent="0.25">
      <c r="A4503" s="3">
        <f t="shared" si="211"/>
        <v>78989</v>
      </c>
      <c r="B4503" t="str">
        <f ca="1">TEXT(DATE(YEAR(Invoer!$A$5),1,1)+INT((ROWS(B$2:B4503)-1)/24),"""18""jjmmdd")</f>
        <v>18980707</v>
      </c>
      <c r="C4503" s="11" t="str">
        <f>INDEX(Data,2,2+MOD(ROWS(C$2:C4503)-1,24))</f>
        <v>14.00</v>
      </c>
      <c r="D4503" s="8" t="str">
        <f t="shared" ca="1" si="212"/>
        <v>—</v>
      </c>
      <c r="E4503" s="16">
        <f t="shared" ca="1" si="213"/>
        <v>7</v>
      </c>
    </row>
    <row r="4504" spans="1:5" x14ac:dyDescent="0.25">
      <c r="A4504" s="3">
        <f t="shared" si="211"/>
        <v>78989</v>
      </c>
      <c r="B4504" t="str">
        <f ca="1">TEXT(DATE(YEAR(Invoer!$A$5),1,1)+INT((ROWS(B$2:B4504)-1)/24),"""18""jjmmdd")</f>
        <v>18980707</v>
      </c>
      <c r="C4504" s="11" t="str">
        <f>INDEX(Data,2,2+MOD(ROWS(C$2:C4504)-1,24))</f>
        <v>15.00</v>
      </c>
      <c r="D4504" s="8" t="str">
        <f t="shared" ca="1" si="212"/>
        <v>—</v>
      </c>
      <c r="E4504" s="16">
        <f t="shared" ca="1" si="213"/>
        <v>7</v>
      </c>
    </row>
    <row r="4505" spans="1:5" x14ac:dyDescent="0.25">
      <c r="A4505" s="3">
        <f t="shared" si="211"/>
        <v>78989</v>
      </c>
      <c r="B4505" t="str">
        <f ca="1">TEXT(DATE(YEAR(Invoer!$A$5),1,1)+INT((ROWS(B$2:B4505)-1)/24),"""18""jjmmdd")</f>
        <v>18980707</v>
      </c>
      <c r="C4505" s="11" t="str">
        <f>INDEX(Data,2,2+MOD(ROWS(C$2:C4505)-1,24))</f>
        <v>16.00</v>
      </c>
      <c r="D4505" s="8" t="str">
        <f t="shared" ca="1" si="212"/>
        <v>—</v>
      </c>
      <c r="E4505" s="16">
        <f t="shared" ca="1" si="213"/>
        <v>7</v>
      </c>
    </row>
    <row r="4506" spans="1:5" x14ac:dyDescent="0.25">
      <c r="A4506" s="3">
        <f t="shared" si="211"/>
        <v>78989</v>
      </c>
      <c r="B4506" t="str">
        <f ca="1">TEXT(DATE(YEAR(Invoer!$A$5),1,1)+INT((ROWS(B$2:B4506)-1)/24),"""18""jjmmdd")</f>
        <v>18980707</v>
      </c>
      <c r="C4506" s="11" t="str">
        <f>INDEX(Data,2,2+MOD(ROWS(C$2:C4506)-1,24))</f>
        <v>17.00</v>
      </c>
      <c r="D4506" s="8" t="str">
        <f t="shared" ca="1" si="212"/>
        <v>—</v>
      </c>
      <c r="E4506" s="16">
        <f t="shared" ca="1" si="213"/>
        <v>7</v>
      </c>
    </row>
    <row r="4507" spans="1:5" x14ac:dyDescent="0.25">
      <c r="A4507" s="3">
        <f t="shared" si="211"/>
        <v>78989</v>
      </c>
      <c r="B4507" t="str">
        <f ca="1">TEXT(DATE(YEAR(Invoer!$A$5),1,1)+INT((ROWS(B$2:B4507)-1)/24),"""18""jjmmdd")</f>
        <v>18980707</v>
      </c>
      <c r="C4507" s="11" t="str">
        <f>INDEX(Data,2,2+MOD(ROWS(C$2:C4507)-1,24))</f>
        <v>18.00</v>
      </c>
      <c r="D4507" s="8" t="str">
        <f t="shared" ca="1" si="212"/>
        <v>—</v>
      </c>
      <c r="E4507" s="16">
        <f t="shared" ca="1" si="213"/>
        <v>7</v>
      </c>
    </row>
    <row r="4508" spans="1:5" x14ac:dyDescent="0.25">
      <c r="A4508" s="3">
        <f t="shared" si="211"/>
        <v>78989</v>
      </c>
      <c r="B4508" t="str">
        <f ca="1">TEXT(DATE(YEAR(Invoer!$A$5),1,1)+INT((ROWS(B$2:B4508)-1)/24),"""18""jjmmdd")</f>
        <v>18980707</v>
      </c>
      <c r="C4508" s="11" t="str">
        <f>INDEX(Data,2,2+MOD(ROWS(C$2:C4508)-1,24))</f>
        <v>19.00</v>
      </c>
      <c r="D4508" s="8" t="str">
        <f t="shared" ca="1" si="212"/>
        <v>—</v>
      </c>
      <c r="E4508" s="16">
        <f t="shared" ca="1" si="213"/>
        <v>7</v>
      </c>
    </row>
    <row r="4509" spans="1:5" x14ac:dyDescent="0.25">
      <c r="A4509" s="3">
        <f t="shared" si="211"/>
        <v>78989</v>
      </c>
      <c r="B4509" t="str">
        <f ca="1">TEXT(DATE(YEAR(Invoer!$A$5),1,1)+INT((ROWS(B$2:B4509)-1)/24),"""18""jjmmdd")</f>
        <v>18980707</v>
      </c>
      <c r="C4509" s="11" t="str">
        <f>INDEX(Data,2,2+MOD(ROWS(C$2:C4509)-1,24))</f>
        <v>20.00</v>
      </c>
      <c r="D4509" s="8" t="str">
        <f t="shared" ca="1" si="212"/>
        <v>—</v>
      </c>
      <c r="E4509" s="16">
        <f t="shared" ca="1" si="213"/>
        <v>7</v>
      </c>
    </row>
    <row r="4510" spans="1:5" x14ac:dyDescent="0.25">
      <c r="A4510" s="3">
        <f t="shared" si="211"/>
        <v>78989</v>
      </c>
      <c r="B4510" t="str">
        <f ca="1">TEXT(DATE(YEAR(Invoer!$A$5),1,1)+INT((ROWS(B$2:B4510)-1)/24),"""18""jjmmdd")</f>
        <v>18980707</v>
      </c>
      <c r="C4510" s="11" t="str">
        <f>INDEX(Data,2,2+MOD(ROWS(C$2:C4510)-1,24))</f>
        <v>21.00</v>
      </c>
      <c r="D4510" s="8" t="str">
        <f t="shared" ca="1" si="212"/>
        <v>—</v>
      </c>
      <c r="E4510" s="16">
        <f t="shared" ca="1" si="213"/>
        <v>7</v>
      </c>
    </row>
    <row r="4511" spans="1:5" x14ac:dyDescent="0.25">
      <c r="A4511" s="3">
        <f t="shared" si="211"/>
        <v>78989</v>
      </c>
      <c r="B4511" t="str">
        <f ca="1">TEXT(DATE(YEAR(Invoer!$A$5),1,1)+INT((ROWS(B$2:B4511)-1)/24),"""18""jjmmdd")</f>
        <v>18980707</v>
      </c>
      <c r="C4511" s="11" t="str">
        <f>INDEX(Data,2,2+MOD(ROWS(C$2:C4511)-1,24))</f>
        <v>22.00</v>
      </c>
      <c r="D4511" s="8" t="str">
        <f t="shared" ca="1" si="212"/>
        <v>—</v>
      </c>
      <c r="E4511" s="16">
        <f t="shared" ca="1" si="213"/>
        <v>7</v>
      </c>
    </row>
    <row r="4512" spans="1:5" x14ac:dyDescent="0.25">
      <c r="A4512" s="3">
        <f t="shared" si="211"/>
        <v>78989</v>
      </c>
      <c r="B4512" t="str">
        <f ca="1">TEXT(DATE(YEAR(Invoer!$A$5),1,1)+INT((ROWS(B$2:B4512)-1)/24),"""18""jjmmdd")</f>
        <v>18980707</v>
      </c>
      <c r="C4512" s="11" t="str">
        <f>INDEX(Data,2,2+MOD(ROWS(C$2:C4512)-1,24))</f>
        <v>23.00</v>
      </c>
      <c r="D4512" s="8" t="str">
        <f t="shared" ca="1" si="212"/>
        <v>—</v>
      </c>
      <c r="E4512" s="16">
        <f t="shared" ca="1" si="213"/>
        <v>7</v>
      </c>
    </row>
    <row r="4513" spans="1:5" x14ac:dyDescent="0.25">
      <c r="A4513" s="3">
        <f t="shared" si="211"/>
        <v>78989</v>
      </c>
      <c r="B4513" t="str">
        <f ca="1">TEXT(DATE(YEAR(Invoer!$A$5),1,1)+INT((ROWS(B$2:B4513)-1)/24),"""18""jjmmdd")</f>
        <v>18980707</v>
      </c>
      <c r="C4513" s="11" t="str">
        <f>INDEX(Data,2,2+MOD(ROWS(C$2:C4513)-1,24))</f>
        <v>24.00</v>
      </c>
      <c r="D4513" s="8" t="str">
        <f t="shared" ca="1" si="212"/>
        <v>—</v>
      </c>
      <c r="E4513" s="16">
        <f t="shared" ca="1" si="213"/>
        <v>7</v>
      </c>
    </row>
    <row r="4514" spans="1:5" x14ac:dyDescent="0.25">
      <c r="A4514" s="3">
        <f t="shared" si="211"/>
        <v>78989</v>
      </c>
      <c r="B4514" t="str">
        <f ca="1">TEXT(DATE(YEAR(Invoer!$A$5),1,1)+INT((ROWS(B$2:B4514)-1)/24),"""18""jjmmdd")</f>
        <v>18980708</v>
      </c>
      <c r="C4514" s="11" t="str">
        <f>INDEX(Data,2,2+MOD(ROWS(C$2:C4514)-1,24))</f>
        <v>01.00</v>
      </c>
      <c r="D4514" s="8" t="str">
        <f t="shared" ca="1" si="212"/>
        <v>—</v>
      </c>
      <c r="E4514" s="16">
        <f t="shared" ca="1" si="213"/>
        <v>7</v>
      </c>
    </row>
    <row r="4515" spans="1:5" x14ac:dyDescent="0.25">
      <c r="A4515" s="3">
        <f t="shared" si="211"/>
        <v>78989</v>
      </c>
      <c r="B4515" t="str">
        <f ca="1">TEXT(DATE(YEAR(Invoer!$A$5),1,1)+INT((ROWS(B$2:B4515)-1)/24),"""18""jjmmdd")</f>
        <v>18980708</v>
      </c>
      <c r="C4515" s="11" t="str">
        <f>INDEX(Data,2,2+MOD(ROWS(C$2:C4515)-1,24))</f>
        <v>02.00</v>
      </c>
      <c r="D4515" s="8" t="str">
        <f t="shared" ca="1" si="212"/>
        <v>—</v>
      </c>
      <c r="E4515" s="16">
        <f t="shared" ca="1" si="213"/>
        <v>7</v>
      </c>
    </row>
    <row r="4516" spans="1:5" x14ac:dyDescent="0.25">
      <c r="A4516" s="3">
        <f t="shared" si="211"/>
        <v>78989</v>
      </c>
      <c r="B4516" t="str">
        <f ca="1">TEXT(DATE(YEAR(Invoer!$A$5),1,1)+INT((ROWS(B$2:B4516)-1)/24),"""18""jjmmdd")</f>
        <v>18980708</v>
      </c>
      <c r="C4516" s="11" t="str">
        <f>INDEX(Data,2,2+MOD(ROWS(C$2:C4516)-1,24))</f>
        <v>03.00</v>
      </c>
      <c r="D4516" s="8" t="str">
        <f t="shared" ca="1" si="212"/>
        <v>—</v>
      </c>
      <c r="E4516" s="16">
        <f t="shared" ca="1" si="213"/>
        <v>7</v>
      </c>
    </row>
    <row r="4517" spans="1:5" x14ac:dyDescent="0.25">
      <c r="A4517" s="3">
        <f t="shared" si="211"/>
        <v>78989</v>
      </c>
      <c r="B4517" t="str">
        <f ca="1">TEXT(DATE(YEAR(Invoer!$A$5),1,1)+INT((ROWS(B$2:B4517)-1)/24),"""18""jjmmdd")</f>
        <v>18980708</v>
      </c>
      <c r="C4517" s="11" t="str">
        <f>INDEX(Data,2,2+MOD(ROWS(C$2:C4517)-1,24))</f>
        <v>04.00</v>
      </c>
      <c r="D4517" s="8" t="str">
        <f t="shared" ca="1" si="212"/>
        <v>—</v>
      </c>
      <c r="E4517" s="16">
        <f t="shared" ca="1" si="213"/>
        <v>7</v>
      </c>
    </row>
    <row r="4518" spans="1:5" x14ac:dyDescent="0.25">
      <c r="A4518" s="3">
        <f t="shared" si="211"/>
        <v>78989</v>
      </c>
      <c r="B4518" t="str">
        <f ca="1">TEXT(DATE(YEAR(Invoer!$A$5),1,1)+INT((ROWS(B$2:B4518)-1)/24),"""18""jjmmdd")</f>
        <v>18980708</v>
      </c>
      <c r="C4518" s="11" t="str">
        <f>INDEX(Data,2,2+MOD(ROWS(C$2:C4518)-1,24))</f>
        <v>05.00</v>
      </c>
      <c r="D4518" s="8" t="str">
        <f t="shared" ca="1" si="212"/>
        <v>—</v>
      </c>
      <c r="E4518" s="16">
        <f t="shared" ca="1" si="213"/>
        <v>7</v>
      </c>
    </row>
    <row r="4519" spans="1:5" x14ac:dyDescent="0.25">
      <c r="A4519" s="3">
        <f t="shared" si="211"/>
        <v>78989</v>
      </c>
      <c r="B4519" t="str">
        <f ca="1">TEXT(DATE(YEAR(Invoer!$A$5),1,1)+INT((ROWS(B$2:B4519)-1)/24),"""18""jjmmdd")</f>
        <v>18980708</v>
      </c>
      <c r="C4519" s="11" t="str">
        <f>INDEX(Data,2,2+MOD(ROWS(C$2:C4519)-1,24))</f>
        <v>06.00</v>
      </c>
      <c r="D4519" s="8" t="str">
        <f t="shared" ca="1" si="212"/>
        <v>—</v>
      </c>
      <c r="E4519" s="16">
        <f t="shared" ca="1" si="213"/>
        <v>7</v>
      </c>
    </row>
    <row r="4520" spans="1:5" x14ac:dyDescent="0.25">
      <c r="A4520" s="3">
        <f t="shared" si="211"/>
        <v>78989</v>
      </c>
      <c r="B4520" t="str">
        <f ca="1">TEXT(DATE(YEAR(Invoer!$A$5),1,1)+INT((ROWS(B$2:B4520)-1)/24),"""18""jjmmdd")</f>
        <v>18980708</v>
      </c>
      <c r="C4520" s="11" t="str">
        <f>INDEX(Data,2,2+MOD(ROWS(C$2:C4520)-1,24))</f>
        <v>07.00</v>
      </c>
      <c r="D4520" s="8" t="str">
        <f t="shared" ca="1" si="212"/>
        <v>—</v>
      </c>
      <c r="E4520" s="16">
        <f t="shared" ca="1" si="213"/>
        <v>7</v>
      </c>
    </row>
    <row r="4521" spans="1:5" x14ac:dyDescent="0.25">
      <c r="A4521" s="3">
        <f t="shared" si="211"/>
        <v>78989</v>
      </c>
      <c r="B4521" t="str">
        <f ca="1">TEXT(DATE(YEAR(Invoer!$A$5),1,1)+INT((ROWS(B$2:B4521)-1)/24),"""18""jjmmdd")</f>
        <v>18980708</v>
      </c>
      <c r="C4521" s="11" t="str">
        <f>INDEX(Data,2,2+MOD(ROWS(C$2:C4521)-1,24))</f>
        <v>08.00</v>
      </c>
      <c r="D4521" s="8" t="str">
        <f t="shared" ca="1" si="212"/>
        <v>—</v>
      </c>
      <c r="E4521" s="16">
        <f t="shared" ca="1" si="213"/>
        <v>7</v>
      </c>
    </row>
    <row r="4522" spans="1:5" x14ac:dyDescent="0.25">
      <c r="A4522" s="3">
        <f t="shared" si="211"/>
        <v>78989</v>
      </c>
      <c r="B4522" t="str">
        <f ca="1">TEXT(DATE(YEAR(Invoer!$A$5),1,1)+INT((ROWS(B$2:B4522)-1)/24),"""18""jjmmdd")</f>
        <v>18980708</v>
      </c>
      <c r="C4522" s="11" t="str">
        <f>INDEX(Data,2,2+MOD(ROWS(C$2:C4522)-1,24))</f>
        <v>09.00</v>
      </c>
      <c r="D4522" s="8" t="str">
        <f t="shared" ca="1" si="212"/>
        <v>—</v>
      </c>
      <c r="E4522" s="16">
        <f t="shared" ca="1" si="213"/>
        <v>7</v>
      </c>
    </row>
    <row r="4523" spans="1:5" x14ac:dyDescent="0.25">
      <c r="A4523" s="3">
        <f t="shared" si="211"/>
        <v>78989</v>
      </c>
      <c r="B4523" t="str">
        <f ca="1">TEXT(DATE(YEAR(Invoer!$A$5),1,1)+INT((ROWS(B$2:B4523)-1)/24),"""18""jjmmdd")</f>
        <v>18980708</v>
      </c>
      <c r="C4523" s="11" t="str">
        <f>INDEX(Data,2,2+MOD(ROWS(C$2:C4523)-1,24))</f>
        <v>10.00</v>
      </c>
      <c r="D4523" s="8" t="str">
        <f t="shared" ca="1" si="212"/>
        <v>—</v>
      </c>
      <c r="E4523" s="16">
        <f t="shared" ca="1" si="213"/>
        <v>7</v>
      </c>
    </row>
    <row r="4524" spans="1:5" x14ac:dyDescent="0.25">
      <c r="A4524" s="3">
        <f t="shared" si="211"/>
        <v>78989</v>
      </c>
      <c r="B4524" t="str">
        <f ca="1">TEXT(DATE(YEAR(Invoer!$A$5),1,1)+INT((ROWS(B$2:B4524)-1)/24),"""18""jjmmdd")</f>
        <v>18980708</v>
      </c>
      <c r="C4524" s="11" t="str">
        <f>INDEX(Data,2,2+MOD(ROWS(C$2:C4524)-1,24))</f>
        <v>11.00</v>
      </c>
      <c r="D4524" s="8" t="str">
        <f t="shared" ca="1" si="212"/>
        <v>—</v>
      </c>
      <c r="E4524" s="16">
        <f t="shared" ca="1" si="213"/>
        <v>7</v>
      </c>
    </row>
    <row r="4525" spans="1:5" x14ac:dyDescent="0.25">
      <c r="A4525" s="3">
        <f t="shared" si="211"/>
        <v>78989</v>
      </c>
      <c r="B4525" t="str">
        <f ca="1">TEXT(DATE(YEAR(Invoer!$A$5),1,1)+INT((ROWS(B$2:B4525)-1)/24),"""18""jjmmdd")</f>
        <v>18980708</v>
      </c>
      <c r="C4525" s="11" t="str">
        <f>INDEX(Data,2,2+MOD(ROWS(C$2:C4525)-1,24))</f>
        <v>12.00</v>
      </c>
      <c r="D4525" s="8" t="str">
        <f t="shared" ca="1" si="212"/>
        <v>—</v>
      </c>
      <c r="E4525" s="16">
        <f t="shared" ca="1" si="213"/>
        <v>7</v>
      </c>
    </row>
    <row r="4526" spans="1:5" x14ac:dyDescent="0.25">
      <c r="A4526" s="3">
        <f t="shared" si="211"/>
        <v>78989</v>
      </c>
      <c r="B4526" t="str">
        <f ca="1">TEXT(DATE(YEAR(Invoer!$A$5),1,1)+INT((ROWS(B$2:B4526)-1)/24),"""18""jjmmdd")</f>
        <v>18980708</v>
      </c>
      <c r="C4526" s="11" t="str">
        <f>INDEX(Data,2,2+MOD(ROWS(C$2:C4526)-1,24))</f>
        <v>13.00</v>
      </c>
      <c r="D4526" s="8" t="str">
        <f t="shared" ca="1" si="212"/>
        <v>—</v>
      </c>
      <c r="E4526" s="16">
        <f t="shared" ca="1" si="213"/>
        <v>7</v>
      </c>
    </row>
    <row r="4527" spans="1:5" x14ac:dyDescent="0.25">
      <c r="A4527" s="3">
        <f t="shared" si="211"/>
        <v>78989</v>
      </c>
      <c r="B4527" t="str">
        <f ca="1">TEXT(DATE(YEAR(Invoer!$A$5),1,1)+INT((ROWS(B$2:B4527)-1)/24),"""18""jjmmdd")</f>
        <v>18980708</v>
      </c>
      <c r="C4527" s="11" t="str">
        <f>INDEX(Data,2,2+MOD(ROWS(C$2:C4527)-1,24))</f>
        <v>14.00</v>
      </c>
      <c r="D4527" s="8" t="str">
        <f t="shared" ca="1" si="212"/>
        <v>—</v>
      </c>
      <c r="E4527" s="16">
        <f t="shared" ca="1" si="213"/>
        <v>7</v>
      </c>
    </row>
    <row r="4528" spans="1:5" x14ac:dyDescent="0.25">
      <c r="A4528" s="3">
        <f t="shared" si="211"/>
        <v>78989</v>
      </c>
      <c r="B4528" t="str">
        <f ca="1">TEXT(DATE(YEAR(Invoer!$A$5),1,1)+INT((ROWS(B$2:B4528)-1)/24),"""18""jjmmdd")</f>
        <v>18980708</v>
      </c>
      <c r="C4528" s="11" t="str">
        <f>INDEX(Data,2,2+MOD(ROWS(C$2:C4528)-1,24))</f>
        <v>15.00</v>
      </c>
      <c r="D4528" s="8" t="str">
        <f t="shared" ca="1" si="212"/>
        <v>—</v>
      </c>
      <c r="E4528" s="16">
        <f t="shared" ca="1" si="213"/>
        <v>7</v>
      </c>
    </row>
    <row r="4529" spans="1:5" x14ac:dyDescent="0.25">
      <c r="A4529" s="3">
        <f t="shared" si="211"/>
        <v>78989</v>
      </c>
      <c r="B4529" t="str">
        <f ca="1">TEXT(DATE(YEAR(Invoer!$A$5),1,1)+INT((ROWS(B$2:B4529)-1)/24),"""18""jjmmdd")</f>
        <v>18980708</v>
      </c>
      <c r="C4529" s="11" t="str">
        <f>INDEX(Data,2,2+MOD(ROWS(C$2:C4529)-1,24))</f>
        <v>16.00</v>
      </c>
      <c r="D4529" s="8" t="str">
        <f t="shared" ca="1" si="212"/>
        <v>—</v>
      </c>
      <c r="E4529" s="16">
        <f t="shared" ca="1" si="213"/>
        <v>7</v>
      </c>
    </row>
    <row r="4530" spans="1:5" x14ac:dyDescent="0.25">
      <c r="A4530" s="3">
        <f t="shared" si="211"/>
        <v>78989</v>
      </c>
      <c r="B4530" t="str">
        <f ca="1">TEXT(DATE(YEAR(Invoer!$A$5),1,1)+INT((ROWS(B$2:B4530)-1)/24),"""18""jjmmdd")</f>
        <v>18980708</v>
      </c>
      <c r="C4530" s="11" t="str">
        <f>INDEX(Data,2,2+MOD(ROWS(C$2:C4530)-1,24))</f>
        <v>17.00</v>
      </c>
      <c r="D4530" s="8" t="str">
        <f t="shared" ca="1" si="212"/>
        <v>—</v>
      </c>
      <c r="E4530" s="16">
        <f t="shared" ca="1" si="213"/>
        <v>7</v>
      </c>
    </row>
    <row r="4531" spans="1:5" x14ac:dyDescent="0.25">
      <c r="A4531" s="3">
        <f t="shared" si="211"/>
        <v>78989</v>
      </c>
      <c r="B4531" t="str">
        <f ca="1">TEXT(DATE(YEAR(Invoer!$A$5),1,1)+INT((ROWS(B$2:B4531)-1)/24),"""18""jjmmdd")</f>
        <v>18980708</v>
      </c>
      <c r="C4531" s="11" t="str">
        <f>INDEX(Data,2,2+MOD(ROWS(C$2:C4531)-1,24))</f>
        <v>18.00</v>
      </c>
      <c r="D4531" s="8" t="str">
        <f t="shared" ca="1" si="212"/>
        <v>—</v>
      </c>
      <c r="E4531" s="16">
        <f t="shared" ca="1" si="213"/>
        <v>7</v>
      </c>
    </row>
    <row r="4532" spans="1:5" x14ac:dyDescent="0.25">
      <c r="A4532" s="3">
        <f t="shared" si="211"/>
        <v>78989</v>
      </c>
      <c r="B4532" t="str">
        <f ca="1">TEXT(DATE(YEAR(Invoer!$A$5),1,1)+INT((ROWS(B$2:B4532)-1)/24),"""18""jjmmdd")</f>
        <v>18980708</v>
      </c>
      <c r="C4532" s="11" t="str">
        <f>INDEX(Data,2,2+MOD(ROWS(C$2:C4532)-1,24))</f>
        <v>19.00</v>
      </c>
      <c r="D4532" s="8" t="str">
        <f t="shared" ca="1" si="212"/>
        <v>—</v>
      </c>
      <c r="E4532" s="16">
        <f t="shared" ca="1" si="213"/>
        <v>7</v>
      </c>
    </row>
    <row r="4533" spans="1:5" x14ac:dyDescent="0.25">
      <c r="A4533" s="3">
        <f t="shared" si="211"/>
        <v>78989</v>
      </c>
      <c r="B4533" t="str">
        <f ca="1">TEXT(DATE(YEAR(Invoer!$A$5),1,1)+INT((ROWS(B$2:B4533)-1)/24),"""18""jjmmdd")</f>
        <v>18980708</v>
      </c>
      <c r="C4533" s="11" t="str">
        <f>INDEX(Data,2,2+MOD(ROWS(C$2:C4533)-1,24))</f>
        <v>20.00</v>
      </c>
      <c r="D4533" s="8" t="str">
        <f t="shared" ca="1" si="212"/>
        <v>—</v>
      </c>
      <c r="E4533" s="16">
        <f t="shared" ca="1" si="213"/>
        <v>7</v>
      </c>
    </row>
    <row r="4534" spans="1:5" x14ac:dyDescent="0.25">
      <c r="A4534" s="3">
        <f t="shared" si="211"/>
        <v>78989</v>
      </c>
      <c r="B4534" t="str">
        <f ca="1">TEXT(DATE(YEAR(Invoer!$A$5),1,1)+INT((ROWS(B$2:B4534)-1)/24),"""18""jjmmdd")</f>
        <v>18980708</v>
      </c>
      <c r="C4534" s="11" t="str">
        <f>INDEX(Data,2,2+MOD(ROWS(C$2:C4534)-1,24))</f>
        <v>21.00</v>
      </c>
      <c r="D4534" s="8" t="str">
        <f t="shared" ca="1" si="212"/>
        <v>—</v>
      </c>
      <c r="E4534" s="16">
        <f t="shared" ca="1" si="213"/>
        <v>7</v>
      </c>
    </row>
    <row r="4535" spans="1:5" x14ac:dyDescent="0.25">
      <c r="A4535" s="3">
        <f t="shared" si="211"/>
        <v>78989</v>
      </c>
      <c r="B4535" t="str">
        <f ca="1">TEXT(DATE(YEAR(Invoer!$A$5),1,1)+INT((ROWS(B$2:B4535)-1)/24),"""18""jjmmdd")</f>
        <v>18980708</v>
      </c>
      <c r="C4535" s="11" t="str">
        <f>INDEX(Data,2,2+MOD(ROWS(C$2:C4535)-1,24))</f>
        <v>22.00</v>
      </c>
      <c r="D4535" s="8" t="str">
        <f t="shared" ca="1" si="212"/>
        <v>—</v>
      </c>
      <c r="E4535" s="16">
        <f t="shared" ca="1" si="213"/>
        <v>7</v>
      </c>
    </row>
    <row r="4536" spans="1:5" x14ac:dyDescent="0.25">
      <c r="A4536" s="3">
        <f t="shared" si="211"/>
        <v>78989</v>
      </c>
      <c r="B4536" t="str">
        <f ca="1">TEXT(DATE(YEAR(Invoer!$A$5),1,1)+INT((ROWS(B$2:B4536)-1)/24),"""18""jjmmdd")</f>
        <v>18980708</v>
      </c>
      <c r="C4536" s="11" t="str">
        <f>INDEX(Data,2,2+MOD(ROWS(C$2:C4536)-1,24))</f>
        <v>23.00</v>
      </c>
      <c r="D4536" s="8" t="str">
        <f t="shared" ca="1" si="212"/>
        <v>—</v>
      </c>
      <c r="E4536" s="16">
        <f t="shared" ca="1" si="213"/>
        <v>7</v>
      </c>
    </row>
    <row r="4537" spans="1:5" x14ac:dyDescent="0.25">
      <c r="A4537" s="3">
        <f t="shared" si="211"/>
        <v>78989</v>
      </c>
      <c r="B4537" t="str">
        <f ca="1">TEXT(DATE(YEAR(Invoer!$A$5),1,1)+INT((ROWS(B$2:B4537)-1)/24),"""18""jjmmdd")</f>
        <v>18980708</v>
      </c>
      <c r="C4537" s="11" t="str">
        <f>INDEX(Data,2,2+MOD(ROWS(C$2:C4537)-1,24))</f>
        <v>24.00</v>
      </c>
      <c r="D4537" s="8" t="str">
        <f t="shared" ca="1" si="212"/>
        <v>—</v>
      </c>
      <c r="E4537" s="16">
        <f t="shared" ca="1" si="213"/>
        <v>7</v>
      </c>
    </row>
    <row r="4538" spans="1:5" x14ac:dyDescent="0.25">
      <c r="A4538" s="3">
        <f t="shared" si="211"/>
        <v>78989</v>
      </c>
      <c r="B4538" t="str">
        <f ca="1">TEXT(DATE(YEAR(Invoer!$A$5),1,1)+INT((ROWS(B$2:B4538)-1)/24),"""18""jjmmdd")</f>
        <v>18980709</v>
      </c>
      <c r="C4538" s="11" t="str">
        <f>INDEX(Data,2,2+MOD(ROWS(C$2:C4538)-1,24))</f>
        <v>01.00</v>
      </c>
      <c r="D4538" s="8" t="str">
        <f t="shared" ca="1" si="212"/>
        <v>—</v>
      </c>
      <c r="E4538" s="16">
        <f t="shared" ca="1" si="213"/>
        <v>7</v>
      </c>
    </row>
    <row r="4539" spans="1:5" x14ac:dyDescent="0.25">
      <c r="A4539" s="3">
        <f t="shared" si="211"/>
        <v>78989</v>
      </c>
      <c r="B4539" t="str">
        <f ca="1">TEXT(DATE(YEAR(Invoer!$A$5),1,1)+INT((ROWS(B$2:B4539)-1)/24),"""18""jjmmdd")</f>
        <v>18980709</v>
      </c>
      <c r="C4539" s="11" t="str">
        <f>INDEX(Data,2,2+MOD(ROWS(C$2:C4539)-1,24))</f>
        <v>02.00</v>
      </c>
      <c r="D4539" s="8" t="str">
        <f t="shared" ca="1" si="212"/>
        <v>—</v>
      </c>
      <c r="E4539" s="16">
        <f t="shared" ca="1" si="213"/>
        <v>7</v>
      </c>
    </row>
    <row r="4540" spans="1:5" x14ac:dyDescent="0.25">
      <c r="A4540" s="3">
        <f t="shared" si="211"/>
        <v>78989</v>
      </c>
      <c r="B4540" t="str">
        <f ca="1">TEXT(DATE(YEAR(Invoer!$A$5),1,1)+INT((ROWS(B$2:B4540)-1)/24),"""18""jjmmdd")</f>
        <v>18980709</v>
      </c>
      <c r="C4540" s="11" t="str">
        <f>INDEX(Data,2,2+MOD(ROWS(C$2:C4540)-1,24))</f>
        <v>03.00</v>
      </c>
      <c r="D4540" s="8" t="str">
        <f t="shared" ca="1" si="212"/>
        <v>—</v>
      </c>
      <c r="E4540" s="16">
        <f t="shared" ca="1" si="213"/>
        <v>7</v>
      </c>
    </row>
    <row r="4541" spans="1:5" x14ac:dyDescent="0.25">
      <c r="A4541" s="3">
        <f t="shared" si="211"/>
        <v>78989</v>
      </c>
      <c r="B4541" t="str">
        <f ca="1">TEXT(DATE(YEAR(Invoer!$A$5),1,1)+INT((ROWS(B$2:B4541)-1)/24),"""18""jjmmdd")</f>
        <v>18980709</v>
      </c>
      <c r="C4541" s="11" t="str">
        <f>INDEX(Data,2,2+MOD(ROWS(C$2:C4541)-1,24))</f>
        <v>04.00</v>
      </c>
      <c r="D4541" s="8" t="str">
        <f t="shared" ca="1" si="212"/>
        <v>—</v>
      </c>
      <c r="E4541" s="16">
        <f t="shared" ca="1" si="213"/>
        <v>7</v>
      </c>
    </row>
    <row r="4542" spans="1:5" x14ac:dyDescent="0.25">
      <c r="A4542" s="3">
        <f t="shared" si="211"/>
        <v>78989</v>
      </c>
      <c r="B4542" t="str">
        <f ca="1">TEXT(DATE(YEAR(Invoer!$A$5),1,1)+INT((ROWS(B$2:B4542)-1)/24),"""18""jjmmdd")</f>
        <v>18980709</v>
      </c>
      <c r="C4542" s="11" t="str">
        <f>INDEX(Data,2,2+MOD(ROWS(C$2:C4542)-1,24))</f>
        <v>05.00</v>
      </c>
      <c r="D4542" s="8" t="str">
        <f t="shared" ca="1" si="212"/>
        <v>—</v>
      </c>
      <c r="E4542" s="16">
        <f t="shared" ca="1" si="213"/>
        <v>7</v>
      </c>
    </row>
    <row r="4543" spans="1:5" x14ac:dyDescent="0.25">
      <c r="A4543" s="3">
        <f t="shared" si="211"/>
        <v>78989</v>
      </c>
      <c r="B4543" t="str">
        <f ca="1">TEXT(DATE(YEAR(Invoer!$A$5),1,1)+INT((ROWS(B$2:B4543)-1)/24),"""18""jjmmdd")</f>
        <v>18980709</v>
      </c>
      <c r="C4543" s="11" t="str">
        <f>INDEX(Data,2,2+MOD(ROWS(C$2:C4543)-1,24))</f>
        <v>06.00</v>
      </c>
      <c r="D4543" s="8" t="str">
        <f t="shared" ca="1" si="212"/>
        <v>—</v>
      </c>
      <c r="E4543" s="16">
        <f t="shared" ca="1" si="213"/>
        <v>7</v>
      </c>
    </row>
    <row r="4544" spans="1:5" x14ac:dyDescent="0.25">
      <c r="A4544" s="3">
        <f t="shared" si="211"/>
        <v>78989</v>
      </c>
      <c r="B4544" t="str">
        <f ca="1">TEXT(DATE(YEAR(Invoer!$A$5),1,1)+INT((ROWS(B$2:B4544)-1)/24),"""18""jjmmdd")</f>
        <v>18980709</v>
      </c>
      <c r="C4544" s="11" t="str">
        <f>INDEX(Data,2,2+MOD(ROWS(C$2:C4544)-1,24))</f>
        <v>07.00</v>
      </c>
      <c r="D4544" s="8" t="str">
        <f t="shared" ca="1" si="212"/>
        <v>—</v>
      </c>
      <c r="E4544" s="16">
        <f t="shared" ca="1" si="213"/>
        <v>7</v>
      </c>
    </row>
    <row r="4545" spans="1:5" x14ac:dyDescent="0.25">
      <c r="A4545" s="3">
        <f t="shared" si="211"/>
        <v>78989</v>
      </c>
      <c r="B4545" t="str">
        <f ca="1">TEXT(DATE(YEAR(Invoer!$A$5),1,1)+INT((ROWS(B$2:B4545)-1)/24),"""18""jjmmdd")</f>
        <v>18980709</v>
      </c>
      <c r="C4545" s="11" t="str">
        <f>INDEX(Data,2,2+MOD(ROWS(C$2:C4545)-1,24))</f>
        <v>08.00</v>
      </c>
      <c r="D4545" s="8" t="str">
        <f t="shared" ca="1" si="212"/>
        <v>—</v>
      </c>
      <c r="E4545" s="16">
        <f t="shared" ca="1" si="213"/>
        <v>7</v>
      </c>
    </row>
    <row r="4546" spans="1:5" x14ac:dyDescent="0.25">
      <c r="A4546" s="3">
        <f t="shared" ref="A4546:A4609" si="214">INDEX(Stations,2,1)</f>
        <v>78989</v>
      </c>
      <c r="B4546" t="str">
        <f ca="1">TEXT(DATE(YEAR(Invoer!$A$5),1,1)+INT((ROWS(B$2:B4546)-1)/24),"""18""jjmmdd")</f>
        <v>18980709</v>
      </c>
      <c r="C4546" s="11" t="str">
        <f>INDEX(Data,2,2+MOD(ROWS(C$2:C4546)-1,24))</f>
        <v>09.00</v>
      </c>
      <c r="D4546" s="8" t="str">
        <f t="shared" ref="D4546:D4609" ca="1" si="215">IF(OR(ISBLANK(VLOOKUP(DATEVALUE("37"&amp;MID($B4546,3,2)&amp;"-"&amp;MID($B4546,5,2)&amp;"-"&amp;RIGHT($B4546,2)),Data,MATCH(LEFT(VLOOKUP(D$1,Parameters,2,FALSE()),4)&amp;"*",OFFSET(Data,0,0,1),0)+MATCH($C4546,OFFSET(Data,1,0,1),0)-2,FALSE())),ISTEXT(VLOOKUP(DATEVALUE("37"&amp;MID($B4546,3,2)&amp;"-"&amp;MID($B4546,5,2)&amp;"-"&amp;RIGHT($B4546,2)),Data,MATCH(LEFT(VLOOKUP(D$1,Parameters,2,FALSE()),4)&amp;"*",OFFSET(Data,0,0,1),0)+MATCH($C4546,OFFSET(Data,1,0,1),0)-2,FALSE()))),"—",VLOOKUP(DATEVALUE("37"&amp;MID($B4546,3,2)&amp;"-"&amp;MID($B4546,5,2)&amp;"-"&amp;RIGHT($B4546,2)),Data,MATCH(LEFT(VLOOKUP(D$1,Parameters,2,FALSE()),4)&amp;"*",OFFSET(Data,0,0,1),0)+MATCH($C4546,OFFSET(Data,1,0,1),0)-2,FALSE()))</f>
        <v>—</v>
      </c>
      <c r="E4546" s="16">
        <f t="shared" ca="1" si="213"/>
        <v>7</v>
      </c>
    </row>
    <row r="4547" spans="1:5" x14ac:dyDescent="0.25">
      <c r="A4547" s="3">
        <f t="shared" si="214"/>
        <v>78989</v>
      </c>
      <c r="B4547" t="str">
        <f ca="1">TEXT(DATE(YEAR(Invoer!$A$5),1,1)+INT((ROWS(B$2:B4547)-1)/24),"""18""jjmmdd")</f>
        <v>18980709</v>
      </c>
      <c r="C4547" s="11" t="str">
        <f>INDEX(Data,2,2+MOD(ROWS(C$2:C4547)-1,24))</f>
        <v>10.00</v>
      </c>
      <c r="D4547" s="8" t="str">
        <f t="shared" ca="1" si="215"/>
        <v>—</v>
      </c>
      <c r="E4547" s="16">
        <f t="shared" ref="E4547:E4610" ca="1" si="216">IF(OR(ISBLANK(VLOOKUP(DATEVALUE("37"&amp;MID($B4547,3,2)&amp;"-"&amp;MID($B4547,5,2)&amp;"-"&amp;RIGHT($B4547,2)),Data,MATCH(LEFT(VLOOKUP(D$1,Parameters,2,FALSE()),4)&amp;"*",OFFSET(Data,0,0,1),0)+MATCH($C4547,OFFSET(Data,1,0,1),0)-2,FALSE())),ISTEXT(VLOOKUP(DATEVALUE("37"&amp;MID($B4547,3,2)&amp;"-"&amp;MID($B4547,5,2)&amp;"-"&amp;RIGHT($B4547,2)),Data,MATCH(LEFT(VLOOKUP(D$1,Parameters,2,FALSE()),4)&amp;"*",OFFSET(Data,0,0,1),0)+MATCH($C4547,OFFSET(Data,1,0,1),0)-2,FALSE()))),Lacking,IF(ISNA(MATCH(DATEVALUE("37"&amp;MID($B4547,3,2)&amp;"-"&amp;MID($B4547,5,2)&amp;"-"&amp;RIGHT($B4547,2)),OFFSET(Catalogus,0,0,,1),0)),Ok,VLOOKUP(DATEVALUE("37"&amp;MID($B4547,3,2)&amp;"-"&amp;MID($B4547,5,2)&amp;"-"&amp;RIGHT($B4547,2)),Catalogus,MATCH(LEFT(VLOOKUP(MID(E$1,2,LEN(E$1)-1),Parameters,2,FALSE()),4)&amp;"*",OFFSET(Catalogus,0,0,1),0)+MATCH($C4547,OFFSET(Catalogus,1,0,1),0)-2,FALSE())))</f>
        <v>7</v>
      </c>
    </row>
    <row r="4548" spans="1:5" x14ac:dyDescent="0.25">
      <c r="A4548" s="3">
        <f t="shared" si="214"/>
        <v>78989</v>
      </c>
      <c r="B4548" t="str">
        <f ca="1">TEXT(DATE(YEAR(Invoer!$A$5),1,1)+INT((ROWS(B$2:B4548)-1)/24),"""18""jjmmdd")</f>
        <v>18980709</v>
      </c>
      <c r="C4548" s="11" t="str">
        <f>INDEX(Data,2,2+MOD(ROWS(C$2:C4548)-1,24))</f>
        <v>11.00</v>
      </c>
      <c r="D4548" s="8" t="str">
        <f t="shared" ca="1" si="215"/>
        <v>—</v>
      </c>
      <c r="E4548" s="16">
        <f t="shared" ca="1" si="216"/>
        <v>7</v>
      </c>
    </row>
    <row r="4549" spans="1:5" x14ac:dyDescent="0.25">
      <c r="A4549" s="3">
        <f t="shared" si="214"/>
        <v>78989</v>
      </c>
      <c r="B4549" t="str">
        <f ca="1">TEXT(DATE(YEAR(Invoer!$A$5),1,1)+INT((ROWS(B$2:B4549)-1)/24),"""18""jjmmdd")</f>
        <v>18980709</v>
      </c>
      <c r="C4549" s="11" t="str">
        <f>INDEX(Data,2,2+MOD(ROWS(C$2:C4549)-1,24))</f>
        <v>12.00</v>
      </c>
      <c r="D4549" s="8" t="str">
        <f t="shared" ca="1" si="215"/>
        <v>—</v>
      </c>
      <c r="E4549" s="16">
        <f t="shared" ca="1" si="216"/>
        <v>7</v>
      </c>
    </row>
    <row r="4550" spans="1:5" x14ac:dyDescent="0.25">
      <c r="A4550" s="3">
        <f t="shared" si="214"/>
        <v>78989</v>
      </c>
      <c r="B4550" t="str">
        <f ca="1">TEXT(DATE(YEAR(Invoer!$A$5),1,1)+INT((ROWS(B$2:B4550)-1)/24),"""18""jjmmdd")</f>
        <v>18980709</v>
      </c>
      <c r="C4550" s="11" t="str">
        <f>INDEX(Data,2,2+MOD(ROWS(C$2:C4550)-1,24))</f>
        <v>13.00</v>
      </c>
      <c r="D4550" s="8" t="str">
        <f t="shared" ca="1" si="215"/>
        <v>—</v>
      </c>
      <c r="E4550" s="16">
        <f t="shared" ca="1" si="216"/>
        <v>7</v>
      </c>
    </row>
    <row r="4551" spans="1:5" x14ac:dyDescent="0.25">
      <c r="A4551" s="3">
        <f t="shared" si="214"/>
        <v>78989</v>
      </c>
      <c r="B4551" t="str">
        <f ca="1">TEXT(DATE(YEAR(Invoer!$A$5),1,1)+INT((ROWS(B$2:B4551)-1)/24),"""18""jjmmdd")</f>
        <v>18980709</v>
      </c>
      <c r="C4551" s="11" t="str">
        <f>INDEX(Data,2,2+MOD(ROWS(C$2:C4551)-1,24))</f>
        <v>14.00</v>
      </c>
      <c r="D4551" s="8" t="str">
        <f t="shared" ca="1" si="215"/>
        <v>—</v>
      </c>
      <c r="E4551" s="16">
        <f t="shared" ca="1" si="216"/>
        <v>7</v>
      </c>
    </row>
    <row r="4552" spans="1:5" x14ac:dyDescent="0.25">
      <c r="A4552" s="3">
        <f t="shared" si="214"/>
        <v>78989</v>
      </c>
      <c r="B4552" t="str">
        <f ca="1">TEXT(DATE(YEAR(Invoer!$A$5),1,1)+INT((ROWS(B$2:B4552)-1)/24),"""18""jjmmdd")</f>
        <v>18980709</v>
      </c>
      <c r="C4552" s="11" t="str">
        <f>INDEX(Data,2,2+MOD(ROWS(C$2:C4552)-1,24))</f>
        <v>15.00</v>
      </c>
      <c r="D4552" s="8" t="str">
        <f t="shared" ca="1" si="215"/>
        <v>—</v>
      </c>
      <c r="E4552" s="16">
        <f t="shared" ca="1" si="216"/>
        <v>7</v>
      </c>
    </row>
    <row r="4553" spans="1:5" x14ac:dyDescent="0.25">
      <c r="A4553" s="3">
        <f t="shared" si="214"/>
        <v>78989</v>
      </c>
      <c r="B4553" t="str">
        <f ca="1">TEXT(DATE(YEAR(Invoer!$A$5),1,1)+INT((ROWS(B$2:B4553)-1)/24),"""18""jjmmdd")</f>
        <v>18980709</v>
      </c>
      <c r="C4553" s="11" t="str">
        <f>INDEX(Data,2,2+MOD(ROWS(C$2:C4553)-1,24))</f>
        <v>16.00</v>
      </c>
      <c r="D4553" s="8" t="str">
        <f t="shared" ca="1" si="215"/>
        <v>—</v>
      </c>
      <c r="E4553" s="16">
        <f t="shared" ca="1" si="216"/>
        <v>7</v>
      </c>
    </row>
    <row r="4554" spans="1:5" x14ac:dyDescent="0.25">
      <c r="A4554" s="3">
        <f t="shared" si="214"/>
        <v>78989</v>
      </c>
      <c r="B4554" t="str">
        <f ca="1">TEXT(DATE(YEAR(Invoer!$A$5),1,1)+INT((ROWS(B$2:B4554)-1)/24),"""18""jjmmdd")</f>
        <v>18980709</v>
      </c>
      <c r="C4554" s="11" t="str">
        <f>INDEX(Data,2,2+MOD(ROWS(C$2:C4554)-1,24))</f>
        <v>17.00</v>
      </c>
      <c r="D4554" s="8" t="str">
        <f t="shared" ca="1" si="215"/>
        <v>—</v>
      </c>
      <c r="E4554" s="16">
        <f t="shared" ca="1" si="216"/>
        <v>7</v>
      </c>
    </row>
    <row r="4555" spans="1:5" x14ac:dyDescent="0.25">
      <c r="A4555" s="3">
        <f t="shared" si="214"/>
        <v>78989</v>
      </c>
      <c r="B4555" t="str">
        <f ca="1">TEXT(DATE(YEAR(Invoer!$A$5),1,1)+INT((ROWS(B$2:B4555)-1)/24),"""18""jjmmdd")</f>
        <v>18980709</v>
      </c>
      <c r="C4555" s="11" t="str">
        <f>INDEX(Data,2,2+MOD(ROWS(C$2:C4555)-1,24))</f>
        <v>18.00</v>
      </c>
      <c r="D4555" s="8" t="str">
        <f t="shared" ca="1" si="215"/>
        <v>—</v>
      </c>
      <c r="E4555" s="16">
        <f t="shared" ca="1" si="216"/>
        <v>7</v>
      </c>
    </row>
    <row r="4556" spans="1:5" x14ac:dyDescent="0.25">
      <c r="A4556" s="3">
        <f t="shared" si="214"/>
        <v>78989</v>
      </c>
      <c r="B4556" t="str">
        <f ca="1">TEXT(DATE(YEAR(Invoer!$A$5),1,1)+INT((ROWS(B$2:B4556)-1)/24),"""18""jjmmdd")</f>
        <v>18980709</v>
      </c>
      <c r="C4556" s="11" t="str">
        <f>INDEX(Data,2,2+MOD(ROWS(C$2:C4556)-1,24))</f>
        <v>19.00</v>
      </c>
      <c r="D4556" s="8" t="str">
        <f t="shared" ca="1" si="215"/>
        <v>—</v>
      </c>
      <c r="E4556" s="16">
        <f t="shared" ca="1" si="216"/>
        <v>7</v>
      </c>
    </row>
    <row r="4557" spans="1:5" x14ac:dyDescent="0.25">
      <c r="A4557" s="3">
        <f t="shared" si="214"/>
        <v>78989</v>
      </c>
      <c r="B4557" t="str">
        <f ca="1">TEXT(DATE(YEAR(Invoer!$A$5),1,1)+INT((ROWS(B$2:B4557)-1)/24),"""18""jjmmdd")</f>
        <v>18980709</v>
      </c>
      <c r="C4557" s="11" t="str">
        <f>INDEX(Data,2,2+MOD(ROWS(C$2:C4557)-1,24))</f>
        <v>20.00</v>
      </c>
      <c r="D4557" s="8" t="str">
        <f t="shared" ca="1" si="215"/>
        <v>—</v>
      </c>
      <c r="E4557" s="16">
        <f t="shared" ca="1" si="216"/>
        <v>7</v>
      </c>
    </row>
    <row r="4558" spans="1:5" x14ac:dyDescent="0.25">
      <c r="A4558" s="3">
        <f t="shared" si="214"/>
        <v>78989</v>
      </c>
      <c r="B4558" t="str">
        <f ca="1">TEXT(DATE(YEAR(Invoer!$A$5),1,1)+INT((ROWS(B$2:B4558)-1)/24),"""18""jjmmdd")</f>
        <v>18980709</v>
      </c>
      <c r="C4558" s="11" t="str">
        <f>INDEX(Data,2,2+MOD(ROWS(C$2:C4558)-1,24))</f>
        <v>21.00</v>
      </c>
      <c r="D4558" s="8" t="str">
        <f t="shared" ca="1" si="215"/>
        <v>—</v>
      </c>
      <c r="E4558" s="16">
        <f t="shared" ca="1" si="216"/>
        <v>7</v>
      </c>
    </row>
    <row r="4559" spans="1:5" x14ac:dyDescent="0.25">
      <c r="A4559" s="3">
        <f t="shared" si="214"/>
        <v>78989</v>
      </c>
      <c r="B4559" t="str">
        <f ca="1">TEXT(DATE(YEAR(Invoer!$A$5),1,1)+INT((ROWS(B$2:B4559)-1)/24),"""18""jjmmdd")</f>
        <v>18980709</v>
      </c>
      <c r="C4559" s="11" t="str">
        <f>INDEX(Data,2,2+MOD(ROWS(C$2:C4559)-1,24))</f>
        <v>22.00</v>
      </c>
      <c r="D4559" s="8" t="str">
        <f t="shared" ca="1" si="215"/>
        <v>—</v>
      </c>
      <c r="E4559" s="16">
        <f t="shared" ca="1" si="216"/>
        <v>7</v>
      </c>
    </row>
    <row r="4560" spans="1:5" x14ac:dyDescent="0.25">
      <c r="A4560" s="3">
        <f t="shared" si="214"/>
        <v>78989</v>
      </c>
      <c r="B4560" t="str">
        <f ca="1">TEXT(DATE(YEAR(Invoer!$A$5),1,1)+INT((ROWS(B$2:B4560)-1)/24),"""18""jjmmdd")</f>
        <v>18980709</v>
      </c>
      <c r="C4560" s="11" t="str">
        <f>INDEX(Data,2,2+MOD(ROWS(C$2:C4560)-1,24))</f>
        <v>23.00</v>
      </c>
      <c r="D4560" s="8" t="str">
        <f t="shared" ca="1" si="215"/>
        <v>—</v>
      </c>
      <c r="E4560" s="16">
        <f t="shared" ca="1" si="216"/>
        <v>7</v>
      </c>
    </row>
    <row r="4561" spans="1:5" x14ac:dyDescent="0.25">
      <c r="A4561" s="3">
        <f t="shared" si="214"/>
        <v>78989</v>
      </c>
      <c r="B4561" t="str">
        <f ca="1">TEXT(DATE(YEAR(Invoer!$A$5),1,1)+INT((ROWS(B$2:B4561)-1)/24),"""18""jjmmdd")</f>
        <v>18980709</v>
      </c>
      <c r="C4561" s="11" t="str">
        <f>INDEX(Data,2,2+MOD(ROWS(C$2:C4561)-1,24))</f>
        <v>24.00</v>
      </c>
      <c r="D4561" s="8" t="str">
        <f t="shared" ca="1" si="215"/>
        <v>—</v>
      </c>
      <c r="E4561" s="16">
        <f t="shared" ca="1" si="216"/>
        <v>7</v>
      </c>
    </row>
    <row r="4562" spans="1:5" x14ac:dyDescent="0.25">
      <c r="A4562" s="3">
        <f t="shared" si="214"/>
        <v>78989</v>
      </c>
      <c r="B4562" t="str">
        <f ca="1">TEXT(DATE(YEAR(Invoer!$A$5),1,1)+INT((ROWS(B$2:B4562)-1)/24),"""18""jjmmdd")</f>
        <v>18980710</v>
      </c>
      <c r="C4562" s="11" t="str">
        <f>INDEX(Data,2,2+MOD(ROWS(C$2:C4562)-1,24))</f>
        <v>01.00</v>
      </c>
      <c r="D4562" s="8" t="str">
        <f t="shared" ca="1" si="215"/>
        <v>—</v>
      </c>
      <c r="E4562" s="16">
        <f t="shared" ca="1" si="216"/>
        <v>7</v>
      </c>
    </row>
    <row r="4563" spans="1:5" x14ac:dyDescent="0.25">
      <c r="A4563" s="3">
        <f t="shared" si="214"/>
        <v>78989</v>
      </c>
      <c r="B4563" t="str">
        <f ca="1">TEXT(DATE(YEAR(Invoer!$A$5),1,1)+INT((ROWS(B$2:B4563)-1)/24),"""18""jjmmdd")</f>
        <v>18980710</v>
      </c>
      <c r="C4563" s="11" t="str">
        <f>INDEX(Data,2,2+MOD(ROWS(C$2:C4563)-1,24))</f>
        <v>02.00</v>
      </c>
      <c r="D4563" s="8" t="str">
        <f t="shared" ca="1" si="215"/>
        <v>—</v>
      </c>
      <c r="E4563" s="16">
        <f t="shared" ca="1" si="216"/>
        <v>7</v>
      </c>
    </row>
    <row r="4564" spans="1:5" x14ac:dyDescent="0.25">
      <c r="A4564" s="3">
        <f t="shared" si="214"/>
        <v>78989</v>
      </c>
      <c r="B4564" t="str">
        <f ca="1">TEXT(DATE(YEAR(Invoer!$A$5),1,1)+INT((ROWS(B$2:B4564)-1)/24),"""18""jjmmdd")</f>
        <v>18980710</v>
      </c>
      <c r="C4564" s="11" t="str">
        <f>INDEX(Data,2,2+MOD(ROWS(C$2:C4564)-1,24))</f>
        <v>03.00</v>
      </c>
      <c r="D4564" s="8" t="str">
        <f t="shared" ca="1" si="215"/>
        <v>—</v>
      </c>
      <c r="E4564" s="16">
        <f t="shared" ca="1" si="216"/>
        <v>7</v>
      </c>
    </row>
    <row r="4565" spans="1:5" x14ac:dyDescent="0.25">
      <c r="A4565" s="3">
        <f t="shared" si="214"/>
        <v>78989</v>
      </c>
      <c r="B4565" t="str">
        <f ca="1">TEXT(DATE(YEAR(Invoer!$A$5),1,1)+INT((ROWS(B$2:B4565)-1)/24),"""18""jjmmdd")</f>
        <v>18980710</v>
      </c>
      <c r="C4565" s="11" t="str">
        <f>INDEX(Data,2,2+MOD(ROWS(C$2:C4565)-1,24))</f>
        <v>04.00</v>
      </c>
      <c r="D4565" s="8" t="str">
        <f t="shared" ca="1" si="215"/>
        <v>—</v>
      </c>
      <c r="E4565" s="16">
        <f t="shared" ca="1" si="216"/>
        <v>7</v>
      </c>
    </row>
    <row r="4566" spans="1:5" x14ac:dyDescent="0.25">
      <c r="A4566" s="3">
        <f t="shared" si="214"/>
        <v>78989</v>
      </c>
      <c r="B4566" t="str">
        <f ca="1">TEXT(DATE(YEAR(Invoer!$A$5),1,1)+INT((ROWS(B$2:B4566)-1)/24),"""18""jjmmdd")</f>
        <v>18980710</v>
      </c>
      <c r="C4566" s="11" t="str">
        <f>INDEX(Data,2,2+MOD(ROWS(C$2:C4566)-1,24))</f>
        <v>05.00</v>
      </c>
      <c r="D4566" s="8" t="str">
        <f t="shared" ca="1" si="215"/>
        <v>—</v>
      </c>
      <c r="E4566" s="16">
        <f t="shared" ca="1" si="216"/>
        <v>7</v>
      </c>
    </row>
    <row r="4567" spans="1:5" x14ac:dyDescent="0.25">
      <c r="A4567" s="3">
        <f t="shared" si="214"/>
        <v>78989</v>
      </c>
      <c r="B4567" t="str">
        <f ca="1">TEXT(DATE(YEAR(Invoer!$A$5),1,1)+INT((ROWS(B$2:B4567)-1)/24),"""18""jjmmdd")</f>
        <v>18980710</v>
      </c>
      <c r="C4567" s="11" t="str">
        <f>INDEX(Data,2,2+MOD(ROWS(C$2:C4567)-1,24))</f>
        <v>06.00</v>
      </c>
      <c r="D4567" s="8" t="str">
        <f t="shared" ca="1" si="215"/>
        <v>—</v>
      </c>
      <c r="E4567" s="16">
        <f t="shared" ca="1" si="216"/>
        <v>7</v>
      </c>
    </row>
    <row r="4568" spans="1:5" x14ac:dyDescent="0.25">
      <c r="A4568" s="3">
        <f t="shared" si="214"/>
        <v>78989</v>
      </c>
      <c r="B4568" t="str">
        <f ca="1">TEXT(DATE(YEAR(Invoer!$A$5),1,1)+INT((ROWS(B$2:B4568)-1)/24),"""18""jjmmdd")</f>
        <v>18980710</v>
      </c>
      <c r="C4568" s="11" t="str">
        <f>INDEX(Data,2,2+MOD(ROWS(C$2:C4568)-1,24))</f>
        <v>07.00</v>
      </c>
      <c r="D4568" s="8" t="str">
        <f t="shared" ca="1" si="215"/>
        <v>—</v>
      </c>
      <c r="E4568" s="16">
        <f t="shared" ca="1" si="216"/>
        <v>7</v>
      </c>
    </row>
    <row r="4569" spans="1:5" x14ac:dyDescent="0.25">
      <c r="A4569" s="3">
        <f t="shared" si="214"/>
        <v>78989</v>
      </c>
      <c r="B4569" t="str">
        <f ca="1">TEXT(DATE(YEAR(Invoer!$A$5),1,1)+INT((ROWS(B$2:B4569)-1)/24),"""18""jjmmdd")</f>
        <v>18980710</v>
      </c>
      <c r="C4569" s="11" t="str">
        <f>INDEX(Data,2,2+MOD(ROWS(C$2:C4569)-1,24))</f>
        <v>08.00</v>
      </c>
      <c r="D4569" s="8" t="str">
        <f t="shared" ca="1" si="215"/>
        <v>—</v>
      </c>
      <c r="E4569" s="16">
        <f t="shared" ca="1" si="216"/>
        <v>7</v>
      </c>
    </row>
    <row r="4570" spans="1:5" x14ac:dyDescent="0.25">
      <c r="A4570" s="3">
        <f t="shared" si="214"/>
        <v>78989</v>
      </c>
      <c r="B4570" t="str">
        <f ca="1">TEXT(DATE(YEAR(Invoer!$A$5),1,1)+INT((ROWS(B$2:B4570)-1)/24),"""18""jjmmdd")</f>
        <v>18980710</v>
      </c>
      <c r="C4570" s="11" t="str">
        <f>INDEX(Data,2,2+MOD(ROWS(C$2:C4570)-1,24))</f>
        <v>09.00</v>
      </c>
      <c r="D4570" s="8" t="str">
        <f t="shared" ca="1" si="215"/>
        <v>—</v>
      </c>
      <c r="E4570" s="16">
        <f t="shared" ca="1" si="216"/>
        <v>7</v>
      </c>
    </row>
    <row r="4571" spans="1:5" x14ac:dyDescent="0.25">
      <c r="A4571" s="3">
        <f t="shared" si="214"/>
        <v>78989</v>
      </c>
      <c r="B4571" t="str">
        <f ca="1">TEXT(DATE(YEAR(Invoer!$A$5),1,1)+INT((ROWS(B$2:B4571)-1)/24),"""18""jjmmdd")</f>
        <v>18980710</v>
      </c>
      <c r="C4571" s="11" t="str">
        <f>INDEX(Data,2,2+MOD(ROWS(C$2:C4571)-1,24))</f>
        <v>10.00</v>
      </c>
      <c r="D4571" s="8" t="str">
        <f t="shared" ca="1" si="215"/>
        <v>—</v>
      </c>
      <c r="E4571" s="16">
        <f t="shared" ca="1" si="216"/>
        <v>7</v>
      </c>
    </row>
    <row r="4572" spans="1:5" x14ac:dyDescent="0.25">
      <c r="A4572" s="3">
        <f t="shared" si="214"/>
        <v>78989</v>
      </c>
      <c r="B4572" t="str">
        <f ca="1">TEXT(DATE(YEAR(Invoer!$A$5),1,1)+INT((ROWS(B$2:B4572)-1)/24),"""18""jjmmdd")</f>
        <v>18980710</v>
      </c>
      <c r="C4572" s="11" t="str">
        <f>INDEX(Data,2,2+MOD(ROWS(C$2:C4572)-1,24))</f>
        <v>11.00</v>
      </c>
      <c r="D4572" s="8" t="str">
        <f t="shared" ca="1" si="215"/>
        <v>—</v>
      </c>
      <c r="E4572" s="16">
        <f t="shared" ca="1" si="216"/>
        <v>7</v>
      </c>
    </row>
    <row r="4573" spans="1:5" x14ac:dyDescent="0.25">
      <c r="A4573" s="3">
        <f t="shared" si="214"/>
        <v>78989</v>
      </c>
      <c r="B4573" t="str">
        <f ca="1">TEXT(DATE(YEAR(Invoer!$A$5),1,1)+INT((ROWS(B$2:B4573)-1)/24),"""18""jjmmdd")</f>
        <v>18980710</v>
      </c>
      <c r="C4573" s="11" t="str">
        <f>INDEX(Data,2,2+MOD(ROWS(C$2:C4573)-1,24))</f>
        <v>12.00</v>
      </c>
      <c r="D4573" s="8" t="str">
        <f t="shared" ca="1" si="215"/>
        <v>—</v>
      </c>
      <c r="E4573" s="16">
        <f t="shared" ca="1" si="216"/>
        <v>7</v>
      </c>
    </row>
    <row r="4574" spans="1:5" x14ac:dyDescent="0.25">
      <c r="A4574" s="3">
        <f t="shared" si="214"/>
        <v>78989</v>
      </c>
      <c r="B4574" t="str">
        <f ca="1">TEXT(DATE(YEAR(Invoer!$A$5),1,1)+INT((ROWS(B$2:B4574)-1)/24),"""18""jjmmdd")</f>
        <v>18980710</v>
      </c>
      <c r="C4574" s="11" t="str">
        <f>INDEX(Data,2,2+MOD(ROWS(C$2:C4574)-1,24))</f>
        <v>13.00</v>
      </c>
      <c r="D4574" s="8" t="str">
        <f t="shared" ca="1" si="215"/>
        <v>—</v>
      </c>
      <c r="E4574" s="16">
        <f t="shared" ca="1" si="216"/>
        <v>7</v>
      </c>
    </row>
    <row r="4575" spans="1:5" x14ac:dyDescent="0.25">
      <c r="A4575" s="3">
        <f t="shared" si="214"/>
        <v>78989</v>
      </c>
      <c r="B4575" t="str">
        <f ca="1">TEXT(DATE(YEAR(Invoer!$A$5),1,1)+INT((ROWS(B$2:B4575)-1)/24),"""18""jjmmdd")</f>
        <v>18980710</v>
      </c>
      <c r="C4575" s="11" t="str">
        <f>INDEX(Data,2,2+MOD(ROWS(C$2:C4575)-1,24))</f>
        <v>14.00</v>
      </c>
      <c r="D4575" s="8" t="str">
        <f t="shared" ca="1" si="215"/>
        <v>—</v>
      </c>
      <c r="E4575" s="16">
        <f t="shared" ca="1" si="216"/>
        <v>7</v>
      </c>
    </row>
    <row r="4576" spans="1:5" x14ac:dyDescent="0.25">
      <c r="A4576" s="3">
        <f t="shared" si="214"/>
        <v>78989</v>
      </c>
      <c r="B4576" t="str">
        <f ca="1">TEXT(DATE(YEAR(Invoer!$A$5),1,1)+INT((ROWS(B$2:B4576)-1)/24),"""18""jjmmdd")</f>
        <v>18980710</v>
      </c>
      <c r="C4576" s="11" t="str">
        <f>INDEX(Data,2,2+MOD(ROWS(C$2:C4576)-1,24))</f>
        <v>15.00</v>
      </c>
      <c r="D4576" s="8" t="str">
        <f t="shared" ca="1" si="215"/>
        <v>—</v>
      </c>
      <c r="E4576" s="16">
        <f t="shared" ca="1" si="216"/>
        <v>7</v>
      </c>
    </row>
    <row r="4577" spans="1:5" x14ac:dyDescent="0.25">
      <c r="A4577" s="3">
        <f t="shared" si="214"/>
        <v>78989</v>
      </c>
      <c r="B4577" t="str">
        <f ca="1">TEXT(DATE(YEAR(Invoer!$A$5),1,1)+INT((ROWS(B$2:B4577)-1)/24),"""18""jjmmdd")</f>
        <v>18980710</v>
      </c>
      <c r="C4577" s="11" t="str">
        <f>INDEX(Data,2,2+MOD(ROWS(C$2:C4577)-1,24))</f>
        <v>16.00</v>
      </c>
      <c r="D4577" s="8" t="str">
        <f t="shared" ca="1" si="215"/>
        <v>—</v>
      </c>
      <c r="E4577" s="16">
        <f t="shared" ca="1" si="216"/>
        <v>7</v>
      </c>
    </row>
    <row r="4578" spans="1:5" x14ac:dyDescent="0.25">
      <c r="A4578" s="3">
        <f t="shared" si="214"/>
        <v>78989</v>
      </c>
      <c r="B4578" t="str">
        <f ca="1">TEXT(DATE(YEAR(Invoer!$A$5),1,1)+INT((ROWS(B$2:B4578)-1)/24),"""18""jjmmdd")</f>
        <v>18980710</v>
      </c>
      <c r="C4578" s="11" t="str">
        <f>INDEX(Data,2,2+MOD(ROWS(C$2:C4578)-1,24))</f>
        <v>17.00</v>
      </c>
      <c r="D4578" s="8" t="str">
        <f t="shared" ca="1" si="215"/>
        <v>—</v>
      </c>
      <c r="E4578" s="16">
        <f t="shared" ca="1" si="216"/>
        <v>7</v>
      </c>
    </row>
    <row r="4579" spans="1:5" x14ac:dyDescent="0.25">
      <c r="A4579" s="3">
        <f t="shared" si="214"/>
        <v>78989</v>
      </c>
      <c r="B4579" t="str">
        <f ca="1">TEXT(DATE(YEAR(Invoer!$A$5),1,1)+INT((ROWS(B$2:B4579)-1)/24),"""18""jjmmdd")</f>
        <v>18980710</v>
      </c>
      <c r="C4579" s="11" t="str">
        <f>INDEX(Data,2,2+MOD(ROWS(C$2:C4579)-1,24))</f>
        <v>18.00</v>
      </c>
      <c r="D4579" s="8" t="str">
        <f t="shared" ca="1" si="215"/>
        <v>—</v>
      </c>
      <c r="E4579" s="16">
        <f t="shared" ca="1" si="216"/>
        <v>7</v>
      </c>
    </row>
    <row r="4580" spans="1:5" x14ac:dyDescent="0.25">
      <c r="A4580" s="3">
        <f t="shared" si="214"/>
        <v>78989</v>
      </c>
      <c r="B4580" t="str">
        <f ca="1">TEXT(DATE(YEAR(Invoer!$A$5),1,1)+INT((ROWS(B$2:B4580)-1)/24),"""18""jjmmdd")</f>
        <v>18980710</v>
      </c>
      <c r="C4580" s="11" t="str">
        <f>INDEX(Data,2,2+MOD(ROWS(C$2:C4580)-1,24))</f>
        <v>19.00</v>
      </c>
      <c r="D4580" s="8" t="str">
        <f t="shared" ca="1" si="215"/>
        <v>—</v>
      </c>
      <c r="E4580" s="16">
        <f t="shared" ca="1" si="216"/>
        <v>7</v>
      </c>
    </row>
    <row r="4581" spans="1:5" x14ac:dyDescent="0.25">
      <c r="A4581" s="3">
        <f t="shared" si="214"/>
        <v>78989</v>
      </c>
      <c r="B4581" t="str">
        <f ca="1">TEXT(DATE(YEAR(Invoer!$A$5),1,1)+INT((ROWS(B$2:B4581)-1)/24),"""18""jjmmdd")</f>
        <v>18980710</v>
      </c>
      <c r="C4581" s="11" t="str">
        <f>INDEX(Data,2,2+MOD(ROWS(C$2:C4581)-1,24))</f>
        <v>20.00</v>
      </c>
      <c r="D4581" s="8" t="str">
        <f t="shared" ca="1" si="215"/>
        <v>—</v>
      </c>
      <c r="E4581" s="16">
        <f t="shared" ca="1" si="216"/>
        <v>7</v>
      </c>
    </row>
    <row r="4582" spans="1:5" x14ac:dyDescent="0.25">
      <c r="A4582" s="3">
        <f t="shared" si="214"/>
        <v>78989</v>
      </c>
      <c r="B4582" t="str">
        <f ca="1">TEXT(DATE(YEAR(Invoer!$A$5),1,1)+INT((ROWS(B$2:B4582)-1)/24),"""18""jjmmdd")</f>
        <v>18980710</v>
      </c>
      <c r="C4582" s="11" t="str">
        <f>INDEX(Data,2,2+MOD(ROWS(C$2:C4582)-1,24))</f>
        <v>21.00</v>
      </c>
      <c r="D4582" s="8" t="str">
        <f t="shared" ca="1" si="215"/>
        <v>—</v>
      </c>
      <c r="E4582" s="16">
        <f t="shared" ca="1" si="216"/>
        <v>7</v>
      </c>
    </row>
    <row r="4583" spans="1:5" x14ac:dyDescent="0.25">
      <c r="A4583" s="3">
        <f t="shared" si="214"/>
        <v>78989</v>
      </c>
      <c r="B4583" t="str">
        <f ca="1">TEXT(DATE(YEAR(Invoer!$A$5),1,1)+INT((ROWS(B$2:B4583)-1)/24),"""18""jjmmdd")</f>
        <v>18980710</v>
      </c>
      <c r="C4583" s="11" t="str">
        <f>INDEX(Data,2,2+MOD(ROWS(C$2:C4583)-1,24))</f>
        <v>22.00</v>
      </c>
      <c r="D4583" s="8" t="str">
        <f t="shared" ca="1" si="215"/>
        <v>—</v>
      </c>
      <c r="E4583" s="16">
        <f t="shared" ca="1" si="216"/>
        <v>7</v>
      </c>
    </row>
    <row r="4584" spans="1:5" x14ac:dyDescent="0.25">
      <c r="A4584" s="3">
        <f t="shared" si="214"/>
        <v>78989</v>
      </c>
      <c r="B4584" t="str">
        <f ca="1">TEXT(DATE(YEAR(Invoer!$A$5),1,1)+INT((ROWS(B$2:B4584)-1)/24),"""18""jjmmdd")</f>
        <v>18980710</v>
      </c>
      <c r="C4584" s="11" t="str">
        <f>INDEX(Data,2,2+MOD(ROWS(C$2:C4584)-1,24))</f>
        <v>23.00</v>
      </c>
      <c r="D4584" s="8" t="str">
        <f t="shared" ca="1" si="215"/>
        <v>—</v>
      </c>
      <c r="E4584" s="16">
        <f t="shared" ca="1" si="216"/>
        <v>7</v>
      </c>
    </row>
    <row r="4585" spans="1:5" x14ac:dyDescent="0.25">
      <c r="A4585" s="3">
        <f t="shared" si="214"/>
        <v>78989</v>
      </c>
      <c r="B4585" t="str">
        <f ca="1">TEXT(DATE(YEAR(Invoer!$A$5),1,1)+INT((ROWS(B$2:B4585)-1)/24),"""18""jjmmdd")</f>
        <v>18980710</v>
      </c>
      <c r="C4585" s="11" t="str">
        <f>INDEX(Data,2,2+MOD(ROWS(C$2:C4585)-1,24))</f>
        <v>24.00</v>
      </c>
      <c r="D4585" s="8" t="str">
        <f t="shared" ca="1" si="215"/>
        <v>—</v>
      </c>
      <c r="E4585" s="16">
        <f t="shared" ca="1" si="216"/>
        <v>7</v>
      </c>
    </row>
    <row r="4586" spans="1:5" x14ac:dyDescent="0.25">
      <c r="A4586" s="3">
        <f t="shared" si="214"/>
        <v>78989</v>
      </c>
      <c r="B4586" t="str">
        <f ca="1">TEXT(DATE(YEAR(Invoer!$A$5),1,1)+INT((ROWS(B$2:B4586)-1)/24),"""18""jjmmdd")</f>
        <v>18980711</v>
      </c>
      <c r="C4586" s="11" t="str">
        <f>INDEX(Data,2,2+MOD(ROWS(C$2:C4586)-1,24))</f>
        <v>01.00</v>
      </c>
      <c r="D4586" s="8" t="str">
        <f t="shared" ca="1" si="215"/>
        <v>—</v>
      </c>
      <c r="E4586" s="16">
        <f t="shared" ca="1" si="216"/>
        <v>7</v>
      </c>
    </row>
    <row r="4587" spans="1:5" x14ac:dyDescent="0.25">
      <c r="A4587" s="3">
        <f t="shared" si="214"/>
        <v>78989</v>
      </c>
      <c r="B4587" t="str">
        <f ca="1">TEXT(DATE(YEAR(Invoer!$A$5),1,1)+INT((ROWS(B$2:B4587)-1)/24),"""18""jjmmdd")</f>
        <v>18980711</v>
      </c>
      <c r="C4587" s="11" t="str">
        <f>INDEX(Data,2,2+MOD(ROWS(C$2:C4587)-1,24))</f>
        <v>02.00</v>
      </c>
      <c r="D4587" s="8" t="str">
        <f t="shared" ca="1" si="215"/>
        <v>—</v>
      </c>
      <c r="E4587" s="16">
        <f t="shared" ca="1" si="216"/>
        <v>7</v>
      </c>
    </row>
    <row r="4588" spans="1:5" x14ac:dyDescent="0.25">
      <c r="A4588" s="3">
        <f t="shared" si="214"/>
        <v>78989</v>
      </c>
      <c r="B4588" t="str">
        <f ca="1">TEXT(DATE(YEAR(Invoer!$A$5),1,1)+INT((ROWS(B$2:B4588)-1)/24),"""18""jjmmdd")</f>
        <v>18980711</v>
      </c>
      <c r="C4588" s="11" t="str">
        <f>INDEX(Data,2,2+MOD(ROWS(C$2:C4588)-1,24))</f>
        <v>03.00</v>
      </c>
      <c r="D4588" s="8" t="str">
        <f t="shared" ca="1" si="215"/>
        <v>—</v>
      </c>
      <c r="E4588" s="16">
        <f t="shared" ca="1" si="216"/>
        <v>7</v>
      </c>
    </row>
    <row r="4589" spans="1:5" x14ac:dyDescent="0.25">
      <c r="A4589" s="3">
        <f t="shared" si="214"/>
        <v>78989</v>
      </c>
      <c r="B4589" t="str">
        <f ca="1">TEXT(DATE(YEAR(Invoer!$A$5),1,1)+INT((ROWS(B$2:B4589)-1)/24),"""18""jjmmdd")</f>
        <v>18980711</v>
      </c>
      <c r="C4589" s="11" t="str">
        <f>INDEX(Data,2,2+MOD(ROWS(C$2:C4589)-1,24))</f>
        <v>04.00</v>
      </c>
      <c r="D4589" s="8" t="str">
        <f t="shared" ca="1" si="215"/>
        <v>—</v>
      </c>
      <c r="E4589" s="16">
        <f t="shared" ca="1" si="216"/>
        <v>7</v>
      </c>
    </row>
    <row r="4590" spans="1:5" x14ac:dyDescent="0.25">
      <c r="A4590" s="3">
        <f t="shared" si="214"/>
        <v>78989</v>
      </c>
      <c r="B4590" t="str">
        <f ca="1">TEXT(DATE(YEAR(Invoer!$A$5),1,1)+INT((ROWS(B$2:B4590)-1)/24),"""18""jjmmdd")</f>
        <v>18980711</v>
      </c>
      <c r="C4590" s="11" t="str">
        <f>INDEX(Data,2,2+MOD(ROWS(C$2:C4590)-1,24))</f>
        <v>05.00</v>
      </c>
      <c r="D4590" s="8" t="str">
        <f t="shared" ca="1" si="215"/>
        <v>—</v>
      </c>
      <c r="E4590" s="16">
        <f t="shared" ca="1" si="216"/>
        <v>7</v>
      </c>
    </row>
    <row r="4591" spans="1:5" x14ac:dyDescent="0.25">
      <c r="A4591" s="3">
        <f t="shared" si="214"/>
        <v>78989</v>
      </c>
      <c r="B4591" t="str">
        <f ca="1">TEXT(DATE(YEAR(Invoer!$A$5),1,1)+INT((ROWS(B$2:B4591)-1)/24),"""18""jjmmdd")</f>
        <v>18980711</v>
      </c>
      <c r="C4591" s="11" t="str">
        <f>INDEX(Data,2,2+MOD(ROWS(C$2:C4591)-1,24))</f>
        <v>06.00</v>
      </c>
      <c r="D4591" s="8" t="str">
        <f t="shared" ca="1" si="215"/>
        <v>—</v>
      </c>
      <c r="E4591" s="16">
        <f t="shared" ca="1" si="216"/>
        <v>7</v>
      </c>
    </row>
    <row r="4592" spans="1:5" x14ac:dyDescent="0.25">
      <c r="A4592" s="3">
        <f t="shared" si="214"/>
        <v>78989</v>
      </c>
      <c r="B4592" t="str">
        <f ca="1">TEXT(DATE(YEAR(Invoer!$A$5),1,1)+INT((ROWS(B$2:B4592)-1)/24),"""18""jjmmdd")</f>
        <v>18980711</v>
      </c>
      <c r="C4592" s="11" t="str">
        <f>INDEX(Data,2,2+MOD(ROWS(C$2:C4592)-1,24))</f>
        <v>07.00</v>
      </c>
      <c r="D4592" s="8" t="str">
        <f t="shared" ca="1" si="215"/>
        <v>—</v>
      </c>
      <c r="E4592" s="16">
        <f t="shared" ca="1" si="216"/>
        <v>7</v>
      </c>
    </row>
    <row r="4593" spans="1:5" x14ac:dyDescent="0.25">
      <c r="A4593" s="3">
        <f t="shared" si="214"/>
        <v>78989</v>
      </c>
      <c r="B4593" t="str">
        <f ca="1">TEXT(DATE(YEAR(Invoer!$A$5),1,1)+INT((ROWS(B$2:B4593)-1)/24),"""18""jjmmdd")</f>
        <v>18980711</v>
      </c>
      <c r="C4593" s="11" t="str">
        <f>INDEX(Data,2,2+MOD(ROWS(C$2:C4593)-1,24))</f>
        <v>08.00</v>
      </c>
      <c r="D4593" s="8" t="str">
        <f t="shared" ca="1" si="215"/>
        <v>—</v>
      </c>
      <c r="E4593" s="16">
        <f t="shared" ca="1" si="216"/>
        <v>7</v>
      </c>
    </row>
    <row r="4594" spans="1:5" x14ac:dyDescent="0.25">
      <c r="A4594" s="3">
        <f t="shared" si="214"/>
        <v>78989</v>
      </c>
      <c r="B4594" t="str">
        <f ca="1">TEXT(DATE(YEAR(Invoer!$A$5),1,1)+INT((ROWS(B$2:B4594)-1)/24),"""18""jjmmdd")</f>
        <v>18980711</v>
      </c>
      <c r="C4594" s="11" t="str">
        <f>INDEX(Data,2,2+MOD(ROWS(C$2:C4594)-1,24))</f>
        <v>09.00</v>
      </c>
      <c r="D4594" s="8" t="str">
        <f t="shared" ca="1" si="215"/>
        <v>—</v>
      </c>
      <c r="E4594" s="16">
        <f t="shared" ca="1" si="216"/>
        <v>7</v>
      </c>
    </row>
    <row r="4595" spans="1:5" x14ac:dyDescent="0.25">
      <c r="A4595" s="3">
        <f t="shared" si="214"/>
        <v>78989</v>
      </c>
      <c r="B4595" t="str">
        <f ca="1">TEXT(DATE(YEAR(Invoer!$A$5),1,1)+INT((ROWS(B$2:B4595)-1)/24),"""18""jjmmdd")</f>
        <v>18980711</v>
      </c>
      <c r="C4595" s="11" t="str">
        <f>INDEX(Data,2,2+MOD(ROWS(C$2:C4595)-1,24))</f>
        <v>10.00</v>
      </c>
      <c r="D4595" s="8" t="str">
        <f t="shared" ca="1" si="215"/>
        <v>—</v>
      </c>
      <c r="E4595" s="16">
        <f t="shared" ca="1" si="216"/>
        <v>7</v>
      </c>
    </row>
    <row r="4596" spans="1:5" x14ac:dyDescent="0.25">
      <c r="A4596" s="3">
        <f t="shared" si="214"/>
        <v>78989</v>
      </c>
      <c r="B4596" t="str">
        <f ca="1">TEXT(DATE(YEAR(Invoer!$A$5),1,1)+INT((ROWS(B$2:B4596)-1)/24),"""18""jjmmdd")</f>
        <v>18980711</v>
      </c>
      <c r="C4596" s="11" t="str">
        <f>INDEX(Data,2,2+MOD(ROWS(C$2:C4596)-1,24))</f>
        <v>11.00</v>
      </c>
      <c r="D4596" s="8" t="str">
        <f t="shared" ca="1" si="215"/>
        <v>—</v>
      </c>
      <c r="E4596" s="16">
        <f t="shared" ca="1" si="216"/>
        <v>7</v>
      </c>
    </row>
    <row r="4597" spans="1:5" x14ac:dyDescent="0.25">
      <c r="A4597" s="3">
        <f t="shared" si="214"/>
        <v>78989</v>
      </c>
      <c r="B4597" t="str">
        <f ca="1">TEXT(DATE(YEAR(Invoer!$A$5),1,1)+INT((ROWS(B$2:B4597)-1)/24),"""18""jjmmdd")</f>
        <v>18980711</v>
      </c>
      <c r="C4597" s="11" t="str">
        <f>INDEX(Data,2,2+MOD(ROWS(C$2:C4597)-1,24))</f>
        <v>12.00</v>
      </c>
      <c r="D4597" s="8" t="str">
        <f t="shared" ca="1" si="215"/>
        <v>—</v>
      </c>
      <c r="E4597" s="16">
        <f t="shared" ca="1" si="216"/>
        <v>7</v>
      </c>
    </row>
    <row r="4598" spans="1:5" x14ac:dyDescent="0.25">
      <c r="A4598" s="3">
        <f t="shared" si="214"/>
        <v>78989</v>
      </c>
      <c r="B4598" t="str">
        <f ca="1">TEXT(DATE(YEAR(Invoer!$A$5),1,1)+INT((ROWS(B$2:B4598)-1)/24),"""18""jjmmdd")</f>
        <v>18980711</v>
      </c>
      <c r="C4598" s="11" t="str">
        <f>INDEX(Data,2,2+MOD(ROWS(C$2:C4598)-1,24))</f>
        <v>13.00</v>
      </c>
      <c r="D4598" s="8" t="str">
        <f t="shared" ca="1" si="215"/>
        <v>—</v>
      </c>
      <c r="E4598" s="16">
        <f t="shared" ca="1" si="216"/>
        <v>7</v>
      </c>
    </row>
    <row r="4599" spans="1:5" x14ac:dyDescent="0.25">
      <c r="A4599" s="3">
        <f t="shared" si="214"/>
        <v>78989</v>
      </c>
      <c r="B4599" t="str">
        <f ca="1">TEXT(DATE(YEAR(Invoer!$A$5),1,1)+INT((ROWS(B$2:B4599)-1)/24),"""18""jjmmdd")</f>
        <v>18980711</v>
      </c>
      <c r="C4599" s="11" t="str">
        <f>INDEX(Data,2,2+MOD(ROWS(C$2:C4599)-1,24))</f>
        <v>14.00</v>
      </c>
      <c r="D4599" s="8" t="str">
        <f t="shared" ca="1" si="215"/>
        <v>—</v>
      </c>
      <c r="E4599" s="16">
        <f t="shared" ca="1" si="216"/>
        <v>7</v>
      </c>
    </row>
    <row r="4600" spans="1:5" x14ac:dyDescent="0.25">
      <c r="A4600" s="3">
        <f t="shared" si="214"/>
        <v>78989</v>
      </c>
      <c r="B4600" t="str">
        <f ca="1">TEXT(DATE(YEAR(Invoer!$A$5),1,1)+INT((ROWS(B$2:B4600)-1)/24),"""18""jjmmdd")</f>
        <v>18980711</v>
      </c>
      <c r="C4600" s="11" t="str">
        <f>INDEX(Data,2,2+MOD(ROWS(C$2:C4600)-1,24))</f>
        <v>15.00</v>
      </c>
      <c r="D4600" s="8" t="str">
        <f t="shared" ca="1" si="215"/>
        <v>—</v>
      </c>
      <c r="E4600" s="16">
        <f t="shared" ca="1" si="216"/>
        <v>7</v>
      </c>
    </row>
    <row r="4601" spans="1:5" x14ac:dyDescent="0.25">
      <c r="A4601" s="3">
        <f t="shared" si="214"/>
        <v>78989</v>
      </c>
      <c r="B4601" t="str">
        <f ca="1">TEXT(DATE(YEAR(Invoer!$A$5),1,1)+INT((ROWS(B$2:B4601)-1)/24),"""18""jjmmdd")</f>
        <v>18980711</v>
      </c>
      <c r="C4601" s="11" t="str">
        <f>INDEX(Data,2,2+MOD(ROWS(C$2:C4601)-1,24))</f>
        <v>16.00</v>
      </c>
      <c r="D4601" s="8" t="str">
        <f t="shared" ca="1" si="215"/>
        <v>—</v>
      </c>
      <c r="E4601" s="16">
        <f t="shared" ca="1" si="216"/>
        <v>7</v>
      </c>
    </row>
    <row r="4602" spans="1:5" x14ac:dyDescent="0.25">
      <c r="A4602" s="3">
        <f t="shared" si="214"/>
        <v>78989</v>
      </c>
      <c r="B4602" t="str">
        <f ca="1">TEXT(DATE(YEAR(Invoer!$A$5),1,1)+INT((ROWS(B$2:B4602)-1)/24),"""18""jjmmdd")</f>
        <v>18980711</v>
      </c>
      <c r="C4602" s="11" t="str">
        <f>INDEX(Data,2,2+MOD(ROWS(C$2:C4602)-1,24))</f>
        <v>17.00</v>
      </c>
      <c r="D4602" s="8" t="str">
        <f t="shared" ca="1" si="215"/>
        <v>—</v>
      </c>
      <c r="E4602" s="16">
        <f t="shared" ca="1" si="216"/>
        <v>7</v>
      </c>
    </row>
    <row r="4603" spans="1:5" x14ac:dyDescent="0.25">
      <c r="A4603" s="3">
        <f t="shared" si="214"/>
        <v>78989</v>
      </c>
      <c r="B4603" t="str">
        <f ca="1">TEXT(DATE(YEAR(Invoer!$A$5),1,1)+INT((ROWS(B$2:B4603)-1)/24),"""18""jjmmdd")</f>
        <v>18980711</v>
      </c>
      <c r="C4603" s="11" t="str">
        <f>INDEX(Data,2,2+MOD(ROWS(C$2:C4603)-1,24))</f>
        <v>18.00</v>
      </c>
      <c r="D4603" s="8" t="str">
        <f t="shared" ca="1" si="215"/>
        <v>—</v>
      </c>
      <c r="E4603" s="16">
        <f t="shared" ca="1" si="216"/>
        <v>7</v>
      </c>
    </row>
    <row r="4604" spans="1:5" x14ac:dyDescent="0.25">
      <c r="A4604" s="3">
        <f t="shared" si="214"/>
        <v>78989</v>
      </c>
      <c r="B4604" t="str">
        <f ca="1">TEXT(DATE(YEAR(Invoer!$A$5),1,1)+INT((ROWS(B$2:B4604)-1)/24),"""18""jjmmdd")</f>
        <v>18980711</v>
      </c>
      <c r="C4604" s="11" t="str">
        <f>INDEX(Data,2,2+MOD(ROWS(C$2:C4604)-1,24))</f>
        <v>19.00</v>
      </c>
      <c r="D4604" s="8" t="str">
        <f t="shared" ca="1" si="215"/>
        <v>—</v>
      </c>
      <c r="E4604" s="16">
        <f t="shared" ca="1" si="216"/>
        <v>7</v>
      </c>
    </row>
    <row r="4605" spans="1:5" x14ac:dyDescent="0.25">
      <c r="A4605" s="3">
        <f t="shared" si="214"/>
        <v>78989</v>
      </c>
      <c r="B4605" t="str">
        <f ca="1">TEXT(DATE(YEAR(Invoer!$A$5),1,1)+INT((ROWS(B$2:B4605)-1)/24),"""18""jjmmdd")</f>
        <v>18980711</v>
      </c>
      <c r="C4605" s="11" t="str">
        <f>INDEX(Data,2,2+MOD(ROWS(C$2:C4605)-1,24))</f>
        <v>20.00</v>
      </c>
      <c r="D4605" s="8" t="str">
        <f t="shared" ca="1" si="215"/>
        <v>—</v>
      </c>
      <c r="E4605" s="16">
        <f t="shared" ca="1" si="216"/>
        <v>7</v>
      </c>
    </row>
    <row r="4606" spans="1:5" x14ac:dyDescent="0.25">
      <c r="A4606" s="3">
        <f t="shared" si="214"/>
        <v>78989</v>
      </c>
      <c r="B4606" t="str">
        <f ca="1">TEXT(DATE(YEAR(Invoer!$A$5),1,1)+INT((ROWS(B$2:B4606)-1)/24),"""18""jjmmdd")</f>
        <v>18980711</v>
      </c>
      <c r="C4606" s="11" t="str">
        <f>INDEX(Data,2,2+MOD(ROWS(C$2:C4606)-1,24))</f>
        <v>21.00</v>
      </c>
      <c r="D4606" s="8" t="str">
        <f t="shared" ca="1" si="215"/>
        <v>—</v>
      </c>
      <c r="E4606" s="16">
        <f t="shared" ca="1" si="216"/>
        <v>7</v>
      </c>
    </row>
    <row r="4607" spans="1:5" x14ac:dyDescent="0.25">
      <c r="A4607" s="3">
        <f t="shared" si="214"/>
        <v>78989</v>
      </c>
      <c r="B4607" t="str">
        <f ca="1">TEXT(DATE(YEAR(Invoer!$A$5),1,1)+INT((ROWS(B$2:B4607)-1)/24),"""18""jjmmdd")</f>
        <v>18980711</v>
      </c>
      <c r="C4607" s="11" t="str">
        <f>INDEX(Data,2,2+MOD(ROWS(C$2:C4607)-1,24))</f>
        <v>22.00</v>
      </c>
      <c r="D4607" s="8" t="str">
        <f t="shared" ca="1" si="215"/>
        <v>—</v>
      </c>
      <c r="E4607" s="16">
        <f t="shared" ca="1" si="216"/>
        <v>7</v>
      </c>
    </row>
    <row r="4608" spans="1:5" x14ac:dyDescent="0.25">
      <c r="A4608" s="3">
        <f t="shared" si="214"/>
        <v>78989</v>
      </c>
      <c r="B4608" t="str">
        <f ca="1">TEXT(DATE(YEAR(Invoer!$A$5),1,1)+INT((ROWS(B$2:B4608)-1)/24),"""18""jjmmdd")</f>
        <v>18980711</v>
      </c>
      <c r="C4608" s="11" t="str">
        <f>INDEX(Data,2,2+MOD(ROWS(C$2:C4608)-1,24))</f>
        <v>23.00</v>
      </c>
      <c r="D4608" s="8" t="str">
        <f t="shared" ca="1" si="215"/>
        <v>—</v>
      </c>
      <c r="E4608" s="16">
        <f t="shared" ca="1" si="216"/>
        <v>7</v>
      </c>
    </row>
    <row r="4609" spans="1:5" x14ac:dyDescent="0.25">
      <c r="A4609" s="3">
        <f t="shared" si="214"/>
        <v>78989</v>
      </c>
      <c r="B4609" t="str">
        <f ca="1">TEXT(DATE(YEAR(Invoer!$A$5),1,1)+INT((ROWS(B$2:B4609)-1)/24),"""18""jjmmdd")</f>
        <v>18980711</v>
      </c>
      <c r="C4609" s="11" t="str">
        <f>INDEX(Data,2,2+MOD(ROWS(C$2:C4609)-1,24))</f>
        <v>24.00</v>
      </c>
      <c r="D4609" s="8" t="str">
        <f t="shared" ca="1" si="215"/>
        <v>—</v>
      </c>
      <c r="E4609" s="16">
        <f t="shared" ca="1" si="216"/>
        <v>7</v>
      </c>
    </row>
    <row r="4610" spans="1:5" x14ac:dyDescent="0.25">
      <c r="A4610" s="3">
        <f t="shared" ref="A4610:A4673" si="217">INDEX(Stations,2,1)</f>
        <v>78989</v>
      </c>
      <c r="B4610" t="str">
        <f ca="1">TEXT(DATE(YEAR(Invoer!$A$5),1,1)+INT((ROWS(B$2:B4610)-1)/24),"""18""jjmmdd")</f>
        <v>18980712</v>
      </c>
      <c r="C4610" s="11" t="str">
        <f>INDEX(Data,2,2+MOD(ROWS(C$2:C4610)-1,24))</f>
        <v>01.00</v>
      </c>
      <c r="D4610" s="8" t="str">
        <f t="shared" ref="D4610:D4673" ca="1" si="218">IF(OR(ISBLANK(VLOOKUP(DATEVALUE("37"&amp;MID($B4610,3,2)&amp;"-"&amp;MID($B4610,5,2)&amp;"-"&amp;RIGHT($B4610,2)),Data,MATCH(LEFT(VLOOKUP(D$1,Parameters,2,FALSE()),4)&amp;"*",OFFSET(Data,0,0,1),0)+MATCH($C4610,OFFSET(Data,1,0,1),0)-2,FALSE())),ISTEXT(VLOOKUP(DATEVALUE("37"&amp;MID($B4610,3,2)&amp;"-"&amp;MID($B4610,5,2)&amp;"-"&amp;RIGHT($B4610,2)),Data,MATCH(LEFT(VLOOKUP(D$1,Parameters,2,FALSE()),4)&amp;"*",OFFSET(Data,0,0,1),0)+MATCH($C4610,OFFSET(Data,1,0,1),0)-2,FALSE()))),"—",VLOOKUP(DATEVALUE("37"&amp;MID($B4610,3,2)&amp;"-"&amp;MID($B4610,5,2)&amp;"-"&amp;RIGHT($B4610,2)),Data,MATCH(LEFT(VLOOKUP(D$1,Parameters,2,FALSE()),4)&amp;"*",OFFSET(Data,0,0,1),0)+MATCH($C4610,OFFSET(Data,1,0,1),0)-2,FALSE()))</f>
        <v>—</v>
      </c>
      <c r="E4610" s="16">
        <f t="shared" ca="1" si="216"/>
        <v>7</v>
      </c>
    </row>
    <row r="4611" spans="1:5" x14ac:dyDescent="0.25">
      <c r="A4611" s="3">
        <f t="shared" si="217"/>
        <v>78989</v>
      </c>
      <c r="B4611" t="str">
        <f ca="1">TEXT(DATE(YEAR(Invoer!$A$5),1,1)+INT((ROWS(B$2:B4611)-1)/24),"""18""jjmmdd")</f>
        <v>18980712</v>
      </c>
      <c r="C4611" s="11" t="str">
        <f>INDEX(Data,2,2+MOD(ROWS(C$2:C4611)-1,24))</f>
        <v>02.00</v>
      </c>
      <c r="D4611" s="8" t="str">
        <f t="shared" ca="1" si="218"/>
        <v>—</v>
      </c>
      <c r="E4611" s="16">
        <f t="shared" ref="E4611:E4674" ca="1" si="219">IF(OR(ISBLANK(VLOOKUP(DATEVALUE("37"&amp;MID($B4611,3,2)&amp;"-"&amp;MID($B4611,5,2)&amp;"-"&amp;RIGHT($B4611,2)),Data,MATCH(LEFT(VLOOKUP(D$1,Parameters,2,FALSE()),4)&amp;"*",OFFSET(Data,0,0,1),0)+MATCH($C4611,OFFSET(Data,1,0,1),0)-2,FALSE())),ISTEXT(VLOOKUP(DATEVALUE("37"&amp;MID($B4611,3,2)&amp;"-"&amp;MID($B4611,5,2)&amp;"-"&amp;RIGHT($B4611,2)),Data,MATCH(LEFT(VLOOKUP(D$1,Parameters,2,FALSE()),4)&amp;"*",OFFSET(Data,0,0,1),0)+MATCH($C4611,OFFSET(Data,1,0,1),0)-2,FALSE()))),Lacking,IF(ISNA(MATCH(DATEVALUE("37"&amp;MID($B4611,3,2)&amp;"-"&amp;MID($B4611,5,2)&amp;"-"&amp;RIGHT($B4611,2)),OFFSET(Catalogus,0,0,,1),0)),Ok,VLOOKUP(DATEVALUE("37"&amp;MID($B4611,3,2)&amp;"-"&amp;MID($B4611,5,2)&amp;"-"&amp;RIGHT($B4611,2)),Catalogus,MATCH(LEFT(VLOOKUP(MID(E$1,2,LEN(E$1)-1),Parameters,2,FALSE()),4)&amp;"*",OFFSET(Catalogus,0,0,1),0)+MATCH($C4611,OFFSET(Catalogus,1,0,1),0)-2,FALSE())))</f>
        <v>7</v>
      </c>
    </row>
    <row r="4612" spans="1:5" x14ac:dyDescent="0.25">
      <c r="A4612" s="3">
        <f t="shared" si="217"/>
        <v>78989</v>
      </c>
      <c r="B4612" t="str">
        <f ca="1">TEXT(DATE(YEAR(Invoer!$A$5),1,1)+INT((ROWS(B$2:B4612)-1)/24),"""18""jjmmdd")</f>
        <v>18980712</v>
      </c>
      <c r="C4612" s="11" t="str">
        <f>INDEX(Data,2,2+MOD(ROWS(C$2:C4612)-1,24))</f>
        <v>03.00</v>
      </c>
      <c r="D4612" s="8" t="str">
        <f t="shared" ca="1" si="218"/>
        <v>—</v>
      </c>
      <c r="E4612" s="16">
        <f t="shared" ca="1" si="219"/>
        <v>7</v>
      </c>
    </row>
    <row r="4613" spans="1:5" x14ac:dyDescent="0.25">
      <c r="A4613" s="3">
        <f t="shared" si="217"/>
        <v>78989</v>
      </c>
      <c r="B4613" t="str">
        <f ca="1">TEXT(DATE(YEAR(Invoer!$A$5),1,1)+INT((ROWS(B$2:B4613)-1)/24),"""18""jjmmdd")</f>
        <v>18980712</v>
      </c>
      <c r="C4613" s="11" t="str">
        <f>INDEX(Data,2,2+MOD(ROWS(C$2:C4613)-1,24))</f>
        <v>04.00</v>
      </c>
      <c r="D4613" s="8" t="str">
        <f t="shared" ca="1" si="218"/>
        <v>—</v>
      </c>
      <c r="E4613" s="16">
        <f t="shared" ca="1" si="219"/>
        <v>7</v>
      </c>
    </row>
    <row r="4614" spans="1:5" x14ac:dyDescent="0.25">
      <c r="A4614" s="3">
        <f t="shared" si="217"/>
        <v>78989</v>
      </c>
      <c r="B4614" t="str">
        <f ca="1">TEXT(DATE(YEAR(Invoer!$A$5),1,1)+INT((ROWS(B$2:B4614)-1)/24),"""18""jjmmdd")</f>
        <v>18980712</v>
      </c>
      <c r="C4614" s="11" t="str">
        <f>INDEX(Data,2,2+MOD(ROWS(C$2:C4614)-1,24))</f>
        <v>05.00</v>
      </c>
      <c r="D4614" s="8" t="str">
        <f t="shared" ca="1" si="218"/>
        <v>—</v>
      </c>
      <c r="E4614" s="16">
        <f t="shared" ca="1" si="219"/>
        <v>7</v>
      </c>
    </row>
    <row r="4615" spans="1:5" x14ac:dyDescent="0.25">
      <c r="A4615" s="3">
        <f t="shared" si="217"/>
        <v>78989</v>
      </c>
      <c r="B4615" t="str">
        <f ca="1">TEXT(DATE(YEAR(Invoer!$A$5),1,1)+INT((ROWS(B$2:B4615)-1)/24),"""18""jjmmdd")</f>
        <v>18980712</v>
      </c>
      <c r="C4615" s="11" t="str">
        <f>INDEX(Data,2,2+MOD(ROWS(C$2:C4615)-1,24))</f>
        <v>06.00</v>
      </c>
      <c r="D4615" s="8" t="str">
        <f t="shared" ca="1" si="218"/>
        <v>—</v>
      </c>
      <c r="E4615" s="16">
        <f t="shared" ca="1" si="219"/>
        <v>7</v>
      </c>
    </row>
    <row r="4616" spans="1:5" x14ac:dyDescent="0.25">
      <c r="A4616" s="3">
        <f t="shared" si="217"/>
        <v>78989</v>
      </c>
      <c r="B4616" t="str">
        <f ca="1">TEXT(DATE(YEAR(Invoer!$A$5),1,1)+INT((ROWS(B$2:B4616)-1)/24),"""18""jjmmdd")</f>
        <v>18980712</v>
      </c>
      <c r="C4616" s="11" t="str">
        <f>INDEX(Data,2,2+MOD(ROWS(C$2:C4616)-1,24))</f>
        <v>07.00</v>
      </c>
      <c r="D4616" s="8" t="str">
        <f t="shared" ca="1" si="218"/>
        <v>—</v>
      </c>
      <c r="E4616" s="16">
        <f t="shared" ca="1" si="219"/>
        <v>7</v>
      </c>
    </row>
    <row r="4617" spans="1:5" x14ac:dyDescent="0.25">
      <c r="A4617" s="3">
        <f t="shared" si="217"/>
        <v>78989</v>
      </c>
      <c r="B4617" t="str">
        <f ca="1">TEXT(DATE(YEAR(Invoer!$A$5),1,1)+INT((ROWS(B$2:B4617)-1)/24),"""18""jjmmdd")</f>
        <v>18980712</v>
      </c>
      <c r="C4617" s="11" t="str">
        <f>INDEX(Data,2,2+MOD(ROWS(C$2:C4617)-1,24))</f>
        <v>08.00</v>
      </c>
      <c r="D4617" s="8" t="str">
        <f t="shared" ca="1" si="218"/>
        <v>—</v>
      </c>
      <c r="E4617" s="16">
        <f t="shared" ca="1" si="219"/>
        <v>7</v>
      </c>
    </row>
    <row r="4618" spans="1:5" x14ac:dyDescent="0.25">
      <c r="A4618" s="3">
        <f t="shared" si="217"/>
        <v>78989</v>
      </c>
      <c r="B4618" t="str">
        <f ca="1">TEXT(DATE(YEAR(Invoer!$A$5),1,1)+INT((ROWS(B$2:B4618)-1)/24),"""18""jjmmdd")</f>
        <v>18980712</v>
      </c>
      <c r="C4618" s="11" t="str">
        <f>INDEX(Data,2,2+MOD(ROWS(C$2:C4618)-1,24))</f>
        <v>09.00</v>
      </c>
      <c r="D4618" s="8" t="str">
        <f t="shared" ca="1" si="218"/>
        <v>—</v>
      </c>
      <c r="E4618" s="16">
        <f t="shared" ca="1" si="219"/>
        <v>7</v>
      </c>
    </row>
    <row r="4619" spans="1:5" x14ac:dyDescent="0.25">
      <c r="A4619" s="3">
        <f t="shared" si="217"/>
        <v>78989</v>
      </c>
      <c r="B4619" t="str">
        <f ca="1">TEXT(DATE(YEAR(Invoer!$A$5),1,1)+INT((ROWS(B$2:B4619)-1)/24),"""18""jjmmdd")</f>
        <v>18980712</v>
      </c>
      <c r="C4619" s="11" t="str">
        <f>INDEX(Data,2,2+MOD(ROWS(C$2:C4619)-1,24))</f>
        <v>10.00</v>
      </c>
      <c r="D4619" s="8" t="str">
        <f t="shared" ca="1" si="218"/>
        <v>—</v>
      </c>
      <c r="E4619" s="16">
        <f t="shared" ca="1" si="219"/>
        <v>7</v>
      </c>
    </row>
    <row r="4620" spans="1:5" x14ac:dyDescent="0.25">
      <c r="A4620" s="3">
        <f t="shared" si="217"/>
        <v>78989</v>
      </c>
      <c r="B4620" t="str">
        <f ca="1">TEXT(DATE(YEAR(Invoer!$A$5),1,1)+INT((ROWS(B$2:B4620)-1)/24),"""18""jjmmdd")</f>
        <v>18980712</v>
      </c>
      <c r="C4620" s="11" t="str">
        <f>INDEX(Data,2,2+MOD(ROWS(C$2:C4620)-1,24))</f>
        <v>11.00</v>
      </c>
      <c r="D4620" s="8" t="str">
        <f t="shared" ca="1" si="218"/>
        <v>—</v>
      </c>
      <c r="E4620" s="16">
        <f t="shared" ca="1" si="219"/>
        <v>7</v>
      </c>
    </row>
    <row r="4621" spans="1:5" x14ac:dyDescent="0.25">
      <c r="A4621" s="3">
        <f t="shared" si="217"/>
        <v>78989</v>
      </c>
      <c r="B4621" t="str">
        <f ca="1">TEXT(DATE(YEAR(Invoer!$A$5),1,1)+INT((ROWS(B$2:B4621)-1)/24),"""18""jjmmdd")</f>
        <v>18980712</v>
      </c>
      <c r="C4621" s="11" t="str">
        <f>INDEX(Data,2,2+MOD(ROWS(C$2:C4621)-1,24))</f>
        <v>12.00</v>
      </c>
      <c r="D4621" s="8" t="str">
        <f t="shared" ca="1" si="218"/>
        <v>—</v>
      </c>
      <c r="E4621" s="16">
        <f t="shared" ca="1" si="219"/>
        <v>7</v>
      </c>
    </row>
    <row r="4622" spans="1:5" x14ac:dyDescent="0.25">
      <c r="A4622" s="3">
        <f t="shared" si="217"/>
        <v>78989</v>
      </c>
      <c r="B4622" t="str">
        <f ca="1">TEXT(DATE(YEAR(Invoer!$A$5),1,1)+INT((ROWS(B$2:B4622)-1)/24),"""18""jjmmdd")</f>
        <v>18980712</v>
      </c>
      <c r="C4622" s="11" t="str">
        <f>INDEX(Data,2,2+MOD(ROWS(C$2:C4622)-1,24))</f>
        <v>13.00</v>
      </c>
      <c r="D4622" s="8" t="str">
        <f t="shared" ca="1" si="218"/>
        <v>—</v>
      </c>
      <c r="E4622" s="16">
        <f t="shared" ca="1" si="219"/>
        <v>7</v>
      </c>
    </row>
    <row r="4623" spans="1:5" x14ac:dyDescent="0.25">
      <c r="A4623" s="3">
        <f t="shared" si="217"/>
        <v>78989</v>
      </c>
      <c r="B4623" t="str">
        <f ca="1">TEXT(DATE(YEAR(Invoer!$A$5),1,1)+INT((ROWS(B$2:B4623)-1)/24),"""18""jjmmdd")</f>
        <v>18980712</v>
      </c>
      <c r="C4623" s="11" t="str">
        <f>INDEX(Data,2,2+MOD(ROWS(C$2:C4623)-1,24))</f>
        <v>14.00</v>
      </c>
      <c r="D4623" s="8" t="str">
        <f t="shared" ca="1" si="218"/>
        <v>—</v>
      </c>
      <c r="E4623" s="16">
        <f t="shared" ca="1" si="219"/>
        <v>7</v>
      </c>
    </row>
    <row r="4624" spans="1:5" x14ac:dyDescent="0.25">
      <c r="A4624" s="3">
        <f t="shared" si="217"/>
        <v>78989</v>
      </c>
      <c r="B4624" t="str">
        <f ca="1">TEXT(DATE(YEAR(Invoer!$A$5),1,1)+INT((ROWS(B$2:B4624)-1)/24),"""18""jjmmdd")</f>
        <v>18980712</v>
      </c>
      <c r="C4624" s="11" t="str">
        <f>INDEX(Data,2,2+MOD(ROWS(C$2:C4624)-1,24))</f>
        <v>15.00</v>
      </c>
      <c r="D4624" s="8" t="str">
        <f t="shared" ca="1" si="218"/>
        <v>—</v>
      </c>
      <c r="E4624" s="16">
        <f t="shared" ca="1" si="219"/>
        <v>7</v>
      </c>
    </row>
    <row r="4625" spans="1:5" x14ac:dyDescent="0.25">
      <c r="A4625" s="3">
        <f t="shared" si="217"/>
        <v>78989</v>
      </c>
      <c r="B4625" t="str">
        <f ca="1">TEXT(DATE(YEAR(Invoer!$A$5),1,1)+INT((ROWS(B$2:B4625)-1)/24),"""18""jjmmdd")</f>
        <v>18980712</v>
      </c>
      <c r="C4625" s="11" t="str">
        <f>INDEX(Data,2,2+MOD(ROWS(C$2:C4625)-1,24))</f>
        <v>16.00</v>
      </c>
      <c r="D4625" s="8" t="str">
        <f t="shared" ca="1" si="218"/>
        <v>—</v>
      </c>
      <c r="E4625" s="16">
        <f t="shared" ca="1" si="219"/>
        <v>7</v>
      </c>
    </row>
    <row r="4626" spans="1:5" x14ac:dyDescent="0.25">
      <c r="A4626" s="3">
        <f t="shared" si="217"/>
        <v>78989</v>
      </c>
      <c r="B4626" t="str">
        <f ca="1">TEXT(DATE(YEAR(Invoer!$A$5),1,1)+INT((ROWS(B$2:B4626)-1)/24),"""18""jjmmdd")</f>
        <v>18980712</v>
      </c>
      <c r="C4626" s="11" t="str">
        <f>INDEX(Data,2,2+MOD(ROWS(C$2:C4626)-1,24))</f>
        <v>17.00</v>
      </c>
      <c r="D4626" s="8" t="str">
        <f t="shared" ca="1" si="218"/>
        <v>—</v>
      </c>
      <c r="E4626" s="16">
        <f t="shared" ca="1" si="219"/>
        <v>7</v>
      </c>
    </row>
    <row r="4627" spans="1:5" x14ac:dyDescent="0.25">
      <c r="A4627" s="3">
        <f t="shared" si="217"/>
        <v>78989</v>
      </c>
      <c r="B4627" t="str">
        <f ca="1">TEXT(DATE(YEAR(Invoer!$A$5),1,1)+INT((ROWS(B$2:B4627)-1)/24),"""18""jjmmdd")</f>
        <v>18980712</v>
      </c>
      <c r="C4627" s="11" t="str">
        <f>INDEX(Data,2,2+MOD(ROWS(C$2:C4627)-1,24))</f>
        <v>18.00</v>
      </c>
      <c r="D4627" s="8" t="str">
        <f t="shared" ca="1" si="218"/>
        <v>—</v>
      </c>
      <c r="E4627" s="16">
        <f t="shared" ca="1" si="219"/>
        <v>7</v>
      </c>
    </row>
    <row r="4628" spans="1:5" x14ac:dyDescent="0.25">
      <c r="A4628" s="3">
        <f t="shared" si="217"/>
        <v>78989</v>
      </c>
      <c r="B4628" t="str">
        <f ca="1">TEXT(DATE(YEAR(Invoer!$A$5),1,1)+INT((ROWS(B$2:B4628)-1)/24),"""18""jjmmdd")</f>
        <v>18980712</v>
      </c>
      <c r="C4628" s="11" t="str">
        <f>INDEX(Data,2,2+MOD(ROWS(C$2:C4628)-1,24))</f>
        <v>19.00</v>
      </c>
      <c r="D4628" s="8" t="str">
        <f t="shared" ca="1" si="218"/>
        <v>—</v>
      </c>
      <c r="E4628" s="16">
        <f t="shared" ca="1" si="219"/>
        <v>7</v>
      </c>
    </row>
    <row r="4629" spans="1:5" x14ac:dyDescent="0.25">
      <c r="A4629" s="3">
        <f t="shared" si="217"/>
        <v>78989</v>
      </c>
      <c r="B4629" t="str">
        <f ca="1">TEXT(DATE(YEAR(Invoer!$A$5),1,1)+INT((ROWS(B$2:B4629)-1)/24),"""18""jjmmdd")</f>
        <v>18980712</v>
      </c>
      <c r="C4629" s="11" t="str">
        <f>INDEX(Data,2,2+MOD(ROWS(C$2:C4629)-1,24))</f>
        <v>20.00</v>
      </c>
      <c r="D4629" s="8" t="str">
        <f t="shared" ca="1" si="218"/>
        <v>—</v>
      </c>
      <c r="E4629" s="16">
        <f t="shared" ca="1" si="219"/>
        <v>7</v>
      </c>
    </row>
    <row r="4630" spans="1:5" x14ac:dyDescent="0.25">
      <c r="A4630" s="3">
        <f t="shared" si="217"/>
        <v>78989</v>
      </c>
      <c r="B4630" t="str">
        <f ca="1">TEXT(DATE(YEAR(Invoer!$A$5),1,1)+INT((ROWS(B$2:B4630)-1)/24),"""18""jjmmdd")</f>
        <v>18980712</v>
      </c>
      <c r="C4630" s="11" t="str">
        <f>INDEX(Data,2,2+MOD(ROWS(C$2:C4630)-1,24))</f>
        <v>21.00</v>
      </c>
      <c r="D4630" s="8" t="str">
        <f t="shared" ca="1" si="218"/>
        <v>—</v>
      </c>
      <c r="E4630" s="16">
        <f t="shared" ca="1" si="219"/>
        <v>7</v>
      </c>
    </row>
    <row r="4631" spans="1:5" x14ac:dyDescent="0.25">
      <c r="A4631" s="3">
        <f t="shared" si="217"/>
        <v>78989</v>
      </c>
      <c r="B4631" t="str">
        <f ca="1">TEXT(DATE(YEAR(Invoer!$A$5),1,1)+INT((ROWS(B$2:B4631)-1)/24),"""18""jjmmdd")</f>
        <v>18980712</v>
      </c>
      <c r="C4631" s="11" t="str">
        <f>INDEX(Data,2,2+MOD(ROWS(C$2:C4631)-1,24))</f>
        <v>22.00</v>
      </c>
      <c r="D4631" s="8" t="str">
        <f t="shared" ca="1" si="218"/>
        <v>—</v>
      </c>
      <c r="E4631" s="16">
        <f t="shared" ca="1" si="219"/>
        <v>7</v>
      </c>
    </row>
    <row r="4632" spans="1:5" x14ac:dyDescent="0.25">
      <c r="A4632" s="3">
        <f t="shared" si="217"/>
        <v>78989</v>
      </c>
      <c r="B4632" t="str">
        <f ca="1">TEXT(DATE(YEAR(Invoer!$A$5),1,1)+INT((ROWS(B$2:B4632)-1)/24),"""18""jjmmdd")</f>
        <v>18980712</v>
      </c>
      <c r="C4632" s="11" t="str">
        <f>INDEX(Data,2,2+MOD(ROWS(C$2:C4632)-1,24))</f>
        <v>23.00</v>
      </c>
      <c r="D4632" s="8" t="str">
        <f t="shared" ca="1" si="218"/>
        <v>—</v>
      </c>
      <c r="E4632" s="16">
        <f t="shared" ca="1" si="219"/>
        <v>7</v>
      </c>
    </row>
    <row r="4633" spans="1:5" x14ac:dyDescent="0.25">
      <c r="A4633" s="3">
        <f t="shared" si="217"/>
        <v>78989</v>
      </c>
      <c r="B4633" t="str">
        <f ca="1">TEXT(DATE(YEAR(Invoer!$A$5),1,1)+INT((ROWS(B$2:B4633)-1)/24),"""18""jjmmdd")</f>
        <v>18980712</v>
      </c>
      <c r="C4633" s="11" t="str">
        <f>INDEX(Data,2,2+MOD(ROWS(C$2:C4633)-1,24))</f>
        <v>24.00</v>
      </c>
      <c r="D4633" s="8" t="str">
        <f t="shared" ca="1" si="218"/>
        <v>—</v>
      </c>
      <c r="E4633" s="16">
        <f t="shared" ca="1" si="219"/>
        <v>7</v>
      </c>
    </row>
    <row r="4634" spans="1:5" x14ac:dyDescent="0.25">
      <c r="A4634" s="3">
        <f t="shared" si="217"/>
        <v>78989</v>
      </c>
      <c r="B4634" t="str">
        <f ca="1">TEXT(DATE(YEAR(Invoer!$A$5),1,1)+INT((ROWS(B$2:B4634)-1)/24),"""18""jjmmdd")</f>
        <v>18980713</v>
      </c>
      <c r="C4634" s="11" t="str">
        <f>INDEX(Data,2,2+MOD(ROWS(C$2:C4634)-1,24))</f>
        <v>01.00</v>
      </c>
      <c r="D4634" s="8" t="str">
        <f t="shared" ca="1" si="218"/>
        <v>—</v>
      </c>
      <c r="E4634" s="16">
        <f t="shared" ca="1" si="219"/>
        <v>7</v>
      </c>
    </row>
    <row r="4635" spans="1:5" x14ac:dyDescent="0.25">
      <c r="A4635" s="3">
        <f t="shared" si="217"/>
        <v>78989</v>
      </c>
      <c r="B4635" t="str">
        <f ca="1">TEXT(DATE(YEAR(Invoer!$A$5),1,1)+INT((ROWS(B$2:B4635)-1)/24),"""18""jjmmdd")</f>
        <v>18980713</v>
      </c>
      <c r="C4635" s="11" t="str">
        <f>INDEX(Data,2,2+MOD(ROWS(C$2:C4635)-1,24))</f>
        <v>02.00</v>
      </c>
      <c r="D4635" s="8" t="str">
        <f t="shared" ca="1" si="218"/>
        <v>—</v>
      </c>
      <c r="E4635" s="16">
        <f t="shared" ca="1" si="219"/>
        <v>7</v>
      </c>
    </row>
    <row r="4636" spans="1:5" x14ac:dyDescent="0.25">
      <c r="A4636" s="3">
        <f t="shared" si="217"/>
        <v>78989</v>
      </c>
      <c r="B4636" t="str">
        <f ca="1">TEXT(DATE(YEAR(Invoer!$A$5),1,1)+INT((ROWS(B$2:B4636)-1)/24),"""18""jjmmdd")</f>
        <v>18980713</v>
      </c>
      <c r="C4636" s="11" t="str">
        <f>INDEX(Data,2,2+MOD(ROWS(C$2:C4636)-1,24))</f>
        <v>03.00</v>
      </c>
      <c r="D4636" s="8" t="str">
        <f t="shared" ca="1" si="218"/>
        <v>—</v>
      </c>
      <c r="E4636" s="16">
        <f t="shared" ca="1" si="219"/>
        <v>7</v>
      </c>
    </row>
    <row r="4637" spans="1:5" x14ac:dyDescent="0.25">
      <c r="A4637" s="3">
        <f t="shared" si="217"/>
        <v>78989</v>
      </c>
      <c r="B4637" t="str">
        <f ca="1">TEXT(DATE(YEAR(Invoer!$A$5),1,1)+INT((ROWS(B$2:B4637)-1)/24),"""18""jjmmdd")</f>
        <v>18980713</v>
      </c>
      <c r="C4637" s="11" t="str">
        <f>INDEX(Data,2,2+MOD(ROWS(C$2:C4637)-1,24))</f>
        <v>04.00</v>
      </c>
      <c r="D4637" s="8" t="str">
        <f t="shared" ca="1" si="218"/>
        <v>—</v>
      </c>
      <c r="E4637" s="16">
        <f t="shared" ca="1" si="219"/>
        <v>7</v>
      </c>
    </row>
    <row r="4638" spans="1:5" x14ac:dyDescent="0.25">
      <c r="A4638" s="3">
        <f t="shared" si="217"/>
        <v>78989</v>
      </c>
      <c r="B4638" t="str">
        <f ca="1">TEXT(DATE(YEAR(Invoer!$A$5),1,1)+INT((ROWS(B$2:B4638)-1)/24),"""18""jjmmdd")</f>
        <v>18980713</v>
      </c>
      <c r="C4638" s="11" t="str">
        <f>INDEX(Data,2,2+MOD(ROWS(C$2:C4638)-1,24))</f>
        <v>05.00</v>
      </c>
      <c r="D4638" s="8" t="str">
        <f t="shared" ca="1" si="218"/>
        <v>—</v>
      </c>
      <c r="E4638" s="16">
        <f t="shared" ca="1" si="219"/>
        <v>7</v>
      </c>
    </row>
    <row r="4639" spans="1:5" x14ac:dyDescent="0.25">
      <c r="A4639" s="3">
        <f t="shared" si="217"/>
        <v>78989</v>
      </c>
      <c r="B4639" t="str">
        <f ca="1">TEXT(DATE(YEAR(Invoer!$A$5),1,1)+INT((ROWS(B$2:B4639)-1)/24),"""18""jjmmdd")</f>
        <v>18980713</v>
      </c>
      <c r="C4639" s="11" t="str">
        <f>INDEX(Data,2,2+MOD(ROWS(C$2:C4639)-1,24))</f>
        <v>06.00</v>
      </c>
      <c r="D4639" s="8" t="str">
        <f t="shared" ca="1" si="218"/>
        <v>—</v>
      </c>
      <c r="E4639" s="16">
        <f t="shared" ca="1" si="219"/>
        <v>7</v>
      </c>
    </row>
    <row r="4640" spans="1:5" x14ac:dyDescent="0.25">
      <c r="A4640" s="3">
        <f t="shared" si="217"/>
        <v>78989</v>
      </c>
      <c r="B4640" t="str">
        <f ca="1">TEXT(DATE(YEAR(Invoer!$A$5),1,1)+INT((ROWS(B$2:B4640)-1)/24),"""18""jjmmdd")</f>
        <v>18980713</v>
      </c>
      <c r="C4640" s="11" t="str">
        <f>INDEX(Data,2,2+MOD(ROWS(C$2:C4640)-1,24))</f>
        <v>07.00</v>
      </c>
      <c r="D4640" s="8" t="str">
        <f t="shared" ca="1" si="218"/>
        <v>—</v>
      </c>
      <c r="E4640" s="16">
        <f t="shared" ca="1" si="219"/>
        <v>7</v>
      </c>
    </row>
    <row r="4641" spans="1:5" x14ac:dyDescent="0.25">
      <c r="A4641" s="3">
        <f t="shared" si="217"/>
        <v>78989</v>
      </c>
      <c r="B4641" t="str">
        <f ca="1">TEXT(DATE(YEAR(Invoer!$A$5),1,1)+INT((ROWS(B$2:B4641)-1)/24),"""18""jjmmdd")</f>
        <v>18980713</v>
      </c>
      <c r="C4641" s="11" t="str">
        <f>INDEX(Data,2,2+MOD(ROWS(C$2:C4641)-1,24))</f>
        <v>08.00</v>
      </c>
      <c r="D4641" s="8" t="str">
        <f t="shared" ca="1" si="218"/>
        <v>—</v>
      </c>
      <c r="E4641" s="16">
        <f t="shared" ca="1" si="219"/>
        <v>7</v>
      </c>
    </row>
    <row r="4642" spans="1:5" x14ac:dyDescent="0.25">
      <c r="A4642" s="3">
        <f t="shared" si="217"/>
        <v>78989</v>
      </c>
      <c r="B4642" t="str">
        <f ca="1">TEXT(DATE(YEAR(Invoer!$A$5),1,1)+INT((ROWS(B$2:B4642)-1)/24),"""18""jjmmdd")</f>
        <v>18980713</v>
      </c>
      <c r="C4642" s="11" t="str">
        <f>INDEX(Data,2,2+MOD(ROWS(C$2:C4642)-1,24))</f>
        <v>09.00</v>
      </c>
      <c r="D4642" s="8" t="str">
        <f t="shared" ca="1" si="218"/>
        <v>—</v>
      </c>
      <c r="E4642" s="16">
        <f t="shared" ca="1" si="219"/>
        <v>7</v>
      </c>
    </row>
    <row r="4643" spans="1:5" x14ac:dyDescent="0.25">
      <c r="A4643" s="3">
        <f t="shared" si="217"/>
        <v>78989</v>
      </c>
      <c r="B4643" t="str">
        <f ca="1">TEXT(DATE(YEAR(Invoer!$A$5),1,1)+INT((ROWS(B$2:B4643)-1)/24),"""18""jjmmdd")</f>
        <v>18980713</v>
      </c>
      <c r="C4643" s="11" t="str">
        <f>INDEX(Data,2,2+MOD(ROWS(C$2:C4643)-1,24))</f>
        <v>10.00</v>
      </c>
      <c r="D4643" s="8" t="str">
        <f t="shared" ca="1" si="218"/>
        <v>—</v>
      </c>
      <c r="E4643" s="16">
        <f t="shared" ca="1" si="219"/>
        <v>7</v>
      </c>
    </row>
    <row r="4644" spans="1:5" x14ac:dyDescent="0.25">
      <c r="A4644" s="3">
        <f t="shared" si="217"/>
        <v>78989</v>
      </c>
      <c r="B4644" t="str">
        <f ca="1">TEXT(DATE(YEAR(Invoer!$A$5),1,1)+INT((ROWS(B$2:B4644)-1)/24),"""18""jjmmdd")</f>
        <v>18980713</v>
      </c>
      <c r="C4644" s="11" t="str">
        <f>INDEX(Data,2,2+MOD(ROWS(C$2:C4644)-1,24))</f>
        <v>11.00</v>
      </c>
      <c r="D4644" s="8" t="str">
        <f t="shared" ca="1" si="218"/>
        <v>—</v>
      </c>
      <c r="E4644" s="16">
        <f t="shared" ca="1" si="219"/>
        <v>7</v>
      </c>
    </row>
    <row r="4645" spans="1:5" x14ac:dyDescent="0.25">
      <c r="A4645" s="3">
        <f t="shared" si="217"/>
        <v>78989</v>
      </c>
      <c r="B4645" t="str">
        <f ca="1">TEXT(DATE(YEAR(Invoer!$A$5),1,1)+INT((ROWS(B$2:B4645)-1)/24),"""18""jjmmdd")</f>
        <v>18980713</v>
      </c>
      <c r="C4645" s="11" t="str">
        <f>INDEX(Data,2,2+MOD(ROWS(C$2:C4645)-1,24))</f>
        <v>12.00</v>
      </c>
      <c r="D4645" s="8" t="str">
        <f t="shared" ca="1" si="218"/>
        <v>—</v>
      </c>
      <c r="E4645" s="16">
        <f t="shared" ca="1" si="219"/>
        <v>7</v>
      </c>
    </row>
    <row r="4646" spans="1:5" x14ac:dyDescent="0.25">
      <c r="A4646" s="3">
        <f t="shared" si="217"/>
        <v>78989</v>
      </c>
      <c r="B4646" t="str">
        <f ca="1">TEXT(DATE(YEAR(Invoer!$A$5),1,1)+INT((ROWS(B$2:B4646)-1)/24),"""18""jjmmdd")</f>
        <v>18980713</v>
      </c>
      <c r="C4646" s="11" t="str">
        <f>INDEX(Data,2,2+MOD(ROWS(C$2:C4646)-1,24))</f>
        <v>13.00</v>
      </c>
      <c r="D4646" s="8" t="str">
        <f t="shared" ca="1" si="218"/>
        <v>—</v>
      </c>
      <c r="E4646" s="16">
        <f t="shared" ca="1" si="219"/>
        <v>7</v>
      </c>
    </row>
    <row r="4647" spans="1:5" x14ac:dyDescent="0.25">
      <c r="A4647" s="3">
        <f t="shared" si="217"/>
        <v>78989</v>
      </c>
      <c r="B4647" t="str">
        <f ca="1">TEXT(DATE(YEAR(Invoer!$A$5),1,1)+INT((ROWS(B$2:B4647)-1)/24),"""18""jjmmdd")</f>
        <v>18980713</v>
      </c>
      <c r="C4647" s="11" t="str">
        <f>INDEX(Data,2,2+MOD(ROWS(C$2:C4647)-1,24))</f>
        <v>14.00</v>
      </c>
      <c r="D4647" s="8" t="str">
        <f t="shared" ca="1" si="218"/>
        <v>—</v>
      </c>
      <c r="E4647" s="16">
        <f t="shared" ca="1" si="219"/>
        <v>7</v>
      </c>
    </row>
    <row r="4648" spans="1:5" x14ac:dyDescent="0.25">
      <c r="A4648" s="3">
        <f t="shared" si="217"/>
        <v>78989</v>
      </c>
      <c r="B4648" t="str">
        <f ca="1">TEXT(DATE(YEAR(Invoer!$A$5),1,1)+INT((ROWS(B$2:B4648)-1)/24),"""18""jjmmdd")</f>
        <v>18980713</v>
      </c>
      <c r="C4648" s="11" t="str">
        <f>INDEX(Data,2,2+MOD(ROWS(C$2:C4648)-1,24))</f>
        <v>15.00</v>
      </c>
      <c r="D4648" s="8" t="str">
        <f t="shared" ca="1" si="218"/>
        <v>—</v>
      </c>
      <c r="E4648" s="16">
        <f t="shared" ca="1" si="219"/>
        <v>7</v>
      </c>
    </row>
    <row r="4649" spans="1:5" x14ac:dyDescent="0.25">
      <c r="A4649" s="3">
        <f t="shared" si="217"/>
        <v>78989</v>
      </c>
      <c r="B4649" t="str">
        <f ca="1">TEXT(DATE(YEAR(Invoer!$A$5),1,1)+INT((ROWS(B$2:B4649)-1)/24),"""18""jjmmdd")</f>
        <v>18980713</v>
      </c>
      <c r="C4649" s="11" t="str">
        <f>INDEX(Data,2,2+MOD(ROWS(C$2:C4649)-1,24))</f>
        <v>16.00</v>
      </c>
      <c r="D4649" s="8" t="str">
        <f t="shared" ca="1" si="218"/>
        <v>—</v>
      </c>
      <c r="E4649" s="16">
        <f t="shared" ca="1" si="219"/>
        <v>7</v>
      </c>
    </row>
    <row r="4650" spans="1:5" x14ac:dyDescent="0.25">
      <c r="A4650" s="3">
        <f t="shared" si="217"/>
        <v>78989</v>
      </c>
      <c r="B4650" t="str">
        <f ca="1">TEXT(DATE(YEAR(Invoer!$A$5),1,1)+INT((ROWS(B$2:B4650)-1)/24),"""18""jjmmdd")</f>
        <v>18980713</v>
      </c>
      <c r="C4650" s="11" t="str">
        <f>INDEX(Data,2,2+MOD(ROWS(C$2:C4650)-1,24))</f>
        <v>17.00</v>
      </c>
      <c r="D4650" s="8" t="str">
        <f t="shared" ca="1" si="218"/>
        <v>—</v>
      </c>
      <c r="E4650" s="16">
        <f t="shared" ca="1" si="219"/>
        <v>7</v>
      </c>
    </row>
    <row r="4651" spans="1:5" x14ac:dyDescent="0.25">
      <c r="A4651" s="3">
        <f t="shared" si="217"/>
        <v>78989</v>
      </c>
      <c r="B4651" t="str">
        <f ca="1">TEXT(DATE(YEAR(Invoer!$A$5),1,1)+INT((ROWS(B$2:B4651)-1)/24),"""18""jjmmdd")</f>
        <v>18980713</v>
      </c>
      <c r="C4651" s="11" t="str">
        <f>INDEX(Data,2,2+MOD(ROWS(C$2:C4651)-1,24))</f>
        <v>18.00</v>
      </c>
      <c r="D4651" s="8" t="str">
        <f t="shared" ca="1" si="218"/>
        <v>—</v>
      </c>
      <c r="E4651" s="16">
        <f t="shared" ca="1" si="219"/>
        <v>7</v>
      </c>
    </row>
    <row r="4652" spans="1:5" x14ac:dyDescent="0.25">
      <c r="A4652" s="3">
        <f t="shared" si="217"/>
        <v>78989</v>
      </c>
      <c r="B4652" t="str">
        <f ca="1">TEXT(DATE(YEAR(Invoer!$A$5),1,1)+INT((ROWS(B$2:B4652)-1)/24),"""18""jjmmdd")</f>
        <v>18980713</v>
      </c>
      <c r="C4652" s="11" t="str">
        <f>INDEX(Data,2,2+MOD(ROWS(C$2:C4652)-1,24))</f>
        <v>19.00</v>
      </c>
      <c r="D4652" s="8" t="str">
        <f t="shared" ca="1" si="218"/>
        <v>—</v>
      </c>
      <c r="E4652" s="16">
        <f t="shared" ca="1" si="219"/>
        <v>7</v>
      </c>
    </row>
    <row r="4653" spans="1:5" x14ac:dyDescent="0.25">
      <c r="A4653" s="3">
        <f t="shared" si="217"/>
        <v>78989</v>
      </c>
      <c r="B4653" t="str">
        <f ca="1">TEXT(DATE(YEAR(Invoer!$A$5),1,1)+INT((ROWS(B$2:B4653)-1)/24),"""18""jjmmdd")</f>
        <v>18980713</v>
      </c>
      <c r="C4653" s="11" t="str">
        <f>INDEX(Data,2,2+MOD(ROWS(C$2:C4653)-1,24))</f>
        <v>20.00</v>
      </c>
      <c r="D4653" s="8" t="str">
        <f t="shared" ca="1" si="218"/>
        <v>—</v>
      </c>
      <c r="E4653" s="16">
        <f t="shared" ca="1" si="219"/>
        <v>7</v>
      </c>
    </row>
    <row r="4654" spans="1:5" x14ac:dyDescent="0.25">
      <c r="A4654" s="3">
        <f t="shared" si="217"/>
        <v>78989</v>
      </c>
      <c r="B4654" t="str">
        <f ca="1">TEXT(DATE(YEAR(Invoer!$A$5),1,1)+INT((ROWS(B$2:B4654)-1)/24),"""18""jjmmdd")</f>
        <v>18980713</v>
      </c>
      <c r="C4654" s="11" t="str">
        <f>INDEX(Data,2,2+MOD(ROWS(C$2:C4654)-1,24))</f>
        <v>21.00</v>
      </c>
      <c r="D4654" s="8" t="str">
        <f t="shared" ca="1" si="218"/>
        <v>—</v>
      </c>
      <c r="E4654" s="16">
        <f t="shared" ca="1" si="219"/>
        <v>7</v>
      </c>
    </row>
    <row r="4655" spans="1:5" x14ac:dyDescent="0.25">
      <c r="A4655" s="3">
        <f t="shared" si="217"/>
        <v>78989</v>
      </c>
      <c r="B4655" t="str">
        <f ca="1">TEXT(DATE(YEAR(Invoer!$A$5),1,1)+INT((ROWS(B$2:B4655)-1)/24),"""18""jjmmdd")</f>
        <v>18980713</v>
      </c>
      <c r="C4655" s="11" t="str">
        <f>INDEX(Data,2,2+MOD(ROWS(C$2:C4655)-1,24))</f>
        <v>22.00</v>
      </c>
      <c r="D4655" s="8" t="str">
        <f t="shared" ca="1" si="218"/>
        <v>—</v>
      </c>
      <c r="E4655" s="16">
        <f t="shared" ca="1" si="219"/>
        <v>7</v>
      </c>
    </row>
    <row r="4656" spans="1:5" x14ac:dyDescent="0.25">
      <c r="A4656" s="3">
        <f t="shared" si="217"/>
        <v>78989</v>
      </c>
      <c r="B4656" t="str">
        <f ca="1">TEXT(DATE(YEAR(Invoer!$A$5),1,1)+INT((ROWS(B$2:B4656)-1)/24),"""18""jjmmdd")</f>
        <v>18980713</v>
      </c>
      <c r="C4656" s="11" t="str">
        <f>INDEX(Data,2,2+MOD(ROWS(C$2:C4656)-1,24))</f>
        <v>23.00</v>
      </c>
      <c r="D4656" s="8" t="str">
        <f t="shared" ca="1" si="218"/>
        <v>—</v>
      </c>
      <c r="E4656" s="16">
        <f t="shared" ca="1" si="219"/>
        <v>7</v>
      </c>
    </row>
    <row r="4657" spans="1:5" x14ac:dyDescent="0.25">
      <c r="A4657" s="3">
        <f t="shared" si="217"/>
        <v>78989</v>
      </c>
      <c r="B4657" t="str">
        <f ca="1">TEXT(DATE(YEAR(Invoer!$A$5),1,1)+INT((ROWS(B$2:B4657)-1)/24),"""18""jjmmdd")</f>
        <v>18980713</v>
      </c>
      <c r="C4657" s="11" t="str">
        <f>INDEX(Data,2,2+MOD(ROWS(C$2:C4657)-1,24))</f>
        <v>24.00</v>
      </c>
      <c r="D4657" s="8" t="str">
        <f t="shared" ca="1" si="218"/>
        <v>—</v>
      </c>
      <c r="E4657" s="16">
        <f t="shared" ca="1" si="219"/>
        <v>7</v>
      </c>
    </row>
    <row r="4658" spans="1:5" x14ac:dyDescent="0.25">
      <c r="A4658" s="3">
        <f t="shared" si="217"/>
        <v>78989</v>
      </c>
      <c r="B4658" t="str">
        <f ca="1">TEXT(DATE(YEAR(Invoer!$A$5),1,1)+INT((ROWS(B$2:B4658)-1)/24),"""18""jjmmdd")</f>
        <v>18980714</v>
      </c>
      <c r="C4658" s="11" t="str">
        <f>INDEX(Data,2,2+MOD(ROWS(C$2:C4658)-1,24))</f>
        <v>01.00</v>
      </c>
      <c r="D4658" s="8" t="str">
        <f t="shared" ca="1" si="218"/>
        <v>—</v>
      </c>
      <c r="E4658" s="16">
        <f t="shared" ca="1" si="219"/>
        <v>7</v>
      </c>
    </row>
    <row r="4659" spans="1:5" x14ac:dyDescent="0.25">
      <c r="A4659" s="3">
        <f t="shared" si="217"/>
        <v>78989</v>
      </c>
      <c r="B4659" t="str">
        <f ca="1">TEXT(DATE(YEAR(Invoer!$A$5),1,1)+INT((ROWS(B$2:B4659)-1)/24),"""18""jjmmdd")</f>
        <v>18980714</v>
      </c>
      <c r="C4659" s="11" t="str">
        <f>INDEX(Data,2,2+MOD(ROWS(C$2:C4659)-1,24))</f>
        <v>02.00</v>
      </c>
      <c r="D4659" s="8" t="str">
        <f t="shared" ca="1" si="218"/>
        <v>—</v>
      </c>
      <c r="E4659" s="16">
        <f t="shared" ca="1" si="219"/>
        <v>7</v>
      </c>
    </row>
    <row r="4660" spans="1:5" x14ac:dyDescent="0.25">
      <c r="A4660" s="3">
        <f t="shared" si="217"/>
        <v>78989</v>
      </c>
      <c r="B4660" t="str">
        <f ca="1">TEXT(DATE(YEAR(Invoer!$A$5),1,1)+INT((ROWS(B$2:B4660)-1)/24),"""18""jjmmdd")</f>
        <v>18980714</v>
      </c>
      <c r="C4660" s="11" t="str">
        <f>INDEX(Data,2,2+MOD(ROWS(C$2:C4660)-1,24))</f>
        <v>03.00</v>
      </c>
      <c r="D4660" s="8" t="str">
        <f t="shared" ca="1" si="218"/>
        <v>—</v>
      </c>
      <c r="E4660" s="16">
        <f t="shared" ca="1" si="219"/>
        <v>7</v>
      </c>
    </row>
    <row r="4661" spans="1:5" x14ac:dyDescent="0.25">
      <c r="A4661" s="3">
        <f t="shared" si="217"/>
        <v>78989</v>
      </c>
      <c r="B4661" t="str">
        <f ca="1">TEXT(DATE(YEAR(Invoer!$A$5),1,1)+INT((ROWS(B$2:B4661)-1)/24),"""18""jjmmdd")</f>
        <v>18980714</v>
      </c>
      <c r="C4661" s="11" t="str">
        <f>INDEX(Data,2,2+MOD(ROWS(C$2:C4661)-1,24))</f>
        <v>04.00</v>
      </c>
      <c r="D4661" s="8" t="str">
        <f t="shared" ca="1" si="218"/>
        <v>—</v>
      </c>
      <c r="E4661" s="16">
        <f t="shared" ca="1" si="219"/>
        <v>7</v>
      </c>
    </row>
    <row r="4662" spans="1:5" x14ac:dyDescent="0.25">
      <c r="A4662" s="3">
        <f t="shared" si="217"/>
        <v>78989</v>
      </c>
      <c r="B4662" t="str">
        <f ca="1">TEXT(DATE(YEAR(Invoer!$A$5),1,1)+INT((ROWS(B$2:B4662)-1)/24),"""18""jjmmdd")</f>
        <v>18980714</v>
      </c>
      <c r="C4662" s="11" t="str">
        <f>INDEX(Data,2,2+MOD(ROWS(C$2:C4662)-1,24))</f>
        <v>05.00</v>
      </c>
      <c r="D4662" s="8" t="str">
        <f t="shared" ca="1" si="218"/>
        <v>—</v>
      </c>
      <c r="E4662" s="16">
        <f t="shared" ca="1" si="219"/>
        <v>7</v>
      </c>
    </row>
    <row r="4663" spans="1:5" x14ac:dyDescent="0.25">
      <c r="A4663" s="3">
        <f t="shared" si="217"/>
        <v>78989</v>
      </c>
      <c r="B4663" t="str">
        <f ca="1">TEXT(DATE(YEAR(Invoer!$A$5),1,1)+INT((ROWS(B$2:B4663)-1)/24),"""18""jjmmdd")</f>
        <v>18980714</v>
      </c>
      <c r="C4663" s="11" t="str">
        <f>INDEX(Data,2,2+MOD(ROWS(C$2:C4663)-1,24))</f>
        <v>06.00</v>
      </c>
      <c r="D4663" s="8" t="str">
        <f t="shared" ca="1" si="218"/>
        <v>—</v>
      </c>
      <c r="E4663" s="16">
        <f t="shared" ca="1" si="219"/>
        <v>7</v>
      </c>
    </row>
    <row r="4664" spans="1:5" x14ac:dyDescent="0.25">
      <c r="A4664" s="3">
        <f t="shared" si="217"/>
        <v>78989</v>
      </c>
      <c r="B4664" t="str">
        <f ca="1">TEXT(DATE(YEAR(Invoer!$A$5),1,1)+INT((ROWS(B$2:B4664)-1)/24),"""18""jjmmdd")</f>
        <v>18980714</v>
      </c>
      <c r="C4664" s="11" t="str">
        <f>INDEX(Data,2,2+MOD(ROWS(C$2:C4664)-1,24))</f>
        <v>07.00</v>
      </c>
      <c r="D4664" s="8" t="str">
        <f t="shared" ca="1" si="218"/>
        <v>—</v>
      </c>
      <c r="E4664" s="16">
        <f t="shared" ca="1" si="219"/>
        <v>7</v>
      </c>
    </row>
    <row r="4665" spans="1:5" x14ac:dyDescent="0.25">
      <c r="A4665" s="3">
        <f t="shared" si="217"/>
        <v>78989</v>
      </c>
      <c r="B4665" t="str">
        <f ca="1">TEXT(DATE(YEAR(Invoer!$A$5),1,1)+INT((ROWS(B$2:B4665)-1)/24),"""18""jjmmdd")</f>
        <v>18980714</v>
      </c>
      <c r="C4665" s="11" t="str">
        <f>INDEX(Data,2,2+MOD(ROWS(C$2:C4665)-1,24))</f>
        <v>08.00</v>
      </c>
      <c r="D4665" s="8" t="str">
        <f t="shared" ca="1" si="218"/>
        <v>—</v>
      </c>
      <c r="E4665" s="16">
        <f t="shared" ca="1" si="219"/>
        <v>7</v>
      </c>
    </row>
    <row r="4666" spans="1:5" x14ac:dyDescent="0.25">
      <c r="A4666" s="3">
        <f t="shared" si="217"/>
        <v>78989</v>
      </c>
      <c r="B4666" t="str">
        <f ca="1">TEXT(DATE(YEAR(Invoer!$A$5),1,1)+INT((ROWS(B$2:B4666)-1)/24),"""18""jjmmdd")</f>
        <v>18980714</v>
      </c>
      <c r="C4666" s="11" t="str">
        <f>INDEX(Data,2,2+MOD(ROWS(C$2:C4666)-1,24))</f>
        <v>09.00</v>
      </c>
      <c r="D4666" s="8" t="str">
        <f t="shared" ca="1" si="218"/>
        <v>—</v>
      </c>
      <c r="E4666" s="16">
        <f t="shared" ca="1" si="219"/>
        <v>7</v>
      </c>
    </row>
    <row r="4667" spans="1:5" x14ac:dyDescent="0.25">
      <c r="A4667" s="3">
        <f t="shared" si="217"/>
        <v>78989</v>
      </c>
      <c r="B4667" t="str">
        <f ca="1">TEXT(DATE(YEAR(Invoer!$A$5),1,1)+INT((ROWS(B$2:B4667)-1)/24),"""18""jjmmdd")</f>
        <v>18980714</v>
      </c>
      <c r="C4667" s="11" t="str">
        <f>INDEX(Data,2,2+MOD(ROWS(C$2:C4667)-1,24))</f>
        <v>10.00</v>
      </c>
      <c r="D4667" s="8" t="str">
        <f t="shared" ca="1" si="218"/>
        <v>—</v>
      </c>
      <c r="E4667" s="16">
        <f t="shared" ca="1" si="219"/>
        <v>7</v>
      </c>
    </row>
    <row r="4668" spans="1:5" x14ac:dyDescent="0.25">
      <c r="A4668" s="3">
        <f t="shared" si="217"/>
        <v>78989</v>
      </c>
      <c r="B4668" t="str">
        <f ca="1">TEXT(DATE(YEAR(Invoer!$A$5),1,1)+INT((ROWS(B$2:B4668)-1)/24),"""18""jjmmdd")</f>
        <v>18980714</v>
      </c>
      <c r="C4668" s="11" t="str">
        <f>INDEX(Data,2,2+MOD(ROWS(C$2:C4668)-1,24))</f>
        <v>11.00</v>
      </c>
      <c r="D4668" s="8" t="str">
        <f t="shared" ca="1" si="218"/>
        <v>—</v>
      </c>
      <c r="E4668" s="16">
        <f t="shared" ca="1" si="219"/>
        <v>7</v>
      </c>
    </row>
    <row r="4669" spans="1:5" x14ac:dyDescent="0.25">
      <c r="A4669" s="3">
        <f t="shared" si="217"/>
        <v>78989</v>
      </c>
      <c r="B4669" t="str">
        <f ca="1">TEXT(DATE(YEAR(Invoer!$A$5),1,1)+INT((ROWS(B$2:B4669)-1)/24),"""18""jjmmdd")</f>
        <v>18980714</v>
      </c>
      <c r="C4669" s="11" t="str">
        <f>INDEX(Data,2,2+MOD(ROWS(C$2:C4669)-1,24))</f>
        <v>12.00</v>
      </c>
      <c r="D4669" s="8" t="str">
        <f t="shared" ca="1" si="218"/>
        <v>—</v>
      </c>
      <c r="E4669" s="16">
        <f t="shared" ca="1" si="219"/>
        <v>7</v>
      </c>
    </row>
    <row r="4670" spans="1:5" x14ac:dyDescent="0.25">
      <c r="A4670" s="3">
        <f t="shared" si="217"/>
        <v>78989</v>
      </c>
      <c r="B4670" t="str">
        <f ca="1">TEXT(DATE(YEAR(Invoer!$A$5),1,1)+INT((ROWS(B$2:B4670)-1)/24),"""18""jjmmdd")</f>
        <v>18980714</v>
      </c>
      <c r="C4670" s="11" t="str">
        <f>INDEX(Data,2,2+MOD(ROWS(C$2:C4670)-1,24))</f>
        <v>13.00</v>
      </c>
      <c r="D4670" s="8" t="str">
        <f t="shared" ca="1" si="218"/>
        <v>—</v>
      </c>
      <c r="E4670" s="16">
        <f t="shared" ca="1" si="219"/>
        <v>7</v>
      </c>
    </row>
    <row r="4671" spans="1:5" x14ac:dyDescent="0.25">
      <c r="A4671" s="3">
        <f t="shared" si="217"/>
        <v>78989</v>
      </c>
      <c r="B4671" t="str">
        <f ca="1">TEXT(DATE(YEAR(Invoer!$A$5),1,1)+INT((ROWS(B$2:B4671)-1)/24),"""18""jjmmdd")</f>
        <v>18980714</v>
      </c>
      <c r="C4671" s="11" t="str">
        <f>INDEX(Data,2,2+MOD(ROWS(C$2:C4671)-1,24))</f>
        <v>14.00</v>
      </c>
      <c r="D4671" s="8" t="str">
        <f t="shared" ca="1" si="218"/>
        <v>—</v>
      </c>
      <c r="E4671" s="16">
        <f t="shared" ca="1" si="219"/>
        <v>7</v>
      </c>
    </row>
    <row r="4672" spans="1:5" x14ac:dyDescent="0.25">
      <c r="A4672" s="3">
        <f t="shared" si="217"/>
        <v>78989</v>
      </c>
      <c r="B4672" t="str">
        <f ca="1">TEXT(DATE(YEAR(Invoer!$A$5),1,1)+INT((ROWS(B$2:B4672)-1)/24),"""18""jjmmdd")</f>
        <v>18980714</v>
      </c>
      <c r="C4672" s="11" t="str">
        <f>INDEX(Data,2,2+MOD(ROWS(C$2:C4672)-1,24))</f>
        <v>15.00</v>
      </c>
      <c r="D4672" s="8" t="str">
        <f t="shared" ca="1" si="218"/>
        <v>—</v>
      </c>
      <c r="E4672" s="16">
        <f t="shared" ca="1" si="219"/>
        <v>7</v>
      </c>
    </row>
    <row r="4673" spans="1:5" x14ac:dyDescent="0.25">
      <c r="A4673" s="3">
        <f t="shared" si="217"/>
        <v>78989</v>
      </c>
      <c r="B4673" t="str">
        <f ca="1">TEXT(DATE(YEAR(Invoer!$A$5),1,1)+INT((ROWS(B$2:B4673)-1)/24),"""18""jjmmdd")</f>
        <v>18980714</v>
      </c>
      <c r="C4673" s="11" t="str">
        <f>INDEX(Data,2,2+MOD(ROWS(C$2:C4673)-1,24))</f>
        <v>16.00</v>
      </c>
      <c r="D4673" s="8" t="str">
        <f t="shared" ca="1" si="218"/>
        <v>—</v>
      </c>
      <c r="E4673" s="16">
        <f t="shared" ca="1" si="219"/>
        <v>7</v>
      </c>
    </row>
    <row r="4674" spans="1:5" x14ac:dyDescent="0.25">
      <c r="A4674" s="3">
        <f t="shared" ref="A4674:A4737" si="220">INDEX(Stations,2,1)</f>
        <v>78989</v>
      </c>
      <c r="B4674" t="str">
        <f ca="1">TEXT(DATE(YEAR(Invoer!$A$5),1,1)+INT((ROWS(B$2:B4674)-1)/24),"""18""jjmmdd")</f>
        <v>18980714</v>
      </c>
      <c r="C4674" s="11" t="str">
        <f>INDEX(Data,2,2+MOD(ROWS(C$2:C4674)-1,24))</f>
        <v>17.00</v>
      </c>
      <c r="D4674" s="8" t="str">
        <f t="shared" ref="D4674:D4737" ca="1" si="221">IF(OR(ISBLANK(VLOOKUP(DATEVALUE("37"&amp;MID($B4674,3,2)&amp;"-"&amp;MID($B4674,5,2)&amp;"-"&amp;RIGHT($B4674,2)),Data,MATCH(LEFT(VLOOKUP(D$1,Parameters,2,FALSE()),4)&amp;"*",OFFSET(Data,0,0,1),0)+MATCH($C4674,OFFSET(Data,1,0,1),0)-2,FALSE())),ISTEXT(VLOOKUP(DATEVALUE("37"&amp;MID($B4674,3,2)&amp;"-"&amp;MID($B4674,5,2)&amp;"-"&amp;RIGHT($B4674,2)),Data,MATCH(LEFT(VLOOKUP(D$1,Parameters,2,FALSE()),4)&amp;"*",OFFSET(Data,0,0,1),0)+MATCH($C4674,OFFSET(Data,1,0,1),0)-2,FALSE()))),"—",VLOOKUP(DATEVALUE("37"&amp;MID($B4674,3,2)&amp;"-"&amp;MID($B4674,5,2)&amp;"-"&amp;RIGHT($B4674,2)),Data,MATCH(LEFT(VLOOKUP(D$1,Parameters,2,FALSE()),4)&amp;"*",OFFSET(Data,0,0,1),0)+MATCH($C4674,OFFSET(Data,1,0,1),0)-2,FALSE()))</f>
        <v>—</v>
      </c>
      <c r="E4674" s="16">
        <f t="shared" ca="1" si="219"/>
        <v>7</v>
      </c>
    </row>
    <row r="4675" spans="1:5" x14ac:dyDescent="0.25">
      <c r="A4675" s="3">
        <f t="shared" si="220"/>
        <v>78989</v>
      </c>
      <c r="B4675" t="str">
        <f ca="1">TEXT(DATE(YEAR(Invoer!$A$5),1,1)+INT((ROWS(B$2:B4675)-1)/24),"""18""jjmmdd")</f>
        <v>18980714</v>
      </c>
      <c r="C4675" s="11" t="str">
        <f>INDEX(Data,2,2+MOD(ROWS(C$2:C4675)-1,24))</f>
        <v>18.00</v>
      </c>
      <c r="D4675" s="8" t="str">
        <f t="shared" ca="1" si="221"/>
        <v>—</v>
      </c>
      <c r="E4675" s="16">
        <f t="shared" ref="E4675:E4738" ca="1" si="222">IF(OR(ISBLANK(VLOOKUP(DATEVALUE("37"&amp;MID($B4675,3,2)&amp;"-"&amp;MID($B4675,5,2)&amp;"-"&amp;RIGHT($B4675,2)),Data,MATCH(LEFT(VLOOKUP(D$1,Parameters,2,FALSE()),4)&amp;"*",OFFSET(Data,0,0,1),0)+MATCH($C4675,OFFSET(Data,1,0,1),0)-2,FALSE())),ISTEXT(VLOOKUP(DATEVALUE("37"&amp;MID($B4675,3,2)&amp;"-"&amp;MID($B4675,5,2)&amp;"-"&amp;RIGHT($B4675,2)),Data,MATCH(LEFT(VLOOKUP(D$1,Parameters,2,FALSE()),4)&amp;"*",OFFSET(Data,0,0,1),0)+MATCH($C4675,OFFSET(Data,1,0,1),0)-2,FALSE()))),Lacking,IF(ISNA(MATCH(DATEVALUE("37"&amp;MID($B4675,3,2)&amp;"-"&amp;MID($B4675,5,2)&amp;"-"&amp;RIGHT($B4675,2)),OFFSET(Catalogus,0,0,,1),0)),Ok,VLOOKUP(DATEVALUE("37"&amp;MID($B4675,3,2)&amp;"-"&amp;MID($B4675,5,2)&amp;"-"&amp;RIGHT($B4675,2)),Catalogus,MATCH(LEFT(VLOOKUP(MID(E$1,2,LEN(E$1)-1),Parameters,2,FALSE()),4)&amp;"*",OFFSET(Catalogus,0,0,1),0)+MATCH($C4675,OFFSET(Catalogus,1,0,1),0)-2,FALSE())))</f>
        <v>7</v>
      </c>
    </row>
    <row r="4676" spans="1:5" x14ac:dyDescent="0.25">
      <c r="A4676" s="3">
        <f t="shared" si="220"/>
        <v>78989</v>
      </c>
      <c r="B4676" t="str">
        <f ca="1">TEXT(DATE(YEAR(Invoer!$A$5),1,1)+INT((ROWS(B$2:B4676)-1)/24),"""18""jjmmdd")</f>
        <v>18980714</v>
      </c>
      <c r="C4676" s="11" t="str">
        <f>INDEX(Data,2,2+MOD(ROWS(C$2:C4676)-1,24))</f>
        <v>19.00</v>
      </c>
      <c r="D4676" s="8" t="str">
        <f t="shared" ca="1" si="221"/>
        <v>—</v>
      </c>
      <c r="E4676" s="16">
        <f t="shared" ca="1" si="222"/>
        <v>7</v>
      </c>
    </row>
    <row r="4677" spans="1:5" x14ac:dyDescent="0.25">
      <c r="A4677" s="3">
        <f t="shared" si="220"/>
        <v>78989</v>
      </c>
      <c r="B4677" t="str">
        <f ca="1">TEXT(DATE(YEAR(Invoer!$A$5),1,1)+INT((ROWS(B$2:B4677)-1)/24),"""18""jjmmdd")</f>
        <v>18980714</v>
      </c>
      <c r="C4677" s="11" t="str">
        <f>INDEX(Data,2,2+MOD(ROWS(C$2:C4677)-1,24))</f>
        <v>20.00</v>
      </c>
      <c r="D4677" s="8" t="str">
        <f t="shared" ca="1" si="221"/>
        <v>—</v>
      </c>
      <c r="E4677" s="16">
        <f t="shared" ca="1" si="222"/>
        <v>7</v>
      </c>
    </row>
    <row r="4678" spans="1:5" x14ac:dyDescent="0.25">
      <c r="A4678" s="3">
        <f t="shared" si="220"/>
        <v>78989</v>
      </c>
      <c r="B4678" t="str">
        <f ca="1">TEXT(DATE(YEAR(Invoer!$A$5),1,1)+INT((ROWS(B$2:B4678)-1)/24),"""18""jjmmdd")</f>
        <v>18980714</v>
      </c>
      <c r="C4678" s="11" t="str">
        <f>INDEX(Data,2,2+MOD(ROWS(C$2:C4678)-1,24))</f>
        <v>21.00</v>
      </c>
      <c r="D4678" s="8" t="str">
        <f t="shared" ca="1" si="221"/>
        <v>—</v>
      </c>
      <c r="E4678" s="16">
        <f t="shared" ca="1" si="222"/>
        <v>7</v>
      </c>
    </row>
    <row r="4679" spans="1:5" x14ac:dyDescent="0.25">
      <c r="A4679" s="3">
        <f t="shared" si="220"/>
        <v>78989</v>
      </c>
      <c r="B4679" t="str">
        <f ca="1">TEXT(DATE(YEAR(Invoer!$A$5),1,1)+INT((ROWS(B$2:B4679)-1)/24),"""18""jjmmdd")</f>
        <v>18980714</v>
      </c>
      <c r="C4679" s="11" t="str">
        <f>INDEX(Data,2,2+MOD(ROWS(C$2:C4679)-1,24))</f>
        <v>22.00</v>
      </c>
      <c r="D4679" s="8" t="str">
        <f t="shared" ca="1" si="221"/>
        <v>—</v>
      </c>
      <c r="E4679" s="16">
        <f t="shared" ca="1" si="222"/>
        <v>7</v>
      </c>
    </row>
    <row r="4680" spans="1:5" x14ac:dyDescent="0.25">
      <c r="A4680" s="3">
        <f t="shared" si="220"/>
        <v>78989</v>
      </c>
      <c r="B4680" t="str">
        <f ca="1">TEXT(DATE(YEAR(Invoer!$A$5),1,1)+INT((ROWS(B$2:B4680)-1)/24),"""18""jjmmdd")</f>
        <v>18980714</v>
      </c>
      <c r="C4680" s="11" t="str">
        <f>INDEX(Data,2,2+MOD(ROWS(C$2:C4680)-1,24))</f>
        <v>23.00</v>
      </c>
      <c r="D4680" s="8" t="str">
        <f t="shared" ca="1" si="221"/>
        <v>—</v>
      </c>
      <c r="E4680" s="16">
        <f t="shared" ca="1" si="222"/>
        <v>7</v>
      </c>
    </row>
    <row r="4681" spans="1:5" x14ac:dyDescent="0.25">
      <c r="A4681" s="3">
        <f t="shared" si="220"/>
        <v>78989</v>
      </c>
      <c r="B4681" t="str">
        <f ca="1">TEXT(DATE(YEAR(Invoer!$A$5),1,1)+INT((ROWS(B$2:B4681)-1)/24),"""18""jjmmdd")</f>
        <v>18980714</v>
      </c>
      <c r="C4681" s="11" t="str">
        <f>INDEX(Data,2,2+MOD(ROWS(C$2:C4681)-1,24))</f>
        <v>24.00</v>
      </c>
      <c r="D4681" s="8" t="str">
        <f t="shared" ca="1" si="221"/>
        <v>—</v>
      </c>
      <c r="E4681" s="16">
        <f t="shared" ca="1" si="222"/>
        <v>7</v>
      </c>
    </row>
    <row r="4682" spans="1:5" x14ac:dyDescent="0.25">
      <c r="A4682" s="3">
        <f t="shared" si="220"/>
        <v>78989</v>
      </c>
      <c r="B4682" t="str">
        <f ca="1">TEXT(DATE(YEAR(Invoer!$A$5),1,1)+INT((ROWS(B$2:B4682)-1)/24),"""18""jjmmdd")</f>
        <v>18980715</v>
      </c>
      <c r="C4682" s="11" t="str">
        <f>INDEX(Data,2,2+MOD(ROWS(C$2:C4682)-1,24))</f>
        <v>01.00</v>
      </c>
      <c r="D4682" s="8" t="str">
        <f t="shared" ca="1" si="221"/>
        <v>—</v>
      </c>
      <c r="E4682" s="16">
        <f t="shared" ca="1" si="222"/>
        <v>7</v>
      </c>
    </row>
    <row r="4683" spans="1:5" x14ac:dyDescent="0.25">
      <c r="A4683" s="3">
        <f t="shared" si="220"/>
        <v>78989</v>
      </c>
      <c r="B4683" t="str">
        <f ca="1">TEXT(DATE(YEAR(Invoer!$A$5),1,1)+INT((ROWS(B$2:B4683)-1)/24),"""18""jjmmdd")</f>
        <v>18980715</v>
      </c>
      <c r="C4683" s="11" t="str">
        <f>INDEX(Data,2,2+MOD(ROWS(C$2:C4683)-1,24))</f>
        <v>02.00</v>
      </c>
      <c r="D4683" s="8" t="str">
        <f t="shared" ca="1" si="221"/>
        <v>—</v>
      </c>
      <c r="E4683" s="16">
        <f t="shared" ca="1" si="222"/>
        <v>7</v>
      </c>
    </row>
    <row r="4684" spans="1:5" x14ac:dyDescent="0.25">
      <c r="A4684" s="3">
        <f t="shared" si="220"/>
        <v>78989</v>
      </c>
      <c r="B4684" t="str">
        <f ca="1">TEXT(DATE(YEAR(Invoer!$A$5),1,1)+INT((ROWS(B$2:B4684)-1)/24),"""18""jjmmdd")</f>
        <v>18980715</v>
      </c>
      <c r="C4684" s="11" t="str">
        <f>INDEX(Data,2,2+MOD(ROWS(C$2:C4684)-1,24))</f>
        <v>03.00</v>
      </c>
      <c r="D4684" s="8" t="str">
        <f t="shared" ca="1" si="221"/>
        <v>—</v>
      </c>
      <c r="E4684" s="16">
        <f t="shared" ca="1" si="222"/>
        <v>7</v>
      </c>
    </row>
    <row r="4685" spans="1:5" x14ac:dyDescent="0.25">
      <c r="A4685" s="3">
        <f t="shared" si="220"/>
        <v>78989</v>
      </c>
      <c r="B4685" t="str">
        <f ca="1">TEXT(DATE(YEAR(Invoer!$A$5),1,1)+INT((ROWS(B$2:B4685)-1)/24),"""18""jjmmdd")</f>
        <v>18980715</v>
      </c>
      <c r="C4685" s="11" t="str">
        <f>INDEX(Data,2,2+MOD(ROWS(C$2:C4685)-1,24))</f>
        <v>04.00</v>
      </c>
      <c r="D4685" s="8" t="str">
        <f t="shared" ca="1" si="221"/>
        <v>—</v>
      </c>
      <c r="E4685" s="16">
        <f t="shared" ca="1" si="222"/>
        <v>7</v>
      </c>
    </row>
    <row r="4686" spans="1:5" x14ac:dyDescent="0.25">
      <c r="A4686" s="3">
        <f t="shared" si="220"/>
        <v>78989</v>
      </c>
      <c r="B4686" t="str">
        <f ca="1">TEXT(DATE(YEAR(Invoer!$A$5),1,1)+INT((ROWS(B$2:B4686)-1)/24),"""18""jjmmdd")</f>
        <v>18980715</v>
      </c>
      <c r="C4686" s="11" t="str">
        <f>INDEX(Data,2,2+MOD(ROWS(C$2:C4686)-1,24))</f>
        <v>05.00</v>
      </c>
      <c r="D4686" s="8" t="str">
        <f t="shared" ca="1" si="221"/>
        <v>—</v>
      </c>
      <c r="E4686" s="16">
        <f t="shared" ca="1" si="222"/>
        <v>7</v>
      </c>
    </row>
    <row r="4687" spans="1:5" x14ac:dyDescent="0.25">
      <c r="A4687" s="3">
        <f t="shared" si="220"/>
        <v>78989</v>
      </c>
      <c r="B4687" t="str">
        <f ca="1">TEXT(DATE(YEAR(Invoer!$A$5),1,1)+INT((ROWS(B$2:B4687)-1)/24),"""18""jjmmdd")</f>
        <v>18980715</v>
      </c>
      <c r="C4687" s="11" t="str">
        <f>INDEX(Data,2,2+MOD(ROWS(C$2:C4687)-1,24))</f>
        <v>06.00</v>
      </c>
      <c r="D4687" s="8" t="str">
        <f t="shared" ca="1" si="221"/>
        <v>—</v>
      </c>
      <c r="E4687" s="16">
        <f t="shared" ca="1" si="222"/>
        <v>7</v>
      </c>
    </row>
    <row r="4688" spans="1:5" x14ac:dyDescent="0.25">
      <c r="A4688" s="3">
        <f t="shared" si="220"/>
        <v>78989</v>
      </c>
      <c r="B4688" t="str">
        <f ca="1">TEXT(DATE(YEAR(Invoer!$A$5),1,1)+INT((ROWS(B$2:B4688)-1)/24),"""18""jjmmdd")</f>
        <v>18980715</v>
      </c>
      <c r="C4688" s="11" t="str">
        <f>INDEX(Data,2,2+MOD(ROWS(C$2:C4688)-1,24))</f>
        <v>07.00</v>
      </c>
      <c r="D4688" s="8" t="str">
        <f t="shared" ca="1" si="221"/>
        <v>—</v>
      </c>
      <c r="E4688" s="16">
        <f t="shared" ca="1" si="222"/>
        <v>7</v>
      </c>
    </row>
    <row r="4689" spans="1:5" x14ac:dyDescent="0.25">
      <c r="A4689" s="3">
        <f t="shared" si="220"/>
        <v>78989</v>
      </c>
      <c r="B4689" t="str">
        <f ca="1">TEXT(DATE(YEAR(Invoer!$A$5),1,1)+INT((ROWS(B$2:B4689)-1)/24),"""18""jjmmdd")</f>
        <v>18980715</v>
      </c>
      <c r="C4689" s="11" t="str">
        <f>INDEX(Data,2,2+MOD(ROWS(C$2:C4689)-1,24))</f>
        <v>08.00</v>
      </c>
      <c r="D4689" s="8" t="str">
        <f t="shared" ca="1" si="221"/>
        <v>—</v>
      </c>
      <c r="E4689" s="16">
        <f t="shared" ca="1" si="222"/>
        <v>7</v>
      </c>
    </row>
    <row r="4690" spans="1:5" x14ac:dyDescent="0.25">
      <c r="A4690" s="3">
        <f t="shared" si="220"/>
        <v>78989</v>
      </c>
      <c r="B4690" t="str">
        <f ca="1">TEXT(DATE(YEAR(Invoer!$A$5),1,1)+INT((ROWS(B$2:B4690)-1)/24),"""18""jjmmdd")</f>
        <v>18980715</v>
      </c>
      <c r="C4690" s="11" t="str">
        <f>INDEX(Data,2,2+MOD(ROWS(C$2:C4690)-1,24))</f>
        <v>09.00</v>
      </c>
      <c r="D4690" s="8" t="str">
        <f t="shared" ca="1" si="221"/>
        <v>—</v>
      </c>
      <c r="E4690" s="16">
        <f t="shared" ca="1" si="222"/>
        <v>7</v>
      </c>
    </row>
    <row r="4691" spans="1:5" x14ac:dyDescent="0.25">
      <c r="A4691" s="3">
        <f t="shared" si="220"/>
        <v>78989</v>
      </c>
      <c r="B4691" t="str">
        <f ca="1">TEXT(DATE(YEAR(Invoer!$A$5),1,1)+INT((ROWS(B$2:B4691)-1)/24),"""18""jjmmdd")</f>
        <v>18980715</v>
      </c>
      <c r="C4691" s="11" t="str">
        <f>INDEX(Data,2,2+MOD(ROWS(C$2:C4691)-1,24))</f>
        <v>10.00</v>
      </c>
      <c r="D4691" s="8" t="str">
        <f t="shared" ca="1" si="221"/>
        <v>—</v>
      </c>
      <c r="E4691" s="16">
        <f t="shared" ca="1" si="222"/>
        <v>7</v>
      </c>
    </row>
    <row r="4692" spans="1:5" x14ac:dyDescent="0.25">
      <c r="A4692" s="3">
        <f t="shared" si="220"/>
        <v>78989</v>
      </c>
      <c r="B4692" t="str">
        <f ca="1">TEXT(DATE(YEAR(Invoer!$A$5),1,1)+INT((ROWS(B$2:B4692)-1)/24),"""18""jjmmdd")</f>
        <v>18980715</v>
      </c>
      <c r="C4692" s="11" t="str">
        <f>INDEX(Data,2,2+MOD(ROWS(C$2:C4692)-1,24))</f>
        <v>11.00</v>
      </c>
      <c r="D4692" s="8" t="str">
        <f t="shared" ca="1" si="221"/>
        <v>—</v>
      </c>
      <c r="E4692" s="16">
        <f t="shared" ca="1" si="222"/>
        <v>7</v>
      </c>
    </row>
    <row r="4693" spans="1:5" x14ac:dyDescent="0.25">
      <c r="A4693" s="3">
        <f t="shared" si="220"/>
        <v>78989</v>
      </c>
      <c r="B4693" t="str">
        <f ca="1">TEXT(DATE(YEAR(Invoer!$A$5),1,1)+INT((ROWS(B$2:B4693)-1)/24),"""18""jjmmdd")</f>
        <v>18980715</v>
      </c>
      <c r="C4693" s="11" t="str">
        <f>INDEX(Data,2,2+MOD(ROWS(C$2:C4693)-1,24))</f>
        <v>12.00</v>
      </c>
      <c r="D4693" s="8" t="str">
        <f t="shared" ca="1" si="221"/>
        <v>—</v>
      </c>
      <c r="E4693" s="16">
        <f t="shared" ca="1" si="222"/>
        <v>7</v>
      </c>
    </row>
    <row r="4694" spans="1:5" x14ac:dyDescent="0.25">
      <c r="A4694" s="3">
        <f t="shared" si="220"/>
        <v>78989</v>
      </c>
      <c r="B4694" t="str">
        <f ca="1">TEXT(DATE(YEAR(Invoer!$A$5),1,1)+INT((ROWS(B$2:B4694)-1)/24),"""18""jjmmdd")</f>
        <v>18980715</v>
      </c>
      <c r="C4694" s="11" t="str">
        <f>INDEX(Data,2,2+MOD(ROWS(C$2:C4694)-1,24))</f>
        <v>13.00</v>
      </c>
      <c r="D4694" s="8" t="str">
        <f t="shared" ca="1" si="221"/>
        <v>—</v>
      </c>
      <c r="E4694" s="16">
        <f t="shared" ca="1" si="222"/>
        <v>7</v>
      </c>
    </row>
    <row r="4695" spans="1:5" x14ac:dyDescent="0.25">
      <c r="A4695" s="3">
        <f t="shared" si="220"/>
        <v>78989</v>
      </c>
      <c r="B4695" t="str">
        <f ca="1">TEXT(DATE(YEAR(Invoer!$A$5),1,1)+INT((ROWS(B$2:B4695)-1)/24),"""18""jjmmdd")</f>
        <v>18980715</v>
      </c>
      <c r="C4695" s="11" t="str">
        <f>INDEX(Data,2,2+MOD(ROWS(C$2:C4695)-1,24))</f>
        <v>14.00</v>
      </c>
      <c r="D4695" s="8" t="str">
        <f t="shared" ca="1" si="221"/>
        <v>—</v>
      </c>
      <c r="E4695" s="16">
        <f t="shared" ca="1" si="222"/>
        <v>7</v>
      </c>
    </row>
    <row r="4696" spans="1:5" x14ac:dyDescent="0.25">
      <c r="A4696" s="3">
        <f t="shared" si="220"/>
        <v>78989</v>
      </c>
      <c r="B4696" t="str">
        <f ca="1">TEXT(DATE(YEAR(Invoer!$A$5),1,1)+INT((ROWS(B$2:B4696)-1)/24),"""18""jjmmdd")</f>
        <v>18980715</v>
      </c>
      <c r="C4696" s="11" t="str">
        <f>INDEX(Data,2,2+MOD(ROWS(C$2:C4696)-1,24))</f>
        <v>15.00</v>
      </c>
      <c r="D4696" s="8" t="str">
        <f t="shared" ca="1" si="221"/>
        <v>—</v>
      </c>
      <c r="E4696" s="16">
        <f t="shared" ca="1" si="222"/>
        <v>7</v>
      </c>
    </row>
    <row r="4697" spans="1:5" x14ac:dyDescent="0.25">
      <c r="A4697" s="3">
        <f t="shared" si="220"/>
        <v>78989</v>
      </c>
      <c r="B4697" t="str">
        <f ca="1">TEXT(DATE(YEAR(Invoer!$A$5),1,1)+INT((ROWS(B$2:B4697)-1)/24),"""18""jjmmdd")</f>
        <v>18980715</v>
      </c>
      <c r="C4697" s="11" t="str">
        <f>INDEX(Data,2,2+MOD(ROWS(C$2:C4697)-1,24))</f>
        <v>16.00</v>
      </c>
      <c r="D4697" s="8" t="str">
        <f t="shared" ca="1" si="221"/>
        <v>—</v>
      </c>
      <c r="E4697" s="16">
        <f t="shared" ca="1" si="222"/>
        <v>7</v>
      </c>
    </row>
    <row r="4698" spans="1:5" x14ac:dyDescent="0.25">
      <c r="A4698" s="3">
        <f t="shared" si="220"/>
        <v>78989</v>
      </c>
      <c r="B4698" t="str">
        <f ca="1">TEXT(DATE(YEAR(Invoer!$A$5),1,1)+INT((ROWS(B$2:B4698)-1)/24),"""18""jjmmdd")</f>
        <v>18980715</v>
      </c>
      <c r="C4698" s="11" t="str">
        <f>INDEX(Data,2,2+MOD(ROWS(C$2:C4698)-1,24))</f>
        <v>17.00</v>
      </c>
      <c r="D4698" s="8" t="str">
        <f t="shared" ca="1" si="221"/>
        <v>—</v>
      </c>
      <c r="E4698" s="16">
        <f t="shared" ca="1" si="222"/>
        <v>7</v>
      </c>
    </row>
    <row r="4699" spans="1:5" x14ac:dyDescent="0.25">
      <c r="A4699" s="3">
        <f t="shared" si="220"/>
        <v>78989</v>
      </c>
      <c r="B4699" t="str">
        <f ca="1">TEXT(DATE(YEAR(Invoer!$A$5),1,1)+INT((ROWS(B$2:B4699)-1)/24),"""18""jjmmdd")</f>
        <v>18980715</v>
      </c>
      <c r="C4699" s="11" t="str">
        <f>INDEX(Data,2,2+MOD(ROWS(C$2:C4699)-1,24))</f>
        <v>18.00</v>
      </c>
      <c r="D4699" s="8" t="str">
        <f t="shared" ca="1" si="221"/>
        <v>—</v>
      </c>
      <c r="E4699" s="16">
        <f t="shared" ca="1" si="222"/>
        <v>7</v>
      </c>
    </row>
    <row r="4700" spans="1:5" x14ac:dyDescent="0.25">
      <c r="A4700" s="3">
        <f t="shared" si="220"/>
        <v>78989</v>
      </c>
      <c r="B4700" t="str">
        <f ca="1">TEXT(DATE(YEAR(Invoer!$A$5),1,1)+INT((ROWS(B$2:B4700)-1)/24),"""18""jjmmdd")</f>
        <v>18980715</v>
      </c>
      <c r="C4700" s="11" t="str">
        <f>INDEX(Data,2,2+MOD(ROWS(C$2:C4700)-1,24))</f>
        <v>19.00</v>
      </c>
      <c r="D4700" s="8" t="str">
        <f t="shared" ca="1" si="221"/>
        <v>—</v>
      </c>
      <c r="E4700" s="16">
        <f t="shared" ca="1" si="222"/>
        <v>7</v>
      </c>
    </row>
    <row r="4701" spans="1:5" x14ac:dyDescent="0.25">
      <c r="A4701" s="3">
        <f t="shared" si="220"/>
        <v>78989</v>
      </c>
      <c r="B4701" t="str">
        <f ca="1">TEXT(DATE(YEAR(Invoer!$A$5),1,1)+INT((ROWS(B$2:B4701)-1)/24),"""18""jjmmdd")</f>
        <v>18980715</v>
      </c>
      <c r="C4701" s="11" t="str">
        <f>INDEX(Data,2,2+MOD(ROWS(C$2:C4701)-1,24))</f>
        <v>20.00</v>
      </c>
      <c r="D4701" s="8" t="str">
        <f t="shared" ca="1" si="221"/>
        <v>—</v>
      </c>
      <c r="E4701" s="16">
        <f t="shared" ca="1" si="222"/>
        <v>7</v>
      </c>
    </row>
    <row r="4702" spans="1:5" x14ac:dyDescent="0.25">
      <c r="A4702" s="3">
        <f t="shared" si="220"/>
        <v>78989</v>
      </c>
      <c r="B4702" t="str">
        <f ca="1">TEXT(DATE(YEAR(Invoer!$A$5),1,1)+INT((ROWS(B$2:B4702)-1)/24),"""18""jjmmdd")</f>
        <v>18980715</v>
      </c>
      <c r="C4702" s="11" t="str">
        <f>INDEX(Data,2,2+MOD(ROWS(C$2:C4702)-1,24))</f>
        <v>21.00</v>
      </c>
      <c r="D4702" s="8" t="str">
        <f t="shared" ca="1" si="221"/>
        <v>—</v>
      </c>
      <c r="E4702" s="16">
        <f t="shared" ca="1" si="222"/>
        <v>7</v>
      </c>
    </row>
    <row r="4703" spans="1:5" x14ac:dyDescent="0.25">
      <c r="A4703" s="3">
        <f t="shared" si="220"/>
        <v>78989</v>
      </c>
      <c r="B4703" t="str">
        <f ca="1">TEXT(DATE(YEAR(Invoer!$A$5),1,1)+INT((ROWS(B$2:B4703)-1)/24),"""18""jjmmdd")</f>
        <v>18980715</v>
      </c>
      <c r="C4703" s="11" t="str">
        <f>INDEX(Data,2,2+MOD(ROWS(C$2:C4703)-1,24))</f>
        <v>22.00</v>
      </c>
      <c r="D4703" s="8" t="str">
        <f t="shared" ca="1" si="221"/>
        <v>—</v>
      </c>
      <c r="E4703" s="16">
        <f t="shared" ca="1" si="222"/>
        <v>7</v>
      </c>
    </row>
    <row r="4704" spans="1:5" x14ac:dyDescent="0.25">
      <c r="A4704" s="3">
        <f t="shared" si="220"/>
        <v>78989</v>
      </c>
      <c r="B4704" t="str">
        <f ca="1">TEXT(DATE(YEAR(Invoer!$A$5),1,1)+INT((ROWS(B$2:B4704)-1)/24),"""18""jjmmdd")</f>
        <v>18980715</v>
      </c>
      <c r="C4704" s="11" t="str">
        <f>INDEX(Data,2,2+MOD(ROWS(C$2:C4704)-1,24))</f>
        <v>23.00</v>
      </c>
      <c r="D4704" s="8" t="str">
        <f t="shared" ca="1" si="221"/>
        <v>—</v>
      </c>
      <c r="E4704" s="16">
        <f t="shared" ca="1" si="222"/>
        <v>7</v>
      </c>
    </row>
    <row r="4705" spans="1:5" x14ac:dyDescent="0.25">
      <c r="A4705" s="3">
        <f t="shared" si="220"/>
        <v>78989</v>
      </c>
      <c r="B4705" t="str">
        <f ca="1">TEXT(DATE(YEAR(Invoer!$A$5),1,1)+INT((ROWS(B$2:B4705)-1)/24),"""18""jjmmdd")</f>
        <v>18980715</v>
      </c>
      <c r="C4705" s="11" t="str">
        <f>INDEX(Data,2,2+MOD(ROWS(C$2:C4705)-1,24))</f>
        <v>24.00</v>
      </c>
      <c r="D4705" s="8" t="str">
        <f t="shared" ca="1" si="221"/>
        <v>—</v>
      </c>
      <c r="E4705" s="16">
        <f t="shared" ca="1" si="222"/>
        <v>7</v>
      </c>
    </row>
    <row r="4706" spans="1:5" x14ac:dyDescent="0.25">
      <c r="A4706" s="3">
        <f t="shared" si="220"/>
        <v>78989</v>
      </c>
      <c r="B4706" t="str">
        <f ca="1">TEXT(DATE(YEAR(Invoer!$A$5),1,1)+INT((ROWS(B$2:B4706)-1)/24),"""18""jjmmdd")</f>
        <v>18980716</v>
      </c>
      <c r="C4706" s="11" t="str">
        <f>INDEX(Data,2,2+MOD(ROWS(C$2:C4706)-1,24))</f>
        <v>01.00</v>
      </c>
      <c r="D4706" s="8" t="str">
        <f t="shared" ca="1" si="221"/>
        <v>—</v>
      </c>
      <c r="E4706" s="16">
        <f t="shared" ca="1" si="222"/>
        <v>7</v>
      </c>
    </row>
    <row r="4707" spans="1:5" x14ac:dyDescent="0.25">
      <c r="A4707" s="3">
        <f t="shared" si="220"/>
        <v>78989</v>
      </c>
      <c r="B4707" t="str">
        <f ca="1">TEXT(DATE(YEAR(Invoer!$A$5),1,1)+INT((ROWS(B$2:B4707)-1)/24),"""18""jjmmdd")</f>
        <v>18980716</v>
      </c>
      <c r="C4707" s="11" t="str">
        <f>INDEX(Data,2,2+MOD(ROWS(C$2:C4707)-1,24))</f>
        <v>02.00</v>
      </c>
      <c r="D4707" s="8" t="str">
        <f t="shared" ca="1" si="221"/>
        <v>—</v>
      </c>
      <c r="E4707" s="16">
        <f t="shared" ca="1" si="222"/>
        <v>7</v>
      </c>
    </row>
    <row r="4708" spans="1:5" x14ac:dyDescent="0.25">
      <c r="A4708" s="3">
        <f t="shared" si="220"/>
        <v>78989</v>
      </c>
      <c r="B4708" t="str">
        <f ca="1">TEXT(DATE(YEAR(Invoer!$A$5),1,1)+INT((ROWS(B$2:B4708)-1)/24),"""18""jjmmdd")</f>
        <v>18980716</v>
      </c>
      <c r="C4708" s="11" t="str">
        <f>INDEX(Data,2,2+MOD(ROWS(C$2:C4708)-1,24))</f>
        <v>03.00</v>
      </c>
      <c r="D4708" s="8" t="str">
        <f t="shared" ca="1" si="221"/>
        <v>—</v>
      </c>
      <c r="E4708" s="16">
        <f t="shared" ca="1" si="222"/>
        <v>7</v>
      </c>
    </row>
    <row r="4709" spans="1:5" x14ac:dyDescent="0.25">
      <c r="A4709" s="3">
        <f t="shared" si="220"/>
        <v>78989</v>
      </c>
      <c r="B4709" t="str">
        <f ca="1">TEXT(DATE(YEAR(Invoer!$A$5),1,1)+INT((ROWS(B$2:B4709)-1)/24),"""18""jjmmdd")</f>
        <v>18980716</v>
      </c>
      <c r="C4709" s="11" t="str">
        <f>INDEX(Data,2,2+MOD(ROWS(C$2:C4709)-1,24))</f>
        <v>04.00</v>
      </c>
      <c r="D4709" s="8" t="str">
        <f t="shared" ca="1" si="221"/>
        <v>—</v>
      </c>
      <c r="E4709" s="16">
        <f t="shared" ca="1" si="222"/>
        <v>7</v>
      </c>
    </row>
    <row r="4710" spans="1:5" x14ac:dyDescent="0.25">
      <c r="A4710" s="3">
        <f t="shared" si="220"/>
        <v>78989</v>
      </c>
      <c r="B4710" t="str">
        <f ca="1">TEXT(DATE(YEAR(Invoer!$A$5),1,1)+INT((ROWS(B$2:B4710)-1)/24),"""18""jjmmdd")</f>
        <v>18980716</v>
      </c>
      <c r="C4710" s="11" t="str">
        <f>INDEX(Data,2,2+MOD(ROWS(C$2:C4710)-1,24))</f>
        <v>05.00</v>
      </c>
      <c r="D4710" s="8" t="str">
        <f t="shared" ca="1" si="221"/>
        <v>—</v>
      </c>
      <c r="E4710" s="16">
        <f t="shared" ca="1" si="222"/>
        <v>7</v>
      </c>
    </row>
    <row r="4711" spans="1:5" x14ac:dyDescent="0.25">
      <c r="A4711" s="3">
        <f t="shared" si="220"/>
        <v>78989</v>
      </c>
      <c r="B4711" t="str">
        <f ca="1">TEXT(DATE(YEAR(Invoer!$A$5),1,1)+INT((ROWS(B$2:B4711)-1)/24),"""18""jjmmdd")</f>
        <v>18980716</v>
      </c>
      <c r="C4711" s="11" t="str">
        <f>INDEX(Data,2,2+MOD(ROWS(C$2:C4711)-1,24))</f>
        <v>06.00</v>
      </c>
      <c r="D4711" s="8" t="str">
        <f t="shared" ca="1" si="221"/>
        <v>—</v>
      </c>
      <c r="E4711" s="16">
        <f t="shared" ca="1" si="222"/>
        <v>7</v>
      </c>
    </row>
    <row r="4712" spans="1:5" x14ac:dyDescent="0.25">
      <c r="A4712" s="3">
        <f t="shared" si="220"/>
        <v>78989</v>
      </c>
      <c r="B4712" t="str">
        <f ca="1">TEXT(DATE(YEAR(Invoer!$A$5),1,1)+INT((ROWS(B$2:B4712)-1)/24),"""18""jjmmdd")</f>
        <v>18980716</v>
      </c>
      <c r="C4712" s="11" t="str">
        <f>INDEX(Data,2,2+MOD(ROWS(C$2:C4712)-1,24))</f>
        <v>07.00</v>
      </c>
      <c r="D4712" s="8" t="str">
        <f t="shared" ca="1" si="221"/>
        <v>—</v>
      </c>
      <c r="E4712" s="16">
        <f t="shared" ca="1" si="222"/>
        <v>7</v>
      </c>
    </row>
    <row r="4713" spans="1:5" x14ac:dyDescent="0.25">
      <c r="A4713" s="3">
        <f t="shared" si="220"/>
        <v>78989</v>
      </c>
      <c r="B4713" t="str">
        <f ca="1">TEXT(DATE(YEAR(Invoer!$A$5),1,1)+INT((ROWS(B$2:B4713)-1)/24),"""18""jjmmdd")</f>
        <v>18980716</v>
      </c>
      <c r="C4713" s="11" t="str">
        <f>INDEX(Data,2,2+MOD(ROWS(C$2:C4713)-1,24))</f>
        <v>08.00</v>
      </c>
      <c r="D4713" s="8" t="str">
        <f t="shared" ca="1" si="221"/>
        <v>—</v>
      </c>
      <c r="E4713" s="16">
        <f t="shared" ca="1" si="222"/>
        <v>7</v>
      </c>
    </row>
    <row r="4714" spans="1:5" x14ac:dyDescent="0.25">
      <c r="A4714" s="3">
        <f t="shared" si="220"/>
        <v>78989</v>
      </c>
      <c r="B4714" t="str">
        <f ca="1">TEXT(DATE(YEAR(Invoer!$A$5),1,1)+INT((ROWS(B$2:B4714)-1)/24),"""18""jjmmdd")</f>
        <v>18980716</v>
      </c>
      <c r="C4714" s="11" t="str">
        <f>INDEX(Data,2,2+MOD(ROWS(C$2:C4714)-1,24))</f>
        <v>09.00</v>
      </c>
      <c r="D4714" s="8" t="str">
        <f t="shared" ca="1" si="221"/>
        <v>—</v>
      </c>
      <c r="E4714" s="16">
        <f t="shared" ca="1" si="222"/>
        <v>7</v>
      </c>
    </row>
    <row r="4715" spans="1:5" x14ac:dyDescent="0.25">
      <c r="A4715" s="3">
        <f t="shared" si="220"/>
        <v>78989</v>
      </c>
      <c r="B4715" t="str">
        <f ca="1">TEXT(DATE(YEAR(Invoer!$A$5),1,1)+INT((ROWS(B$2:B4715)-1)/24),"""18""jjmmdd")</f>
        <v>18980716</v>
      </c>
      <c r="C4715" s="11" t="str">
        <f>INDEX(Data,2,2+MOD(ROWS(C$2:C4715)-1,24))</f>
        <v>10.00</v>
      </c>
      <c r="D4715" s="8" t="str">
        <f t="shared" ca="1" si="221"/>
        <v>—</v>
      </c>
      <c r="E4715" s="16">
        <f t="shared" ca="1" si="222"/>
        <v>7</v>
      </c>
    </row>
    <row r="4716" spans="1:5" x14ac:dyDescent="0.25">
      <c r="A4716" s="3">
        <f t="shared" si="220"/>
        <v>78989</v>
      </c>
      <c r="B4716" t="str">
        <f ca="1">TEXT(DATE(YEAR(Invoer!$A$5),1,1)+INT((ROWS(B$2:B4716)-1)/24),"""18""jjmmdd")</f>
        <v>18980716</v>
      </c>
      <c r="C4716" s="11" t="str">
        <f>INDEX(Data,2,2+MOD(ROWS(C$2:C4716)-1,24))</f>
        <v>11.00</v>
      </c>
      <c r="D4716" s="8" t="str">
        <f t="shared" ca="1" si="221"/>
        <v>—</v>
      </c>
      <c r="E4716" s="16">
        <f t="shared" ca="1" si="222"/>
        <v>7</v>
      </c>
    </row>
    <row r="4717" spans="1:5" x14ac:dyDescent="0.25">
      <c r="A4717" s="3">
        <f t="shared" si="220"/>
        <v>78989</v>
      </c>
      <c r="B4717" t="str">
        <f ca="1">TEXT(DATE(YEAR(Invoer!$A$5),1,1)+INT((ROWS(B$2:B4717)-1)/24),"""18""jjmmdd")</f>
        <v>18980716</v>
      </c>
      <c r="C4717" s="11" t="str">
        <f>INDEX(Data,2,2+MOD(ROWS(C$2:C4717)-1,24))</f>
        <v>12.00</v>
      </c>
      <c r="D4717" s="8" t="str">
        <f t="shared" ca="1" si="221"/>
        <v>—</v>
      </c>
      <c r="E4717" s="16">
        <f t="shared" ca="1" si="222"/>
        <v>7</v>
      </c>
    </row>
    <row r="4718" spans="1:5" x14ac:dyDescent="0.25">
      <c r="A4718" s="3">
        <f t="shared" si="220"/>
        <v>78989</v>
      </c>
      <c r="B4718" t="str">
        <f ca="1">TEXT(DATE(YEAR(Invoer!$A$5),1,1)+INT((ROWS(B$2:B4718)-1)/24),"""18""jjmmdd")</f>
        <v>18980716</v>
      </c>
      <c r="C4718" s="11" t="str">
        <f>INDEX(Data,2,2+MOD(ROWS(C$2:C4718)-1,24))</f>
        <v>13.00</v>
      </c>
      <c r="D4718" s="8" t="str">
        <f t="shared" ca="1" si="221"/>
        <v>—</v>
      </c>
      <c r="E4718" s="16">
        <f t="shared" ca="1" si="222"/>
        <v>7</v>
      </c>
    </row>
    <row r="4719" spans="1:5" x14ac:dyDescent="0.25">
      <c r="A4719" s="3">
        <f t="shared" si="220"/>
        <v>78989</v>
      </c>
      <c r="B4719" t="str">
        <f ca="1">TEXT(DATE(YEAR(Invoer!$A$5),1,1)+INT((ROWS(B$2:B4719)-1)/24),"""18""jjmmdd")</f>
        <v>18980716</v>
      </c>
      <c r="C4719" s="11" t="str">
        <f>INDEX(Data,2,2+MOD(ROWS(C$2:C4719)-1,24))</f>
        <v>14.00</v>
      </c>
      <c r="D4719" s="8" t="str">
        <f t="shared" ca="1" si="221"/>
        <v>—</v>
      </c>
      <c r="E4719" s="16">
        <f t="shared" ca="1" si="222"/>
        <v>7</v>
      </c>
    </row>
    <row r="4720" spans="1:5" x14ac:dyDescent="0.25">
      <c r="A4720" s="3">
        <f t="shared" si="220"/>
        <v>78989</v>
      </c>
      <c r="B4720" t="str">
        <f ca="1">TEXT(DATE(YEAR(Invoer!$A$5),1,1)+INT((ROWS(B$2:B4720)-1)/24),"""18""jjmmdd")</f>
        <v>18980716</v>
      </c>
      <c r="C4720" s="11" t="str">
        <f>INDEX(Data,2,2+MOD(ROWS(C$2:C4720)-1,24))</f>
        <v>15.00</v>
      </c>
      <c r="D4720" s="8" t="str">
        <f t="shared" ca="1" si="221"/>
        <v>—</v>
      </c>
      <c r="E4720" s="16">
        <f t="shared" ca="1" si="222"/>
        <v>7</v>
      </c>
    </row>
    <row r="4721" spans="1:5" x14ac:dyDescent="0.25">
      <c r="A4721" s="3">
        <f t="shared" si="220"/>
        <v>78989</v>
      </c>
      <c r="B4721" t="str">
        <f ca="1">TEXT(DATE(YEAR(Invoer!$A$5),1,1)+INT((ROWS(B$2:B4721)-1)/24),"""18""jjmmdd")</f>
        <v>18980716</v>
      </c>
      <c r="C4721" s="11" t="str">
        <f>INDEX(Data,2,2+MOD(ROWS(C$2:C4721)-1,24))</f>
        <v>16.00</v>
      </c>
      <c r="D4721" s="8" t="str">
        <f t="shared" ca="1" si="221"/>
        <v>—</v>
      </c>
      <c r="E4721" s="16">
        <f t="shared" ca="1" si="222"/>
        <v>7</v>
      </c>
    </row>
    <row r="4722" spans="1:5" x14ac:dyDescent="0.25">
      <c r="A4722" s="3">
        <f t="shared" si="220"/>
        <v>78989</v>
      </c>
      <c r="B4722" t="str">
        <f ca="1">TEXT(DATE(YEAR(Invoer!$A$5),1,1)+INT((ROWS(B$2:B4722)-1)/24),"""18""jjmmdd")</f>
        <v>18980716</v>
      </c>
      <c r="C4722" s="11" t="str">
        <f>INDEX(Data,2,2+MOD(ROWS(C$2:C4722)-1,24))</f>
        <v>17.00</v>
      </c>
      <c r="D4722" s="8" t="str">
        <f t="shared" ca="1" si="221"/>
        <v>—</v>
      </c>
      <c r="E4722" s="16">
        <f t="shared" ca="1" si="222"/>
        <v>7</v>
      </c>
    </row>
    <row r="4723" spans="1:5" x14ac:dyDescent="0.25">
      <c r="A4723" s="3">
        <f t="shared" si="220"/>
        <v>78989</v>
      </c>
      <c r="B4723" t="str">
        <f ca="1">TEXT(DATE(YEAR(Invoer!$A$5),1,1)+INT((ROWS(B$2:B4723)-1)/24),"""18""jjmmdd")</f>
        <v>18980716</v>
      </c>
      <c r="C4723" s="11" t="str">
        <f>INDEX(Data,2,2+MOD(ROWS(C$2:C4723)-1,24))</f>
        <v>18.00</v>
      </c>
      <c r="D4723" s="8" t="str">
        <f t="shared" ca="1" si="221"/>
        <v>—</v>
      </c>
      <c r="E4723" s="16">
        <f t="shared" ca="1" si="222"/>
        <v>7</v>
      </c>
    </row>
    <row r="4724" spans="1:5" x14ac:dyDescent="0.25">
      <c r="A4724" s="3">
        <f t="shared" si="220"/>
        <v>78989</v>
      </c>
      <c r="B4724" t="str">
        <f ca="1">TEXT(DATE(YEAR(Invoer!$A$5),1,1)+INT((ROWS(B$2:B4724)-1)/24),"""18""jjmmdd")</f>
        <v>18980716</v>
      </c>
      <c r="C4724" s="11" t="str">
        <f>INDEX(Data,2,2+MOD(ROWS(C$2:C4724)-1,24))</f>
        <v>19.00</v>
      </c>
      <c r="D4724" s="8" t="str">
        <f t="shared" ca="1" si="221"/>
        <v>—</v>
      </c>
      <c r="E4724" s="16">
        <f t="shared" ca="1" si="222"/>
        <v>7</v>
      </c>
    </row>
    <row r="4725" spans="1:5" x14ac:dyDescent="0.25">
      <c r="A4725" s="3">
        <f t="shared" si="220"/>
        <v>78989</v>
      </c>
      <c r="B4725" t="str">
        <f ca="1">TEXT(DATE(YEAR(Invoer!$A$5),1,1)+INT((ROWS(B$2:B4725)-1)/24),"""18""jjmmdd")</f>
        <v>18980716</v>
      </c>
      <c r="C4725" s="11" t="str">
        <f>INDEX(Data,2,2+MOD(ROWS(C$2:C4725)-1,24))</f>
        <v>20.00</v>
      </c>
      <c r="D4725" s="8" t="str">
        <f t="shared" ca="1" si="221"/>
        <v>—</v>
      </c>
      <c r="E4725" s="16">
        <f t="shared" ca="1" si="222"/>
        <v>7</v>
      </c>
    </row>
    <row r="4726" spans="1:5" x14ac:dyDescent="0.25">
      <c r="A4726" s="3">
        <f t="shared" si="220"/>
        <v>78989</v>
      </c>
      <c r="B4726" t="str">
        <f ca="1">TEXT(DATE(YEAR(Invoer!$A$5),1,1)+INT((ROWS(B$2:B4726)-1)/24),"""18""jjmmdd")</f>
        <v>18980716</v>
      </c>
      <c r="C4726" s="11" t="str">
        <f>INDEX(Data,2,2+MOD(ROWS(C$2:C4726)-1,24))</f>
        <v>21.00</v>
      </c>
      <c r="D4726" s="8" t="str">
        <f t="shared" ca="1" si="221"/>
        <v>—</v>
      </c>
      <c r="E4726" s="16">
        <f t="shared" ca="1" si="222"/>
        <v>7</v>
      </c>
    </row>
    <row r="4727" spans="1:5" x14ac:dyDescent="0.25">
      <c r="A4727" s="3">
        <f t="shared" si="220"/>
        <v>78989</v>
      </c>
      <c r="B4727" t="str">
        <f ca="1">TEXT(DATE(YEAR(Invoer!$A$5),1,1)+INT((ROWS(B$2:B4727)-1)/24),"""18""jjmmdd")</f>
        <v>18980716</v>
      </c>
      <c r="C4727" s="11" t="str">
        <f>INDEX(Data,2,2+MOD(ROWS(C$2:C4727)-1,24))</f>
        <v>22.00</v>
      </c>
      <c r="D4727" s="8" t="str">
        <f t="shared" ca="1" si="221"/>
        <v>—</v>
      </c>
      <c r="E4727" s="16">
        <f t="shared" ca="1" si="222"/>
        <v>7</v>
      </c>
    </row>
    <row r="4728" spans="1:5" x14ac:dyDescent="0.25">
      <c r="A4728" s="3">
        <f t="shared" si="220"/>
        <v>78989</v>
      </c>
      <c r="B4728" t="str">
        <f ca="1">TEXT(DATE(YEAR(Invoer!$A$5),1,1)+INT((ROWS(B$2:B4728)-1)/24),"""18""jjmmdd")</f>
        <v>18980716</v>
      </c>
      <c r="C4728" s="11" t="str">
        <f>INDEX(Data,2,2+MOD(ROWS(C$2:C4728)-1,24))</f>
        <v>23.00</v>
      </c>
      <c r="D4728" s="8" t="str">
        <f t="shared" ca="1" si="221"/>
        <v>—</v>
      </c>
      <c r="E4728" s="16">
        <f t="shared" ca="1" si="222"/>
        <v>7</v>
      </c>
    </row>
    <row r="4729" spans="1:5" x14ac:dyDescent="0.25">
      <c r="A4729" s="3">
        <f t="shared" si="220"/>
        <v>78989</v>
      </c>
      <c r="B4729" t="str">
        <f ca="1">TEXT(DATE(YEAR(Invoer!$A$5),1,1)+INT((ROWS(B$2:B4729)-1)/24),"""18""jjmmdd")</f>
        <v>18980716</v>
      </c>
      <c r="C4729" s="11" t="str">
        <f>INDEX(Data,2,2+MOD(ROWS(C$2:C4729)-1,24))</f>
        <v>24.00</v>
      </c>
      <c r="D4729" s="8" t="str">
        <f t="shared" ca="1" si="221"/>
        <v>—</v>
      </c>
      <c r="E4729" s="16">
        <f t="shared" ca="1" si="222"/>
        <v>7</v>
      </c>
    </row>
    <row r="4730" spans="1:5" x14ac:dyDescent="0.25">
      <c r="A4730" s="3">
        <f t="shared" si="220"/>
        <v>78989</v>
      </c>
      <c r="B4730" t="str">
        <f ca="1">TEXT(DATE(YEAR(Invoer!$A$5),1,1)+INT((ROWS(B$2:B4730)-1)/24),"""18""jjmmdd")</f>
        <v>18980717</v>
      </c>
      <c r="C4730" s="11" t="str">
        <f>INDEX(Data,2,2+MOD(ROWS(C$2:C4730)-1,24))</f>
        <v>01.00</v>
      </c>
      <c r="D4730" s="8" t="str">
        <f t="shared" ca="1" si="221"/>
        <v>—</v>
      </c>
      <c r="E4730" s="16">
        <f t="shared" ca="1" si="222"/>
        <v>7</v>
      </c>
    </row>
    <row r="4731" spans="1:5" x14ac:dyDescent="0.25">
      <c r="A4731" s="3">
        <f t="shared" si="220"/>
        <v>78989</v>
      </c>
      <c r="B4731" t="str">
        <f ca="1">TEXT(DATE(YEAR(Invoer!$A$5),1,1)+INT((ROWS(B$2:B4731)-1)/24),"""18""jjmmdd")</f>
        <v>18980717</v>
      </c>
      <c r="C4731" s="11" t="str">
        <f>INDEX(Data,2,2+MOD(ROWS(C$2:C4731)-1,24))</f>
        <v>02.00</v>
      </c>
      <c r="D4731" s="8" t="str">
        <f t="shared" ca="1" si="221"/>
        <v>—</v>
      </c>
      <c r="E4731" s="16">
        <f t="shared" ca="1" si="222"/>
        <v>7</v>
      </c>
    </row>
    <row r="4732" spans="1:5" x14ac:dyDescent="0.25">
      <c r="A4732" s="3">
        <f t="shared" si="220"/>
        <v>78989</v>
      </c>
      <c r="B4732" t="str">
        <f ca="1">TEXT(DATE(YEAR(Invoer!$A$5),1,1)+INT((ROWS(B$2:B4732)-1)/24),"""18""jjmmdd")</f>
        <v>18980717</v>
      </c>
      <c r="C4732" s="11" t="str">
        <f>INDEX(Data,2,2+MOD(ROWS(C$2:C4732)-1,24))</f>
        <v>03.00</v>
      </c>
      <c r="D4732" s="8" t="str">
        <f t="shared" ca="1" si="221"/>
        <v>—</v>
      </c>
      <c r="E4732" s="16">
        <f t="shared" ca="1" si="222"/>
        <v>7</v>
      </c>
    </row>
    <row r="4733" spans="1:5" x14ac:dyDescent="0.25">
      <c r="A4733" s="3">
        <f t="shared" si="220"/>
        <v>78989</v>
      </c>
      <c r="B4733" t="str">
        <f ca="1">TEXT(DATE(YEAR(Invoer!$A$5),1,1)+INT((ROWS(B$2:B4733)-1)/24),"""18""jjmmdd")</f>
        <v>18980717</v>
      </c>
      <c r="C4733" s="11" t="str">
        <f>INDEX(Data,2,2+MOD(ROWS(C$2:C4733)-1,24))</f>
        <v>04.00</v>
      </c>
      <c r="D4733" s="8" t="str">
        <f t="shared" ca="1" si="221"/>
        <v>—</v>
      </c>
      <c r="E4733" s="16">
        <f t="shared" ca="1" si="222"/>
        <v>7</v>
      </c>
    </row>
    <row r="4734" spans="1:5" x14ac:dyDescent="0.25">
      <c r="A4734" s="3">
        <f t="shared" si="220"/>
        <v>78989</v>
      </c>
      <c r="B4734" t="str">
        <f ca="1">TEXT(DATE(YEAR(Invoer!$A$5),1,1)+INT((ROWS(B$2:B4734)-1)/24),"""18""jjmmdd")</f>
        <v>18980717</v>
      </c>
      <c r="C4734" s="11" t="str">
        <f>INDEX(Data,2,2+MOD(ROWS(C$2:C4734)-1,24))</f>
        <v>05.00</v>
      </c>
      <c r="D4734" s="8" t="str">
        <f t="shared" ca="1" si="221"/>
        <v>—</v>
      </c>
      <c r="E4734" s="16">
        <f t="shared" ca="1" si="222"/>
        <v>7</v>
      </c>
    </row>
    <row r="4735" spans="1:5" x14ac:dyDescent="0.25">
      <c r="A4735" s="3">
        <f t="shared" si="220"/>
        <v>78989</v>
      </c>
      <c r="B4735" t="str">
        <f ca="1">TEXT(DATE(YEAR(Invoer!$A$5),1,1)+INT((ROWS(B$2:B4735)-1)/24),"""18""jjmmdd")</f>
        <v>18980717</v>
      </c>
      <c r="C4735" s="11" t="str">
        <f>INDEX(Data,2,2+MOD(ROWS(C$2:C4735)-1,24))</f>
        <v>06.00</v>
      </c>
      <c r="D4735" s="8" t="str">
        <f t="shared" ca="1" si="221"/>
        <v>—</v>
      </c>
      <c r="E4735" s="16">
        <f t="shared" ca="1" si="222"/>
        <v>7</v>
      </c>
    </row>
    <row r="4736" spans="1:5" x14ac:dyDescent="0.25">
      <c r="A4736" s="3">
        <f t="shared" si="220"/>
        <v>78989</v>
      </c>
      <c r="B4736" t="str">
        <f ca="1">TEXT(DATE(YEAR(Invoer!$A$5),1,1)+INT((ROWS(B$2:B4736)-1)/24),"""18""jjmmdd")</f>
        <v>18980717</v>
      </c>
      <c r="C4736" s="11" t="str">
        <f>INDEX(Data,2,2+MOD(ROWS(C$2:C4736)-1,24))</f>
        <v>07.00</v>
      </c>
      <c r="D4736" s="8" t="str">
        <f t="shared" ca="1" si="221"/>
        <v>—</v>
      </c>
      <c r="E4736" s="16">
        <f t="shared" ca="1" si="222"/>
        <v>7</v>
      </c>
    </row>
    <row r="4737" spans="1:5" x14ac:dyDescent="0.25">
      <c r="A4737" s="3">
        <f t="shared" si="220"/>
        <v>78989</v>
      </c>
      <c r="B4737" t="str">
        <f ca="1">TEXT(DATE(YEAR(Invoer!$A$5),1,1)+INT((ROWS(B$2:B4737)-1)/24),"""18""jjmmdd")</f>
        <v>18980717</v>
      </c>
      <c r="C4737" s="11" t="str">
        <f>INDEX(Data,2,2+MOD(ROWS(C$2:C4737)-1,24))</f>
        <v>08.00</v>
      </c>
      <c r="D4737" s="8" t="str">
        <f t="shared" ca="1" si="221"/>
        <v>—</v>
      </c>
      <c r="E4737" s="16">
        <f t="shared" ca="1" si="222"/>
        <v>7</v>
      </c>
    </row>
    <row r="4738" spans="1:5" x14ac:dyDescent="0.25">
      <c r="A4738" s="3">
        <f t="shared" ref="A4738:A4801" si="223">INDEX(Stations,2,1)</f>
        <v>78989</v>
      </c>
      <c r="B4738" t="str">
        <f ca="1">TEXT(DATE(YEAR(Invoer!$A$5),1,1)+INT((ROWS(B$2:B4738)-1)/24),"""18""jjmmdd")</f>
        <v>18980717</v>
      </c>
      <c r="C4738" s="11" t="str">
        <f>INDEX(Data,2,2+MOD(ROWS(C$2:C4738)-1,24))</f>
        <v>09.00</v>
      </c>
      <c r="D4738" s="8" t="str">
        <f t="shared" ref="D4738:D4801" ca="1" si="224">IF(OR(ISBLANK(VLOOKUP(DATEVALUE("37"&amp;MID($B4738,3,2)&amp;"-"&amp;MID($B4738,5,2)&amp;"-"&amp;RIGHT($B4738,2)),Data,MATCH(LEFT(VLOOKUP(D$1,Parameters,2,FALSE()),4)&amp;"*",OFFSET(Data,0,0,1),0)+MATCH($C4738,OFFSET(Data,1,0,1),0)-2,FALSE())),ISTEXT(VLOOKUP(DATEVALUE("37"&amp;MID($B4738,3,2)&amp;"-"&amp;MID($B4738,5,2)&amp;"-"&amp;RIGHT($B4738,2)),Data,MATCH(LEFT(VLOOKUP(D$1,Parameters,2,FALSE()),4)&amp;"*",OFFSET(Data,0,0,1),0)+MATCH($C4738,OFFSET(Data,1,0,1),0)-2,FALSE()))),"—",VLOOKUP(DATEVALUE("37"&amp;MID($B4738,3,2)&amp;"-"&amp;MID($B4738,5,2)&amp;"-"&amp;RIGHT($B4738,2)),Data,MATCH(LEFT(VLOOKUP(D$1,Parameters,2,FALSE()),4)&amp;"*",OFFSET(Data,0,0,1),0)+MATCH($C4738,OFFSET(Data,1,0,1),0)-2,FALSE()))</f>
        <v>—</v>
      </c>
      <c r="E4738" s="16">
        <f t="shared" ca="1" si="222"/>
        <v>7</v>
      </c>
    </row>
    <row r="4739" spans="1:5" x14ac:dyDescent="0.25">
      <c r="A4739" s="3">
        <f t="shared" si="223"/>
        <v>78989</v>
      </c>
      <c r="B4739" t="str">
        <f ca="1">TEXT(DATE(YEAR(Invoer!$A$5),1,1)+INT((ROWS(B$2:B4739)-1)/24),"""18""jjmmdd")</f>
        <v>18980717</v>
      </c>
      <c r="C4739" s="11" t="str">
        <f>INDEX(Data,2,2+MOD(ROWS(C$2:C4739)-1,24))</f>
        <v>10.00</v>
      </c>
      <c r="D4739" s="8" t="str">
        <f t="shared" ca="1" si="224"/>
        <v>—</v>
      </c>
      <c r="E4739" s="16">
        <f t="shared" ref="E4739:E4802" ca="1" si="225">IF(OR(ISBLANK(VLOOKUP(DATEVALUE("37"&amp;MID($B4739,3,2)&amp;"-"&amp;MID($B4739,5,2)&amp;"-"&amp;RIGHT($B4739,2)),Data,MATCH(LEFT(VLOOKUP(D$1,Parameters,2,FALSE()),4)&amp;"*",OFFSET(Data,0,0,1),0)+MATCH($C4739,OFFSET(Data,1,0,1),0)-2,FALSE())),ISTEXT(VLOOKUP(DATEVALUE("37"&amp;MID($B4739,3,2)&amp;"-"&amp;MID($B4739,5,2)&amp;"-"&amp;RIGHT($B4739,2)),Data,MATCH(LEFT(VLOOKUP(D$1,Parameters,2,FALSE()),4)&amp;"*",OFFSET(Data,0,0,1),0)+MATCH($C4739,OFFSET(Data,1,0,1),0)-2,FALSE()))),Lacking,IF(ISNA(MATCH(DATEVALUE("37"&amp;MID($B4739,3,2)&amp;"-"&amp;MID($B4739,5,2)&amp;"-"&amp;RIGHT($B4739,2)),OFFSET(Catalogus,0,0,,1),0)),Ok,VLOOKUP(DATEVALUE("37"&amp;MID($B4739,3,2)&amp;"-"&amp;MID($B4739,5,2)&amp;"-"&amp;RIGHT($B4739,2)),Catalogus,MATCH(LEFT(VLOOKUP(MID(E$1,2,LEN(E$1)-1),Parameters,2,FALSE()),4)&amp;"*",OFFSET(Catalogus,0,0,1),0)+MATCH($C4739,OFFSET(Catalogus,1,0,1),0)-2,FALSE())))</f>
        <v>7</v>
      </c>
    </row>
    <row r="4740" spans="1:5" x14ac:dyDescent="0.25">
      <c r="A4740" s="3">
        <f t="shared" si="223"/>
        <v>78989</v>
      </c>
      <c r="B4740" t="str">
        <f ca="1">TEXT(DATE(YEAR(Invoer!$A$5),1,1)+INT((ROWS(B$2:B4740)-1)/24),"""18""jjmmdd")</f>
        <v>18980717</v>
      </c>
      <c r="C4740" s="11" t="str">
        <f>INDEX(Data,2,2+MOD(ROWS(C$2:C4740)-1,24))</f>
        <v>11.00</v>
      </c>
      <c r="D4740" s="8" t="str">
        <f t="shared" ca="1" si="224"/>
        <v>—</v>
      </c>
      <c r="E4740" s="16">
        <f t="shared" ca="1" si="225"/>
        <v>7</v>
      </c>
    </row>
    <row r="4741" spans="1:5" x14ac:dyDescent="0.25">
      <c r="A4741" s="3">
        <f t="shared" si="223"/>
        <v>78989</v>
      </c>
      <c r="B4741" t="str">
        <f ca="1">TEXT(DATE(YEAR(Invoer!$A$5),1,1)+INT((ROWS(B$2:B4741)-1)/24),"""18""jjmmdd")</f>
        <v>18980717</v>
      </c>
      <c r="C4741" s="11" t="str">
        <f>INDEX(Data,2,2+MOD(ROWS(C$2:C4741)-1,24))</f>
        <v>12.00</v>
      </c>
      <c r="D4741" s="8" t="str">
        <f t="shared" ca="1" si="224"/>
        <v>—</v>
      </c>
      <c r="E4741" s="16">
        <f t="shared" ca="1" si="225"/>
        <v>7</v>
      </c>
    </row>
    <row r="4742" spans="1:5" x14ac:dyDescent="0.25">
      <c r="A4742" s="3">
        <f t="shared" si="223"/>
        <v>78989</v>
      </c>
      <c r="B4742" t="str">
        <f ca="1">TEXT(DATE(YEAR(Invoer!$A$5),1,1)+INT((ROWS(B$2:B4742)-1)/24),"""18""jjmmdd")</f>
        <v>18980717</v>
      </c>
      <c r="C4742" s="11" t="str">
        <f>INDEX(Data,2,2+MOD(ROWS(C$2:C4742)-1,24))</f>
        <v>13.00</v>
      </c>
      <c r="D4742" s="8" t="str">
        <f t="shared" ca="1" si="224"/>
        <v>—</v>
      </c>
      <c r="E4742" s="16">
        <f t="shared" ca="1" si="225"/>
        <v>7</v>
      </c>
    </row>
    <row r="4743" spans="1:5" x14ac:dyDescent="0.25">
      <c r="A4743" s="3">
        <f t="shared" si="223"/>
        <v>78989</v>
      </c>
      <c r="B4743" t="str">
        <f ca="1">TEXT(DATE(YEAR(Invoer!$A$5),1,1)+INT((ROWS(B$2:B4743)-1)/24),"""18""jjmmdd")</f>
        <v>18980717</v>
      </c>
      <c r="C4743" s="11" t="str">
        <f>INDEX(Data,2,2+MOD(ROWS(C$2:C4743)-1,24))</f>
        <v>14.00</v>
      </c>
      <c r="D4743" s="8" t="str">
        <f t="shared" ca="1" si="224"/>
        <v>—</v>
      </c>
      <c r="E4743" s="16">
        <f t="shared" ca="1" si="225"/>
        <v>7</v>
      </c>
    </row>
    <row r="4744" spans="1:5" x14ac:dyDescent="0.25">
      <c r="A4744" s="3">
        <f t="shared" si="223"/>
        <v>78989</v>
      </c>
      <c r="B4744" t="str">
        <f ca="1">TEXT(DATE(YEAR(Invoer!$A$5),1,1)+INT((ROWS(B$2:B4744)-1)/24),"""18""jjmmdd")</f>
        <v>18980717</v>
      </c>
      <c r="C4744" s="11" t="str">
        <f>INDEX(Data,2,2+MOD(ROWS(C$2:C4744)-1,24))</f>
        <v>15.00</v>
      </c>
      <c r="D4744" s="8" t="str">
        <f t="shared" ca="1" si="224"/>
        <v>—</v>
      </c>
      <c r="E4744" s="16">
        <f t="shared" ca="1" si="225"/>
        <v>7</v>
      </c>
    </row>
    <row r="4745" spans="1:5" x14ac:dyDescent="0.25">
      <c r="A4745" s="3">
        <f t="shared" si="223"/>
        <v>78989</v>
      </c>
      <c r="B4745" t="str">
        <f ca="1">TEXT(DATE(YEAR(Invoer!$A$5),1,1)+INT((ROWS(B$2:B4745)-1)/24),"""18""jjmmdd")</f>
        <v>18980717</v>
      </c>
      <c r="C4745" s="11" t="str">
        <f>INDEX(Data,2,2+MOD(ROWS(C$2:C4745)-1,24))</f>
        <v>16.00</v>
      </c>
      <c r="D4745" s="8" t="str">
        <f t="shared" ca="1" si="224"/>
        <v>—</v>
      </c>
      <c r="E4745" s="16">
        <f t="shared" ca="1" si="225"/>
        <v>7</v>
      </c>
    </row>
    <row r="4746" spans="1:5" x14ac:dyDescent="0.25">
      <c r="A4746" s="3">
        <f t="shared" si="223"/>
        <v>78989</v>
      </c>
      <c r="B4746" t="str">
        <f ca="1">TEXT(DATE(YEAR(Invoer!$A$5),1,1)+INT((ROWS(B$2:B4746)-1)/24),"""18""jjmmdd")</f>
        <v>18980717</v>
      </c>
      <c r="C4746" s="11" t="str">
        <f>INDEX(Data,2,2+MOD(ROWS(C$2:C4746)-1,24))</f>
        <v>17.00</v>
      </c>
      <c r="D4746" s="8" t="str">
        <f t="shared" ca="1" si="224"/>
        <v>—</v>
      </c>
      <c r="E4746" s="16">
        <f t="shared" ca="1" si="225"/>
        <v>7</v>
      </c>
    </row>
    <row r="4747" spans="1:5" x14ac:dyDescent="0.25">
      <c r="A4747" s="3">
        <f t="shared" si="223"/>
        <v>78989</v>
      </c>
      <c r="B4747" t="str">
        <f ca="1">TEXT(DATE(YEAR(Invoer!$A$5),1,1)+INT((ROWS(B$2:B4747)-1)/24),"""18""jjmmdd")</f>
        <v>18980717</v>
      </c>
      <c r="C4747" s="11" t="str">
        <f>INDEX(Data,2,2+MOD(ROWS(C$2:C4747)-1,24))</f>
        <v>18.00</v>
      </c>
      <c r="D4747" s="8" t="str">
        <f t="shared" ca="1" si="224"/>
        <v>—</v>
      </c>
      <c r="E4747" s="16">
        <f t="shared" ca="1" si="225"/>
        <v>7</v>
      </c>
    </row>
    <row r="4748" spans="1:5" x14ac:dyDescent="0.25">
      <c r="A4748" s="3">
        <f t="shared" si="223"/>
        <v>78989</v>
      </c>
      <c r="B4748" t="str">
        <f ca="1">TEXT(DATE(YEAR(Invoer!$A$5),1,1)+INT((ROWS(B$2:B4748)-1)/24),"""18""jjmmdd")</f>
        <v>18980717</v>
      </c>
      <c r="C4748" s="11" t="str">
        <f>INDEX(Data,2,2+MOD(ROWS(C$2:C4748)-1,24))</f>
        <v>19.00</v>
      </c>
      <c r="D4748" s="8" t="str">
        <f t="shared" ca="1" si="224"/>
        <v>—</v>
      </c>
      <c r="E4748" s="16">
        <f t="shared" ca="1" si="225"/>
        <v>7</v>
      </c>
    </row>
    <row r="4749" spans="1:5" x14ac:dyDescent="0.25">
      <c r="A4749" s="3">
        <f t="shared" si="223"/>
        <v>78989</v>
      </c>
      <c r="B4749" t="str">
        <f ca="1">TEXT(DATE(YEAR(Invoer!$A$5),1,1)+INT((ROWS(B$2:B4749)-1)/24),"""18""jjmmdd")</f>
        <v>18980717</v>
      </c>
      <c r="C4749" s="11" t="str">
        <f>INDEX(Data,2,2+MOD(ROWS(C$2:C4749)-1,24))</f>
        <v>20.00</v>
      </c>
      <c r="D4749" s="8" t="str">
        <f t="shared" ca="1" si="224"/>
        <v>—</v>
      </c>
      <c r="E4749" s="16">
        <f t="shared" ca="1" si="225"/>
        <v>7</v>
      </c>
    </row>
    <row r="4750" spans="1:5" x14ac:dyDescent="0.25">
      <c r="A4750" s="3">
        <f t="shared" si="223"/>
        <v>78989</v>
      </c>
      <c r="B4750" t="str">
        <f ca="1">TEXT(DATE(YEAR(Invoer!$A$5),1,1)+INT((ROWS(B$2:B4750)-1)/24),"""18""jjmmdd")</f>
        <v>18980717</v>
      </c>
      <c r="C4750" s="11" t="str">
        <f>INDEX(Data,2,2+MOD(ROWS(C$2:C4750)-1,24))</f>
        <v>21.00</v>
      </c>
      <c r="D4750" s="8" t="str">
        <f t="shared" ca="1" si="224"/>
        <v>—</v>
      </c>
      <c r="E4750" s="16">
        <f t="shared" ca="1" si="225"/>
        <v>7</v>
      </c>
    </row>
    <row r="4751" spans="1:5" x14ac:dyDescent="0.25">
      <c r="A4751" s="3">
        <f t="shared" si="223"/>
        <v>78989</v>
      </c>
      <c r="B4751" t="str">
        <f ca="1">TEXT(DATE(YEAR(Invoer!$A$5),1,1)+INT((ROWS(B$2:B4751)-1)/24),"""18""jjmmdd")</f>
        <v>18980717</v>
      </c>
      <c r="C4751" s="11" t="str">
        <f>INDEX(Data,2,2+MOD(ROWS(C$2:C4751)-1,24))</f>
        <v>22.00</v>
      </c>
      <c r="D4751" s="8" t="str">
        <f t="shared" ca="1" si="224"/>
        <v>—</v>
      </c>
      <c r="E4751" s="16">
        <f t="shared" ca="1" si="225"/>
        <v>7</v>
      </c>
    </row>
    <row r="4752" spans="1:5" x14ac:dyDescent="0.25">
      <c r="A4752" s="3">
        <f t="shared" si="223"/>
        <v>78989</v>
      </c>
      <c r="B4752" t="str">
        <f ca="1">TEXT(DATE(YEAR(Invoer!$A$5),1,1)+INT((ROWS(B$2:B4752)-1)/24),"""18""jjmmdd")</f>
        <v>18980717</v>
      </c>
      <c r="C4752" s="11" t="str">
        <f>INDEX(Data,2,2+MOD(ROWS(C$2:C4752)-1,24))</f>
        <v>23.00</v>
      </c>
      <c r="D4752" s="8" t="str">
        <f t="shared" ca="1" si="224"/>
        <v>—</v>
      </c>
      <c r="E4752" s="16">
        <f t="shared" ca="1" si="225"/>
        <v>7</v>
      </c>
    </row>
    <row r="4753" spans="1:5" x14ac:dyDescent="0.25">
      <c r="A4753" s="3">
        <f t="shared" si="223"/>
        <v>78989</v>
      </c>
      <c r="B4753" t="str">
        <f ca="1">TEXT(DATE(YEAR(Invoer!$A$5),1,1)+INT((ROWS(B$2:B4753)-1)/24),"""18""jjmmdd")</f>
        <v>18980717</v>
      </c>
      <c r="C4753" s="11" t="str">
        <f>INDEX(Data,2,2+MOD(ROWS(C$2:C4753)-1,24))</f>
        <v>24.00</v>
      </c>
      <c r="D4753" s="8" t="str">
        <f t="shared" ca="1" si="224"/>
        <v>—</v>
      </c>
      <c r="E4753" s="16">
        <f t="shared" ca="1" si="225"/>
        <v>7</v>
      </c>
    </row>
    <row r="4754" spans="1:5" x14ac:dyDescent="0.25">
      <c r="A4754" s="3">
        <f t="shared" si="223"/>
        <v>78989</v>
      </c>
      <c r="B4754" t="str">
        <f ca="1">TEXT(DATE(YEAR(Invoer!$A$5),1,1)+INT((ROWS(B$2:B4754)-1)/24),"""18""jjmmdd")</f>
        <v>18980718</v>
      </c>
      <c r="C4754" s="11" t="str">
        <f>INDEX(Data,2,2+MOD(ROWS(C$2:C4754)-1,24))</f>
        <v>01.00</v>
      </c>
      <c r="D4754" s="8" t="str">
        <f t="shared" ca="1" si="224"/>
        <v>—</v>
      </c>
      <c r="E4754" s="16">
        <f t="shared" ca="1" si="225"/>
        <v>7</v>
      </c>
    </row>
    <row r="4755" spans="1:5" x14ac:dyDescent="0.25">
      <c r="A4755" s="3">
        <f t="shared" si="223"/>
        <v>78989</v>
      </c>
      <c r="B4755" t="str">
        <f ca="1">TEXT(DATE(YEAR(Invoer!$A$5),1,1)+INT((ROWS(B$2:B4755)-1)/24),"""18""jjmmdd")</f>
        <v>18980718</v>
      </c>
      <c r="C4755" s="11" t="str">
        <f>INDEX(Data,2,2+MOD(ROWS(C$2:C4755)-1,24))</f>
        <v>02.00</v>
      </c>
      <c r="D4755" s="8" t="str">
        <f t="shared" ca="1" si="224"/>
        <v>—</v>
      </c>
      <c r="E4755" s="16">
        <f t="shared" ca="1" si="225"/>
        <v>7</v>
      </c>
    </row>
    <row r="4756" spans="1:5" x14ac:dyDescent="0.25">
      <c r="A4756" s="3">
        <f t="shared" si="223"/>
        <v>78989</v>
      </c>
      <c r="B4756" t="str">
        <f ca="1">TEXT(DATE(YEAR(Invoer!$A$5),1,1)+INT((ROWS(B$2:B4756)-1)/24),"""18""jjmmdd")</f>
        <v>18980718</v>
      </c>
      <c r="C4756" s="11" t="str">
        <f>INDEX(Data,2,2+MOD(ROWS(C$2:C4756)-1,24))</f>
        <v>03.00</v>
      </c>
      <c r="D4756" s="8" t="str">
        <f t="shared" ca="1" si="224"/>
        <v>—</v>
      </c>
      <c r="E4756" s="16">
        <f t="shared" ca="1" si="225"/>
        <v>7</v>
      </c>
    </row>
    <row r="4757" spans="1:5" x14ac:dyDescent="0.25">
      <c r="A4757" s="3">
        <f t="shared" si="223"/>
        <v>78989</v>
      </c>
      <c r="B4757" t="str">
        <f ca="1">TEXT(DATE(YEAR(Invoer!$A$5),1,1)+INT((ROWS(B$2:B4757)-1)/24),"""18""jjmmdd")</f>
        <v>18980718</v>
      </c>
      <c r="C4757" s="11" t="str">
        <f>INDEX(Data,2,2+MOD(ROWS(C$2:C4757)-1,24))</f>
        <v>04.00</v>
      </c>
      <c r="D4757" s="8" t="str">
        <f t="shared" ca="1" si="224"/>
        <v>—</v>
      </c>
      <c r="E4757" s="16">
        <f t="shared" ca="1" si="225"/>
        <v>7</v>
      </c>
    </row>
    <row r="4758" spans="1:5" x14ac:dyDescent="0.25">
      <c r="A4758" s="3">
        <f t="shared" si="223"/>
        <v>78989</v>
      </c>
      <c r="B4758" t="str">
        <f ca="1">TEXT(DATE(YEAR(Invoer!$A$5),1,1)+INT((ROWS(B$2:B4758)-1)/24),"""18""jjmmdd")</f>
        <v>18980718</v>
      </c>
      <c r="C4758" s="11" t="str">
        <f>INDEX(Data,2,2+MOD(ROWS(C$2:C4758)-1,24))</f>
        <v>05.00</v>
      </c>
      <c r="D4758" s="8" t="str">
        <f t="shared" ca="1" si="224"/>
        <v>—</v>
      </c>
      <c r="E4758" s="16">
        <f t="shared" ca="1" si="225"/>
        <v>7</v>
      </c>
    </row>
    <row r="4759" spans="1:5" x14ac:dyDescent="0.25">
      <c r="A4759" s="3">
        <f t="shared" si="223"/>
        <v>78989</v>
      </c>
      <c r="B4759" t="str">
        <f ca="1">TEXT(DATE(YEAR(Invoer!$A$5),1,1)+INT((ROWS(B$2:B4759)-1)/24),"""18""jjmmdd")</f>
        <v>18980718</v>
      </c>
      <c r="C4759" s="11" t="str">
        <f>INDEX(Data,2,2+MOD(ROWS(C$2:C4759)-1,24))</f>
        <v>06.00</v>
      </c>
      <c r="D4759" s="8" t="str">
        <f t="shared" ca="1" si="224"/>
        <v>—</v>
      </c>
      <c r="E4759" s="16">
        <f t="shared" ca="1" si="225"/>
        <v>7</v>
      </c>
    </row>
    <row r="4760" spans="1:5" x14ac:dyDescent="0.25">
      <c r="A4760" s="3">
        <f t="shared" si="223"/>
        <v>78989</v>
      </c>
      <c r="B4760" t="str">
        <f ca="1">TEXT(DATE(YEAR(Invoer!$A$5),1,1)+INT((ROWS(B$2:B4760)-1)/24),"""18""jjmmdd")</f>
        <v>18980718</v>
      </c>
      <c r="C4760" s="11" t="str">
        <f>INDEX(Data,2,2+MOD(ROWS(C$2:C4760)-1,24))</f>
        <v>07.00</v>
      </c>
      <c r="D4760" s="8" t="str">
        <f t="shared" ca="1" si="224"/>
        <v>—</v>
      </c>
      <c r="E4760" s="16">
        <f t="shared" ca="1" si="225"/>
        <v>7</v>
      </c>
    </row>
    <row r="4761" spans="1:5" x14ac:dyDescent="0.25">
      <c r="A4761" s="3">
        <f t="shared" si="223"/>
        <v>78989</v>
      </c>
      <c r="B4761" t="str">
        <f ca="1">TEXT(DATE(YEAR(Invoer!$A$5),1,1)+INT((ROWS(B$2:B4761)-1)/24),"""18""jjmmdd")</f>
        <v>18980718</v>
      </c>
      <c r="C4761" s="11" t="str">
        <f>INDEX(Data,2,2+MOD(ROWS(C$2:C4761)-1,24))</f>
        <v>08.00</v>
      </c>
      <c r="D4761" s="8" t="str">
        <f t="shared" ca="1" si="224"/>
        <v>—</v>
      </c>
      <c r="E4761" s="16">
        <f t="shared" ca="1" si="225"/>
        <v>7</v>
      </c>
    </row>
    <row r="4762" spans="1:5" x14ac:dyDescent="0.25">
      <c r="A4762" s="3">
        <f t="shared" si="223"/>
        <v>78989</v>
      </c>
      <c r="B4762" t="str">
        <f ca="1">TEXT(DATE(YEAR(Invoer!$A$5),1,1)+INT((ROWS(B$2:B4762)-1)/24),"""18""jjmmdd")</f>
        <v>18980718</v>
      </c>
      <c r="C4762" s="11" t="str">
        <f>INDEX(Data,2,2+MOD(ROWS(C$2:C4762)-1,24))</f>
        <v>09.00</v>
      </c>
      <c r="D4762" s="8" t="str">
        <f t="shared" ca="1" si="224"/>
        <v>—</v>
      </c>
      <c r="E4762" s="16">
        <f t="shared" ca="1" si="225"/>
        <v>7</v>
      </c>
    </row>
    <row r="4763" spans="1:5" x14ac:dyDescent="0.25">
      <c r="A4763" s="3">
        <f t="shared" si="223"/>
        <v>78989</v>
      </c>
      <c r="B4763" t="str">
        <f ca="1">TEXT(DATE(YEAR(Invoer!$A$5),1,1)+INT((ROWS(B$2:B4763)-1)/24),"""18""jjmmdd")</f>
        <v>18980718</v>
      </c>
      <c r="C4763" s="11" t="str">
        <f>INDEX(Data,2,2+MOD(ROWS(C$2:C4763)-1,24))</f>
        <v>10.00</v>
      </c>
      <c r="D4763" s="8" t="str">
        <f t="shared" ca="1" si="224"/>
        <v>—</v>
      </c>
      <c r="E4763" s="16">
        <f t="shared" ca="1" si="225"/>
        <v>7</v>
      </c>
    </row>
    <row r="4764" spans="1:5" x14ac:dyDescent="0.25">
      <c r="A4764" s="3">
        <f t="shared" si="223"/>
        <v>78989</v>
      </c>
      <c r="B4764" t="str">
        <f ca="1">TEXT(DATE(YEAR(Invoer!$A$5),1,1)+INT((ROWS(B$2:B4764)-1)/24),"""18""jjmmdd")</f>
        <v>18980718</v>
      </c>
      <c r="C4764" s="11" t="str">
        <f>INDEX(Data,2,2+MOD(ROWS(C$2:C4764)-1,24))</f>
        <v>11.00</v>
      </c>
      <c r="D4764" s="8" t="str">
        <f t="shared" ca="1" si="224"/>
        <v>—</v>
      </c>
      <c r="E4764" s="16">
        <f t="shared" ca="1" si="225"/>
        <v>7</v>
      </c>
    </row>
    <row r="4765" spans="1:5" x14ac:dyDescent="0.25">
      <c r="A4765" s="3">
        <f t="shared" si="223"/>
        <v>78989</v>
      </c>
      <c r="B4765" t="str">
        <f ca="1">TEXT(DATE(YEAR(Invoer!$A$5),1,1)+INT((ROWS(B$2:B4765)-1)/24),"""18""jjmmdd")</f>
        <v>18980718</v>
      </c>
      <c r="C4765" s="11" t="str">
        <f>INDEX(Data,2,2+MOD(ROWS(C$2:C4765)-1,24))</f>
        <v>12.00</v>
      </c>
      <c r="D4765" s="8" t="str">
        <f t="shared" ca="1" si="224"/>
        <v>—</v>
      </c>
      <c r="E4765" s="16">
        <f t="shared" ca="1" si="225"/>
        <v>7</v>
      </c>
    </row>
    <row r="4766" spans="1:5" x14ac:dyDescent="0.25">
      <c r="A4766" s="3">
        <f t="shared" si="223"/>
        <v>78989</v>
      </c>
      <c r="B4766" t="str">
        <f ca="1">TEXT(DATE(YEAR(Invoer!$A$5),1,1)+INT((ROWS(B$2:B4766)-1)/24),"""18""jjmmdd")</f>
        <v>18980718</v>
      </c>
      <c r="C4766" s="11" t="str">
        <f>INDEX(Data,2,2+MOD(ROWS(C$2:C4766)-1,24))</f>
        <v>13.00</v>
      </c>
      <c r="D4766" s="8" t="str">
        <f t="shared" ca="1" si="224"/>
        <v>—</v>
      </c>
      <c r="E4766" s="16">
        <f t="shared" ca="1" si="225"/>
        <v>7</v>
      </c>
    </row>
    <row r="4767" spans="1:5" x14ac:dyDescent="0.25">
      <c r="A4767" s="3">
        <f t="shared" si="223"/>
        <v>78989</v>
      </c>
      <c r="B4767" t="str">
        <f ca="1">TEXT(DATE(YEAR(Invoer!$A$5),1,1)+INT((ROWS(B$2:B4767)-1)/24),"""18""jjmmdd")</f>
        <v>18980718</v>
      </c>
      <c r="C4767" s="11" t="str">
        <f>INDEX(Data,2,2+MOD(ROWS(C$2:C4767)-1,24))</f>
        <v>14.00</v>
      </c>
      <c r="D4767" s="8" t="str">
        <f t="shared" ca="1" si="224"/>
        <v>—</v>
      </c>
      <c r="E4767" s="16">
        <f t="shared" ca="1" si="225"/>
        <v>7</v>
      </c>
    </row>
    <row r="4768" spans="1:5" x14ac:dyDescent="0.25">
      <c r="A4768" s="3">
        <f t="shared" si="223"/>
        <v>78989</v>
      </c>
      <c r="B4768" t="str">
        <f ca="1">TEXT(DATE(YEAR(Invoer!$A$5),1,1)+INT((ROWS(B$2:B4768)-1)/24),"""18""jjmmdd")</f>
        <v>18980718</v>
      </c>
      <c r="C4768" s="11" t="str">
        <f>INDEX(Data,2,2+MOD(ROWS(C$2:C4768)-1,24))</f>
        <v>15.00</v>
      </c>
      <c r="D4768" s="8" t="str">
        <f t="shared" ca="1" si="224"/>
        <v>—</v>
      </c>
      <c r="E4768" s="16">
        <f t="shared" ca="1" si="225"/>
        <v>7</v>
      </c>
    </row>
    <row r="4769" spans="1:5" x14ac:dyDescent="0.25">
      <c r="A4769" s="3">
        <f t="shared" si="223"/>
        <v>78989</v>
      </c>
      <c r="B4769" t="str">
        <f ca="1">TEXT(DATE(YEAR(Invoer!$A$5),1,1)+INT((ROWS(B$2:B4769)-1)/24),"""18""jjmmdd")</f>
        <v>18980718</v>
      </c>
      <c r="C4769" s="11" t="str">
        <f>INDEX(Data,2,2+MOD(ROWS(C$2:C4769)-1,24))</f>
        <v>16.00</v>
      </c>
      <c r="D4769" s="8" t="str">
        <f t="shared" ca="1" si="224"/>
        <v>—</v>
      </c>
      <c r="E4769" s="16">
        <f t="shared" ca="1" si="225"/>
        <v>7</v>
      </c>
    </row>
    <row r="4770" spans="1:5" x14ac:dyDescent="0.25">
      <c r="A4770" s="3">
        <f t="shared" si="223"/>
        <v>78989</v>
      </c>
      <c r="B4770" t="str">
        <f ca="1">TEXT(DATE(YEAR(Invoer!$A$5),1,1)+INT((ROWS(B$2:B4770)-1)/24),"""18""jjmmdd")</f>
        <v>18980718</v>
      </c>
      <c r="C4770" s="11" t="str">
        <f>INDEX(Data,2,2+MOD(ROWS(C$2:C4770)-1,24))</f>
        <v>17.00</v>
      </c>
      <c r="D4770" s="8" t="str">
        <f t="shared" ca="1" si="224"/>
        <v>—</v>
      </c>
      <c r="E4770" s="16">
        <f t="shared" ca="1" si="225"/>
        <v>7</v>
      </c>
    </row>
    <row r="4771" spans="1:5" x14ac:dyDescent="0.25">
      <c r="A4771" s="3">
        <f t="shared" si="223"/>
        <v>78989</v>
      </c>
      <c r="B4771" t="str">
        <f ca="1">TEXT(DATE(YEAR(Invoer!$A$5),1,1)+INT((ROWS(B$2:B4771)-1)/24),"""18""jjmmdd")</f>
        <v>18980718</v>
      </c>
      <c r="C4771" s="11" t="str">
        <f>INDEX(Data,2,2+MOD(ROWS(C$2:C4771)-1,24))</f>
        <v>18.00</v>
      </c>
      <c r="D4771" s="8" t="str">
        <f t="shared" ca="1" si="224"/>
        <v>—</v>
      </c>
      <c r="E4771" s="16">
        <f t="shared" ca="1" si="225"/>
        <v>7</v>
      </c>
    </row>
    <row r="4772" spans="1:5" x14ac:dyDescent="0.25">
      <c r="A4772" s="3">
        <f t="shared" si="223"/>
        <v>78989</v>
      </c>
      <c r="B4772" t="str">
        <f ca="1">TEXT(DATE(YEAR(Invoer!$A$5),1,1)+INT((ROWS(B$2:B4772)-1)/24),"""18""jjmmdd")</f>
        <v>18980718</v>
      </c>
      <c r="C4772" s="11" t="str">
        <f>INDEX(Data,2,2+MOD(ROWS(C$2:C4772)-1,24))</f>
        <v>19.00</v>
      </c>
      <c r="D4772" s="8" t="str">
        <f t="shared" ca="1" si="224"/>
        <v>—</v>
      </c>
      <c r="E4772" s="16">
        <f t="shared" ca="1" si="225"/>
        <v>7</v>
      </c>
    </row>
    <row r="4773" spans="1:5" x14ac:dyDescent="0.25">
      <c r="A4773" s="3">
        <f t="shared" si="223"/>
        <v>78989</v>
      </c>
      <c r="B4773" t="str">
        <f ca="1">TEXT(DATE(YEAR(Invoer!$A$5),1,1)+INT((ROWS(B$2:B4773)-1)/24),"""18""jjmmdd")</f>
        <v>18980718</v>
      </c>
      <c r="C4773" s="11" t="str">
        <f>INDEX(Data,2,2+MOD(ROWS(C$2:C4773)-1,24))</f>
        <v>20.00</v>
      </c>
      <c r="D4773" s="8" t="str">
        <f t="shared" ca="1" si="224"/>
        <v>—</v>
      </c>
      <c r="E4773" s="16">
        <f t="shared" ca="1" si="225"/>
        <v>7</v>
      </c>
    </row>
    <row r="4774" spans="1:5" x14ac:dyDescent="0.25">
      <c r="A4774" s="3">
        <f t="shared" si="223"/>
        <v>78989</v>
      </c>
      <c r="B4774" t="str">
        <f ca="1">TEXT(DATE(YEAR(Invoer!$A$5),1,1)+INT((ROWS(B$2:B4774)-1)/24),"""18""jjmmdd")</f>
        <v>18980718</v>
      </c>
      <c r="C4774" s="11" t="str">
        <f>INDEX(Data,2,2+MOD(ROWS(C$2:C4774)-1,24))</f>
        <v>21.00</v>
      </c>
      <c r="D4774" s="8" t="str">
        <f t="shared" ca="1" si="224"/>
        <v>—</v>
      </c>
      <c r="E4774" s="16">
        <f t="shared" ca="1" si="225"/>
        <v>7</v>
      </c>
    </row>
    <row r="4775" spans="1:5" x14ac:dyDescent="0.25">
      <c r="A4775" s="3">
        <f t="shared" si="223"/>
        <v>78989</v>
      </c>
      <c r="B4775" t="str">
        <f ca="1">TEXT(DATE(YEAR(Invoer!$A$5),1,1)+INT((ROWS(B$2:B4775)-1)/24),"""18""jjmmdd")</f>
        <v>18980718</v>
      </c>
      <c r="C4775" s="11" t="str">
        <f>INDEX(Data,2,2+MOD(ROWS(C$2:C4775)-1,24))</f>
        <v>22.00</v>
      </c>
      <c r="D4775" s="8" t="str">
        <f t="shared" ca="1" si="224"/>
        <v>—</v>
      </c>
      <c r="E4775" s="16">
        <f t="shared" ca="1" si="225"/>
        <v>7</v>
      </c>
    </row>
    <row r="4776" spans="1:5" x14ac:dyDescent="0.25">
      <c r="A4776" s="3">
        <f t="shared" si="223"/>
        <v>78989</v>
      </c>
      <c r="B4776" t="str">
        <f ca="1">TEXT(DATE(YEAR(Invoer!$A$5),1,1)+INT((ROWS(B$2:B4776)-1)/24),"""18""jjmmdd")</f>
        <v>18980718</v>
      </c>
      <c r="C4776" s="11" t="str">
        <f>INDEX(Data,2,2+MOD(ROWS(C$2:C4776)-1,24))</f>
        <v>23.00</v>
      </c>
      <c r="D4776" s="8" t="str">
        <f t="shared" ca="1" si="224"/>
        <v>—</v>
      </c>
      <c r="E4776" s="16">
        <f t="shared" ca="1" si="225"/>
        <v>7</v>
      </c>
    </row>
    <row r="4777" spans="1:5" x14ac:dyDescent="0.25">
      <c r="A4777" s="3">
        <f t="shared" si="223"/>
        <v>78989</v>
      </c>
      <c r="B4777" t="str">
        <f ca="1">TEXT(DATE(YEAR(Invoer!$A$5),1,1)+INT((ROWS(B$2:B4777)-1)/24),"""18""jjmmdd")</f>
        <v>18980718</v>
      </c>
      <c r="C4777" s="11" t="str">
        <f>INDEX(Data,2,2+MOD(ROWS(C$2:C4777)-1,24))</f>
        <v>24.00</v>
      </c>
      <c r="D4777" s="8" t="str">
        <f t="shared" ca="1" si="224"/>
        <v>—</v>
      </c>
      <c r="E4777" s="16">
        <f t="shared" ca="1" si="225"/>
        <v>7</v>
      </c>
    </row>
    <row r="4778" spans="1:5" x14ac:dyDescent="0.25">
      <c r="A4778" s="3">
        <f t="shared" si="223"/>
        <v>78989</v>
      </c>
      <c r="B4778" t="str">
        <f ca="1">TEXT(DATE(YEAR(Invoer!$A$5),1,1)+INT((ROWS(B$2:B4778)-1)/24),"""18""jjmmdd")</f>
        <v>18980719</v>
      </c>
      <c r="C4778" s="11" t="str">
        <f>INDEX(Data,2,2+MOD(ROWS(C$2:C4778)-1,24))</f>
        <v>01.00</v>
      </c>
      <c r="D4778" s="8" t="str">
        <f t="shared" ca="1" si="224"/>
        <v>—</v>
      </c>
      <c r="E4778" s="16">
        <f t="shared" ca="1" si="225"/>
        <v>7</v>
      </c>
    </row>
    <row r="4779" spans="1:5" x14ac:dyDescent="0.25">
      <c r="A4779" s="3">
        <f t="shared" si="223"/>
        <v>78989</v>
      </c>
      <c r="B4779" t="str">
        <f ca="1">TEXT(DATE(YEAR(Invoer!$A$5),1,1)+INT((ROWS(B$2:B4779)-1)/24),"""18""jjmmdd")</f>
        <v>18980719</v>
      </c>
      <c r="C4779" s="11" t="str">
        <f>INDEX(Data,2,2+MOD(ROWS(C$2:C4779)-1,24))</f>
        <v>02.00</v>
      </c>
      <c r="D4779" s="8" t="str">
        <f t="shared" ca="1" si="224"/>
        <v>—</v>
      </c>
      <c r="E4779" s="16">
        <f t="shared" ca="1" si="225"/>
        <v>7</v>
      </c>
    </row>
    <row r="4780" spans="1:5" x14ac:dyDescent="0.25">
      <c r="A4780" s="3">
        <f t="shared" si="223"/>
        <v>78989</v>
      </c>
      <c r="B4780" t="str">
        <f ca="1">TEXT(DATE(YEAR(Invoer!$A$5),1,1)+INT((ROWS(B$2:B4780)-1)/24),"""18""jjmmdd")</f>
        <v>18980719</v>
      </c>
      <c r="C4780" s="11" t="str">
        <f>INDEX(Data,2,2+MOD(ROWS(C$2:C4780)-1,24))</f>
        <v>03.00</v>
      </c>
      <c r="D4780" s="8" t="str">
        <f t="shared" ca="1" si="224"/>
        <v>—</v>
      </c>
      <c r="E4780" s="16">
        <f t="shared" ca="1" si="225"/>
        <v>7</v>
      </c>
    </row>
    <row r="4781" spans="1:5" x14ac:dyDescent="0.25">
      <c r="A4781" s="3">
        <f t="shared" si="223"/>
        <v>78989</v>
      </c>
      <c r="B4781" t="str">
        <f ca="1">TEXT(DATE(YEAR(Invoer!$A$5),1,1)+INT((ROWS(B$2:B4781)-1)/24),"""18""jjmmdd")</f>
        <v>18980719</v>
      </c>
      <c r="C4781" s="11" t="str">
        <f>INDEX(Data,2,2+MOD(ROWS(C$2:C4781)-1,24))</f>
        <v>04.00</v>
      </c>
      <c r="D4781" s="8" t="str">
        <f t="shared" ca="1" si="224"/>
        <v>—</v>
      </c>
      <c r="E4781" s="16">
        <f t="shared" ca="1" si="225"/>
        <v>7</v>
      </c>
    </row>
    <row r="4782" spans="1:5" x14ac:dyDescent="0.25">
      <c r="A4782" s="3">
        <f t="shared" si="223"/>
        <v>78989</v>
      </c>
      <c r="B4782" t="str">
        <f ca="1">TEXT(DATE(YEAR(Invoer!$A$5),1,1)+INT((ROWS(B$2:B4782)-1)/24),"""18""jjmmdd")</f>
        <v>18980719</v>
      </c>
      <c r="C4782" s="11" t="str">
        <f>INDEX(Data,2,2+MOD(ROWS(C$2:C4782)-1,24))</f>
        <v>05.00</v>
      </c>
      <c r="D4782" s="8" t="str">
        <f t="shared" ca="1" si="224"/>
        <v>—</v>
      </c>
      <c r="E4782" s="16">
        <f t="shared" ca="1" si="225"/>
        <v>7</v>
      </c>
    </row>
    <row r="4783" spans="1:5" x14ac:dyDescent="0.25">
      <c r="A4783" s="3">
        <f t="shared" si="223"/>
        <v>78989</v>
      </c>
      <c r="B4783" t="str">
        <f ca="1">TEXT(DATE(YEAR(Invoer!$A$5),1,1)+INT((ROWS(B$2:B4783)-1)/24),"""18""jjmmdd")</f>
        <v>18980719</v>
      </c>
      <c r="C4783" s="11" t="str">
        <f>INDEX(Data,2,2+MOD(ROWS(C$2:C4783)-1,24))</f>
        <v>06.00</v>
      </c>
      <c r="D4783" s="8" t="str">
        <f t="shared" ca="1" si="224"/>
        <v>—</v>
      </c>
      <c r="E4783" s="16">
        <f t="shared" ca="1" si="225"/>
        <v>7</v>
      </c>
    </row>
    <row r="4784" spans="1:5" x14ac:dyDescent="0.25">
      <c r="A4784" s="3">
        <f t="shared" si="223"/>
        <v>78989</v>
      </c>
      <c r="B4784" t="str">
        <f ca="1">TEXT(DATE(YEAR(Invoer!$A$5),1,1)+INT((ROWS(B$2:B4784)-1)/24),"""18""jjmmdd")</f>
        <v>18980719</v>
      </c>
      <c r="C4784" s="11" t="str">
        <f>INDEX(Data,2,2+MOD(ROWS(C$2:C4784)-1,24))</f>
        <v>07.00</v>
      </c>
      <c r="D4784" s="8" t="str">
        <f t="shared" ca="1" si="224"/>
        <v>—</v>
      </c>
      <c r="E4784" s="16">
        <f t="shared" ca="1" si="225"/>
        <v>7</v>
      </c>
    </row>
    <row r="4785" spans="1:5" x14ac:dyDescent="0.25">
      <c r="A4785" s="3">
        <f t="shared" si="223"/>
        <v>78989</v>
      </c>
      <c r="B4785" t="str">
        <f ca="1">TEXT(DATE(YEAR(Invoer!$A$5),1,1)+INT((ROWS(B$2:B4785)-1)/24),"""18""jjmmdd")</f>
        <v>18980719</v>
      </c>
      <c r="C4785" s="11" t="str">
        <f>INDEX(Data,2,2+MOD(ROWS(C$2:C4785)-1,24))</f>
        <v>08.00</v>
      </c>
      <c r="D4785" s="8" t="str">
        <f t="shared" ca="1" si="224"/>
        <v>—</v>
      </c>
      <c r="E4785" s="16">
        <f t="shared" ca="1" si="225"/>
        <v>7</v>
      </c>
    </row>
    <row r="4786" spans="1:5" x14ac:dyDescent="0.25">
      <c r="A4786" s="3">
        <f t="shared" si="223"/>
        <v>78989</v>
      </c>
      <c r="B4786" t="str">
        <f ca="1">TEXT(DATE(YEAR(Invoer!$A$5),1,1)+INT((ROWS(B$2:B4786)-1)/24),"""18""jjmmdd")</f>
        <v>18980719</v>
      </c>
      <c r="C4786" s="11" t="str">
        <f>INDEX(Data,2,2+MOD(ROWS(C$2:C4786)-1,24))</f>
        <v>09.00</v>
      </c>
      <c r="D4786" s="8" t="str">
        <f t="shared" ca="1" si="224"/>
        <v>—</v>
      </c>
      <c r="E4786" s="16">
        <f t="shared" ca="1" si="225"/>
        <v>7</v>
      </c>
    </row>
    <row r="4787" spans="1:5" x14ac:dyDescent="0.25">
      <c r="A4787" s="3">
        <f t="shared" si="223"/>
        <v>78989</v>
      </c>
      <c r="B4787" t="str">
        <f ca="1">TEXT(DATE(YEAR(Invoer!$A$5),1,1)+INT((ROWS(B$2:B4787)-1)/24),"""18""jjmmdd")</f>
        <v>18980719</v>
      </c>
      <c r="C4787" s="11" t="str">
        <f>INDEX(Data,2,2+MOD(ROWS(C$2:C4787)-1,24))</f>
        <v>10.00</v>
      </c>
      <c r="D4787" s="8" t="str">
        <f t="shared" ca="1" si="224"/>
        <v>—</v>
      </c>
      <c r="E4787" s="16">
        <f t="shared" ca="1" si="225"/>
        <v>7</v>
      </c>
    </row>
    <row r="4788" spans="1:5" x14ac:dyDescent="0.25">
      <c r="A4788" s="3">
        <f t="shared" si="223"/>
        <v>78989</v>
      </c>
      <c r="B4788" t="str">
        <f ca="1">TEXT(DATE(YEAR(Invoer!$A$5),1,1)+INT((ROWS(B$2:B4788)-1)/24),"""18""jjmmdd")</f>
        <v>18980719</v>
      </c>
      <c r="C4788" s="11" t="str">
        <f>INDEX(Data,2,2+MOD(ROWS(C$2:C4788)-1,24))</f>
        <v>11.00</v>
      </c>
      <c r="D4788" s="8" t="str">
        <f t="shared" ca="1" si="224"/>
        <v>—</v>
      </c>
      <c r="E4788" s="16">
        <f t="shared" ca="1" si="225"/>
        <v>7</v>
      </c>
    </row>
    <row r="4789" spans="1:5" x14ac:dyDescent="0.25">
      <c r="A4789" s="3">
        <f t="shared" si="223"/>
        <v>78989</v>
      </c>
      <c r="B4789" t="str">
        <f ca="1">TEXT(DATE(YEAR(Invoer!$A$5),1,1)+INT((ROWS(B$2:B4789)-1)/24),"""18""jjmmdd")</f>
        <v>18980719</v>
      </c>
      <c r="C4789" s="11" t="str">
        <f>INDEX(Data,2,2+MOD(ROWS(C$2:C4789)-1,24))</f>
        <v>12.00</v>
      </c>
      <c r="D4789" s="8" t="str">
        <f t="shared" ca="1" si="224"/>
        <v>—</v>
      </c>
      <c r="E4789" s="16">
        <f t="shared" ca="1" si="225"/>
        <v>7</v>
      </c>
    </row>
    <row r="4790" spans="1:5" x14ac:dyDescent="0.25">
      <c r="A4790" s="3">
        <f t="shared" si="223"/>
        <v>78989</v>
      </c>
      <c r="B4790" t="str">
        <f ca="1">TEXT(DATE(YEAR(Invoer!$A$5),1,1)+INT((ROWS(B$2:B4790)-1)/24),"""18""jjmmdd")</f>
        <v>18980719</v>
      </c>
      <c r="C4790" s="11" t="str">
        <f>INDEX(Data,2,2+MOD(ROWS(C$2:C4790)-1,24))</f>
        <v>13.00</v>
      </c>
      <c r="D4790" s="8" t="str">
        <f t="shared" ca="1" si="224"/>
        <v>—</v>
      </c>
      <c r="E4790" s="16">
        <f t="shared" ca="1" si="225"/>
        <v>7</v>
      </c>
    </row>
    <row r="4791" spans="1:5" x14ac:dyDescent="0.25">
      <c r="A4791" s="3">
        <f t="shared" si="223"/>
        <v>78989</v>
      </c>
      <c r="B4791" t="str">
        <f ca="1">TEXT(DATE(YEAR(Invoer!$A$5),1,1)+INT((ROWS(B$2:B4791)-1)/24),"""18""jjmmdd")</f>
        <v>18980719</v>
      </c>
      <c r="C4791" s="11" t="str">
        <f>INDEX(Data,2,2+MOD(ROWS(C$2:C4791)-1,24))</f>
        <v>14.00</v>
      </c>
      <c r="D4791" s="8" t="str">
        <f t="shared" ca="1" si="224"/>
        <v>—</v>
      </c>
      <c r="E4791" s="16">
        <f t="shared" ca="1" si="225"/>
        <v>7</v>
      </c>
    </row>
    <row r="4792" spans="1:5" x14ac:dyDescent="0.25">
      <c r="A4792" s="3">
        <f t="shared" si="223"/>
        <v>78989</v>
      </c>
      <c r="B4792" t="str">
        <f ca="1">TEXT(DATE(YEAR(Invoer!$A$5),1,1)+INT((ROWS(B$2:B4792)-1)/24),"""18""jjmmdd")</f>
        <v>18980719</v>
      </c>
      <c r="C4792" s="11" t="str">
        <f>INDEX(Data,2,2+MOD(ROWS(C$2:C4792)-1,24))</f>
        <v>15.00</v>
      </c>
      <c r="D4792" s="8" t="str">
        <f t="shared" ca="1" si="224"/>
        <v>—</v>
      </c>
      <c r="E4792" s="16">
        <f t="shared" ca="1" si="225"/>
        <v>7</v>
      </c>
    </row>
    <row r="4793" spans="1:5" x14ac:dyDescent="0.25">
      <c r="A4793" s="3">
        <f t="shared" si="223"/>
        <v>78989</v>
      </c>
      <c r="B4793" t="str">
        <f ca="1">TEXT(DATE(YEAR(Invoer!$A$5),1,1)+INT((ROWS(B$2:B4793)-1)/24),"""18""jjmmdd")</f>
        <v>18980719</v>
      </c>
      <c r="C4793" s="11" t="str">
        <f>INDEX(Data,2,2+MOD(ROWS(C$2:C4793)-1,24))</f>
        <v>16.00</v>
      </c>
      <c r="D4793" s="8" t="str">
        <f t="shared" ca="1" si="224"/>
        <v>—</v>
      </c>
      <c r="E4793" s="16">
        <f t="shared" ca="1" si="225"/>
        <v>7</v>
      </c>
    </row>
    <row r="4794" spans="1:5" x14ac:dyDescent="0.25">
      <c r="A4794" s="3">
        <f t="shared" si="223"/>
        <v>78989</v>
      </c>
      <c r="B4794" t="str">
        <f ca="1">TEXT(DATE(YEAR(Invoer!$A$5),1,1)+INT((ROWS(B$2:B4794)-1)/24),"""18""jjmmdd")</f>
        <v>18980719</v>
      </c>
      <c r="C4794" s="11" t="str">
        <f>INDEX(Data,2,2+MOD(ROWS(C$2:C4794)-1,24))</f>
        <v>17.00</v>
      </c>
      <c r="D4794" s="8" t="str">
        <f t="shared" ca="1" si="224"/>
        <v>—</v>
      </c>
      <c r="E4794" s="16">
        <f t="shared" ca="1" si="225"/>
        <v>7</v>
      </c>
    </row>
    <row r="4795" spans="1:5" x14ac:dyDescent="0.25">
      <c r="A4795" s="3">
        <f t="shared" si="223"/>
        <v>78989</v>
      </c>
      <c r="B4795" t="str">
        <f ca="1">TEXT(DATE(YEAR(Invoer!$A$5),1,1)+INT((ROWS(B$2:B4795)-1)/24),"""18""jjmmdd")</f>
        <v>18980719</v>
      </c>
      <c r="C4795" s="11" t="str">
        <f>INDEX(Data,2,2+MOD(ROWS(C$2:C4795)-1,24))</f>
        <v>18.00</v>
      </c>
      <c r="D4795" s="8" t="str">
        <f t="shared" ca="1" si="224"/>
        <v>—</v>
      </c>
      <c r="E4795" s="16">
        <f t="shared" ca="1" si="225"/>
        <v>7</v>
      </c>
    </row>
    <row r="4796" spans="1:5" x14ac:dyDescent="0.25">
      <c r="A4796" s="3">
        <f t="shared" si="223"/>
        <v>78989</v>
      </c>
      <c r="B4796" t="str">
        <f ca="1">TEXT(DATE(YEAR(Invoer!$A$5),1,1)+INT((ROWS(B$2:B4796)-1)/24),"""18""jjmmdd")</f>
        <v>18980719</v>
      </c>
      <c r="C4796" s="11" t="str">
        <f>INDEX(Data,2,2+MOD(ROWS(C$2:C4796)-1,24))</f>
        <v>19.00</v>
      </c>
      <c r="D4796" s="8" t="str">
        <f t="shared" ca="1" si="224"/>
        <v>—</v>
      </c>
      <c r="E4796" s="16">
        <f t="shared" ca="1" si="225"/>
        <v>7</v>
      </c>
    </row>
    <row r="4797" spans="1:5" x14ac:dyDescent="0.25">
      <c r="A4797" s="3">
        <f t="shared" si="223"/>
        <v>78989</v>
      </c>
      <c r="B4797" t="str">
        <f ca="1">TEXT(DATE(YEAR(Invoer!$A$5),1,1)+INT((ROWS(B$2:B4797)-1)/24),"""18""jjmmdd")</f>
        <v>18980719</v>
      </c>
      <c r="C4797" s="11" t="str">
        <f>INDEX(Data,2,2+MOD(ROWS(C$2:C4797)-1,24))</f>
        <v>20.00</v>
      </c>
      <c r="D4797" s="8" t="str">
        <f t="shared" ca="1" si="224"/>
        <v>—</v>
      </c>
      <c r="E4797" s="16">
        <f t="shared" ca="1" si="225"/>
        <v>7</v>
      </c>
    </row>
    <row r="4798" spans="1:5" x14ac:dyDescent="0.25">
      <c r="A4798" s="3">
        <f t="shared" si="223"/>
        <v>78989</v>
      </c>
      <c r="B4798" t="str">
        <f ca="1">TEXT(DATE(YEAR(Invoer!$A$5),1,1)+INT((ROWS(B$2:B4798)-1)/24),"""18""jjmmdd")</f>
        <v>18980719</v>
      </c>
      <c r="C4798" s="11" t="str">
        <f>INDEX(Data,2,2+MOD(ROWS(C$2:C4798)-1,24))</f>
        <v>21.00</v>
      </c>
      <c r="D4798" s="8" t="str">
        <f t="shared" ca="1" si="224"/>
        <v>—</v>
      </c>
      <c r="E4798" s="16">
        <f t="shared" ca="1" si="225"/>
        <v>7</v>
      </c>
    </row>
    <row r="4799" spans="1:5" x14ac:dyDescent="0.25">
      <c r="A4799" s="3">
        <f t="shared" si="223"/>
        <v>78989</v>
      </c>
      <c r="B4799" t="str">
        <f ca="1">TEXT(DATE(YEAR(Invoer!$A$5),1,1)+INT((ROWS(B$2:B4799)-1)/24),"""18""jjmmdd")</f>
        <v>18980719</v>
      </c>
      <c r="C4799" s="11" t="str">
        <f>INDEX(Data,2,2+MOD(ROWS(C$2:C4799)-1,24))</f>
        <v>22.00</v>
      </c>
      <c r="D4799" s="8" t="str">
        <f t="shared" ca="1" si="224"/>
        <v>—</v>
      </c>
      <c r="E4799" s="16">
        <f t="shared" ca="1" si="225"/>
        <v>7</v>
      </c>
    </row>
    <row r="4800" spans="1:5" x14ac:dyDescent="0.25">
      <c r="A4800" s="3">
        <f t="shared" si="223"/>
        <v>78989</v>
      </c>
      <c r="B4800" t="str">
        <f ca="1">TEXT(DATE(YEAR(Invoer!$A$5),1,1)+INT((ROWS(B$2:B4800)-1)/24),"""18""jjmmdd")</f>
        <v>18980719</v>
      </c>
      <c r="C4800" s="11" t="str">
        <f>INDEX(Data,2,2+MOD(ROWS(C$2:C4800)-1,24))</f>
        <v>23.00</v>
      </c>
      <c r="D4800" s="8" t="str">
        <f t="shared" ca="1" si="224"/>
        <v>—</v>
      </c>
      <c r="E4800" s="16">
        <f t="shared" ca="1" si="225"/>
        <v>7</v>
      </c>
    </row>
    <row r="4801" spans="1:5" x14ac:dyDescent="0.25">
      <c r="A4801" s="3">
        <f t="shared" si="223"/>
        <v>78989</v>
      </c>
      <c r="B4801" t="str">
        <f ca="1">TEXT(DATE(YEAR(Invoer!$A$5),1,1)+INT((ROWS(B$2:B4801)-1)/24),"""18""jjmmdd")</f>
        <v>18980719</v>
      </c>
      <c r="C4801" s="11" t="str">
        <f>INDEX(Data,2,2+MOD(ROWS(C$2:C4801)-1,24))</f>
        <v>24.00</v>
      </c>
      <c r="D4801" s="8" t="str">
        <f t="shared" ca="1" si="224"/>
        <v>—</v>
      </c>
      <c r="E4801" s="16">
        <f t="shared" ca="1" si="225"/>
        <v>7</v>
      </c>
    </row>
    <row r="4802" spans="1:5" x14ac:dyDescent="0.25">
      <c r="A4802" s="3">
        <f t="shared" ref="A4802:A4865" si="226">INDEX(Stations,2,1)</f>
        <v>78989</v>
      </c>
      <c r="B4802" t="str">
        <f ca="1">TEXT(DATE(YEAR(Invoer!$A$5),1,1)+INT((ROWS(B$2:B4802)-1)/24),"""18""jjmmdd")</f>
        <v>18980720</v>
      </c>
      <c r="C4802" s="11" t="str">
        <f>INDEX(Data,2,2+MOD(ROWS(C$2:C4802)-1,24))</f>
        <v>01.00</v>
      </c>
      <c r="D4802" s="8" t="str">
        <f t="shared" ref="D4802:D4865" ca="1" si="227">IF(OR(ISBLANK(VLOOKUP(DATEVALUE("37"&amp;MID($B4802,3,2)&amp;"-"&amp;MID($B4802,5,2)&amp;"-"&amp;RIGHT($B4802,2)),Data,MATCH(LEFT(VLOOKUP(D$1,Parameters,2,FALSE()),4)&amp;"*",OFFSET(Data,0,0,1),0)+MATCH($C4802,OFFSET(Data,1,0,1),0)-2,FALSE())),ISTEXT(VLOOKUP(DATEVALUE("37"&amp;MID($B4802,3,2)&amp;"-"&amp;MID($B4802,5,2)&amp;"-"&amp;RIGHT($B4802,2)),Data,MATCH(LEFT(VLOOKUP(D$1,Parameters,2,FALSE()),4)&amp;"*",OFFSET(Data,0,0,1),0)+MATCH($C4802,OFFSET(Data,1,0,1),0)-2,FALSE()))),"—",VLOOKUP(DATEVALUE("37"&amp;MID($B4802,3,2)&amp;"-"&amp;MID($B4802,5,2)&amp;"-"&amp;RIGHT($B4802,2)),Data,MATCH(LEFT(VLOOKUP(D$1,Parameters,2,FALSE()),4)&amp;"*",OFFSET(Data,0,0,1),0)+MATCH($C4802,OFFSET(Data,1,0,1),0)-2,FALSE()))</f>
        <v>—</v>
      </c>
      <c r="E4802" s="16">
        <f t="shared" ca="1" si="225"/>
        <v>7</v>
      </c>
    </row>
    <row r="4803" spans="1:5" x14ac:dyDescent="0.25">
      <c r="A4803" s="3">
        <f t="shared" si="226"/>
        <v>78989</v>
      </c>
      <c r="B4803" t="str">
        <f ca="1">TEXT(DATE(YEAR(Invoer!$A$5),1,1)+INT((ROWS(B$2:B4803)-1)/24),"""18""jjmmdd")</f>
        <v>18980720</v>
      </c>
      <c r="C4803" s="11" t="str">
        <f>INDEX(Data,2,2+MOD(ROWS(C$2:C4803)-1,24))</f>
        <v>02.00</v>
      </c>
      <c r="D4803" s="8" t="str">
        <f t="shared" ca="1" si="227"/>
        <v>—</v>
      </c>
      <c r="E4803" s="16">
        <f t="shared" ref="E4803:E4866" ca="1" si="228">IF(OR(ISBLANK(VLOOKUP(DATEVALUE("37"&amp;MID($B4803,3,2)&amp;"-"&amp;MID($B4803,5,2)&amp;"-"&amp;RIGHT($B4803,2)),Data,MATCH(LEFT(VLOOKUP(D$1,Parameters,2,FALSE()),4)&amp;"*",OFFSET(Data,0,0,1),0)+MATCH($C4803,OFFSET(Data,1,0,1),0)-2,FALSE())),ISTEXT(VLOOKUP(DATEVALUE("37"&amp;MID($B4803,3,2)&amp;"-"&amp;MID($B4803,5,2)&amp;"-"&amp;RIGHT($B4803,2)),Data,MATCH(LEFT(VLOOKUP(D$1,Parameters,2,FALSE()),4)&amp;"*",OFFSET(Data,0,0,1),0)+MATCH($C4803,OFFSET(Data,1,0,1),0)-2,FALSE()))),Lacking,IF(ISNA(MATCH(DATEVALUE("37"&amp;MID($B4803,3,2)&amp;"-"&amp;MID($B4803,5,2)&amp;"-"&amp;RIGHT($B4803,2)),OFFSET(Catalogus,0,0,,1),0)),Ok,VLOOKUP(DATEVALUE("37"&amp;MID($B4803,3,2)&amp;"-"&amp;MID($B4803,5,2)&amp;"-"&amp;RIGHT($B4803,2)),Catalogus,MATCH(LEFT(VLOOKUP(MID(E$1,2,LEN(E$1)-1),Parameters,2,FALSE()),4)&amp;"*",OFFSET(Catalogus,0,0,1),0)+MATCH($C4803,OFFSET(Catalogus,1,0,1),0)-2,FALSE())))</f>
        <v>7</v>
      </c>
    </row>
    <row r="4804" spans="1:5" x14ac:dyDescent="0.25">
      <c r="A4804" s="3">
        <f t="shared" si="226"/>
        <v>78989</v>
      </c>
      <c r="B4804" t="str">
        <f ca="1">TEXT(DATE(YEAR(Invoer!$A$5),1,1)+INT((ROWS(B$2:B4804)-1)/24),"""18""jjmmdd")</f>
        <v>18980720</v>
      </c>
      <c r="C4804" s="11" t="str">
        <f>INDEX(Data,2,2+MOD(ROWS(C$2:C4804)-1,24))</f>
        <v>03.00</v>
      </c>
      <c r="D4804" s="8" t="str">
        <f t="shared" ca="1" si="227"/>
        <v>—</v>
      </c>
      <c r="E4804" s="16">
        <f t="shared" ca="1" si="228"/>
        <v>7</v>
      </c>
    </row>
    <row r="4805" spans="1:5" x14ac:dyDescent="0.25">
      <c r="A4805" s="3">
        <f t="shared" si="226"/>
        <v>78989</v>
      </c>
      <c r="B4805" t="str">
        <f ca="1">TEXT(DATE(YEAR(Invoer!$A$5),1,1)+INT((ROWS(B$2:B4805)-1)/24),"""18""jjmmdd")</f>
        <v>18980720</v>
      </c>
      <c r="C4805" s="11" t="str">
        <f>INDEX(Data,2,2+MOD(ROWS(C$2:C4805)-1,24))</f>
        <v>04.00</v>
      </c>
      <c r="D4805" s="8" t="str">
        <f t="shared" ca="1" si="227"/>
        <v>—</v>
      </c>
      <c r="E4805" s="16">
        <f t="shared" ca="1" si="228"/>
        <v>7</v>
      </c>
    </row>
    <row r="4806" spans="1:5" x14ac:dyDescent="0.25">
      <c r="A4806" s="3">
        <f t="shared" si="226"/>
        <v>78989</v>
      </c>
      <c r="B4806" t="str">
        <f ca="1">TEXT(DATE(YEAR(Invoer!$A$5),1,1)+INT((ROWS(B$2:B4806)-1)/24),"""18""jjmmdd")</f>
        <v>18980720</v>
      </c>
      <c r="C4806" s="11" t="str">
        <f>INDEX(Data,2,2+MOD(ROWS(C$2:C4806)-1,24))</f>
        <v>05.00</v>
      </c>
      <c r="D4806" s="8" t="str">
        <f t="shared" ca="1" si="227"/>
        <v>—</v>
      </c>
      <c r="E4806" s="16">
        <f t="shared" ca="1" si="228"/>
        <v>7</v>
      </c>
    </row>
    <row r="4807" spans="1:5" x14ac:dyDescent="0.25">
      <c r="A4807" s="3">
        <f t="shared" si="226"/>
        <v>78989</v>
      </c>
      <c r="B4807" t="str">
        <f ca="1">TEXT(DATE(YEAR(Invoer!$A$5),1,1)+INT((ROWS(B$2:B4807)-1)/24),"""18""jjmmdd")</f>
        <v>18980720</v>
      </c>
      <c r="C4807" s="11" t="str">
        <f>INDEX(Data,2,2+MOD(ROWS(C$2:C4807)-1,24))</f>
        <v>06.00</v>
      </c>
      <c r="D4807" s="8" t="str">
        <f t="shared" ca="1" si="227"/>
        <v>—</v>
      </c>
      <c r="E4807" s="16">
        <f t="shared" ca="1" si="228"/>
        <v>7</v>
      </c>
    </row>
    <row r="4808" spans="1:5" x14ac:dyDescent="0.25">
      <c r="A4808" s="3">
        <f t="shared" si="226"/>
        <v>78989</v>
      </c>
      <c r="B4808" t="str">
        <f ca="1">TEXT(DATE(YEAR(Invoer!$A$5),1,1)+INT((ROWS(B$2:B4808)-1)/24),"""18""jjmmdd")</f>
        <v>18980720</v>
      </c>
      <c r="C4808" s="11" t="str">
        <f>INDEX(Data,2,2+MOD(ROWS(C$2:C4808)-1,24))</f>
        <v>07.00</v>
      </c>
      <c r="D4808" s="8" t="str">
        <f t="shared" ca="1" si="227"/>
        <v>—</v>
      </c>
      <c r="E4808" s="16">
        <f t="shared" ca="1" si="228"/>
        <v>7</v>
      </c>
    </row>
    <row r="4809" spans="1:5" x14ac:dyDescent="0.25">
      <c r="A4809" s="3">
        <f t="shared" si="226"/>
        <v>78989</v>
      </c>
      <c r="B4809" t="str">
        <f ca="1">TEXT(DATE(YEAR(Invoer!$A$5),1,1)+INT((ROWS(B$2:B4809)-1)/24),"""18""jjmmdd")</f>
        <v>18980720</v>
      </c>
      <c r="C4809" s="11" t="str">
        <f>INDEX(Data,2,2+MOD(ROWS(C$2:C4809)-1,24))</f>
        <v>08.00</v>
      </c>
      <c r="D4809" s="8" t="str">
        <f t="shared" ca="1" si="227"/>
        <v>—</v>
      </c>
      <c r="E4809" s="16">
        <f t="shared" ca="1" si="228"/>
        <v>7</v>
      </c>
    </row>
    <row r="4810" spans="1:5" x14ac:dyDescent="0.25">
      <c r="A4810" s="3">
        <f t="shared" si="226"/>
        <v>78989</v>
      </c>
      <c r="B4810" t="str">
        <f ca="1">TEXT(DATE(YEAR(Invoer!$A$5),1,1)+INT((ROWS(B$2:B4810)-1)/24),"""18""jjmmdd")</f>
        <v>18980720</v>
      </c>
      <c r="C4810" s="11" t="str">
        <f>INDEX(Data,2,2+MOD(ROWS(C$2:C4810)-1,24))</f>
        <v>09.00</v>
      </c>
      <c r="D4810" s="8" t="str">
        <f t="shared" ca="1" si="227"/>
        <v>—</v>
      </c>
      <c r="E4810" s="16">
        <f t="shared" ca="1" si="228"/>
        <v>7</v>
      </c>
    </row>
    <row r="4811" spans="1:5" x14ac:dyDescent="0.25">
      <c r="A4811" s="3">
        <f t="shared" si="226"/>
        <v>78989</v>
      </c>
      <c r="B4811" t="str">
        <f ca="1">TEXT(DATE(YEAR(Invoer!$A$5),1,1)+INT((ROWS(B$2:B4811)-1)/24),"""18""jjmmdd")</f>
        <v>18980720</v>
      </c>
      <c r="C4811" s="11" t="str">
        <f>INDEX(Data,2,2+MOD(ROWS(C$2:C4811)-1,24))</f>
        <v>10.00</v>
      </c>
      <c r="D4811" s="8" t="str">
        <f t="shared" ca="1" si="227"/>
        <v>—</v>
      </c>
      <c r="E4811" s="16">
        <f t="shared" ca="1" si="228"/>
        <v>7</v>
      </c>
    </row>
    <row r="4812" spans="1:5" x14ac:dyDescent="0.25">
      <c r="A4812" s="3">
        <f t="shared" si="226"/>
        <v>78989</v>
      </c>
      <c r="B4812" t="str">
        <f ca="1">TEXT(DATE(YEAR(Invoer!$A$5),1,1)+INT((ROWS(B$2:B4812)-1)/24),"""18""jjmmdd")</f>
        <v>18980720</v>
      </c>
      <c r="C4812" s="11" t="str">
        <f>INDEX(Data,2,2+MOD(ROWS(C$2:C4812)-1,24))</f>
        <v>11.00</v>
      </c>
      <c r="D4812" s="8" t="str">
        <f t="shared" ca="1" si="227"/>
        <v>—</v>
      </c>
      <c r="E4812" s="16">
        <f t="shared" ca="1" si="228"/>
        <v>7</v>
      </c>
    </row>
    <row r="4813" spans="1:5" x14ac:dyDescent="0.25">
      <c r="A4813" s="3">
        <f t="shared" si="226"/>
        <v>78989</v>
      </c>
      <c r="B4813" t="str">
        <f ca="1">TEXT(DATE(YEAR(Invoer!$A$5),1,1)+INT((ROWS(B$2:B4813)-1)/24),"""18""jjmmdd")</f>
        <v>18980720</v>
      </c>
      <c r="C4813" s="11" t="str">
        <f>INDEX(Data,2,2+MOD(ROWS(C$2:C4813)-1,24))</f>
        <v>12.00</v>
      </c>
      <c r="D4813" s="8" t="str">
        <f t="shared" ca="1" si="227"/>
        <v>—</v>
      </c>
      <c r="E4813" s="16">
        <f t="shared" ca="1" si="228"/>
        <v>7</v>
      </c>
    </row>
    <row r="4814" spans="1:5" x14ac:dyDescent="0.25">
      <c r="A4814" s="3">
        <f t="shared" si="226"/>
        <v>78989</v>
      </c>
      <c r="B4814" t="str">
        <f ca="1">TEXT(DATE(YEAR(Invoer!$A$5),1,1)+INT((ROWS(B$2:B4814)-1)/24),"""18""jjmmdd")</f>
        <v>18980720</v>
      </c>
      <c r="C4814" s="11" t="str">
        <f>INDEX(Data,2,2+MOD(ROWS(C$2:C4814)-1,24))</f>
        <v>13.00</v>
      </c>
      <c r="D4814" s="8" t="str">
        <f t="shared" ca="1" si="227"/>
        <v>—</v>
      </c>
      <c r="E4814" s="16">
        <f t="shared" ca="1" si="228"/>
        <v>7</v>
      </c>
    </row>
    <row r="4815" spans="1:5" x14ac:dyDescent="0.25">
      <c r="A4815" s="3">
        <f t="shared" si="226"/>
        <v>78989</v>
      </c>
      <c r="B4815" t="str">
        <f ca="1">TEXT(DATE(YEAR(Invoer!$A$5),1,1)+INT((ROWS(B$2:B4815)-1)/24),"""18""jjmmdd")</f>
        <v>18980720</v>
      </c>
      <c r="C4815" s="11" t="str">
        <f>INDEX(Data,2,2+MOD(ROWS(C$2:C4815)-1,24))</f>
        <v>14.00</v>
      </c>
      <c r="D4815" s="8" t="str">
        <f t="shared" ca="1" si="227"/>
        <v>—</v>
      </c>
      <c r="E4815" s="16">
        <f t="shared" ca="1" si="228"/>
        <v>7</v>
      </c>
    </row>
    <row r="4816" spans="1:5" x14ac:dyDescent="0.25">
      <c r="A4816" s="3">
        <f t="shared" si="226"/>
        <v>78989</v>
      </c>
      <c r="B4816" t="str">
        <f ca="1">TEXT(DATE(YEAR(Invoer!$A$5),1,1)+INT((ROWS(B$2:B4816)-1)/24),"""18""jjmmdd")</f>
        <v>18980720</v>
      </c>
      <c r="C4816" s="11" t="str">
        <f>INDEX(Data,2,2+MOD(ROWS(C$2:C4816)-1,24))</f>
        <v>15.00</v>
      </c>
      <c r="D4816" s="8" t="str">
        <f t="shared" ca="1" si="227"/>
        <v>—</v>
      </c>
      <c r="E4816" s="16">
        <f t="shared" ca="1" si="228"/>
        <v>7</v>
      </c>
    </row>
    <row r="4817" spans="1:5" x14ac:dyDescent="0.25">
      <c r="A4817" s="3">
        <f t="shared" si="226"/>
        <v>78989</v>
      </c>
      <c r="B4817" t="str">
        <f ca="1">TEXT(DATE(YEAR(Invoer!$A$5),1,1)+INT((ROWS(B$2:B4817)-1)/24),"""18""jjmmdd")</f>
        <v>18980720</v>
      </c>
      <c r="C4817" s="11" t="str">
        <f>INDEX(Data,2,2+MOD(ROWS(C$2:C4817)-1,24))</f>
        <v>16.00</v>
      </c>
      <c r="D4817" s="8" t="str">
        <f t="shared" ca="1" si="227"/>
        <v>—</v>
      </c>
      <c r="E4817" s="16">
        <f t="shared" ca="1" si="228"/>
        <v>7</v>
      </c>
    </row>
    <row r="4818" spans="1:5" x14ac:dyDescent="0.25">
      <c r="A4818" s="3">
        <f t="shared" si="226"/>
        <v>78989</v>
      </c>
      <c r="B4818" t="str">
        <f ca="1">TEXT(DATE(YEAR(Invoer!$A$5),1,1)+INT((ROWS(B$2:B4818)-1)/24),"""18""jjmmdd")</f>
        <v>18980720</v>
      </c>
      <c r="C4818" s="11" t="str">
        <f>INDEX(Data,2,2+MOD(ROWS(C$2:C4818)-1,24))</f>
        <v>17.00</v>
      </c>
      <c r="D4818" s="8" t="str">
        <f t="shared" ca="1" si="227"/>
        <v>—</v>
      </c>
      <c r="E4818" s="16">
        <f t="shared" ca="1" si="228"/>
        <v>7</v>
      </c>
    </row>
    <row r="4819" spans="1:5" x14ac:dyDescent="0.25">
      <c r="A4819" s="3">
        <f t="shared" si="226"/>
        <v>78989</v>
      </c>
      <c r="B4819" t="str">
        <f ca="1">TEXT(DATE(YEAR(Invoer!$A$5),1,1)+INT((ROWS(B$2:B4819)-1)/24),"""18""jjmmdd")</f>
        <v>18980720</v>
      </c>
      <c r="C4819" s="11" t="str">
        <f>INDEX(Data,2,2+MOD(ROWS(C$2:C4819)-1,24))</f>
        <v>18.00</v>
      </c>
      <c r="D4819" s="8" t="str">
        <f t="shared" ca="1" si="227"/>
        <v>—</v>
      </c>
      <c r="E4819" s="16">
        <f t="shared" ca="1" si="228"/>
        <v>7</v>
      </c>
    </row>
    <row r="4820" spans="1:5" x14ac:dyDescent="0.25">
      <c r="A4820" s="3">
        <f t="shared" si="226"/>
        <v>78989</v>
      </c>
      <c r="B4820" t="str">
        <f ca="1">TEXT(DATE(YEAR(Invoer!$A$5),1,1)+INT((ROWS(B$2:B4820)-1)/24),"""18""jjmmdd")</f>
        <v>18980720</v>
      </c>
      <c r="C4820" s="11" t="str">
        <f>INDEX(Data,2,2+MOD(ROWS(C$2:C4820)-1,24))</f>
        <v>19.00</v>
      </c>
      <c r="D4820" s="8" t="str">
        <f t="shared" ca="1" si="227"/>
        <v>—</v>
      </c>
      <c r="E4820" s="16">
        <f t="shared" ca="1" si="228"/>
        <v>7</v>
      </c>
    </row>
    <row r="4821" spans="1:5" x14ac:dyDescent="0.25">
      <c r="A4821" s="3">
        <f t="shared" si="226"/>
        <v>78989</v>
      </c>
      <c r="B4821" t="str">
        <f ca="1">TEXT(DATE(YEAR(Invoer!$A$5),1,1)+INT((ROWS(B$2:B4821)-1)/24),"""18""jjmmdd")</f>
        <v>18980720</v>
      </c>
      <c r="C4821" s="11" t="str">
        <f>INDEX(Data,2,2+MOD(ROWS(C$2:C4821)-1,24))</f>
        <v>20.00</v>
      </c>
      <c r="D4821" s="8" t="str">
        <f t="shared" ca="1" si="227"/>
        <v>—</v>
      </c>
      <c r="E4821" s="16">
        <f t="shared" ca="1" si="228"/>
        <v>7</v>
      </c>
    </row>
    <row r="4822" spans="1:5" x14ac:dyDescent="0.25">
      <c r="A4822" s="3">
        <f t="shared" si="226"/>
        <v>78989</v>
      </c>
      <c r="B4822" t="str">
        <f ca="1">TEXT(DATE(YEAR(Invoer!$A$5),1,1)+INT((ROWS(B$2:B4822)-1)/24),"""18""jjmmdd")</f>
        <v>18980720</v>
      </c>
      <c r="C4822" s="11" t="str">
        <f>INDEX(Data,2,2+MOD(ROWS(C$2:C4822)-1,24))</f>
        <v>21.00</v>
      </c>
      <c r="D4822" s="8" t="str">
        <f t="shared" ca="1" si="227"/>
        <v>—</v>
      </c>
      <c r="E4822" s="16">
        <f t="shared" ca="1" si="228"/>
        <v>7</v>
      </c>
    </row>
    <row r="4823" spans="1:5" x14ac:dyDescent="0.25">
      <c r="A4823" s="3">
        <f t="shared" si="226"/>
        <v>78989</v>
      </c>
      <c r="B4823" t="str">
        <f ca="1">TEXT(DATE(YEAR(Invoer!$A$5),1,1)+INT((ROWS(B$2:B4823)-1)/24),"""18""jjmmdd")</f>
        <v>18980720</v>
      </c>
      <c r="C4823" s="11" t="str">
        <f>INDEX(Data,2,2+MOD(ROWS(C$2:C4823)-1,24))</f>
        <v>22.00</v>
      </c>
      <c r="D4823" s="8" t="str">
        <f t="shared" ca="1" si="227"/>
        <v>—</v>
      </c>
      <c r="E4823" s="16">
        <f t="shared" ca="1" si="228"/>
        <v>7</v>
      </c>
    </row>
    <row r="4824" spans="1:5" x14ac:dyDescent="0.25">
      <c r="A4824" s="3">
        <f t="shared" si="226"/>
        <v>78989</v>
      </c>
      <c r="B4824" t="str">
        <f ca="1">TEXT(DATE(YEAR(Invoer!$A$5),1,1)+INT((ROWS(B$2:B4824)-1)/24),"""18""jjmmdd")</f>
        <v>18980720</v>
      </c>
      <c r="C4824" s="11" t="str">
        <f>INDEX(Data,2,2+MOD(ROWS(C$2:C4824)-1,24))</f>
        <v>23.00</v>
      </c>
      <c r="D4824" s="8" t="str">
        <f t="shared" ca="1" si="227"/>
        <v>—</v>
      </c>
      <c r="E4824" s="16">
        <f t="shared" ca="1" si="228"/>
        <v>7</v>
      </c>
    </row>
    <row r="4825" spans="1:5" x14ac:dyDescent="0.25">
      <c r="A4825" s="3">
        <f t="shared" si="226"/>
        <v>78989</v>
      </c>
      <c r="B4825" t="str">
        <f ca="1">TEXT(DATE(YEAR(Invoer!$A$5),1,1)+INT((ROWS(B$2:B4825)-1)/24),"""18""jjmmdd")</f>
        <v>18980720</v>
      </c>
      <c r="C4825" s="11" t="str">
        <f>INDEX(Data,2,2+MOD(ROWS(C$2:C4825)-1,24))</f>
        <v>24.00</v>
      </c>
      <c r="D4825" s="8" t="str">
        <f t="shared" ca="1" si="227"/>
        <v>—</v>
      </c>
      <c r="E4825" s="16">
        <f t="shared" ca="1" si="228"/>
        <v>7</v>
      </c>
    </row>
    <row r="4826" spans="1:5" x14ac:dyDescent="0.25">
      <c r="A4826" s="3">
        <f t="shared" si="226"/>
        <v>78989</v>
      </c>
      <c r="B4826" t="str">
        <f ca="1">TEXT(DATE(YEAR(Invoer!$A$5),1,1)+INT((ROWS(B$2:B4826)-1)/24),"""18""jjmmdd")</f>
        <v>18980721</v>
      </c>
      <c r="C4826" s="11" t="str">
        <f>INDEX(Data,2,2+MOD(ROWS(C$2:C4826)-1,24))</f>
        <v>01.00</v>
      </c>
      <c r="D4826" s="8" t="str">
        <f t="shared" ca="1" si="227"/>
        <v>—</v>
      </c>
      <c r="E4826" s="16">
        <f t="shared" ca="1" si="228"/>
        <v>7</v>
      </c>
    </row>
    <row r="4827" spans="1:5" x14ac:dyDescent="0.25">
      <c r="A4827" s="3">
        <f t="shared" si="226"/>
        <v>78989</v>
      </c>
      <c r="B4827" t="str">
        <f ca="1">TEXT(DATE(YEAR(Invoer!$A$5),1,1)+INT((ROWS(B$2:B4827)-1)/24),"""18""jjmmdd")</f>
        <v>18980721</v>
      </c>
      <c r="C4827" s="11" t="str">
        <f>INDEX(Data,2,2+MOD(ROWS(C$2:C4827)-1,24))</f>
        <v>02.00</v>
      </c>
      <c r="D4827" s="8" t="str">
        <f t="shared" ca="1" si="227"/>
        <v>—</v>
      </c>
      <c r="E4827" s="16">
        <f t="shared" ca="1" si="228"/>
        <v>7</v>
      </c>
    </row>
    <row r="4828" spans="1:5" x14ac:dyDescent="0.25">
      <c r="A4828" s="3">
        <f t="shared" si="226"/>
        <v>78989</v>
      </c>
      <c r="B4828" t="str">
        <f ca="1">TEXT(DATE(YEAR(Invoer!$A$5),1,1)+INT((ROWS(B$2:B4828)-1)/24),"""18""jjmmdd")</f>
        <v>18980721</v>
      </c>
      <c r="C4828" s="11" t="str">
        <f>INDEX(Data,2,2+MOD(ROWS(C$2:C4828)-1,24))</f>
        <v>03.00</v>
      </c>
      <c r="D4828" s="8" t="str">
        <f t="shared" ca="1" si="227"/>
        <v>—</v>
      </c>
      <c r="E4828" s="16">
        <f t="shared" ca="1" si="228"/>
        <v>7</v>
      </c>
    </row>
    <row r="4829" spans="1:5" x14ac:dyDescent="0.25">
      <c r="A4829" s="3">
        <f t="shared" si="226"/>
        <v>78989</v>
      </c>
      <c r="B4829" t="str">
        <f ca="1">TEXT(DATE(YEAR(Invoer!$A$5),1,1)+INT((ROWS(B$2:B4829)-1)/24),"""18""jjmmdd")</f>
        <v>18980721</v>
      </c>
      <c r="C4829" s="11" t="str">
        <f>INDEX(Data,2,2+MOD(ROWS(C$2:C4829)-1,24))</f>
        <v>04.00</v>
      </c>
      <c r="D4829" s="8" t="str">
        <f t="shared" ca="1" si="227"/>
        <v>—</v>
      </c>
      <c r="E4829" s="16">
        <f t="shared" ca="1" si="228"/>
        <v>7</v>
      </c>
    </row>
    <row r="4830" spans="1:5" x14ac:dyDescent="0.25">
      <c r="A4830" s="3">
        <f t="shared" si="226"/>
        <v>78989</v>
      </c>
      <c r="B4830" t="str">
        <f ca="1">TEXT(DATE(YEAR(Invoer!$A$5),1,1)+INT((ROWS(B$2:B4830)-1)/24),"""18""jjmmdd")</f>
        <v>18980721</v>
      </c>
      <c r="C4830" s="11" t="str">
        <f>INDEX(Data,2,2+MOD(ROWS(C$2:C4830)-1,24))</f>
        <v>05.00</v>
      </c>
      <c r="D4830" s="8" t="str">
        <f t="shared" ca="1" si="227"/>
        <v>—</v>
      </c>
      <c r="E4830" s="16">
        <f t="shared" ca="1" si="228"/>
        <v>7</v>
      </c>
    </row>
    <row r="4831" spans="1:5" x14ac:dyDescent="0.25">
      <c r="A4831" s="3">
        <f t="shared" si="226"/>
        <v>78989</v>
      </c>
      <c r="B4831" t="str">
        <f ca="1">TEXT(DATE(YEAR(Invoer!$A$5),1,1)+INT((ROWS(B$2:B4831)-1)/24),"""18""jjmmdd")</f>
        <v>18980721</v>
      </c>
      <c r="C4831" s="11" t="str">
        <f>INDEX(Data,2,2+MOD(ROWS(C$2:C4831)-1,24))</f>
        <v>06.00</v>
      </c>
      <c r="D4831" s="8" t="str">
        <f t="shared" ca="1" si="227"/>
        <v>—</v>
      </c>
      <c r="E4831" s="16">
        <f t="shared" ca="1" si="228"/>
        <v>7</v>
      </c>
    </row>
    <row r="4832" spans="1:5" x14ac:dyDescent="0.25">
      <c r="A4832" s="3">
        <f t="shared" si="226"/>
        <v>78989</v>
      </c>
      <c r="B4832" t="str">
        <f ca="1">TEXT(DATE(YEAR(Invoer!$A$5),1,1)+INT((ROWS(B$2:B4832)-1)/24),"""18""jjmmdd")</f>
        <v>18980721</v>
      </c>
      <c r="C4832" s="11" t="str">
        <f>INDEX(Data,2,2+MOD(ROWS(C$2:C4832)-1,24))</f>
        <v>07.00</v>
      </c>
      <c r="D4832" s="8" t="str">
        <f t="shared" ca="1" si="227"/>
        <v>—</v>
      </c>
      <c r="E4832" s="16">
        <f t="shared" ca="1" si="228"/>
        <v>7</v>
      </c>
    </row>
    <row r="4833" spans="1:5" x14ac:dyDescent="0.25">
      <c r="A4833" s="3">
        <f t="shared" si="226"/>
        <v>78989</v>
      </c>
      <c r="B4833" t="str">
        <f ca="1">TEXT(DATE(YEAR(Invoer!$A$5),1,1)+INT((ROWS(B$2:B4833)-1)/24),"""18""jjmmdd")</f>
        <v>18980721</v>
      </c>
      <c r="C4833" s="11" t="str">
        <f>INDEX(Data,2,2+MOD(ROWS(C$2:C4833)-1,24))</f>
        <v>08.00</v>
      </c>
      <c r="D4833" s="8" t="str">
        <f t="shared" ca="1" si="227"/>
        <v>—</v>
      </c>
      <c r="E4833" s="16">
        <f t="shared" ca="1" si="228"/>
        <v>7</v>
      </c>
    </row>
    <row r="4834" spans="1:5" x14ac:dyDescent="0.25">
      <c r="A4834" s="3">
        <f t="shared" si="226"/>
        <v>78989</v>
      </c>
      <c r="B4834" t="str">
        <f ca="1">TEXT(DATE(YEAR(Invoer!$A$5),1,1)+INT((ROWS(B$2:B4834)-1)/24),"""18""jjmmdd")</f>
        <v>18980721</v>
      </c>
      <c r="C4834" s="11" t="str">
        <f>INDEX(Data,2,2+MOD(ROWS(C$2:C4834)-1,24))</f>
        <v>09.00</v>
      </c>
      <c r="D4834" s="8" t="str">
        <f t="shared" ca="1" si="227"/>
        <v>—</v>
      </c>
      <c r="E4834" s="16">
        <f t="shared" ca="1" si="228"/>
        <v>7</v>
      </c>
    </row>
    <row r="4835" spans="1:5" x14ac:dyDescent="0.25">
      <c r="A4835" s="3">
        <f t="shared" si="226"/>
        <v>78989</v>
      </c>
      <c r="B4835" t="str">
        <f ca="1">TEXT(DATE(YEAR(Invoer!$A$5),1,1)+INT((ROWS(B$2:B4835)-1)/24),"""18""jjmmdd")</f>
        <v>18980721</v>
      </c>
      <c r="C4835" s="11" t="str">
        <f>INDEX(Data,2,2+MOD(ROWS(C$2:C4835)-1,24))</f>
        <v>10.00</v>
      </c>
      <c r="D4835" s="8" t="str">
        <f t="shared" ca="1" si="227"/>
        <v>—</v>
      </c>
      <c r="E4835" s="16">
        <f t="shared" ca="1" si="228"/>
        <v>7</v>
      </c>
    </row>
    <row r="4836" spans="1:5" x14ac:dyDescent="0.25">
      <c r="A4836" s="3">
        <f t="shared" si="226"/>
        <v>78989</v>
      </c>
      <c r="B4836" t="str">
        <f ca="1">TEXT(DATE(YEAR(Invoer!$A$5),1,1)+INT((ROWS(B$2:B4836)-1)/24),"""18""jjmmdd")</f>
        <v>18980721</v>
      </c>
      <c r="C4836" s="11" t="str">
        <f>INDEX(Data,2,2+MOD(ROWS(C$2:C4836)-1,24))</f>
        <v>11.00</v>
      </c>
      <c r="D4836" s="8" t="str">
        <f t="shared" ca="1" si="227"/>
        <v>—</v>
      </c>
      <c r="E4836" s="16">
        <f t="shared" ca="1" si="228"/>
        <v>7</v>
      </c>
    </row>
    <row r="4837" spans="1:5" x14ac:dyDescent="0.25">
      <c r="A4837" s="3">
        <f t="shared" si="226"/>
        <v>78989</v>
      </c>
      <c r="B4837" t="str">
        <f ca="1">TEXT(DATE(YEAR(Invoer!$A$5),1,1)+INT((ROWS(B$2:B4837)-1)/24),"""18""jjmmdd")</f>
        <v>18980721</v>
      </c>
      <c r="C4837" s="11" t="str">
        <f>INDEX(Data,2,2+MOD(ROWS(C$2:C4837)-1,24))</f>
        <v>12.00</v>
      </c>
      <c r="D4837" s="8" t="str">
        <f t="shared" ca="1" si="227"/>
        <v>—</v>
      </c>
      <c r="E4837" s="16">
        <f t="shared" ca="1" si="228"/>
        <v>7</v>
      </c>
    </row>
    <row r="4838" spans="1:5" x14ac:dyDescent="0.25">
      <c r="A4838" s="3">
        <f t="shared" si="226"/>
        <v>78989</v>
      </c>
      <c r="B4838" t="str">
        <f ca="1">TEXT(DATE(YEAR(Invoer!$A$5),1,1)+INT((ROWS(B$2:B4838)-1)/24),"""18""jjmmdd")</f>
        <v>18980721</v>
      </c>
      <c r="C4838" s="11" t="str">
        <f>INDEX(Data,2,2+MOD(ROWS(C$2:C4838)-1,24))</f>
        <v>13.00</v>
      </c>
      <c r="D4838" s="8" t="str">
        <f t="shared" ca="1" si="227"/>
        <v>—</v>
      </c>
      <c r="E4838" s="16">
        <f t="shared" ca="1" si="228"/>
        <v>7</v>
      </c>
    </row>
    <row r="4839" spans="1:5" x14ac:dyDescent="0.25">
      <c r="A4839" s="3">
        <f t="shared" si="226"/>
        <v>78989</v>
      </c>
      <c r="B4839" t="str">
        <f ca="1">TEXT(DATE(YEAR(Invoer!$A$5),1,1)+INT((ROWS(B$2:B4839)-1)/24),"""18""jjmmdd")</f>
        <v>18980721</v>
      </c>
      <c r="C4839" s="11" t="str">
        <f>INDEX(Data,2,2+MOD(ROWS(C$2:C4839)-1,24))</f>
        <v>14.00</v>
      </c>
      <c r="D4839" s="8" t="str">
        <f t="shared" ca="1" si="227"/>
        <v>—</v>
      </c>
      <c r="E4839" s="16">
        <f t="shared" ca="1" si="228"/>
        <v>7</v>
      </c>
    </row>
    <row r="4840" spans="1:5" x14ac:dyDescent="0.25">
      <c r="A4840" s="3">
        <f t="shared" si="226"/>
        <v>78989</v>
      </c>
      <c r="B4840" t="str">
        <f ca="1">TEXT(DATE(YEAR(Invoer!$A$5),1,1)+INT((ROWS(B$2:B4840)-1)/24),"""18""jjmmdd")</f>
        <v>18980721</v>
      </c>
      <c r="C4840" s="11" t="str">
        <f>INDEX(Data,2,2+MOD(ROWS(C$2:C4840)-1,24))</f>
        <v>15.00</v>
      </c>
      <c r="D4840" s="8" t="str">
        <f t="shared" ca="1" si="227"/>
        <v>—</v>
      </c>
      <c r="E4840" s="16">
        <f t="shared" ca="1" si="228"/>
        <v>7</v>
      </c>
    </row>
    <row r="4841" spans="1:5" x14ac:dyDescent="0.25">
      <c r="A4841" s="3">
        <f t="shared" si="226"/>
        <v>78989</v>
      </c>
      <c r="B4841" t="str">
        <f ca="1">TEXT(DATE(YEAR(Invoer!$A$5),1,1)+INT((ROWS(B$2:B4841)-1)/24),"""18""jjmmdd")</f>
        <v>18980721</v>
      </c>
      <c r="C4841" s="11" t="str">
        <f>INDEX(Data,2,2+MOD(ROWS(C$2:C4841)-1,24))</f>
        <v>16.00</v>
      </c>
      <c r="D4841" s="8" t="str">
        <f t="shared" ca="1" si="227"/>
        <v>—</v>
      </c>
      <c r="E4841" s="16">
        <f t="shared" ca="1" si="228"/>
        <v>7</v>
      </c>
    </row>
    <row r="4842" spans="1:5" x14ac:dyDescent="0.25">
      <c r="A4842" s="3">
        <f t="shared" si="226"/>
        <v>78989</v>
      </c>
      <c r="B4842" t="str">
        <f ca="1">TEXT(DATE(YEAR(Invoer!$A$5),1,1)+INT((ROWS(B$2:B4842)-1)/24),"""18""jjmmdd")</f>
        <v>18980721</v>
      </c>
      <c r="C4842" s="11" t="str">
        <f>INDEX(Data,2,2+MOD(ROWS(C$2:C4842)-1,24))</f>
        <v>17.00</v>
      </c>
      <c r="D4842" s="8" t="str">
        <f t="shared" ca="1" si="227"/>
        <v>—</v>
      </c>
      <c r="E4842" s="16">
        <f t="shared" ca="1" si="228"/>
        <v>7</v>
      </c>
    </row>
    <row r="4843" spans="1:5" x14ac:dyDescent="0.25">
      <c r="A4843" s="3">
        <f t="shared" si="226"/>
        <v>78989</v>
      </c>
      <c r="B4843" t="str">
        <f ca="1">TEXT(DATE(YEAR(Invoer!$A$5),1,1)+INT((ROWS(B$2:B4843)-1)/24),"""18""jjmmdd")</f>
        <v>18980721</v>
      </c>
      <c r="C4843" s="11" t="str">
        <f>INDEX(Data,2,2+MOD(ROWS(C$2:C4843)-1,24))</f>
        <v>18.00</v>
      </c>
      <c r="D4843" s="8" t="str">
        <f t="shared" ca="1" si="227"/>
        <v>—</v>
      </c>
      <c r="E4843" s="16">
        <f t="shared" ca="1" si="228"/>
        <v>7</v>
      </c>
    </row>
    <row r="4844" spans="1:5" x14ac:dyDescent="0.25">
      <c r="A4844" s="3">
        <f t="shared" si="226"/>
        <v>78989</v>
      </c>
      <c r="B4844" t="str">
        <f ca="1">TEXT(DATE(YEAR(Invoer!$A$5),1,1)+INT((ROWS(B$2:B4844)-1)/24),"""18""jjmmdd")</f>
        <v>18980721</v>
      </c>
      <c r="C4844" s="11" t="str">
        <f>INDEX(Data,2,2+MOD(ROWS(C$2:C4844)-1,24))</f>
        <v>19.00</v>
      </c>
      <c r="D4844" s="8" t="str">
        <f t="shared" ca="1" si="227"/>
        <v>—</v>
      </c>
      <c r="E4844" s="16">
        <f t="shared" ca="1" si="228"/>
        <v>7</v>
      </c>
    </row>
    <row r="4845" spans="1:5" x14ac:dyDescent="0.25">
      <c r="A4845" s="3">
        <f t="shared" si="226"/>
        <v>78989</v>
      </c>
      <c r="B4845" t="str">
        <f ca="1">TEXT(DATE(YEAR(Invoer!$A$5),1,1)+INT((ROWS(B$2:B4845)-1)/24),"""18""jjmmdd")</f>
        <v>18980721</v>
      </c>
      <c r="C4845" s="11" t="str">
        <f>INDEX(Data,2,2+MOD(ROWS(C$2:C4845)-1,24))</f>
        <v>20.00</v>
      </c>
      <c r="D4845" s="8" t="str">
        <f t="shared" ca="1" si="227"/>
        <v>—</v>
      </c>
      <c r="E4845" s="16">
        <f t="shared" ca="1" si="228"/>
        <v>7</v>
      </c>
    </row>
    <row r="4846" spans="1:5" x14ac:dyDescent="0.25">
      <c r="A4846" s="3">
        <f t="shared" si="226"/>
        <v>78989</v>
      </c>
      <c r="B4846" t="str">
        <f ca="1">TEXT(DATE(YEAR(Invoer!$A$5),1,1)+INT((ROWS(B$2:B4846)-1)/24),"""18""jjmmdd")</f>
        <v>18980721</v>
      </c>
      <c r="C4846" s="11" t="str">
        <f>INDEX(Data,2,2+MOD(ROWS(C$2:C4846)-1,24))</f>
        <v>21.00</v>
      </c>
      <c r="D4846" s="8" t="str">
        <f t="shared" ca="1" si="227"/>
        <v>—</v>
      </c>
      <c r="E4846" s="16">
        <f t="shared" ca="1" si="228"/>
        <v>7</v>
      </c>
    </row>
    <row r="4847" spans="1:5" x14ac:dyDescent="0.25">
      <c r="A4847" s="3">
        <f t="shared" si="226"/>
        <v>78989</v>
      </c>
      <c r="B4847" t="str">
        <f ca="1">TEXT(DATE(YEAR(Invoer!$A$5),1,1)+INT((ROWS(B$2:B4847)-1)/24),"""18""jjmmdd")</f>
        <v>18980721</v>
      </c>
      <c r="C4847" s="11" t="str">
        <f>INDEX(Data,2,2+MOD(ROWS(C$2:C4847)-1,24))</f>
        <v>22.00</v>
      </c>
      <c r="D4847" s="8" t="str">
        <f t="shared" ca="1" si="227"/>
        <v>—</v>
      </c>
      <c r="E4847" s="16">
        <f t="shared" ca="1" si="228"/>
        <v>7</v>
      </c>
    </row>
    <row r="4848" spans="1:5" x14ac:dyDescent="0.25">
      <c r="A4848" s="3">
        <f t="shared" si="226"/>
        <v>78989</v>
      </c>
      <c r="B4848" t="str">
        <f ca="1">TEXT(DATE(YEAR(Invoer!$A$5),1,1)+INT((ROWS(B$2:B4848)-1)/24),"""18""jjmmdd")</f>
        <v>18980721</v>
      </c>
      <c r="C4848" s="11" t="str">
        <f>INDEX(Data,2,2+MOD(ROWS(C$2:C4848)-1,24))</f>
        <v>23.00</v>
      </c>
      <c r="D4848" s="8" t="str">
        <f t="shared" ca="1" si="227"/>
        <v>—</v>
      </c>
      <c r="E4848" s="16">
        <f t="shared" ca="1" si="228"/>
        <v>7</v>
      </c>
    </row>
    <row r="4849" spans="1:5" x14ac:dyDescent="0.25">
      <c r="A4849" s="3">
        <f t="shared" si="226"/>
        <v>78989</v>
      </c>
      <c r="B4849" t="str">
        <f ca="1">TEXT(DATE(YEAR(Invoer!$A$5),1,1)+INT((ROWS(B$2:B4849)-1)/24),"""18""jjmmdd")</f>
        <v>18980721</v>
      </c>
      <c r="C4849" s="11" t="str">
        <f>INDEX(Data,2,2+MOD(ROWS(C$2:C4849)-1,24))</f>
        <v>24.00</v>
      </c>
      <c r="D4849" s="8" t="str">
        <f t="shared" ca="1" si="227"/>
        <v>—</v>
      </c>
      <c r="E4849" s="16">
        <f t="shared" ca="1" si="228"/>
        <v>7</v>
      </c>
    </row>
    <row r="4850" spans="1:5" x14ac:dyDescent="0.25">
      <c r="A4850" s="3">
        <f t="shared" si="226"/>
        <v>78989</v>
      </c>
      <c r="B4850" t="str">
        <f ca="1">TEXT(DATE(YEAR(Invoer!$A$5),1,1)+INT((ROWS(B$2:B4850)-1)/24),"""18""jjmmdd")</f>
        <v>18980722</v>
      </c>
      <c r="C4850" s="11" t="str">
        <f>INDEX(Data,2,2+MOD(ROWS(C$2:C4850)-1,24))</f>
        <v>01.00</v>
      </c>
      <c r="D4850" s="8" t="str">
        <f t="shared" ca="1" si="227"/>
        <v>—</v>
      </c>
      <c r="E4850" s="16">
        <f t="shared" ca="1" si="228"/>
        <v>7</v>
      </c>
    </row>
    <row r="4851" spans="1:5" x14ac:dyDescent="0.25">
      <c r="A4851" s="3">
        <f t="shared" si="226"/>
        <v>78989</v>
      </c>
      <c r="B4851" t="str">
        <f ca="1">TEXT(DATE(YEAR(Invoer!$A$5),1,1)+INT((ROWS(B$2:B4851)-1)/24),"""18""jjmmdd")</f>
        <v>18980722</v>
      </c>
      <c r="C4851" s="11" t="str">
        <f>INDEX(Data,2,2+MOD(ROWS(C$2:C4851)-1,24))</f>
        <v>02.00</v>
      </c>
      <c r="D4851" s="8" t="str">
        <f t="shared" ca="1" si="227"/>
        <v>—</v>
      </c>
      <c r="E4851" s="16">
        <f t="shared" ca="1" si="228"/>
        <v>7</v>
      </c>
    </row>
    <row r="4852" spans="1:5" x14ac:dyDescent="0.25">
      <c r="A4852" s="3">
        <f t="shared" si="226"/>
        <v>78989</v>
      </c>
      <c r="B4852" t="str">
        <f ca="1">TEXT(DATE(YEAR(Invoer!$A$5),1,1)+INT((ROWS(B$2:B4852)-1)/24),"""18""jjmmdd")</f>
        <v>18980722</v>
      </c>
      <c r="C4852" s="11" t="str">
        <f>INDEX(Data,2,2+MOD(ROWS(C$2:C4852)-1,24))</f>
        <v>03.00</v>
      </c>
      <c r="D4852" s="8" t="str">
        <f t="shared" ca="1" si="227"/>
        <v>—</v>
      </c>
      <c r="E4852" s="16">
        <f t="shared" ca="1" si="228"/>
        <v>7</v>
      </c>
    </row>
    <row r="4853" spans="1:5" x14ac:dyDescent="0.25">
      <c r="A4853" s="3">
        <f t="shared" si="226"/>
        <v>78989</v>
      </c>
      <c r="B4853" t="str">
        <f ca="1">TEXT(DATE(YEAR(Invoer!$A$5),1,1)+INT((ROWS(B$2:B4853)-1)/24),"""18""jjmmdd")</f>
        <v>18980722</v>
      </c>
      <c r="C4853" s="11" t="str">
        <f>INDEX(Data,2,2+MOD(ROWS(C$2:C4853)-1,24))</f>
        <v>04.00</v>
      </c>
      <c r="D4853" s="8" t="str">
        <f t="shared" ca="1" si="227"/>
        <v>—</v>
      </c>
      <c r="E4853" s="16">
        <f t="shared" ca="1" si="228"/>
        <v>7</v>
      </c>
    </row>
    <row r="4854" spans="1:5" x14ac:dyDescent="0.25">
      <c r="A4854" s="3">
        <f t="shared" si="226"/>
        <v>78989</v>
      </c>
      <c r="B4854" t="str">
        <f ca="1">TEXT(DATE(YEAR(Invoer!$A$5),1,1)+INT((ROWS(B$2:B4854)-1)/24),"""18""jjmmdd")</f>
        <v>18980722</v>
      </c>
      <c r="C4854" s="11" t="str">
        <f>INDEX(Data,2,2+MOD(ROWS(C$2:C4854)-1,24))</f>
        <v>05.00</v>
      </c>
      <c r="D4854" s="8" t="str">
        <f t="shared" ca="1" si="227"/>
        <v>—</v>
      </c>
      <c r="E4854" s="16">
        <f t="shared" ca="1" si="228"/>
        <v>7</v>
      </c>
    </row>
    <row r="4855" spans="1:5" x14ac:dyDescent="0.25">
      <c r="A4855" s="3">
        <f t="shared" si="226"/>
        <v>78989</v>
      </c>
      <c r="B4855" t="str">
        <f ca="1">TEXT(DATE(YEAR(Invoer!$A$5),1,1)+INT((ROWS(B$2:B4855)-1)/24),"""18""jjmmdd")</f>
        <v>18980722</v>
      </c>
      <c r="C4855" s="11" t="str">
        <f>INDEX(Data,2,2+MOD(ROWS(C$2:C4855)-1,24))</f>
        <v>06.00</v>
      </c>
      <c r="D4855" s="8" t="str">
        <f t="shared" ca="1" si="227"/>
        <v>—</v>
      </c>
      <c r="E4855" s="16">
        <f t="shared" ca="1" si="228"/>
        <v>7</v>
      </c>
    </row>
    <row r="4856" spans="1:5" x14ac:dyDescent="0.25">
      <c r="A4856" s="3">
        <f t="shared" si="226"/>
        <v>78989</v>
      </c>
      <c r="B4856" t="str">
        <f ca="1">TEXT(DATE(YEAR(Invoer!$A$5),1,1)+INT((ROWS(B$2:B4856)-1)/24),"""18""jjmmdd")</f>
        <v>18980722</v>
      </c>
      <c r="C4856" s="11" t="str">
        <f>INDEX(Data,2,2+MOD(ROWS(C$2:C4856)-1,24))</f>
        <v>07.00</v>
      </c>
      <c r="D4856" s="8" t="str">
        <f t="shared" ca="1" si="227"/>
        <v>—</v>
      </c>
      <c r="E4856" s="16">
        <f t="shared" ca="1" si="228"/>
        <v>7</v>
      </c>
    </row>
    <row r="4857" spans="1:5" x14ac:dyDescent="0.25">
      <c r="A4857" s="3">
        <f t="shared" si="226"/>
        <v>78989</v>
      </c>
      <c r="B4857" t="str">
        <f ca="1">TEXT(DATE(YEAR(Invoer!$A$5),1,1)+INT((ROWS(B$2:B4857)-1)/24),"""18""jjmmdd")</f>
        <v>18980722</v>
      </c>
      <c r="C4857" s="11" t="str">
        <f>INDEX(Data,2,2+MOD(ROWS(C$2:C4857)-1,24))</f>
        <v>08.00</v>
      </c>
      <c r="D4857" s="8" t="str">
        <f t="shared" ca="1" si="227"/>
        <v>—</v>
      </c>
      <c r="E4857" s="16">
        <f t="shared" ca="1" si="228"/>
        <v>7</v>
      </c>
    </row>
    <row r="4858" spans="1:5" x14ac:dyDescent="0.25">
      <c r="A4858" s="3">
        <f t="shared" si="226"/>
        <v>78989</v>
      </c>
      <c r="B4858" t="str">
        <f ca="1">TEXT(DATE(YEAR(Invoer!$A$5),1,1)+INT((ROWS(B$2:B4858)-1)/24),"""18""jjmmdd")</f>
        <v>18980722</v>
      </c>
      <c r="C4858" s="11" t="str">
        <f>INDEX(Data,2,2+MOD(ROWS(C$2:C4858)-1,24))</f>
        <v>09.00</v>
      </c>
      <c r="D4858" s="8" t="str">
        <f t="shared" ca="1" si="227"/>
        <v>—</v>
      </c>
      <c r="E4858" s="16">
        <f t="shared" ca="1" si="228"/>
        <v>7</v>
      </c>
    </row>
    <row r="4859" spans="1:5" x14ac:dyDescent="0.25">
      <c r="A4859" s="3">
        <f t="shared" si="226"/>
        <v>78989</v>
      </c>
      <c r="B4859" t="str">
        <f ca="1">TEXT(DATE(YEAR(Invoer!$A$5),1,1)+INT((ROWS(B$2:B4859)-1)/24),"""18""jjmmdd")</f>
        <v>18980722</v>
      </c>
      <c r="C4859" s="11" t="str">
        <f>INDEX(Data,2,2+MOD(ROWS(C$2:C4859)-1,24))</f>
        <v>10.00</v>
      </c>
      <c r="D4859" s="8" t="str">
        <f t="shared" ca="1" si="227"/>
        <v>—</v>
      </c>
      <c r="E4859" s="16">
        <f t="shared" ca="1" si="228"/>
        <v>7</v>
      </c>
    </row>
    <row r="4860" spans="1:5" x14ac:dyDescent="0.25">
      <c r="A4860" s="3">
        <f t="shared" si="226"/>
        <v>78989</v>
      </c>
      <c r="B4860" t="str">
        <f ca="1">TEXT(DATE(YEAR(Invoer!$A$5),1,1)+INT((ROWS(B$2:B4860)-1)/24),"""18""jjmmdd")</f>
        <v>18980722</v>
      </c>
      <c r="C4860" s="11" t="str">
        <f>INDEX(Data,2,2+MOD(ROWS(C$2:C4860)-1,24))</f>
        <v>11.00</v>
      </c>
      <c r="D4860" s="8" t="str">
        <f t="shared" ca="1" si="227"/>
        <v>—</v>
      </c>
      <c r="E4860" s="16">
        <f t="shared" ca="1" si="228"/>
        <v>7</v>
      </c>
    </row>
    <row r="4861" spans="1:5" x14ac:dyDescent="0.25">
      <c r="A4861" s="3">
        <f t="shared" si="226"/>
        <v>78989</v>
      </c>
      <c r="B4861" t="str">
        <f ca="1">TEXT(DATE(YEAR(Invoer!$A$5),1,1)+INT((ROWS(B$2:B4861)-1)/24),"""18""jjmmdd")</f>
        <v>18980722</v>
      </c>
      <c r="C4861" s="11" t="str">
        <f>INDEX(Data,2,2+MOD(ROWS(C$2:C4861)-1,24))</f>
        <v>12.00</v>
      </c>
      <c r="D4861" s="8" t="str">
        <f t="shared" ca="1" si="227"/>
        <v>—</v>
      </c>
      <c r="E4861" s="16">
        <f t="shared" ca="1" si="228"/>
        <v>7</v>
      </c>
    </row>
    <row r="4862" spans="1:5" x14ac:dyDescent="0.25">
      <c r="A4862" s="3">
        <f t="shared" si="226"/>
        <v>78989</v>
      </c>
      <c r="B4862" t="str">
        <f ca="1">TEXT(DATE(YEAR(Invoer!$A$5),1,1)+INT((ROWS(B$2:B4862)-1)/24),"""18""jjmmdd")</f>
        <v>18980722</v>
      </c>
      <c r="C4862" s="11" t="str">
        <f>INDEX(Data,2,2+MOD(ROWS(C$2:C4862)-1,24))</f>
        <v>13.00</v>
      </c>
      <c r="D4862" s="8" t="str">
        <f t="shared" ca="1" si="227"/>
        <v>—</v>
      </c>
      <c r="E4862" s="16">
        <f t="shared" ca="1" si="228"/>
        <v>7</v>
      </c>
    </row>
    <row r="4863" spans="1:5" x14ac:dyDescent="0.25">
      <c r="A4863" s="3">
        <f t="shared" si="226"/>
        <v>78989</v>
      </c>
      <c r="B4863" t="str">
        <f ca="1">TEXT(DATE(YEAR(Invoer!$A$5),1,1)+INT((ROWS(B$2:B4863)-1)/24),"""18""jjmmdd")</f>
        <v>18980722</v>
      </c>
      <c r="C4863" s="11" t="str">
        <f>INDEX(Data,2,2+MOD(ROWS(C$2:C4863)-1,24))</f>
        <v>14.00</v>
      </c>
      <c r="D4863" s="8" t="str">
        <f t="shared" ca="1" si="227"/>
        <v>—</v>
      </c>
      <c r="E4863" s="16">
        <f t="shared" ca="1" si="228"/>
        <v>7</v>
      </c>
    </row>
    <row r="4864" spans="1:5" x14ac:dyDescent="0.25">
      <c r="A4864" s="3">
        <f t="shared" si="226"/>
        <v>78989</v>
      </c>
      <c r="B4864" t="str">
        <f ca="1">TEXT(DATE(YEAR(Invoer!$A$5),1,1)+INT((ROWS(B$2:B4864)-1)/24),"""18""jjmmdd")</f>
        <v>18980722</v>
      </c>
      <c r="C4864" s="11" t="str">
        <f>INDEX(Data,2,2+MOD(ROWS(C$2:C4864)-1,24))</f>
        <v>15.00</v>
      </c>
      <c r="D4864" s="8" t="str">
        <f t="shared" ca="1" si="227"/>
        <v>—</v>
      </c>
      <c r="E4864" s="16">
        <f t="shared" ca="1" si="228"/>
        <v>7</v>
      </c>
    </row>
    <row r="4865" spans="1:5" x14ac:dyDescent="0.25">
      <c r="A4865" s="3">
        <f t="shared" si="226"/>
        <v>78989</v>
      </c>
      <c r="B4865" t="str">
        <f ca="1">TEXT(DATE(YEAR(Invoer!$A$5),1,1)+INT((ROWS(B$2:B4865)-1)/24),"""18""jjmmdd")</f>
        <v>18980722</v>
      </c>
      <c r="C4865" s="11" t="str">
        <f>INDEX(Data,2,2+MOD(ROWS(C$2:C4865)-1,24))</f>
        <v>16.00</v>
      </c>
      <c r="D4865" s="8" t="str">
        <f t="shared" ca="1" si="227"/>
        <v>—</v>
      </c>
      <c r="E4865" s="16">
        <f t="shared" ca="1" si="228"/>
        <v>7</v>
      </c>
    </row>
    <row r="4866" spans="1:5" x14ac:dyDescent="0.25">
      <c r="A4866" s="3">
        <f t="shared" ref="A4866:A4929" si="229">INDEX(Stations,2,1)</f>
        <v>78989</v>
      </c>
      <c r="B4866" t="str">
        <f ca="1">TEXT(DATE(YEAR(Invoer!$A$5),1,1)+INT((ROWS(B$2:B4866)-1)/24),"""18""jjmmdd")</f>
        <v>18980722</v>
      </c>
      <c r="C4866" s="11" t="str">
        <f>INDEX(Data,2,2+MOD(ROWS(C$2:C4866)-1,24))</f>
        <v>17.00</v>
      </c>
      <c r="D4866" s="8" t="str">
        <f t="shared" ref="D4866:D4929" ca="1" si="230">IF(OR(ISBLANK(VLOOKUP(DATEVALUE("37"&amp;MID($B4866,3,2)&amp;"-"&amp;MID($B4866,5,2)&amp;"-"&amp;RIGHT($B4866,2)),Data,MATCH(LEFT(VLOOKUP(D$1,Parameters,2,FALSE()),4)&amp;"*",OFFSET(Data,0,0,1),0)+MATCH($C4866,OFFSET(Data,1,0,1),0)-2,FALSE())),ISTEXT(VLOOKUP(DATEVALUE("37"&amp;MID($B4866,3,2)&amp;"-"&amp;MID($B4866,5,2)&amp;"-"&amp;RIGHT($B4866,2)),Data,MATCH(LEFT(VLOOKUP(D$1,Parameters,2,FALSE()),4)&amp;"*",OFFSET(Data,0,0,1),0)+MATCH($C4866,OFFSET(Data,1,0,1),0)-2,FALSE()))),"—",VLOOKUP(DATEVALUE("37"&amp;MID($B4866,3,2)&amp;"-"&amp;MID($B4866,5,2)&amp;"-"&amp;RIGHT($B4866,2)),Data,MATCH(LEFT(VLOOKUP(D$1,Parameters,2,FALSE()),4)&amp;"*",OFFSET(Data,0,0,1),0)+MATCH($C4866,OFFSET(Data,1,0,1),0)-2,FALSE()))</f>
        <v>—</v>
      </c>
      <c r="E4866" s="16">
        <f t="shared" ca="1" si="228"/>
        <v>7</v>
      </c>
    </row>
    <row r="4867" spans="1:5" x14ac:dyDescent="0.25">
      <c r="A4867" s="3">
        <f t="shared" si="229"/>
        <v>78989</v>
      </c>
      <c r="B4867" t="str">
        <f ca="1">TEXT(DATE(YEAR(Invoer!$A$5),1,1)+INT((ROWS(B$2:B4867)-1)/24),"""18""jjmmdd")</f>
        <v>18980722</v>
      </c>
      <c r="C4867" s="11" t="str">
        <f>INDEX(Data,2,2+MOD(ROWS(C$2:C4867)-1,24))</f>
        <v>18.00</v>
      </c>
      <c r="D4867" s="8" t="str">
        <f t="shared" ca="1" si="230"/>
        <v>—</v>
      </c>
      <c r="E4867" s="16">
        <f t="shared" ref="E4867:E4930" ca="1" si="231">IF(OR(ISBLANK(VLOOKUP(DATEVALUE("37"&amp;MID($B4867,3,2)&amp;"-"&amp;MID($B4867,5,2)&amp;"-"&amp;RIGHT($B4867,2)),Data,MATCH(LEFT(VLOOKUP(D$1,Parameters,2,FALSE()),4)&amp;"*",OFFSET(Data,0,0,1),0)+MATCH($C4867,OFFSET(Data,1,0,1),0)-2,FALSE())),ISTEXT(VLOOKUP(DATEVALUE("37"&amp;MID($B4867,3,2)&amp;"-"&amp;MID($B4867,5,2)&amp;"-"&amp;RIGHT($B4867,2)),Data,MATCH(LEFT(VLOOKUP(D$1,Parameters,2,FALSE()),4)&amp;"*",OFFSET(Data,0,0,1),0)+MATCH($C4867,OFFSET(Data,1,0,1),0)-2,FALSE()))),Lacking,IF(ISNA(MATCH(DATEVALUE("37"&amp;MID($B4867,3,2)&amp;"-"&amp;MID($B4867,5,2)&amp;"-"&amp;RIGHT($B4867,2)),OFFSET(Catalogus,0,0,,1),0)),Ok,VLOOKUP(DATEVALUE("37"&amp;MID($B4867,3,2)&amp;"-"&amp;MID($B4867,5,2)&amp;"-"&amp;RIGHT($B4867,2)),Catalogus,MATCH(LEFT(VLOOKUP(MID(E$1,2,LEN(E$1)-1),Parameters,2,FALSE()),4)&amp;"*",OFFSET(Catalogus,0,0,1),0)+MATCH($C4867,OFFSET(Catalogus,1,0,1),0)-2,FALSE())))</f>
        <v>7</v>
      </c>
    </row>
    <row r="4868" spans="1:5" x14ac:dyDescent="0.25">
      <c r="A4868" s="3">
        <f t="shared" si="229"/>
        <v>78989</v>
      </c>
      <c r="B4868" t="str">
        <f ca="1">TEXT(DATE(YEAR(Invoer!$A$5),1,1)+INT((ROWS(B$2:B4868)-1)/24),"""18""jjmmdd")</f>
        <v>18980722</v>
      </c>
      <c r="C4868" s="11" t="str">
        <f>INDEX(Data,2,2+MOD(ROWS(C$2:C4868)-1,24))</f>
        <v>19.00</v>
      </c>
      <c r="D4868" s="8" t="str">
        <f t="shared" ca="1" si="230"/>
        <v>—</v>
      </c>
      <c r="E4868" s="16">
        <f t="shared" ca="1" si="231"/>
        <v>7</v>
      </c>
    </row>
    <row r="4869" spans="1:5" x14ac:dyDescent="0.25">
      <c r="A4869" s="3">
        <f t="shared" si="229"/>
        <v>78989</v>
      </c>
      <c r="B4869" t="str">
        <f ca="1">TEXT(DATE(YEAR(Invoer!$A$5),1,1)+INT((ROWS(B$2:B4869)-1)/24),"""18""jjmmdd")</f>
        <v>18980722</v>
      </c>
      <c r="C4869" s="11" t="str">
        <f>INDEX(Data,2,2+MOD(ROWS(C$2:C4869)-1,24))</f>
        <v>20.00</v>
      </c>
      <c r="D4869" s="8" t="str">
        <f t="shared" ca="1" si="230"/>
        <v>—</v>
      </c>
      <c r="E4869" s="16">
        <f t="shared" ca="1" si="231"/>
        <v>7</v>
      </c>
    </row>
    <row r="4870" spans="1:5" x14ac:dyDescent="0.25">
      <c r="A4870" s="3">
        <f t="shared" si="229"/>
        <v>78989</v>
      </c>
      <c r="B4870" t="str">
        <f ca="1">TEXT(DATE(YEAR(Invoer!$A$5),1,1)+INT((ROWS(B$2:B4870)-1)/24),"""18""jjmmdd")</f>
        <v>18980722</v>
      </c>
      <c r="C4870" s="11" t="str">
        <f>INDEX(Data,2,2+MOD(ROWS(C$2:C4870)-1,24))</f>
        <v>21.00</v>
      </c>
      <c r="D4870" s="8" t="str">
        <f t="shared" ca="1" si="230"/>
        <v>—</v>
      </c>
      <c r="E4870" s="16">
        <f t="shared" ca="1" si="231"/>
        <v>7</v>
      </c>
    </row>
    <row r="4871" spans="1:5" x14ac:dyDescent="0.25">
      <c r="A4871" s="3">
        <f t="shared" si="229"/>
        <v>78989</v>
      </c>
      <c r="B4871" t="str">
        <f ca="1">TEXT(DATE(YEAR(Invoer!$A$5),1,1)+INT((ROWS(B$2:B4871)-1)/24),"""18""jjmmdd")</f>
        <v>18980722</v>
      </c>
      <c r="C4871" s="11" t="str">
        <f>INDEX(Data,2,2+MOD(ROWS(C$2:C4871)-1,24))</f>
        <v>22.00</v>
      </c>
      <c r="D4871" s="8" t="str">
        <f t="shared" ca="1" si="230"/>
        <v>—</v>
      </c>
      <c r="E4871" s="16">
        <f t="shared" ca="1" si="231"/>
        <v>7</v>
      </c>
    </row>
    <row r="4872" spans="1:5" x14ac:dyDescent="0.25">
      <c r="A4872" s="3">
        <f t="shared" si="229"/>
        <v>78989</v>
      </c>
      <c r="B4872" t="str">
        <f ca="1">TEXT(DATE(YEAR(Invoer!$A$5),1,1)+INT((ROWS(B$2:B4872)-1)/24),"""18""jjmmdd")</f>
        <v>18980722</v>
      </c>
      <c r="C4872" s="11" t="str">
        <f>INDEX(Data,2,2+MOD(ROWS(C$2:C4872)-1,24))</f>
        <v>23.00</v>
      </c>
      <c r="D4872" s="8" t="str">
        <f t="shared" ca="1" si="230"/>
        <v>—</v>
      </c>
      <c r="E4872" s="16">
        <f t="shared" ca="1" si="231"/>
        <v>7</v>
      </c>
    </row>
    <row r="4873" spans="1:5" x14ac:dyDescent="0.25">
      <c r="A4873" s="3">
        <f t="shared" si="229"/>
        <v>78989</v>
      </c>
      <c r="B4873" t="str">
        <f ca="1">TEXT(DATE(YEAR(Invoer!$A$5),1,1)+INT((ROWS(B$2:B4873)-1)/24),"""18""jjmmdd")</f>
        <v>18980722</v>
      </c>
      <c r="C4873" s="11" t="str">
        <f>INDEX(Data,2,2+MOD(ROWS(C$2:C4873)-1,24))</f>
        <v>24.00</v>
      </c>
      <c r="D4873" s="8" t="str">
        <f t="shared" ca="1" si="230"/>
        <v>—</v>
      </c>
      <c r="E4873" s="16">
        <f t="shared" ca="1" si="231"/>
        <v>7</v>
      </c>
    </row>
    <row r="4874" spans="1:5" x14ac:dyDescent="0.25">
      <c r="A4874" s="3">
        <f t="shared" si="229"/>
        <v>78989</v>
      </c>
      <c r="B4874" t="str">
        <f ca="1">TEXT(DATE(YEAR(Invoer!$A$5),1,1)+INT((ROWS(B$2:B4874)-1)/24),"""18""jjmmdd")</f>
        <v>18980723</v>
      </c>
      <c r="C4874" s="11" t="str">
        <f>INDEX(Data,2,2+MOD(ROWS(C$2:C4874)-1,24))</f>
        <v>01.00</v>
      </c>
      <c r="D4874" s="8" t="str">
        <f t="shared" ca="1" si="230"/>
        <v>—</v>
      </c>
      <c r="E4874" s="16">
        <f t="shared" ca="1" si="231"/>
        <v>7</v>
      </c>
    </row>
    <row r="4875" spans="1:5" x14ac:dyDescent="0.25">
      <c r="A4875" s="3">
        <f t="shared" si="229"/>
        <v>78989</v>
      </c>
      <c r="B4875" t="str">
        <f ca="1">TEXT(DATE(YEAR(Invoer!$A$5),1,1)+INT((ROWS(B$2:B4875)-1)/24),"""18""jjmmdd")</f>
        <v>18980723</v>
      </c>
      <c r="C4875" s="11" t="str">
        <f>INDEX(Data,2,2+MOD(ROWS(C$2:C4875)-1,24))</f>
        <v>02.00</v>
      </c>
      <c r="D4875" s="8" t="str">
        <f t="shared" ca="1" si="230"/>
        <v>—</v>
      </c>
      <c r="E4875" s="16">
        <f t="shared" ca="1" si="231"/>
        <v>7</v>
      </c>
    </row>
    <row r="4876" spans="1:5" x14ac:dyDescent="0.25">
      <c r="A4876" s="3">
        <f t="shared" si="229"/>
        <v>78989</v>
      </c>
      <c r="B4876" t="str">
        <f ca="1">TEXT(DATE(YEAR(Invoer!$A$5),1,1)+INT((ROWS(B$2:B4876)-1)/24),"""18""jjmmdd")</f>
        <v>18980723</v>
      </c>
      <c r="C4876" s="11" t="str">
        <f>INDEX(Data,2,2+MOD(ROWS(C$2:C4876)-1,24))</f>
        <v>03.00</v>
      </c>
      <c r="D4876" s="8" t="str">
        <f t="shared" ca="1" si="230"/>
        <v>—</v>
      </c>
      <c r="E4876" s="16">
        <f t="shared" ca="1" si="231"/>
        <v>7</v>
      </c>
    </row>
    <row r="4877" spans="1:5" x14ac:dyDescent="0.25">
      <c r="A4877" s="3">
        <f t="shared" si="229"/>
        <v>78989</v>
      </c>
      <c r="B4877" t="str">
        <f ca="1">TEXT(DATE(YEAR(Invoer!$A$5),1,1)+INT((ROWS(B$2:B4877)-1)/24),"""18""jjmmdd")</f>
        <v>18980723</v>
      </c>
      <c r="C4877" s="11" t="str">
        <f>INDEX(Data,2,2+MOD(ROWS(C$2:C4877)-1,24))</f>
        <v>04.00</v>
      </c>
      <c r="D4877" s="8" t="str">
        <f t="shared" ca="1" si="230"/>
        <v>—</v>
      </c>
      <c r="E4877" s="16">
        <f t="shared" ca="1" si="231"/>
        <v>7</v>
      </c>
    </row>
    <row r="4878" spans="1:5" x14ac:dyDescent="0.25">
      <c r="A4878" s="3">
        <f t="shared" si="229"/>
        <v>78989</v>
      </c>
      <c r="B4878" t="str">
        <f ca="1">TEXT(DATE(YEAR(Invoer!$A$5),1,1)+INT((ROWS(B$2:B4878)-1)/24),"""18""jjmmdd")</f>
        <v>18980723</v>
      </c>
      <c r="C4878" s="11" t="str">
        <f>INDEX(Data,2,2+MOD(ROWS(C$2:C4878)-1,24))</f>
        <v>05.00</v>
      </c>
      <c r="D4878" s="8" t="str">
        <f t="shared" ca="1" si="230"/>
        <v>—</v>
      </c>
      <c r="E4878" s="16">
        <f t="shared" ca="1" si="231"/>
        <v>7</v>
      </c>
    </row>
    <row r="4879" spans="1:5" x14ac:dyDescent="0.25">
      <c r="A4879" s="3">
        <f t="shared" si="229"/>
        <v>78989</v>
      </c>
      <c r="B4879" t="str">
        <f ca="1">TEXT(DATE(YEAR(Invoer!$A$5),1,1)+INT((ROWS(B$2:B4879)-1)/24),"""18""jjmmdd")</f>
        <v>18980723</v>
      </c>
      <c r="C4879" s="11" t="str">
        <f>INDEX(Data,2,2+MOD(ROWS(C$2:C4879)-1,24))</f>
        <v>06.00</v>
      </c>
      <c r="D4879" s="8" t="str">
        <f t="shared" ca="1" si="230"/>
        <v>—</v>
      </c>
      <c r="E4879" s="16">
        <f t="shared" ca="1" si="231"/>
        <v>7</v>
      </c>
    </row>
    <row r="4880" spans="1:5" x14ac:dyDescent="0.25">
      <c r="A4880" s="3">
        <f t="shared" si="229"/>
        <v>78989</v>
      </c>
      <c r="B4880" t="str">
        <f ca="1">TEXT(DATE(YEAR(Invoer!$A$5),1,1)+INT((ROWS(B$2:B4880)-1)/24),"""18""jjmmdd")</f>
        <v>18980723</v>
      </c>
      <c r="C4880" s="11" t="str">
        <f>INDEX(Data,2,2+MOD(ROWS(C$2:C4880)-1,24))</f>
        <v>07.00</v>
      </c>
      <c r="D4880" s="8" t="str">
        <f t="shared" ca="1" si="230"/>
        <v>—</v>
      </c>
      <c r="E4880" s="16">
        <f t="shared" ca="1" si="231"/>
        <v>7</v>
      </c>
    </row>
    <row r="4881" spans="1:5" x14ac:dyDescent="0.25">
      <c r="A4881" s="3">
        <f t="shared" si="229"/>
        <v>78989</v>
      </c>
      <c r="B4881" t="str">
        <f ca="1">TEXT(DATE(YEAR(Invoer!$A$5),1,1)+INT((ROWS(B$2:B4881)-1)/24),"""18""jjmmdd")</f>
        <v>18980723</v>
      </c>
      <c r="C4881" s="11" t="str">
        <f>INDEX(Data,2,2+MOD(ROWS(C$2:C4881)-1,24))</f>
        <v>08.00</v>
      </c>
      <c r="D4881" s="8" t="str">
        <f t="shared" ca="1" si="230"/>
        <v>—</v>
      </c>
      <c r="E4881" s="16">
        <f t="shared" ca="1" si="231"/>
        <v>7</v>
      </c>
    </row>
    <row r="4882" spans="1:5" x14ac:dyDescent="0.25">
      <c r="A4882" s="3">
        <f t="shared" si="229"/>
        <v>78989</v>
      </c>
      <c r="B4882" t="str">
        <f ca="1">TEXT(DATE(YEAR(Invoer!$A$5),1,1)+INT((ROWS(B$2:B4882)-1)/24),"""18""jjmmdd")</f>
        <v>18980723</v>
      </c>
      <c r="C4882" s="11" t="str">
        <f>INDEX(Data,2,2+MOD(ROWS(C$2:C4882)-1,24))</f>
        <v>09.00</v>
      </c>
      <c r="D4882" s="8" t="str">
        <f t="shared" ca="1" si="230"/>
        <v>—</v>
      </c>
      <c r="E4882" s="16">
        <f t="shared" ca="1" si="231"/>
        <v>7</v>
      </c>
    </row>
    <row r="4883" spans="1:5" x14ac:dyDescent="0.25">
      <c r="A4883" s="3">
        <f t="shared" si="229"/>
        <v>78989</v>
      </c>
      <c r="B4883" t="str">
        <f ca="1">TEXT(DATE(YEAR(Invoer!$A$5),1,1)+INT((ROWS(B$2:B4883)-1)/24),"""18""jjmmdd")</f>
        <v>18980723</v>
      </c>
      <c r="C4883" s="11" t="str">
        <f>INDEX(Data,2,2+MOD(ROWS(C$2:C4883)-1,24))</f>
        <v>10.00</v>
      </c>
      <c r="D4883" s="8" t="str">
        <f t="shared" ca="1" si="230"/>
        <v>—</v>
      </c>
      <c r="E4883" s="16">
        <f t="shared" ca="1" si="231"/>
        <v>7</v>
      </c>
    </row>
    <row r="4884" spans="1:5" x14ac:dyDescent="0.25">
      <c r="A4884" s="3">
        <f t="shared" si="229"/>
        <v>78989</v>
      </c>
      <c r="B4884" t="str">
        <f ca="1">TEXT(DATE(YEAR(Invoer!$A$5),1,1)+INT((ROWS(B$2:B4884)-1)/24),"""18""jjmmdd")</f>
        <v>18980723</v>
      </c>
      <c r="C4884" s="11" t="str">
        <f>INDEX(Data,2,2+MOD(ROWS(C$2:C4884)-1,24))</f>
        <v>11.00</v>
      </c>
      <c r="D4884" s="8" t="str">
        <f t="shared" ca="1" si="230"/>
        <v>—</v>
      </c>
      <c r="E4884" s="16">
        <f t="shared" ca="1" si="231"/>
        <v>7</v>
      </c>
    </row>
    <row r="4885" spans="1:5" x14ac:dyDescent="0.25">
      <c r="A4885" s="3">
        <f t="shared" si="229"/>
        <v>78989</v>
      </c>
      <c r="B4885" t="str">
        <f ca="1">TEXT(DATE(YEAR(Invoer!$A$5),1,1)+INT((ROWS(B$2:B4885)-1)/24),"""18""jjmmdd")</f>
        <v>18980723</v>
      </c>
      <c r="C4885" s="11" t="str">
        <f>INDEX(Data,2,2+MOD(ROWS(C$2:C4885)-1,24))</f>
        <v>12.00</v>
      </c>
      <c r="D4885" s="8" t="str">
        <f t="shared" ca="1" si="230"/>
        <v>—</v>
      </c>
      <c r="E4885" s="16">
        <f t="shared" ca="1" si="231"/>
        <v>7</v>
      </c>
    </row>
    <row r="4886" spans="1:5" x14ac:dyDescent="0.25">
      <c r="A4886" s="3">
        <f t="shared" si="229"/>
        <v>78989</v>
      </c>
      <c r="B4886" t="str">
        <f ca="1">TEXT(DATE(YEAR(Invoer!$A$5),1,1)+INT((ROWS(B$2:B4886)-1)/24),"""18""jjmmdd")</f>
        <v>18980723</v>
      </c>
      <c r="C4886" s="11" t="str">
        <f>INDEX(Data,2,2+MOD(ROWS(C$2:C4886)-1,24))</f>
        <v>13.00</v>
      </c>
      <c r="D4886" s="8" t="str">
        <f t="shared" ca="1" si="230"/>
        <v>—</v>
      </c>
      <c r="E4886" s="16">
        <f t="shared" ca="1" si="231"/>
        <v>7</v>
      </c>
    </row>
    <row r="4887" spans="1:5" x14ac:dyDescent="0.25">
      <c r="A4887" s="3">
        <f t="shared" si="229"/>
        <v>78989</v>
      </c>
      <c r="B4887" t="str">
        <f ca="1">TEXT(DATE(YEAR(Invoer!$A$5),1,1)+INT((ROWS(B$2:B4887)-1)/24),"""18""jjmmdd")</f>
        <v>18980723</v>
      </c>
      <c r="C4887" s="11" t="str">
        <f>INDEX(Data,2,2+MOD(ROWS(C$2:C4887)-1,24))</f>
        <v>14.00</v>
      </c>
      <c r="D4887" s="8" t="str">
        <f t="shared" ca="1" si="230"/>
        <v>—</v>
      </c>
      <c r="E4887" s="16">
        <f t="shared" ca="1" si="231"/>
        <v>7</v>
      </c>
    </row>
    <row r="4888" spans="1:5" x14ac:dyDescent="0.25">
      <c r="A4888" s="3">
        <f t="shared" si="229"/>
        <v>78989</v>
      </c>
      <c r="B4888" t="str">
        <f ca="1">TEXT(DATE(YEAR(Invoer!$A$5),1,1)+INT((ROWS(B$2:B4888)-1)/24),"""18""jjmmdd")</f>
        <v>18980723</v>
      </c>
      <c r="C4888" s="11" t="str">
        <f>INDEX(Data,2,2+MOD(ROWS(C$2:C4888)-1,24))</f>
        <v>15.00</v>
      </c>
      <c r="D4888" s="8" t="str">
        <f t="shared" ca="1" si="230"/>
        <v>—</v>
      </c>
      <c r="E4888" s="16">
        <f t="shared" ca="1" si="231"/>
        <v>7</v>
      </c>
    </row>
    <row r="4889" spans="1:5" x14ac:dyDescent="0.25">
      <c r="A4889" s="3">
        <f t="shared" si="229"/>
        <v>78989</v>
      </c>
      <c r="B4889" t="str">
        <f ca="1">TEXT(DATE(YEAR(Invoer!$A$5),1,1)+INT((ROWS(B$2:B4889)-1)/24),"""18""jjmmdd")</f>
        <v>18980723</v>
      </c>
      <c r="C4889" s="11" t="str">
        <f>INDEX(Data,2,2+MOD(ROWS(C$2:C4889)-1,24))</f>
        <v>16.00</v>
      </c>
      <c r="D4889" s="8" t="str">
        <f t="shared" ca="1" si="230"/>
        <v>—</v>
      </c>
      <c r="E4889" s="16">
        <f t="shared" ca="1" si="231"/>
        <v>7</v>
      </c>
    </row>
    <row r="4890" spans="1:5" x14ac:dyDescent="0.25">
      <c r="A4890" s="3">
        <f t="shared" si="229"/>
        <v>78989</v>
      </c>
      <c r="B4890" t="str">
        <f ca="1">TEXT(DATE(YEAR(Invoer!$A$5),1,1)+INT((ROWS(B$2:B4890)-1)/24),"""18""jjmmdd")</f>
        <v>18980723</v>
      </c>
      <c r="C4890" s="11" t="str">
        <f>INDEX(Data,2,2+MOD(ROWS(C$2:C4890)-1,24))</f>
        <v>17.00</v>
      </c>
      <c r="D4890" s="8" t="str">
        <f t="shared" ca="1" si="230"/>
        <v>—</v>
      </c>
      <c r="E4890" s="16">
        <f t="shared" ca="1" si="231"/>
        <v>7</v>
      </c>
    </row>
    <row r="4891" spans="1:5" x14ac:dyDescent="0.25">
      <c r="A4891" s="3">
        <f t="shared" si="229"/>
        <v>78989</v>
      </c>
      <c r="B4891" t="str">
        <f ca="1">TEXT(DATE(YEAR(Invoer!$A$5),1,1)+INT((ROWS(B$2:B4891)-1)/24),"""18""jjmmdd")</f>
        <v>18980723</v>
      </c>
      <c r="C4891" s="11" t="str">
        <f>INDEX(Data,2,2+MOD(ROWS(C$2:C4891)-1,24))</f>
        <v>18.00</v>
      </c>
      <c r="D4891" s="8" t="str">
        <f t="shared" ca="1" si="230"/>
        <v>—</v>
      </c>
      <c r="E4891" s="16">
        <f t="shared" ca="1" si="231"/>
        <v>7</v>
      </c>
    </row>
    <row r="4892" spans="1:5" x14ac:dyDescent="0.25">
      <c r="A4892" s="3">
        <f t="shared" si="229"/>
        <v>78989</v>
      </c>
      <c r="B4892" t="str">
        <f ca="1">TEXT(DATE(YEAR(Invoer!$A$5),1,1)+INT((ROWS(B$2:B4892)-1)/24),"""18""jjmmdd")</f>
        <v>18980723</v>
      </c>
      <c r="C4892" s="11" t="str">
        <f>INDEX(Data,2,2+MOD(ROWS(C$2:C4892)-1,24))</f>
        <v>19.00</v>
      </c>
      <c r="D4892" s="8" t="str">
        <f t="shared" ca="1" si="230"/>
        <v>—</v>
      </c>
      <c r="E4892" s="16">
        <f t="shared" ca="1" si="231"/>
        <v>7</v>
      </c>
    </row>
    <row r="4893" spans="1:5" x14ac:dyDescent="0.25">
      <c r="A4893" s="3">
        <f t="shared" si="229"/>
        <v>78989</v>
      </c>
      <c r="B4893" t="str">
        <f ca="1">TEXT(DATE(YEAR(Invoer!$A$5),1,1)+INT((ROWS(B$2:B4893)-1)/24),"""18""jjmmdd")</f>
        <v>18980723</v>
      </c>
      <c r="C4893" s="11" t="str">
        <f>INDEX(Data,2,2+MOD(ROWS(C$2:C4893)-1,24))</f>
        <v>20.00</v>
      </c>
      <c r="D4893" s="8" t="str">
        <f t="shared" ca="1" si="230"/>
        <v>—</v>
      </c>
      <c r="E4893" s="16">
        <f t="shared" ca="1" si="231"/>
        <v>7</v>
      </c>
    </row>
    <row r="4894" spans="1:5" x14ac:dyDescent="0.25">
      <c r="A4894" s="3">
        <f t="shared" si="229"/>
        <v>78989</v>
      </c>
      <c r="B4894" t="str">
        <f ca="1">TEXT(DATE(YEAR(Invoer!$A$5),1,1)+INT((ROWS(B$2:B4894)-1)/24),"""18""jjmmdd")</f>
        <v>18980723</v>
      </c>
      <c r="C4894" s="11" t="str">
        <f>INDEX(Data,2,2+MOD(ROWS(C$2:C4894)-1,24))</f>
        <v>21.00</v>
      </c>
      <c r="D4894" s="8" t="str">
        <f t="shared" ca="1" si="230"/>
        <v>—</v>
      </c>
      <c r="E4894" s="16">
        <f t="shared" ca="1" si="231"/>
        <v>7</v>
      </c>
    </row>
    <row r="4895" spans="1:5" x14ac:dyDescent="0.25">
      <c r="A4895" s="3">
        <f t="shared" si="229"/>
        <v>78989</v>
      </c>
      <c r="B4895" t="str">
        <f ca="1">TEXT(DATE(YEAR(Invoer!$A$5),1,1)+INT((ROWS(B$2:B4895)-1)/24),"""18""jjmmdd")</f>
        <v>18980723</v>
      </c>
      <c r="C4895" s="11" t="str">
        <f>INDEX(Data,2,2+MOD(ROWS(C$2:C4895)-1,24))</f>
        <v>22.00</v>
      </c>
      <c r="D4895" s="8" t="str">
        <f t="shared" ca="1" si="230"/>
        <v>—</v>
      </c>
      <c r="E4895" s="16">
        <f t="shared" ca="1" si="231"/>
        <v>7</v>
      </c>
    </row>
    <row r="4896" spans="1:5" x14ac:dyDescent="0.25">
      <c r="A4896" s="3">
        <f t="shared" si="229"/>
        <v>78989</v>
      </c>
      <c r="B4896" t="str">
        <f ca="1">TEXT(DATE(YEAR(Invoer!$A$5),1,1)+INT((ROWS(B$2:B4896)-1)/24),"""18""jjmmdd")</f>
        <v>18980723</v>
      </c>
      <c r="C4896" s="11" t="str">
        <f>INDEX(Data,2,2+MOD(ROWS(C$2:C4896)-1,24))</f>
        <v>23.00</v>
      </c>
      <c r="D4896" s="8" t="str">
        <f t="shared" ca="1" si="230"/>
        <v>—</v>
      </c>
      <c r="E4896" s="16">
        <f t="shared" ca="1" si="231"/>
        <v>7</v>
      </c>
    </row>
    <row r="4897" spans="1:5" x14ac:dyDescent="0.25">
      <c r="A4897" s="3">
        <f t="shared" si="229"/>
        <v>78989</v>
      </c>
      <c r="B4897" t="str">
        <f ca="1">TEXT(DATE(YEAR(Invoer!$A$5),1,1)+INT((ROWS(B$2:B4897)-1)/24),"""18""jjmmdd")</f>
        <v>18980723</v>
      </c>
      <c r="C4897" s="11" t="str">
        <f>INDEX(Data,2,2+MOD(ROWS(C$2:C4897)-1,24))</f>
        <v>24.00</v>
      </c>
      <c r="D4897" s="8" t="str">
        <f t="shared" ca="1" si="230"/>
        <v>—</v>
      </c>
      <c r="E4897" s="16">
        <f t="shared" ca="1" si="231"/>
        <v>7</v>
      </c>
    </row>
    <row r="4898" spans="1:5" x14ac:dyDescent="0.25">
      <c r="A4898" s="3">
        <f t="shared" si="229"/>
        <v>78989</v>
      </c>
      <c r="B4898" t="str">
        <f ca="1">TEXT(DATE(YEAR(Invoer!$A$5),1,1)+INT((ROWS(B$2:B4898)-1)/24),"""18""jjmmdd")</f>
        <v>18980724</v>
      </c>
      <c r="C4898" s="11" t="str">
        <f>INDEX(Data,2,2+MOD(ROWS(C$2:C4898)-1,24))</f>
        <v>01.00</v>
      </c>
      <c r="D4898" s="8" t="str">
        <f t="shared" ca="1" si="230"/>
        <v>—</v>
      </c>
      <c r="E4898" s="16">
        <f t="shared" ca="1" si="231"/>
        <v>7</v>
      </c>
    </row>
    <row r="4899" spans="1:5" x14ac:dyDescent="0.25">
      <c r="A4899" s="3">
        <f t="shared" si="229"/>
        <v>78989</v>
      </c>
      <c r="B4899" t="str">
        <f ca="1">TEXT(DATE(YEAR(Invoer!$A$5),1,1)+INT((ROWS(B$2:B4899)-1)/24),"""18""jjmmdd")</f>
        <v>18980724</v>
      </c>
      <c r="C4899" s="11" t="str">
        <f>INDEX(Data,2,2+MOD(ROWS(C$2:C4899)-1,24))</f>
        <v>02.00</v>
      </c>
      <c r="D4899" s="8" t="str">
        <f t="shared" ca="1" si="230"/>
        <v>—</v>
      </c>
      <c r="E4899" s="16">
        <f t="shared" ca="1" si="231"/>
        <v>7</v>
      </c>
    </row>
    <row r="4900" spans="1:5" x14ac:dyDescent="0.25">
      <c r="A4900" s="3">
        <f t="shared" si="229"/>
        <v>78989</v>
      </c>
      <c r="B4900" t="str">
        <f ca="1">TEXT(DATE(YEAR(Invoer!$A$5),1,1)+INT((ROWS(B$2:B4900)-1)/24),"""18""jjmmdd")</f>
        <v>18980724</v>
      </c>
      <c r="C4900" s="11" t="str">
        <f>INDEX(Data,2,2+MOD(ROWS(C$2:C4900)-1,24))</f>
        <v>03.00</v>
      </c>
      <c r="D4900" s="8" t="str">
        <f t="shared" ca="1" si="230"/>
        <v>—</v>
      </c>
      <c r="E4900" s="16">
        <f t="shared" ca="1" si="231"/>
        <v>7</v>
      </c>
    </row>
    <row r="4901" spans="1:5" x14ac:dyDescent="0.25">
      <c r="A4901" s="3">
        <f t="shared" si="229"/>
        <v>78989</v>
      </c>
      <c r="B4901" t="str">
        <f ca="1">TEXT(DATE(YEAR(Invoer!$A$5),1,1)+INT((ROWS(B$2:B4901)-1)/24),"""18""jjmmdd")</f>
        <v>18980724</v>
      </c>
      <c r="C4901" s="11" t="str">
        <f>INDEX(Data,2,2+MOD(ROWS(C$2:C4901)-1,24))</f>
        <v>04.00</v>
      </c>
      <c r="D4901" s="8" t="str">
        <f t="shared" ca="1" si="230"/>
        <v>—</v>
      </c>
      <c r="E4901" s="16">
        <f t="shared" ca="1" si="231"/>
        <v>7</v>
      </c>
    </row>
    <row r="4902" spans="1:5" x14ac:dyDescent="0.25">
      <c r="A4902" s="3">
        <f t="shared" si="229"/>
        <v>78989</v>
      </c>
      <c r="B4902" t="str">
        <f ca="1">TEXT(DATE(YEAR(Invoer!$A$5),1,1)+INT((ROWS(B$2:B4902)-1)/24),"""18""jjmmdd")</f>
        <v>18980724</v>
      </c>
      <c r="C4902" s="11" t="str">
        <f>INDEX(Data,2,2+MOD(ROWS(C$2:C4902)-1,24))</f>
        <v>05.00</v>
      </c>
      <c r="D4902" s="8" t="str">
        <f t="shared" ca="1" si="230"/>
        <v>—</v>
      </c>
      <c r="E4902" s="16">
        <f t="shared" ca="1" si="231"/>
        <v>7</v>
      </c>
    </row>
    <row r="4903" spans="1:5" x14ac:dyDescent="0.25">
      <c r="A4903" s="3">
        <f t="shared" si="229"/>
        <v>78989</v>
      </c>
      <c r="B4903" t="str">
        <f ca="1">TEXT(DATE(YEAR(Invoer!$A$5),1,1)+INT((ROWS(B$2:B4903)-1)/24),"""18""jjmmdd")</f>
        <v>18980724</v>
      </c>
      <c r="C4903" s="11" t="str">
        <f>INDEX(Data,2,2+MOD(ROWS(C$2:C4903)-1,24))</f>
        <v>06.00</v>
      </c>
      <c r="D4903" s="8" t="str">
        <f t="shared" ca="1" si="230"/>
        <v>—</v>
      </c>
      <c r="E4903" s="16">
        <f t="shared" ca="1" si="231"/>
        <v>7</v>
      </c>
    </row>
    <row r="4904" spans="1:5" x14ac:dyDescent="0.25">
      <c r="A4904" s="3">
        <f t="shared" si="229"/>
        <v>78989</v>
      </c>
      <c r="B4904" t="str">
        <f ca="1">TEXT(DATE(YEAR(Invoer!$A$5),1,1)+INT((ROWS(B$2:B4904)-1)/24),"""18""jjmmdd")</f>
        <v>18980724</v>
      </c>
      <c r="C4904" s="11" t="str">
        <f>INDEX(Data,2,2+MOD(ROWS(C$2:C4904)-1,24))</f>
        <v>07.00</v>
      </c>
      <c r="D4904" s="8" t="str">
        <f t="shared" ca="1" si="230"/>
        <v>—</v>
      </c>
      <c r="E4904" s="16">
        <f t="shared" ca="1" si="231"/>
        <v>7</v>
      </c>
    </row>
    <row r="4905" spans="1:5" x14ac:dyDescent="0.25">
      <c r="A4905" s="3">
        <f t="shared" si="229"/>
        <v>78989</v>
      </c>
      <c r="B4905" t="str">
        <f ca="1">TEXT(DATE(YEAR(Invoer!$A$5),1,1)+INT((ROWS(B$2:B4905)-1)/24),"""18""jjmmdd")</f>
        <v>18980724</v>
      </c>
      <c r="C4905" s="11" t="str">
        <f>INDEX(Data,2,2+MOD(ROWS(C$2:C4905)-1,24))</f>
        <v>08.00</v>
      </c>
      <c r="D4905" s="8" t="str">
        <f t="shared" ca="1" si="230"/>
        <v>—</v>
      </c>
      <c r="E4905" s="16">
        <f t="shared" ca="1" si="231"/>
        <v>7</v>
      </c>
    </row>
    <row r="4906" spans="1:5" x14ac:dyDescent="0.25">
      <c r="A4906" s="3">
        <f t="shared" si="229"/>
        <v>78989</v>
      </c>
      <c r="B4906" t="str">
        <f ca="1">TEXT(DATE(YEAR(Invoer!$A$5),1,1)+INT((ROWS(B$2:B4906)-1)/24),"""18""jjmmdd")</f>
        <v>18980724</v>
      </c>
      <c r="C4906" s="11" t="str">
        <f>INDEX(Data,2,2+MOD(ROWS(C$2:C4906)-1,24))</f>
        <v>09.00</v>
      </c>
      <c r="D4906" s="8" t="str">
        <f t="shared" ca="1" si="230"/>
        <v>—</v>
      </c>
      <c r="E4906" s="16">
        <f t="shared" ca="1" si="231"/>
        <v>7</v>
      </c>
    </row>
    <row r="4907" spans="1:5" x14ac:dyDescent="0.25">
      <c r="A4907" s="3">
        <f t="shared" si="229"/>
        <v>78989</v>
      </c>
      <c r="B4907" t="str">
        <f ca="1">TEXT(DATE(YEAR(Invoer!$A$5),1,1)+INT((ROWS(B$2:B4907)-1)/24),"""18""jjmmdd")</f>
        <v>18980724</v>
      </c>
      <c r="C4907" s="11" t="str">
        <f>INDEX(Data,2,2+MOD(ROWS(C$2:C4907)-1,24))</f>
        <v>10.00</v>
      </c>
      <c r="D4907" s="8" t="str">
        <f t="shared" ca="1" si="230"/>
        <v>—</v>
      </c>
      <c r="E4907" s="16">
        <f t="shared" ca="1" si="231"/>
        <v>7</v>
      </c>
    </row>
    <row r="4908" spans="1:5" x14ac:dyDescent="0.25">
      <c r="A4908" s="3">
        <f t="shared" si="229"/>
        <v>78989</v>
      </c>
      <c r="B4908" t="str">
        <f ca="1">TEXT(DATE(YEAR(Invoer!$A$5),1,1)+INT((ROWS(B$2:B4908)-1)/24),"""18""jjmmdd")</f>
        <v>18980724</v>
      </c>
      <c r="C4908" s="11" t="str">
        <f>INDEX(Data,2,2+MOD(ROWS(C$2:C4908)-1,24))</f>
        <v>11.00</v>
      </c>
      <c r="D4908" s="8" t="str">
        <f t="shared" ca="1" si="230"/>
        <v>—</v>
      </c>
      <c r="E4908" s="16">
        <f t="shared" ca="1" si="231"/>
        <v>7</v>
      </c>
    </row>
    <row r="4909" spans="1:5" x14ac:dyDescent="0.25">
      <c r="A4909" s="3">
        <f t="shared" si="229"/>
        <v>78989</v>
      </c>
      <c r="B4909" t="str">
        <f ca="1">TEXT(DATE(YEAR(Invoer!$A$5),1,1)+INT((ROWS(B$2:B4909)-1)/24),"""18""jjmmdd")</f>
        <v>18980724</v>
      </c>
      <c r="C4909" s="11" t="str">
        <f>INDEX(Data,2,2+MOD(ROWS(C$2:C4909)-1,24))</f>
        <v>12.00</v>
      </c>
      <c r="D4909" s="8" t="str">
        <f t="shared" ca="1" si="230"/>
        <v>—</v>
      </c>
      <c r="E4909" s="16">
        <f t="shared" ca="1" si="231"/>
        <v>7</v>
      </c>
    </row>
    <row r="4910" spans="1:5" x14ac:dyDescent="0.25">
      <c r="A4910" s="3">
        <f t="shared" si="229"/>
        <v>78989</v>
      </c>
      <c r="B4910" t="str">
        <f ca="1">TEXT(DATE(YEAR(Invoer!$A$5),1,1)+INT((ROWS(B$2:B4910)-1)/24),"""18""jjmmdd")</f>
        <v>18980724</v>
      </c>
      <c r="C4910" s="11" t="str">
        <f>INDEX(Data,2,2+MOD(ROWS(C$2:C4910)-1,24))</f>
        <v>13.00</v>
      </c>
      <c r="D4910" s="8" t="str">
        <f t="shared" ca="1" si="230"/>
        <v>—</v>
      </c>
      <c r="E4910" s="16">
        <f t="shared" ca="1" si="231"/>
        <v>7</v>
      </c>
    </row>
    <row r="4911" spans="1:5" x14ac:dyDescent="0.25">
      <c r="A4911" s="3">
        <f t="shared" si="229"/>
        <v>78989</v>
      </c>
      <c r="B4911" t="str">
        <f ca="1">TEXT(DATE(YEAR(Invoer!$A$5),1,1)+INT((ROWS(B$2:B4911)-1)/24),"""18""jjmmdd")</f>
        <v>18980724</v>
      </c>
      <c r="C4911" s="11" t="str">
        <f>INDEX(Data,2,2+MOD(ROWS(C$2:C4911)-1,24))</f>
        <v>14.00</v>
      </c>
      <c r="D4911" s="8" t="str">
        <f t="shared" ca="1" si="230"/>
        <v>—</v>
      </c>
      <c r="E4911" s="16">
        <f t="shared" ca="1" si="231"/>
        <v>7</v>
      </c>
    </row>
    <row r="4912" spans="1:5" x14ac:dyDescent="0.25">
      <c r="A4912" s="3">
        <f t="shared" si="229"/>
        <v>78989</v>
      </c>
      <c r="B4912" t="str">
        <f ca="1">TEXT(DATE(YEAR(Invoer!$A$5),1,1)+INT((ROWS(B$2:B4912)-1)/24),"""18""jjmmdd")</f>
        <v>18980724</v>
      </c>
      <c r="C4912" s="11" t="str">
        <f>INDEX(Data,2,2+MOD(ROWS(C$2:C4912)-1,24))</f>
        <v>15.00</v>
      </c>
      <c r="D4912" s="8" t="str">
        <f t="shared" ca="1" si="230"/>
        <v>—</v>
      </c>
      <c r="E4912" s="16">
        <f t="shared" ca="1" si="231"/>
        <v>7</v>
      </c>
    </row>
    <row r="4913" spans="1:5" x14ac:dyDescent="0.25">
      <c r="A4913" s="3">
        <f t="shared" si="229"/>
        <v>78989</v>
      </c>
      <c r="B4913" t="str">
        <f ca="1">TEXT(DATE(YEAR(Invoer!$A$5),1,1)+INT((ROWS(B$2:B4913)-1)/24),"""18""jjmmdd")</f>
        <v>18980724</v>
      </c>
      <c r="C4913" s="11" t="str">
        <f>INDEX(Data,2,2+MOD(ROWS(C$2:C4913)-1,24))</f>
        <v>16.00</v>
      </c>
      <c r="D4913" s="8" t="str">
        <f t="shared" ca="1" si="230"/>
        <v>—</v>
      </c>
      <c r="E4913" s="16">
        <f t="shared" ca="1" si="231"/>
        <v>7</v>
      </c>
    </row>
    <row r="4914" spans="1:5" x14ac:dyDescent="0.25">
      <c r="A4914" s="3">
        <f t="shared" si="229"/>
        <v>78989</v>
      </c>
      <c r="B4914" t="str">
        <f ca="1">TEXT(DATE(YEAR(Invoer!$A$5),1,1)+INT((ROWS(B$2:B4914)-1)/24),"""18""jjmmdd")</f>
        <v>18980724</v>
      </c>
      <c r="C4914" s="11" t="str">
        <f>INDEX(Data,2,2+MOD(ROWS(C$2:C4914)-1,24))</f>
        <v>17.00</v>
      </c>
      <c r="D4914" s="8" t="str">
        <f t="shared" ca="1" si="230"/>
        <v>—</v>
      </c>
      <c r="E4914" s="16">
        <f t="shared" ca="1" si="231"/>
        <v>7</v>
      </c>
    </row>
    <row r="4915" spans="1:5" x14ac:dyDescent="0.25">
      <c r="A4915" s="3">
        <f t="shared" si="229"/>
        <v>78989</v>
      </c>
      <c r="B4915" t="str">
        <f ca="1">TEXT(DATE(YEAR(Invoer!$A$5),1,1)+INT((ROWS(B$2:B4915)-1)/24),"""18""jjmmdd")</f>
        <v>18980724</v>
      </c>
      <c r="C4915" s="11" t="str">
        <f>INDEX(Data,2,2+MOD(ROWS(C$2:C4915)-1,24))</f>
        <v>18.00</v>
      </c>
      <c r="D4915" s="8" t="str">
        <f t="shared" ca="1" si="230"/>
        <v>—</v>
      </c>
      <c r="E4915" s="16">
        <f t="shared" ca="1" si="231"/>
        <v>7</v>
      </c>
    </row>
    <row r="4916" spans="1:5" x14ac:dyDescent="0.25">
      <c r="A4916" s="3">
        <f t="shared" si="229"/>
        <v>78989</v>
      </c>
      <c r="B4916" t="str">
        <f ca="1">TEXT(DATE(YEAR(Invoer!$A$5),1,1)+INT((ROWS(B$2:B4916)-1)/24),"""18""jjmmdd")</f>
        <v>18980724</v>
      </c>
      <c r="C4916" s="11" t="str">
        <f>INDEX(Data,2,2+MOD(ROWS(C$2:C4916)-1,24))</f>
        <v>19.00</v>
      </c>
      <c r="D4916" s="8" t="str">
        <f t="shared" ca="1" si="230"/>
        <v>—</v>
      </c>
      <c r="E4916" s="16">
        <f t="shared" ca="1" si="231"/>
        <v>7</v>
      </c>
    </row>
    <row r="4917" spans="1:5" x14ac:dyDescent="0.25">
      <c r="A4917" s="3">
        <f t="shared" si="229"/>
        <v>78989</v>
      </c>
      <c r="B4917" t="str">
        <f ca="1">TEXT(DATE(YEAR(Invoer!$A$5),1,1)+INT((ROWS(B$2:B4917)-1)/24),"""18""jjmmdd")</f>
        <v>18980724</v>
      </c>
      <c r="C4917" s="11" t="str">
        <f>INDEX(Data,2,2+MOD(ROWS(C$2:C4917)-1,24))</f>
        <v>20.00</v>
      </c>
      <c r="D4917" s="8" t="str">
        <f t="shared" ca="1" si="230"/>
        <v>—</v>
      </c>
      <c r="E4917" s="16">
        <f t="shared" ca="1" si="231"/>
        <v>7</v>
      </c>
    </row>
    <row r="4918" spans="1:5" x14ac:dyDescent="0.25">
      <c r="A4918" s="3">
        <f t="shared" si="229"/>
        <v>78989</v>
      </c>
      <c r="B4918" t="str">
        <f ca="1">TEXT(DATE(YEAR(Invoer!$A$5),1,1)+INT((ROWS(B$2:B4918)-1)/24),"""18""jjmmdd")</f>
        <v>18980724</v>
      </c>
      <c r="C4918" s="11" t="str">
        <f>INDEX(Data,2,2+MOD(ROWS(C$2:C4918)-1,24))</f>
        <v>21.00</v>
      </c>
      <c r="D4918" s="8" t="str">
        <f t="shared" ca="1" si="230"/>
        <v>—</v>
      </c>
      <c r="E4918" s="16">
        <f t="shared" ca="1" si="231"/>
        <v>7</v>
      </c>
    </row>
    <row r="4919" spans="1:5" x14ac:dyDescent="0.25">
      <c r="A4919" s="3">
        <f t="shared" si="229"/>
        <v>78989</v>
      </c>
      <c r="B4919" t="str">
        <f ca="1">TEXT(DATE(YEAR(Invoer!$A$5),1,1)+INT((ROWS(B$2:B4919)-1)/24),"""18""jjmmdd")</f>
        <v>18980724</v>
      </c>
      <c r="C4919" s="11" t="str">
        <f>INDEX(Data,2,2+MOD(ROWS(C$2:C4919)-1,24))</f>
        <v>22.00</v>
      </c>
      <c r="D4919" s="8" t="str">
        <f t="shared" ca="1" si="230"/>
        <v>—</v>
      </c>
      <c r="E4919" s="16">
        <f t="shared" ca="1" si="231"/>
        <v>7</v>
      </c>
    </row>
    <row r="4920" spans="1:5" x14ac:dyDescent="0.25">
      <c r="A4920" s="3">
        <f t="shared" si="229"/>
        <v>78989</v>
      </c>
      <c r="B4920" t="str">
        <f ca="1">TEXT(DATE(YEAR(Invoer!$A$5),1,1)+INT((ROWS(B$2:B4920)-1)/24),"""18""jjmmdd")</f>
        <v>18980724</v>
      </c>
      <c r="C4920" s="11" t="str">
        <f>INDEX(Data,2,2+MOD(ROWS(C$2:C4920)-1,24))</f>
        <v>23.00</v>
      </c>
      <c r="D4920" s="8" t="str">
        <f t="shared" ca="1" si="230"/>
        <v>—</v>
      </c>
      <c r="E4920" s="16">
        <f t="shared" ca="1" si="231"/>
        <v>7</v>
      </c>
    </row>
    <row r="4921" spans="1:5" x14ac:dyDescent="0.25">
      <c r="A4921" s="3">
        <f t="shared" si="229"/>
        <v>78989</v>
      </c>
      <c r="B4921" t="str">
        <f ca="1">TEXT(DATE(YEAR(Invoer!$A$5),1,1)+INT((ROWS(B$2:B4921)-1)/24),"""18""jjmmdd")</f>
        <v>18980724</v>
      </c>
      <c r="C4921" s="11" t="str">
        <f>INDEX(Data,2,2+MOD(ROWS(C$2:C4921)-1,24))</f>
        <v>24.00</v>
      </c>
      <c r="D4921" s="8" t="str">
        <f t="shared" ca="1" si="230"/>
        <v>—</v>
      </c>
      <c r="E4921" s="16">
        <f t="shared" ca="1" si="231"/>
        <v>7</v>
      </c>
    </row>
    <row r="4922" spans="1:5" x14ac:dyDescent="0.25">
      <c r="A4922" s="3">
        <f t="shared" si="229"/>
        <v>78989</v>
      </c>
      <c r="B4922" t="str">
        <f ca="1">TEXT(DATE(YEAR(Invoer!$A$5),1,1)+INT((ROWS(B$2:B4922)-1)/24),"""18""jjmmdd")</f>
        <v>18980725</v>
      </c>
      <c r="C4922" s="11" t="str">
        <f>INDEX(Data,2,2+MOD(ROWS(C$2:C4922)-1,24))</f>
        <v>01.00</v>
      </c>
      <c r="D4922" s="8" t="str">
        <f t="shared" ca="1" si="230"/>
        <v>—</v>
      </c>
      <c r="E4922" s="16">
        <f t="shared" ca="1" si="231"/>
        <v>7</v>
      </c>
    </row>
    <row r="4923" spans="1:5" x14ac:dyDescent="0.25">
      <c r="A4923" s="3">
        <f t="shared" si="229"/>
        <v>78989</v>
      </c>
      <c r="B4923" t="str">
        <f ca="1">TEXT(DATE(YEAR(Invoer!$A$5),1,1)+INT((ROWS(B$2:B4923)-1)/24),"""18""jjmmdd")</f>
        <v>18980725</v>
      </c>
      <c r="C4923" s="11" t="str">
        <f>INDEX(Data,2,2+MOD(ROWS(C$2:C4923)-1,24))</f>
        <v>02.00</v>
      </c>
      <c r="D4923" s="8" t="str">
        <f t="shared" ca="1" si="230"/>
        <v>—</v>
      </c>
      <c r="E4923" s="16">
        <f t="shared" ca="1" si="231"/>
        <v>7</v>
      </c>
    </row>
    <row r="4924" spans="1:5" x14ac:dyDescent="0.25">
      <c r="A4924" s="3">
        <f t="shared" si="229"/>
        <v>78989</v>
      </c>
      <c r="B4924" t="str">
        <f ca="1">TEXT(DATE(YEAR(Invoer!$A$5),1,1)+INT((ROWS(B$2:B4924)-1)/24),"""18""jjmmdd")</f>
        <v>18980725</v>
      </c>
      <c r="C4924" s="11" t="str">
        <f>INDEX(Data,2,2+MOD(ROWS(C$2:C4924)-1,24))</f>
        <v>03.00</v>
      </c>
      <c r="D4924" s="8" t="str">
        <f t="shared" ca="1" si="230"/>
        <v>—</v>
      </c>
      <c r="E4924" s="16">
        <f t="shared" ca="1" si="231"/>
        <v>7</v>
      </c>
    </row>
    <row r="4925" spans="1:5" x14ac:dyDescent="0.25">
      <c r="A4925" s="3">
        <f t="shared" si="229"/>
        <v>78989</v>
      </c>
      <c r="B4925" t="str">
        <f ca="1">TEXT(DATE(YEAR(Invoer!$A$5),1,1)+INT((ROWS(B$2:B4925)-1)/24),"""18""jjmmdd")</f>
        <v>18980725</v>
      </c>
      <c r="C4925" s="11" t="str">
        <f>INDEX(Data,2,2+MOD(ROWS(C$2:C4925)-1,24))</f>
        <v>04.00</v>
      </c>
      <c r="D4925" s="8" t="str">
        <f t="shared" ca="1" si="230"/>
        <v>—</v>
      </c>
      <c r="E4925" s="16">
        <f t="shared" ca="1" si="231"/>
        <v>7</v>
      </c>
    </row>
    <row r="4926" spans="1:5" x14ac:dyDescent="0.25">
      <c r="A4926" s="3">
        <f t="shared" si="229"/>
        <v>78989</v>
      </c>
      <c r="B4926" t="str">
        <f ca="1">TEXT(DATE(YEAR(Invoer!$A$5),1,1)+INT((ROWS(B$2:B4926)-1)/24),"""18""jjmmdd")</f>
        <v>18980725</v>
      </c>
      <c r="C4926" s="11" t="str">
        <f>INDEX(Data,2,2+MOD(ROWS(C$2:C4926)-1,24))</f>
        <v>05.00</v>
      </c>
      <c r="D4926" s="8" t="str">
        <f t="shared" ca="1" si="230"/>
        <v>—</v>
      </c>
      <c r="E4926" s="16">
        <f t="shared" ca="1" si="231"/>
        <v>7</v>
      </c>
    </row>
    <row r="4927" spans="1:5" x14ac:dyDescent="0.25">
      <c r="A4927" s="3">
        <f t="shared" si="229"/>
        <v>78989</v>
      </c>
      <c r="B4927" t="str">
        <f ca="1">TEXT(DATE(YEAR(Invoer!$A$5),1,1)+INT((ROWS(B$2:B4927)-1)/24),"""18""jjmmdd")</f>
        <v>18980725</v>
      </c>
      <c r="C4927" s="11" t="str">
        <f>INDEX(Data,2,2+MOD(ROWS(C$2:C4927)-1,24))</f>
        <v>06.00</v>
      </c>
      <c r="D4927" s="8" t="str">
        <f t="shared" ca="1" si="230"/>
        <v>—</v>
      </c>
      <c r="E4927" s="16">
        <f t="shared" ca="1" si="231"/>
        <v>7</v>
      </c>
    </row>
    <row r="4928" spans="1:5" x14ac:dyDescent="0.25">
      <c r="A4928" s="3">
        <f t="shared" si="229"/>
        <v>78989</v>
      </c>
      <c r="B4928" t="str">
        <f ca="1">TEXT(DATE(YEAR(Invoer!$A$5),1,1)+INT((ROWS(B$2:B4928)-1)/24),"""18""jjmmdd")</f>
        <v>18980725</v>
      </c>
      <c r="C4928" s="11" t="str">
        <f>INDEX(Data,2,2+MOD(ROWS(C$2:C4928)-1,24))</f>
        <v>07.00</v>
      </c>
      <c r="D4928" s="8" t="str">
        <f t="shared" ca="1" si="230"/>
        <v>—</v>
      </c>
      <c r="E4928" s="16">
        <f t="shared" ca="1" si="231"/>
        <v>7</v>
      </c>
    </row>
    <row r="4929" spans="1:5" x14ac:dyDescent="0.25">
      <c r="A4929" s="3">
        <f t="shared" si="229"/>
        <v>78989</v>
      </c>
      <c r="B4929" t="str">
        <f ca="1">TEXT(DATE(YEAR(Invoer!$A$5),1,1)+INT((ROWS(B$2:B4929)-1)/24),"""18""jjmmdd")</f>
        <v>18980725</v>
      </c>
      <c r="C4929" s="11" t="str">
        <f>INDEX(Data,2,2+MOD(ROWS(C$2:C4929)-1,24))</f>
        <v>08.00</v>
      </c>
      <c r="D4929" s="8" t="str">
        <f t="shared" ca="1" si="230"/>
        <v>—</v>
      </c>
      <c r="E4929" s="16">
        <f t="shared" ca="1" si="231"/>
        <v>7</v>
      </c>
    </row>
    <row r="4930" spans="1:5" x14ac:dyDescent="0.25">
      <c r="A4930" s="3">
        <f t="shared" ref="A4930:A4993" si="232">INDEX(Stations,2,1)</f>
        <v>78989</v>
      </c>
      <c r="B4930" t="str">
        <f ca="1">TEXT(DATE(YEAR(Invoer!$A$5),1,1)+INT((ROWS(B$2:B4930)-1)/24),"""18""jjmmdd")</f>
        <v>18980725</v>
      </c>
      <c r="C4930" s="11" t="str">
        <f>INDEX(Data,2,2+MOD(ROWS(C$2:C4930)-1,24))</f>
        <v>09.00</v>
      </c>
      <c r="D4930" s="8" t="str">
        <f t="shared" ref="D4930:D4993" ca="1" si="233">IF(OR(ISBLANK(VLOOKUP(DATEVALUE("37"&amp;MID($B4930,3,2)&amp;"-"&amp;MID($B4930,5,2)&amp;"-"&amp;RIGHT($B4930,2)),Data,MATCH(LEFT(VLOOKUP(D$1,Parameters,2,FALSE()),4)&amp;"*",OFFSET(Data,0,0,1),0)+MATCH($C4930,OFFSET(Data,1,0,1),0)-2,FALSE())),ISTEXT(VLOOKUP(DATEVALUE("37"&amp;MID($B4930,3,2)&amp;"-"&amp;MID($B4930,5,2)&amp;"-"&amp;RIGHT($B4930,2)),Data,MATCH(LEFT(VLOOKUP(D$1,Parameters,2,FALSE()),4)&amp;"*",OFFSET(Data,0,0,1),0)+MATCH($C4930,OFFSET(Data,1,0,1),0)-2,FALSE()))),"—",VLOOKUP(DATEVALUE("37"&amp;MID($B4930,3,2)&amp;"-"&amp;MID($B4930,5,2)&amp;"-"&amp;RIGHT($B4930,2)),Data,MATCH(LEFT(VLOOKUP(D$1,Parameters,2,FALSE()),4)&amp;"*",OFFSET(Data,0,0,1),0)+MATCH($C4930,OFFSET(Data,1,0,1),0)-2,FALSE()))</f>
        <v>—</v>
      </c>
      <c r="E4930" s="16">
        <f t="shared" ca="1" si="231"/>
        <v>7</v>
      </c>
    </row>
    <row r="4931" spans="1:5" x14ac:dyDescent="0.25">
      <c r="A4931" s="3">
        <f t="shared" si="232"/>
        <v>78989</v>
      </c>
      <c r="B4931" t="str">
        <f ca="1">TEXT(DATE(YEAR(Invoer!$A$5),1,1)+INT((ROWS(B$2:B4931)-1)/24),"""18""jjmmdd")</f>
        <v>18980725</v>
      </c>
      <c r="C4931" s="11" t="str">
        <f>INDEX(Data,2,2+MOD(ROWS(C$2:C4931)-1,24))</f>
        <v>10.00</v>
      </c>
      <c r="D4931" s="8" t="str">
        <f t="shared" ca="1" si="233"/>
        <v>—</v>
      </c>
      <c r="E4931" s="16">
        <f t="shared" ref="E4931:E4994" ca="1" si="234">IF(OR(ISBLANK(VLOOKUP(DATEVALUE("37"&amp;MID($B4931,3,2)&amp;"-"&amp;MID($B4931,5,2)&amp;"-"&amp;RIGHT($B4931,2)),Data,MATCH(LEFT(VLOOKUP(D$1,Parameters,2,FALSE()),4)&amp;"*",OFFSET(Data,0,0,1),0)+MATCH($C4931,OFFSET(Data,1,0,1),0)-2,FALSE())),ISTEXT(VLOOKUP(DATEVALUE("37"&amp;MID($B4931,3,2)&amp;"-"&amp;MID($B4931,5,2)&amp;"-"&amp;RIGHT($B4931,2)),Data,MATCH(LEFT(VLOOKUP(D$1,Parameters,2,FALSE()),4)&amp;"*",OFFSET(Data,0,0,1),0)+MATCH($C4931,OFFSET(Data,1,0,1),0)-2,FALSE()))),Lacking,IF(ISNA(MATCH(DATEVALUE("37"&amp;MID($B4931,3,2)&amp;"-"&amp;MID($B4931,5,2)&amp;"-"&amp;RIGHT($B4931,2)),OFFSET(Catalogus,0,0,,1),0)),Ok,VLOOKUP(DATEVALUE("37"&amp;MID($B4931,3,2)&amp;"-"&amp;MID($B4931,5,2)&amp;"-"&amp;RIGHT($B4931,2)),Catalogus,MATCH(LEFT(VLOOKUP(MID(E$1,2,LEN(E$1)-1),Parameters,2,FALSE()),4)&amp;"*",OFFSET(Catalogus,0,0,1),0)+MATCH($C4931,OFFSET(Catalogus,1,0,1),0)-2,FALSE())))</f>
        <v>7</v>
      </c>
    </row>
    <row r="4932" spans="1:5" x14ac:dyDescent="0.25">
      <c r="A4932" s="3">
        <f t="shared" si="232"/>
        <v>78989</v>
      </c>
      <c r="B4932" t="str">
        <f ca="1">TEXT(DATE(YEAR(Invoer!$A$5),1,1)+INT((ROWS(B$2:B4932)-1)/24),"""18""jjmmdd")</f>
        <v>18980725</v>
      </c>
      <c r="C4932" s="11" t="str">
        <f>INDEX(Data,2,2+MOD(ROWS(C$2:C4932)-1,24))</f>
        <v>11.00</v>
      </c>
      <c r="D4932" s="8" t="str">
        <f t="shared" ca="1" si="233"/>
        <v>—</v>
      </c>
      <c r="E4932" s="16">
        <f t="shared" ca="1" si="234"/>
        <v>7</v>
      </c>
    </row>
    <row r="4933" spans="1:5" x14ac:dyDescent="0.25">
      <c r="A4933" s="3">
        <f t="shared" si="232"/>
        <v>78989</v>
      </c>
      <c r="B4933" t="str">
        <f ca="1">TEXT(DATE(YEAR(Invoer!$A$5),1,1)+INT((ROWS(B$2:B4933)-1)/24),"""18""jjmmdd")</f>
        <v>18980725</v>
      </c>
      <c r="C4933" s="11" t="str">
        <f>INDEX(Data,2,2+MOD(ROWS(C$2:C4933)-1,24))</f>
        <v>12.00</v>
      </c>
      <c r="D4933" s="8" t="str">
        <f t="shared" ca="1" si="233"/>
        <v>—</v>
      </c>
      <c r="E4933" s="16">
        <f t="shared" ca="1" si="234"/>
        <v>7</v>
      </c>
    </row>
    <row r="4934" spans="1:5" x14ac:dyDescent="0.25">
      <c r="A4934" s="3">
        <f t="shared" si="232"/>
        <v>78989</v>
      </c>
      <c r="B4934" t="str">
        <f ca="1">TEXT(DATE(YEAR(Invoer!$A$5),1,1)+INT((ROWS(B$2:B4934)-1)/24),"""18""jjmmdd")</f>
        <v>18980725</v>
      </c>
      <c r="C4934" s="11" t="str">
        <f>INDEX(Data,2,2+MOD(ROWS(C$2:C4934)-1,24))</f>
        <v>13.00</v>
      </c>
      <c r="D4934" s="8" t="str">
        <f t="shared" ca="1" si="233"/>
        <v>—</v>
      </c>
      <c r="E4934" s="16">
        <f t="shared" ca="1" si="234"/>
        <v>7</v>
      </c>
    </row>
    <row r="4935" spans="1:5" x14ac:dyDescent="0.25">
      <c r="A4935" s="3">
        <f t="shared" si="232"/>
        <v>78989</v>
      </c>
      <c r="B4935" t="str">
        <f ca="1">TEXT(DATE(YEAR(Invoer!$A$5),1,1)+INT((ROWS(B$2:B4935)-1)/24),"""18""jjmmdd")</f>
        <v>18980725</v>
      </c>
      <c r="C4935" s="11" t="str">
        <f>INDEX(Data,2,2+MOD(ROWS(C$2:C4935)-1,24))</f>
        <v>14.00</v>
      </c>
      <c r="D4935" s="8" t="str">
        <f t="shared" ca="1" si="233"/>
        <v>—</v>
      </c>
      <c r="E4935" s="16">
        <f t="shared" ca="1" si="234"/>
        <v>7</v>
      </c>
    </row>
    <row r="4936" spans="1:5" x14ac:dyDescent="0.25">
      <c r="A4936" s="3">
        <f t="shared" si="232"/>
        <v>78989</v>
      </c>
      <c r="B4936" t="str">
        <f ca="1">TEXT(DATE(YEAR(Invoer!$A$5),1,1)+INT((ROWS(B$2:B4936)-1)/24),"""18""jjmmdd")</f>
        <v>18980725</v>
      </c>
      <c r="C4936" s="11" t="str">
        <f>INDEX(Data,2,2+MOD(ROWS(C$2:C4936)-1,24))</f>
        <v>15.00</v>
      </c>
      <c r="D4936" s="8" t="str">
        <f t="shared" ca="1" si="233"/>
        <v>—</v>
      </c>
      <c r="E4936" s="16">
        <f t="shared" ca="1" si="234"/>
        <v>7</v>
      </c>
    </row>
    <row r="4937" spans="1:5" x14ac:dyDescent="0.25">
      <c r="A4937" s="3">
        <f t="shared" si="232"/>
        <v>78989</v>
      </c>
      <c r="B4937" t="str">
        <f ca="1">TEXT(DATE(YEAR(Invoer!$A$5),1,1)+INT((ROWS(B$2:B4937)-1)/24),"""18""jjmmdd")</f>
        <v>18980725</v>
      </c>
      <c r="C4937" s="11" t="str">
        <f>INDEX(Data,2,2+MOD(ROWS(C$2:C4937)-1,24))</f>
        <v>16.00</v>
      </c>
      <c r="D4937" s="8" t="str">
        <f t="shared" ca="1" si="233"/>
        <v>—</v>
      </c>
      <c r="E4937" s="16">
        <f t="shared" ca="1" si="234"/>
        <v>7</v>
      </c>
    </row>
    <row r="4938" spans="1:5" x14ac:dyDescent="0.25">
      <c r="A4938" s="3">
        <f t="shared" si="232"/>
        <v>78989</v>
      </c>
      <c r="B4938" t="str">
        <f ca="1">TEXT(DATE(YEAR(Invoer!$A$5),1,1)+INT((ROWS(B$2:B4938)-1)/24),"""18""jjmmdd")</f>
        <v>18980725</v>
      </c>
      <c r="C4938" s="11" t="str">
        <f>INDEX(Data,2,2+MOD(ROWS(C$2:C4938)-1,24))</f>
        <v>17.00</v>
      </c>
      <c r="D4938" s="8" t="str">
        <f t="shared" ca="1" si="233"/>
        <v>—</v>
      </c>
      <c r="E4938" s="16">
        <f t="shared" ca="1" si="234"/>
        <v>7</v>
      </c>
    </row>
    <row r="4939" spans="1:5" x14ac:dyDescent="0.25">
      <c r="A4939" s="3">
        <f t="shared" si="232"/>
        <v>78989</v>
      </c>
      <c r="B4939" t="str">
        <f ca="1">TEXT(DATE(YEAR(Invoer!$A$5),1,1)+INT((ROWS(B$2:B4939)-1)/24),"""18""jjmmdd")</f>
        <v>18980725</v>
      </c>
      <c r="C4939" s="11" t="str">
        <f>INDEX(Data,2,2+MOD(ROWS(C$2:C4939)-1,24))</f>
        <v>18.00</v>
      </c>
      <c r="D4939" s="8" t="str">
        <f t="shared" ca="1" si="233"/>
        <v>—</v>
      </c>
      <c r="E4939" s="16">
        <f t="shared" ca="1" si="234"/>
        <v>7</v>
      </c>
    </row>
    <row r="4940" spans="1:5" x14ac:dyDescent="0.25">
      <c r="A4940" s="3">
        <f t="shared" si="232"/>
        <v>78989</v>
      </c>
      <c r="B4940" t="str">
        <f ca="1">TEXT(DATE(YEAR(Invoer!$A$5),1,1)+INT((ROWS(B$2:B4940)-1)/24),"""18""jjmmdd")</f>
        <v>18980725</v>
      </c>
      <c r="C4940" s="11" t="str">
        <f>INDEX(Data,2,2+MOD(ROWS(C$2:C4940)-1,24))</f>
        <v>19.00</v>
      </c>
      <c r="D4940" s="8" t="str">
        <f t="shared" ca="1" si="233"/>
        <v>—</v>
      </c>
      <c r="E4940" s="16">
        <f t="shared" ca="1" si="234"/>
        <v>7</v>
      </c>
    </row>
    <row r="4941" spans="1:5" x14ac:dyDescent="0.25">
      <c r="A4941" s="3">
        <f t="shared" si="232"/>
        <v>78989</v>
      </c>
      <c r="B4941" t="str">
        <f ca="1">TEXT(DATE(YEAR(Invoer!$A$5),1,1)+INT((ROWS(B$2:B4941)-1)/24),"""18""jjmmdd")</f>
        <v>18980725</v>
      </c>
      <c r="C4941" s="11" t="str">
        <f>INDEX(Data,2,2+MOD(ROWS(C$2:C4941)-1,24))</f>
        <v>20.00</v>
      </c>
      <c r="D4941" s="8" t="str">
        <f t="shared" ca="1" si="233"/>
        <v>—</v>
      </c>
      <c r="E4941" s="16">
        <f t="shared" ca="1" si="234"/>
        <v>7</v>
      </c>
    </row>
    <row r="4942" spans="1:5" x14ac:dyDescent="0.25">
      <c r="A4942" s="3">
        <f t="shared" si="232"/>
        <v>78989</v>
      </c>
      <c r="B4942" t="str">
        <f ca="1">TEXT(DATE(YEAR(Invoer!$A$5),1,1)+INT((ROWS(B$2:B4942)-1)/24),"""18""jjmmdd")</f>
        <v>18980725</v>
      </c>
      <c r="C4942" s="11" t="str">
        <f>INDEX(Data,2,2+MOD(ROWS(C$2:C4942)-1,24))</f>
        <v>21.00</v>
      </c>
      <c r="D4942" s="8" t="str">
        <f t="shared" ca="1" si="233"/>
        <v>—</v>
      </c>
      <c r="E4942" s="16">
        <f t="shared" ca="1" si="234"/>
        <v>7</v>
      </c>
    </row>
    <row r="4943" spans="1:5" x14ac:dyDescent="0.25">
      <c r="A4943" s="3">
        <f t="shared" si="232"/>
        <v>78989</v>
      </c>
      <c r="B4943" t="str">
        <f ca="1">TEXT(DATE(YEAR(Invoer!$A$5),1,1)+INT((ROWS(B$2:B4943)-1)/24),"""18""jjmmdd")</f>
        <v>18980725</v>
      </c>
      <c r="C4943" s="11" t="str">
        <f>INDEX(Data,2,2+MOD(ROWS(C$2:C4943)-1,24))</f>
        <v>22.00</v>
      </c>
      <c r="D4943" s="8" t="str">
        <f t="shared" ca="1" si="233"/>
        <v>—</v>
      </c>
      <c r="E4943" s="16">
        <f t="shared" ca="1" si="234"/>
        <v>7</v>
      </c>
    </row>
    <row r="4944" spans="1:5" x14ac:dyDescent="0.25">
      <c r="A4944" s="3">
        <f t="shared" si="232"/>
        <v>78989</v>
      </c>
      <c r="B4944" t="str">
        <f ca="1">TEXT(DATE(YEAR(Invoer!$A$5),1,1)+INT((ROWS(B$2:B4944)-1)/24),"""18""jjmmdd")</f>
        <v>18980725</v>
      </c>
      <c r="C4944" s="11" t="str">
        <f>INDEX(Data,2,2+MOD(ROWS(C$2:C4944)-1,24))</f>
        <v>23.00</v>
      </c>
      <c r="D4944" s="8" t="str">
        <f t="shared" ca="1" si="233"/>
        <v>—</v>
      </c>
      <c r="E4944" s="16">
        <f t="shared" ca="1" si="234"/>
        <v>7</v>
      </c>
    </row>
    <row r="4945" spans="1:5" x14ac:dyDescent="0.25">
      <c r="A4945" s="3">
        <f t="shared" si="232"/>
        <v>78989</v>
      </c>
      <c r="B4945" t="str">
        <f ca="1">TEXT(DATE(YEAR(Invoer!$A$5),1,1)+INT((ROWS(B$2:B4945)-1)/24),"""18""jjmmdd")</f>
        <v>18980725</v>
      </c>
      <c r="C4945" s="11" t="str">
        <f>INDEX(Data,2,2+MOD(ROWS(C$2:C4945)-1,24))</f>
        <v>24.00</v>
      </c>
      <c r="D4945" s="8" t="str">
        <f t="shared" ca="1" si="233"/>
        <v>—</v>
      </c>
      <c r="E4945" s="16">
        <f t="shared" ca="1" si="234"/>
        <v>7</v>
      </c>
    </row>
    <row r="4946" spans="1:5" x14ac:dyDescent="0.25">
      <c r="A4946" s="3">
        <f t="shared" si="232"/>
        <v>78989</v>
      </c>
      <c r="B4946" t="str">
        <f ca="1">TEXT(DATE(YEAR(Invoer!$A$5),1,1)+INT((ROWS(B$2:B4946)-1)/24),"""18""jjmmdd")</f>
        <v>18980726</v>
      </c>
      <c r="C4946" s="11" t="str">
        <f>INDEX(Data,2,2+MOD(ROWS(C$2:C4946)-1,24))</f>
        <v>01.00</v>
      </c>
      <c r="D4946" s="8" t="str">
        <f t="shared" ca="1" si="233"/>
        <v>—</v>
      </c>
      <c r="E4946" s="16">
        <f t="shared" ca="1" si="234"/>
        <v>7</v>
      </c>
    </row>
    <row r="4947" spans="1:5" x14ac:dyDescent="0.25">
      <c r="A4947" s="3">
        <f t="shared" si="232"/>
        <v>78989</v>
      </c>
      <c r="B4947" t="str">
        <f ca="1">TEXT(DATE(YEAR(Invoer!$A$5),1,1)+INT((ROWS(B$2:B4947)-1)/24),"""18""jjmmdd")</f>
        <v>18980726</v>
      </c>
      <c r="C4947" s="11" t="str">
        <f>INDEX(Data,2,2+MOD(ROWS(C$2:C4947)-1,24))</f>
        <v>02.00</v>
      </c>
      <c r="D4947" s="8" t="str">
        <f t="shared" ca="1" si="233"/>
        <v>—</v>
      </c>
      <c r="E4947" s="16">
        <f t="shared" ca="1" si="234"/>
        <v>7</v>
      </c>
    </row>
    <row r="4948" spans="1:5" x14ac:dyDescent="0.25">
      <c r="A4948" s="3">
        <f t="shared" si="232"/>
        <v>78989</v>
      </c>
      <c r="B4948" t="str">
        <f ca="1">TEXT(DATE(YEAR(Invoer!$A$5),1,1)+INT((ROWS(B$2:B4948)-1)/24),"""18""jjmmdd")</f>
        <v>18980726</v>
      </c>
      <c r="C4948" s="11" t="str">
        <f>INDEX(Data,2,2+MOD(ROWS(C$2:C4948)-1,24))</f>
        <v>03.00</v>
      </c>
      <c r="D4948" s="8" t="str">
        <f t="shared" ca="1" si="233"/>
        <v>—</v>
      </c>
      <c r="E4948" s="16">
        <f t="shared" ca="1" si="234"/>
        <v>7</v>
      </c>
    </row>
    <row r="4949" spans="1:5" x14ac:dyDescent="0.25">
      <c r="A4949" s="3">
        <f t="shared" si="232"/>
        <v>78989</v>
      </c>
      <c r="B4949" t="str">
        <f ca="1">TEXT(DATE(YEAR(Invoer!$A$5),1,1)+INT((ROWS(B$2:B4949)-1)/24),"""18""jjmmdd")</f>
        <v>18980726</v>
      </c>
      <c r="C4949" s="11" t="str">
        <f>INDEX(Data,2,2+MOD(ROWS(C$2:C4949)-1,24))</f>
        <v>04.00</v>
      </c>
      <c r="D4949" s="8" t="str">
        <f t="shared" ca="1" si="233"/>
        <v>—</v>
      </c>
      <c r="E4949" s="16">
        <f t="shared" ca="1" si="234"/>
        <v>7</v>
      </c>
    </row>
    <row r="4950" spans="1:5" x14ac:dyDescent="0.25">
      <c r="A4950" s="3">
        <f t="shared" si="232"/>
        <v>78989</v>
      </c>
      <c r="B4950" t="str">
        <f ca="1">TEXT(DATE(YEAR(Invoer!$A$5),1,1)+INT((ROWS(B$2:B4950)-1)/24),"""18""jjmmdd")</f>
        <v>18980726</v>
      </c>
      <c r="C4950" s="11" t="str">
        <f>INDEX(Data,2,2+MOD(ROWS(C$2:C4950)-1,24))</f>
        <v>05.00</v>
      </c>
      <c r="D4950" s="8" t="str">
        <f t="shared" ca="1" si="233"/>
        <v>—</v>
      </c>
      <c r="E4950" s="16">
        <f t="shared" ca="1" si="234"/>
        <v>7</v>
      </c>
    </row>
    <row r="4951" spans="1:5" x14ac:dyDescent="0.25">
      <c r="A4951" s="3">
        <f t="shared" si="232"/>
        <v>78989</v>
      </c>
      <c r="B4951" t="str">
        <f ca="1">TEXT(DATE(YEAR(Invoer!$A$5),1,1)+INT((ROWS(B$2:B4951)-1)/24),"""18""jjmmdd")</f>
        <v>18980726</v>
      </c>
      <c r="C4951" s="11" t="str">
        <f>INDEX(Data,2,2+MOD(ROWS(C$2:C4951)-1,24))</f>
        <v>06.00</v>
      </c>
      <c r="D4951" s="8" t="str">
        <f t="shared" ca="1" si="233"/>
        <v>—</v>
      </c>
      <c r="E4951" s="16">
        <f t="shared" ca="1" si="234"/>
        <v>7</v>
      </c>
    </row>
    <row r="4952" spans="1:5" x14ac:dyDescent="0.25">
      <c r="A4952" s="3">
        <f t="shared" si="232"/>
        <v>78989</v>
      </c>
      <c r="B4952" t="str">
        <f ca="1">TEXT(DATE(YEAR(Invoer!$A$5),1,1)+INT((ROWS(B$2:B4952)-1)/24),"""18""jjmmdd")</f>
        <v>18980726</v>
      </c>
      <c r="C4952" s="11" t="str">
        <f>INDEX(Data,2,2+MOD(ROWS(C$2:C4952)-1,24))</f>
        <v>07.00</v>
      </c>
      <c r="D4952" s="8" t="str">
        <f t="shared" ca="1" si="233"/>
        <v>—</v>
      </c>
      <c r="E4952" s="16">
        <f t="shared" ca="1" si="234"/>
        <v>7</v>
      </c>
    </row>
    <row r="4953" spans="1:5" x14ac:dyDescent="0.25">
      <c r="A4953" s="3">
        <f t="shared" si="232"/>
        <v>78989</v>
      </c>
      <c r="B4953" t="str">
        <f ca="1">TEXT(DATE(YEAR(Invoer!$A$5),1,1)+INT((ROWS(B$2:B4953)-1)/24),"""18""jjmmdd")</f>
        <v>18980726</v>
      </c>
      <c r="C4953" s="11" t="str">
        <f>INDEX(Data,2,2+MOD(ROWS(C$2:C4953)-1,24))</f>
        <v>08.00</v>
      </c>
      <c r="D4953" s="8" t="str">
        <f t="shared" ca="1" si="233"/>
        <v>—</v>
      </c>
      <c r="E4953" s="16">
        <f t="shared" ca="1" si="234"/>
        <v>7</v>
      </c>
    </row>
    <row r="4954" spans="1:5" x14ac:dyDescent="0.25">
      <c r="A4954" s="3">
        <f t="shared" si="232"/>
        <v>78989</v>
      </c>
      <c r="B4954" t="str">
        <f ca="1">TEXT(DATE(YEAR(Invoer!$A$5),1,1)+INT((ROWS(B$2:B4954)-1)/24),"""18""jjmmdd")</f>
        <v>18980726</v>
      </c>
      <c r="C4954" s="11" t="str">
        <f>INDEX(Data,2,2+MOD(ROWS(C$2:C4954)-1,24))</f>
        <v>09.00</v>
      </c>
      <c r="D4954" s="8" t="str">
        <f t="shared" ca="1" si="233"/>
        <v>—</v>
      </c>
      <c r="E4954" s="16">
        <f t="shared" ca="1" si="234"/>
        <v>7</v>
      </c>
    </row>
    <row r="4955" spans="1:5" x14ac:dyDescent="0.25">
      <c r="A4955" s="3">
        <f t="shared" si="232"/>
        <v>78989</v>
      </c>
      <c r="B4955" t="str">
        <f ca="1">TEXT(DATE(YEAR(Invoer!$A$5),1,1)+INT((ROWS(B$2:B4955)-1)/24),"""18""jjmmdd")</f>
        <v>18980726</v>
      </c>
      <c r="C4955" s="11" t="str">
        <f>INDEX(Data,2,2+MOD(ROWS(C$2:C4955)-1,24))</f>
        <v>10.00</v>
      </c>
      <c r="D4955" s="8" t="str">
        <f t="shared" ca="1" si="233"/>
        <v>—</v>
      </c>
      <c r="E4955" s="16">
        <f t="shared" ca="1" si="234"/>
        <v>7</v>
      </c>
    </row>
    <row r="4956" spans="1:5" x14ac:dyDescent="0.25">
      <c r="A4956" s="3">
        <f t="shared" si="232"/>
        <v>78989</v>
      </c>
      <c r="B4956" t="str">
        <f ca="1">TEXT(DATE(YEAR(Invoer!$A$5),1,1)+INT((ROWS(B$2:B4956)-1)/24),"""18""jjmmdd")</f>
        <v>18980726</v>
      </c>
      <c r="C4956" s="11" t="str">
        <f>INDEX(Data,2,2+MOD(ROWS(C$2:C4956)-1,24))</f>
        <v>11.00</v>
      </c>
      <c r="D4956" s="8" t="str">
        <f t="shared" ca="1" si="233"/>
        <v>—</v>
      </c>
      <c r="E4956" s="16">
        <f t="shared" ca="1" si="234"/>
        <v>7</v>
      </c>
    </row>
    <row r="4957" spans="1:5" x14ac:dyDescent="0.25">
      <c r="A4957" s="3">
        <f t="shared" si="232"/>
        <v>78989</v>
      </c>
      <c r="B4957" t="str">
        <f ca="1">TEXT(DATE(YEAR(Invoer!$A$5),1,1)+INT((ROWS(B$2:B4957)-1)/24),"""18""jjmmdd")</f>
        <v>18980726</v>
      </c>
      <c r="C4957" s="11" t="str">
        <f>INDEX(Data,2,2+MOD(ROWS(C$2:C4957)-1,24))</f>
        <v>12.00</v>
      </c>
      <c r="D4957" s="8" t="str">
        <f t="shared" ca="1" si="233"/>
        <v>—</v>
      </c>
      <c r="E4957" s="16">
        <f t="shared" ca="1" si="234"/>
        <v>7</v>
      </c>
    </row>
    <row r="4958" spans="1:5" x14ac:dyDescent="0.25">
      <c r="A4958" s="3">
        <f t="shared" si="232"/>
        <v>78989</v>
      </c>
      <c r="B4958" t="str">
        <f ca="1">TEXT(DATE(YEAR(Invoer!$A$5),1,1)+INT((ROWS(B$2:B4958)-1)/24),"""18""jjmmdd")</f>
        <v>18980726</v>
      </c>
      <c r="C4958" s="11" t="str">
        <f>INDEX(Data,2,2+MOD(ROWS(C$2:C4958)-1,24))</f>
        <v>13.00</v>
      </c>
      <c r="D4958" s="8" t="str">
        <f t="shared" ca="1" si="233"/>
        <v>—</v>
      </c>
      <c r="E4958" s="16">
        <f t="shared" ca="1" si="234"/>
        <v>7</v>
      </c>
    </row>
    <row r="4959" spans="1:5" x14ac:dyDescent="0.25">
      <c r="A4959" s="3">
        <f t="shared" si="232"/>
        <v>78989</v>
      </c>
      <c r="B4959" t="str">
        <f ca="1">TEXT(DATE(YEAR(Invoer!$A$5),1,1)+INT((ROWS(B$2:B4959)-1)/24),"""18""jjmmdd")</f>
        <v>18980726</v>
      </c>
      <c r="C4959" s="11" t="str">
        <f>INDEX(Data,2,2+MOD(ROWS(C$2:C4959)-1,24))</f>
        <v>14.00</v>
      </c>
      <c r="D4959" s="8" t="str">
        <f t="shared" ca="1" si="233"/>
        <v>—</v>
      </c>
      <c r="E4959" s="16">
        <f t="shared" ca="1" si="234"/>
        <v>7</v>
      </c>
    </row>
    <row r="4960" spans="1:5" x14ac:dyDescent="0.25">
      <c r="A4960" s="3">
        <f t="shared" si="232"/>
        <v>78989</v>
      </c>
      <c r="B4960" t="str">
        <f ca="1">TEXT(DATE(YEAR(Invoer!$A$5),1,1)+INT((ROWS(B$2:B4960)-1)/24),"""18""jjmmdd")</f>
        <v>18980726</v>
      </c>
      <c r="C4960" s="11" t="str">
        <f>INDEX(Data,2,2+MOD(ROWS(C$2:C4960)-1,24))</f>
        <v>15.00</v>
      </c>
      <c r="D4960" s="8" t="str">
        <f t="shared" ca="1" si="233"/>
        <v>—</v>
      </c>
      <c r="E4960" s="16">
        <f t="shared" ca="1" si="234"/>
        <v>7</v>
      </c>
    </row>
    <row r="4961" spans="1:5" x14ac:dyDescent="0.25">
      <c r="A4961" s="3">
        <f t="shared" si="232"/>
        <v>78989</v>
      </c>
      <c r="B4961" t="str">
        <f ca="1">TEXT(DATE(YEAR(Invoer!$A$5),1,1)+INT((ROWS(B$2:B4961)-1)/24),"""18""jjmmdd")</f>
        <v>18980726</v>
      </c>
      <c r="C4961" s="11" t="str">
        <f>INDEX(Data,2,2+MOD(ROWS(C$2:C4961)-1,24))</f>
        <v>16.00</v>
      </c>
      <c r="D4961" s="8" t="str">
        <f t="shared" ca="1" si="233"/>
        <v>—</v>
      </c>
      <c r="E4961" s="16">
        <f t="shared" ca="1" si="234"/>
        <v>7</v>
      </c>
    </row>
    <row r="4962" spans="1:5" x14ac:dyDescent="0.25">
      <c r="A4962" s="3">
        <f t="shared" si="232"/>
        <v>78989</v>
      </c>
      <c r="B4962" t="str">
        <f ca="1">TEXT(DATE(YEAR(Invoer!$A$5),1,1)+INT((ROWS(B$2:B4962)-1)/24),"""18""jjmmdd")</f>
        <v>18980726</v>
      </c>
      <c r="C4962" s="11" t="str">
        <f>INDEX(Data,2,2+MOD(ROWS(C$2:C4962)-1,24))</f>
        <v>17.00</v>
      </c>
      <c r="D4962" s="8" t="str">
        <f t="shared" ca="1" si="233"/>
        <v>—</v>
      </c>
      <c r="E4962" s="16">
        <f t="shared" ca="1" si="234"/>
        <v>7</v>
      </c>
    </row>
    <row r="4963" spans="1:5" x14ac:dyDescent="0.25">
      <c r="A4963" s="3">
        <f t="shared" si="232"/>
        <v>78989</v>
      </c>
      <c r="B4963" t="str">
        <f ca="1">TEXT(DATE(YEAR(Invoer!$A$5),1,1)+INT((ROWS(B$2:B4963)-1)/24),"""18""jjmmdd")</f>
        <v>18980726</v>
      </c>
      <c r="C4963" s="11" t="str">
        <f>INDEX(Data,2,2+MOD(ROWS(C$2:C4963)-1,24))</f>
        <v>18.00</v>
      </c>
      <c r="D4963" s="8" t="str">
        <f t="shared" ca="1" si="233"/>
        <v>—</v>
      </c>
      <c r="E4963" s="16">
        <f t="shared" ca="1" si="234"/>
        <v>7</v>
      </c>
    </row>
    <row r="4964" spans="1:5" x14ac:dyDescent="0.25">
      <c r="A4964" s="3">
        <f t="shared" si="232"/>
        <v>78989</v>
      </c>
      <c r="B4964" t="str">
        <f ca="1">TEXT(DATE(YEAR(Invoer!$A$5),1,1)+INT((ROWS(B$2:B4964)-1)/24),"""18""jjmmdd")</f>
        <v>18980726</v>
      </c>
      <c r="C4964" s="11" t="str">
        <f>INDEX(Data,2,2+MOD(ROWS(C$2:C4964)-1,24))</f>
        <v>19.00</v>
      </c>
      <c r="D4964" s="8" t="str">
        <f t="shared" ca="1" si="233"/>
        <v>—</v>
      </c>
      <c r="E4964" s="16">
        <f t="shared" ca="1" si="234"/>
        <v>7</v>
      </c>
    </row>
    <row r="4965" spans="1:5" x14ac:dyDescent="0.25">
      <c r="A4965" s="3">
        <f t="shared" si="232"/>
        <v>78989</v>
      </c>
      <c r="B4965" t="str">
        <f ca="1">TEXT(DATE(YEAR(Invoer!$A$5),1,1)+INT((ROWS(B$2:B4965)-1)/24),"""18""jjmmdd")</f>
        <v>18980726</v>
      </c>
      <c r="C4965" s="11" t="str">
        <f>INDEX(Data,2,2+MOD(ROWS(C$2:C4965)-1,24))</f>
        <v>20.00</v>
      </c>
      <c r="D4965" s="8" t="str">
        <f t="shared" ca="1" si="233"/>
        <v>—</v>
      </c>
      <c r="E4965" s="16">
        <f t="shared" ca="1" si="234"/>
        <v>7</v>
      </c>
    </row>
    <row r="4966" spans="1:5" x14ac:dyDescent="0.25">
      <c r="A4966" s="3">
        <f t="shared" si="232"/>
        <v>78989</v>
      </c>
      <c r="B4966" t="str">
        <f ca="1">TEXT(DATE(YEAR(Invoer!$A$5),1,1)+INT((ROWS(B$2:B4966)-1)/24),"""18""jjmmdd")</f>
        <v>18980726</v>
      </c>
      <c r="C4966" s="11" t="str">
        <f>INDEX(Data,2,2+MOD(ROWS(C$2:C4966)-1,24))</f>
        <v>21.00</v>
      </c>
      <c r="D4966" s="8" t="str">
        <f t="shared" ca="1" si="233"/>
        <v>—</v>
      </c>
      <c r="E4966" s="16">
        <f t="shared" ca="1" si="234"/>
        <v>7</v>
      </c>
    </row>
    <row r="4967" spans="1:5" x14ac:dyDescent="0.25">
      <c r="A4967" s="3">
        <f t="shared" si="232"/>
        <v>78989</v>
      </c>
      <c r="B4967" t="str">
        <f ca="1">TEXT(DATE(YEAR(Invoer!$A$5),1,1)+INT((ROWS(B$2:B4967)-1)/24),"""18""jjmmdd")</f>
        <v>18980726</v>
      </c>
      <c r="C4967" s="11" t="str">
        <f>INDEX(Data,2,2+MOD(ROWS(C$2:C4967)-1,24))</f>
        <v>22.00</v>
      </c>
      <c r="D4967" s="8" t="str">
        <f t="shared" ca="1" si="233"/>
        <v>—</v>
      </c>
      <c r="E4967" s="16">
        <f t="shared" ca="1" si="234"/>
        <v>7</v>
      </c>
    </row>
    <row r="4968" spans="1:5" x14ac:dyDescent="0.25">
      <c r="A4968" s="3">
        <f t="shared" si="232"/>
        <v>78989</v>
      </c>
      <c r="B4968" t="str">
        <f ca="1">TEXT(DATE(YEAR(Invoer!$A$5),1,1)+INT((ROWS(B$2:B4968)-1)/24),"""18""jjmmdd")</f>
        <v>18980726</v>
      </c>
      <c r="C4968" s="11" t="str">
        <f>INDEX(Data,2,2+MOD(ROWS(C$2:C4968)-1,24))</f>
        <v>23.00</v>
      </c>
      <c r="D4968" s="8" t="str">
        <f t="shared" ca="1" si="233"/>
        <v>—</v>
      </c>
      <c r="E4968" s="16">
        <f t="shared" ca="1" si="234"/>
        <v>7</v>
      </c>
    </row>
    <row r="4969" spans="1:5" x14ac:dyDescent="0.25">
      <c r="A4969" s="3">
        <f t="shared" si="232"/>
        <v>78989</v>
      </c>
      <c r="B4969" t="str">
        <f ca="1">TEXT(DATE(YEAR(Invoer!$A$5),1,1)+INT((ROWS(B$2:B4969)-1)/24),"""18""jjmmdd")</f>
        <v>18980726</v>
      </c>
      <c r="C4969" s="11" t="str">
        <f>INDEX(Data,2,2+MOD(ROWS(C$2:C4969)-1,24))</f>
        <v>24.00</v>
      </c>
      <c r="D4969" s="8" t="str">
        <f t="shared" ca="1" si="233"/>
        <v>—</v>
      </c>
      <c r="E4969" s="16">
        <f t="shared" ca="1" si="234"/>
        <v>7</v>
      </c>
    </row>
    <row r="4970" spans="1:5" x14ac:dyDescent="0.25">
      <c r="A4970" s="3">
        <f t="shared" si="232"/>
        <v>78989</v>
      </c>
      <c r="B4970" t="str">
        <f ca="1">TEXT(DATE(YEAR(Invoer!$A$5),1,1)+INT((ROWS(B$2:B4970)-1)/24),"""18""jjmmdd")</f>
        <v>18980727</v>
      </c>
      <c r="C4970" s="11" t="str">
        <f>INDEX(Data,2,2+MOD(ROWS(C$2:C4970)-1,24))</f>
        <v>01.00</v>
      </c>
      <c r="D4970" s="8" t="str">
        <f t="shared" ca="1" si="233"/>
        <v>—</v>
      </c>
      <c r="E4970" s="16">
        <f t="shared" ca="1" si="234"/>
        <v>7</v>
      </c>
    </row>
    <row r="4971" spans="1:5" x14ac:dyDescent="0.25">
      <c r="A4971" s="3">
        <f t="shared" si="232"/>
        <v>78989</v>
      </c>
      <c r="B4971" t="str">
        <f ca="1">TEXT(DATE(YEAR(Invoer!$A$5),1,1)+INT((ROWS(B$2:B4971)-1)/24),"""18""jjmmdd")</f>
        <v>18980727</v>
      </c>
      <c r="C4971" s="11" t="str">
        <f>INDEX(Data,2,2+MOD(ROWS(C$2:C4971)-1,24))</f>
        <v>02.00</v>
      </c>
      <c r="D4971" s="8" t="str">
        <f t="shared" ca="1" si="233"/>
        <v>—</v>
      </c>
      <c r="E4971" s="16">
        <f t="shared" ca="1" si="234"/>
        <v>7</v>
      </c>
    </row>
    <row r="4972" spans="1:5" x14ac:dyDescent="0.25">
      <c r="A4972" s="3">
        <f t="shared" si="232"/>
        <v>78989</v>
      </c>
      <c r="B4972" t="str">
        <f ca="1">TEXT(DATE(YEAR(Invoer!$A$5),1,1)+INT((ROWS(B$2:B4972)-1)/24),"""18""jjmmdd")</f>
        <v>18980727</v>
      </c>
      <c r="C4972" s="11" t="str">
        <f>INDEX(Data,2,2+MOD(ROWS(C$2:C4972)-1,24))</f>
        <v>03.00</v>
      </c>
      <c r="D4972" s="8" t="str">
        <f t="shared" ca="1" si="233"/>
        <v>—</v>
      </c>
      <c r="E4972" s="16">
        <f t="shared" ca="1" si="234"/>
        <v>7</v>
      </c>
    </row>
    <row r="4973" spans="1:5" x14ac:dyDescent="0.25">
      <c r="A4973" s="3">
        <f t="shared" si="232"/>
        <v>78989</v>
      </c>
      <c r="B4973" t="str">
        <f ca="1">TEXT(DATE(YEAR(Invoer!$A$5),1,1)+INT((ROWS(B$2:B4973)-1)/24),"""18""jjmmdd")</f>
        <v>18980727</v>
      </c>
      <c r="C4973" s="11" t="str">
        <f>INDEX(Data,2,2+MOD(ROWS(C$2:C4973)-1,24))</f>
        <v>04.00</v>
      </c>
      <c r="D4973" s="8" t="str">
        <f t="shared" ca="1" si="233"/>
        <v>—</v>
      </c>
      <c r="E4973" s="16">
        <f t="shared" ca="1" si="234"/>
        <v>7</v>
      </c>
    </row>
    <row r="4974" spans="1:5" x14ac:dyDescent="0.25">
      <c r="A4974" s="3">
        <f t="shared" si="232"/>
        <v>78989</v>
      </c>
      <c r="B4974" t="str">
        <f ca="1">TEXT(DATE(YEAR(Invoer!$A$5),1,1)+INT((ROWS(B$2:B4974)-1)/24),"""18""jjmmdd")</f>
        <v>18980727</v>
      </c>
      <c r="C4974" s="11" t="str">
        <f>INDEX(Data,2,2+MOD(ROWS(C$2:C4974)-1,24))</f>
        <v>05.00</v>
      </c>
      <c r="D4974" s="8" t="str">
        <f t="shared" ca="1" si="233"/>
        <v>—</v>
      </c>
      <c r="E4974" s="16">
        <f t="shared" ca="1" si="234"/>
        <v>7</v>
      </c>
    </row>
    <row r="4975" spans="1:5" x14ac:dyDescent="0.25">
      <c r="A4975" s="3">
        <f t="shared" si="232"/>
        <v>78989</v>
      </c>
      <c r="B4975" t="str">
        <f ca="1">TEXT(DATE(YEAR(Invoer!$A$5),1,1)+INT((ROWS(B$2:B4975)-1)/24),"""18""jjmmdd")</f>
        <v>18980727</v>
      </c>
      <c r="C4975" s="11" t="str">
        <f>INDEX(Data,2,2+MOD(ROWS(C$2:C4975)-1,24))</f>
        <v>06.00</v>
      </c>
      <c r="D4975" s="8" t="str">
        <f t="shared" ca="1" si="233"/>
        <v>—</v>
      </c>
      <c r="E4975" s="16">
        <f t="shared" ca="1" si="234"/>
        <v>7</v>
      </c>
    </row>
    <row r="4976" spans="1:5" x14ac:dyDescent="0.25">
      <c r="A4976" s="3">
        <f t="shared" si="232"/>
        <v>78989</v>
      </c>
      <c r="B4976" t="str">
        <f ca="1">TEXT(DATE(YEAR(Invoer!$A$5),1,1)+INT((ROWS(B$2:B4976)-1)/24),"""18""jjmmdd")</f>
        <v>18980727</v>
      </c>
      <c r="C4976" s="11" t="str">
        <f>INDEX(Data,2,2+MOD(ROWS(C$2:C4976)-1,24))</f>
        <v>07.00</v>
      </c>
      <c r="D4976" s="8" t="str">
        <f t="shared" ca="1" si="233"/>
        <v>—</v>
      </c>
      <c r="E4976" s="16">
        <f t="shared" ca="1" si="234"/>
        <v>7</v>
      </c>
    </row>
    <row r="4977" spans="1:5" x14ac:dyDescent="0.25">
      <c r="A4977" s="3">
        <f t="shared" si="232"/>
        <v>78989</v>
      </c>
      <c r="B4977" t="str">
        <f ca="1">TEXT(DATE(YEAR(Invoer!$A$5),1,1)+INT((ROWS(B$2:B4977)-1)/24),"""18""jjmmdd")</f>
        <v>18980727</v>
      </c>
      <c r="C4977" s="11" t="str">
        <f>INDEX(Data,2,2+MOD(ROWS(C$2:C4977)-1,24))</f>
        <v>08.00</v>
      </c>
      <c r="D4977" s="8" t="str">
        <f t="shared" ca="1" si="233"/>
        <v>—</v>
      </c>
      <c r="E4977" s="16">
        <f t="shared" ca="1" si="234"/>
        <v>7</v>
      </c>
    </row>
    <row r="4978" spans="1:5" x14ac:dyDescent="0.25">
      <c r="A4978" s="3">
        <f t="shared" si="232"/>
        <v>78989</v>
      </c>
      <c r="B4978" t="str">
        <f ca="1">TEXT(DATE(YEAR(Invoer!$A$5),1,1)+INT((ROWS(B$2:B4978)-1)/24),"""18""jjmmdd")</f>
        <v>18980727</v>
      </c>
      <c r="C4978" s="11" t="str">
        <f>INDEX(Data,2,2+MOD(ROWS(C$2:C4978)-1,24))</f>
        <v>09.00</v>
      </c>
      <c r="D4978" s="8" t="str">
        <f t="shared" ca="1" si="233"/>
        <v>—</v>
      </c>
      <c r="E4978" s="16">
        <f t="shared" ca="1" si="234"/>
        <v>7</v>
      </c>
    </row>
    <row r="4979" spans="1:5" x14ac:dyDescent="0.25">
      <c r="A4979" s="3">
        <f t="shared" si="232"/>
        <v>78989</v>
      </c>
      <c r="B4979" t="str">
        <f ca="1">TEXT(DATE(YEAR(Invoer!$A$5),1,1)+INT((ROWS(B$2:B4979)-1)/24),"""18""jjmmdd")</f>
        <v>18980727</v>
      </c>
      <c r="C4979" s="11" t="str">
        <f>INDEX(Data,2,2+MOD(ROWS(C$2:C4979)-1,24))</f>
        <v>10.00</v>
      </c>
      <c r="D4979" s="8" t="str">
        <f t="shared" ca="1" si="233"/>
        <v>—</v>
      </c>
      <c r="E4979" s="16">
        <f t="shared" ca="1" si="234"/>
        <v>7</v>
      </c>
    </row>
    <row r="4980" spans="1:5" x14ac:dyDescent="0.25">
      <c r="A4980" s="3">
        <f t="shared" si="232"/>
        <v>78989</v>
      </c>
      <c r="B4980" t="str">
        <f ca="1">TEXT(DATE(YEAR(Invoer!$A$5),1,1)+INT((ROWS(B$2:B4980)-1)/24),"""18""jjmmdd")</f>
        <v>18980727</v>
      </c>
      <c r="C4980" s="11" t="str">
        <f>INDEX(Data,2,2+MOD(ROWS(C$2:C4980)-1,24))</f>
        <v>11.00</v>
      </c>
      <c r="D4980" s="8" t="str">
        <f t="shared" ca="1" si="233"/>
        <v>—</v>
      </c>
      <c r="E4980" s="16">
        <f t="shared" ca="1" si="234"/>
        <v>7</v>
      </c>
    </row>
    <row r="4981" spans="1:5" x14ac:dyDescent="0.25">
      <c r="A4981" s="3">
        <f t="shared" si="232"/>
        <v>78989</v>
      </c>
      <c r="B4981" t="str">
        <f ca="1">TEXT(DATE(YEAR(Invoer!$A$5),1,1)+INT((ROWS(B$2:B4981)-1)/24),"""18""jjmmdd")</f>
        <v>18980727</v>
      </c>
      <c r="C4981" s="11" t="str">
        <f>INDEX(Data,2,2+MOD(ROWS(C$2:C4981)-1,24))</f>
        <v>12.00</v>
      </c>
      <c r="D4981" s="8" t="str">
        <f t="shared" ca="1" si="233"/>
        <v>—</v>
      </c>
      <c r="E4981" s="16">
        <f t="shared" ca="1" si="234"/>
        <v>7</v>
      </c>
    </row>
    <row r="4982" spans="1:5" x14ac:dyDescent="0.25">
      <c r="A4982" s="3">
        <f t="shared" si="232"/>
        <v>78989</v>
      </c>
      <c r="B4982" t="str">
        <f ca="1">TEXT(DATE(YEAR(Invoer!$A$5),1,1)+INT((ROWS(B$2:B4982)-1)/24),"""18""jjmmdd")</f>
        <v>18980727</v>
      </c>
      <c r="C4982" s="11" t="str">
        <f>INDEX(Data,2,2+MOD(ROWS(C$2:C4982)-1,24))</f>
        <v>13.00</v>
      </c>
      <c r="D4982" s="8" t="str">
        <f t="shared" ca="1" si="233"/>
        <v>—</v>
      </c>
      <c r="E4982" s="16">
        <f t="shared" ca="1" si="234"/>
        <v>7</v>
      </c>
    </row>
    <row r="4983" spans="1:5" x14ac:dyDescent="0.25">
      <c r="A4983" s="3">
        <f t="shared" si="232"/>
        <v>78989</v>
      </c>
      <c r="B4983" t="str">
        <f ca="1">TEXT(DATE(YEAR(Invoer!$A$5),1,1)+INT((ROWS(B$2:B4983)-1)/24),"""18""jjmmdd")</f>
        <v>18980727</v>
      </c>
      <c r="C4983" s="11" t="str">
        <f>INDEX(Data,2,2+MOD(ROWS(C$2:C4983)-1,24))</f>
        <v>14.00</v>
      </c>
      <c r="D4983" s="8" t="str">
        <f t="shared" ca="1" si="233"/>
        <v>—</v>
      </c>
      <c r="E4983" s="16">
        <f t="shared" ca="1" si="234"/>
        <v>7</v>
      </c>
    </row>
    <row r="4984" spans="1:5" x14ac:dyDescent="0.25">
      <c r="A4984" s="3">
        <f t="shared" si="232"/>
        <v>78989</v>
      </c>
      <c r="B4984" t="str">
        <f ca="1">TEXT(DATE(YEAR(Invoer!$A$5),1,1)+INT((ROWS(B$2:B4984)-1)/24),"""18""jjmmdd")</f>
        <v>18980727</v>
      </c>
      <c r="C4984" s="11" t="str">
        <f>INDEX(Data,2,2+MOD(ROWS(C$2:C4984)-1,24))</f>
        <v>15.00</v>
      </c>
      <c r="D4984" s="8" t="str">
        <f t="shared" ca="1" si="233"/>
        <v>—</v>
      </c>
      <c r="E4984" s="16">
        <f t="shared" ca="1" si="234"/>
        <v>7</v>
      </c>
    </row>
    <row r="4985" spans="1:5" x14ac:dyDescent="0.25">
      <c r="A4985" s="3">
        <f t="shared" si="232"/>
        <v>78989</v>
      </c>
      <c r="B4985" t="str">
        <f ca="1">TEXT(DATE(YEAR(Invoer!$A$5),1,1)+INT((ROWS(B$2:B4985)-1)/24),"""18""jjmmdd")</f>
        <v>18980727</v>
      </c>
      <c r="C4985" s="11" t="str">
        <f>INDEX(Data,2,2+MOD(ROWS(C$2:C4985)-1,24))</f>
        <v>16.00</v>
      </c>
      <c r="D4985" s="8" t="str">
        <f t="shared" ca="1" si="233"/>
        <v>—</v>
      </c>
      <c r="E4985" s="16">
        <f t="shared" ca="1" si="234"/>
        <v>7</v>
      </c>
    </row>
    <row r="4986" spans="1:5" x14ac:dyDescent="0.25">
      <c r="A4986" s="3">
        <f t="shared" si="232"/>
        <v>78989</v>
      </c>
      <c r="B4986" t="str">
        <f ca="1">TEXT(DATE(YEAR(Invoer!$A$5),1,1)+INT((ROWS(B$2:B4986)-1)/24),"""18""jjmmdd")</f>
        <v>18980727</v>
      </c>
      <c r="C4986" s="11" t="str">
        <f>INDEX(Data,2,2+MOD(ROWS(C$2:C4986)-1,24))</f>
        <v>17.00</v>
      </c>
      <c r="D4986" s="8" t="str">
        <f t="shared" ca="1" si="233"/>
        <v>—</v>
      </c>
      <c r="E4986" s="16">
        <f t="shared" ca="1" si="234"/>
        <v>7</v>
      </c>
    </row>
    <row r="4987" spans="1:5" x14ac:dyDescent="0.25">
      <c r="A4987" s="3">
        <f t="shared" si="232"/>
        <v>78989</v>
      </c>
      <c r="B4987" t="str">
        <f ca="1">TEXT(DATE(YEAR(Invoer!$A$5),1,1)+INT((ROWS(B$2:B4987)-1)/24),"""18""jjmmdd")</f>
        <v>18980727</v>
      </c>
      <c r="C4987" s="11" t="str">
        <f>INDEX(Data,2,2+MOD(ROWS(C$2:C4987)-1,24))</f>
        <v>18.00</v>
      </c>
      <c r="D4987" s="8" t="str">
        <f t="shared" ca="1" si="233"/>
        <v>—</v>
      </c>
      <c r="E4987" s="16">
        <f t="shared" ca="1" si="234"/>
        <v>7</v>
      </c>
    </row>
    <row r="4988" spans="1:5" x14ac:dyDescent="0.25">
      <c r="A4988" s="3">
        <f t="shared" si="232"/>
        <v>78989</v>
      </c>
      <c r="B4988" t="str">
        <f ca="1">TEXT(DATE(YEAR(Invoer!$A$5),1,1)+INT((ROWS(B$2:B4988)-1)/24),"""18""jjmmdd")</f>
        <v>18980727</v>
      </c>
      <c r="C4988" s="11" t="str">
        <f>INDEX(Data,2,2+MOD(ROWS(C$2:C4988)-1,24))</f>
        <v>19.00</v>
      </c>
      <c r="D4988" s="8" t="str">
        <f t="shared" ca="1" si="233"/>
        <v>—</v>
      </c>
      <c r="E4988" s="16">
        <f t="shared" ca="1" si="234"/>
        <v>7</v>
      </c>
    </row>
    <row r="4989" spans="1:5" x14ac:dyDescent="0.25">
      <c r="A4989" s="3">
        <f t="shared" si="232"/>
        <v>78989</v>
      </c>
      <c r="B4989" t="str">
        <f ca="1">TEXT(DATE(YEAR(Invoer!$A$5),1,1)+INT((ROWS(B$2:B4989)-1)/24),"""18""jjmmdd")</f>
        <v>18980727</v>
      </c>
      <c r="C4989" s="11" t="str">
        <f>INDEX(Data,2,2+MOD(ROWS(C$2:C4989)-1,24))</f>
        <v>20.00</v>
      </c>
      <c r="D4989" s="8" t="str">
        <f t="shared" ca="1" si="233"/>
        <v>—</v>
      </c>
      <c r="E4989" s="16">
        <f t="shared" ca="1" si="234"/>
        <v>7</v>
      </c>
    </row>
    <row r="4990" spans="1:5" x14ac:dyDescent="0.25">
      <c r="A4990" s="3">
        <f t="shared" si="232"/>
        <v>78989</v>
      </c>
      <c r="B4990" t="str">
        <f ca="1">TEXT(DATE(YEAR(Invoer!$A$5),1,1)+INT((ROWS(B$2:B4990)-1)/24),"""18""jjmmdd")</f>
        <v>18980727</v>
      </c>
      <c r="C4990" s="11" t="str">
        <f>INDEX(Data,2,2+MOD(ROWS(C$2:C4990)-1,24))</f>
        <v>21.00</v>
      </c>
      <c r="D4990" s="8" t="str">
        <f t="shared" ca="1" si="233"/>
        <v>—</v>
      </c>
      <c r="E4990" s="16">
        <f t="shared" ca="1" si="234"/>
        <v>7</v>
      </c>
    </row>
    <row r="4991" spans="1:5" x14ac:dyDescent="0.25">
      <c r="A4991" s="3">
        <f t="shared" si="232"/>
        <v>78989</v>
      </c>
      <c r="B4991" t="str">
        <f ca="1">TEXT(DATE(YEAR(Invoer!$A$5),1,1)+INT((ROWS(B$2:B4991)-1)/24),"""18""jjmmdd")</f>
        <v>18980727</v>
      </c>
      <c r="C4991" s="11" t="str">
        <f>INDEX(Data,2,2+MOD(ROWS(C$2:C4991)-1,24))</f>
        <v>22.00</v>
      </c>
      <c r="D4991" s="8" t="str">
        <f t="shared" ca="1" si="233"/>
        <v>—</v>
      </c>
      <c r="E4991" s="16">
        <f t="shared" ca="1" si="234"/>
        <v>7</v>
      </c>
    </row>
    <row r="4992" spans="1:5" x14ac:dyDescent="0.25">
      <c r="A4992" s="3">
        <f t="shared" si="232"/>
        <v>78989</v>
      </c>
      <c r="B4992" t="str">
        <f ca="1">TEXT(DATE(YEAR(Invoer!$A$5),1,1)+INT((ROWS(B$2:B4992)-1)/24),"""18""jjmmdd")</f>
        <v>18980727</v>
      </c>
      <c r="C4992" s="11" t="str">
        <f>INDEX(Data,2,2+MOD(ROWS(C$2:C4992)-1,24))</f>
        <v>23.00</v>
      </c>
      <c r="D4992" s="8" t="str">
        <f t="shared" ca="1" si="233"/>
        <v>—</v>
      </c>
      <c r="E4992" s="16">
        <f t="shared" ca="1" si="234"/>
        <v>7</v>
      </c>
    </row>
    <row r="4993" spans="1:5" x14ac:dyDescent="0.25">
      <c r="A4993" s="3">
        <f t="shared" si="232"/>
        <v>78989</v>
      </c>
      <c r="B4993" t="str">
        <f ca="1">TEXT(DATE(YEAR(Invoer!$A$5),1,1)+INT((ROWS(B$2:B4993)-1)/24),"""18""jjmmdd")</f>
        <v>18980727</v>
      </c>
      <c r="C4993" s="11" t="str">
        <f>INDEX(Data,2,2+MOD(ROWS(C$2:C4993)-1,24))</f>
        <v>24.00</v>
      </c>
      <c r="D4993" s="8" t="str">
        <f t="shared" ca="1" si="233"/>
        <v>—</v>
      </c>
      <c r="E4993" s="16">
        <f t="shared" ca="1" si="234"/>
        <v>7</v>
      </c>
    </row>
    <row r="4994" spans="1:5" x14ac:dyDescent="0.25">
      <c r="A4994" s="3">
        <f t="shared" ref="A4994:A5057" si="235">INDEX(Stations,2,1)</f>
        <v>78989</v>
      </c>
      <c r="B4994" t="str">
        <f ca="1">TEXT(DATE(YEAR(Invoer!$A$5),1,1)+INT((ROWS(B$2:B4994)-1)/24),"""18""jjmmdd")</f>
        <v>18980728</v>
      </c>
      <c r="C4994" s="11" t="str">
        <f>INDEX(Data,2,2+MOD(ROWS(C$2:C4994)-1,24))</f>
        <v>01.00</v>
      </c>
      <c r="D4994" s="8" t="str">
        <f t="shared" ref="D4994:D5057" ca="1" si="236">IF(OR(ISBLANK(VLOOKUP(DATEVALUE("37"&amp;MID($B4994,3,2)&amp;"-"&amp;MID($B4994,5,2)&amp;"-"&amp;RIGHT($B4994,2)),Data,MATCH(LEFT(VLOOKUP(D$1,Parameters,2,FALSE()),4)&amp;"*",OFFSET(Data,0,0,1),0)+MATCH($C4994,OFFSET(Data,1,0,1),0)-2,FALSE())),ISTEXT(VLOOKUP(DATEVALUE("37"&amp;MID($B4994,3,2)&amp;"-"&amp;MID($B4994,5,2)&amp;"-"&amp;RIGHT($B4994,2)),Data,MATCH(LEFT(VLOOKUP(D$1,Parameters,2,FALSE()),4)&amp;"*",OFFSET(Data,0,0,1),0)+MATCH($C4994,OFFSET(Data,1,0,1),0)-2,FALSE()))),"—",VLOOKUP(DATEVALUE("37"&amp;MID($B4994,3,2)&amp;"-"&amp;MID($B4994,5,2)&amp;"-"&amp;RIGHT($B4994,2)),Data,MATCH(LEFT(VLOOKUP(D$1,Parameters,2,FALSE()),4)&amp;"*",OFFSET(Data,0,0,1),0)+MATCH($C4994,OFFSET(Data,1,0,1),0)-2,FALSE()))</f>
        <v>—</v>
      </c>
      <c r="E4994" s="16">
        <f t="shared" ca="1" si="234"/>
        <v>7</v>
      </c>
    </row>
    <row r="4995" spans="1:5" x14ac:dyDescent="0.25">
      <c r="A4995" s="3">
        <f t="shared" si="235"/>
        <v>78989</v>
      </c>
      <c r="B4995" t="str">
        <f ca="1">TEXT(DATE(YEAR(Invoer!$A$5),1,1)+INT((ROWS(B$2:B4995)-1)/24),"""18""jjmmdd")</f>
        <v>18980728</v>
      </c>
      <c r="C4995" s="11" t="str">
        <f>INDEX(Data,2,2+MOD(ROWS(C$2:C4995)-1,24))</f>
        <v>02.00</v>
      </c>
      <c r="D4995" s="8" t="str">
        <f t="shared" ca="1" si="236"/>
        <v>—</v>
      </c>
      <c r="E4995" s="16">
        <f t="shared" ref="E4995:E5058" ca="1" si="237">IF(OR(ISBLANK(VLOOKUP(DATEVALUE("37"&amp;MID($B4995,3,2)&amp;"-"&amp;MID($B4995,5,2)&amp;"-"&amp;RIGHT($B4995,2)),Data,MATCH(LEFT(VLOOKUP(D$1,Parameters,2,FALSE()),4)&amp;"*",OFFSET(Data,0,0,1),0)+MATCH($C4995,OFFSET(Data,1,0,1),0)-2,FALSE())),ISTEXT(VLOOKUP(DATEVALUE("37"&amp;MID($B4995,3,2)&amp;"-"&amp;MID($B4995,5,2)&amp;"-"&amp;RIGHT($B4995,2)),Data,MATCH(LEFT(VLOOKUP(D$1,Parameters,2,FALSE()),4)&amp;"*",OFFSET(Data,0,0,1),0)+MATCH($C4995,OFFSET(Data,1,0,1),0)-2,FALSE()))),Lacking,IF(ISNA(MATCH(DATEVALUE("37"&amp;MID($B4995,3,2)&amp;"-"&amp;MID($B4995,5,2)&amp;"-"&amp;RIGHT($B4995,2)),OFFSET(Catalogus,0,0,,1),0)),Ok,VLOOKUP(DATEVALUE("37"&amp;MID($B4995,3,2)&amp;"-"&amp;MID($B4995,5,2)&amp;"-"&amp;RIGHT($B4995,2)),Catalogus,MATCH(LEFT(VLOOKUP(MID(E$1,2,LEN(E$1)-1),Parameters,2,FALSE()),4)&amp;"*",OFFSET(Catalogus,0,0,1),0)+MATCH($C4995,OFFSET(Catalogus,1,0,1),0)-2,FALSE())))</f>
        <v>7</v>
      </c>
    </row>
    <row r="4996" spans="1:5" x14ac:dyDescent="0.25">
      <c r="A4996" s="3">
        <f t="shared" si="235"/>
        <v>78989</v>
      </c>
      <c r="B4996" t="str">
        <f ca="1">TEXT(DATE(YEAR(Invoer!$A$5),1,1)+INT((ROWS(B$2:B4996)-1)/24),"""18""jjmmdd")</f>
        <v>18980728</v>
      </c>
      <c r="C4996" s="11" t="str">
        <f>INDEX(Data,2,2+MOD(ROWS(C$2:C4996)-1,24))</f>
        <v>03.00</v>
      </c>
      <c r="D4996" s="8" t="str">
        <f t="shared" ca="1" si="236"/>
        <v>—</v>
      </c>
      <c r="E4996" s="16">
        <f t="shared" ca="1" si="237"/>
        <v>7</v>
      </c>
    </row>
    <row r="4997" spans="1:5" x14ac:dyDescent="0.25">
      <c r="A4997" s="3">
        <f t="shared" si="235"/>
        <v>78989</v>
      </c>
      <c r="B4997" t="str">
        <f ca="1">TEXT(DATE(YEAR(Invoer!$A$5),1,1)+INT((ROWS(B$2:B4997)-1)/24),"""18""jjmmdd")</f>
        <v>18980728</v>
      </c>
      <c r="C4997" s="11" t="str">
        <f>INDEX(Data,2,2+MOD(ROWS(C$2:C4997)-1,24))</f>
        <v>04.00</v>
      </c>
      <c r="D4997" s="8" t="str">
        <f t="shared" ca="1" si="236"/>
        <v>—</v>
      </c>
      <c r="E4997" s="16">
        <f t="shared" ca="1" si="237"/>
        <v>7</v>
      </c>
    </row>
    <row r="4998" spans="1:5" x14ac:dyDescent="0.25">
      <c r="A4998" s="3">
        <f t="shared" si="235"/>
        <v>78989</v>
      </c>
      <c r="B4998" t="str">
        <f ca="1">TEXT(DATE(YEAR(Invoer!$A$5),1,1)+INT((ROWS(B$2:B4998)-1)/24),"""18""jjmmdd")</f>
        <v>18980728</v>
      </c>
      <c r="C4998" s="11" t="str">
        <f>INDEX(Data,2,2+MOD(ROWS(C$2:C4998)-1,24))</f>
        <v>05.00</v>
      </c>
      <c r="D4998" s="8" t="str">
        <f t="shared" ca="1" si="236"/>
        <v>—</v>
      </c>
      <c r="E4998" s="16">
        <f t="shared" ca="1" si="237"/>
        <v>7</v>
      </c>
    </row>
    <row r="4999" spans="1:5" x14ac:dyDescent="0.25">
      <c r="A4999" s="3">
        <f t="shared" si="235"/>
        <v>78989</v>
      </c>
      <c r="B4999" t="str">
        <f ca="1">TEXT(DATE(YEAR(Invoer!$A$5),1,1)+INT((ROWS(B$2:B4999)-1)/24),"""18""jjmmdd")</f>
        <v>18980728</v>
      </c>
      <c r="C4999" s="11" t="str">
        <f>INDEX(Data,2,2+MOD(ROWS(C$2:C4999)-1,24))</f>
        <v>06.00</v>
      </c>
      <c r="D4999" s="8" t="str">
        <f t="shared" ca="1" si="236"/>
        <v>—</v>
      </c>
      <c r="E4999" s="16">
        <f t="shared" ca="1" si="237"/>
        <v>7</v>
      </c>
    </row>
    <row r="5000" spans="1:5" x14ac:dyDescent="0.25">
      <c r="A5000" s="3">
        <f t="shared" si="235"/>
        <v>78989</v>
      </c>
      <c r="B5000" t="str">
        <f ca="1">TEXT(DATE(YEAR(Invoer!$A$5),1,1)+INT((ROWS(B$2:B5000)-1)/24),"""18""jjmmdd")</f>
        <v>18980728</v>
      </c>
      <c r="C5000" s="11" t="str">
        <f>INDEX(Data,2,2+MOD(ROWS(C$2:C5000)-1,24))</f>
        <v>07.00</v>
      </c>
      <c r="D5000" s="8" t="str">
        <f t="shared" ca="1" si="236"/>
        <v>—</v>
      </c>
      <c r="E5000" s="16">
        <f t="shared" ca="1" si="237"/>
        <v>7</v>
      </c>
    </row>
    <row r="5001" spans="1:5" x14ac:dyDescent="0.25">
      <c r="A5001" s="3">
        <f t="shared" si="235"/>
        <v>78989</v>
      </c>
      <c r="B5001" t="str">
        <f ca="1">TEXT(DATE(YEAR(Invoer!$A$5),1,1)+INT((ROWS(B$2:B5001)-1)/24),"""18""jjmmdd")</f>
        <v>18980728</v>
      </c>
      <c r="C5001" s="11" t="str">
        <f>INDEX(Data,2,2+MOD(ROWS(C$2:C5001)-1,24))</f>
        <v>08.00</v>
      </c>
      <c r="D5001" s="8" t="str">
        <f t="shared" ca="1" si="236"/>
        <v>—</v>
      </c>
      <c r="E5001" s="16">
        <f t="shared" ca="1" si="237"/>
        <v>7</v>
      </c>
    </row>
    <row r="5002" spans="1:5" x14ac:dyDescent="0.25">
      <c r="A5002" s="3">
        <f t="shared" si="235"/>
        <v>78989</v>
      </c>
      <c r="B5002" t="str">
        <f ca="1">TEXT(DATE(YEAR(Invoer!$A$5),1,1)+INT((ROWS(B$2:B5002)-1)/24),"""18""jjmmdd")</f>
        <v>18980728</v>
      </c>
      <c r="C5002" s="11" t="str">
        <f>INDEX(Data,2,2+MOD(ROWS(C$2:C5002)-1,24))</f>
        <v>09.00</v>
      </c>
      <c r="D5002" s="8" t="str">
        <f t="shared" ca="1" si="236"/>
        <v>—</v>
      </c>
      <c r="E5002" s="16">
        <f t="shared" ca="1" si="237"/>
        <v>7</v>
      </c>
    </row>
    <row r="5003" spans="1:5" x14ac:dyDescent="0.25">
      <c r="A5003" s="3">
        <f t="shared" si="235"/>
        <v>78989</v>
      </c>
      <c r="B5003" t="str">
        <f ca="1">TEXT(DATE(YEAR(Invoer!$A$5),1,1)+INT((ROWS(B$2:B5003)-1)/24),"""18""jjmmdd")</f>
        <v>18980728</v>
      </c>
      <c r="C5003" s="11" t="str">
        <f>INDEX(Data,2,2+MOD(ROWS(C$2:C5003)-1,24))</f>
        <v>10.00</v>
      </c>
      <c r="D5003" s="8" t="str">
        <f t="shared" ca="1" si="236"/>
        <v>—</v>
      </c>
      <c r="E5003" s="16">
        <f t="shared" ca="1" si="237"/>
        <v>7</v>
      </c>
    </row>
    <row r="5004" spans="1:5" x14ac:dyDescent="0.25">
      <c r="A5004" s="3">
        <f t="shared" si="235"/>
        <v>78989</v>
      </c>
      <c r="B5004" t="str">
        <f ca="1">TEXT(DATE(YEAR(Invoer!$A$5),1,1)+INT((ROWS(B$2:B5004)-1)/24),"""18""jjmmdd")</f>
        <v>18980728</v>
      </c>
      <c r="C5004" s="11" t="str">
        <f>INDEX(Data,2,2+MOD(ROWS(C$2:C5004)-1,24))</f>
        <v>11.00</v>
      </c>
      <c r="D5004" s="8" t="str">
        <f t="shared" ca="1" si="236"/>
        <v>—</v>
      </c>
      <c r="E5004" s="16">
        <f t="shared" ca="1" si="237"/>
        <v>7</v>
      </c>
    </row>
    <row r="5005" spans="1:5" x14ac:dyDescent="0.25">
      <c r="A5005" s="3">
        <f t="shared" si="235"/>
        <v>78989</v>
      </c>
      <c r="B5005" t="str">
        <f ca="1">TEXT(DATE(YEAR(Invoer!$A$5),1,1)+INT((ROWS(B$2:B5005)-1)/24),"""18""jjmmdd")</f>
        <v>18980728</v>
      </c>
      <c r="C5005" s="11" t="str">
        <f>INDEX(Data,2,2+MOD(ROWS(C$2:C5005)-1,24))</f>
        <v>12.00</v>
      </c>
      <c r="D5005" s="8" t="str">
        <f t="shared" ca="1" si="236"/>
        <v>—</v>
      </c>
      <c r="E5005" s="16">
        <f t="shared" ca="1" si="237"/>
        <v>7</v>
      </c>
    </row>
    <row r="5006" spans="1:5" x14ac:dyDescent="0.25">
      <c r="A5006" s="3">
        <f t="shared" si="235"/>
        <v>78989</v>
      </c>
      <c r="B5006" t="str">
        <f ca="1">TEXT(DATE(YEAR(Invoer!$A$5),1,1)+INT((ROWS(B$2:B5006)-1)/24),"""18""jjmmdd")</f>
        <v>18980728</v>
      </c>
      <c r="C5006" s="11" t="str">
        <f>INDEX(Data,2,2+MOD(ROWS(C$2:C5006)-1,24))</f>
        <v>13.00</v>
      </c>
      <c r="D5006" s="8" t="str">
        <f t="shared" ca="1" si="236"/>
        <v>—</v>
      </c>
      <c r="E5006" s="16">
        <f t="shared" ca="1" si="237"/>
        <v>7</v>
      </c>
    </row>
    <row r="5007" spans="1:5" x14ac:dyDescent="0.25">
      <c r="A5007" s="3">
        <f t="shared" si="235"/>
        <v>78989</v>
      </c>
      <c r="B5007" t="str">
        <f ca="1">TEXT(DATE(YEAR(Invoer!$A$5),1,1)+INT((ROWS(B$2:B5007)-1)/24),"""18""jjmmdd")</f>
        <v>18980728</v>
      </c>
      <c r="C5007" s="11" t="str">
        <f>INDEX(Data,2,2+MOD(ROWS(C$2:C5007)-1,24))</f>
        <v>14.00</v>
      </c>
      <c r="D5007" s="8" t="str">
        <f t="shared" ca="1" si="236"/>
        <v>—</v>
      </c>
      <c r="E5007" s="16">
        <f t="shared" ca="1" si="237"/>
        <v>7</v>
      </c>
    </row>
    <row r="5008" spans="1:5" x14ac:dyDescent="0.25">
      <c r="A5008" s="3">
        <f t="shared" si="235"/>
        <v>78989</v>
      </c>
      <c r="B5008" t="str">
        <f ca="1">TEXT(DATE(YEAR(Invoer!$A$5),1,1)+INT((ROWS(B$2:B5008)-1)/24),"""18""jjmmdd")</f>
        <v>18980728</v>
      </c>
      <c r="C5008" s="11" t="str">
        <f>INDEX(Data,2,2+MOD(ROWS(C$2:C5008)-1,24))</f>
        <v>15.00</v>
      </c>
      <c r="D5008" s="8" t="str">
        <f t="shared" ca="1" si="236"/>
        <v>—</v>
      </c>
      <c r="E5008" s="16">
        <f t="shared" ca="1" si="237"/>
        <v>7</v>
      </c>
    </row>
    <row r="5009" spans="1:5" x14ac:dyDescent="0.25">
      <c r="A5009" s="3">
        <f t="shared" si="235"/>
        <v>78989</v>
      </c>
      <c r="B5009" t="str">
        <f ca="1">TEXT(DATE(YEAR(Invoer!$A$5),1,1)+INT((ROWS(B$2:B5009)-1)/24),"""18""jjmmdd")</f>
        <v>18980728</v>
      </c>
      <c r="C5009" s="11" t="str">
        <f>INDEX(Data,2,2+MOD(ROWS(C$2:C5009)-1,24))</f>
        <v>16.00</v>
      </c>
      <c r="D5009" s="8" t="str">
        <f t="shared" ca="1" si="236"/>
        <v>—</v>
      </c>
      <c r="E5009" s="16">
        <f t="shared" ca="1" si="237"/>
        <v>7</v>
      </c>
    </row>
    <row r="5010" spans="1:5" x14ac:dyDescent="0.25">
      <c r="A5010" s="3">
        <f t="shared" si="235"/>
        <v>78989</v>
      </c>
      <c r="B5010" t="str">
        <f ca="1">TEXT(DATE(YEAR(Invoer!$A$5),1,1)+INT((ROWS(B$2:B5010)-1)/24),"""18""jjmmdd")</f>
        <v>18980728</v>
      </c>
      <c r="C5010" s="11" t="str">
        <f>INDEX(Data,2,2+MOD(ROWS(C$2:C5010)-1,24))</f>
        <v>17.00</v>
      </c>
      <c r="D5010" s="8" t="str">
        <f t="shared" ca="1" si="236"/>
        <v>—</v>
      </c>
      <c r="E5010" s="16">
        <f t="shared" ca="1" si="237"/>
        <v>7</v>
      </c>
    </row>
    <row r="5011" spans="1:5" x14ac:dyDescent="0.25">
      <c r="A5011" s="3">
        <f t="shared" si="235"/>
        <v>78989</v>
      </c>
      <c r="B5011" t="str">
        <f ca="1">TEXT(DATE(YEAR(Invoer!$A$5),1,1)+INT((ROWS(B$2:B5011)-1)/24),"""18""jjmmdd")</f>
        <v>18980728</v>
      </c>
      <c r="C5011" s="11" t="str">
        <f>INDEX(Data,2,2+MOD(ROWS(C$2:C5011)-1,24))</f>
        <v>18.00</v>
      </c>
      <c r="D5011" s="8" t="str">
        <f t="shared" ca="1" si="236"/>
        <v>—</v>
      </c>
      <c r="E5011" s="16">
        <f t="shared" ca="1" si="237"/>
        <v>7</v>
      </c>
    </row>
    <row r="5012" spans="1:5" x14ac:dyDescent="0.25">
      <c r="A5012" s="3">
        <f t="shared" si="235"/>
        <v>78989</v>
      </c>
      <c r="B5012" t="str">
        <f ca="1">TEXT(DATE(YEAR(Invoer!$A$5),1,1)+INT((ROWS(B$2:B5012)-1)/24),"""18""jjmmdd")</f>
        <v>18980728</v>
      </c>
      <c r="C5012" s="11" t="str">
        <f>INDEX(Data,2,2+MOD(ROWS(C$2:C5012)-1,24))</f>
        <v>19.00</v>
      </c>
      <c r="D5012" s="8" t="str">
        <f t="shared" ca="1" si="236"/>
        <v>—</v>
      </c>
      <c r="E5012" s="16">
        <f t="shared" ca="1" si="237"/>
        <v>7</v>
      </c>
    </row>
    <row r="5013" spans="1:5" x14ac:dyDescent="0.25">
      <c r="A5013" s="3">
        <f t="shared" si="235"/>
        <v>78989</v>
      </c>
      <c r="B5013" t="str">
        <f ca="1">TEXT(DATE(YEAR(Invoer!$A$5),1,1)+INT((ROWS(B$2:B5013)-1)/24),"""18""jjmmdd")</f>
        <v>18980728</v>
      </c>
      <c r="C5013" s="11" t="str">
        <f>INDEX(Data,2,2+MOD(ROWS(C$2:C5013)-1,24))</f>
        <v>20.00</v>
      </c>
      <c r="D5013" s="8" t="str">
        <f t="shared" ca="1" si="236"/>
        <v>—</v>
      </c>
      <c r="E5013" s="16">
        <f t="shared" ca="1" si="237"/>
        <v>7</v>
      </c>
    </row>
    <row r="5014" spans="1:5" x14ac:dyDescent="0.25">
      <c r="A5014" s="3">
        <f t="shared" si="235"/>
        <v>78989</v>
      </c>
      <c r="B5014" t="str">
        <f ca="1">TEXT(DATE(YEAR(Invoer!$A$5),1,1)+INT((ROWS(B$2:B5014)-1)/24),"""18""jjmmdd")</f>
        <v>18980728</v>
      </c>
      <c r="C5014" s="11" t="str">
        <f>INDEX(Data,2,2+MOD(ROWS(C$2:C5014)-1,24))</f>
        <v>21.00</v>
      </c>
      <c r="D5014" s="8" t="str">
        <f t="shared" ca="1" si="236"/>
        <v>—</v>
      </c>
      <c r="E5014" s="16">
        <f t="shared" ca="1" si="237"/>
        <v>7</v>
      </c>
    </row>
    <row r="5015" spans="1:5" x14ac:dyDescent="0.25">
      <c r="A5015" s="3">
        <f t="shared" si="235"/>
        <v>78989</v>
      </c>
      <c r="B5015" t="str">
        <f ca="1">TEXT(DATE(YEAR(Invoer!$A$5),1,1)+INT((ROWS(B$2:B5015)-1)/24),"""18""jjmmdd")</f>
        <v>18980728</v>
      </c>
      <c r="C5015" s="11" t="str">
        <f>INDEX(Data,2,2+MOD(ROWS(C$2:C5015)-1,24))</f>
        <v>22.00</v>
      </c>
      <c r="D5015" s="8" t="str">
        <f t="shared" ca="1" si="236"/>
        <v>—</v>
      </c>
      <c r="E5015" s="16">
        <f t="shared" ca="1" si="237"/>
        <v>7</v>
      </c>
    </row>
    <row r="5016" spans="1:5" x14ac:dyDescent="0.25">
      <c r="A5016" s="3">
        <f t="shared" si="235"/>
        <v>78989</v>
      </c>
      <c r="B5016" t="str">
        <f ca="1">TEXT(DATE(YEAR(Invoer!$A$5),1,1)+INT((ROWS(B$2:B5016)-1)/24),"""18""jjmmdd")</f>
        <v>18980728</v>
      </c>
      <c r="C5016" s="11" t="str">
        <f>INDEX(Data,2,2+MOD(ROWS(C$2:C5016)-1,24))</f>
        <v>23.00</v>
      </c>
      <c r="D5016" s="8" t="str">
        <f t="shared" ca="1" si="236"/>
        <v>—</v>
      </c>
      <c r="E5016" s="16">
        <f t="shared" ca="1" si="237"/>
        <v>7</v>
      </c>
    </row>
    <row r="5017" spans="1:5" x14ac:dyDescent="0.25">
      <c r="A5017" s="3">
        <f t="shared" si="235"/>
        <v>78989</v>
      </c>
      <c r="B5017" t="str">
        <f ca="1">TEXT(DATE(YEAR(Invoer!$A$5),1,1)+INT((ROWS(B$2:B5017)-1)/24),"""18""jjmmdd")</f>
        <v>18980728</v>
      </c>
      <c r="C5017" s="11" t="str">
        <f>INDEX(Data,2,2+MOD(ROWS(C$2:C5017)-1,24))</f>
        <v>24.00</v>
      </c>
      <c r="D5017" s="8" t="str">
        <f t="shared" ca="1" si="236"/>
        <v>—</v>
      </c>
      <c r="E5017" s="16">
        <f t="shared" ca="1" si="237"/>
        <v>7</v>
      </c>
    </row>
    <row r="5018" spans="1:5" x14ac:dyDescent="0.25">
      <c r="A5018" s="3">
        <f t="shared" si="235"/>
        <v>78989</v>
      </c>
      <c r="B5018" t="str">
        <f ca="1">TEXT(DATE(YEAR(Invoer!$A$5),1,1)+INT((ROWS(B$2:B5018)-1)/24),"""18""jjmmdd")</f>
        <v>18980729</v>
      </c>
      <c r="C5018" s="11" t="str">
        <f>INDEX(Data,2,2+MOD(ROWS(C$2:C5018)-1,24))</f>
        <v>01.00</v>
      </c>
      <c r="D5018" s="8" t="str">
        <f t="shared" ca="1" si="236"/>
        <v>—</v>
      </c>
      <c r="E5018" s="16">
        <f t="shared" ca="1" si="237"/>
        <v>7</v>
      </c>
    </row>
    <row r="5019" spans="1:5" x14ac:dyDescent="0.25">
      <c r="A5019" s="3">
        <f t="shared" si="235"/>
        <v>78989</v>
      </c>
      <c r="B5019" t="str">
        <f ca="1">TEXT(DATE(YEAR(Invoer!$A$5),1,1)+INT((ROWS(B$2:B5019)-1)/24),"""18""jjmmdd")</f>
        <v>18980729</v>
      </c>
      <c r="C5019" s="11" t="str">
        <f>INDEX(Data,2,2+MOD(ROWS(C$2:C5019)-1,24))</f>
        <v>02.00</v>
      </c>
      <c r="D5019" s="8" t="str">
        <f t="shared" ca="1" si="236"/>
        <v>—</v>
      </c>
      <c r="E5019" s="16">
        <f t="shared" ca="1" si="237"/>
        <v>7</v>
      </c>
    </row>
    <row r="5020" spans="1:5" x14ac:dyDescent="0.25">
      <c r="A5020" s="3">
        <f t="shared" si="235"/>
        <v>78989</v>
      </c>
      <c r="B5020" t="str">
        <f ca="1">TEXT(DATE(YEAR(Invoer!$A$5),1,1)+INT((ROWS(B$2:B5020)-1)/24),"""18""jjmmdd")</f>
        <v>18980729</v>
      </c>
      <c r="C5020" s="11" t="str">
        <f>INDEX(Data,2,2+MOD(ROWS(C$2:C5020)-1,24))</f>
        <v>03.00</v>
      </c>
      <c r="D5020" s="8" t="str">
        <f t="shared" ca="1" si="236"/>
        <v>—</v>
      </c>
      <c r="E5020" s="16">
        <f t="shared" ca="1" si="237"/>
        <v>7</v>
      </c>
    </row>
    <row r="5021" spans="1:5" x14ac:dyDescent="0.25">
      <c r="A5021" s="3">
        <f t="shared" si="235"/>
        <v>78989</v>
      </c>
      <c r="B5021" t="str">
        <f ca="1">TEXT(DATE(YEAR(Invoer!$A$5),1,1)+INT((ROWS(B$2:B5021)-1)/24),"""18""jjmmdd")</f>
        <v>18980729</v>
      </c>
      <c r="C5021" s="11" t="str">
        <f>INDEX(Data,2,2+MOD(ROWS(C$2:C5021)-1,24))</f>
        <v>04.00</v>
      </c>
      <c r="D5021" s="8" t="str">
        <f t="shared" ca="1" si="236"/>
        <v>—</v>
      </c>
      <c r="E5021" s="16">
        <f t="shared" ca="1" si="237"/>
        <v>7</v>
      </c>
    </row>
    <row r="5022" spans="1:5" x14ac:dyDescent="0.25">
      <c r="A5022" s="3">
        <f t="shared" si="235"/>
        <v>78989</v>
      </c>
      <c r="B5022" t="str">
        <f ca="1">TEXT(DATE(YEAR(Invoer!$A$5),1,1)+INT((ROWS(B$2:B5022)-1)/24),"""18""jjmmdd")</f>
        <v>18980729</v>
      </c>
      <c r="C5022" s="11" t="str">
        <f>INDEX(Data,2,2+MOD(ROWS(C$2:C5022)-1,24))</f>
        <v>05.00</v>
      </c>
      <c r="D5022" s="8" t="str">
        <f t="shared" ca="1" si="236"/>
        <v>—</v>
      </c>
      <c r="E5022" s="16">
        <f t="shared" ca="1" si="237"/>
        <v>7</v>
      </c>
    </row>
    <row r="5023" spans="1:5" x14ac:dyDescent="0.25">
      <c r="A5023" s="3">
        <f t="shared" si="235"/>
        <v>78989</v>
      </c>
      <c r="B5023" t="str">
        <f ca="1">TEXT(DATE(YEAR(Invoer!$A$5),1,1)+INT((ROWS(B$2:B5023)-1)/24),"""18""jjmmdd")</f>
        <v>18980729</v>
      </c>
      <c r="C5023" s="11" t="str">
        <f>INDEX(Data,2,2+MOD(ROWS(C$2:C5023)-1,24))</f>
        <v>06.00</v>
      </c>
      <c r="D5023" s="8" t="str">
        <f t="shared" ca="1" si="236"/>
        <v>—</v>
      </c>
      <c r="E5023" s="16">
        <f t="shared" ca="1" si="237"/>
        <v>7</v>
      </c>
    </row>
    <row r="5024" spans="1:5" x14ac:dyDescent="0.25">
      <c r="A5024" s="3">
        <f t="shared" si="235"/>
        <v>78989</v>
      </c>
      <c r="B5024" t="str">
        <f ca="1">TEXT(DATE(YEAR(Invoer!$A$5),1,1)+INT((ROWS(B$2:B5024)-1)/24),"""18""jjmmdd")</f>
        <v>18980729</v>
      </c>
      <c r="C5024" s="11" t="str">
        <f>INDEX(Data,2,2+MOD(ROWS(C$2:C5024)-1,24))</f>
        <v>07.00</v>
      </c>
      <c r="D5024" s="8" t="str">
        <f t="shared" ca="1" si="236"/>
        <v>—</v>
      </c>
      <c r="E5024" s="16">
        <f t="shared" ca="1" si="237"/>
        <v>7</v>
      </c>
    </row>
    <row r="5025" spans="1:5" x14ac:dyDescent="0.25">
      <c r="A5025" s="3">
        <f t="shared" si="235"/>
        <v>78989</v>
      </c>
      <c r="B5025" t="str">
        <f ca="1">TEXT(DATE(YEAR(Invoer!$A$5),1,1)+INT((ROWS(B$2:B5025)-1)/24),"""18""jjmmdd")</f>
        <v>18980729</v>
      </c>
      <c r="C5025" s="11" t="str">
        <f>INDEX(Data,2,2+MOD(ROWS(C$2:C5025)-1,24))</f>
        <v>08.00</v>
      </c>
      <c r="D5025" s="8" t="str">
        <f t="shared" ca="1" si="236"/>
        <v>—</v>
      </c>
      <c r="E5025" s="16">
        <f t="shared" ca="1" si="237"/>
        <v>7</v>
      </c>
    </row>
    <row r="5026" spans="1:5" x14ac:dyDescent="0.25">
      <c r="A5026" s="3">
        <f t="shared" si="235"/>
        <v>78989</v>
      </c>
      <c r="B5026" t="str">
        <f ca="1">TEXT(DATE(YEAR(Invoer!$A$5),1,1)+INT((ROWS(B$2:B5026)-1)/24),"""18""jjmmdd")</f>
        <v>18980729</v>
      </c>
      <c r="C5026" s="11" t="str">
        <f>INDEX(Data,2,2+MOD(ROWS(C$2:C5026)-1,24))</f>
        <v>09.00</v>
      </c>
      <c r="D5026" s="8" t="str">
        <f t="shared" ca="1" si="236"/>
        <v>—</v>
      </c>
      <c r="E5026" s="16">
        <f t="shared" ca="1" si="237"/>
        <v>7</v>
      </c>
    </row>
    <row r="5027" spans="1:5" x14ac:dyDescent="0.25">
      <c r="A5027" s="3">
        <f t="shared" si="235"/>
        <v>78989</v>
      </c>
      <c r="B5027" t="str">
        <f ca="1">TEXT(DATE(YEAR(Invoer!$A$5),1,1)+INT((ROWS(B$2:B5027)-1)/24),"""18""jjmmdd")</f>
        <v>18980729</v>
      </c>
      <c r="C5027" s="11" t="str">
        <f>INDEX(Data,2,2+MOD(ROWS(C$2:C5027)-1,24))</f>
        <v>10.00</v>
      </c>
      <c r="D5027" s="8" t="str">
        <f t="shared" ca="1" si="236"/>
        <v>—</v>
      </c>
      <c r="E5027" s="16">
        <f t="shared" ca="1" si="237"/>
        <v>7</v>
      </c>
    </row>
    <row r="5028" spans="1:5" x14ac:dyDescent="0.25">
      <c r="A5028" s="3">
        <f t="shared" si="235"/>
        <v>78989</v>
      </c>
      <c r="B5028" t="str">
        <f ca="1">TEXT(DATE(YEAR(Invoer!$A$5),1,1)+INT((ROWS(B$2:B5028)-1)/24),"""18""jjmmdd")</f>
        <v>18980729</v>
      </c>
      <c r="C5028" s="11" t="str">
        <f>INDEX(Data,2,2+MOD(ROWS(C$2:C5028)-1,24))</f>
        <v>11.00</v>
      </c>
      <c r="D5028" s="8" t="str">
        <f t="shared" ca="1" si="236"/>
        <v>—</v>
      </c>
      <c r="E5028" s="16">
        <f t="shared" ca="1" si="237"/>
        <v>7</v>
      </c>
    </row>
    <row r="5029" spans="1:5" x14ac:dyDescent="0.25">
      <c r="A5029" s="3">
        <f t="shared" si="235"/>
        <v>78989</v>
      </c>
      <c r="B5029" t="str">
        <f ca="1">TEXT(DATE(YEAR(Invoer!$A$5),1,1)+INT((ROWS(B$2:B5029)-1)/24),"""18""jjmmdd")</f>
        <v>18980729</v>
      </c>
      <c r="C5029" s="11" t="str">
        <f>INDEX(Data,2,2+MOD(ROWS(C$2:C5029)-1,24))</f>
        <v>12.00</v>
      </c>
      <c r="D5029" s="8" t="str">
        <f t="shared" ca="1" si="236"/>
        <v>—</v>
      </c>
      <c r="E5029" s="16">
        <f t="shared" ca="1" si="237"/>
        <v>7</v>
      </c>
    </row>
    <row r="5030" spans="1:5" x14ac:dyDescent="0.25">
      <c r="A5030" s="3">
        <f t="shared" si="235"/>
        <v>78989</v>
      </c>
      <c r="B5030" t="str">
        <f ca="1">TEXT(DATE(YEAR(Invoer!$A$5),1,1)+INT((ROWS(B$2:B5030)-1)/24),"""18""jjmmdd")</f>
        <v>18980729</v>
      </c>
      <c r="C5030" s="11" t="str">
        <f>INDEX(Data,2,2+MOD(ROWS(C$2:C5030)-1,24))</f>
        <v>13.00</v>
      </c>
      <c r="D5030" s="8" t="str">
        <f t="shared" ca="1" si="236"/>
        <v>—</v>
      </c>
      <c r="E5030" s="16">
        <f t="shared" ca="1" si="237"/>
        <v>7</v>
      </c>
    </row>
    <row r="5031" spans="1:5" x14ac:dyDescent="0.25">
      <c r="A5031" s="3">
        <f t="shared" si="235"/>
        <v>78989</v>
      </c>
      <c r="B5031" t="str">
        <f ca="1">TEXT(DATE(YEAR(Invoer!$A$5),1,1)+INT((ROWS(B$2:B5031)-1)/24),"""18""jjmmdd")</f>
        <v>18980729</v>
      </c>
      <c r="C5031" s="11" t="str">
        <f>INDEX(Data,2,2+MOD(ROWS(C$2:C5031)-1,24))</f>
        <v>14.00</v>
      </c>
      <c r="D5031" s="8" t="str">
        <f t="shared" ca="1" si="236"/>
        <v>—</v>
      </c>
      <c r="E5031" s="16">
        <f t="shared" ca="1" si="237"/>
        <v>7</v>
      </c>
    </row>
    <row r="5032" spans="1:5" x14ac:dyDescent="0.25">
      <c r="A5032" s="3">
        <f t="shared" si="235"/>
        <v>78989</v>
      </c>
      <c r="B5032" t="str">
        <f ca="1">TEXT(DATE(YEAR(Invoer!$A$5),1,1)+INT((ROWS(B$2:B5032)-1)/24),"""18""jjmmdd")</f>
        <v>18980729</v>
      </c>
      <c r="C5032" s="11" t="str">
        <f>INDEX(Data,2,2+MOD(ROWS(C$2:C5032)-1,24))</f>
        <v>15.00</v>
      </c>
      <c r="D5032" s="8" t="str">
        <f t="shared" ca="1" si="236"/>
        <v>—</v>
      </c>
      <c r="E5032" s="16">
        <f t="shared" ca="1" si="237"/>
        <v>7</v>
      </c>
    </row>
    <row r="5033" spans="1:5" x14ac:dyDescent="0.25">
      <c r="A5033" s="3">
        <f t="shared" si="235"/>
        <v>78989</v>
      </c>
      <c r="B5033" t="str">
        <f ca="1">TEXT(DATE(YEAR(Invoer!$A$5),1,1)+INT((ROWS(B$2:B5033)-1)/24),"""18""jjmmdd")</f>
        <v>18980729</v>
      </c>
      <c r="C5033" s="11" t="str">
        <f>INDEX(Data,2,2+MOD(ROWS(C$2:C5033)-1,24))</f>
        <v>16.00</v>
      </c>
      <c r="D5033" s="8" t="str">
        <f t="shared" ca="1" si="236"/>
        <v>—</v>
      </c>
      <c r="E5033" s="16">
        <f t="shared" ca="1" si="237"/>
        <v>7</v>
      </c>
    </row>
    <row r="5034" spans="1:5" x14ac:dyDescent="0.25">
      <c r="A5034" s="3">
        <f t="shared" si="235"/>
        <v>78989</v>
      </c>
      <c r="B5034" t="str">
        <f ca="1">TEXT(DATE(YEAR(Invoer!$A$5),1,1)+INT((ROWS(B$2:B5034)-1)/24),"""18""jjmmdd")</f>
        <v>18980729</v>
      </c>
      <c r="C5034" s="11" t="str">
        <f>INDEX(Data,2,2+MOD(ROWS(C$2:C5034)-1,24))</f>
        <v>17.00</v>
      </c>
      <c r="D5034" s="8" t="str">
        <f t="shared" ca="1" si="236"/>
        <v>—</v>
      </c>
      <c r="E5034" s="16">
        <f t="shared" ca="1" si="237"/>
        <v>7</v>
      </c>
    </row>
    <row r="5035" spans="1:5" x14ac:dyDescent="0.25">
      <c r="A5035" s="3">
        <f t="shared" si="235"/>
        <v>78989</v>
      </c>
      <c r="B5035" t="str">
        <f ca="1">TEXT(DATE(YEAR(Invoer!$A$5),1,1)+INT((ROWS(B$2:B5035)-1)/24),"""18""jjmmdd")</f>
        <v>18980729</v>
      </c>
      <c r="C5035" s="11" t="str">
        <f>INDEX(Data,2,2+MOD(ROWS(C$2:C5035)-1,24))</f>
        <v>18.00</v>
      </c>
      <c r="D5035" s="8" t="str">
        <f t="shared" ca="1" si="236"/>
        <v>—</v>
      </c>
      <c r="E5035" s="16">
        <f t="shared" ca="1" si="237"/>
        <v>7</v>
      </c>
    </row>
    <row r="5036" spans="1:5" x14ac:dyDescent="0.25">
      <c r="A5036" s="3">
        <f t="shared" si="235"/>
        <v>78989</v>
      </c>
      <c r="B5036" t="str">
        <f ca="1">TEXT(DATE(YEAR(Invoer!$A$5),1,1)+INT((ROWS(B$2:B5036)-1)/24),"""18""jjmmdd")</f>
        <v>18980729</v>
      </c>
      <c r="C5036" s="11" t="str">
        <f>INDEX(Data,2,2+MOD(ROWS(C$2:C5036)-1,24))</f>
        <v>19.00</v>
      </c>
      <c r="D5036" s="8" t="str">
        <f t="shared" ca="1" si="236"/>
        <v>—</v>
      </c>
      <c r="E5036" s="16">
        <f t="shared" ca="1" si="237"/>
        <v>7</v>
      </c>
    </row>
    <row r="5037" spans="1:5" x14ac:dyDescent="0.25">
      <c r="A5037" s="3">
        <f t="shared" si="235"/>
        <v>78989</v>
      </c>
      <c r="B5037" t="str">
        <f ca="1">TEXT(DATE(YEAR(Invoer!$A$5),1,1)+INT((ROWS(B$2:B5037)-1)/24),"""18""jjmmdd")</f>
        <v>18980729</v>
      </c>
      <c r="C5037" s="11" t="str">
        <f>INDEX(Data,2,2+MOD(ROWS(C$2:C5037)-1,24))</f>
        <v>20.00</v>
      </c>
      <c r="D5037" s="8" t="str">
        <f t="shared" ca="1" si="236"/>
        <v>—</v>
      </c>
      <c r="E5037" s="16">
        <f t="shared" ca="1" si="237"/>
        <v>7</v>
      </c>
    </row>
    <row r="5038" spans="1:5" x14ac:dyDescent="0.25">
      <c r="A5038" s="3">
        <f t="shared" si="235"/>
        <v>78989</v>
      </c>
      <c r="B5038" t="str">
        <f ca="1">TEXT(DATE(YEAR(Invoer!$A$5),1,1)+INT((ROWS(B$2:B5038)-1)/24),"""18""jjmmdd")</f>
        <v>18980729</v>
      </c>
      <c r="C5038" s="11" t="str">
        <f>INDEX(Data,2,2+MOD(ROWS(C$2:C5038)-1,24))</f>
        <v>21.00</v>
      </c>
      <c r="D5038" s="8" t="str">
        <f t="shared" ca="1" si="236"/>
        <v>—</v>
      </c>
      <c r="E5038" s="16">
        <f t="shared" ca="1" si="237"/>
        <v>7</v>
      </c>
    </row>
    <row r="5039" spans="1:5" x14ac:dyDescent="0.25">
      <c r="A5039" s="3">
        <f t="shared" si="235"/>
        <v>78989</v>
      </c>
      <c r="B5039" t="str">
        <f ca="1">TEXT(DATE(YEAR(Invoer!$A$5),1,1)+INT((ROWS(B$2:B5039)-1)/24),"""18""jjmmdd")</f>
        <v>18980729</v>
      </c>
      <c r="C5039" s="11" t="str">
        <f>INDEX(Data,2,2+MOD(ROWS(C$2:C5039)-1,24))</f>
        <v>22.00</v>
      </c>
      <c r="D5039" s="8" t="str">
        <f t="shared" ca="1" si="236"/>
        <v>—</v>
      </c>
      <c r="E5039" s="16">
        <f t="shared" ca="1" si="237"/>
        <v>7</v>
      </c>
    </row>
    <row r="5040" spans="1:5" x14ac:dyDescent="0.25">
      <c r="A5040" s="3">
        <f t="shared" si="235"/>
        <v>78989</v>
      </c>
      <c r="B5040" t="str">
        <f ca="1">TEXT(DATE(YEAR(Invoer!$A$5),1,1)+INT((ROWS(B$2:B5040)-1)/24),"""18""jjmmdd")</f>
        <v>18980729</v>
      </c>
      <c r="C5040" s="11" t="str">
        <f>INDEX(Data,2,2+MOD(ROWS(C$2:C5040)-1,24))</f>
        <v>23.00</v>
      </c>
      <c r="D5040" s="8" t="str">
        <f t="shared" ca="1" si="236"/>
        <v>—</v>
      </c>
      <c r="E5040" s="16">
        <f t="shared" ca="1" si="237"/>
        <v>7</v>
      </c>
    </row>
    <row r="5041" spans="1:5" x14ac:dyDescent="0.25">
      <c r="A5041" s="3">
        <f t="shared" si="235"/>
        <v>78989</v>
      </c>
      <c r="B5041" t="str">
        <f ca="1">TEXT(DATE(YEAR(Invoer!$A$5),1,1)+INT((ROWS(B$2:B5041)-1)/24),"""18""jjmmdd")</f>
        <v>18980729</v>
      </c>
      <c r="C5041" s="11" t="str">
        <f>INDEX(Data,2,2+MOD(ROWS(C$2:C5041)-1,24))</f>
        <v>24.00</v>
      </c>
      <c r="D5041" s="8" t="str">
        <f t="shared" ca="1" si="236"/>
        <v>—</v>
      </c>
      <c r="E5041" s="16">
        <f t="shared" ca="1" si="237"/>
        <v>7</v>
      </c>
    </row>
    <row r="5042" spans="1:5" x14ac:dyDescent="0.25">
      <c r="A5042" s="3">
        <f t="shared" si="235"/>
        <v>78989</v>
      </c>
      <c r="B5042" t="str">
        <f ca="1">TEXT(DATE(YEAR(Invoer!$A$5),1,1)+INT((ROWS(B$2:B5042)-1)/24),"""18""jjmmdd")</f>
        <v>18980730</v>
      </c>
      <c r="C5042" s="11" t="str">
        <f>INDEX(Data,2,2+MOD(ROWS(C$2:C5042)-1,24))</f>
        <v>01.00</v>
      </c>
      <c r="D5042" s="8" t="str">
        <f t="shared" ca="1" si="236"/>
        <v>—</v>
      </c>
      <c r="E5042" s="16">
        <f t="shared" ca="1" si="237"/>
        <v>7</v>
      </c>
    </row>
    <row r="5043" spans="1:5" x14ac:dyDescent="0.25">
      <c r="A5043" s="3">
        <f t="shared" si="235"/>
        <v>78989</v>
      </c>
      <c r="B5043" t="str">
        <f ca="1">TEXT(DATE(YEAR(Invoer!$A$5),1,1)+INT((ROWS(B$2:B5043)-1)/24),"""18""jjmmdd")</f>
        <v>18980730</v>
      </c>
      <c r="C5043" s="11" t="str">
        <f>INDEX(Data,2,2+MOD(ROWS(C$2:C5043)-1,24))</f>
        <v>02.00</v>
      </c>
      <c r="D5043" s="8" t="str">
        <f t="shared" ca="1" si="236"/>
        <v>—</v>
      </c>
      <c r="E5043" s="16">
        <f t="shared" ca="1" si="237"/>
        <v>7</v>
      </c>
    </row>
    <row r="5044" spans="1:5" x14ac:dyDescent="0.25">
      <c r="A5044" s="3">
        <f t="shared" si="235"/>
        <v>78989</v>
      </c>
      <c r="B5044" t="str">
        <f ca="1">TEXT(DATE(YEAR(Invoer!$A$5),1,1)+INT((ROWS(B$2:B5044)-1)/24),"""18""jjmmdd")</f>
        <v>18980730</v>
      </c>
      <c r="C5044" s="11" t="str">
        <f>INDEX(Data,2,2+MOD(ROWS(C$2:C5044)-1,24))</f>
        <v>03.00</v>
      </c>
      <c r="D5044" s="8" t="str">
        <f t="shared" ca="1" si="236"/>
        <v>—</v>
      </c>
      <c r="E5044" s="16">
        <f t="shared" ca="1" si="237"/>
        <v>7</v>
      </c>
    </row>
    <row r="5045" spans="1:5" x14ac:dyDescent="0.25">
      <c r="A5045" s="3">
        <f t="shared" si="235"/>
        <v>78989</v>
      </c>
      <c r="B5045" t="str">
        <f ca="1">TEXT(DATE(YEAR(Invoer!$A$5),1,1)+INT((ROWS(B$2:B5045)-1)/24),"""18""jjmmdd")</f>
        <v>18980730</v>
      </c>
      <c r="C5045" s="11" t="str">
        <f>INDEX(Data,2,2+MOD(ROWS(C$2:C5045)-1,24))</f>
        <v>04.00</v>
      </c>
      <c r="D5045" s="8" t="str">
        <f t="shared" ca="1" si="236"/>
        <v>—</v>
      </c>
      <c r="E5045" s="16">
        <f t="shared" ca="1" si="237"/>
        <v>7</v>
      </c>
    </row>
    <row r="5046" spans="1:5" x14ac:dyDescent="0.25">
      <c r="A5046" s="3">
        <f t="shared" si="235"/>
        <v>78989</v>
      </c>
      <c r="B5046" t="str">
        <f ca="1">TEXT(DATE(YEAR(Invoer!$A$5),1,1)+INT((ROWS(B$2:B5046)-1)/24),"""18""jjmmdd")</f>
        <v>18980730</v>
      </c>
      <c r="C5046" s="11" t="str">
        <f>INDEX(Data,2,2+MOD(ROWS(C$2:C5046)-1,24))</f>
        <v>05.00</v>
      </c>
      <c r="D5046" s="8" t="str">
        <f t="shared" ca="1" si="236"/>
        <v>—</v>
      </c>
      <c r="E5046" s="16">
        <f t="shared" ca="1" si="237"/>
        <v>7</v>
      </c>
    </row>
    <row r="5047" spans="1:5" x14ac:dyDescent="0.25">
      <c r="A5047" s="3">
        <f t="shared" si="235"/>
        <v>78989</v>
      </c>
      <c r="B5047" t="str">
        <f ca="1">TEXT(DATE(YEAR(Invoer!$A$5),1,1)+INT((ROWS(B$2:B5047)-1)/24),"""18""jjmmdd")</f>
        <v>18980730</v>
      </c>
      <c r="C5047" s="11" t="str">
        <f>INDEX(Data,2,2+MOD(ROWS(C$2:C5047)-1,24))</f>
        <v>06.00</v>
      </c>
      <c r="D5047" s="8" t="str">
        <f t="shared" ca="1" si="236"/>
        <v>—</v>
      </c>
      <c r="E5047" s="16">
        <f t="shared" ca="1" si="237"/>
        <v>7</v>
      </c>
    </row>
    <row r="5048" spans="1:5" x14ac:dyDescent="0.25">
      <c r="A5048" s="3">
        <f t="shared" si="235"/>
        <v>78989</v>
      </c>
      <c r="B5048" t="str">
        <f ca="1">TEXT(DATE(YEAR(Invoer!$A$5),1,1)+INT((ROWS(B$2:B5048)-1)/24),"""18""jjmmdd")</f>
        <v>18980730</v>
      </c>
      <c r="C5048" s="11" t="str">
        <f>INDEX(Data,2,2+MOD(ROWS(C$2:C5048)-1,24))</f>
        <v>07.00</v>
      </c>
      <c r="D5048" s="8" t="str">
        <f t="shared" ca="1" si="236"/>
        <v>—</v>
      </c>
      <c r="E5048" s="16">
        <f t="shared" ca="1" si="237"/>
        <v>7</v>
      </c>
    </row>
    <row r="5049" spans="1:5" x14ac:dyDescent="0.25">
      <c r="A5049" s="3">
        <f t="shared" si="235"/>
        <v>78989</v>
      </c>
      <c r="B5049" t="str">
        <f ca="1">TEXT(DATE(YEAR(Invoer!$A$5),1,1)+INT((ROWS(B$2:B5049)-1)/24),"""18""jjmmdd")</f>
        <v>18980730</v>
      </c>
      <c r="C5049" s="11" t="str">
        <f>INDEX(Data,2,2+MOD(ROWS(C$2:C5049)-1,24))</f>
        <v>08.00</v>
      </c>
      <c r="D5049" s="8" t="str">
        <f t="shared" ca="1" si="236"/>
        <v>—</v>
      </c>
      <c r="E5049" s="16">
        <f t="shared" ca="1" si="237"/>
        <v>7</v>
      </c>
    </row>
    <row r="5050" spans="1:5" x14ac:dyDescent="0.25">
      <c r="A5050" s="3">
        <f t="shared" si="235"/>
        <v>78989</v>
      </c>
      <c r="B5050" t="str">
        <f ca="1">TEXT(DATE(YEAR(Invoer!$A$5),1,1)+INT((ROWS(B$2:B5050)-1)/24),"""18""jjmmdd")</f>
        <v>18980730</v>
      </c>
      <c r="C5050" s="11" t="str">
        <f>INDEX(Data,2,2+MOD(ROWS(C$2:C5050)-1,24))</f>
        <v>09.00</v>
      </c>
      <c r="D5050" s="8" t="str">
        <f t="shared" ca="1" si="236"/>
        <v>—</v>
      </c>
      <c r="E5050" s="16">
        <f t="shared" ca="1" si="237"/>
        <v>7</v>
      </c>
    </row>
    <row r="5051" spans="1:5" x14ac:dyDescent="0.25">
      <c r="A5051" s="3">
        <f t="shared" si="235"/>
        <v>78989</v>
      </c>
      <c r="B5051" t="str">
        <f ca="1">TEXT(DATE(YEAR(Invoer!$A$5),1,1)+INT((ROWS(B$2:B5051)-1)/24),"""18""jjmmdd")</f>
        <v>18980730</v>
      </c>
      <c r="C5051" s="11" t="str">
        <f>INDEX(Data,2,2+MOD(ROWS(C$2:C5051)-1,24))</f>
        <v>10.00</v>
      </c>
      <c r="D5051" s="8" t="str">
        <f t="shared" ca="1" si="236"/>
        <v>—</v>
      </c>
      <c r="E5051" s="16">
        <f t="shared" ca="1" si="237"/>
        <v>7</v>
      </c>
    </row>
    <row r="5052" spans="1:5" x14ac:dyDescent="0.25">
      <c r="A5052" s="3">
        <f t="shared" si="235"/>
        <v>78989</v>
      </c>
      <c r="B5052" t="str">
        <f ca="1">TEXT(DATE(YEAR(Invoer!$A$5),1,1)+INT((ROWS(B$2:B5052)-1)/24),"""18""jjmmdd")</f>
        <v>18980730</v>
      </c>
      <c r="C5052" s="11" t="str">
        <f>INDEX(Data,2,2+MOD(ROWS(C$2:C5052)-1,24))</f>
        <v>11.00</v>
      </c>
      <c r="D5052" s="8" t="str">
        <f t="shared" ca="1" si="236"/>
        <v>—</v>
      </c>
      <c r="E5052" s="16">
        <f t="shared" ca="1" si="237"/>
        <v>7</v>
      </c>
    </row>
    <row r="5053" spans="1:5" x14ac:dyDescent="0.25">
      <c r="A5053" s="3">
        <f t="shared" si="235"/>
        <v>78989</v>
      </c>
      <c r="B5053" t="str">
        <f ca="1">TEXT(DATE(YEAR(Invoer!$A$5),1,1)+INT((ROWS(B$2:B5053)-1)/24),"""18""jjmmdd")</f>
        <v>18980730</v>
      </c>
      <c r="C5053" s="11" t="str">
        <f>INDEX(Data,2,2+MOD(ROWS(C$2:C5053)-1,24))</f>
        <v>12.00</v>
      </c>
      <c r="D5053" s="8" t="str">
        <f t="shared" ca="1" si="236"/>
        <v>—</v>
      </c>
      <c r="E5053" s="16">
        <f t="shared" ca="1" si="237"/>
        <v>7</v>
      </c>
    </row>
    <row r="5054" spans="1:5" x14ac:dyDescent="0.25">
      <c r="A5054" s="3">
        <f t="shared" si="235"/>
        <v>78989</v>
      </c>
      <c r="B5054" t="str">
        <f ca="1">TEXT(DATE(YEAR(Invoer!$A$5),1,1)+INT((ROWS(B$2:B5054)-1)/24),"""18""jjmmdd")</f>
        <v>18980730</v>
      </c>
      <c r="C5054" s="11" t="str">
        <f>INDEX(Data,2,2+MOD(ROWS(C$2:C5054)-1,24))</f>
        <v>13.00</v>
      </c>
      <c r="D5054" s="8" t="str">
        <f t="shared" ca="1" si="236"/>
        <v>—</v>
      </c>
      <c r="E5054" s="16">
        <f t="shared" ca="1" si="237"/>
        <v>7</v>
      </c>
    </row>
    <row r="5055" spans="1:5" x14ac:dyDescent="0.25">
      <c r="A5055" s="3">
        <f t="shared" si="235"/>
        <v>78989</v>
      </c>
      <c r="B5055" t="str">
        <f ca="1">TEXT(DATE(YEAR(Invoer!$A$5),1,1)+INT((ROWS(B$2:B5055)-1)/24),"""18""jjmmdd")</f>
        <v>18980730</v>
      </c>
      <c r="C5055" s="11" t="str">
        <f>INDEX(Data,2,2+MOD(ROWS(C$2:C5055)-1,24))</f>
        <v>14.00</v>
      </c>
      <c r="D5055" s="8" t="str">
        <f t="shared" ca="1" si="236"/>
        <v>—</v>
      </c>
      <c r="E5055" s="16">
        <f t="shared" ca="1" si="237"/>
        <v>7</v>
      </c>
    </row>
    <row r="5056" spans="1:5" x14ac:dyDescent="0.25">
      <c r="A5056" s="3">
        <f t="shared" si="235"/>
        <v>78989</v>
      </c>
      <c r="B5056" t="str">
        <f ca="1">TEXT(DATE(YEAR(Invoer!$A$5),1,1)+INT((ROWS(B$2:B5056)-1)/24),"""18""jjmmdd")</f>
        <v>18980730</v>
      </c>
      <c r="C5056" s="11" t="str">
        <f>INDEX(Data,2,2+MOD(ROWS(C$2:C5056)-1,24))</f>
        <v>15.00</v>
      </c>
      <c r="D5056" s="8" t="str">
        <f t="shared" ca="1" si="236"/>
        <v>—</v>
      </c>
      <c r="E5056" s="16">
        <f t="shared" ca="1" si="237"/>
        <v>7</v>
      </c>
    </row>
    <row r="5057" spans="1:5" x14ac:dyDescent="0.25">
      <c r="A5057" s="3">
        <f t="shared" si="235"/>
        <v>78989</v>
      </c>
      <c r="B5057" t="str">
        <f ca="1">TEXT(DATE(YEAR(Invoer!$A$5),1,1)+INT((ROWS(B$2:B5057)-1)/24),"""18""jjmmdd")</f>
        <v>18980730</v>
      </c>
      <c r="C5057" s="11" t="str">
        <f>INDEX(Data,2,2+MOD(ROWS(C$2:C5057)-1,24))</f>
        <v>16.00</v>
      </c>
      <c r="D5057" s="8" t="str">
        <f t="shared" ca="1" si="236"/>
        <v>—</v>
      </c>
      <c r="E5057" s="16">
        <f t="shared" ca="1" si="237"/>
        <v>7</v>
      </c>
    </row>
    <row r="5058" spans="1:5" x14ac:dyDescent="0.25">
      <c r="A5058" s="3">
        <f t="shared" ref="A5058:A5121" si="238">INDEX(Stations,2,1)</f>
        <v>78989</v>
      </c>
      <c r="B5058" t="str">
        <f ca="1">TEXT(DATE(YEAR(Invoer!$A$5),1,1)+INT((ROWS(B$2:B5058)-1)/24),"""18""jjmmdd")</f>
        <v>18980730</v>
      </c>
      <c r="C5058" s="11" t="str">
        <f>INDEX(Data,2,2+MOD(ROWS(C$2:C5058)-1,24))</f>
        <v>17.00</v>
      </c>
      <c r="D5058" s="8" t="str">
        <f t="shared" ref="D5058:D5121" ca="1" si="239">IF(OR(ISBLANK(VLOOKUP(DATEVALUE("37"&amp;MID($B5058,3,2)&amp;"-"&amp;MID($B5058,5,2)&amp;"-"&amp;RIGHT($B5058,2)),Data,MATCH(LEFT(VLOOKUP(D$1,Parameters,2,FALSE()),4)&amp;"*",OFFSET(Data,0,0,1),0)+MATCH($C5058,OFFSET(Data,1,0,1),0)-2,FALSE())),ISTEXT(VLOOKUP(DATEVALUE("37"&amp;MID($B5058,3,2)&amp;"-"&amp;MID($B5058,5,2)&amp;"-"&amp;RIGHT($B5058,2)),Data,MATCH(LEFT(VLOOKUP(D$1,Parameters,2,FALSE()),4)&amp;"*",OFFSET(Data,0,0,1),0)+MATCH($C5058,OFFSET(Data,1,0,1),0)-2,FALSE()))),"—",VLOOKUP(DATEVALUE("37"&amp;MID($B5058,3,2)&amp;"-"&amp;MID($B5058,5,2)&amp;"-"&amp;RIGHT($B5058,2)),Data,MATCH(LEFT(VLOOKUP(D$1,Parameters,2,FALSE()),4)&amp;"*",OFFSET(Data,0,0,1),0)+MATCH($C5058,OFFSET(Data,1,0,1),0)-2,FALSE()))</f>
        <v>—</v>
      </c>
      <c r="E5058" s="16">
        <f t="shared" ca="1" si="237"/>
        <v>7</v>
      </c>
    </row>
    <row r="5059" spans="1:5" x14ac:dyDescent="0.25">
      <c r="A5059" s="3">
        <f t="shared" si="238"/>
        <v>78989</v>
      </c>
      <c r="B5059" t="str">
        <f ca="1">TEXT(DATE(YEAR(Invoer!$A$5),1,1)+INT((ROWS(B$2:B5059)-1)/24),"""18""jjmmdd")</f>
        <v>18980730</v>
      </c>
      <c r="C5059" s="11" t="str">
        <f>INDEX(Data,2,2+MOD(ROWS(C$2:C5059)-1,24))</f>
        <v>18.00</v>
      </c>
      <c r="D5059" s="8" t="str">
        <f t="shared" ca="1" si="239"/>
        <v>—</v>
      </c>
      <c r="E5059" s="16">
        <f t="shared" ref="E5059:E5122" ca="1" si="240">IF(OR(ISBLANK(VLOOKUP(DATEVALUE("37"&amp;MID($B5059,3,2)&amp;"-"&amp;MID($B5059,5,2)&amp;"-"&amp;RIGHT($B5059,2)),Data,MATCH(LEFT(VLOOKUP(D$1,Parameters,2,FALSE()),4)&amp;"*",OFFSET(Data,0,0,1),0)+MATCH($C5059,OFFSET(Data,1,0,1),0)-2,FALSE())),ISTEXT(VLOOKUP(DATEVALUE("37"&amp;MID($B5059,3,2)&amp;"-"&amp;MID($B5059,5,2)&amp;"-"&amp;RIGHT($B5059,2)),Data,MATCH(LEFT(VLOOKUP(D$1,Parameters,2,FALSE()),4)&amp;"*",OFFSET(Data,0,0,1),0)+MATCH($C5059,OFFSET(Data,1,0,1),0)-2,FALSE()))),Lacking,IF(ISNA(MATCH(DATEVALUE("37"&amp;MID($B5059,3,2)&amp;"-"&amp;MID($B5059,5,2)&amp;"-"&amp;RIGHT($B5059,2)),OFFSET(Catalogus,0,0,,1),0)),Ok,VLOOKUP(DATEVALUE("37"&amp;MID($B5059,3,2)&amp;"-"&amp;MID($B5059,5,2)&amp;"-"&amp;RIGHT($B5059,2)),Catalogus,MATCH(LEFT(VLOOKUP(MID(E$1,2,LEN(E$1)-1),Parameters,2,FALSE()),4)&amp;"*",OFFSET(Catalogus,0,0,1),0)+MATCH($C5059,OFFSET(Catalogus,1,0,1),0)-2,FALSE())))</f>
        <v>7</v>
      </c>
    </row>
    <row r="5060" spans="1:5" x14ac:dyDescent="0.25">
      <c r="A5060" s="3">
        <f t="shared" si="238"/>
        <v>78989</v>
      </c>
      <c r="B5060" t="str">
        <f ca="1">TEXT(DATE(YEAR(Invoer!$A$5),1,1)+INT((ROWS(B$2:B5060)-1)/24),"""18""jjmmdd")</f>
        <v>18980730</v>
      </c>
      <c r="C5060" s="11" t="str">
        <f>INDEX(Data,2,2+MOD(ROWS(C$2:C5060)-1,24))</f>
        <v>19.00</v>
      </c>
      <c r="D5060" s="8" t="str">
        <f t="shared" ca="1" si="239"/>
        <v>—</v>
      </c>
      <c r="E5060" s="16">
        <f t="shared" ca="1" si="240"/>
        <v>7</v>
      </c>
    </row>
    <row r="5061" spans="1:5" x14ac:dyDescent="0.25">
      <c r="A5061" s="3">
        <f t="shared" si="238"/>
        <v>78989</v>
      </c>
      <c r="B5061" t="str">
        <f ca="1">TEXT(DATE(YEAR(Invoer!$A$5),1,1)+INT((ROWS(B$2:B5061)-1)/24),"""18""jjmmdd")</f>
        <v>18980730</v>
      </c>
      <c r="C5061" s="11" t="str">
        <f>INDEX(Data,2,2+MOD(ROWS(C$2:C5061)-1,24))</f>
        <v>20.00</v>
      </c>
      <c r="D5061" s="8" t="str">
        <f t="shared" ca="1" si="239"/>
        <v>—</v>
      </c>
      <c r="E5061" s="16">
        <f t="shared" ca="1" si="240"/>
        <v>7</v>
      </c>
    </row>
    <row r="5062" spans="1:5" x14ac:dyDescent="0.25">
      <c r="A5062" s="3">
        <f t="shared" si="238"/>
        <v>78989</v>
      </c>
      <c r="B5062" t="str">
        <f ca="1">TEXT(DATE(YEAR(Invoer!$A$5),1,1)+INT((ROWS(B$2:B5062)-1)/24),"""18""jjmmdd")</f>
        <v>18980730</v>
      </c>
      <c r="C5062" s="11" t="str">
        <f>INDEX(Data,2,2+MOD(ROWS(C$2:C5062)-1,24))</f>
        <v>21.00</v>
      </c>
      <c r="D5062" s="8" t="str">
        <f t="shared" ca="1" si="239"/>
        <v>—</v>
      </c>
      <c r="E5062" s="16">
        <f t="shared" ca="1" si="240"/>
        <v>7</v>
      </c>
    </row>
    <row r="5063" spans="1:5" x14ac:dyDescent="0.25">
      <c r="A5063" s="3">
        <f t="shared" si="238"/>
        <v>78989</v>
      </c>
      <c r="B5063" t="str">
        <f ca="1">TEXT(DATE(YEAR(Invoer!$A$5),1,1)+INT((ROWS(B$2:B5063)-1)/24),"""18""jjmmdd")</f>
        <v>18980730</v>
      </c>
      <c r="C5063" s="11" t="str">
        <f>INDEX(Data,2,2+MOD(ROWS(C$2:C5063)-1,24))</f>
        <v>22.00</v>
      </c>
      <c r="D5063" s="8" t="str">
        <f t="shared" ca="1" si="239"/>
        <v>—</v>
      </c>
      <c r="E5063" s="16">
        <f t="shared" ca="1" si="240"/>
        <v>7</v>
      </c>
    </row>
    <row r="5064" spans="1:5" x14ac:dyDescent="0.25">
      <c r="A5064" s="3">
        <f t="shared" si="238"/>
        <v>78989</v>
      </c>
      <c r="B5064" t="str">
        <f ca="1">TEXT(DATE(YEAR(Invoer!$A$5),1,1)+INT((ROWS(B$2:B5064)-1)/24),"""18""jjmmdd")</f>
        <v>18980730</v>
      </c>
      <c r="C5064" s="11" t="str">
        <f>INDEX(Data,2,2+MOD(ROWS(C$2:C5064)-1,24))</f>
        <v>23.00</v>
      </c>
      <c r="D5064" s="8" t="str">
        <f t="shared" ca="1" si="239"/>
        <v>—</v>
      </c>
      <c r="E5064" s="16">
        <f t="shared" ca="1" si="240"/>
        <v>7</v>
      </c>
    </row>
    <row r="5065" spans="1:5" x14ac:dyDescent="0.25">
      <c r="A5065" s="3">
        <f t="shared" si="238"/>
        <v>78989</v>
      </c>
      <c r="B5065" t="str">
        <f ca="1">TEXT(DATE(YEAR(Invoer!$A$5),1,1)+INT((ROWS(B$2:B5065)-1)/24),"""18""jjmmdd")</f>
        <v>18980730</v>
      </c>
      <c r="C5065" s="11" t="str">
        <f>INDEX(Data,2,2+MOD(ROWS(C$2:C5065)-1,24))</f>
        <v>24.00</v>
      </c>
      <c r="D5065" s="8" t="str">
        <f t="shared" ca="1" si="239"/>
        <v>—</v>
      </c>
      <c r="E5065" s="16">
        <f t="shared" ca="1" si="240"/>
        <v>7</v>
      </c>
    </row>
    <row r="5066" spans="1:5" x14ac:dyDescent="0.25">
      <c r="A5066" s="3">
        <f t="shared" si="238"/>
        <v>78989</v>
      </c>
      <c r="B5066" t="str">
        <f ca="1">TEXT(DATE(YEAR(Invoer!$A$5),1,1)+INT((ROWS(B$2:B5066)-1)/24),"""18""jjmmdd")</f>
        <v>18980731</v>
      </c>
      <c r="C5066" s="11" t="str">
        <f>INDEX(Data,2,2+MOD(ROWS(C$2:C5066)-1,24))</f>
        <v>01.00</v>
      </c>
      <c r="D5066" s="8" t="str">
        <f t="shared" ca="1" si="239"/>
        <v>—</v>
      </c>
      <c r="E5066" s="16">
        <f t="shared" ca="1" si="240"/>
        <v>7</v>
      </c>
    </row>
    <row r="5067" spans="1:5" x14ac:dyDescent="0.25">
      <c r="A5067" s="3">
        <f t="shared" si="238"/>
        <v>78989</v>
      </c>
      <c r="B5067" t="str">
        <f ca="1">TEXT(DATE(YEAR(Invoer!$A$5),1,1)+INT((ROWS(B$2:B5067)-1)/24),"""18""jjmmdd")</f>
        <v>18980731</v>
      </c>
      <c r="C5067" s="11" t="str">
        <f>INDEX(Data,2,2+MOD(ROWS(C$2:C5067)-1,24))</f>
        <v>02.00</v>
      </c>
      <c r="D5067" s="8" t="str">
        <f t="shared" ca="1" si="239"/>
        <v>—</v>
      </c>
      <c r="E5067" s="16">
        <f t="shared" ca="1" si="240"/>
        <v>7</v>
      </c>
    </row>
    <row r="5068" spans="1:5" x14ac:dyDescent="0.25">
      <c r="A5068" s="3">
        <f t="shared" si="238"/>
        <v>78989</v>
      </c>
      <c r="B5068" t="str">
        <f ca="1">TEXT(DATE(YEAR(Invoer!$A$5),1,1)+INT((ROWS(B$2:B5068)-1)/24),"""18""jjmmdd")</f>
        <v>18980731</v>
      </c>
      <c r="C5068" s="11" t="str">
        <f>INDEX(Data,2,2+MOD(ROWS(C$2:C5068)-1,24))</f>
        <v>03.00</v>
      </c>
      <c r="D5068" s="8" t="str">
        <f t="shared" ca="1" si="239"/>
        <v>—</v>
      </c>
      <c r="E5068" s="16">
        <f t="shared" ca="1" si="240"/>
        <v>7</v>
      </c>
    </row>
    <row r="5069" spans="1:5" x14ac:dyDescent="0.25">
      <c r="A5069" s="3">
        <f t="shared" si="238"/>
        <v>78989</v>
      </c>
      <c r="B5069" t="str">
        <f ca="1">TEXT(DATE(YEAR(Invoer!$A$5),1,1)+INT((ROWS(B$2:B5069)-1)/24),"""18""jjmmdd")</f>
        <v>18980731</v>
      </c>
      <c r="C5069" s="11" t="str">
        <f>INDEX(Data,2,2+MOD(ROWS(C$2:C5069)-1,24))</f>
        <v>04.00</v>
      </c>
      <c r="D5069" s="8" t="str">
        <f t="shared" ca="1" si="239"/>
        <v>—</v>
      </c>
      <c r="E5069" s="16">
        <f t="shared" ca="1" si="240"/>
        <v>7</v>
      </c>
    </row>
    <row r="5070" spans="1:5" x14ac:dyDescent="0.25">
      <c r="A5070" s="3">
        <f t="shared" si="238"/>
        <v>78989</v>
      </c>
      <c r="B5070" t="str">
        <f ca="1">TEXT(DATE(YEAR(Invoer!$A$5),1,1)+INT((ROWS(B$2:B5070)-1)/24),"""18""jjmmdd")</f>
        <v>18980731</v>
      </c>
      <c r="C5070" s="11" t="str">
        <f>INDEX(Data,2,2+MOD(ROWS(C$2:C5070)-1,24))</f>
        <v>05.00</v>
      </c>
      <c r="D5070" s="8" t="str">
        <f t="shared" ca="1" si="239"/>
        <v>—</v>
      </c>
      <c r="E5070" s="16">
        <f t="shared" ca="1" si="240"/>
        <v>7</v>
      </c>
    </row>
    <row r="5071" spans="1:5" x14ac:dyDescent="0.25">
      <c r="A5071" s="3">
        <f t="shared" si="238"/>
        <v>78989</v>
      </c>
      <c r="B5071" t="str">
        <f ca="1">TEXT(DATE(YEAR(Invoer!$A$5),1,1)+INT((ROWS(B$2:B5071)-1)/24),"""18""jjmmdd")</f>
        <v>18980731</v>
      </c>
      <c r="C5071" s="11" t="str">
        <f>INDEX(Data,2,2+MOD(ROWS(C$2:C5071)-1,24))</f>
        <v>06.00</v>
      </c>
      <c r="D5071" s="8" t="str">
        <f t="shared" ca="1" si="239"/>
        <v>—</v>
      </c>
      <c r="E5071" s="16">
        <f t="shared" ca="1" si="240"/>
        <v>7</v>
      </c>
    </row>
    <row r="5072" spans="1:5" x14ac:dyDescent="0.25">
      <c r="A5072" s="3">
        <f t="shared" si="238"/>
        <v>78989</v>
      </c>
      <c r="B5072" t="str">
        <f ca="1">TEXT(DATE(YEAR(Invoer!$A$5),1,1)+INT((ROWS(B$2:B5072)-1)/24),"""18""jjmmdd")</f>
        <v>18980731</v>
      </c>
      <c r="C5072" s="11" t="str">
        <f>INDEX(Data,2,2+MOD(ROWS(C$2:C5072)-1,24))</f>
        <v>07.00</v>
      </c>
      <c r="D5072" s="8" t="str">
        <f t="shared" ca="1" si="239"/>
        <v>—</v>
      </c>
      <c r="E5072" s="16">
        <f t="shared" ca="1" si="240"/>
        <v>7</v>
      </c>
    </row>
    <row r="5073" spans="1:5" x14ac:dyDescent="0.25">
      <c r="A5073" s="3">
        <f t="shared" si="238"/>
        <v>78989</v>
      </c>
      <c r="B5073" t="str">
        <f ca="1">TEXT(DATE(YEAR(Invoer!$A$5),1,1)+INT((ROWS(B$2:B5073)-1)/24),"""18""jjmmdd")</f>
        <v>18980731</v>
      </c>
      <c r="C5073" s="11" t="str">
        <f>INDEX(Data,2,2+MOD(ROWS(C$2:C5073)-1,24))</f>
        <v>08.00</v>
      </c>
      <c r="D5073" s="8" t="str">
        <f t="shared" ca="1" si="239"/>
        <v>—</v>
      </c>
      <c r="E5073" s="16">
        <f t="shared" ca="1" si="240"/>
        <v>7</v>
      </c>
    </row>
    <row r="5074" spans="1:5" x14ac:dyDescent="0.25">
      <c r="A5074" s="3">
        <f t="shared" si="238"/>
        <v>78989</v>
      </c>
      <c r="B5074" t="str">
        <f ca="1">TEXT(DATE(YEAR(Invoer!$A$5),1,1)+INT((ROWS(B$2:B5074)-1)/24),"""18""jjmmdd")</f>
        <v>18980731</v>
      </c>
      <c r="C5074" s="11" t="str">
        <f>INDEX(Data,2,2+MOD(ROWS(C$2:C5074)-1,24))</f>
        <v>09.00</v>
      </c>
      <c r="D5074" s="8" t="str">
        <f t="shared" ca="1" si="239"/>
        <v>—</v>
      </c>
      <c r="E5074" s="16">
        <f t="shared" ca="1" si="240"/>
        <v>7</v>
      </c>
    </row>
    <row r="5075" spans="1:5" x14ac:dyDescent="0.25">
      <c r="A5075" s="3">
        <f t="shared" si="238"/>
        <v>78989</v>
      </c>
      <c r="B5075" t="str">
        <f ca="1">TEXT(DATE(YEAR(Invoer!$A$5),1,1)+INT((ROWS(B$2:B5075)-1)/24),"""18""jjmmdd")</f>
        <v>18980731</v>
      </c>
      <c r="C5075" s="11" t="str">
        <f>INDEX(Data,2,2+MOD(ROWS(C$2:C5075)-1,24))</f>
        <v>10.00</v>
      </c>
      <c r="D5075" s="8" t="str">
        <f t="shared" ca="1" si="239"/>
        <v>—</v>
      </c>
      <c r="E5075" s="16">
        <f t="shared" ca="1" si="240"/>
        <v>7</v>
      </c>
    </row>
    <row r="5076" spans="1:5" x14ac:dyDescent="0.25">
      <c r="A5076" s="3">
        <f t="shared" si="238"/>
        <v>78989</v>
      </c>
      <c r="B5076" t="str">
        <f ca="1">TEXT(DATE(YEAR(Invoer!$A$5),1,1)+INT((ROWS(B$2:B5076)-1)/24),"""18""jjmmdd")</f>
        <v>18980731</v>
      </c>
      <c r="C5076" s="11" t="str">
        <f>INDEX(Data,2,2+MOD(ROWS(C$2:C5076)-1,24))</f>
        <v>11.00</v>
      </c>
      <c r="D5076" s="8" t="str">
        <f t="shared" ca="1" si="239"/>
        <v>—</v>
      </c>
      <c r="E5076" s="16">
        <f t="shared" ca="1" si="240"/>
        <v>7</v>
      </c>
    </row>
    <row r="5077" spans="1:5" x14ac:dyDescent="0.25">
      <c r="A5077" s="3">
        <f t="shared" si="238"/>
        <v>78989</v>
      </c>
      <c r="B5077" t="str">
        <f ca="1">TEXT(DATE(YEAR(Invoer!$A$5),1,1)+INT((ROWS(B$2:B5077)-1)/24),"""18""jjmmdd")</f>
        <v>18980731</v>
      </c>
      <c r="C5077" s="11" t="str">
        <f>INDEX(Data,2,2+MOD(ROWS(C$2:C5077)-1,24))</f>
        <v>12.00</v>
      </c>
      <c r="D5077" s="8" t="str">
        <f t="shared" ca="1" si="239"/>
        <v>—</v>
      </c>
      <c r="E5077" s="16">
        <f t="shared" ca="1" si="240"/>
        <v>7</v>
      </c>
    </row>
    <row r="5078" spans="1:5" x14ac:dyDescent="0.25">
      <c r="A5078" s="3">
        <f t="shared" si="238"/>
        <v>78989</v>
      </c>
      <c r="B5078" t="str">
        <f ca="1">TEXT(DATE(YEAR(Invoer!$A$5),1,1)+INT((ROWS(B$2:B5078)-1)/24),"""18""jjmmdd")</f>
        <v>18980731</v>
      </c>
      <c r="C5078" s="11" t="str">
        <f>INDEX(Data,2,2+MOD(ROWS(C$2:C5078)-1,24))</f>
        <v>13.00</v>
      </c>
      <c r="D5078" s="8" t="str">
        <f t="shared" ca="1" si="239"/>
        <v>—</v>
      </c>
      <c r="E5078" s="16">
        <f t="shared" ca="1" si="240"/>
        <v>7</v>
      </c>
    </row>
    <row r="5079" spans="1:5" x14ac:dyDescent="0.25">
      <c r="A5079" s="3">
        <f t="shared" si="238"/>
        <v>78989</v>
      </c>
      <c r="B5079" t="str">
        <f ca="1">TEXT(DATE(YEAR(Invoer!$A$5),1,1)+INT((ROWS(B$2:B5079)-1)/24),"""18""jjmmdd")</f>
        <v>18980731</v>
      </c>
      <c r="C5079" s="11" t="str">
        <f>INDEX(Data,2,2+MOD(ROWS(C$2:C5079)-1,24))</f>
        <v>14.00</v>
      </c>
      <c r="D5079" s="8" t="str">
        <f t="shared" ca="1" si="239"/>
        <v>—</v>
      </c>
      <c r="E5079" s="16">
        <f t="shared" ca="1" si="240"/>
        <v>7</v>
      </c>
    </row>
    <row r="5080" spans="1:5" x14ac:dyDescent="0.25">
      <c r="A5080" s="3">
        <f t="shared" si="238"/>
        <v>78989</v>
      </c>
      <c r="B5080" t="str">
        <f ca="1">TEXT(DATE(YEAR(Invoer!$A$5),1,1)+INT((ROWS(B$2:B5080)-1)/24),"""18""jjmmdd")</f>
        <v>18980731</v>
      </c>
      <c r="C5080" s="11" t="str">
        <f>INDEX(Data,2,2+MOD(ROWS(C$2:C5080)-1,24))</f>
        <v>15.00</v>
      </c>
      <c r="D5080" s="8" t="str">
        <f t="shared" ca="1" si="239"/>
        <v>—</v>
      </c>
      <c r="E5080" s="16">
        <f t="shared" ca="1" si="240"/>
        <v>7</v>
      </c>
    </row>
    <row r="5081" spans="1:5" x14ac:dyDescent="0.25">
      <c r="A5081" s="3">
        <f t="shared" si="238"/>
        <v>78989</v>
      </c>
      <c r="B5081" t="str">
        <f ca="1">TEXT(DATE(YEAR(Invoer!$A$5),1,1)+INT((ROWS(B$2:B5081)-1)/24),"""18""jjmmdd")</f>
        <v>18980731</v>
      </c>
      <c r="C5081" s="11" t="str">
        <f>INDEX(Data,2,2+MOD(ROWS(C$2:C5081)-1,24))</f>
        <v>16.00</v>
      </c>
      <c r="D5081" s="8" t="str">
        <f t="shared" ca="1" si="239"/>
        <v>—</v>
      </c>
      <c r="E5081" s="16">
        <f t="shared" ca="1" si="240"/>
        <v>7</v>
      </c>
    </row>
    <row r="5082" spans="1:5" x14ac:dyDescent="0.25">
      <c r="A5082" s="3">
        <f t="shared" si="238"/>
        <v>78989</v>
      </c>
      <c r="B5082" t="str">
        <f ca="1">TEXT(DATE(YEAR(Invoer!$A$5),1,1)+INT((ROWS(B$2:B5082)-1)/24),"""18""jjmmdd")</f>
        <v>18980731</v>
      </c>
      <c r="C5082" s="11" t="str">
        <f>INDEX(Data,2,2+MOD(ROWS(C$2:C5082)-1,24))</f>
        <v>17.00</v>
      </c>
      <c r="D5082" s="8" t="str">
        <f t="shared" ca="1" si="239"/>
        <v>—</v>
      </c>
      <c r="E5082" s="16">
        <f t="shared" ca="1" si="240"/>
        <v>7</v>
      </c>
    </row>
    <row r="5083" spans="1:5" x14ac:dyDescent="0.25">
      <c r="A5083" s="3">
        <f t="shared" si="238"/>
        <v>78989</v>
      </c>
      <c r="B5083" t="str">
        <f ca="1">TEXT(DATE(YEAR(Invoer!$A$5),1,1)+INT((ROWS(B$2:B5083)-1)/24),"""18""jjmmdd")</f>
        <v>18980731</v>
      </c>
      <c r="C5083" s="11" t="str">
        <f>INDEX(Data,2,2+MOD(ROWS(C$2:C5083)-1,24))</f>
        <v>18.00</v>
      </c>
      <c r="D5083" s="8" t="str">
        <f t="shared" ca="1" si="239"/>
        <v>—</v>
      </c>
      <c r="E5083" s="16">
        <f t="shared" ca="1" si="240"/>
        <v>7</v>
      </c>
    </row>
    <row r="5084" spans="1:5" x14ac:dyDescent="0.25">
      <c r="A5084" s="3">
        <f t="shared" si="238"/>
        <v>78989</v>
      </c>
      <c r="B5084" t="str">
        <f ca="1">TEXT(DATE(YEAR(Invoer!$A$5),1,1)+INT((ROWS(B$2:B5084)-1)/24),"""18""jjmmdd")</f>
        <v>18980731</v>
      </c>
      <c r="C5084" s="11" t="str">
        <f>INDEX(Data,2,2+MOD(ROWS(C$2:C5084)-1,24))</f>
        <v>19.00</v>
      </c>
      <c r="D5084" s="8" t="str">
        <f t="shared" ca="1" si="239"/>
        <v>—</v>
      </c>
      <c r="E5084" s="16">
        <f t="shared" ca="1" si="240"/>
        <v>7</v>
      </c>
    </row>
    <row r="5085" spans="1:5" x14ac:dyDescent="0.25">
      <c r="A5085" s="3">
        <f t="shared" si="238"/>
        <v>78989</v>
      </c>
      <c r="B5085" t="str">
        <f ca="1">TEXT(DATE(YEAR(Invoer!$A$5),1,1)+INT((ROWS(B$2:B5085)-1)/24),"""18""jjmmdd")</f>
        <v>18980731</v>
      </c>
      <c r="C5085" s="11" t="str">
        <f>INDEX(Data,2,2+MOD(ROWS(C$2:C5085)-1,24))</f>
        <v>20.00</v>
      </c>
      <c r="D5085" s="8" t="str">
        <f t="shared" ca="1" si="239"/>
        <v>—</v>
      </c>
      <c r="E5085" s="16">
        <f t="shared" ca="1" si="240"/>
        <v>7</v>
      </c>
    </row>
    <row r="5086" spans="1:5" x14ac:dyDescent="0.25">
      <c r="A5086" s="3">
        <f t="shared" si="238"/>
        <v>78989</v>
      </c>
      <c r="B5086" t="str">
        <f ca="1">TEXT(DATE(YEAR(Invoer!$A$5),1,1)+INT((ROWS(B$2:B5086)-1)/24),"""18""jjmmdd")</f>
        <v>18980731</v>
      </c>
      <c r="C5086" s="11" t="str">
        <f>INDEX(Data,2,2+MOD(ROWS(C$2:C5086)-1,24))</f>
        <v>21.00</v>
      </c>
      <c r="D5086" s="8" t="str">
        <f t="shared" ca="1" si="239"/>
        <v>—</v>
      </c>
      <c r="E5086" s="16">
        <f t="shared" ca="1" si="240"/>
        <v>7</v>
      </c>
    </row>
    <row r="5087" spans="1:5" x14ac:dyDescent="0.25">
      <c r="A5087" s="3">
        <f t="shared" si="238"/>
        <v>78989</v>
      </c>
      <c r="B5087" t="str">
        <f ca="1">TEXT(DATE(YEAR(Invoer!$A$5),1,1)+INT((ROWS(B$2:B5087)-1)/24),"""18""jjmmdd")</f>
        <v>18980731</v>
      </c>
      <c r="C5087" s="11" t="str">
        <f>INDEX(Data,2,2+MOD(ROWS(C$2:C5087)-1,24))</f>
        <v>22.00</v>
      </c>
      <c r="D5087" s="8" t="str">
        <f t="shared" ca="1" si="239"/>
        <v>—</v>
      </c>
      <c r="E5087" s="16">
        <f t="shared" ca="1" si="240"/>
        <v>7</v>
      </c>
    </row>
    <row r="5088" spans="1:5" x14ac:dyDescent="0.25">
      <c r="A5088" s="3">
        <f t="shared" si="238"/>
        <v>78989</v>
      </c>
      <c r="B5088" t="str">
        <f ca="1">TEXT(DATE(YEAR(Invoer!$A$5),1,1)+INT((ROWS(B$2:B5088)-1)/24),"""18""jjmmdd")</f>
        <v>18980731</v>
      </c>
      <c r="C5088" s="11" t="str">
        <f>INDEX(Data,2,2+MOD(ROWS(C$2:C5088)-1,24))</f>
        <v>23.00</v>
      </c>
      <c r="D5088" s="8" t="str">
        <f t="shared" ca="1" si="239"/>
        <v>—</v>
      </c>
      <c r="E5088" s="16">
        <f t="shared" ca="1" si="240"/>
        <v>7</v>
      </c>
    </row>
    <row r="5089" spans="1:5" x14ac:dyDescent="0.25">
      <c r="A5089" s="3">
        <f t="shared" si="238"/>
        <v>78989</v>
      </c>
      <c r="B5089" t="str">
        <f ca="1">TEXT(DATE(YEAR(Invoer!$A$5),1,1)+INT((ROWS(B$2:B5089)-1)/24),"""18""jjmmdd")</f>
        <v>18980731</v>
      </c>
      <c r="C5089" s="11" t="str">
        <f>INDEX(Data,2,2+MOD(ROWS(C$2:C5089)-1,24))</f>
        <v>24.00</v>
      </c>
      <c r="D5089" s="8" t="str">
        <f t="shared" ca="1" si="239"/>
        <v>—</v>
      </c>
      <c r="E5089" s="16">
        <f t="shared" ca="1" si="240"/>
        <v>7</v>
      </c>
    </row>
    <row r="5090" spans="1:5" x14ac:dyDescent="0.25">
      <c r="A5090" s="3">
        <f t="shared" si="238"/>
        <v>78989</v>
      </c>
      <c r="B5090" t="str">
        <f ca="1">TEXT(DATE(YEAR(Invoer!$A$5),1,1)+INT((ROWS(B$2:B5090)-1)/24),"""18""jjmmdd")</f>
        <v>18980801</v>
      </c>
      <c r="C5090" s="11" t="str">
        <f>INDEX(Data,2,2+MOD(ROWS(C$2:C5090)-1,24))</f>
        <v>01.00</v>
      </c>
      <c r="D5090" s="8" t="str">
        <f t="shared" ca="1" si="239"/>
        <v>—</v>
      </c>
      <c r="E5090" s="16">
        <f t="shared" ca="1" si="240"/>
        <v>7</v>
      </c>
    </row>
    <row r="5091" spans="1:5" x14ac:dyDescent="0.25">
      <c r="A5091" s="3">
        <f t="shared" si="238"/>
        <v>78989</v>
      </c>
      <c r="B5091" t="str">
        <f ca="1">TEXT(DATE(YEAR(Invoer!$A$5),1,1)+INT((ROWS(B$2:B5091)-1)/24),"""18""jjmmdd")</f>
        <v>18980801</v>
      </c>
      <c r="C5091" s="11" t="str">
        <f>INDEX(Data,2,2+MOD(ROWS(C$2:C5091)-1,24))</f>
        <v>02.00</v>
      </c>
      <c r="D5091" s="8" t="str">
        <f t="shared" ca="1" si="239"/>
        <v>—</v>
      </c>
      <c r="E5091" s="16">
        <f t="shared" ca="1" si="240"/>
        <v>7</v>
      </c>
    </row>
    <row r="5092" spans="1:5" x14ac:dyDescent="0.25">
      <c r="A5092" s="3">
        <f t="shared" si="238"/>
        <v>78989</v>
      </c>
      <c r="B5092" t="str">
        <f ca="1">TEXT(DATE(YEAR(Invoer!$A$5),1,1)+INT((ROWS(B$2:B5092)-1)/24),"""18""jjmmdd")</f>
        <v>18980801</v>
      </c>
      <c r="C5092" s="11" t="str">
        <f>INDEX(Data,2,2+MOD(ROWS(C$2:C5092)-1,24))</f>
        <v>03.00</v>
      </c>
      <c r="D5092" s="8" t="str">
        <f t="shared" ca="1" si="239"/>
        <v>—</v>
      </c>
      <c r="E5092" s="16">
        <f t="shared" ca="1" si="240"/>
        <v>7</v>
      </c>
    </row>
    <row r="5093" spans="1:5" x14ac:dyDescent="0.25">
      <c r="A5093" s="3">
        <f t="shared" si="238"/>
        <v>78989</v>
      </c>
      <c r="B5093" t="str">
        <f ca="1">TEXT(DATE(YEAR(Invoer!$A$5),1,1)+INT((ROWS(B$2:B5093)-1)/24),"""18""jjmmdd")</f>
        <v>18980801</v>
      </c>
      <c r="C5093" s="11" t="str">
        <f>INDEX(Data,2,2+MOD(ROWS(C$2:C5093)-1,24))</f>
        <v>04.00</v>
      </c>
      <c r="D5093" s="8" t="str">
        <f t="shared" ca="1" si="239"/>
        <v>—</v>
      </c>
      <c r="E5093" s="16">
        <f t="shared" ca="1" si="240"/>
        <v>7</v>
      </c>
    </row>
    <row r="5094" spans="1:5" x14ac:dyDescent="0.25">
      <c r="A5094" s="3">
        <f t="shared" si="238"/>
        <v>78989</v>
      </c>
      <c r="B5094" t="str">
        <f ca="1">TEXT(DATE(YEAR(Invoer!$A$5),1,1)+INT((ROWS(B$2:B5094)-1)/24),"""18""jjmmdd")</f>
        <v>18980801</v>
      </c>
      <c r="C5094" s="11" t="str">
        <f>INDEX(Data,2,2+MOD(ROWS(C$2:C5094)-1,24))</f>
        <v>05.00</v>
      </c>
      <c r="D5094" s="8" t="str">
        <f t="shared" ca="1" si="239"/>
        <v>—</v>
      </c>
      <c r="E5094" s="16">
        <f t="shared" ca="1" si="240"/>
        <v>7</v>
      </c>
    </row>
    <row r="5095" spans="1:5" x14ac:dyDescent="0.25">
      <c r="A5095" s="3">
        <f t="shared" si="238"/>
        <v>78989</v>
      </c>
      <c r="B5095" t="str">
        <f ca="1">TEXT(DATE(YEAR(Invoer!$A$5),1,1)+INT((ROWS(B$2:B5095)-1)/24),"""18""jjmmdd")</f>
        <v>18980801</v>
      </c>
      <c r="C5095" s="11" t="str">
        <f>INDEX(Data,2,2+MOD(ROWS(C$2:C5095)-1,24))</f>
        <v>06.00</v>
      </c>
      <c r="D5095" s="8" t="str">
        <f t="shared" ca="1" si="239"/>
        <v>—</v>
      </c>
      <c r="E5095" s="16">
        <f t="shared" ca="1" si="240"/>
        <v>7</v>
      </c>
    </row>
    <row r="5096" spans="1:5" x14ac:dyDescent="0.25">
      <c r="A5096" s="3">
        <f t="shared" si="238"/>
        <v>78989</v>
      </c>
      <c r="B5096" t="str">
        <f ca="1">TEXT(DATE(YEAR(Invoer!$A$5),1,1)+INT((ROWS(B$2:B5096)-1)/24),"""18""jjmmdd")</f>
        <v>18980801</v>
      </c>
      <c r="C5096" s="11" t="str">
        <f>INDEX(Data,2,2+MOD(ROWS(C$2:C5096)-1,24))</f>
        <v>07.00</v>
      </c>
      <c r="D5096" s="8" t="str">
        <f t="shared" ca="1" si="239"/>
        <v>—</v>
      </c>
      <c r="E5096" s="16">
        <f t="shared" ca="1" si="240"/>
        <v>7</v>
      </c>
    </row>
    <row r="5097" spans="1:5" x14ac:dyDescent="0.25">
      <c r="A5097" s="3">
        <f t="shared" si="238"/>
        <v>78989</v>
      </c>
      <c r="B5097" t="str">
        <f ca="1">TEXT(DATE(YEAR(Invoer!$A$5),1,1)+INT((ROWS(B$2:B5097)-1)/24),"""18""jjmmdd")</f>
        <v>18980801</v>
      </c>
      <c r="C5097" s="11" t="str">
        <f>INDEX(Data,2,2+MOD(ROWS(C$2:C5097)-1,24))</f>
        <v>08.00</v>
      </c>
      <c r="D5097" s="8" t="str">
        <f t="shared" ca="1" si="239"/>
        <v>—</v>
      </c>
      <c r="E5097" s="16">
        <f t="shared" ca="1" si="240"/>
        <v>7</v>
      </c>
    </row>
    <row r="5098" spans="1:5" x14ac:dyDescent="0.25">
      <c r="A5098" s="3">
        <f t="shared" si="238"/>
        <v>78989</v>
      </c>
      <c r="B5098" t="str">
        <f ca="1">TEXT(DATE(YEAR(Invoer!$A$5),1,1)+INT((ROWS(B$2:B5098)-1)/24),"""18""jjmmdd")</f>
        <v>18980801</v>
      </c>
      <c r="C5098" s="11" t="str">
        <f>INDEX(Data,2,2+MOD(ROWS(C$2:C5098)-1,24))</f>
        <v>09.00</v>
      </c>
      <c r="D5098" s="8" t="str">
        <f t="shared" ca="1" si="239"/>
        <v>—</v>
      </c>
      <c r="E5098" s="16">
        <f t="shared" ca="1" si="240"/>
        <v>7</v>
      </c>
    </row>
    <row r="5099" spans="1:5" x14ac:dyDescent="0.25">
      <c r="A5099" s="3">
        <f t="shared" si="238"/>
        <v>78989</v>
      </c>
      <c r="B5099" t="str">
        <f ca="1">TEXT(DATE(YEAR(Invoer!$A$5),1,1)+INT((ROWS(B$2:B5099)-1)/24),"""18""jjmmdd")</f>
        <v>18980801</v>
      </c>
      <c r="C5099" s="11" t="str">
        <f>INDEX(Data,2,2+MOD(ROWS(C$2:C5099)-1,24))</f>
        <v>10.00</v>
      </c>
      <c r="D5099" s="8" t="str">
        <f t="shared" ca="1" si="239"/>
        <v>—</v>
      </c>
      <c r="E5099" s="16">
        <f t="shared" ca="1" si="240"/>
        <v>7</v>
      </c>
    </row>
    <row r="5100" spans="1:5" x14ac:dyDescent="0.25">
      <c r="A5100" s="3">
        <f t="shared" si="238"/>
        <v>78989</v>
      </c>
      <c r="B5100" t="str">
        <f ca="1">TEXT(DATE(YEAR(Invoer!$A$5),1,1)+INT((ROWS(B$2:B5100)-1)/24),"""18""jjmmdd")</f>
        <v>18980801</v>
      </c>
      <c r="C5100" s="11" t="str">
        <f>INDEX(Data,2,2+MOD(ROWS(C$2:C5100)-1,24))</f>
        <v>11.00</v>
      </c>
      <c r="D5100" s="8" t="str">
        <f t="shared" ca="1" si="239"/>
        <v>—</v>
      </c>
      <c r="E5100" s="16">
        <f t="shared" ca="1" si="240"/>
        <v>7</v>
      </c>
    </row>
    <row r="5101" spans="1:5" x14ac:dyDescent="0.25">
      <c r="A5101" s="3">
        <f t="shared" si="238"/>
        <v>78989</v>
      </c>
      <c r="B5101" t="str">
        <f ca="1">TEXT(DATE(YEAR(Invoer!$A$5),1,1)+INT((ROWS(B$2:B5101)-1)/24),"""18""jjmmdd")</f>
        <v>18980801</v>
      </c>
      <c r="C5101" s="11" t="str">
        <f>INDEX(Data,2,2+MOD(ROWS(C$2:C5101)-1,24))</f>
        <v>12.00</v>
      </c>
      <c r="D5101" s="8" t="str">
        <f t="shared" ca="1" si="239"/>
        <v>—</v>
      </c>
      <c r="E5101" s="16">
        <f t="shared" ca="1" si="240"/>
        <v>7</v>
      </c>
    </row>
    <row r="5102" spans="1:5" x14ac:dyDescent="0.25">
      <c r="A5102" s="3">
        <f t="shared" si="238"/>
        <v>78989</v>
      </c>
      <c r="B5102" t="str">
        <f ca="1">TEXT(DATE(YEAR(Invoer!$A$5),1,1)+INT((ROWS(B$2:B5102)-1)/24),"""18""jjmmdd")</f>
        <v>18980801</v>
      </c>
      <c r="C5102" s="11" t="str">
        <f>INDEX(Data,2,2+MOD(ROWS(C$2:C5102)-1,24))</f>
        <v>13.00</v>
      </c>
      <c r="D5102" s="8" t="str">
        <f t="shared" ca="1" si="239"/>
        <v>—</v>
      </c>
      <c r="E5102" s="16">
        <f t="shared" ca="1" si="240"/>
        <v>7</v>
      </c>
    </row>
    <row r="5103" spans="1:5" x14ac:dyDescent="0.25">
      <c r="A5103" s="3">
        <f t="shared" si="238"/>
        <v>78989</v>
      </c>
      <c r="B5103" t="str">
        <f ca="1">TEXT(DATE(YEAR(Invoer!$A$5),1,1)+INT((ROWS(B$2:B5103)-1)/24),"""18""jjmmdd")</f>
        <v>18980801</v>
      </c>
      <c r="C5103" s="11" t="str">
        <f>INDEX(Data,2,2+MOD(ROWS(C$2:C5103)-1,24))</f>
        <v>14.00</v>
      </c>
      <c r="D5103" s="8" t="str">
        <f t="shared" ca="1" si="239"/>
        <v>—</v>
      </c>
      <c r="E5103" s="16">
        <f t="shared" ca="1" si="240"/>
        <v>7</v>
      </c>
    </row>
    <row r="5104" spans="1:5" x14ac:dyDescent="0.25">
      <c r="A5104" s="3">
        <f t="shared" si="238"/>
        <v>78989</v>
      </c>
      <c r="B5104" t="str">
        <f ca="1">TEXT(DATE(YEAR(Invoer!$A$5),1,1)+INT((ROWS(B$2:B5104)-1)/24),"""18""jjmmdd")</f>
        <v>18980801</v>
      </c>
      <c r="C5104" s="11" t="str">
        <f>INDEX(Data,2,2+MOD(ROWS(C$2:C5104)-1,24))</f>
        <v>15.00</v>
      </c>
      <c r="D5104" s="8" t="str">
        <f t="shared" ca="1" si="239"/>
        <v>—</v>
      </c>
      <c r="E5104" s="16">
        <f t="shared" ca="1" si="240"/>
        <v>7</v>
      </c>
    </row>
    <row r="5105" spans="1:5" x14ac:dyDescent="0.25">
      <c r="A5105" s="3">
        <f t="shared" si="238"/>
        <v>78989</v>
      </c>
      <c r="B5105" t="str">
        <f ca="1">TEXT(DATE(YEAR(Invoer!$A$5),1,1)+INT((ROWS(B$2:B5105)-1)/24),"""18""jjmmdd")</f>
        <v>18980801</v>
      </c>
      <c r="C5105" s="11" t="str">
        <f>INDEX(Data,2,2+MOD(ROWS(C$2:C5105)-1,24))</f>
        <v>16.00</v>
      </c>
      <c r="D5105" s="8" t="str">
        <f t="shared" ca="1" si="239"/>
        <v>—</v>
      </c>
      <c r="E5105" s="16">
        <f t="shared" ca="1" si="240"/>
        <v>7</v>
      </c>
    </row>
    <row r="5106" spans="1:5" x14ac:dyDescent="0.25">
      <c r="A5106" s="3">
        <f t="shared" si="238"/>
        <v>78989</v>
      </c>
      <c r="B5106" t="str">
        <f ca="1">TEXT(DATE(YEAR(Invoer!$A$5),1,1)+INT((ROWS(B$2:B5106)-1)/24),"""18""jjmmdd")</f>
        <v>18980801</v>
      </c>
      <c r="C5106" s="11" t="str">
        <f>INDEX(Data,2,2+MOD(ROWS(C$2:C5106)-1,24))</f>
        <v>17.00</v>
      </c>
      <c r="D5106" s="8" t="str">
        <f t="shared" ca="1" si="239"/>
        <v>—</v>
      </c>
      <c r="E5106" s="16">
        <f t="shared" ca="1" si="240"/>
        <v>7</v>
      </c>
    </row>
    <row r="5107" spans="1:5" x14ac:dyDescent="0.25">
      <c r="A5107" s="3">
        <f t="shared" si="238"/>
        <v>78989</v>
      </c>
      <c r="B5107" t="str">
        <f ca="1">TEXT(DATE(YEAR(Invoer!$A$5),1,1)+INT((ROWS(B$2:B5107)-1)/24),"""18""jjmmdd")</f>
        <v>18980801</v>
      </c>
      <c r="C5107" s="11" t="str">
        <f>INDEX(Data,2,2+MOD(ROWS(C$2:C5107)-1,24))</f>
        <v>18.00</v>
      </c>
      <c r="D5107" s="8" t="str">
        <f t="shared" ca="1" si="239"/>
        <v>—</v>
      </c>
      <c r="E5107" s="16">
        <f t="shared" ca="1" si="240"/>
        <v>7</v>
      </c>
    </row>
    <row r="5108" spans="1:5" x14ac:dyDescent="0.25">
      <c r="A5108" s="3">
        <f t="shared" si="238"/>
        <v>78989</v>
      </c>
      <c r="B5108" t="str">
        <f ca="1">TEXT(DATE(YEAR(Invoer!$A$5),1,1)+INT((ROWS(B$2:B5108)-1)/24),"""18""jjmmdd")</f>
        <v>18980801</v>
      </c>
      <c r="C5108" s="11" t="str">
        <f>INDEX(Data,2,2+MOD(ROWS(C$2:C5108)-1,24))</f>
        <v>19.00</v>
      </c>
      <c r="D5108" s="8" t="str">
        <f t="shared" ca="1" si="239"/>
        <v>—</v>
      </c>
      <c r="E5108" s="16">
        <f t="shared" ca="1" si="240"/>
        <v>7</v>
      </c>
    </row>
    <row r="5109" spans="1:5" x14ac:dyDescent="0.25">
      <c r="A5109" s="3">
        <f t="shared" si="238"/>
        <v>78989</v>
      </c>
      <c r="B5109" t="str">
        <f ca="1">TEXT(DATE(YEAR(Invoer!$A$5),1,1)+INT((ROWS(B$2:B5109)-1)/24),"""18""jjmmdd")</f>
        <v>18980801</v>
      </c>
      <c r="C5109" s="11" t="str">
        <f>INDEX(Data,2,2+MOD(ROWS(C$2:C5109)-1,24))</f>
        <v>20.00</v>
      </c>
      <c r="D5109" s="8" t="str">
        <f t="shared" ca="1" si="239"/>
        <v>—</v>
      </c>
      <c r="E5109" s="16">
        <f t="shared" ca="1" si="240"/>
        <v>7</v>
      </c>
    </row>
    <row r="5110" spans="1:5" x14ac:dyDescent="0.25">
      <c r="A5110" s="3">
        <f t="shared" si="238"/>
        <v>78989</v>
      </c>
      <c r="B5110" t="str">
        <f ca="1">TEXT(DATE(YEAR(Invoer!$A$5),1,1)+INT((ROWS(B$2:B5110)-1)/24),"""18""jjmmdd")</f>
        <v>18980801</v>
      </c>
      <c r="C5110" s="11" t="str">
        <f>INDEX(Data,2,2+MOD(ROWS(C$2:C5110)-1,24))</f>
        <v>21.00</v>
      </c>
      <c r="D5110" s="8" t="str">
        <f t="shared" ca="1" si="239"/>
        <v>—</v>
      </c>
      <c r="E5110" s="16">
        <f t="shared" ca="1" si="240"/>
        <v>7</v>
      </c>
    </row>
    <row r="5111" spans="1:5" x14ac:dyDescent="0.25">
      <c r="A5111" s="3">
        <f t="shared" si="238"/>
        <v>78989</v>
      </c>
      <c r="B5111" t="str">
        <f ca="1">TEXT(DATE(YEAR(Invoer!$A$5),1,1)+INT((ROWS(B$2:B5111)-1)/24),"""18""jjmmdd")</f>
        <v>18980801</v>
      </c>
      <c r="C5111" s="11" t="str">
        <f>INDEX(Data,2,2+MOD(ROWS(C$2:C5111)-1,24))</f>
        <v>22.00</v>
      </c>
      <c r="D5111" s="8" t="str">
        <f t="shared" ca="1" si="239"/>
        <v>—</v>
      </c>
      <c r="E5111" s="16">
        <f t="shared" ca="1" si="240"/>
        <v>7</v>
      </c>
    </row>
    <row r="5112" spans="1:5" x14ac:dyDescent="0.25">
      <c r="A5112" s="3">
        <f t="shared" si="238"/>
        <v>78989</v>
      </c>
      <c r="B5112" t="str">
        <f ca="1">TEXT(DATE(YEAR(Invoer!$A$5),1,1)+INT((ROWS(B$2:B5112)-1)/24),"""18""jjmmdd")</f>
        <v>18980801</v>
      </c>
      <c r="C5112" s="11" t="str">
        <f>INDEX(Data,2,2+MOD(ROWS(C$2:C5112)-1,24))</f>
        <v>23.00</v>
      </c>
      <c r="D5112" s="8" t="str">
        <f t="shared" ca="1" si="239"/>
        <v>—</v>
      </c>
      <c r="E5112" s="16">
        <f t="shared" ca="1" si="240"/>
        <v>7</v>
      </c>
    </row>
    <row r="5113" spans="1:5" x14ac:dyDescent="0.25">
      <c r="A5113" s="3">
        <f t="shared" si="238"/>
        <v>78989</v>
      </c>
      <c r="B5113" t="str">
        <f ca="1">TEXT(DATE(YEAR(Invoer!$A$5),1,1)+INT((ROWS(B$2:B5113)-1)/24),"""18""jjmmdd")</f>
        <v>18980801</v>
      </c>
      <c r="C5113" s="11" t="str">
        <f>INDEX(Data,2,2+MOD(ROWS(C$2:C5113)-1,24))</f>
        <v>24.00</v>
      </c>
      <c r="D5113" s="8" t="str">
        <f t="shared" ca="1" si="239"/>
        <v>—</v>
      </c>
      <c r="E5113" s="16">
        <f t="shared" ca="1" si="240"/>
        <v>7</v>
      </c>
    </row>
    <row r="5114" spans="1:5" x14ac:dyDescent="0.25">
      <c r="A5114" s="3">
        <f t="shared" si="238"/>
        <v>78989</v>
      </c>
      <c r="B5114" t="str">
        <f ca="1">TEXT(DATE(YEAR(Invoer!$A$5),1,1)+INT((ROWS(B$2:B5114)-1)/24),"""18""jjmmdd")</f>
        <v>18980802</v>
      </c>
      <c r="C5114" s="11" t="str">
        <f>INDEX(Data,2,2+MOD(ROWS(C$2:C5114)-1,24))</f>
        <v>01.00</v>
      </c>
      <c r="D5114" s="8" t="str">
        <f t="shared" ca="1" si="239"/>
        <v>—</v>
      </c>
      <c r="E5114" s="16">
        <f t="shared" ca="1" si="240"/>
        <v>7</v>
      </c>
    </row>
    <row r="5115" spans="1:5" x14ac:dyDescent="0.25">
      <c r="A5115" s="3">
        <f t="shared" si="238"/>
        <v>78989</v>
      </c>
      <c r="B5115" t="str">
        <f ca="1">TEXT(DATE(YEAR(Invoer!$A$5),1,1)+INT((ROWS(B$2:B5115)-1)/24),"""18""jjmmdd")</f>
        <v>18980802</v>
      </c>
      <c r="C5115" s="11" t="str">
        <f>INDEX(Data,2,2+MOD(ROWS(C$2:C5115)-1,24))</f>
        <v>02.00</v>
      </c>
      <c r="D5115" s="8" t="str">
        <f t="shared" ca="1" si="239"/>
        <v>—</v>
      </c>
      <c r="E5115" s="16">
        <f t="shared" ca="1" si="240"/>
        <v>7</v>
      </c>
    </row>
    <row r="5116" spans="1:5" x14ac:dyDescent="0.25">
      <c r="A5116" s="3">
        <f t="shared" si="238"/>
        <v>78989</v>
      </c>
      <c r="B5116" t="str">
        <f ca="1">TEXT(DATE(YEAR(Invoer!$A$5),1,1)+INT((ROWS(B$2:B5116)-1)/24),"""18""jjmmdd")</f>
        <v>18980802</v>
      </c>
      <c r="C5116" s="11" t="str">
        <f>INDEX(Data,2,2+MOD(ROWS(C$2:C5116)-1,24))</f>
        <v>03.00</v>
      </c>
      <c r="D5116" s="8" t="str">
        <f t="shared" ca="1" si="239"/>
        <v>—</v>
      </c>
      <c r="E5116" s="16">
        <f t="shared" ca="1" si="240"/>
        <v>7</v>
      </c>
    </row>
    <row r="5117" spans="1:5" x14ac:dyDescent="0.25">
      <c r="A5117" s="3">
        <f t="shared" si="238"/>
        <v>78989</v>
      </c>
      <c r="B5117" t="str">
        <f ca="1">TEXT(DATE(YEAR(Invoer!$A$5),1,1)+INT((ROWS(B$2:B5117)-1)/24),"""18""jjmmdd")</f>
        <v>18980802</v>
      </c>
      <c r="C5117" s="11" t="str">
        <f>INDEX(Data,2,2+MOD(ROWS(C$2:C5117)-1,24))</f>
        <v>04.00</v>
      </c>
      <c r="D5117" s="8" t="str">
        <f t="shared" ca="1" si="239"/>
        <v>—</v>
      </c>
      <c r="E5117" s="16">
        <f t="shared" ca="1" si="240"/>
        <v>7</v>
      </c>
    </row>
    <row r="5118" spans="1:5" x14ac:dyDescent="0.25">
      <c r="A5118" s="3">
        <f t="shared" si="238"/>
        <v>78989</v>
      </c>
      <c r="B5118" t="str">
        <f ca="1">TEXT(DATE(YEAR(Invoer!$A$5),1,1)+INT((ROWS(B$2:B5118)-1)/24),"""18""jjmmdd")</f>
        <v>18980802</v>
      </c>
      <c r="C5118" s="11" t="str">
        <f>INDEX(Data,2,2+MOD(ROWS(C$2:C5118)-1,24))</f>
        <v>05.00</v>
      </c>
      <c r="D5118" s="8" t="str">
        <f t="shared" ca="1" si="239"/>
        <v>—</v>
      </c>
      <c r="E5118" s="16">
        <f t="shared" ca="1" si="240"/>
        <v>7</v>
      </c>
    </row>
    <row r="5119" spans="1:5" x14ac:dyDescent="0.25">
      <c r="A5119" s="3">
        <f t="shared" si="238"/>
        <v>78989</v>
      </c>
      <c r="B5119" t="str">
        <f ca="1">TEXT(DATE(YEAR(Invoer!$A$5),1,1)+INT((ROWS(B$2:B5119)-1)/24),"""18""jjmmdd")</f>
        <v>18980802</v>
      </c>
      <c r="C5119" s="11" t="str">
        <f>INDEX(Data,2,2+MOD(ROWS(C$2:C5119)-1,24))</f>
        <v>06.00</v>
      </c>
      <c r="D5119" s="8" t="str">
        <f t="shared" ca="1" si="239"/>
        <v>—</v>
      </c>
      <c r="E5119" s="16">
        <f t="shared" ca="1" si="240"/>
        <v>7</v>
      </c>
    </row>
    <row r="5120" spans="1:5" x14ac:dyDescent="0.25">
      <c r="A5120" s="3">
        <f t="shared" si="238"/>
        <v>78989</v>
      </c>
      <c r="B5120" t="str">
        <f ca="1">TEXT(DATE(YEAR(Invoer!$A$5),1,1)+INT((ROWS(B$2:B5120)-1)/24),"""18""jjmmdd")</f>
        <v>18980802</v>
      </c>
      <c r="C5120" s="11" t="str">
        <f>INDEX(Data,2,2+MOD(ROWS(C$2:C5120)-1,24))</f>
        <v>07.00</v>
      </c>
      <c r="D5120" s="8" t="str">
        <f t="shared" ca="1" si="239"/>
        <v>—</v>
      </c>
      <c r="E5120" s="16">
        <f t="shared" ca="1" si="240"/>
        <v>7</v>
      </c>
    </row>
    <row r="5121" spans="1:5" x14ac:dyDescent="0.25">
      <c r="A5121" s="3">
        <f t="shared" si="238"/>
        <v>78989</v>
      </c>
      <c r="B5121" t="str">
        <f ca="1">TEXT(DATE(YEAR(Invoer!$A$5),1,1)+INT((ROWS(B$2:B5121)-1)/24),"""18""jjmmdd")</f>
        <v>18980802</v>
      </c>
      <c r="C5121" s="11" t="str">
        <f>INDEX(Data,2,2+MOD(ROWS(C$2:C5121)-1,24))</f>
        <v>08.00</v>
      </c>
      <c r="D5121" s="8" t="str">
        <f t="shared" ca="1" si="239"/>
        <v>—</v>
      </c>
      <c r="E5121" s="16">
        <f t="shared" ca="1" si="240"/>
        <v>7</v>
      </c>
    </row>
    <row r="5122" spans="1:5" x14ac:dyDescent="0.25">
      <c r="A5122" s="3">
        <f t="shared" ref="A5122:A5185" si="241">INDEX(Stations,2,1)</f>
        <v>78989</v>
      </c>
      <c r="B5122" t="str">
        <f ca="1">TEXT(DATE(YEAR(Invoer!$A$5),1,1)+INT((ROWS(B$2:B5122)-1)/24),"""18""jjmmdd")</f>
        <v>18980802</v>
      </c>
      <c r="C5122" s="11" t="str">
        <f>INDEX(Data,2,2+MOD(ROWS(C$2:C5122)-1,24))</f>
        <v>09.00</v>
      </c>
      <c r="D5122" s="8" t="str">
        <f t="shared" ref="D5122:D5185" ca="1" si="242">IF(OR(ISBLANK(VLOOKUP(DATEVALUE("37"&amp;MID($B5122,3,2)&amp;"-"&amp;MID($B5122,5,2)&amp;"-"&amp;RIGHT($B5122,2)),Data,MATCH(LEFT(VLOOKUP(D$1,Parameters,2,FALSE()),4)&amp;"*",OFFSET(Data,0,0,1),0)+MATCH($C5122,OFFSET(Data,1,0,1),0)-2,FALSE())),ISTEXT(VLOOKUP(DATEVALUE("37"&amp;MID($B5122,3,2)&amp;"-"&amp;MID($B5122,5,2)&amp;"-"&amp;RIGHT($B5122,2)),Data,MATCH(LEFT(VLOOKUP(D$1,Parameters,2,FALSE()),4)&amp;"*",OFFSET(Data,0,0,1),0)+MATCH($C5122,OFFSET(Data,1,0,1),0)-2,FALSE()))),"—",VLOOKUP(DATEVALUE("37"&amp;MID($B5122,3,2)&amp;"-"&amp;MID($B5122,5,2)&amp;"-"&amp;RIGHT($B5122,2)),Data,MATCH(LEFT(VLOOKUP(D$1,Parameters,2,FALSE()),4)&amp;"*",OFFSET(Data,0,0,1),0)+MATCH($C5122,OFFSET(Data,1,0,1),0)-2,FALSE()))</f>
        <v>—</v>
      </c>
      <c r="E5122" s="16">
        <f t="shared" ca="1" si="240"/>
        <v>7</v>
      </c>
    </row>
    <row r="5123" spans="1:5" x14ac:dyDescent="0.25">
      <c r="A5123" s="3">
        <f t="shared" si="241"/>
        <v>78989</v>
      </c>
      <c r="B5123" t="str">
        <f ca="1">TEXT(DATE(YEAR(Invoer!$A$5),1,1)+INT((ROWS(B$2:B5123)-1)/24),"""18""jjmmdd")</f>
        <v>18980802</v>
      </c>
      <c r="C5123" s="11" t="str">
        <f>INDEX(Data,2,2+MOD(ROWS(C$2:C5123)-1,24))</f>
        <v>10.00</v>
      </c>
      <c r="D5123" s="8" t="str">
        <f t="shared" ca="1" si="242"/>
        <v>—</v>
      </c>
      <c r="E5123" s="16">
        <f t="shared" ref="E5123:E5186" ca="1" si="243">IF(OR(ISBLANK(VLOOKUP(DATEVALUE("37"&amp;MID($B5123,3,2)&amp;"-"&amp;MID($B5123,5,2)&amp;"-"&amp;RIGHT($B5123,2)),Data,MATCH(LEFT(VLOOKUP(D$1,Parameters,2,FALSE()),4)&amp;"*",OFFSET(Data,0,0,1),0)+MATCH($C5123,OFFSET(Data,1,0,1),0)-2,FALSE())),ISTEXT(VLOOKUP(DATEVALUE("37"&amp;MID($B5123,3,2)&amp;"-"&amp;MID($B5123,5,2)&amp;"-"&amp;RIGHT($B5123,2)),Data,MATCH(LEFT(VLOOKUP(D$1,Parameters,2,FALSE()),4)&amp;"*",OFFSET(Data,0,0,1),0)+MATCH($C5123,OFFSET(Data,1,0,1),0)-2,FALSE()))),Lacking,IF(ISNA(MATCH(DATEVALUE("37"&amp;MID($B5123,3,2)&amp;"-"&amp;MID($B5123,5,2)&amp;"-"&amp;RIGHT($B5123,2)),OFFSET(Catalogus,0,0,,1),0)),Ok,VLOOKUP(DATEVALUE("37"&amp;MID($B5123,3,2)&amp;"-"&amp;MID($B5123,5,2)&amp;"-"&amp;RIGHT($B5123,2)),Catalogus,MATCH(LEFT(VLOOKUP(MID(E$1,2,LEN(E$1)-1),Parameters,2,FALSE()),4)&amp;"*",OFFSET(Catalogus,0,0,1),0)+MATCH($C5123,OFFSET(Catalogus,1,0,1),0)-2,FALSE())))</f>
        <v>7</v>
      </c>
    </row>
    <row r="5124" spans="1:5" x14ac:dyDescent="0.25">
      <c r="A5124" s="3">
        <f t="shared" si="241"/>
        <v>78989</v>
      </c>
      <c r="B5124" t="str">
        <f ca="1">TEXT(DATE(YEAR(Invoer!$A$5),1,1)+INT((ROWS(B$2:B5124)-1)/24),"""18""jjmmdd")</f>
        <v>18980802</v>
      </c>
      <c r="C5124" s="11" t="str">
        <f>INDEX(Data,2,2+MOD(ROWS(C$2:C5124)-1,24))</f>
        <v>11.00</v>
      </c>
      <c r="D5124" s="8" t="str">
        <f t="shared" ca="1" si="242"/>
        <v>—</v>
      </c>
      <c r="E5124" s="16">
        <f t="shared" ca="1" si="243"/>
        <v>7</v>
      </c>
    </row>
    <row r="5125" spans="1:5" x14ac:dyDescent="0.25">
      <c r="A5125" s="3">
        <f t="shared" si="241"/>
        <v>78989</v>
      </c>
      <c r="B5125" t="str">
        <f ca="1">TEXT(DATE(YEAR(Invoer!$A$5),1,1)+INT((ROWS(B$2:B5125)-1)/24),"""18""jjmmdd")</f>
        <v>18980802</v>
      </c>
      <c r="C5125" s="11" t="str">
        <f>INDEX(Data,2,2+MOD(ROWS(C$2:C5125)-1,24))</f>
        <v>12.00</v>
      </c>
      <c r="D5125" s="8" t="str">
        <f t="shared" ca="1" si="242"/>
        <v>—</v>
      </c>
      <c r="E5125" s="16">
        <f t="shared" ca="1" si="243"/>
        <v>7</v>
      </c>
    </row>
    <row r="5126" spans="1:5" x14ac:dyDescent="0.25">
      <c r="A5126" s="3">
        <f t="shared" si="241"/>
        <v>78989</v>
      </c>
      <c r="B5126" t="str">
        <f ca="1">TEXT(DATE(YEAR(Invoer!$A$5),1,1)+INT((ROWS(B$2:B5126)-1)/24),"""18""jjmmdd")</f>
        <v>18980802</v>
      </c>
      <c r="C5126" s="11" t="str">
        <f>INDEX(Data,2,2+MOD(ROWS(C$2:C5126)-1,24))</f>
        <v>13.00</v>
      </c>
      <c r="D5126" s="8" t="str">
        <f t="shared" ca="1" si="242"/>
        <v>—</v>
      </c>
      <c r="E5126" s="16">
        <f t="shared" ca="1" si="243"/>
        <v>7</v>
      </c>
    </row>
    <row r="5127" spans="1:5" x14ac:dyDescent="0.25">
      <c r="A5127" s="3">
        <f t="shared" si="241"/>
        <v>78989</v>
      </c>
      <c r="B5127" t="str">
        <f ca="1">TEXT(DATE(YEAR(Invoer!$A$5),1,1)+INT((ROWS(B$2:B5127)-1)/24),"""18""jjmmdd")</f>
        <v>18980802</v>
      </c>
      <c r="C5127" s="11" t="str">
        <f>INDEX(Data,2,2+MOD(ROWS(C$2:C5127)-1,24))</f>
        <v>14.00</v>
      </c>
      <c r="D5127" s="8" t="str">
        <f t="shared" ca="1" si="242"/>
        <v>—</v>
      </c>
      <c r="E5127" s="16">
        <f t="shared" ca="1" si="243"/>
        <v>7</v>
      </c>
    </row>
    <row r="5128" spans="1:5" x14ac:dyDescent="0.25">
      <c r="A5128" s="3">
        <f t="shared" si="241"/>
        <v>78989</v>
      </c>
      <c r="B5128" t="str">
        <f ca="1">TEXT(DATE(YEAR(Invoer!$A$5),1,1)+INT((ROWS(B$2:B5128)-1)/24),"""18""jjmmdd")</f>
        <v>18980802</v>
      </c>
      <c r="C5128" s="11" t="str">
        <f>INDEX(Data,2,2+MOD(ROWS(C$2:C5128)-1,24))</f>
        <v>15.00</v>
      </c>
      <c r="D5128" s="8" t="str">
        <f t="shared" ca="1" si="242"/>
        <v>—</v>
      </c>
      <c r="E5128" s="16">
        <f t="shared" ca="1" si="243"/>
        <v>7</v>
      </c>
    </row>
    <row r="5129" spans="1:5" x14ac:dyDescent="0.25">
      <c r="A5129" s="3">
        <f t="shared" si="241"/>
        <v>78989</v>
      </c>
      <c r="B5129" t="str">
        <f ca="1">TEXT(DATE(YEAR(Invoer!$A$5),1,1)+INT((ROWS(B$2:B5129)-1)/24),"""18""jjmmdd")</f>
        <v>18980802</v>
      </c>
      <c r="C5129" s="11" t="str">
        <f>INDEX(Data,2,2+MOD(ROWS(C$2:C5129)-1,24))</f>
        <v>16.00</v>
      </c>
      <c r="D5129" s="8" t="str">
        <f t="shared" ca="1" si="242"/>
        <v>—</v>
      </c>
      <c r="E5129" s="16">
        <f t="shared" ca="1" si="243"/>
        <v>7</v>
      </c>
    </row>
    <row r="5130" spans="1:5" x14ac:dyDescent="0.25">
      <c r="A5130" s="3">
        <f t="shared" si="241"/>
        <v>78989</v>
      </c>
      <c r="B5130" t="str">
        <f ca="1">TEXT(DATE(YEAR(Invoer!$A$5),1,1)+INT((ROWS(B$2:B5130)-1)/24),"""18""jjmmdd")</f>
        <v>18980802</v>
      </c>
      <c r="C5130" s="11" t="str">
        <f>INDEX(Data,2,2+MOD(ROWS(C$2:C5130)-1,24))</f>
        <v>17.00</v>
      </c>
      <c r="D5130" s="8" t="str">
        <f t="shared" ca="1" si="242"/>
        <v>—</v>
      </c>
      <c r="E5130" s="16">
        <f t="shared" ca="1" si="243"/>
        <v>7</v>
      </c>
    </row>
    <row r="5131" spans="1:5" x14ac:dyDescent="0.25">
      <c r="A5131" s="3">
        <f t="shared" si="241"/>
        <v>78989</v>
      </c>
      <c r="B5131" t="str">
        <f ca="1">TEXT(DATE(YEAR(Invoer!$A$5),1,1)+INT((ROWS(B$2:B5131)-1)/24),"""18""jjmmdd")</f>
        <v>18980802</v>
      </c>
      <c r="C5131" s="11" t="str">
        <f>INDEX(Data,2,2+MOD(ROWS(C$2:C5131)-1,24))</f>
        <v>18.00</v>
      </c>
      <c r="D5131" s="8" t="str">
        <f t="shared" ca="1" si="242"/>
        <v>—</v>
      </c>
      <c r="E5131" s="16">
        <f t="shared" ca="1" si="243"/>
        <v>7</v>
      </c>
    </row>
    <row r="5132" spans="1:5" x14ac:dyDescent="0.25">
      <c r="A5132" s="3">
        <f t="shared" si="241"/>
        <v>78989</v>
      </c>
      <c r="B5132" t="str">
        <f ca="1">TEXT(DATE(YEAR(Invoer!$A$5),1,1)+INT((ROWS(B$2:B5132)-1)/24),"""18""jjmmdd")</f>
        <v>18980802</v>
      </c>
      <c r="C5132" s="11" t="str">
        <f>INDEX(Data,2,2+MOD(ROWS(C$2:C5132)-1,24))</f>
        <v>19.00</v>
      </c>
      <c r="D5132" s="8" t="str">
        <f t="shared" ca="1" si="242"/>
        <v>—</v>
      </c>
      <c r="E5132" s="16">
        <f t="shared" ca="1" si="243"/>
        <v>7</v>
      </c>
    </row>
    <row r="5133" spans="1:5" x14ac:dyDescent="0.25">
      <c r="A5133" s="3">
        <f t="shared" si="241"/>
        <v>78989</v>
      </c>
      <c r="B5133" t="str">
        <f ca="1">TEXT(DATE(YEAR(Invoer!$A$5),1,1)+INT((ROWS(B$2:B5133)-1)/24),"""18""jjmmdd")</f>
        <v>18980802</v>
      </c>
      <c r="C5133" s="11" t="str">
        <f>INDEX(Data,2,2+MOD(ROWS(C$2:C5133)-1,24))</f>
        <v>20.00</v>
      </c>
      <c r="D5133" s="8" t="str">
        <f t="shared" ca="1" si="242"/>
        <v>—</v>
      </c>
      <c r="E5133" s="16">
        <f t="shared" ca="1" si="243"/>
        <v>7</v>
      </c>
    </row>
    <row r="5134" spans="1:5" x14ac:dyDescent="0.25">
      <c r="A5134" s="3">
        <f t="shared" si="241"/>
        <v>78989</v>
      </c>
      <c r="B5134" t="str">
        <f ca="1">TEXT(DATE(YEAR(Invoer!$A$5),1,1)+INT((ROWS(B$2:B5134)-1)/24),"""18""jjmmdd")</f>
        <v>18980802</v>
      </c>
      <c r="C5134" s="11" t="str">
        <f>INDEX(Data,2,2+MOD(ROWS(C$2:C5134)-1,24))</f>
        <v>21.00</v>
      </c>
      <c r="D5134" s="8" t="str">
        <f t="shared" ca="1" si="242"/>
        <v>—</v>
      </c>
      <c r="E5134" s="16">
        <f t="shared" ca="1" si="243"/>
        <v>7</v>
      </c>
    </row>
    <row r="5135" spans="1:5" x14ac:dyDescent="0.25">
      <c r="A5135" s="3">
        <f t="shared" si="241"/>
        <v>78989</v>
      </c>
      <c r="B5135" t="str">
        <f ca="1">TEXT(DATE(YEAR(Invoer!$A$5),1,1)+INT((ROWS(B$2:B5135)-1)/24),"""18""jjmmdd")</f>
        <v>18980802</v>
      </c>
      <c r="C5135" s="11" t="str">
        <f>INDEX(Data,2,2+MOD(ROWS(C$2:C5135)-1,24))</f>
        <v>22.00</v>
      </c>
      <c r="D5135" s="8" t="str">
        <f t="shared" ca="1" si="242"/>
        <v>—</v>
      </c>
      <c r="E5135" s="16">
        <f t="shared" ca="1" si="243"/>
        <v>7</v>
      </c>
    </row>
    <row r="5136" spans="1:5" x14ac:dyDescent="0.25">
      <c r="A5136" s="3">
        <f t="shared" si="241"/>
        <v>78989</v>
      </c>
      <c r="B5136" t="str">
        <f ca="1">TEXT(DATE(YEAR(Invoer!$A$5),1,1)+INT((ROWS(B$2:B5136)-1)/24),"""18""jjmmdd")</f>
        <v>18980802</v>
      </c>
      <c r="C5136" s="11" t="str">
        <f>INDEX(Data,2,2+MOD(ROWS(C$2:C5136)-1,24))</f>
        <v>23.00</v>
      </c>
      <c r="D5136" s="8" t="str">
        <f t="shared" ca="1" si="242"/>
        <v>—</v>
      </c>
      <c r="E5136" s="16">
        <f t="shared" ca="1" si="243"/>
        <v>7</v>
      </c>
    </row>
    <row r="5137" spans="1:5" x14ac:dyDescent="0.25">
      <c r="A5137" s="3">
        <f t="shared" si="241"/>
        <v>78989</v>
      </c>
      <c r="B5137" t="str">
        <f ca="1">TEXT(DATE(YEAR(Invoer!$A$5),1,1)+INT((ROWS(B$2:B5137)-1)/24),"""18""jjmmdd")</f>
        <v>18980802</v>
      </c>
      <c r="C5137" s="11" t="str">
        <f>INDEX(Data,2,2+MOD(ROWS(C$2:C5137)-1,24))</f>
        <v>24.00</v>
      </c>
      <c r="D5137" s="8" t="str">
        <f t="shared" ca="1" si="242"/>
        <v>—</v>
      </c>
      <c r="E5137" s="16">
        <f t="shared" ca="1" si="243"/>
        <v>7</v>
      </c>
    </row>
    <row r="5138" spans="1:5" x14ac:dyDescent="0.25">
      <c r="A5138" s="3">
        <f t="shared" si="241"/>
        <v>78989</v>
      </c>
      <c r="B5138" t="str">
        <f ca="1">TEXT(DATE(YEAR(Invoer!$A$5),1,1)+INT((ROWS(B$2:B5138)-1)/24),"""18""jjmmdd")</f>
        <v>18980803</v>
      </c>
      <c r="C5138" s="11" t="str">
        <f>INDEX(Data,2,2+MOD(ROWS(C$2:C5138)-1,24))</f>
        <v>01.00</v>
      </c>
      <c r="D5138" s="8" t="str">
        <f t="shared" ca="1" si="242"/>
        <v>—</v>
      </c>
      <c r="E5138" s="16">
        <f t="shared" ca="1" si="243"/>
        <v>7</v>
      </c>
    </row>
    <row r="5139" spans="1:5" x14ac:dyDescent="0.25">
      <c r="A5139" s="3">
        <f t="shared" si="241"/>
        <v>78989</v>
      </c>
      <c r="B5139" t="str">
        <f ca="1">TEXT(DATE(YEAR(Invoer!$A$5),1,1)+INT((ROWS(B$2:B5139)-1)/24),"""18""jjmmdd")</f>
        <v>18980803</v>
      </c>
      <c r="C5139" s="11" t="str">
        <f>INDEX(Data,2,2+MOD(ROWS(C$2:C5139)-1,24))</f>
        <v>02.00</v>
      </c>
      <c r="D5139" s="8" t="str">
        <f t="shared" ca="1" si="242"/>
        <v>—</v>
      </c>
      <c r="E5139" s="16">
        <f t="shared" ca="1" si="243"/>
        <v>7</v>
      </c>
    </row>
    <row r="5140" spans="1:5" x14ac:dyDescent="0.25">
      <c r="A5140" s="3">
        <f t="shared" si="241"/>
        <v>78989</v>
      </c>
      <c r="B5140" t="str">
        <f ca="1">TEXT(DATE(YEAR(Invoer!$A$5),1,1)+INT((ROWS(B$2:B5140)-1)/24),"""18""jjmmdd")</f>
        <v>18980803</v>
      </c>
      <c r="C5140" s="11" t="str">
        <f>INDEX(Data,2,2+MOD(ROWS(C$2:C5140)-1,24))</f>
        <v>03.00</v>
      </c>
      <c r="D5140" s="8" t="str">
        <f t="shared" ca="1" si="242"/>
        <v>—</v>
      </c>
      <c r="E5140" s="16">
        <f t="shared" ca="1" si="243"/>
        <v>7</v>
      </c>
    </row>
    <row r="5141" spans="1:5" x14ac:dyDescent="0.25">
      <c r="A5141" s="3">
        <f t="shared" si="241"/>
        <v>78989</v>
      </c>
      <c r="B5141" t="str">
        <f ca="1">TEXT(DATE(YEAR(Invoer!$A$5),1,1)+INT((ROWS(B$2:B5141)-1)/24),"""18""jjmmdd")</f>
        <v>18980803</v>
      </c>
      <c r="C5141" s="11" t="str">
        <f>INDEX(Data,2,2+MOD(ROWS(C$2:C5141)-1,24))</f>
        <v>04.00</v>
      </c>
      <c r="D5141" s="8" t="str">
        <f t="shared" ca="1" si="242"/>
        <v>—</v>
      </c>
      <c r="E5141" s="16">
        <f t="shared" ca="1" si="243"/>
        <v>7</v>
      </c>
    </row>
    <row r="5142" spans="1:5" x14ac:dyDescent="0.25">
      <c r="A5142" s="3">
        <f t="shared" si="241"/>
        <v>78989</v>
      </c>
      <c r="B5142" t="str">
        <f ca="1">TEXT(DATE(YEAR(Invoer!$A$5),1,1)+INT((ROWS(B$2:B5142)-1)/24),"""18""jjmmdd")</f>
        <v>18980803</v>
      </c>
      <c r="C5142" s="11" t="str">
        <f>INDEX(Data,2,2+MOD(ROWS(C$2:C5142)-1,24))</f>
        <v>05.00</v>
      </c>
      <c r="D5142" s="8" t="str">
        <f t="shared" ca="1" si="242"/>
        <v>—</v>
      </c>
      <c r="E5142" s="16">
        <f t="shared" ca="1" si="243"/>
        <v>7</v>
      </c>
    </row>
    <row r="5143" spans="1:5" x14ac:dyDescent="0.25">
      <c r="A5143" s="3">
        <f t="shared" si="241"/>
        <v>78989</v>
      </c>
      <c r="B5143" t="str">
        <f ca="1">TEXT(DATE(YEAR(Invoer!$A$5),1,1)+INT((ROWS(B$2:B5143)-1)/24),"""18""jjmmdd")</f>
        <v>18980803</v>
      </c>
      <c r="C5143" s="11" t="str">
        <f>INDEX(Data,2,2+MOD(ROWS(C$2:C5143)-1,24))</f>
        <v>06.00</v>
      </c>
      <c r="D5143" s="8" t="str">
        <f t="shared" ca="1" si="242"/>
        <v>—</v>
      </c>
      <c r="E5143" s="16">
        <f t="shared" ca="1" si="243"/>
        <v>7</v>
      </c>
    </row>
    <row r="5144" spans="1:5" x14ac:dyDescent="0.25">
      <c r="A5144" s="3">
        <f t="shared" si="241"/>
        <v>78989</v>
      </c>
      <c r="B5144" t="str">
        <f ca="1">TEXT(DATE(YEAR(Invoer!$A$5),1,1)+INT((ROWS(B$2:B5144)-1)/24),"""18""jjmmdd")</f>
        <v>18980803</v>
      </c>
      <c r="C5144" s="11" t="str">
        <f>INDEX(Data,2,2+MOD(ROWS(C$2:C5144)-1,24))</f>
        <v>07.00</v>
      </c>
      <c r="D5144" s="8" t="str">
        <f t="shared" ca="1" si="242"/>
        <v>—</v>
      </c>
      <c r="E5144" s="16">
        <f t="shared" ca="1" si="243"/>
        <v>7</v>
      </c>
    </row>
    <row r="5145" spans="1:5" x14ac:dyDescent="0.25">
      <c r="A5145" s="3">
        <f t="shared" si="241"/>
        <v>78989</v>
      </c>
      <c r="B5145" t="str">
        <f ca="1">TEXT(DATE(YEAR(Invoer!$A$5),1,1)+INT((ROWS(B$2:B5145)-1)/24),"""18""jjmmdd")</f>
        <v>18980803</v>
      </c>
      <c r="C5145" s="11" t="str">
        <f>INDEX(Data,2,2+MOD(ROWS(C$2:C5145)-1,24))</f>
        <v>08.00</v>
      </c>
      <c r="D5145" s="8" t="str">
        <f t="shared" ca="1" si="242"/>
        <v>—</v>
      </c>
      <c r="E5145" s="16">
        <f t="shared" ca="1" si="243"/>
        <v>7</v>
      </c>
    </row>
    <row r="5146" spans="1:5" x14ac:dyDescent="0.25">
      <c r="A5146" s="3">
        <f t="shared" si="241"/>
        <v>78989</v>
      </c>
      <c r="B5146" t="str">
        <f ca="1">TEXT(DATE(YEAR(Invoer!$A$5),1,1)+INT((ROWS(B$2:B5146)-1)/24),"""18""jjmmdd")</f>
        <v>18980803</v>
      </c>
      <c r="C5146" s="11" t="str">
        <f>INDEX(Data,2,2+MOD(ROWS(C$2:C5146)-1,24))</f>
        <v>09.00</v>
      </c>
      <c r="D5146" s="8" t="str">
        <f t="shared" ca="1" si="242"/>
        <v>—</v>
      </c>
      <c r="E5146" s="16">
        <f t="shared" ca="1" si="243"/>
        <v>7</v>
      </c>
    </row>
    <row r="5147" spans="1:5" x14ac:dyDescent="0.25">
      <c r="A5147" s="3">
        <f t="shared" si="241"/>
        <v>78989</v>
      </c>
      <c r="B5147" t="str">
        <f ca="1">TEXT(DATE(YEAR(Invoer!$A$5),1,1)+INT((ROWS(B$2:B5147)-1)/24),"""18""jjmmdd")</f>
        <v>18980803</v>
      </c>
      <c r="C5147" s="11" t="str">
        <f>INDEX(Data,2,2+MOD(ROWS(C$2:C5147)-1,24))</f>
        <v>10.00</v>
      </c>
      <c r="D5147" s="8" t="str">
        <f t="shared" ca="1" si="242"/>
        <v>—</v>
      </c>
      <c r="E5147" s="16">
        <f t="shared" ca="1" si="243"/>
        <v>7</v>
      </c>
    </row>
    <row r="5148" spans="1:5" x14ac:dyDescent="0.25">
      <c r="A5148" s="3">
        <f t="shared" si="241"/>
        <v>78989</v>
      </c>
      <c r="B5148" t="str">
        <f ca="1">TEXT(DATE(YEAR(Invoer!$A$5),1,1)+INT((ROWS(B$2:B5148)-1)/24),"""18""jjmmdd")</f>
        <v>18980803</v>
      </c>
      <c r="C5148" s="11" t="str">
        <f>INDEX(Data,2,2+MOD(ROWS(C$2:C5148)-1,24))</f>
        <v>11.00</v>
      </c>
      <c r="D5148" s="8" t="str">
        <f t="shared" ca="1" si="242"/>
        <v>—</v>
      </c>
      <c r="E5148" s="16">
        <f t="shared" ca="1" si="243"/>
        <v>7</v>
      </c>
    </row>
    <row r="5149" spans="1:5" x14ac:dyDescent="0.25">
      <c r="A5149" s="3">
        <f t="shared" si="241"/>
        <v>78989</v>
      </c>
      <c r="B5149" t="str">
        <f ca="1">TEXT(DATE(YEAR(Invoer!$A$5),1,1)+INT((ROWS(B$2:B5149)-1)/24),"""18""jjmmdd")</f>
        <v>18980803</v>
      </c>
      <c r="C5149" s="11" t="str">
        <f>INDEX(Data,2,2+MOD(ROWS(C$2:C5149)-1,24))</f>
        <v>12.00</v>
      </c>
      <c r="D5149" s="8" t="str">
        <f t="shared" ca="1" si="242"/>
        <v>—</v>
      </c>
      <c r="E5149" s="16">
        <f t="shared" ca="1" si="243"/>
        <v>7</v>
      </c>
    </row>
    <row r="5150" spans="1:5" x14ac:dyDescent="0.25">
      <c r="A5150" s="3">
        <f t="shared" si="241"/>
        <v>78989</v>
      </c>
      <c r="B5150" t="str">
        <f ca="1">TEXT(DATE(YEAR(Invoer!$A$5),1,1)+INT((ROWS(B$2:B5150)-1)/24),"""18""jjmmdd")</f>
        <v>18980803</v>
      </c>
      <c r="C5150" s="11" t="str">
        <f>INDEX(Data,2,2+MOD(ROWS(C$2:C5150)-1,24))</f>
        <v>13.00</v>
      </c>
      <c r="D5150" s="8" t="str">
        <f t="shared" ca="1" si="242"/>
        <v>—</v>
      </c>
      <c r="E5150" s="16">
        <f t="shared" ca="1" si="243"/>
        <v>7</v>
      </c>
    </row>
    <row r="5151" spans="1:5" x14ac:dyDescent="0.25">
      <c r="A5151" s="3">
        <f t="shared" si="241"/>
        <v>78989</v>
      </c>
      <c r="B5151" t="str">
        <f ca="1">TEXT(DATE(YEAR(Invoer!$A$5),1,1)+INT((ROWS(B$2:B5151)-1)/24),"""18""jjmmdd")</f>
        <v>18980803</v>
      </c>
      <c r="C5151" s="11" t="str">
        <f>INDEX(Data,2,2+MOD(ROWS(C$2:C5151)-1,24))</f>
        <v>14.00</v>
      </c>
      <c r="D5151" s="8" t="str">
        <f t="shared" ca="1" si="242"/>
        <v>—</v>
      </c>
      <c r="E5151" s="16">
        <f t="shared" ca="1" si="243"/>
        <v>7</v>
      </c>
    </row>
    <row r="5152" spans="1:5" x14ac:dyDescent="0.25">
      <c r="A5152" s="3">
        <f t="shared" si="241"/>
        <v>78989</v>
      </c>
      <c r="B5152" t="str">
        <f ca="1">TEXT(DATE(YEAR(Invoer!$A$5),1,1)+INT((ROWS(B$2:B5152)-1)/24),"""18""jjmmdd")</f>
        <v>18980803</v>
      </c>
      <c r="C5152" s="11" t="str">
        <f>INDEX(Data,2,2+MOD(ROWS(C$2:C5152)-1,24))</f>
        <v>15.00</v>
      </c>
      <c r="D5152" s="8" t="str">
        <f t="shared" ca="1" si="242"/>
        <v>—</v>
      </c>
      <c r="E5152" s="16">
        <f t="shared" ca="1" si="243"/>
        <v>7</v>
      </c>
    </row>
    <row r="5153" spans="1:5" x14ac:dyDescent="0.25">
      <c r="A5153" s="3">
        <f t="shared" si="241"/>
        <v>78989</v>
      </c>
      <c r="B5153" t="str">
        <f ca="1">TEXT(DATE(YEAR(Invoer!$A$5),1,1)+INT((ROWS(B$2:B5153)-1)/24),"""18""jjmmdd")</f>
        <v>18980803</v>
      </c>
      <c r="C5153" s="11" t="str">
        <f>INDEX(Data,2,2+MOD(ROWS(C$2:C5153)-1,24))</f>
        <v>16.00</v>
      </c>
      <c r="D5153" s="8" t="str">
        <f t="shared" ca="1" si="242"/>
        <v>—</v>
      </c>
      <c r="E5153" s="16">
        <f t="shared" ca="1" si="243"/>
        <v>7</v>
      </c>
    </row>
    <row r="5154" spans="1:5" x14ac:dyDescent="0.25">
      <c r="A5154" s="3">
        <f t="shared" si="241"/>
        <v>78989</v>
      </c>
      <c r="B5154" t="str">
        <f ca="1">TEXT(DATE(YEAR(Invoer!$A$5),1,1)+INT((ROWS(B$2:B5154)-1)/24),"""18""jjmmdd")</f>
        <v>18980803</v>
      </c>
      <c r="C5154" s="11" t="str">
        <f>INDEX(Data,2,2+MOD(ROWS(C$2:C5154)-1,24))</f>
        <v>17.00</v>
      </c>
      <c r="D5154" s="8" t="str">
        <f t="shared" ca="1" si="242"/>
        <v>—</v>
      </c>
      <c r="E5154" s="16">
        <f t="shared" ca="1" si="243"/>
        <v>7</v>
      </c>
    </row>
    <row r="5155" spans="1:5" x14ac:dyDescent="0.25">
      <c r="A5155" s="3">
        <f t="shared" si="241"/>
        <v>78989</v>
      </c>
      <c r="B5155" t="str">
        <f ca="1">TEXT(DATE(YEAR(Invoer!$A$5),1,1)+INT((ROWS(B$2:B5155)-1)/24),"""18""jjmmdd")</f>
        <v>18980803</v>
      </c>
      <c r="C5155" s="11" t="str">
        <f>INDEX(Data,2,2+MOD(ROWS(C$2:C5155)-1,24))</f>
        <v>18.00</v>
      </c>
      <c r="D5155" s="8" t="str">
        <f t="shared" ca="1" si="242"/>
        <v>—</v>
      </c>
      <c r="E5155" s="16">
        <f t="shared" ca="1" si="243"/>
        <v>7</v>
      </c>
    </row>
    <row r="5156" spans="1:5" x14ac:dyDescent="0.25">
      <c r="A5156" s="3">
        <f t="shared" si="241"/>
        <v>78989</v>
      </c>
      <c r="B5156" t="str">
        <f ca="1">TEXT(DATE(YEAR(Invoer!$A$5),1,1)+INT((ROWS(B$2:B5156)-1)/24),"""18""jjmmdd")</f>
        <v>18980803</v>
      </c>
      <c r="C5156" s="11" t="str">
        <f>INDEX(Data,2,2+MOD(ROWS(C$2:C5156)-1,24))</f>
        <v>19.00</v>
      </c>
      <c r="D5156" s="8" t="str">
        <f t="shared" ca="1" si="242"/>
        <v>—</v>
      </c>
      <c r="E5156" s="16">
        <f t="shared" ca="1" si="243"/>
        <v>7</v>
      </c>
    </row>
    <row r="5157" spans="1:5" x14ac:dyDescent="0.25">
      <c r="A5157" s="3">
        <f t="shared" si="241"/>
        <v>78989</v>
      </c>
      <c r="B5157" t="str">
        <f ca="1">TEXT(DATE(YEAR(Invoer!$A$5),1,1)+INT((ROWS(B$2:B5157)-1)/24),"""18""jjmmdd")</f>
        <v>18980803</v>
      </c>
      <c r="C5157" s="11" t="str">
        <f>INDEX(Data,2,2+MOD(ROWS(C$2:C5157)-1,24))</f>
        <v>20.00</v>
      </c>
      <c r="D5157" s="8" t="str">
        <f t="shared" ca="1" si="242"/>
        <v>—</v>
      </c>
      <c r="E5157" s="16">
        <f t="shared" ca="1" si="243"/>
        <v>7</v>
      </c>
    </row>
    <row r="5158" spans="1:5" x14ac:dyDescent="0.25">
      <c r="A5158" s="3">
        <f t="shared" si="241"/>
        <v>78989</v>
      </c>
      <c r="B5158" t="str">
        <f ca="1">TEXT(DATE(YEAR(Invoer!$A$5),1,1)+INT((ROWS(B$2:B5158)-1)/24),"""18""jjmmdd")</f>
        <v>18980803</v>
      </c>
      <c r="C5158" s="11" t="str">
        <f>INDEX(Data,2,2+MOD(ROWS(C$2:C5158)-1,24))</f>
        <v>21.00</v>
      </c>
      <c r="D5158" s="8" t="str">
        <f t="shared" ca="1" si="242"/>
        <v>—</v>
      </c>
      <c r="E5158" s="16">
        <f t="shared" ca="1" si="243"/>
        <v>7</v>
      </c>
    </row>
    <row r="5159" spans="1:5" x14ac:dyDescent="0.25">
      <c r="A5159" s="3">
        <f t="shared" si="241"/>
        <v>78989</v>
      </c>
      <c r="B5159" t="str">
        <f ca="1">TEXT(DATE(YEAR(Invoer!$A$5),1,1)+INT((ROWS(B$2:B5159)-1)/24),"""18""jjmmdd")</f>
        <v>18980803</v>
      </c>
      <c r="C5159" s="11" t="str">
        <f>INDEX(Data,2,2+MOD(ROWS(C$2:C5159)-1,24))</f>
        <v>22.00</v>
      </c>
      <c r="D5159" s="8" t="str">
        <f t="shared" ca="1" si="242"/>
        <v>—</v>
      </c>
      <c r="E5159" s="16">
        <f t="shared" ca="1" si="243"/>
        <v>7</v>
      </c>
    </row>
    <row r="5160" spans="1:5" x14ac:dyDescent="0.25">
      <c r="A5160" s="3">
        <f t="shared" si="241"/>
        <v>78989</v>
      </c>
      <c r="B5160" t="str">
        <f ca="1">TEXT(DATE(YEAR(Invoer!$A$5),1,1)+INT((ROWS(B$2:B5160)-1)/24),"""18""jjmmdd")</f>
        <v>18980803</v>
      </c>
      <c r="C5160" s="11" t="str">
        <f>INDEX(Data,2,2+MOD(ROWS(C$2:C5160)-1,24))</f>
        <v>23.00</v>
      </c>
      <c r="D5160" s="8" t="str">
        <f t="shared" ca="1" si="242"/>
        <v>—</v>
      </c>
      <c r="E5160" s="16">
        <f t="shared" ca="1" si="243"/>
        <v>7</v>
      </c>
    </row>
    <row r="5161" spans="1:5" x14ac:dyDescent="0.25">
      <c r="A5161" s="3">
        <f t="shared" si="241"/>
        <v>78989</v>
      </c>
      <c r="B5161" t="str">
        <f ca="1">TEXT(DATE(YEAR(Invoer!$A$5),1,1)+INT((ROWS(B$2:B5161)-1)/24),"""18""jjmmdd")</f>
        <v>18980803</v>
      </c>
      <c r="C5161" s="11" t="str">
        <f>INDEX(Data,2,2+MOD(ROWS(C$2:C5161)-1,24))</f>
        <v>24.00</v>
      </c>
      <c r="D5161" s="8" t="str">
        <f t="shared" ca="1" si="242"/>
        <v>—</v>
      </c>
      <c r="E5161" s="16">
        <f t="shared" ca="1" si="243"/>
        <v>7</v>
      </c>
    </row>
    <row r="5162" spans="1:5" x14ac:dyDescent="0.25">
      <c r="A5162" s="3">
        <f t="shared" si="241"/>
        <v>78989</v>
      </c>
      <c r="B5162" t="str">
        <f ca="1">TEXT(DATE(YEAR(Invoer!$A$5),1,1)+INT((ROWS(B$2:B5162)-1)/24),"""18""jjmmdd")</f>
        <v>18980804</v>
      </c>
      <c r="C5162" s="11" t="str">
        <f>INDEX(Data,2,2+MOD(ROWS(C$2:C5162)-1,24))</f>
        <v>01.00</v>
      </c>
      <c r="D5162" s="8" t="str">
        <f t="shared" ca="1" si="242"/>
        <v>—</v>
      </c>
      <c r="E5162" s="16">
        <f t="shared" ca="1" si="243"/>
        <v>7</v>
      </c>
    </row>
    <row r="5163" spans="1:5" x14ac:dyDescent="0.25">
      <c r="A5163" s="3">
        <f t="shared" si="241"/>
        <v>78989</v>
      </c>
      <c r="B5163" t="str">
        <f ca="1">TEXT(DATE(YEAR(Invoer!$A$5),1,1)+INT((ROWS(B$2:B5163)-1)/24),"""18""jjmmdd")</f>
        <v>18980804</v>
      </c>
      <c r="C5163" s="11" t="str">
        <f>INDEX(Data,2,2+MOD(ROWS(C$2:C5163)-1,24))</f>
        <v>02.00</v>
      </c>
      <c r="D5163" s="8" t="str">
        <f t="shared" ca="1" si="242"/>
        <v>—</v>
      </c>
      <c r="E5163" s="16">
        <f t="shared" ca="1" si="243"/>
        <v>7</v>
      </c>
    </row>
    <row r="5164" spans="1:5" x14ac:dyDescent="0.25">
      <c r="A5164" s="3">
        <f t="shared" si="241"/>
        <v>78989</v>
      </c>
      <c r="B5164" t="str">
        <f ca="1">TEXT(DATE(YEAR(Invoer!$A$5),1,1)+INT((ROWS(B$2:B5164)-1)/24),"""18""jjmmdd")</f>
        <v>18980804</v>
      </c>
      <c r="C5164" s="11" t="str">
        <f>INDEX(Data,2,2+MOD(ROWS(C$2:C5164)-1,24))</f>
        <v>03.00</v>
      </c>
      <c r="D5164" s="8" t="str">
        <f t="shared" ca="1" si="242"/>
        <v>—</v>
      </c>
      <c r="E5164" s="16">
        <f t="shared" ca="1" si="243"/>
        <v>7</v>
      </c>
    </row>
    <row r="5165" spans="1:5" x14ac:dyDescent="0.25">
      <c r="A5165" s="3">
        <f t="shared" si="241"/>
        <v>78989</v>
      </c>
      <c r="B5165" t="str">
        <f ca="1">TEXT(DATE(YEAR(Invoer!$A$5),1,1)+INT((ROWS(B$2:B5165)-1)/24),"""18""jjmmdd")</f>
        <v>18980804</v>
      </c>
      <c r="C5165" s="11" t="str">
        <f>INDEX(Data,2,2+MOD(ROWS(C$2:C5165)-1,24))</f>
        <v>04.00</v>
      </c>
      <c r="D5165" s="8" t="str">
        <f t="shared" ca="1" si="242"/>
        <v>—</v>
      </c>
      <c r="E5165" s="16">
        <f t="shared" ca="1" si="243"/>
        <v>7</v>
      </c>
    </row>
    <row r="5166" spans="1:5" x14ac:dyDescent="0.25">
      <c r="A5166" s="3">
        <f t="shared" si="241"/>
        <v>78989</v>
      </c>
      <c r="B5166" t="str">
        <f ca="1">TEXT(DATE(YEAR(Invoer!$A$5),1,1)+INT((ROWS(B$2:B5166)-1)/24),"""18""jjmmdd")</f>
        <v>18980804</v>
      </c>
      <c r="C5166" s="11" t="str">
        <f>INDEX(Data,2,2+MOD(ROWS(C$2:C5166)-1,24))</f>
        <v>05.00</v>
      </c>
      <c r="D5166" s="8" t="str">
        <f t="shared" ca="1" si="242"/>
        <v>—</v>
      </c>
      <c r="E5166" s="16">
        <f t="shared" ca="1" si="243"/>
        <v>7</v>
      </c>
    </row>
    <row r="5167" spans="1:5" x14ac:dyDescent="0.25">
      <c r="A5167" s="3">
        <f t="shared" si="241"/>
        <v>78989</v>
      </c>
      <c r="B5167" t="str">
        <f ca="1">TEXT(DATE(YEAR(Invoer!$A$5),1,1)+INT((ROWS(B$2:B5167)-1)/24),"""18""jjmmdd")</f>
        <v>18980804</v>
      </c>
      <c r="C5167" s="11" t="str">
        <f>INDEX(Data,2,2+MOD(ROWS(C$2:C5167)-1,24))</f>
        <v>06.00</v>
      </c>
      <c r="D5167" s="8" t="str">
        <f t="shared" ca="1" si="242"/>
        <v>—</v>
      </c>
      <c r="E5167" s="16">
        <f t="shared" ca="1" si="243"/>
        <v>7</v>
      </c>
    </row>
    <row r="5168" spans="1:5" x14ac:dyDescent="0.25">
      <c r="A5168" s="3">
        <f t="shared" si="241"/>
        <v>78989</v>
      </c>
      <c r="B5168" t="str">
        <f ca="1">TEXT(DATE(YEAR(Invoer!$A$5),1,1)+INT((ROWS(B$2:B5168)-1)/24),"""18""jjmmdd")</f>
        <v>18980804</v>
      </c>
      <c r="C5168" s="11" t="str">
        <f>INDEX(Data,2,2+MOD(ROWS(C$2:C5168)-1,24))</f>
        <v>07.00</v>
      </c>
      <c r="D5168" s="8" t="str">
        <f t="shared" ca="1" si="242"/>
        <v>—</v>
      </c>
      <c r="E5168" s="16">
        <f t="shared" ca="1" si="243"/>
        <v>7</v>
      </c>
    </row>
    <row r="5169" spans="1:5" x14ac:dyDescent="0.25">
      <c r="A5169" s="3">
        <f t="shared" si="241"/>
        <v>78989</v>
      </c>
      <c r="B5169" t="str">
        <f ca="1">TEXT(DATE(YEAR(Invoer!$A$5),1,1)+INT((ROWS(B$2:B5169)-1)/24),"""18""jjmmdd")</f>
        <v>18980804</v>
      </c>
      <c r="C5169" s="11" t="str">
        <f>INDEX(Data,2,2+MOD(ROWS(C$2:C5169)-1,24))</f>
        <v>08.00</v>
      </c>
      <c r="D5169" s="8" t="str">
        <f t="shared" ca="1" si="242"/>
        <v>—</v>
      </c>
      <c r="E5169" s="16">
        <f t="shared" ca="1" si="243"/>
        <v>7</v>
      </c>
    </row>
    <row r="5170" spans="1:5" x14ac:dyDescent="0.25">
      <c r="A5170" s="3">
        <f t="shared" si="241"/>
        <v>78989</v>
      </c>
      <c r="B5170" t="str">
        <f ca="1">TEXT(DATE(YEAR(Invoer!$A$5),1,1)+INT((ROWS(B$2:B5170)-1)/24),"""18""jjmmdd")</f>
        <v>18980804</v>
      </c>
      <c r="C5170" s="11" t="str">
        <f>INDEX(Data,2,2+MOD(ROWS(C$2:C5170)-1,24))</f>
        <v>09.00</v>
      </c>
      <c r="D5170" s="8" t="str">
        <f t="shared" ca="1" si="242"/>
        <v>—</v>
      </c>
      <c r="E5170" s="16">
        <f t="shared" ca="1" si="243"/>
        <v>7</v>
      </c>
    </row>
    <row r="5171" spans="1:5" x14ac:dyDescent="0.25">
      <c r="A5171" s="3">
        <f t="shared" si="241"/>
        <v>78989</v>
      </c>
      <c r="B5171" t="str">
        <f ca="1">TEXT(DATE(YEAR(Invoer!$A$5),1,1)+INT((ROWS(B$2:B5171)-1)/24),"""18""jjmmdd")</f>
        <v>18980804</v>
      </c>
      <c r="C5171" s="11" t="str">
        <f>INDEX(Data,2,2+MOD(ROWS(C$2:C5171)-1,24))</f>
        <v>10.00</v>
      </c>
      <c r="D5171" s="8" t="str">
        <f t="shared" ca="1" si="242"/>
        <v>—</v>
      </c>
      <c r="E5171" s="16">
        <f t="shared" ca="1" si="243"/>
        <v>7</v>
      </c>
    </row>
    <row r="5172" spans="1:5" x14ac:dyDescent="0.25">
      <c r="A5172" s="3">
        <f t="shared" si="241"/>
        <v>78989</v>
      </c>
      <c r="B5172" t="str">
        <f ca="1">TEXT(DATE(YEAR(Invoer!$A$5),1,1)+INT((ROWS(B$2:B5172)-1)/24),"""18""jjmmdd")</f>
        <v>18980804</v>
      </c>
      <c r="C5172" s="11" t="str">
        <f>INDEX(Data,2,2+MOD(ROWS(C$2:C5172)-1,24))</f>
        <v>11.00</v>
      </c>
      <c r="D5172" s="8" t="str">
        <f t="shared" ca="1" si="242"/>
        <v>—</v>
      </c>
      <c r="E5172" s="16">
        <f t="shared" ca="1" si="243"/>
        <v>7</v>
      </c>
    </row>
    <row r="5173" spans="1:5" x14ac:dyDescent="0.25">
      <c r="A5173" s="3">
        <f t="shared" si="241"/>
        <v>78989</v>
      </c>
      <c r="B5173" t="str">
        <f ca="1">TEXT(DATE(YEAR(Invoer!$A$5),1,1)+INT((ROWS(B$2:B5173)-1)/24),"""18""jjmmdd")</f>
        <v>18980804</v>
      </c>
      <c r="C5173" s="11" t="str">
        <f>INDEX(Data,2,2+MOD(ROWS(C$2:C5173)-1,24))</f>
        <v>12.00</v>
      </c>
      <c r="D5173" s="8" t="str">
        <f t="shared" ca="1" si="242"/>
        <v>—</v>
      </c>
      <c r="E5173" s="16">
        <f t="shared" ca="1" si="243"/>
        <v>7</v>
      </c>
    </row>
    <row r="5174" spans="1:5" x14ac:dyDescent="0.25">
      <c r="A5174" s="3">
        <f t="shared" si="241"/>
        <v>78989</v>
      </c>
      <c r="B5174" t="str">
        <f ca="1">TEXT(DATE(YEAR(Invoer!$A$5),1,1)+INT((ROWS(B$2:B5174)-1)/24),"""18""jjmmdd")</f>
        <v>18980804</v>
      </c>
      <c r="C5174" s="11" t="str">
        <f>INDEX(Data,2,2+MOD(ROWS(C$2:C5174)-1,24))</f>
        <v>13.00</v>
      </c>
      <c r="D5174" s="8" t="str">
        <f t="shared" ca="1" si="242"/>
        <v>—</v>
      </c>
      <c r="E5174" s="16">
        <f t="shared" ca="1" si="243"/>
        <v>7</v>
      </c>
    </row>
    <row r="5175" spans="1:5" x14ac:dyDescent="0.25">
      <c r="A5175" s="3">
        <f t="shared" si="241"/>
        <v>78989</v>
      </c>
      <c r="B5175" t="str">
        <f ca="1">TEXT(DATE(YEAR(Invoer!$A$5),1,1)+INT((ROWS(B$2:B5175)-1)/24),"""18""jjmmdd")</f>
        <v>18980804</v>
      </c>
      <c r="C5175" s="11" t="str">
        <f>INDEX(Data,2,2+MOD(ROWS(C$2:C5175)-1,24))</f>
        <v>14.00</v>
      </c>
      <c r="D5175" s="8" t="str">
        <f t="shared" ca="1" si="242"/>
        <v>—</v>
      </c>
      <c r="E5175" s="16">
        <f t="shared" ca="1" si="243"/>
        <v>7</v>
      </c>
    </row>
    <row r="5176" spans="1:5" x14ac:dyDescent="0.25">
      <c r="A5176" s="3">
        <f t="shared" si="241"/>
        <v>78989</v>
      </c>
      <c r="B5176" t="str">
        <f ca="1">TEXT(DATE(YEAR(Invoer!$A$5),1,1)+INT((ROWS(B$2:B5176)-1)/24),"""18""jjmmdd")</f>
        <v>18980804</v>
      </c>
      <c r="C5176" s="11" t="str">
        <f>INDEX(Data,2,2+MOD(ROWS(C$2:C5176)-1,24))</f>
        <v>15.00</v>
      </c>
      <c r="D5176" s="8" t="str">
        <f t="shared" ca="1" si="242"/>
        <v>—</v>
      </c>
      <c r="E5176" s="16">
        <f t="shared" ca="1" si="243"/>
        <v>7</v>
      </c>
    </row>
    <row r="5177" spans="1:5" x14ac:dyDescent="0.25">
      <c r="A5177" s="3">
        <f t="shared" si="241"/>
        <v>78989</v>
      </c>
      <c r="B5177" t="str">
        <f ca="1">TEXT(DATE(YEAR(Invoer!$A$5),1,1)+INT((ROWS(B$2:B5177)-1)/24),"""18""jjmmdd")</f>
        <v>18980804</v>
      </c>
      <c r="C5177" s="11" t="str">
        <f>INDEX(Data,2,2+MOD(ROWS(C$2:C5177)-1,24))</f>
        <v>16.00</v>
      </c>
      <c r="D5177" s="8" t="str">
        <f t="shared" ca="1" si="242"/>
        <v>—</v>
      </c>
      <c r="E5177" s="16">
        <f t="shared" ca="1" si="243"/>
        <v>7</v>
      </c>
    </row>
    <row r="5178" spans="1:5" x14ac:dyDescent="0.25">
      <c r="A5178" s="3">
        <f t="shared" si="241"/>
        <v>78989</v>
      </c>
      <c r="B5178" t="str">
        <f ca="1">TEXT(DATE(YEAR(Invoer!$A$5),1,1)+INT((ROWS(B$2:B5178)-1)/24),"""18""jjmmdd")</f>
        <v>18980804</v>
      </c>
      <c r="C5178" s="11" t="str">
        <f>INDEX(Data,2,2+MOD(ROWS(C$2:C5178)-1,24))</f>
        <v>17.00</v>
      </c>
      <c r="D5178" s="8" t="str">
        <f t="shared" ca="1" si="242"/>
        <v>—</v>
      </c>
      <c r="E5178" s="16">
        <f t="shared" ca="1" si="243"/>
        <v>7</v>
      </c>
    </row>
    <row r="5179" spans="1:5" x14ac:dyDescent="0.25">
      <c r="A5179" s="3">
        <f t="shared" si="241"/>
        <v>78989</v>
      </c>
      <c r="B5179" t="str">
        <f ca="1">TEXT(DATE(YEAR(Invoer!$A$5),1,1)+INT((ROWS(B$2:B5179)-1)/24),"""18""jjmmdd")</f>
        <v>18980804</v>
      </c>
      <c r="C5179" s="11" t="str">
        <f>INDEX(Data,2,2+MOD(ROWS(C$2:C5179)-1,24))</f>
        <v>18.00</v>
      </c>
      <c r="D5179" s="8" t="str">
        <f t="shared" ca="1" si="242"/>
        <v>—</v>
      </c>
      <c r="E5179" s="16">
        <f t="shared" ca="1" si="243"/>
        <v>7</v>
      </c>
    </row>
    <row r="5180" spans="1:5" x14ac:dyDescent="0.25">
      <c r="A5180" s="3">
        <f t="shared" si="241"/>
        <v>78989</v>
      </c>
      <c r="B5180" t="str">
        <f ca="1">TEXT(DATE(YEAR(Invoer!$A$5),1,1)+INT((ROWS(B$2:B5180)-1)/24),"""18""jjmmdd")</f>
        <v>18980804</v>
      </c>
      <c r="C5180" s="11" t="str">
        <f>INDEX(Data,2,2+MOD(ROWS(C$2:C5180)-1,24))</f>
        <v>19.00</v>
      </c>
      <c r="D5180" s="8" t="str">
        <f t="shared" ca="1" si="242"/>
        <v>—</v>
      </c>
      <c r="E5180" s="16">
        <f t="shared" ca="1" si="243"/>
        <v>7</v>
      </c>
    </row>
    <row r="5181" spans="1:5" x14ac:dyDescent="0.25">
      <c r="A5181" s="3">
        <f t="shared" si="241"/>
        <v>78989</v>
      </c>
      <c r="B5181" t="str">
        <f ca="1">TEXT(DATE(YEAR(Invoer!$A$5),1,1)+INT((ROWS(B$2:B5181)-1)/24),"""18""jjmmdd")</f>
        <v>18980804</v>
      </c>
      <c r="C5181" s="11" t="str">
        <f>INDEX(Data,2,2+MOD(ROWS(C$2:C5181)-1,24))</f>
        <v>20.00</v>
      </c>
      <c r="D5181" s="8" t="str">
        <f t="shared" ca="1" si="242"/>
        <v>—</v>
      </c>
      <c r="E5181" s="16">
        <f t="shared" ca="1" si="243"/>
        <v>7</v>
      </c>
    </row>
    <row r="5182" spans="1:5" x14ac:dyDescent="0.25">
      <c r="A5182" s="3">
        <f t="shared" si="241"/>
        <v>78989</v>
      </c>
      <c r="B5182" t="str">
        <f ca="1">TEXT(DATE(YEAR(Invoer!$A$5),1,1)+INT((ROWS(B$2:B5182)-1)/24),"""18""jjmmdd")</f>
        <v>18980804</v>
      </c>
      <c r="C5182" s="11" t="str">
        <f>INDEX(Data,2,2+MOD(ROWS(C$2:C5182)-1,24))</f>
        <v>21.00</v>
      </c>
      <c r="D5182" s="8" t="str">
        <f t="shared" ca="1" si="242"/>
        <v>—</v>
      </c>
      <c r="E5182" s="16">
        <f t="shared" ca="1" si="243"/>
        <v>7</v>
      </c>
    </row>
    <row r="5183" spans="1:5" x14ac:dyDescent="0.25">
      <c r="A5183" s="3">
        <f t="shared" si="241"/>
        <v>78989</v>
      </c>
      <c r="B5183" t="str">
        <f ca="1">TEXT(DATE(YEAR(Invoer!$A$5),1,1)+INT((ROWS(B$2:B5183)-1)/24),"""18""jjmmdd")</f>
        <v>18980804</v>
      </c>
      <c r="C5183" s="11" t="str">
        <f>INDEX(Data,2,2+MOD(ROWS(C$2:C5183)-1,24))</f>
        <v>22.00</v>
      </c>
      <c r="D5183" s="8" t="str">
        <f t="shared" ca="1" si="242"/>
        <v>—</v>
      </c>
      <c r="E5183" s="16">
        <f t="shared" ca="1" si="243"/>
        <v>7</v>
      </c>
    </row>
    <row r="5184" spans="1:5" x14ac:dyDescent="0.25">
      <c r="A5184" s="3">
        <f t="shared" si="241"/>
        <v>78989</v>
      </c>
      <c r="B5184" t="str">
        <f ca="1">TEXT(DATE(YEAR(Invoer!$A$5),1,1)+INT((ROWS(B$2:B5184)-1)/24),"""18""jjmmdd")</f>
        <v>18980804</v>
      </c>
      <c r="C5184" s="11" t="str">
        <f>INDEX(Data,2,2+MOD(ROWS(C$2:C5184)-1,24))</f>
        <v>23.00</v>
      </c>
      <c r="D5184" s="8" t="str">
        <f t="shared" ca="1" si="242"/>
        <v>—</v>
      </c>
      <c r="E5184" s="16">
        <f t="shared" ca="1" si="243"/>
        <v>7</v>
      </c>
    </row>
    <row r="5185" spans="1:5" x14ac:dyDescent="0.25">
      <c r="A5185" s="3">
        <f t="shared" si="241"/>
        <v>78989</v>
      </c>
      <c r="B5185" t="str">
        <f ca="1">TEXT(DATE(YEAR(Invoer!$A$5),1,1)+INT((ROWS(B$2:B5185)-1)/24),"""18""jjmmdd")</f>
        <v>18980804</v>
      </c>
      <c r="C5185" s="11" t="str">
        <f>INDEX(Data,2,2+MOD(ROWS(C$2:C5185)-1,24))</f>
        <v>24.00</v>
      </c>
      <c r="D5185" s="8" t="str">
        <f t="shared" ca="1" si="242"/>
        <v>—</v>
      </c>
      <c r="E5185" s="16">
        <f t="shared" ca="1" si="243"/>
        <v>7</v>
      </c>
    </row>
    <row r="5186" spans="1:5" x14ac:dyDescent="0.25">
      <c r="A5186" s="3">
        <f t="shared" ref="A5186:A5249" si="244">INDEX(Stations,2,1)</f>
        <v>78989</v>
      </c>
      <c r="B5186" t="str">
        <f ca="1">TEXT(DATE(YEAR(Invoer!$A$5),1,1)+INT((ROWS(B$2:B5186)-1)/24),"""18""jjmmdd")</f>
        <v>18980805</v>
      </c>
      <c r="C5186" s="11" t="str">
        <f>INDEX(Data,2,2+MOD(ROWS(C$2:C5186)-1,24))</f>
        <v>01.00</v>
      </c>
      <c r="D5186" s="8" t="str">
        <f t="shared" ref="D5186:D5249" ca="1" si="245">IF(OR(ISBLANK(VLOOKUP(DATEVALUE("37"&amp;MID($B5186,3,2)&amp;"-"&amp;MID($B5186,5,2)&amp;"-"&amp;RIGHT($B5186,2)),Data,MATCH(LEFT(VLOOKUP(D$1,Parameters,2,FALSE()),4)&amp;"*",OFFSET(Data,0,0,1),0)+MATCH($C5186,OFFSET(Data,1,0,1),0)-2,FALSE())),ISTEXT(VLOOKUP(DATEVALUE("37"&amp;MID($B5186,3,2)&amp;"-"&amp;MID($B5186,5,2)&amp;"-"&amp;RIGHT($B5186,2)),Data,MATCH(LEFT(VLOOKUP(D$1,Parameters,2,FALSE()),4)&amp;"*",OFFSET(Data,0,0,1),0)+MATCH($C5186,OFFSET(Data,1,0,1),0)-2,FALSE()))),"—",VLOOKUP(DATEVALUE("37"&amp;MID($B5186,3,2)&amp;"-"&amp;MID($B5186,5,2)&amp;"-"&amp;RIGHT($B5186,2)),Data,MATCH(LEFT(VLOOKUP(D$1,Parameters,2,FALSE()),4)&amp;"*",OFFSET(Data,0,0,1),0)+MATCH($C5186,OFFSET(Data,1,0,1),0)-2,FALSE()))</f>
        <v>—</v>
      </c>
      <c r="E5186" s="16">
        <f t="shared" ca="1" si="243"/>
        <v>7</v>
      </c>
    </row>
    <row r="5187" spans="1:5" x14ac:dyDescent="0.25">
      <c r="A5187" s="3">
        <f t="shared" si="244"/>
        <v>78989</v>
      </c>
      <c r="B5187" t="str">
        <f ca="1">TEXT(DATE(YEAR(Invoer!$A$5),1,1)+INT((ROWS(B$2:B5187)-1)/24),"""18""jjmmdd")</f>
        <v>18980805</v>
      </c>
      <c r="C5187" s="11" t="str">
        <f>INDEX(Data,2,2+MOD(ROWS(C$2:C5187)-1,24))</f>
        <v>02.00</v>
      </c>
      <c r="D5187" s="8" t="str">
        <f t="shared" ca="1" si="245"/>
        <v>—</v>
      </c>
      <c r="E5187" s="16">
        <f t="shared" ref="E5187:E5250" ca="1" si="246">IF(OR(ISBLANK(VLOOKUP(DATEVALUE("37"&amp;MID($B5187,3,2)&amp;"-"&amp;MID($B5187,5,2)&amp;"-"&amp;RIGHT($B5187,2)),Data,MATCH(LEFT(VLOOKUP(D$1,Parameters,2,FALSE()),4)&amp;"*",OFFSET(Data,0,0,1),0)+MATCH($C5187,OFFSET(Data,1,0,1),0)-2,FALSE())),ISTEXT(VLOOKUP(DATEVALUE("37"&amp;MID($B5187,3,2)&amp;"-"&amp;MID($B5187,5,2)&amp;"-"&amp;RIGHT($B5187,2)),Data,MATCH(LEFT(VLOOKUP(D$1,Parameters,2,FALSE()),4)&amp;"*",OFFSET(Data,0,0,1),0)+MATCH($C5187,OFFSET(Data,1,0,1),0)-2,FALSE()))),Lacking,IF(ISNA(MATCH(DATEVALUE("37"&amp;MID($B5187,3,2)&amp;"-"&amp;MID($B5187,5,2)&amp;"-"&amp;RIGHT($B5187,2)),OFFSET(Catalogus,0,0,,1),0)),Ok,VLOOKUP(DATEVALUE("37"&amp;MID($B5187,3,2)&amp;"-"&amp;MID($B5187,5,2)&amp;"-"&amp;RIGHT($B5187,2)),Catalogus,MATCH(LEFT(VLOOKUP(MID(E$1,2,LEN(E$1)-1),Parameters,2,FALSE()),4)&amp;"*",OFFSET(Catalogus,0,0,1),0)+MATCH($C5187,OFFSET(Catalogus,1,0,1),0)-2,FALSE())))</f>
        <v>7</v>
      </c>
    </row>
    <row r="5188" spans="1:5" x14ac:dyDescent="0.25">
      <c r="A5188" s="3">
        <f t="shared" si="244"/>
        <v>78989</v>
      </c>
      <c r="B5188" t="str">
        <f ca="1">TEXT(DATE(YEAR(Invoer!$A$5),1,1)+INT((ROWS(B$2:B5188)-1)/24),"""18""jjmmdd")</f>
        <v>18980805</v>
      </c>
      <c r="C5188" s="11" t="str">
        <f>INDEX(Data,2,2+MOD(ROWS(C$2:C5188)-1,24))</f>
        <v>03.00</v>
      </c>
      <c r="D5188" s="8" t="str">
        <f t="shared" ca="1" si="245"/>
        <v>—</v>
      </c>
      <c r="E5188" s="16">
        <f t="shared" ca="1" si="246"/>
        <v>7</v>
      </c>
    </row>
    <row r="5189" spans="1:5" x14ac:dyDescent="0.25">
      <c r="A5189" s="3">
        <f t="shared" si="244"/>
        <v>78989</v>
      </c>
      <c r="B5189" t="str">
        <f ca="1">TEXT(DATE(YEAR(Invoer!$A$5),1,1)+INT((ROWS(B$2:B5189)-1)/24),"""18""jjmmdd")</f>
        <v>18980805</v>
      </c>
      <c r="C5189" s="11" t="str">
        <f>INDEX(Data,2,2+MOD(ROWS(C$2:C5189)-1,24))</f>
        <v>04.00</v>
      </c>
      <c r="D5189" s="8" t="str">
        <f t="shared" ca="1" si="245"/>
        <v>—</v>
      </c>
      <c r="E5189" s="16">
        <f t="shared" ca="1" si="246"/>
        <v>7</v>
      </c>
    </row>
    <row r="5190" spans="1:5" x14ac:dyDescent="0.25">
      <c r="A5190" s="3">
        <f t="shared" si="244"/>
        <v>78989</v>
      </c>
      <c r="B5190" t="str">
        <f ca="1">TEXT(DATE(YEAR(Invoer!$A$5),1,1)+INT((ROWS(B$2:B5190)-1)/24),"""18""jjmmdd")</f>
        <v>18980805</v>
      </c>
      <c r="C5190" s="11" t="str">
        <f>INDEX(Data,2,2+MOD(ROWS(C$2:C5190)-1,24))</f>
        <v>05.00</v>
      </c>
      <c r="D5190" s="8" t="str">
        <f t="shared" ca="1" si="245"/>
        <v>—</v>
      </c>
      <c r="E5190" s="16">
        <f t="shared" ca="1" si="246"/>
        <v>7</v>
      </c>
    </row>
    <row r="5191" spans="1:5" x14ac:dyDescent="0.25">
      <c r="A5191" s="3">
        <f t="shared" si="244"/>
        <v>78989</v>
      </c>
      <c r="B5191" t="str">
        <f ca="1">TEXT(DATE(YEAR(Invoer!$A$5),1,1)+INT((ROWS(B$2:B5191)-1)/24),"""18""jjmmdd")</f>
        <v>18980805</v>
      </c>
      <c r="C5191" s="11" t="str">
        <f>INDEX(Data,2,2+MOD(ROWS(C$2:C5191)-1,24))</f>
        <v>06.00</v>
      </c>
      <c r="D5191" s="8" t="str">
        <f t="shared" ca="1" si="245"/>
        <v>—</v>
      </c>
      <c r="E5191" s="16">
        <f t="shared" ca="1" si="246"/>
        <v>7</v>
      </c>
    </row>
    <row r="5192" spans="1:5" x14ac:dyDescent="0.25">
      <c r="A5192" s="3">
        <f t="shared" si="244"/>
        <v>78989</v>
      </c>
      <c r="B5192" t="str">
        <f ca="1">TEXT(DATE(YEAR(Invoer!$A$5),1,1)+INT((ROWS(B$2:B5192)-1)/24),"""18""jjmmdd")</f>
        <v>18980805</v>
      </c>
      <c r="C5192" s="11" t="str">
        <f>INDEX(Data,2,2+MOD(ROWS(C$2:C5192)-1,24))</f>
        <v>07.00</v>
      </c>
      <c r="D5192" s="8" t="str">
        <f t="shared" ca="1" si="245"/>
        <v>—</v>
      </c>
      <c r="E5192" s="16">
        <f t="shared" ca="1" si="246"/>
        <v>7</v>
      </c>
    </row>
    <row r="5193" spans="1:5" x14ac:dyDescent="0.25">
      <c r="A5193" s="3">
        <f t="shared" si="244"/>
        <v>78989</v>
      </c>
      <c r="B5193" t="str">
        <f ca="1">TEXT(DATE(YEAR(Invoer!$A$5),1,1)+INT((ROWS(B$2:B5193)-1)/24),"""18""jjmmdd")</f>
        <v>18980805</v>
      </c>
      <c r="C5193" s="11" t="str">
        <f>INDEX(Data,2,2+MOD(ROWS(C$2:C5193)-1,24))</f>
        <v>08.00</v>
      </c>
      <c r="D5193" s="8" t="str">
        <f t="shared" ca="1" si="245"/>
        <v>—</v>
      </c>
      <c r="E5193" s="16">
        <f t="shared" ca="1" si="246"/>
        <v>7</v>
      </c>
    </row>
    <row r="5194" spans="1:5" x14ac:dyDescent="0.25">
      <c r="A5194" s="3">
        <f t="shared" si="244"/>
        <v>78989</v>
      </c>
      <c r="B5194" t="str">
        <f ca="1">TEXT(DATE(YEAR(Invoer!$A$5),1,1)+INT((ROWS(B$2:B5194)-1)/24),"""18""jjmmdd")</f>
        <v>18980805</v>
      </c>
      <c r="C5194" s="11" t="str">
        <f>INDEX(Data,2,2+MOD(ROWS(C$2:C5194)-1,24))</f>
        <v>09.00</v>
      </c>
      <c r="D5194" s="8" t="str">
        <f t="shared" ca="1" si="245"/>
        <v>—</v>
      </c>
      <c r="E5194" s="16">
        <f t="shared" ca="1" si="246"/>
        <v>7</v>
      </c>
    </row>
    <row r="5195" spans="1:5" x14ac:dyDescent="0.25">
      <c r="A5195" s="3">
        <f t="shared" si="244"/>
        <v>78989</v>
      </c>
      <c r="B5195" t="str">
        <f ca="1">TEXT(DATE(YEAR(Invoer!$A$5),1,1)+INT((ROWS(B$2:B5195)-1)/24),"""18""jjmmdd")</f>
        <v>18980805</v>
      </c>
      <c r="C5195" s="11" t="str">
        <f>INDEX(Data,2,2+MOD(ROWS(C$2:C5195)-1,24))</f>
        <v>10.00</v>
      </c>
      <c r="D5195" s="8" t="str">
        <f t="shared" ca="1" si="245"/>
        <v>—</v>
      </c>
      <c r="E5195" s="16">
        <f t="shared" ca="1" si="246"/>
        <v>7</v>
      </c>
    </row>
    <row r="5196" spans="1:5" x14ac:dyDescent="0.25">
      <c r="A5196" s="3">
        <f t="shared" si="244"/>
        <v>78989</v>
      </c>
      <c r="B5196" t="str">
        <f ca="1">TEXT(DATE(YEAR(Invoer!$A$5),1,1)+INT((ROWS(B$2:B5196)-1)/24),"""18""jjmmdd")</f>
        <v>18980805</v>
      </c>
      <c r="C5196" s="11" t="str">
        <f>INDEX(Data,2,2+MOD(ROWS(C$2:C5196)-1,24))</f>
        <v>11.00</v>
      </c>
      <c r="D5196" s="8" t="str">
        <f t="shared" ca="1" si="245"/>
        <v>—</v>
      </c>
      <c r="E5196" s="16">
        <f t="shared" ca="1" si="246"/>
        <v>7</v>
      </c>
    </row>
    <row r="5197" spans="1:5" x14ac:dyDescent="0.25">
      <c r="A5197" s="3">
        <f t="shared" si="244"/>
        <v>78989</v>
      </c>
      <c r="B5197" t="str">
        <f ca="1">TEXT(DATE(YEAR(Invoer!$A$5),1,1)+INT((ROWS(B$2:B5197)-1)/24),"""18""jjmmdd")</f>
        <v>18980805</v>
      </c>
      <c r="C5197" s="11" t="str">
        <f>INDEX(Data,2,2+MOD(ROWS(C$2:C5197)-1,24))</f>
        <v>12.00</v>
      </c>
      <c r="D5197" s="8" t="str">
        <f t="shared" ca="1" si="245"/>
        <v>—</v>
      </c>
      <c r="E5197" s="16">
        <f t="shared" ca="1" si="246"/>
        <v>7</v>
      </c>
    </row>
    <row r="5198" spans="1:5" x14ac:dyDescent="0.25">
      <c r="A5198" s="3">
        <f t="shared" si="244"/>
        <v>78989</v>
      </c>
      <c r="B5198" t="str">
        <f ca="1">TEXT(DATE(YEAR(Invoer!$A$5),1,1)+INT((ROWS(B$2:B5198)-1)/24),"""18""jjmmdd")</f>
        <v>18980805</v>
      </c>
      <c r="C5198" s="11" t="str">
        <f>INDEX(Data,2,2+MOD(ROWS(C$2:C5198)-1,24))</f>
        <v>13.00</v>
      </c>
      <c r="D5198" s="8" t="str">
        <f t="shared" ca="1" si="245"/>
        <v>—</v>
      </c>
      <c r="E5198" s="16">
        <f t="shared" ca="1" si="246"/>
        <v>7</v>
      </c>
    </row>
    <row r="5199" spans="1:5" x14ac:dyDescent="0.25">
      <c r="A5199" s="3">
        <f t="shared" si="244"/>
        <v>78989</v>
      </c>
      <c r="B5199" t="str">
        <f ca="1">TEXT(DATE(YEAR(Invoer!$A$5),1,1)+INT((ROWS(B$2:B5199)-1)/24),"""18""jjmmdd")</f>
        <v>18980805</v>
      </c>
      <c r="C5199" s="11" t="str">
        <f>INDEX(Data,2,2+MOD(ROWS(C$2:C5199)-1,24))</f>
        <v>14.00</v>
      </c>
      <c r="D5199" s="8" t="str">
        <f t="shared" ca="1" si="245"/>
        <v>—</v>
      </c>
      <c r="E5199" s="16">
        <f t="shared" ca="1" si="246"/>
        <v>7</v>
      </c>
    </row>
    <row r="5200" spans="1:5" x14ac:dyDescent="0.25">
      <c r="A5200" s="3">
        <f t="shared" si="244"/>
        <v>78989</v>
      </c>
      <c r="B5200" t="str">
        <f ca="1">TEXT(DATE(YEAR(Invoer!$A$5),1,1)+INT((ROWS(B$2:B5200)-1)/24),"""18""jjmmdd")</f>
        <v>18980805</v>
      </c>
      <c r="C5200" s="11" t="str">
        <f>INDEX(Data,2,2+MOD(ROWS(C$2:C5200)-1,24))</f>
        <v>15.00</v>
      </c>
      <c r="D5200" s="8" t="str">
        <f t="shared" ca="1" si="245"/>
        <v>—</v>
      </c>
      <c r="E5200" s="16">
        <f t="shared" ca="1" si="246"/>
        <v>7</v>
      </c>
    </row>
    <row r="5201" spans="1:5" x14ac:dyDescent="0.25">
      <c r="A5201" s="3">
        <f t="shared" si="244"/>
        <v>78989</v>
      </c>
      <c r="B5201" t="str">
        <f ca="1">TEXT(DATE(YEAR(Invoer!$A$5),1,1)+INT((ROWS(B$2:B5201)-1)/24),"""18""jjmmdd")</f>
        <v>18980805</v>
      </c>
      <c r="C5201" s="11" t="str">
        <f>INDEX(Data,2,2+MOD(ROWS(C$2:C5201)-1,24))</f>
        <v>16.00</v>
      </c>
      <c r="D5201" s="8" t="str">
        <f t="shared" ca="1" si="245"/>
        <v>—</v>
      </c>
      <c r="E5201" s="16">
        <f t="shared" ca="1" si="246"/>
        <v>7</v>
      </c>
    </row>
    <row r="5202" spans="1:5" x14ac:dyDescent="0.25">
      <c r="A5202" s="3">
        <f t="shared" si="244"/>
        <v>78989</v>
      </c>
      <c r="B5202" t="str">
        <f ca="1">TEXT(DATE(YEAR(Invoer!$A$5),1,1)+INT((ROWS(B$2:B5202)-1)/24),"""18""jjmmdd")</f>
        <v>18980805</v>
      </c>
      <c r="C5202" s="11" t="str">
        <f>INDEX(Data,2,2+MOD(ROWS(C$2:C5202)-1,24))</f>
        <v>17.00</v>
      </c>
      <c r="D5202" s="8" t="str">
        <f t="shared" ca="1" si="245"/>
        <v>—</v>
      </c>
      <c r="E5202" s="16">
        <f t="shared" ca="1" si="246"/>
        <v>7</v>
      </c>
    </row>
    <row r="5203" spans="1:5" x14ac:dyDescent="0.25">
      <c r="A5203" s="3">
        <f t="shared" si="244"/>
        <v>78989</v>
      </c>
      <c r="B5203" t="str">
        <f ca="1">TEXT(DATE(YEAR(Invoer!$A$5),1,1)+INT((ROWS(B$2:B5203)-1)/24),"""18""jjmmdd")</f>
        <v>18980805</v>
      </c>
      <c r="C5203" s="11" t="str">
        <f>INDEX(Data,2,2+MOD(ROWS(C$2:C5203)-1,24))</f>
        <v>18.00</v>
      </c>
      <c r="D5203" s="8" t="str">
        <f t="shared" ca="1" si="245"/>
        <v>—</v>
      </c>
      <c r="E5203" s="16">
        <f t="shared" ca="1" si="246"/>
        <v>7</v>
      </c>
    </row>
    <row r="5204" spans="1:5" x14ac:dyDescent="0.25">
      <c r="A5204" s="3">
        <f t="shared" si="244"/>
        <v>78989</v>
      </c>
      <c r="B5204" t="str">
        <f ca="1">TEXT(DATE(YEAR(Invoer!$A$5),1,1)+INT((ROWS(B$2:B5204)-1)/24),"""18""jjmmdd")</f>
        <v>18980805</v>
      </c>
      <c r="C5204" s="11" t="str">
        <f>INDEX(Data,2,2+MOD(ROWS(C$2:C5204)-1,24))</f>
        <v>19.00</v>
      </c>
      <c r="D5204" s="8" t="str">
        <f t="shared" ca="1" si="245"/>
        <v>—</v>
      </c>
      <c r="E5204" s="16">
        <f t="shared" ca="1" si="246"/>
        <v>7</v>
      </c>
    </row>
    <row r="5205" spans="1:5" x14ac:dyDescent="0.25">
      <c r="A5205" s="3">
        <f t="shared" si="244"/>
        <v>78989</v>
      </c>
      <c r="B5205" t="str">
        <f ca="1">TEXT(DATE(YEAR(Invoer!$A$5),1,1)+INT((ROWS(B$2:B5205)-1)/24),"""18""jjmmdd")</f>
        <v>18980805</v>
      </c>
      <c r="C5205" s="11" t="str">
        <f>INDEX(Data,2,2+MOD(ROWS(C$2:C5205)-1,24))</f>
        <v>20.00</v>
      </c>
      <c r="D5205" s="8" t="str">
        <f t="shared" ca="1" si="245"/>
        <v>—</v>
      </c>
      <c r="E5205" s="16">
        <f t="shared" ca="1" si="246"/>
        <v>7</v>
      </c>
    </row>
    <row r="5206" spans="1:5" x14ac:dyDescent="0.25">
      <c r="A5206" s="3">
        <f t="shared" si="244"/>
        <v>78989</v>
      </c>
      <c r="B5206" t="str">
        <f ca="1">TEXT(DATE(YEAR(Invoer!$A$5),1,1)+INT((ROWS(B$2:B5206)-1)/24),"""18""jjmmdd")</f>
        <v>18980805</v>
      </c>
      <c r="C5206" s="11" t="str">
        <f>INDEX(Data,2,2+MOD(ROWS(C$2:C5206)-1,24))</f>
        <v>21.00</v>
      </c>
      <c r="D5206" s="8" t="str">
        <f t="shared" ca="1" si="245"/>
        <v>—</v>
      </c>
      <c r="E5206" s="16">
        <f t="shared" ca="1" si="246"/>
        <v>7</v>
      </c>
    </row>
    <row r="5207" spans="1:5" x14ac:dyDescent="0.25">
      <c r="A5207" s="3">
        <f t="shared" si="244"/>
        <v>78989</v>
      </c>
      <c r="B5207" t="str">
        <f ca="1">TEXT(DATE(YEAR(Invoer!$A$5),1,1)+INT((ROWS(B$2:B5207)-1)/24),"""18""jjmmdd")</f>
        <v>18980805</v>
      </c>
      <c r="C5207" s="11" t="str">
        <f>INDEX(Data,2,2+MOD(ROWS(C$2:C5207)-1,24))</f>
        <v>22.00</v>
      </c>
      <c r="D5207" s="8" t="str">
        <f t="shared" ca="1" si="245"/>
        <v>—</v>
      </c>
      <c r="E5207" s="16">
        <f t="shared" ca="1" si="246"/>
        <v>7</v>
      </c>
    </row>
    <row r="5208" spans="1:5" x14ac:dyDescent="0.25">
      <c r="A5208" s="3">
        <f t="shared" si="244"/>
        <v>78989</v>
      </c>
      <c r="B5208" t="str">
        <f ca="1">TEXT(DATE(YEAR(Invoer!$A$5),1,1)+INT((ROWS(B$2:B5208)-1)/24),"""18""jjmmdd")</f>
        <v>18980805</v>
      </c>
      <c r="C5208" s="11" t="str">
        <f>INDEX(Data,2,2+MOD(ROWS(C$2:C5208)-1,24))</f>
        <v>23.00</v>
      </c>
      <c r="D5208" s="8" t="str">
        <f t="shared" ca="1" si="245"/>
        <v>—</v>
      </c>
      <c r="E5208" s="16">
        <f t="shared" ca="1" si="246"/>
        <v>7</v>
      </c>
    </row>
    <row r="5209" spans="1:5" x14ac:dyDescent="0.25">
      <c r="A5209" s="3">
        <f t="shared" si="244"/>
        <v>78989</v>
      </c>
      <c r="B5209" t="str">
        <f ca="1">TEXT(DATE(YEAR(Invoer!$A$5),1,1)+INT((ROWS(B$2:B5209)-1)/24),"""18""jjmmdd")</f>
        <v>18980805</v>
      </c>
      <c r="C5209" s="11" t="str">
        <f>INDEX(Data,2,2+MOD(ROWS(C$2:C5209)-1,24))</f>
        <v>24.00</v>
      </c>
      <c r="D5209" s="8" t="str">
        <f t="shared" ca="1" si="245"/>
        <v>—</v>
      </c>
      <c r="E5209" s="16">
        <f t="shared" ca="1" si="246"/>
        <v>7</v>
      </c>
    </row>
    <row r="5210" spans="1:5" x14ac:dyDescent="0.25">
      <c r="A5210" s="3">
        <f t="shared" si="244"/>
        <v>78989</v>
      </c>
      <c r="B5210" t="str">
        <f ca="1">TEXT(DATE(YEAR(Invoer!$A$5),1,1)+INT((ROWS(B$2:B5210)-1)/24),"""18""jjmmdd")</f>
        <v>18980806</v>
      </c>
      <c r="C5210" s="11" t="str">
        <f>INDEX(Data,2,2+MOD(ROWS(C$2:C5210)-1,24))</f>
        <v>01.00</v>
      </c>
      <c r="D5210" s="8" t="str">
        <f t="shared" ca="1" si="245"/>
        <v>—</v>
      </c>
      <c r="E5210" s="16">
        <f t="shared" ca="1" si="246"/>
        <v>7</v>
      </c>
    </row>
    <row r="5211" spans="1:5" x14ac:dyDescent="0.25">
      <c r="A5211" s="3">
        <f t="shared" si="244"/>
        <v>78989</v>
      </c>
      <c r="B5211" t="str">
        <f ca="1">TEXT(DATE(YEAR(Invoer!$A$5),1,1)+INT((ROWS(B$2:B5211)-1)/24),"""18""jjmmdd")</f>
        <v>18980806</v>
      </c>
      <c r="C5211" s="11" t="str">
        <f>INDEX(Data,2,2+MOD(ROWS(C$2:C5211)-1,24))</f>
        <v>02.00</v>
      </c>
      <c r="D5211" s="8" t="str">
        <f t="shared" ca="1" si="245"/>
        <v>—</v>
      </c>
      <c r="E5211" s="16">
        <f t="shared" ca="1" si="246"/>
        <v>7</v>
      </c>
    </row>
    <row r="5212" spans="1:5" x14ac:dyDescent="0.25">
      <c r="A5212" s="3">
        <f t="shared" si="244"/>
        <v>78989</v>
      </c>
      <c r="B5212" t="str">
        <f ca="1">TEXT(DATE(YEAR(Invoer!$A$5),1,1)+INT((ROWS(B$2:B5212)-1)/24),"""18""jjmmdd")</f>
        <v>18980806</v>
      </c>
      <c r="C5212" s="11" t="str">
        <f>INDEX(Data,2,2+MOD(ROWS(C$2:C5212)-1,24))</f>
        <v>03.00</v>
      </c>
      <c r="D5212" s="8" t="str">
        <f t="shared" ca="1" si="245"/>
        <v>—</v>
      </c>
      <c r="E5212" s="16">
        <f t="shared" ca="1" si="246"/>
        <v>7</v>
      </c>
    </row>
    <row r="5213" spans="1:5" x14ac:dyDescent="0.25">
      <c r="A5213" s="3">
        <f t="shared" si="244"/>
        <v>78989</v>
      </c>
      <c r="B5213" t="str">
        <f ca="1">TEXT(DATE(YEAR(Invoer!$A$5),1,1)+INT((ROWS(B$2:B5213)-1)/24),"""18""jjmmdd")</f>
        <v>18980806</v>
      </c>
      <c r="C5213" s="11" t="str">
        <f>INDEX(Data,2,2+MOD(ROWS(C$2:C5213)-1,24))</f>
        <v>04.00</v>
      </c>
      <c r="D5213" s="8" t="str">
        <f t="shared" ca="1" si="245"/>
        <v>—</v>
      </c>
      <c r="E5213" s="16">
        <f t="shared" ca="1" si="246"/>
        <v>7</v>
      </c>
    </row>
    <row r="5214" spans="1:5" x14ac:dyDescent="0.25">
      <c r="A5214" s="3">
        <f t="shared" si="244"/>
        <v>78989</v>
      </c>
      <c r="B5214" t="str">
        <f ca="1">TEXT(DATE(YEAR(Invoer!$A$5),1,1)+INT((ROWS(B$2:B5214)-1)/24),"""18""jjmmdd")</f>
        <v>18980806</v>
      </c>
      <c r="C5214" s="11" t="str">
        <f>INDEX(Data,2,2+MOD(ROWS(C$2:C5214)-1,24))</f>
        <v>05.00</v>
      </c>
      <c r="D5214" s="8" t="str">
        <f t="shared" ca="1" si="245"/>
        <v>—</v>
      </c>
      <c r="E5214" s="16">
        <f t="shared" ca="1" si="246"/>
        <v>7</v>
      </c>
    </row>
    <row r="5215" spans="1:5" x14ac:dyDescent="0.25">
      <c r="A5215" s="3">
        <f t="shared" si="244"/>
        <v>78989</v>
      </c>
      <c r="B5215" t="str">
        <f ca="1">TEXT(DATE(YEAR(Invoer!$A$5),1,1)+INT((ROWS(B$2:B5215)-1)/24),"""18""jjmmdd")</f>
        <v>18980806</v>
      </c>
      <c r="C5215" s="11" t="str">
        <f>INDEX(Data,2,2+MOD(ROWS(C$2:C5215)-1,24))</f>
        <v>06.00</v>
      </c>
      <c r="D5215" s="8" t="str">
        <f t="shared" ca="1" si="245"/>
        <v>—</v>
      </c>
      <c r="E5215" s="16">
        <f t="shared" ca="1" si="246"/>
        <v>7</v>
      </c>
    </row>
    <row r="5216" spans="1:5" x14ac:dyDescent="0.25">
      <c r="A5216" s="3">
        <f t="shared" si="244"/>
        <v>78989</v>
      </c>
      <c r="B5216" t="str">
        <f ca="1">TEXT(DATE(YEAR(Invoer!$A$5),1,1)+INT((ROWS(B$2:B5216)-1)/24),"""18""jjmmdd")</f>
        <v>18980806</v>
      </c>
      <c r="C5216" s="11" t="str">
        <f>INDEX(Data,2,2+MOD(ROWS(C$2:C5216)-1,24))</f>
        <v>07.00</v>
      </c>
      <c r="D5216" s="8" t="str">
        <f t="shared" ca="1" si="245"/>
        <v>—</v>
      </c>
      <c r="E5216" s="16">
        <f t="shared" ca="1" si="246"/>
        <v>7</v>
      </c>
    </row>
    <row r="5217" spans="1:5" x14ac:dyDescent="0.25">
      <c r="A5217" s="3">
        <f t="shared" si="244"/>
        <v>78989</v>
      </c>
      <c r="B5217" t="str">
        <f ca="1">TEXT(DATE(YEAR(Invoer!$A$5),1,1)+INT((ROWS(B$2:B5217)-1)/24),"""18""jjmmdd")</f>
        <v>18980806</v>
      </c>
      <c r="C5217" s="11" t="str">
        <f>INDEX(Data,2,2+MOD(ROWS(C$2:C5217)-1,24))</f>
        <v>08.00</v>
      </c>
      <c r="D5217" s="8" t="str">
        <f t="shared" ca="1" si="245"/>
        <v>—</v>
      </c>
      <c r="E5217" s="16">
        <f t="shared" ca="1" si="246"/>
        <v>7</v>
      </c>
    </row>
    <row r="5218" spans="1:5" x14ac:dyDescent="0.25">
      <c r="A5218" s="3">
        <f t="shared" si="244"/>
        <v>78989</v>
      </c>
      <c r="B5218" t="str">
        <f ca="1">TEXT(DATE(YEAR(Invoer!$A$5),1,1)+INT((ROWS(B$2:B5218)-1)/24),"""18""jjmmdd")</f>
        <v>18980806</v>
      </c>
      <c r="C5218" s="11" t="str">
        <f>INDEX(Data,2,2+MOD(ROWS(C$2:C5218)-1,24))</f>
        <v>09.00</v>
      </c>
      <c r="D5218" s="8" t="str">
        <f t="shared" ca="1" si="245"/>
        <v>—</v>
      </c>
      <c r="E5218" s="16">
        <f t="shared" ca="1" si="246"/>
        <v>7</v>
      </c>
    </row>
    <row r="5219" spans="1:5" x14ac:dyDescent="0.25">
      <c r="A5219" s="3">
        <f t="shared" si="244"/>
        <v>78989</v>
      </c>
      <c r="B5219" t="str">
        <f ca="1">TEXT(DATE(YEAR(Invoer!$A$5),1,1)+INT((ROWS(B$2:B5219)-1)/24),"""18""jjmmdd")</f>
        <v>18980806</v>
      </c>
      <c r="C5219" s="11" t="str">
        <f>INDEX(Data,2,2+MOD(ROWS(C$2:C5219)-1,24))</f>
        <v>10.00</v>
      </c>
      <c r="D5219" s="8" t="str">
        <f t="shared" ca="1" si="245"/>
        <v>—</v>
      </c>
      <c r="E5219" s="16">
        <f t="shared" ca="1" si="246"/>
        <v>7</v>
      </c>
    </row>
    <row r="5220" spans="1:5" x14ac:dyDescent="0.25">
      <c r="A5220" s="3">
        <f t="shared" si="244"/>
        <v>78989</v>
      </c>
      <c r="B5220" t="str">
        <f ca="1">TEXT(DATE(YEAR(Invoer!$A$5),1,1)+INT((ROWS(B$2:B5220)-1)/24),"""18""jjmmdd")</f>
        <v>18980806</v>
      </c>
      <c r="C5220" s="11" t="str">
        <f>INDEX(Data,2,2+MOD(ROWS(C$2:C5220)-1,24))</f>
        <v>11.00</v>
      </c>
      <c r="D5220" s="8" t="str">
        <f t="shared" ca="1" si="245"/>
        <v>—</v>
      </c>
      <c r="E5220" s="16">
        <f t="shared" ca="1" si="246"/>
        <v>7</v>
      </c>
    </row>
    <row r="5221" spans="1:5" x14ac:dyDescent="0.25">
      <c r="A5221" s="3">
        <f t="shared" si="244"/>
        <v>78989</v>
      </c>
      <c r="B5221" t="str">
        <f ca="1">TEXT(DATE(YEAR(Invoer!$A$5),1,1)+INT((ROWS(B$2:B5221)-1)/24),"""18""jjmmdd")</f>
        <v>18980806</v>
      </c>
      <c r="C5221" s="11" t="str">
        <f>INDEX(Data,2,2+MOD(ROWS(C$2:C5221)-1,24))</f>
        <v>12.00</v>
      </c>
      <c r="D5221" s="8" t="str">
        <f t="shared" ca="1" si="245"/>
        <v>—</v>
      </c>
      <c r="E5221" s="16">
        <f t="shared" ca="1" si="246"/>
        <v>7</v>
      </c>
    </row>
    <row r="5222" spans="1:5" x14ac:dyDescent="0.25">
      <c r="A5222" s="3">
        <f t="shared" si="244"/>
        <v>78989</v>
      </c>
      <c r="B5222" t="str">
        <f ca="1">TEXT(DATE(YEAR(Invoer!$A$5),1,1)+INT((ROWS(B$2:B5222)-1)/24),"""18""jjmmdd")</f>
        <v>18980806</v>
      </c>
      <c r="C5222" s="11" t="str">
        <f>INDEX(Data,2,2+MOD(ROWS(C$2:C5222)-1,24))</f>
        <v>13.00</v>
      </c>
      <c r="D5222" s="8" t="str">
        <f t="shared" ca="1" si="245"/>
        <v>—</v>
      </c>
      <c r="E5222" s="16">
        <f t="shared" ca="1" si="246"/>
        <v>7</v>
      </c>
    </row>
    <row r="5223" spans="1:5" x14ac:dyDescent="0.25">
      <c r="A5223" s="3">
        <f t="shared" si="244"/>
        <v>78989</v>
      </c>
      <c r="B5223" t="str">
        <f ca="1">TEXT(DATE(YEAR(Invoer!$A$5),1,1)+INT((ROWS(B$2:B5223)-1)/24),"""18""jjmmdd")</f>
        <v>18980806</v>
      </c>
      <c r="C5223" s="11" t="str">
        <f>INDEX(Data,2,2+MOD(ROWS(C$2:C5223)-1,24))</f>
        <v>14.00</v>
      </c>
      <c r="D5223" s="8" t="str">
        <f t="shared" ca="1" si="245"/>
        <v>—</v>
      </c>
      <c r="E5223" s="16">
        <f t="shared" ca="1" si="246"/>
        <v>7</v>
      </c>
    </row>
    <row r="5224" spans="1:5" x14ac:dyDescent="0.25">
      <c r="A5224" s="3">
        <f t="shared" si="244"/>
        <v>78989</v>
      </c>
      <c r="B5224" t="str">
        <f ca="1">TEXT(DATE(YEAR(Invoer!$A$5),1,1)+INT((ROWS(B$2:B5224)-1)/24),"""18""jjmmdd")</f>
        <v>18980806</v>
      </c>
      <c r="C5224" s="11" t="str">
        <f>INDEX(Data,2,2+MOD(ROWS(C$2:C5224)-1,24))</f>
        <v>15.00</v>
      </c>
      <c r="D5224" s="8" t="str">
        <f t="shared" ca="1" si="245"/>
        <v>—</v>
      </c>
      <c r="E5224" s="16">
        <f t="shared" ca="1" si="246"/>
        <v>7</v>
      </c>
    </row>
    <row r="5225" spans="1:5" x14ac:dyDescent="0.25">
      <c r="A5225" s="3">
        <f t="shared" si="244"/>
        <v>78989</v>
      </c>
      <c r="B5225" t="str">
        <f ca="1">TEXT(DATE(YEAR(Invoer!$A$5),1,1)+INT((ROWS(B$2:B5225)-1)/24),"""18""jjmmdd")</f>
        <v>18980806</v>
      </c>
      <c r="C5225" s="11" t="str">
        <f>INDEX(Data,2,2+MOD(ROWS(C$2:C5225)-1,24))</f>
        <v>16.00</v>
      </c>
      <c r="D5225" s="8" t="str">
        <f t="shared" ca="1" si="245"/>
        <v>—</v>
      </c>
      <c r="E5225" s="16">
        <f t="shared" ca="1" si="246"/>
        <v>7</v>
      </c>
    </row>
    <row r="5226" spans="1:5" x14ac:dyDescent="0.25">
      <c r="A5226" s="3">
        <f t="shared" si="244"/>
        <v>78989</v>
      </c>
      <c r="B5226" t="str">
        <f ca="1">TEXT(DATE(YEAR(Invoer!$A$5),1,1)+INT((ROWS(B$2:B5226)-1)/24),"""18""jjmmdd")</f>
        <v>18980806</v>
      </c>
      <c r="C5226" s="11" t="str">
        <f>INDEX(Data,2,2+MOD(ROWS(C$2:C5226)-1,24))</f>
        <v>17.00</v>
      </c>
      <c r="D5226" s="8" t="str">
        <f t="shared" ca="1" si="245"/>
        <v>—</v>
      </c>
      <c r="E5226" s="16">
        <f t="shared" ca="1" si="246"/>
        <v>7</v>
      </c>
    </row>
    <row r="5227" spans="1:5" x14ac:dyDescent="0.25">
      <c r="A5227" s="3">
        <f t="shared" si="244"/>
        <v>78989</v>
      </c>
      <c r="B5227" t="str">
        <f ca="1">TEXT(DATE(YEAR(Invoer!$A$5),1,1)+INT((ROWS(B$2:B5227)-1)/24),"""18""jjmmdd")</f>
        <v>18980806</v>
      </c>
      <c r="C5227" s="11" t="str">
        <f>INDEX(Data,2,2+MOD(ROWS(C$2:C5227)-1,24))</f>
        <v>18.00</v>
      </c>
      <c r="D5227" s="8" t="str">
        <f t="shared" ca="1" si="245"/>
        <v>—</v>
      </c>
      <c r="E5227" s="16">
        <f t="shared" ca="1" si="246"/>
        <v>7</v>
      </c>
    </row>
    <row r="5228" spans="1:5" x14ac:dyDescent="0.25">
      <c r="A5228" s="3">
        <f t="shared" si="244"/>
        <v>78989</v>
      </c>
      <c r="B5228" t="str">
        <f ca="1">TEXT(DATE(YEAR(Invoer!$A$5),1,1)+INT((ROWS(B$2:B5228)-1)/24),"""18""jjmmdd")</f>
        <v>18980806</v>
      </c>
      <c r="C5228" s="11" t="str">
        <f>INDEX(Data,2,2+MOD(ROWS(C$2:C5228)-1,24))</f>
        <v>19.00</v>
      </c>
      <c r="D5228" s="8" t="str">
        <f t="shared" ca="1" si="245"/>
        <v>—</v>
      </c>
      <c r="E5228" s="16">
        <f t="shared" ca="1" si="246"/>
        <v>7</v>
      </c>
    </row>
    <row r="5229" spans="1:5" x14ac:dyDescent="0.25">
      <c r="A5229" s="3">
        <f t="shared" si="244"/>
        <v>78989</v>
      </c>
      <c r="B5229" t="str">
        <f ca="1">TEXT(DATE(YEAR(Invoer!$A$5),1,1)+INT((ROWS(B$2:B5229)-1)/24),"""18""jjmmdd")</f>
        <v>18980806</v>
      </c>
      <c r="C5229" s="11" t="str">
        <f>INDEX(Data,2,2+MOD(ROWS(C$2:C5229)-1,24))</f>
        <v>20.00</v>
      </c>
      <c r="D5229" s="8" t="str">
        <f t="shared" ca="1" si="245"/>
        <v>—</v>
      </c>
      <c r="E5229" s="16">
        <f t="shared" ca="1" si="246"/>
        <v>7</v>
      </c>
    </row>
    <row r="5230" spans="1:5" x14ac:dyDescent="0.25">
      <c r="A5230" s="3">
        <f t="shared" si="244"/>
        <v>78989</v>
      </c>
      <c r="B5230" t="str">
        <f ca="1">TEXT(DATE(YEAR(Invoer!$A$5),1,1)+INT((ROWS(B$2:B5230)-1)/24),"""18""jjmmdd")</f>
        <v>18980806</v>
      </c>
      <c r="C5230" s="11" t="str">
        <f>INDEX(Data,2,2+MOD(ROWS(C$2:C5230)-1,24))</f>
        <v>21.00</v>
      </c>
      <c r="D5230" s="8" t="str">
        <f t="shared" ca="1" si="245"/>
        <v>—</v>
      </c>
      <c r="E5230" s="16">
        <f t="shared" ca="1" si="246"/>
        <v>7</v>
      </c>
    </row>
    <row r="5231" spans="1:5" x14ac:dyDescent="0.25">
      <c r="A5231" s="3">
        <f t="shared" si="244"/>
        <v>78989</v>
      </c>
      <c r="B5231" t="str">
        <f ca="1">TEXT(DATE(YEAR(Invoer!$A$5),1,1)+INT((ROWS(B$2:B5231)-1)/24),"""18""jjmmdd")</f>
        <v>18980806</v>
      </c>
      <c r="C5231" s="11" t="str">
        <f>INDEX(Data,2,2+MOD(ROWS(C$2:C5231)-1,24))</f>
        <v>22.00</v>
      </c>
      <c r="D5231" s="8" t="str">
        <f t="shared" ca="1" si="245"/>
        <v>—</v>
      </c>
      <c r="E5231" s="16">
        <f t="shared" ca="1" si="246"/>
        <v>7</v>
      </c>
    </row>
    <row r="5232" spans="1:5" x14ac:dyDescent="0.25">
      <c r="A5232" s="3">
        <f t="shared" si="244"/>
        <v>78989</v>
      </c>
      <c r="B5232" t="str">
        <f ca="1">TEXT(DATE(YEAR(Invoer!$A$5),1,1)+INT((ROWS(B$2:B5232)-1)/24),"""18""jjmmdd")</f>
        <v>18980806</v>
      </c>
      <c r="C5232" s="11" t="str">
        <f>INDEX(Data,2,2+MOD(ROWS(C$2:C5232)-1,24))</f>
        <v>23.00</v>
      </c>
      <c r="D5232" s="8" t="str">
        <f t="shared" ca="1" si="245"/>
        <v>—</v>
      </c>
      <c r="E5232" s="16">
        <f t="shared" ca="1" si="246"/>
        <v>7</v>
      </c>
    </row>
    <row r="5233" spans="1:5" x14ac:dyDescent="0.25">
      <c r="A5233" s="3">
        <f t="shared" si="244"/>
        <v>78989</v>
      </c>
      <c r="B5233" t="str">
        <f ca="1">TEXT(DATE(YEAR(Invoer!$A$5),1,1)+INT((ROWS(B$2:B5233)-1)/24),"""18""jjmmdd")</f>
        <v>18980806</v>
      </c>
      <c r="C5233" s="11" t="str">
        <f>INDEX(Data,2,2+MOD(ROWS(C$2:C5233)-1,24))</f>
        <v>24.00</v>
      </c>
      <c r="D5233" s="8" t="str">
        <f t="shared" ca="1" si="245"/>
        <v>—</v>
      </c>
      <c r="E5233" s="16">
        <f t="shared" ca="1" si="246"/>
        <v>7</v>
      </c>
    </row>
    <row r="5234" spans="1:5" x14ac:dyDescent="0.25">
      <c r="A5234" s="3">
        <f t="shared" si="244"/>
        <v>78989</v>
      </c>
      <c r="B5234" t="str">
        <f ca="1">TEXT(DATE(YEAR(Invoer!$A$5),1,1)+INT((ROWS(B$2:B5234)-1)/24),"""18""jjmmdd")</f>
        <v>18980807</v>
      </c>
      <c r="C5234" s="11" t="str">
        <f>INDEX(Data,2,2+MOD(ROWS(C$2:C5234)-1,24))</f>
        <v>01.00</v>
      </c>
      <c r="D5234" s="8" t="str">
        <f t="shared" ca="1" si="245"/>
        <v>—</v>
      </c>
      <c r="E5234" s="16">
        <f t="shared" ca="1" si="246"/>
        <v>7</v>
      </c>
    </row>
    <row r="5235" spans="1:5" x14ac:dyDescent="0.25">
      <c r="A5235" s="3">
        <f t="shared" si="244"/>
        <v>78989</v>
      </c>
      <c r="B5235" t="str">
        <f ca="1">TEXT(DATE(YEAR(Invoer!$A$5),1,1)+INT((ROWS(B$2:B5235)-1)/24),"""18""jjmmdd")</f>
        <v>18980807</v>
      </c>
      <c r="C5235" s="11" t="str">
        <f>INDEX(Data,2,2+MOD(ROWS(C$2:C5235)-1,24))</f>
        <v>02.00</v>
      </c>
      <c r="D5235" s="8" t="str">
        <f t="shared" ca="1" si="245"/>
        <v>—</v>
      </c>
      <c r="E5235" s="16">
        <f t="shared" ca="1" si="246"/>
        <v>7</v>
      </c>
    </row>
    <row r="5236" spans="1:5" x14ac:dyDescent="0.25">
      <c r="A5236" s="3">
        <f t="shared" si="244"/>
        <v>78989</v>
      </c>
      <c r="B5236" t="str">
        <f ca="1">TEXT(DATE(YEAR(Invoer!$A$5),1,1)+INT((ROWS(B$2:B5236)-1)/24),"""18""jjmmdd")</f>
        <v>18980807</v>
      </c>
      <c r="C5236" s="11" t="str">
        <f>INDEX(Data,2,2+MOD(ROWS(C$2:C5236)-1,24))</f>
        <v>03.00</v>
      </c>
      <c r="D5236" s="8" t="str">
        <f t="shared" ca="1" si="245"/>
        <v>—</v>
      </c>
      <c r="E5236" s="16">
        <f t="shared" ca="1" si="246"/>
        <v>7</v>
      </c>
    </row>
    <row r="5237" spans="1:5" x14ac:dyDescent="0.25">
      <c r="A5237" s="3">
        <f t="shared" si="244"/>
        <v>78989</v>
      </c>
      <c r="B5237" t="str">
        <f ca="1">TEXT(DATE(YEAR(Invoer!$A$5),1,1)+INT((ROWS(B$2:B5237)-1)/24),"""18""jjmmdd")</f>
        <v>18980807</v>
      </c>
      <c r="C5237" s="11" t="str">
        <f>INDEX(Data,2,2+MOD(ROWS(C$2:C5237)-1,24))</f>
        <v>04.00</v>
      </c>
      <c r="D5237" s="8" t="str">
        <f t="shared" ca="1" si="245"/>
        <v>—</v>
      </c>
      <c r="E5237" s="16">
        <f t="shared" ca="1" si="246"/>
        <v>7</v>
      </c>
    </row>
    <row r="5238" spans="1:5" x14ac:dyDescent="0.25">
      <c r="A5238" s="3">
        <f t="shared" si="244"/>
        <v>78989</v>
      </c>
      <c r="B5238" t="str">
        <f ca="1">TEXT(DATE(YEAR(Invoer!$A$5),1,1)+INT((ROWS(B$2:B5238)-1)/24),"""18""jjmmdd")</f>
        <v>18980807</v>
      </c>
      <c r="C5238" s="11" t="str">
        <f>INDEX(Data,2,2+MOD(ROWS(C$2:C5238)-1,24))</f>
        <v>05.00</v>
      </c>
      <c r="D5238" s="8" t="str">
        <f t="shared" ca="1" si="245"/>
        <v>—</v>
      </c>
      <c r="E5238" s="16">
        <f t="shared" ca="1" si="246"/>
        <v>7</v>
      </c>
    </row>
    <row r="5239" spans="1:5" x14ac:dyDescent="0.25">
      <c r="A5239" s="3">
        <f t="shared" si="244"/>
        <v>78989</v>
      </c>
      <c r="B5239" t="str">
        <f ca="1">TEXT(DATE(YEAR(Invoer!$A$5),1,1)+INT((ROWS(B$2:B5239)-1)/24),"""18""jjmmdd")</f>
        <v>18980807</v>
      </c>
      <c r="C5239" s="11" t="str">
        <f>INDEX(Data,2,2+MOD(ROWS(C$2:C5239)-1,24))</f>
        <v>06.00</v>
      </c>
      <c r="D5239" s="8" t="str">
        <f t="shared" ca="1" si="245"/>
        <v>—</v>
      </c>
      <c r="E5239" s="16">
        <f t="shared" ca="1" si="246"/>
        <v>7</v>
      </c>
    </row>
    <row r="5240" spans="1:5" x14ac:dyDescent="0.25">
      <c r="A5240" s="3">
        <f t="shared" si="244"/>
        <v>78989</v>
      </c>
      <c r="B5240" t="str">
        <f ca="1">TEXT(DATE(YEAR(Invoer!$A$5),1,1)+INT((ROWS(B$2:B5240)-1)/24),"""18""jjmmdd")</f>
        <v>18980807</v>
      </c>
      <c r="C5240" s="11" t="str">
        <f>INDEX(Data,2,2+MOD(ROWS(C$2:C5240)-1,24))</f>
        <v>07.00</v>
      </c>
      <c r="D5240" s="8" t="str">
        <f t="shared" ca="1" si="245"/>
        <v>—</v>
      </c>
      <c r="E5240" s="16">
        <f t="shared" ca="1" si="246"/>
        <v>7</v>
      </c>
    </row>
    <row r="5241" spans="1:5" x14ac:dyDescent="0.25">
      <c r="A5241" s="3">
        <f t="shared" si="244"/>
        <v>78989</v>
      </c>
      <c r="B5241" t="str">
        <f ca="1">TEXT(DATE(YEAR(Invoer!$A$5),1,1)+INT((ROWS(B$2:B5241)-1)/24),"""18""jjmmdd")</f>
        <v>18980807</v>
      </c>
      <c r="C5241" s="11" t="str">
        <f>INDEX(Data,2,2+MOD(ROWS(C$2:C5241)-1,24))</f>
        <v>08.00</v>
      </c>
      <c r="D5241" s="8" t="str">
        <f t="shared" ca="1" si="245"/>
        <v>—</v>
      </c>
      <c r="E5241" s="16">
        <f t="shared" ca="1" si="246"/>
        <v>7</v>
      </c>
    </row>
    <row r="5242" spans="1:5" x14ac:dyDescent="0.25">
      <c r="A5242" s="3">
        <f t="shared" si="244"/>
        <v>78989</v>
      </c>
      <c r="B5242" t="str">
        <f ca="1">TEXT(DATE(YEAR(Invoer!$A$5),1,1)+INT((ROWS(B$2:B5242)-1)/24),"""18""jjmmdd")</f>
        <v>18980807</v>
      </c>
      <c r="C5242" s="11" t="str">
        <f>INDEX(Data,2,2+MOD(ROWS(C$2:C5242)-1,24))</f>
        <v>09.00</v>
      </c>
      <c r="D5242" s="8" t="str">
        <f t="shared" ca="1" si="245"/>
        <v>—</v>
      </c>
      <c r="E5242" s="16">
        <f t="shared" ca="1" si="246"/>
        <v>7</v>
      </c>
    </row>
    <row r="5243" spans="1:5" x14ac:dyDescent="0.25">
      <c r="A5243" s="3">
        <f t="shared" si="244"/>
        <v>78989</v>
      </c>
      <c r="B5243" t="str">
        <f ca="1">TEXT(DATE(YEAR(Invoer!$A$5),1,1)+INT((ROWS(B$2:B5243)-1)/24),"""18""jjmmdd")</f>
        <v>18980807</v>
      </c>
      <c r="C5243" s="11" t="str">
        <f>INDEX(Data,2,2+MOD(ROWS(C$2:C5243)-1,24))</f>
        <v>10.00</v>
      </c>
      <c r="D5243" s="8" t="str">
        <f t="shared" ca="1" si="245"/>
        <v>—</v>
      </c>
      <c r="E5243" s="16">
        <f t="shared" ca="1" si="246"/>
        <v>7</v>
      </c>
    </row>
    <row r="5244" spans="1:5" x14ac:dyDescent="0.25">
      <c r="A5244" s="3">
        <f t="shared" si="244"/>
        <v>78989</v>
      </c>
      <c r="B5244" t="str">
        <f ca="1">TEXT(DATE(YEAR(Invoer!$A$5),1,1)+INT((ROWS(B$2:B5244)-1)/24),"""18""jjmmdd")</f>
        <v>18980807</v>
      </c>
      <c r="C5244" s="11" t="str">
        <f>INDEX(Data,2,2+MOD(ROWS(C$2:C5244)-1,24))</f>
        <v>11.00</v>
      </c>
      <c r="D5244" s="8" t="str">
        <f t="shared" ca="1" si="245"/>
        <v>—</v>
      </c>
      <c r="E5244" s="16">
        <f t="shared" ca="1" si="246"/>
        <v>7</v>
      </c>
    </row>
    <row r="5245" spans="1:5" x14ac:dyDescent="0.25">
      <c r="A5245" s="3">
        <f t="shared" si="244"/>
        <v>78989</v>
      </c>
      <c r="B5245" t="str">
        <f ca="1">TEXT(DATE(YEAR(Invoer!$A$5),1,1)+INT((ROWS(B$2:B5245)-1)/24),"""18""jjmmdd")</f>
        <v>18980807</v>
      </c>
      <c r="C5245" s="11" t="str">
        <f>INDEX(Data,2,2+MOD(ROWS(C$2:C5245)-1,24))</f>
        <v>12.00</v>
      </c>
      <c r="D5245" s="8" t="str">
        <f t="shared" ca="1" si="245"/>
        <v>—</v>
      </c>
      <c r="E5245" s="16">
        <f t="shared" ca="1" si="246"/>
        <v>7</v>
      </c>
    </row>
    <row r="5246" spans="1:5" x14ac:dyDescent="0.25">
      <c r="A5246" s="3">
        <f t="shared" si="244"/>
        <v>78989</v>
      </c>
      <c r="B5246" t="str">
        <f ca="1">TEXT(DATE(YEAR(Invoer!$A$5),1,1)+INT((ROWS(B$2:B5246)-1)/24),"""18""jjmmdd")</f>
        <v>18980807</v>
      </c>
      <c r="C5246" s="11" t="str">
        <f>INDEX(Data,2,2+MOD(ROWS(C$2:C5246)-1,24))</f>
        <v>13.00</v>
      </c>
      <c r="D5246" s="8" t="str">
        <f t="shared" ca="1" si="245"/>
        <v>—</v>
      </c>
      <c r="E5246" s="16">
        <f t="shared" ca="1" si="246"/>
        <v>7</v>
      </c>
    </row>
    <row r="5247" spans="1:5" x14ac:dyDescent="0.25">
      <c r="A5247" s="3">
        <f t="shared" si="244"/>
        <v>78989</v>
      </c>
      <c r="B5247" t="str">
        <f ca="1">TEXT(DATE(YEAR(Invoer!$A$5),1,1)+INT((ROWS(B$2:B5247)-1)/24),"""18""jjmmdd")</f>
        <v>18980807</v>
      </c>
      <c r="C5247" s="11" t="str">
        <f>INDEX(Data,2,2+MOD(ROWS(C$2:C5247)-1,24))</f>
        <v>14.00</v>
      </c>
      <c r="D5247" s="8" t="str">
        <f t="shared" ca="1" si="245"/>
        <v>—</v>
      </c>
      <c r="E5247" s="16">
        <f t="shared" ca="1" si="246"/>
        <v>7</v>
      </c>
    </row>
    <row r="5248" spans="1:5" x14ac:dyDescent="0.25">
      <c r="A5248" s="3">
        <f t="shared" si="244"/>
        <v>78989</v>
      </c>
      <c r="B5248" t="str">
        <f ca="1">TEXT(DATE(YEAR(Invoer!$A$5),1,1)+INT((ROWS(B$2:B5248)-1)/24),"""18""jjmmdd")</f>
        <v>18980807</v>
      </c>
      <c r="C5248" s="11" t="str">
        <f>INDEX(Data,2,2+MOD(ROWS(C$2:C5248)-1,24))</f>
        <v>15.00</v>
      </c>
      <c r="D5248" s="8" t="str">
        <f t="shared" ca="1" si="245"/>
        <v>—</v>
      </c>
      <c r="E5248" s="16">
        <f t="shared" ca="1" si="246"/>
        <v>7</v>
      </c>
    </row>
    <row r="5249" spans="1:5" x14ac:dyDescent="0.25">
      <c r="A5249" s="3">
        <f t="shared" si="244"/>
        <v>78989</v>
      </c>
      <c r="B5249" t="str">
        <f ca="1">TEXT(DATE(YEAR(Invoer!$A$5),1,1)+INT((ROWS(B$2:B5249)-1)/24),"""18""jjmmdd")</f>
        <v>18980807</v>
      </c>
      <c r="C5249" s="11" t="str">
        <f>INDEX(Data,2,2+MOD(ROWS(C$2:C5249)-1,24))</f>
        <v>16.00</v>
      </c>
      <c r="D5249" s="8" t="str">
        <f t="shared" ca="1" si="245"/>
        <v>—</v>
      </c>
      <c r="E5249" s="16">
        <f t="shared" ca="1" si="246"/>
        <v>7</v>
      </c>
    </row>
    <row r="5250" spans="1:5" x14ac:dyDescent="0.25">
      <c r="A5250" s="3">
        <f t="shared" ref="A5250:A5313" si="247">INDEX(Stations,2,1)</f>
        <v>78989</v>
      </c>
      <c r="B5250" t="str">
        <f ca="1">TEXT(DATE(YEAR(Invoer!$A$5),1,1)+INT((ROWS(B$2:B5250)-1)/24),"""18""jjmmdd")</f>
        <v>18980807</v>
      </c>
      <c r="C5250" s="11" t="str">
        <f>INDEX(Data,2,2+MOD(ROWS(C$2:C5250)-1,24))</f>
        <v>17.00</v>
      </c>
      <c r="D5250" s="8" t="str">
        <f t="shared" ref="D5250:D5313" ca="1" si="248">IF(OR(ISBLANK(VLOOKUP(DATEVALUE("37"&amp;MID($B5250,3,2)&amp;"-"&amp;MID($B5250,5,2)&amp;"-"&amp;RIGHT($B5250,2)),Data,MATCH(LEFT(VLOOKUP(D$1,Parameters,2,FALSE()),4)&amp;"*",OFFSET(Data,0,0,1),0)+MATCH($C5250,OFFSET(Data,1,0,1),0)-2,FALSE())),ISTEXT(VLOOKUP(DATEVALUE("37"&amp;MID($B5250,3,2)&amp;"-"&amp;MID($B5250,5,2)&amp;"-"&amp;RIGHT($B5250,2)),Data,MATCH(LEFT(VLOOKUP(D$1,Parameters,2,FALSE()),4)&amp;"*",OFFSET(Data,0,0,1),0)+MATCH($C5250,OFFSET(Data,1,0,1),0)-2,FALSE()))),"—",VLOOKUP(DATEVALUE("37"&amp;MID($B5250,3,2)&amp;"-"&amp;MID($B5250,5,2)&amp;"-"&amp;RIGHT($B5250,2)),Data,MATCH(LEFT(VLOOKUP(D$1,Parameters,2,FALSE()),4)&amp;"*",OFFSET(Data,0,0,1),0)+MATCH($C5250,OFFSET(Data,1,0,1),0)-2,FALSE()))</f>
        <v>—</v>
      </c>
      <c r="E5250" s="16">
        <f t="shared" ca="1" si="246"/>
        <v>7</v>
      </c>
    </row>
    <row r="5251" spans="1:5" x14ac:dyDescent="0.25">
      <c r="A5251" s="3">
        <f t="shared" si="247"/>
        <v>78989</v>
      </c>
      <c r="B5251" t="str">
        <f ca="1">TEXT(DATE(YEAR(Invoer!$A$5),1,1)+INT((ROWS(B$2:B5251)-1)/24),"""18""jjmmdd")</f>
        <v>18980807</v>
      </c>
      <c r="C5251" s="11" t="str">
        <f>INDEX(Data,2,2+MOD(ROWS(C$2:C5251)-1,24))</f>
        <v>18.00</v>
      </c>
      <c r="D5251" s="8" t="str">
        <f t="shared" ca="1" si="248"/>
        <v>—</v>
      </c>
      <c r="E5251" s="16">
        <f t="shared" ref="E5251:E5314" ca="1" si="249">IF(OR(ISBLANK(VLOOKUP(DATEVALUE("37"&amp;MID($B5251,3,2)&amp;"-"&amp;MID($B5251,5,2)&amp;"-"&amp;RIGHT($B5251,2)),Data,MATCH(LEFT(VLOOKUP(D$1,Parameters,2,FALSE()),4)&amp;"*",OFFSET(Data,0,0,1),0)+MATCH($C5251,OFFSET(Data,1,0,1),0)-2,FALSE())),ISTEXT(VLOOKUP(DATEVALUE("37"&amp;MID($B5251,3,2)&amp;"-"&amp;MID($B5251,5,2)&amp;"-"&amp;RIGHT($B5251,2)),Data,MATCH(LEFT(VLOOKUP(D$1,Parameters,2,FALSE()),4)&amp;"*",OFFSET(Data,0,0,1),0)+MATCH($C5251,OFFSET(Data,1,0,1),0)-2,FALSE()))),Lacking,IF(ISNA(MATCH(DATEVALUE("37"&amp;MID($B5251,3,2)&amp;"-"&amp;MID($B5251,5,2)&amp;"-"&amp;RIGHT($B5251,2)),OFFSET(Catalogus,0,0,,1),0)),Ok,VLOOKUP(DATEVALUE("37"&amp;MID($B5251,3,2)&amp;"-"&amp;MID($B5251,5,2)&amp;"-"&amp;RIGHT($B5251,2)),Catalogus,MATCH(LEFT(VLOOKUP(MID(E$1,2,LEN(E$1)-1),Parameters,2,FALSE()),4)&amp;"*",OFFSET(Catalogus,0,0,1),0)+MATCH($C5251,OFFSET(Catalogus,1,0,1),0)-2,FALSE())))</f>
        <v>7</v>
      </c>
    </row>
    <row r="5252" spans="1:5" x14ac:dyDescent="0.25">
      <c r="A5252" s="3">
        <f t="shared" si="247"/>
        <v>78989</v>
      </c>
      <c r="B5252" t="str">
        <f ca="1">TEXT(DATE(YEAR(Invoer!$A$5),1,1)+INT((ROWS(B$2:B5252)-1)/24),"""18""jjmmdd")</f>
        <v>18980807</v>
      </c>
      <c r="C5252" s="11" t="str">
        <f>INDEX(Data,2,2+MOD(ROWS(C$2:C5252)-1,24))</f>
        <v>19.00</v>
      </c>
      <c r="D5252" s="8" t="str">
        <f t="shared" ca="1" si="248"/>
        <v>—</v>
      </c>
      <c r="E5252" s="16">
        <f t="shared" ca="1" si="249"/>
        <v>7</v>
      </c>
    </row>
    <row r="5253" spans="1:5" x14ac:dyDescent="0.25">
      <c r="A5253" s="3">
        <f t="shared" si="247"/>
        <v>78989</v>
      </c>
      <c r="B5253" t="str">
        <f ca="1">TEXT(DATE(YEAR(Invoer!$A$5),1,1)+INT((ROWS(B$2:B5253)-1)/24),"""18""jjmmdd")</f>
        <v>18980807</v>
      </c>
      <c r="C5253" s="11" t="str">
        <f>INDEX(Data,2,2+MOD(ROWS(C$2:C5253)-1,24))</f>
        <v>20.00</v>
      </c>
      <c r="D5253" s="8" t="str">
        <f t="shared" ca="1" si="248"/>
        <v>—</v>
      </c>
      <c r="E5253" s="16">
        <f t="shared" ca="1" si="249"/>
        <v>7</v>
      </c>
    </row>
    <row r="5254" spans="1:5" x14ac:dyDescent="0.25">
      <c r="A5254" s="3">
        <f t="shared" si="247"/>
        <v>78989</v>
      </c>
      <c r="B5254" t="str">
        <f ca="1">TEXT(DATE(YEAR(Invoer!$A$5),1,1)+INT((ROWS(B$2:B5254)-1)/24),"""18""jjmmdd")</f>
        <v>18980807</v>
      </c>
      <c r="C5254" s="11" t="str">
        <f>INDEX(Data,2,2+MOD(ROWS(C$2:C5254)-1,24))</f>
        <v>21.00</v>
      </c>
      <c r="D5254" s="8" t="str">
        <f t="shared" ca="1" si="248"/>
        <v>—</v>
      </c>
      <c r="E5254" s="16">
        <f t="shared" ca="1" si="249"/>
        <v>7</v>
      </c>
    </row>
    <row r="5255" spans="1:5" x14ac:dyDescent="0.25">
      <c r="A5255" s="3">
        <f t="shared" si="247"/>
        <v>78989</v>
      </c>
      <c r="B5255" t="str">
        <f ca="1">TEXT(DATE(YEAR(Invoer!$A$5),1,1)+INT((ROWS(B$2:B5255)-1)/24),"""18""jjmmdd")</f>
        <v>18980807</v>
      </c>
      <c r="C5255" s="11" t="str">
        <f>INDEX(Data,2,2+MOD(ROWS(C$2:C5255)-1,24))</f>
        <v>22.00</v>
      </c>
      <c r="D5255" s="8" t="str">
        <f t="shared" ca="1" si="248"/>
        <v>—</v>
      </c>
      <c r="E5255" s="16">
        <f t="shared" ca="1" si="249"/>
        <v>7</v>
      </c>
    </row>
    <row r="5256" spans="1:5" x14ac:dyDescent="0.25">
      <c r="A5256" s="3">
        <f t="shared" si="247"/>
        <v>78989</v>
      </c>
      <c r="B5256" t="str">
        <f ca="1">TEXT(DATE(YEAR(Invoer!$A$5),1,1)+INT((ROWS(B$2:B5256)-1)/24),"""18""jjmmdd")</f>
        <v>18980807</v>
      </c>
      <c r="C5256" s="11" t="str">
        <f>INDEX(Data,2,2+MOD(ROWS(C$2:C5256)-1,24))</f>
        <v>23.00</v>
      </c>
      <c r="D5256" s="8" t="str">
        <f t="shared" ca="1" si="248"/>
        <v>—</v>
      </c>
      <c r="E5256" s="16">
        <f t="shared" ca="1" si="249"/>
        <v>7</v>
      </c>
    </row>
    <row r="5257" spans="1:5" x14ac:dyDescent="0.25">
      <c r="A5257" s="3">
        <f t="shared" si="247"/>
        <v>78989</v>
      </c>
      <c r="B5257" t="str">
        <f ca="1">TEXT(DATE(YEAR(Invoer!$A$5),1,1)+INT((ROWS(B$2:B5257)-1)/24),"""18""jjmmdd")</f>
        <v>18980807</v>
      </c>
      <c r="C5257" s="11" t="str">
        <f>INDEX(Data,2,2+MOD(ROWS(C$2:C5257)-1,24))</f>
        <v>24.00</v>
      </c>
      <c r="D5257" s="8" t="str">
        <f t="shared" ca="1" si="248"/>
        <v>—</v>
      </c>
      <c r="E5257" s="16">
        <f t="shared" ca="1" si="249"/>
        <v>7</v>
      </c>
    </row>
    <row r="5258" spans="1:5" x14ac:dyDescent="0.25">
      <c r="A5258" s="3">
        <f t="shared" si="247"/>
        <v>78989</v>
      </c>
      <c r="B5258" t="str">
        <f ca="1">TEXT(DATE(YEAR(Invoer!$A$5),1,1)+INT((ROWS(B$2:B5258)-1)/24),"""18""jjmmdd")</f>
        <v>18980808</v>
      </c>
      <c r="C5258" s="11" t="str">
        <f>INDEX(Data,2,2+MOD(ROWS(C$2:C5258)-1,24))</f>
        <v>01.00</v>
      </c>
      <c r="D5258" s="8" t="str">
        <f t="shared" ca="1" si="248"/>
        <v>—</v>
      </c>
      <c r="E5258" s="16">
        <f t="shared" ca="1" si="249"/>
        <v>7</v>
      </c>
    </row>
    <row r="5259" spans="1:5" x14ac:dyDescent="0.25">
      <c r="A5259" s="3">
        <f t="shared" si="247"/>
        <v>78989</v>
      </c>
      <c r="B5259" t="str">
        <f ca="1">TEXT(DATE(YEAR(Invoer!$A$5),1,1)+INT((ROWS(B$2:B5259)-1)/24),"""18""jjmmdd")</f>
        <v>18980808</v>
      </c>
      <c r="C5259" s="11" t="str">
        <f>INDEX(Data,2,2+MOD(ROWS(C$2:C5259)-1,24))</f>
        <v>02.00</v>
      </c>
      <c r="D5259" s="8" t="str">
        <f t="shared" ca="1" si="248"/>
        <v>—</v>
      </c>
      <c r="E5259" s="16">
        <f t="shared" ca="1" si="249"/>
        <v>7</v>
      </c>
    </row>
    <row r="5260" spans="1:5" x14ac:dyDescent="0.25">
      <c r="A5260" s="3">
        <f t="shared" si="247"/>
        <v>78989</v>
      </c>
      <c r="B5260" t="str">
        <f ca="1">TEXT(DATE(YEAR(Invoer!$A$5),1,1)+INT((ROWS(B$2:B5260)-1)/24),"""18""jjmmdd")</f>
        <v>18980808</v>
      </c>
      <c r="C5260" s="11" t="str">
        <f>INDEX(Data,2,2+MOD(ROWS(C$2:C5260)-1,24))</f>
        <v>03.00</v>
      </c>
      <c r="D5260" s="8" t="str">
        <f t="shared" ca="1" si="248"/>
        <v>—</v>
      </c>
      <c r="E5260" s="16">
        <f t="shared" ca="1" si="249"/>
        <v>7</v>
      </c>
    </row>
    <row r="5261" spans="1:5" x14ac:dyDescent="0.25">
      <c r="A5261" s="3">
        <f t="shared" si="247"/>
        <v>78989</v>
      </c>
      <c r="B5261" t="str">
        <f ca="1">TEXT(DATE(YEAR(Invoer!$A$5),1,1)+INT((ROWS(B$2:B5261)-1)/24),"""18""jjmmdd")</f>
        <v>18980808</v>
      </c>
      <c r="C5261" s="11" t="str">
        <f>INDEX(Data,2,2+MOD(ROWS(C$2:C5261)-1,24))</f>
        <v>04.00</v>
      </c>
      <c r="D5261" s="8" t="str">
        <f t="shared" ca="1" si="248"/>
        <v>—</v>
      </c>
      <c r="E5261" s="16">
        <f t="shared" ca="1" si="249"/>
        <v>7</v>
      </c>
    </row>
    <row r="5262" spans="1:5" x14ac:dyDescent="0.25">
      <c r="A5262" s="3">
        <f t="shared" si="247"/>
        <v>78989</v>
      </c>
      <c r="B5262" t="str">
        <f ca="1">TEXT(DATE(YEAR(Invoer!$A$5),1,1)+INT((ROWS(B$2:B5262)-1)/24),"""18""jjmmdd")</f>
        <v>18980808</v>
      </c>
      <c r="C5262" s="11" t="str">
        <f>INDEX(Data,2,2+MOD(ROWS(C$2:C5262)-1,24))</f>
        <v>05.00</v>
      </c>
      <c r="D5262" s="8" t="str">
        <f t="shared" ca="1" si="248"/>
        <v>—</v>
      </c>
      <c r="E5262" s="16">
        <f t="shared" ca="1" si="249"/>
        <v>7</v>
      </c>
    </row>
    <row r="5263" spans="1:5" x14ac:dyDescent="0.25">
      <c r="A5263" s="3">
        <f t="shared" si="247"/>
        <v>78989</v>
      </c>
      <c r="B5263" t="str">
        <f ca="1">TEXT(DATE(YEAR(Invoer!$A$5),1,1)+INT((ROWS(B$2:B5263)-1)/24),"""18""jjmmdd")</f>
        <v>18980808</v>
      </c>
      <c r="C5263" s="11" t="str">
        <f>INDEX(Data,2,2+MOD(ROWS(C$2:C5263)-1,24))</f>
        <v>06.00</v>
      </c>
      <c r="D5263" s="8" t="str">
        <f t="shared" ca="1" si="248"/>
        <v>—</v>
      </c>
      <c r="E5263" s="16">
        <f t="shared" ca="1" si="249"/>
        <v>7</v>
      </c>
    </row>
    <row r="5264" spans="1:5" x14ac:dyDescent="0.25">
      <c r="A5264" s="3">
        <f t="shared" si="247"/>
        <v>78989</v>
      </c>
      <c r="B5264" t="str">
        <f ca="1">TEXT(DATE(YEAR(Invoer!$A$5),1,1)+INT((ROWS(B$2:B5264)-1)/24),"""18""jjmmdd")</f>
        <v>18980808</v>
      </c>
      <c r="C5264" s="11" t="str">
        <f>INDEX(Data,2,2+MOD(ROWS(C$2:C5264)-1,24))</f>
        <v>07.00</v>
      </c>
      <c r="D5264" s="8" t="str">
        <f t="shared" ca="1" si="248"/>
        <v>—</v>
      </c>
      <c r="E5264" s="16">
        <f t="shared" ca="1" si="249"/>
        <v>7</v>
      </c>
    </row>
    <row r="5265" spans="1:5" x14ac:dyDescent="0.25">
      <c r="A5265" s="3">
        <f t="shared" si="247"/>
        <v>78989</v>
      </c>
      <c r="B5265" t="str">
        <f ca="1">TEXT(DATE(YEAR(Invoer!$A$5),1,1)+INT((ROWS(B$2:B5265)-1)/24),"""18""jjmmdd")</f>
        <v>18980808</v>
      </c>
      <c r="C5265" s="11" t="str">
        <f>INDEX(Data,2,2+MOD(ROWS(C$2:C5265)-1,24))</f>
        <v>08.00</v>
      </c>
      <c r="D5265" s="8" t="str">
        <f t="shared" ca="1" si="248"/>
        <v>—</v>
      </c>
      <c r="E5265" s="16">
        <f t="shared" ca="1" si="249"/>
        <v>7</v>
      </c>
    </row>
    <row r="5266" spans="1:5" x14ac:dyDescent="0.25">
      <c r="A5266" s="3">
        <f t="shared" si="247"/>
        <v>78989</v>
      </c>
      <c r="B5266" t="str">
        <f ca="1">TEXT(DATE(YEAR(Invoer!$A$5),1,1)+INT((ROWS(B$2:B5266)-1)/24),"""18""jjmmdd")</f>
        <v>18980808</v>
      </c>
      <c r="C5266" s="11" t="str">
        <f>INDEX(Data,2,2+MOD(ROWS(C$2:C5266)-1,24))</f>
        <v>09.00</v>
      </c>
      <c r="D5266" s="8" t="str">
        <f t="shared" ca="1" si="248"/>
        <v>—</v>
      </c>
      <c r="E5266" s="16">
        <f t="shared" ca="1" si="249"/>
        <v>7</v>
      </c>
    </row>
    <row r="5267" spans="1:5" x14ac:dyDescent="0.25">
      <c r="A5267" s="3">
        <f t="shared" si="247"/>
        <v>78989</v>
      </c>
      <c r="B5267" t="str">
        <f ca="1">TEXT(DATE(YEAR(Invoer!$A$5),1,1)+INT((ROWS(B$2:B5267)-1)/24),"""18""jjmmdd")</f>
        <v>18980808</v>
      </c>
      <c r="C5267" s="11" t="str">
        <f>INDEX(Data,2,2+MOD(ROWS(C$2:C5267)-1,24))</f>
        <v>10.00</v>
      </c>
      <c r="D5267" s="8" t="str">
        <f t="shared" ca="1" si="248"/>
        <v>—</v>
      </c>
      <c r="E5267" s="16">
        <f t="shared" ca="1" si="249"/>
        <v>7</v>
      </c>
    </row>
    <row r="5268" spans="1:5" x14ac:dyDescent="0.25">
      <c r="A5268" s="3">
        <f t="shared" si="247"/>
        <v>78989</v>
      </c>
      <c r="B5268" t="str">
        <f ca="1">TEXT(DATE(YEAR(Invoer!$A$5),1,1)+INT((ROWS(B$2:B5268)-1)/24),"""18""jjmmdd")</f>
        <v>18980808</v>
      </c>
      <c r="C5268" s="11" t="str">
        <f>INDEX(Data,2,2+MOD(ROWS(C$2:C5268)-1,24))</f>
        <v>11.00</v>
      </c>
      <c r="D5268" s="8" t="str">
        <f t="shared" ca="1" si="248"/>
        <v>—</v>
      </c>
      <c r="E5268" s="16">
        <f t="shared" ca="1" si="249"/>
        <v>7</v>
      </c>
    </row>
    <row r="5269" spans="1:5" x14ac:dyDescent="0.25">
      <c r="A5269" s="3">
        <f t="shared" si="247"/>
        <v>78989</v>
      </c>
      <c r="B5269" t="str">
        <f ca="1">TEXT(DATE(YEAR(Invoer!$A$5),1,1)+INT((ROWS(B$2:B5269)-1)/24),"""18""jjmmdd")</f>
        <v>18980808</v>
      </c>
      <c r="C5269" s="11" t="str">
        <f>INDEX(Data,2,2+MOD(ROWS(C$2:C5269)-1,24))</f>
        <v>12.00</v>
      </c>
      <c r="D5269" s="8" t="str">
        <f t="shared" ca="1" si="248"/>
        <v>—</v>
      </c>
      <c r="E5269" s="16">
        <f t="shared" ca="1" si="249"/>
        <v>7</v>
      </c>
    </row>
    <row r="5270" spans="1:5" x14ac:dyDescent="0.25">
      <c r="A5270" s="3">
        <f t="shared" si="247"/>
        <v>78989</v>
      </c>
      <c r="B5270" t="str">
        <f ca="1">TEXT(DATE(YEAR(Invoer!$A$5),1,1)+INT((ROWS(B$2:B5270)-1)/24),"""18""jjmmdd")</f>
        <v>18980808</v>
      </c>
      <c r="C5270" s="11" t="str">
        <f>INDEX(Data,2,2+MOD(ROWS(C$2:C5270)-1,24))</f>
        <v>13.00</v>
      </c>
      <c r="D5270" s="8" t="str">
        <f t="shared" ca="1" si="248"/>
        <v>—</v>
      </c>
      <c r="E5270" s="16">
        <f t="shared" ca="1" si="249"/>
        <v>7</v>
      </c>
    </row>
    <row r="5271" spans="1:5" x14ac:dyDescent="0.25">
      <c r="A5271" s="3">
        <f t="shared" si="247"/>
        <v>78989</v>
      </c>
      <c r="B5271" t="str">
        <f ca="1">TEXT(DATE(YEAR(Invoer!$A$5),1,1)+INT((ROWS(B$2:B5271)-1)/24),"""18""jjmmdd")</f>
        <v>18980808</v>
      </c>
      <c r="C5271" s="11" t="str">
        <f>INDEX(Data,2,2+MOD(ROWS(C$2:C5271)-1,24))</f>
        <v>14.00</v>
      </c>
      <c r="D5271" s="8" t="str">
        <f t="shared" ca="1" si="248"/>
        <v>—</v>
      </c>
      <c r="E5271" s="16">
        <f t="shared" ca="1" si="249"/>
        <v>7</v>
      </c>
    </row>
    <row r="5272" spans="1:5" x14ac:dyDescent="0.25">
      <c r="A5272" s="3">
        <f t="shared" si="247"/>
        <v>78989</v>
      </c>
      <c r="B5272" t="str">
        <f ca="1">TEXT(DATE(YEAR(Invoer!$A$5),1,1)+INT((ROWS(B$2:B5272)-1)/24),"""18""jjmmdd")</f>
        <v>18980808</v>
      </c>
      <c r="C5272" s="11" t="str">
        <f>INDEX(Data,2,2+MOD(ROWS(C$2:C5272)-1,24))</f>
        <v>15.00</v>
      </c>
      <c r="D5272" s="8" t="str">
        <f t="shared" ca="1" si="248"/>
        <v>—</v>
      </c>
      <c r="E5272" s="16">
        <f t="shared" ca="1" si="249"/>
        <v>7</v>
      </c>
    </row>
    <row r="5273" spans="1:5" x14ac:dyDescent="0.25">
      <c r="A5273" s="3">
        <f t="shared" si="247"/>
        <v>78989</v>
      </c>
      <c r="B5273" t="str">
        <f ca="1">TEXT(DATE(YEAR(Invoer!$A$5),1,1)+INT((ROWS(B$2:B5273)-1)/24),"""18""jjmmdd")</f>
        <v>18980808</v>
      </c>
      <c r="C5273" s="11" t="str">
        <f>INDEX(Data,2,2+MOD(ROWS(C$2:C5273)-1,24))</f>
        <v>16.00</v>
      </c>
      <c r="D5273" s="8" t="str">
        <f t="shared" ca="1" si="248"/>
        <v>—</v>
      </c>
      <c r="E5273" s="16">
        <f t="shared" ca="1" si="249"/>
        <v>7</v>
      </c>
    </row>
    <row r="5274" spans="1:5" x14ac:dyDescent="0.25">
      <c r="A5274" s="3">
        <f t="shared" si="247"/>
        <v>78989</v>
      </c>
      <c r="B5274" t="str">
        <f ca="1">TEXT(DATE(YEAR(Invoer!$A$5),1,1)+INT((ROWS(B$2:B5274)-1)/24),"""18""jjmmdd")</f>
        <v>18980808</v>
      </c>
      <c r="C5274" s="11" t="str">
        <f>INDEX(Data,2,2+MOD(ROWS(C$2:C5274)-1,24))</f>
        <v>17.00</v>
      </c>
      <c r="D5274" s="8" t="str">
        <f t="shared" ca="1" si="248"/>
        <v>—</v>
      </c>
      <c r="E5274" s="16">
        <f t="shared" ca="1" si="249"/>
        <v>7</v>
      </c>
    </row>
    <row r="5275" spans="1:5" x14ac:dyDescent="0.25">
      <c r="A5275" s="3">
        <f t="shared" si="247"/>
        <v>78989</v>
      </c>
      <c r="B5275" t="str">
        <f ca="1">TEXT(DATE(YEAR(Invoer!$A$5),1,1)+INT((ROWS(B$2:B5275)-1)/24),"""18""jjmmdd")</f>
        <v>18980808</v>
      </c>
      <c r="C5275" s="11" t="str">
        <f>INDEX(Data,2,2+MOD(ROWS(C$2:C5275)-1,24))</f>
        <v>18.00</v>
      </c>
      <c r="D5275" s="8" t="str">
        <f t="shared" ca="1" si="248"/>
        <v>—</v>
      </c>
      <c r="E5275" s="16">
        <f t="shared" ca="1" si="249"/>
        <v>7</v>
      </c>
    </row>
    <row r="5276" spans="1:5" x14ac:dyDescent="0.25">
      <c r="A5276" s="3">
        <f t="shared" si="247"/>
        <v>78989</v>
      </c>
      <c r="B5276" t="str">
        <f ca="1">TEXT(DATE(YEAR(Invoer!$A$5),1,1)+INT((ROWS(B$2:B5276)-1)/24),"""18""jjmmdd")</f>
        <v>18980808</v>
      </c>
      <c r="C5276" s="11" t="str">
        <f>INDEX(Data,2,2+MOD(ROWS(C$2:C5276)-1,24))</f>
        <v>19.00</v>
      </c>
      <c r="D5276" s="8" t="str">
        <f t="shared" ca="1" si="248"/>
        <v>—</v>
      </c>
      <c r="E5276" s="16">
        <f t="shared" ca="1" si="249"/>
        <v>7</v>
      </c>
    </row>
    <row r="5277" spans="1:5" x14ac:dyDescent="0.25">
      <c r="A5277" s="3">
        <f t="shared" si="247"/>
        <v>78989</v>
      </c>
      <c r="B5277" t="str">
        <f ca="1">TEXT(DATE(YEAR(Invoer!$A$5),1,1)+INT((ROWS(B$2:B5277)-1)/24),"""18""jjmmdd")</f>
        <v>18980808</v>
      </c>
      <c r="C5277" s="11" t="str">
        <f>INDEX(Data,2,2+MOD(ROWS(C$2:C5277)-1,24))</f>
        <v>20.00</v>
      </c>
      <c r="D5277" s="8" t="str">
        <f t="shared" ca="1" si="248"/>
        <v>—</v>
      </c>
      <c r="E5277" s="16">
        <f t="shared" ca="1" si="249"/>
        <v>7</v>
      </c>
    </row>
    <row r="5278" spans="1:5" x14ac:dyDescent="0.25">
      <c r="A5278" s="3">
        <f t="shared" si="247"/>
        <v>78989</v>
      </c>
      <c r="B5278" t="str">
        <f ca="1">TEXT(DATE(YEAR(Invoer!$A$5),1,1)+INT((ROWS(B$2:B5278)-1)/24),"""18""jjmmdd")</f>
        <v>18980808</v>
      </c>
      <c r="C5278" s="11" t="str">
        <f>INDEX(Data,2,2+MOD(ROWS(C$2:C5278)-1,24))</f>
        <v>21.00</v>
      </c>
      <c r="D5278" s="8" t="str">
        <f t="shared" ca="1" si="248"/>
        <v>—</v>
      </c>
      <c r="E5278" s="16">
        <f t="shared" ca="1" si="249"/>
        <v>7</v>
      </c>
    </row>
    <row r="5279" spans="1:5" x14ac:dyDescent="0.25">
      <c r="A5279" s="3">
        <f t="shared" si="247"/>
        <v>78989</v>
      </c>
      <c r="B5279" t="str">
        <f ca="1">TEXT(DATE(YEAR(Invoer!$A$5),1,1)+INT((ROWS(B$2:B5279)-1)/24),"""18""jjmmdd")</f>
        <v>18980808</v>
      </c>
      <c r="C5279" s="11" t="str">
        <f>INDEX(Data,2,2+MOD(ROWS(C$2:C5279)-1,24))</f>
        <v>22.00</v>
      </c>
      <c r="D5279" s="8" t="str">
        <f t="shared" ca="1" si="248"/>
        <v>—</v>
      </c>
      <c r="E5279" s="16">
        <f t="shared" ca="1" si="249"/>
        <v>7</v>
      </c>
    </row>
    <row r="5280" spans="1:5" x14ac:dyDescent="0.25">
      <c r="A5280" s="3">
        <f t="shared" si="247"/>
        <v>78989</v>
      </c>
      <c r="B5280" t="str">
        <f ca="1">TEXT(DATE(YEAR(Invoer!$A$5),1,1)+INT((ROWS(B$2:B5280)-1)/24),"""18""jjmmdd")</f>
        <v>18980808</v>
      </c>
      <c r="C5280" s="11" t="str">
        <f>INDEX(Data,2,2+MOD(ROWS(C$2:C5280)-1,24))</f>
        <v>23.00</v>
      </c>
      <c r="D5280" s="8" t="str">
        <f t="shared" ca="1" si="248"/>
        <v>—</v>
      </c>
      <c r="E5280" s="16">
        <f t="shared" ca="1" si="249"/>
        <v>7</v>
      </c>
    </row>
    <row r="5281" spans="1:5" x14ac:dyDescent="0.25">
      <c r="A5281" s="3">
        <f t="shared" si="247"/>
        <v>78989</v>
      </c>
      <c r="B5281" t="str">
        <f ca="1">TEXT(DATE(YEAR(Invoer!$A$5),1,1)+INT((ROWS(B$2:B5281)-1)/24),"""18""jjmmdd")</f>
        <v>18980808</v>
      </c>
      <c r="C5281" s="11" t="str">
        <f>INDEX(Data,2,2+MOD(ROWS(C$2:C5281)-1,24))</f>
        <v>24.00</v>
      </c>
      <c r="D5281" s="8" t="str">
        <f t="shared" ca="1" si="248"/>
        <v>—</v>
      </c>
      <c r="E5281" s="16">
        <f t="shared" ca="1" si="249"/>
        <v>7</v>
      </c>
    </row>
    <row r="5282" spans="1:5" x14ac:dyDescent="0.25">
      <c r="A5282" s="3">
        <f t="shared" si="247"/>
        <v>78989</v>
      </c>
      <c r="B5282" t="str">
        <f ca="1">TEXT(DATE(YEAR(Invoer!$A$5),1,1)+INT((ROWS(B$2:B5282)-1)/24),"""18""jjmmdd")</f>
        <v>18980809</v>
      </c>
      <c r="C5282" s="11" t="str">
        <f>INDEX(Data,2,2+MOD(ROWS(C$2:C5282)-1,24))</f>
        <v>01.00</v>
      </c>
      <c r="D5282" s="8" t="str">
        <f t="shared" ca="1" si="248"/>
        <v>—</v>
      </c>
      <c r="E5282" s="16">
        <f t="shared" ca="1" si="249"/>
        <v>7</v>
      </c>
    </row>
    <row r="5283" spans="1:5" x14ac:dyDescent="0.25">
      <c r="A5283" s="3">
        <f t="shared" si="247"/>
        <v>78989</v>
      </c>
      <c r="B5283" t="str">
        <f ca="1">TEXT(DATE(YEAR(Invoer!$A$5),1,1)+INT((ROWS(B$2:B5283)-1)/24),"""18""jjmmdd")</f>
        <v>18980809</v>
      </c>
      <c r="C5283" s="11" t="str">
        <f>INDEX(Data,2,2+MOD(ROWS(C$2:C5283)-1,24))</f>
        <v>02.00</v>
      </c>
      <c r="D5283" s="8" t="str">
        <f t="shared" ca="1" si="248"/>
        <v>—</v>
      </c>
      <c r="E5283" s="16">
        <f t="shared" ca="1" si="249"/>
        <v>7</v>
      </c>
    </row>
    <row r="5284" spans="1:5" x14ac:dyDescent="0.25">
      <c r="A5284" s="3">
        <f t="shared" si="247"/>
        <v>78989</v>
      </c>
      <c r="B5284" t="str">
        <f ca="1">TEXT(DATE(YEAR(Invoer!$A$5),1,1)+INT((ROWS(B$2:B5284)-1)/24),"""18""jjmmdd")</f>
        <v>18980809</v>
      </c>
      <c r="C5284" s="11" t="str">
        <f>INDEX(Data,2,2+MOD(ROWS(C$2:C5284)-1,24))</f>
        <v>03.00</v>
      </c>
      <c r="D5284" s="8" t="str">
        <f t="shared" ca="1" si="248"/>
        <v>—</v>
      </c>
      <c r="E5284" s="16">
        <f t="shared" ca="1" si="249"/>
        <v>7</v>
      </c>
    </row>
    <row r="5285" spans="1:5" x14ac:dyDescent="0.25">
      <c r="A5285" s="3">
        <f t="shared" si="247"/>
        <v>78989</v>
      </c>
      <c r="B5285" t="str">
        <f ca="1">TEXT(DATE(YEAR(Invoer!$A$5),1,1)+INT((ROWS(B$2:B5285)-1)/24),"""18""jjmmdd")</f>
        <v>18980809</v>
      </c>
      <c r="C5285" s="11" t="str">
        <f>INDEX(Data,2,2+MOD(ROWS(C$2:C5285)-1,24))</f>
        <v>04.00</v>
      </c>
      <c r="D5285" s="8" t="str">
        <f t="shared" ca="1" si="248"/>
        <v>—</v>
      </c>
      <c r="E5285" s="16">
        <f t="shared" ca="1" si="249"/>
        <v>7</v>
      </c>
    </row>
    <row r="5286" spans="1:5" x14ac:dyDescent="0.25">
      <c r="A5286" s="3">
        <f t="shared" si="247"/>
        <v>78989</v>
      </c>
      <c r="B5286" t="str">
        <f ca="1">TEXT(DATE(YEAR(Invoer!$A$5),1,1)+INT((ROWS(B$2:B5286)-1)/24),"""18""jjmmdd")</f>
        <v>18980809</v>
      </c>
      <c r="C5286" s="11" t="str">
        <f>INDEX(Data,2,2+MOD(ROWS(C$2:C5286)-1,24))</f>
        <v>05.00</v>
      </c>
      <c r="D5286" s="8" t="str">
        <f t="shared" ca="1" si="248"/>
        <v>—</v>
      </c>
      <c r="E5286" s="16">
        <f t="shared" ca="1" si="249"/>
        <v>7</v>
      </c>
    </row>
    <row r="5287" spans="1:5" x14ac:dyDescent="0.25">
      <c r="A5287" s="3">
        <f t="shared" si="247"/>
        <v>78989</v>
      </c>
      <c r="B5287" t="str">
        <f ca="1">TEXT(DATE(YEAR(Invoer!$A$5),1,1)+INT((ROWS(B$2:B5287)-1)/24),"""18""jjmmdd")</f>
        <v>18980809</v>
      </c>
      <c r="C5287" s="11" t="str">
        <f>INDEX(Data,2,2+MOD(ROWS(C$2:C5287)-1,24))</f>
        <v>06.00</v>
      </c>
      <c r="D5287" s="8" t="str">
        <f t="shared" ca="1" si="248"/>
        <v>—</v>
      </c>
      <c r="E5287" s="16">
        <f t="shared" ca="1" si="249"/>
        <v>7</v>
      </c>
    </row>
    <row r="5288" spans="1:5" x14ac:dyDescent="0.25">
      <c r="A5288" s="3">
        <f t="shared" si="247"/>
        <v>78989</v>
      </c>
      <c r="B5288" t="str">
        <f ca="1">TEXT(DATE(YEAR(Invoer!$A$5),1,1)+INT((ROWS(B$2:B5288)-1)/24),"""18""jjmmdd")</f>
        <v>18980809</v>
      </c>
      <c r="C5288" s="11" t="str">
        <f>INDEX(Data,2,2+MOD(ROWS(C$2:C5288)-1,24))</f>
        <v>07.00</v>
      </c>
      <c r="D5288" s="8" t="str">
        <f t="shared" ca="1" si="248"/>
        <v>—</v>
      </c>
      <c r="E5288" s="16">
        <f t="shared" ca="1" si="249"/>
        <v>7</v>
      </c>
    </row>
    <row r="5289" spans="1:5" x14ac:dyDescent="0.25">
      <c r="A5289" s="3">
        <f t="shared" si="247"/>
        <v>78989</v>
      </c>
      <c r="B5289" t="str">
        <f ca="1">TEXT(DATE(YEAR(Invoer!$A$5),1,1)+INT((ROWS(B$2:B5289)-1)/24),"""18""jjmmdd")</f>
        <v>18980809</v>
      </c>
      <c r="C5289" s="11" t="str">
        <f>INDEX(Data,2,2+MOD(ROWS(C$2:C5289)-1,24))</f>
        <v>08.00</v>
      </c>
      <c r="D5289" s="8" t="str">
        <f t="shared" ca="1" si="248"/>
        <v>—</v>
      </c>
      <c r="E5289" s="16">
        <f t="shared" ca="1" si="249"/>
        <v>7</v>
      </c>
    </row>
    <row r="5290" spans="1:5" x14ac:dyDescent="0.25">
      <c r="A5290" s="3">
        <f t="shared" si="247"/>
        <v>78989</v>
      </c>
      <c r="B5290" t="str">
        <f ca="1">TEXT(DATE(YEAR(Invoer!$A$5),1,1)+INT((ROWS(B$2:B5290)-1)/24),"""18""jjmmdd")</f>
        <v>18980809</v>
      </c>
      <c r="C5290" s="11" t="str">
        <f>INDEX(Data,2,2+MOD(ROWS(C$2:C5290)-1,24))</f>
        <v>09.00</v>
      </c>
      <c r="D5290" s="8" t="str">
        <f t="shared" ca="1" si="248"/>
        <v>—</v>
      </c>
      <c r="E5290" s="16">
        <f t="shared" ca="1" si="249"/>
        <v>7</v>
      </c>
    </row>
    <row r="5291" spans="1:5" x14ac:dyDescent="0.25">
      <c r="A5291" s="3">
        <f t="shared" si="247"/>
        <v>78989</v>
      </c>
      <c r="B5291" t="str">
        <f ca="1">TEXT(DATE(YEAR(Invoer!$A$5),1,1)+INT((ROWS(B$2:B5291)-1)/24),"""18""jjmmdd")</f>
        <v>18980809</v>
      </c>
      <c r="C5291" s="11" t="str">
        <f>INDEX(Data,2,2+MOD(ROWS(C$2:C5291)-1,24))</f>
        <v>10.00</v>
      </c>
      <c r="D5291" s="8" t="str">
        <f t="shared" ca="1" si="248"/>
        <v>—</v>
      </c>
      <c r="E5291" s="16">
        <f t="shared" ca="1" si="249"/>
        <v>7</v>
      </c>
    </row>
    <row r="5292" spans="1:5" x14ac:dyDescent="0.25">
      <c r="A5292" s="3">
        <f t="shared" si="247"/>
        <v>78989</v>
      </c>
      <c r="B5292" t="str">
        <f ca="1">TEXT(DATE(YEAR(Invoer!$A$5),1,1)+INT((ROWS(B$2:B5292)-1)/24),"""18""jjmmdd")</f>
        <v>18980809</v>
      </c>
      <c r="C5292" s="11" t="str">
        <f>INDEX(Data,2,2+MOD(ROWS(C$2:C5292)-1,24))</f>
        <v>11.00</v>
      </c>
      <c r="D5292" s="8" t="str">
        <f t="shared" ca="1" si="248"/>
        <v>—</v>
      </c>
      <c r="E5292" s="16">
        <f t="shared" ca="1" si="249"/>
        <v>7</v>
      </c>
    </row>
    <row r="5293" spans="1:5" x14ac:dyDescent="0.25">
      <c r="A5293" s="3">
        <f t="shared" si="247"/>
        <v>78989</v>
      </c>
      <c r="B5293" t="str">
        <f ca="1">TEXT(DATE(YEAR(Invoer!$A$5),1,1)+INT((ROWS(B$2:B5293)-1)/24),"""18""jjmmdd")</f>
        <v>18980809</v>
      </c>
      <c r="C5293" s="11" t="str">
        <f>INDEX(Data,2,2+MOD(ROWS(C$2:C5293)-1,24))</f>
        <v>12.00</v>
      </c>
      <c r="D5293" s="8" t="str">
        <f t="shared" ca="1" si="248"/>
        <v>—</v>
      </c>
      <c r="E5293" s="16">
        <f t="shared" ca="1" si="249"/>
        <v>7</v>
      </c>
    </row>
    <row r="5294" spans="1:5" x14ac:dyDescent="0.25">
      <c r="A5294" s="3">
        <f t="shared" si="247"/>
        <v>78989</v>
      </c>
      <c r="B5294" t="str">
        <f ca="1">TEXT(DATE(YEAR(Invoer!$A$5),1,1)+INT((ROWS(B$2:B5294)-1)/24),"""18""jjmmdd")</f>
        <v>18980809</v>
      </c>
      <c r="C5294" s="11" t="str">
        <f>INDEX(Data,2,2+MOD(ROWS(C$2:C5294)-1,24))</f>
        <v>13.00</v>
      </c>
      <c r="D5294" s="8" t="str">
        <f t="shared" ca="1" si="248"/>
        <v>—</v>
      </c>
      <c r="E5294" s="16">
        <f t="shared" ca="1" si="249"/>
        <v>7</v>
      </c>
    </row>
    <row r="5295" spans="1:5" x14ac:dyDescent="0.25">
      <c r="A5295" s="3">
        <f t="shared" si="247"/>
        <v>78989</v>
      </c>
      <c r="B5295" t="str">
        <f ca="1">TEXT(DATE(YEAR(Invoer!$A$5),1,1)+INT((ROWS(B$2:B5295)-1)/24),"""18""jjmmdd")</f>
        <v>18980809</v>
      </c>
      <c r="C5295" s="11" t="str">
        <f>INDEX(Data,2,2+MOD(ROWS(C$2:C5295)-1,24))</f>
        <v>14.00</v>
      </c>
      <c r="D5295" s="8" t="str">
        <f t="shared" ca="1" si="248"/>
        <v>—</v>
      </c>
      <c r="E5295" s="16">
        <f t="shared" ca="1" si="249"/>
        <v>7</v>
      </c>
    </row>
    <row r="5296" spans="1:5" x14ac:dyDescent="0.25">
      <c r="A5296" s="3">
        <f t="shared" si="247"/>
        <v>78989</v>
      </c>
      <c r="B5296" t="str">
        <f ca="1">TEXT(DATE(YEAR(Invoer!$A$5),1,1)+INT((ROWS(B$2:B5296)-1)/24),"""18""jjmmdd")</f>
        <v>18980809</v>
      </c>
      <c r="C5296" s="11" t="str">
        <f>INDEX(Data,2,2+MOD(ROWS(C$2:C5296)-1,24))</f>
        <v>15.00</v>
      </c>
      <c r="D5296" s="8" t="str">
        <f t="shared" ca="1" si="248"/>
        <v>—</v>
      </c>
      <c r="E5296" s="16">
        <f t="shared" ca="1" si="249"/>
        <v>7</v>
      </c>
    </row>
    <row r="5297" spans="1:5" x14ac:dyDescent="0.25">
      <c r="A5297" s="3">
        <f t="shared" si="247"/>
        <v>78989</v>
      </c>
      <c r="B5297" t="str">
        <f ca="1">TEXT(DATE(YEAR(Invoer!$A$5),1,1)+INT((ROWS(B$2:B5297)-1)/24),"""18""jjmmdd")</f>
        <v>18980809</v>
      </c>
      <c r="C5297" s="11" t="str">
        <f>INDEX(Data,2,2+MOD(ROWS(C$2:C5297)-1,24))</f>
        <v>16.00</v>
      </c>
      <c r="D5297" s="8" t="str">
        <f t="shared" ca="1" si="248"/>
        <v>—</v>
      </c>
      <c r="E5297" s="16">
        <f t="shared" ca="1" si="249"/>
        <v>7</v>
      </c>
    </row>
    <row r="5298" spans="1:5" x14ac:dyDescent="0.25">
      <c r="A5298" s="3">
        <f t="shared" si="247"/>
        <v>78989</v>
      </c>
      <c r="B5298" t="str">
        <f ca="1">TEXT(DATE(YEAR(Invoer!$A$5),1,1)+INT((ROWS(B$2:B5298)-1)/24),"""18""jjmmdd")</f>
        <v>18980809</v>
      </c>
      <c r="C5298" s="11" t="str">
        <f>INDEX(Data,2,2+MOD(ROWS(C$2:C5298)-1,24))</f>
        <v>17.00</v>
      </c>
      <c r="D5298" s="8" t="str">
        <f t="shared" ca="1" si="248"/>
        <v>—</v>
      </c>
      <c r="E5298" s="16">
        <f t="shared" ca="1" si="249"/>
        <v>7</v>
      </c>
    </row>
    <row r="5299" spans="1:5" x14ac:dyDescent="0.25">
      <c r="A5299" s="3">
        <f t="shared" si="247"/>
        <v>78989</v>
      </c>
      <c r="B5299" t="str">
        <f ca="1">TEXT(DATE(YEAR(Invoer!$A$5),1,1)+INT((ROWS(B$2:B5299)-1)/24),"""18""jjmmdd")</f>
        <v>18980809</v>
      </c>
      <c r="C5299" s="11" t="str">
        <f>INDEX(Data,2,2+MOD(ROWS(C$2:C5299)-1,24))</f>
        <v>18.00</v>
      </c>
      <c r="D5299" s="8" t="str">
        <f t="shared" ca="1" si="248"/>
        <v>—</v>
      </c>
      <c r="E5299" s="16">
        <f t="shared" ca="1" si="249"/>
        <v>7</v>
      </c>
    </row>
    <row r="5300" spans="1:5" x14ac:dyDescent="0.25">
      <c r="A5300" s="3">
        <f t="shared" si="247"/>
        <v>78989</v>
      </c>
      <c r="B5300" t="str">
        <f ca="1">TEXT(DATE(YEAR(Invoer!$A$5),1,1)+INT((ROWS(B$2:B5300)-1)/24),"""18""jjmmdd")</f>
        <v>18980809</v>
      </c>
      <c r="C5300" s="11" t="str">
        <f>INDEX(Data,2,2+MOD(ROWS(C$2:C5300)-1,24))</f>
        <v>19.00</v>
      </c>
      <c r="D5300" s="8" t="str">
        <f t="shared" ca="1" si="248"/>
        <v>—</v>
      </c>
      <c r="E5300" s="16">
        <f t="shared" ca="1" si="249"/>
        <v>7</v>
      </c>
    </row>
    <row r="5301" spans="1:5" x14ac:dyDescent="0.25">
      <c r="A5301" s="3">
        <f t="shared" si="247"/>
        <v>78989</v>
      </c>
      <c r="B5301" t="str">
        <f ca="1">TEXT(DATE(YEAR(Invoer!$A$5),1,1)+INT((ROWS(B$2:B5301)-1)/24),"""18""jjmmdd")</f>
        <v>18980809</v>
      </c>
      <c r="C5301" s="11" t="str">
        <f>INDEX(Data,2,2+MOD(ROWS(C$2:C5301)-1,24))</f>
        <v>20.00</v>
      </c>
      <c r="D5301" s="8" t="str">
        <f t="shared" ca="1" si="248"/>
        <v>—</v>
      </c>
      <c r="E5301" s="16">
        <f t="shared" ca="1" si="249"/>
        <v>7</v>
      </c>
    </row>
    <row r="5302" spans="1:5" x14ac:dyDescent="0.25">
      <c r="A5302" s="3">
        <f t="shared" si="247"/>
        <v>78989</v>
      </c>
      <c r="B5302" t="str">
        <f ca="1">TEXT(DATE(YEAR(Invoer!$A$5),1,1)+INT((ROWS(B$2:B5302)-1)/24),"""18""jjmmdd")</f>
        <v>18980809</v>
      </c>
      <c r="C5302" s="11" t="str">
        <f>INDEX(Data,2,2+MOD(ROWS(C$2:C5302)-1,24))</f>
        <v>21.00</v>
      </c>
      <c r="D5302" s="8" t="str">
        <f t="shared" ca="1" si="248"/>
        <v>—</v>
      </c>
      <c r="E5302" s="16">
        <f t="shared" ca="1" si="249"/>
        <v>7</v>
      </c>
    </row>
    <row r="5303" spans="1:5" x14ac:dyDescent="0.25">
      <c r="A5303" s="3">
        <f t="shared" si="247"/>
        <v>78989</v>
      </c>
      <c r="B5303" t="str">
        <f ca="1">TEXT(DATE(YEAR(Invoer!$A$5),1,1)+INT((ROWS(B$2:B5303)-1)/24),"""18""jjmmdd")</f>
        <v>18980809</v>
      </c>
      <c r="C5303" s="11" t="str">
        <f>INDEX(Data,2,2+MOD(ROWS(C$2:C5303)-1,24))</f>
        <v>22.00</v>
      </c>
      <c r="D5303" s="8" t="str">
        <f t="shared" ca="1" si="248"/>
        <v>—</v>
      </c>
      <c r="E5303" s="16">
        <f t="shared" ca="1" si="249"/>
        <v>7</v>
      </c>
    </row>
    <row r="5304" spans="1:5" x14ac:dyDescent="0.25">
      <c r="A5304" s="3">
        <f t="shared" si="247"/>
        <v>78989</v>
      </c>
      <c r="B5304" t="str">
        <f ca="1">TEXT(DATE(YEAR(Invoer!$A$5),1,1)+INT((ROWS(B$2:B5304)-1)/24),"""18""jjmmdd")</f>
        <v>18980809</v>
      </c>
      <c r="C5304" s="11" t="str">
        <f>INDEX(Data,2,2+MOD(ROWS(C$2:C5304)-1,24))</f>
        <v>23.00</v>
      </c>
      <c r="D5304" s="8" t="str">
        <f t="shared" ca="1" si="248"/>
        <v>—</v>
      </c>
      <c r="E5304" s="16">
        <f t="shared" ca="1" si="249"/>
        <v>7</v>
      </c>
    </row>
    <row r="5305" spans="1:5" x14ac:dyDescent="0.25">
      <c r="A5305" s="3">
        <f t="shared" si="247"/>
        <v>78989</v>
      </c>
      <c r="B5305" t="str">
        <f ca="1">TEXT(DATE(YEAR(Invoer!$A$5),1,1)+INT((ROWS(B$2:B5305)-1)/24),"""18""jjmmdd")</f>
        <v>18980809</v>
      </c>
      <c r="C5305" s="11" t="str">
        <f>INDEX(Data,2,2+MOD(ROWS(C$2:C5305)-1,24))</f>
        <v>24.00</v>
      </c>
      <c r="D5305" s="8" t="str">
        <f t="shared" ca="1" si="248"/>
        <v>—</v>
      </c>
      <c r="E5305" s="16">
        <f t="shared" ca="1" si="249"/>
        <v>7</v>
      </c>
    </row>
    <row r="5306" spans="1:5" x14ac:dyDescent="0.25">
      <c r="A5306" s="3">
        <f t="shared" si="247"/>
        <v>78989</v>
      </c>
      <c r="B5306" t="str">
        <f ca="1">TEXT(DATE(YEAR(Invoer!$A$5),1,1)+INT((ROWS(B$2:B5306)-1)/24),"""18""jjmmdd")</f>
        <v>18980810</v>
      </c>
      <c r="C5306" s="11" t="str">
        <f>INDEX(Data,2,2+MOD(ROWS(C$2:C5306)-1,24))</f>
        <v>01.00</v>
      </c>
      <c r="D5306" s="8" t="str">
        <f t="shared" ca="1" si="248"/>
        <v>—</v>
      </c>
      <c r="E5306" s="16">
        <f t="shared" ca="1" si="249"/>
        <v>7</v>
      </c>
    </row>
    <row r="5307" spans="1:5" x14ac:dyDescent="0.25">
      <c r="A5307" s="3">
        <f t="shared" si="247"/>
        <v>78989</v>
      </c>
      <c r="B5307" t="str">
        <f ca="1">TEXT(DATE(YEAR(Invoer!$A$5),1,1)+INT((ROWS(B$2:B5307)-1)/24),"""18""jjmmdd")</f>
        <v>18980810</v>
      </c>
      <c r="C5307" s="11" t="str">
        <f>INDEX(Data,2,2+MOD(ROWS(C$2:C5307)-1,24))</f>
        <v>02.00</v>
      </c>
      <c r="D5307" s="8" t="str">
        <f t="shared" ca="1" si="248"/>
        <v>—</v>
      </c>
      <c r="E5307" s="16">
        <f t="shared" ca="1" si="249"/>
        <v>7</v>
      </c>
    </row>
    <row r="5308" spans="1:5" x14ac:dyDescent="0.25">
      <c r="A5308" s="3">
        <f t="shared" si="247"/>
        <v>78989</v>
      </c>
      <c r="B5308" t="str">
        <f ca="1">TEXT(DATE(YEAR(Invoer!$A$5),1,1)+INT((ROWS(B$2:B5308)-1)/24),"""18""jjmmdd")</f>
        <v>18980810</v>
      </c>
      <c r="C5308" s="11" t="str">
        <f>INDEX(Data,2,2+MOD(ROWS(C$2:C5308)-1,24))</f>
        <v>03.00</v>
      </c>
      <c r="D5308" s="8" t="str">
        <f t="shared" ca="1" si="248"/>
        <v>—</v>
      </c>
      <c r="E5308" s="16">
        <f t="shared" ca="1" si="249"/>
        <v>7</v>
      </c>
    </row>
    <row r="5309" spans="1:5" x14ac:dyDescent="0.25">
      <c r="A5309" s="3">
        <f t="shared" si="247"/>
        <v>78989</v>
      </c>
      <c r="B5309" t="str">
        <f ca="1">TEXT(DATE(YEAR(Invoer!$A$5),1,1)+INT((ROWS(B$2:B5309)-1)/24),"""18""jjmmdd")</f>
        <v>18980810</v>
      </c>
      <c r="C5309" s="11" t="str">
        <f>INDEX(Data,2,2+MOD(ROWS(C$2:C5309)-1,24))</f>
        <v>04.00</v>
      </c>
      <c r="D5309" s="8" t="str">
        <f t="shared" ca="1" si="248"/>
        <v>—</v>
      </c>
      <c r="E5309" s="16">
        <f t="shared" ca="1" si="249"/>
        <v>7</v>
      </c>
    </row>
    <row r="5310" spans="1:5" x14ac:dyDescent="0.25">
      <c r="A5310" s="3">
        <f t="shared" si="247"/>
        <v>78989</v>
      </c>
      <c r="B5310" t="str">
        <f ca="1">TEXT(DATE(YEAR(Invoer!$A$5),1,1)+INT((ROWS(B$2:B5310)-1)/24),"""18""jjmmdd")</f>
        <v>18980810</v>
      </c>
      <c r="C5310" s="11" t="str">
        <f>INDEX(Data,2,2+MOD(ROWS(C$2:C5310)-1,24))</f>
        <v>05.00</v>
      </c>
      <c r="D5310" s="8" t="str">
        <f t="shared" ca="1" si="248"/>
        <v>—</v>
      </c>
      <c r="E5310" s="16">
        <f t="shared" ca="1" si="249"/>
        <v>7</v>
      </c>
    </row>
    <row r="5311" spans="1:5" x14ac:dyDescent="0.25">
      <c r="A5311" s="3">
        <f t="shared" si="247"/>
        <v>78989</v>
      </c>
      <c r="B5311" t="str">
        <f ca="1">TEXT(DATE(YEAR(Invoer!$A$5),1,1)+INT((ROWS(B$2:B5311)-1)/24),"""18""jjmmdd")</f>
        <v>18980810</v>
      </c>
      <c r="C5311" s="11" t="str">
        <f>INDEX(Data,2,2+MOD(ROWS(C$2:C5311)-1,24))</f>
        <v>06.00</v>
      </c>
      <c r="D5311" s="8" t="str">
        <f t="shared" ca="1" si="248"/>
        <v>—</v>
      </c>
      <c r="E5311" s="16">
        <f t="shared" ca="1" si="249"/>
        <v>7</v>
      </c>
    </row>
    <row r="5312" spans="1:5" x14ac:dyDescent="0.25">
      <c r="A5312" s="3">
        <f t="shared" si="247"/>
        <v>78989</v>
      </c>
      <c r="B5312" t="str">
        <f ca="1">TEXT(DATE(YEAR(Invoer!$A$5),1,1)+INT((ROWS(B$2:B5312)-1)/24),"""18""jjmmdd")</f>
        <v>18980810</v>
      </c>
      <c r="C5312" s="11" t="str">
        <f>INDEX(Data,2,2+MOD(ROWS(C$2:C5312)-1,24))</f>
        <v>07.00</v>
      </c>
      <c r="D5312" s="8" t="str">
        <f t="shared" ca="1" si="248"/>
        <v>—</v>
      </c>
      <c r="E5312" s="16">
        <f t="shared" ca="1" si="249"/>
        <v>7</v>
      </c>
    </row>
    <row r="5313" spans="1:5" x14ac:dyDescent="0.25">
      <c r="A5313" s="3">
        <f t="shared" si="247"/>
        <v>78989</v>
      </c>
      <c r="B5313" t="str">
        <f ca="1">TEXT(DATE(YEAR(Invoer!$A$5),1,1)+INT((ROWS(B$2:B5313)-1)/24),"""18""jjmmdd")</f>
        <v>18980810</v>
      </c>
      <c r="C5313" s="11" t="str">
        <f>INDEX(Data,2,2+MOD(ROWS(C$2:C5313)-1,24))</f>
        <v>08.00</v>
      </c>
      <c r="D5313" s="8" t="str">
        <f t="shared" ca="1" si="248"/>
        <v>—</v>
      </c>
      <c r="E5313" s="16">
        <f t="shared" ca="1" si="249"/>
        <v>7</v>
      </c>
    </row>
    <row r="5314" spans="1:5" x14ac:dyDescent="0.25">
      <c r="A5314" s="3">
        <f t="shared" ref="A5314:A5377" si="250">INDEX(Stations,2,1)</f>
        <v>78989</v>
      </c>
      <c r="B5314" t="str">
        <f ca="1">TEXT(DATE(YEAR(Invoer!$A$5),1,1)+INT((ROWS(B$2:B5314)-1)/24),"""18""jjmmdd")</f>
        <v>18980810</v>
      </c>
      <c r="C5314" s="11" t="str">
        <f>INDEX(Data,2,2+MOD(ROWS(C$2:C5314)-1,24))</f>
        <v>09.00</v>
      </c>
      <c r="D5314" s="8" t="str">
        <f t="shared" ref="D5314:D5377" ca="1" si="251">IF(OR(ISBLANK(VLOOKUP(DATEVALUE("37"&amp;MID($B5314,3,2)&amp;"-"&amp;MID($B5314,5,2)&amp;"-"&amp;RIGHT($B5314,2)),Data,MATCH(LEFT(VLOOKUP(D$1,Parameters,2,FALSE()),4)&amp;"*",OFFSET(Data,0,0,1),0)+MATCH($C5314,OFFSET(Data,1,0,1),0)-2,FALSE())),ISTEXT(VLOOKUP(DATEVALUE("37"&amp;MID($B5314,3,2)&amp;"-"&amp;MID($B5314,5,2)&amp;"-"&amp;RIGHT($B5314,2)),Data,MATCH(LEFT(VLOOKUP(D$1,Parameters,2,FALSE()),4)&amp;"*",OFFSET(Data,0,0,1),0)+MATCH($C5314,OFFSET(Data,1,0,1),0)-2,FALSE()))),"—",VLOOKUP(DATEVALUE("37"&amp;MID($B5314,3,2)&amp;"-"&amp;MID($B5314,5,2)&amp;"-"&amp;RIGHT($B5314,2)),Data,MATCH(LEFT(VLOOKUP(D$1,Parameters,2,FALSE()),4)&amp;"*",OFFSET(Data,0,0,1),0)+MATCH($C5314,OFFSET(Data,1,0,1),0)-2,FALSE()))</f>
        <v>—</v>
      </c>
      <c r="E5314" s="16">
        <f t="shared" ca="1" si="249"/>
        <v>7</v>
      </c>
    </row>
    <row r="5315" spans="1:5" x14ac:dyDescent="0.25">
      <c r="A5315" s="3">
        <f t="shared" si="250"/>
        <v>78989</v>
      </c>
      <c r="B5315" t="str">
        <f ca="1">TEXT(DATE(YEAR(Invoer!$A$5),1,1)+INT((ROWS(B$2:B5315)-1)/24),"""18""jjmmdd")</f>
        <v>18980810</v>
      </c>
      <c r="C5315" s="11" t="str">
        <f>INDEX(Data,2,2+MOD(ROWS(C$2:C5315)-1,24))</f>
        <v>10.00</v>
      </c>
      <c r="D5315" s="8" t="str">
        <f t="shared" ca="1" si="251"/>
        <v>—</v>
      </c>
      <c r="E5315" s="16">
        <f t="shared" ref="E5315:E5378" ca="1" si="252">IF(OR(ISBLANK(VLOOKUP(DATEVALUE("37"&amp;MID($B5315,3,2)&amp;"-"&amp;MID($B5315,5,2)&amp;"-"&amp;RIGHT($B5315,2)),Data,MATCH(LEFT(VLOOKUP(D$1,Parameters,2,FALSE()),4)&amp;"*",OFFSET(Data,0,0,1),0)+MATCH($C5315,OFFSET(Data,1,0,1),0)-2,FALSE())),ISTEXT(VLOOKUP(DATEVALUE("37"&amp;MID($B5315,3,2)&amp;"-"&amp;MID($B5315,5,2)&amp;"-"&amp;RIGHT($B5315,2)),Data,MATCH(LEFT(VLOOKUP(D$1,Parameters,2,FALSE()),4)&amp;"*",OFFSET(Data,0,0,1),0)+MATCH($C5315,OFFSET(Data,1,0,1),0)-2,FALSE()))),Lacking,IF(ISNA(MATCH(DATEVALUE("37"&amp;MID($B5315,3,2)&amp;"-"&amp;MID($B5315,5,2)&amp;"-"&amp;RIGHT($B5315,2)),OFFSET(Catalogus,0,0,,1),0)),Ok,VLOOKUP(DATEVALUE("37"&amp;MID($B5315,3,2)&amp;"-"&amp;MID($B5315,5,2)&amp;"-"&amp;RIGHT($B5315,2)),Catalogus,MATCH(LEFT(VLOOKUP(MID(E$1,2,LEN(E$1)-1),Parameters,2,FALSE()),4)&amp;"*",OFFSET(Catalogus,0,0,1),0)+MATCH($C5315,OFFSET(Catalogus,1,0,1),0)-2,FALSE())))</f>
        <v>7</v>
      </c>
    </row>
    <row r="5316" spans="1:5" x14ac:dyDescent="0.25">
      <c r="A5316" s="3">
        <f t="shared" si="250"/>
        <v>78989</v>
      </c>
      <c r="B5316" t="str">
        <f ca="1">TEXT(DATE(YEAR(Invoer!$A$5),1,1)+INT((ROWS(B$2:B5316)-1)/24),"""18""jjmmdd")</f>
        <v>18980810</v>
      </c>
      <c r="C5316" s="11" t="str">
        <f>INDEX(Data,2,2+MOD(ROWS(C$2:C5316)-1,24))</f>
        <v>11.00</v>
      </c>
      <c r="D5316" s="8" t="str">
        <f t="shared" ca="1" si="251"/>
        <v>—</v>
      </c>
      <c r="E5316" s="16">
        <f t="shared" ca="1" si="252"/>
        <v>7</v>
      </c>
    </row>
    <row r="5317" spans="1:5" x14ac:dyDescent="0.25">
      <c r="A5317" s="3">
        <f t="shared" si="250"/>
        <v>78989</v>
      </c>
      <c r="B5317" t="str">
        <f ca="1">TEXT(DATE(YEAR(Invoer!$A$5),1,1)+INT((ROWS(B$2:B5317)-1)/24),"""18""jjmmdd")</f>
        <v>18980810</v>
      </c>
      <c r="C5317" s="11" t="str">
        <f>INDEX(Data,2,2+MOD(ROWS(C$2:C5317)-1,24))</f>
        <v>12.00</v>
      </c>
      <c r="D5317" s="8" t="str">
        <f t="shared" ca="1" si="251"/>
        <v>—</v>
      </c>
      <c r="E5317" s="16">
        <f t="shared" ca="1" si="252"/>
        <v>7</v>
      </c>
    </row>
    <row r="5318" spans="1:5" x14ac:dyDescent="0.25">
      <c r="A5318" s="3">
        <f t="shared" si="250"/>
        <v>78989</v>
      </c>
      <c r="B5318" t="str">
        <f ca="1">TEXT(DATE(YEAR(Invoer!$A$5),1,1)+INT((ROWS(B$2:B5318)-1)/24),"""18""jjmmdd")</f>
        <v>18980810</v>
      </c>
      <c r="C5318" s="11" t="str">
        <f>INDEX(Data,2,2+MOD(ROWS(C$2:C5318)-1,24))</f>
        <v>13.00</v>
      </c>
      <c r="D5318" s="8" t="str">
        <f t="shared" ca="1" si="251"/>
        <v>—</v>
      </c>
      <c r="E5318" s="16">
        <f t="shared" ca="1" si="252"/>
        <v>7</v>
      </c>
    </row>
    <row r="5319" spans="1:5" x14ac:dyDescent="0.25">
      <c r="A5319" s="3">
        <f t="shared" si="250"/>
        <v>78989</v>
      </c>
      <c r="B5319" t="str">
        <f ca="1">TEXT(DATE(YEAR(Invoer!$A$5),1,1)+INT((ROWS(B$2:B5319)-1)/24),"""18""jjmmdd")</f>
        <v>18980810</v>
      </c>
      <c r="C5319" s="11" t="str">
        <f>INDEX(Data,2,2+MOD(ROWS(C$2:C5319)-1,24))</f>
        <v>14.00</v>
      </c>
      <c r="D5319" s="8" t="str">
        <f t="shared" ca="1" si="251"/>
        <v>—</v>
      </c>
      <c r="E5319" s="16">
        <f t="shared" ca="1" si="252"/>
        <v>7</v>
      </c>
    </row>
    <row r="5320" spans="1:5" x14ac:dyDescent="0.25">
      <c r="A5320" s="3">
        <f t="shared" si="250"/>
        <v>78989</v>
      </c>
      <c r="B5320" t="str">
        <f ca="1">TEXT(DATE(YEAR(Invoer!$A$5),1,1)+INT((ROWS(B$2:B5320)-1)/24),"""18""jjmmdd")</f>
        <v>18980810</v>
      </c>
      <c r="C5320" s="11" t="str">
        <f>INDEX(Data,2,2+MOD(ROWS(C$2:C5320)-1,24))</f>
        <v>15.00</v>
      </c>
      <c r="D5320" s="8" t="str">
        <f t="shared" ca="1" si="251"/>
        <v>—</v>
      </c>
      <c r="E5320" s="16">
        <f t="shared" ca="1" si="252"/>
        <v>7</v>
      </c>
    </row>
    <row r="5321" spans="1:5" x14ac:dyDescent="0.25">
      <c r="A5321" s="3">
        <f t="shared" si="250"/>
        <v>78989</v>
      </c>
      <c r="B5321" t="str">
        <f ca="1">TEXT(DATE(YEAR(Invoer!$A$5),1,1)+INT((ROWS(B$2:B5321)-1)/24),"""18""jjmmdd")</f>
        <v>18980810</v>
      </c>
      <c r="C5321" s="11" t="str">
        <f>INDEX(Data,2,2+MOD(ROWS(C$2:C5321)-1,24))</f>
        <v>16.00</v>
      </c>
      <c r="D5321" s="8" t="str">
        <f t="shared" ca="1" si="251"/>
        <v>—</v>
      </c>
      <c r="E5321" s="16">
        <f t="shared" ca="1" si="252"/>
        <v>7</v>
      </c>
    </row>
    <row r="5322" spans="1:5" x14ac:dyDescent="0.25">
      <c r="A5322" s="3">
        <f t="shared" si="250"/>
        <v>78989</v>
      </c>
      <c r="B5322" t="str">
        <f ca="1">TEXT(DATE(YEAR(Invoer!$A$5),1,1)+INT((ROWS(B$2:B5322)-1)/24),"""18""jjmmdd")</f>
        <v>18980810</v>
      </c>
      <c r="C5322" s="11" t="str">
        <f>INDEX(Data,2,2+MOD(ROWS(C$2:C5322)-1,24))</f>
        <v>17.00</v>
      </c>
      <c r="D5322" s="8" t="str">
        <f t="shared" ca="1" si="251"/>
        <v>—</v>
      </c>
      <c r="E5322" s="16">
        <f t="shared" ca="1" si="252"/>
        <v>7</v>
      </c>
    </row>
    <row r="5323" spans="1:5" x14ac:dyDescent="0.25">
      <c r="A5323" s="3">
        <f t="shared" si="250"/>
        <v>78989</v>
      </c>
      <c r="B5323" t="str">
        <f ca="1">TEXT(DATE(YEAR(Invoer!$A$5),1,1)+INT((ROWS(B$2:B5323)-1)/24),"""18""jjmmdd")</f>
        <v>18980810</v>
      </c>
      <c r="C5323" s="11" t="str">
        <f>INDEX(Data,2,2+MOD(ROWS(C$2:C5323)-1,24))</f>
        <v>18.00</v>
      </c>
      <c r="D5323" s="8" t="str">
        <f t="shared" ca="1" si="251"/>
        <v>—</v>
      </c>
      <c r="E5323" s="16">
        <f t="shared" ca="1" si="252"/>
        <v>7</v>
      </c>
    </row>
    <row r="5324" spans="1:5" x14ac:dyDescent="0.25">
      <c r="A5324" s="3">
        <f t="shared" si="250"/>
        <v>78989</v>
      </c>
      <c r="B5324" t="str">
        <f ca="1">TEXT(DATE(YEAR(Invoer!$A$5),1,1)+INT((ROWS(B$2:B5324)-1)/24),"""18""jjmmdd")</f>
        <v>18980810</v>
      </c>
      <c r="C5324" s="11" t="str">
        <f>INDEX(Data,2,2+MOD(ROWS(C$2:C5324)-1,24))</f>
        <v>19.00</v>
      </c>
      <c r="D5324" s="8" t="str">
        <f t="shared" ca="1" si="251"/>
        <v>—</v>
      </c>
      <c r="E5324" s="16">
        <f t="shared" ca="1" si="252"/>
        <v>7</v>
      </c>
    </row>
    <row r="5325" spans="1:5" x14ac:dyDescent="0.25">
      <c r="A5325" s="3">
        <f t="shared" si="250"/>
        <v>78989</v>
      </c>
      <c r="B5325" t="str">
        <f ca="1">TEXT(DATE(YEAR(Invoer!$A$5),1,1)+INT((ROWS(B$2:B5325)-1)/24),"""18""jjmmdd")</f>
        <v>18980810</v>
      </c>
      <c r="C5325" s="11" t="str">
        <f>INDEX(Data,2,2+MOD(ROWS(C$2:C5325)-1,24))</f>
        <v>20.00</v>
      </c>
      <c r="D5325" s="8" t="str">
        <f t="shared" ca="1" si="251"/>
        <v>—</v>
      </c>
      <c r="E5325" s="16">
        <f t="shared" ca="1" si="252"/>
        <v>7</v>
      </c>
    </row>
    <row r="5326" spans="1:5" x14ac:dyDescent="0.25">
      <c r="A5326" s="3">
        <f t="shared" si="250"/>
        <v>78989</v>
      </c>
      <c r="B5326" t="str">
        <f ca="1">TEXT(DATE(YEAR(Invoer!$A$5),1,1)+INT((ROWS(B$2:B5326)-1)/24),"""18""jjmmdd")</f>
        <v>18980810</v>
      </c>
      <c r="C5326" s="11" t="str">
        <f>INDEX(Data,2,2+MOD(ROWS(C$2:C5326)-1,24))</f>
        <v>21.00</v>
      </c>
      <c r="D5326" s="8" t="str">
        <f t="shared" ca="1" si="251"/>
        <v>—</v>
      </c>
      <c r="E5326" s="16">
        <f t="shared" ca="1" si="252"/>
        <v>7</v>
      </c>
    </row>
    <row r="5327" spans="1:5" x14ac:dyDescent="0.25">
      <c r="A5327" s="3">
        <f t="shared" si="250"/>
        <v>78989</v>
      </c>
      <c r="B5327" t="str">
        <f ca="1">TEXT(DATE(YEAR(Invoer!$A$5),1,1)+INT((ROWS(B$2:B5327)-1)/24),"""18""jjmmdd")</f>
        <v>18980810</v>
      </c>
      <c r="C5327" s="11" t="str">
        <f>INDEX(Data,2,2+MOD(ROWS(C$2:C5327)-1,24))</f>
        <v>22.00</v>
      </c>
      <c r="D5327" s="8" t="str">
        <f t="shared" ca="1" si="251"/>
        <v>—</v>
      </c>
      <c r="E5327" s="16">
        <f t="shared" ca="1" si="252"/>
        <v>7</v>
      </c>
    </row>
    <row r="5328" spans="1:5" x14ac:dyDescent="0.25">
      <c r="A5328" s="3">
        <f t="shared" si="250"/>
        <v>78989</v>
      </c>
      <c r="B5328" t="str">
        <f ca="1">TEXT(DATE(YEAR(Invoer!$A$5),1,1)+INT((ROWS(B$2:B5328)-1)/24),"""18""jjmmdd")</f>
        <v>18980810</v>
      </c>
      <c r="C5328" s="11" t="str">
        <f>INDEX(Data,2,2+MOD(ROWS(C$2:C5328)-1,24))</f>
        <v>23.00</v>
      </c>
      <c r="D5328" s="8" t="str">
        <f t="shared" ca="1" si="251"/>
        <v>—</v>
      </c>
      <c r="E5328" s="16">
        <f t="shared" ca="1" si="252"/>
        <v>7</v>
      </c>
    </row>
    <row r="5329" spans="1:5" x14ac:dyDescent="0.25">
      <c r="A5329" s="3">
        <f t="shared" si="250"/>
        <v>78989</v>
      </c>
      <c r="B5329" t="str">
        <f ca="1">TEXT(DATE(YEAR(Invoer!$A$5),1,1)+INT((ROWS(B$2:B5329)-1)/24),"""18""jjmmdd")</f>
        <v>18980810</v>
      </c>
      <c r="C5329" s="11" t="str">
        <f>INDEX(Data,2,2+MOD(ROWS(C$2:C5329)-1,24))</f>
        <v>24.00</v>
      </c>
      <c r="D5329" s="8" t="str">
        <f t="shared" ca="1" si="251"/>
        <v>—</v>
      </c>
      <c r="E5329" s="16">
        <f t="shared" ca="1" si="252"/>
        <v>7</v>
      </c>
    </row>
    <row r="5330" spans="1:5" x14ac:dyDescent="0.25">
      <c r="A5330" s="3">
        <f t="shared" si="250"/>
        <v>78989</v>
      </c>
      <c r="B5330" t="str">
        <f ca="1">TEXT(DATE(YEAR(Invoer!$A$5),1,1)+INT((ROWS(B$2:B5330)-1)/24),"""18""jjmmdd")</f>
        <v>18980811</v>
      </c>
      <c r="C5330" s="11" t="str">
        <f>INDEX(Data,2,2+MOD(ROWS(C$2:C5330)-1,24))</f>
        <v>01.00</v>
      </c>
      <c r="D5330" s="8" t="str">
        <f t="shared" ca="1" si="251"/>
        <v>—</v>
      </c>
      <c r="E5330" s="16">
        <f t="shared" ca="1" si="252"/>
        <v>7</v>
      </c>
    </row>
    <row r="5331" spans="1:5" x14ac:dyDescent="0.25">
      <c r="A5331" s="3">
        <f t="shared" si="250"/>
        <v>78989</v>
      </c>
      <c r="B5331" t="str">
        <f ca="1">TEXT(DATE(YEAR(Invoer!$A$5),1,1)+INT((ROWS(B$2:B5331)-1)/24),"""18""jjmmdd")</f>
        <v>18980811</v>
      </c>
      <c r="C5331" s="11" t="str">
        <f>INDEX(Data,2,2+MOD(ROWS(C$2:C5331)-1,24))</f>
        <v>02.00</v>
      </c>
      <c r="D5331" s="8" t="str">
        <f t="shared" ca="1" si="251"/>
        <v>—</v>
      </c>
      <c r="E5331" s="16">
        <f t="shared" ca="1" si="252"/>
        <v>7</v>
      </c>
    </row>
    <row r="5332" spans="1:5" x14ac:dyDescent="0.25">
      <c r="A5332" s="3">
        <f t="shared" si="250"/>
        <v>78989</v>
      </c>
      <c r="B5332" t="str">
        <f ca="1">TEXT(DATE(YEAR(Invoer!$A$5),1,1)+INT((ROWS(B$2:B5332)-1)/24),"""18""jjmmdd")</f>
        <v>18980811</v>
      </c>
      <c r="C5332" s="11" t="str">
        <f>INDEX(Data,2,2+MOD(ROWS(C$2:C5332)-1,24))</f>
        <v>03.00</v>
      </c>
      <c r="D5332" s="8" t="str">
        <f t="shared" ca="1" si="251"/>
        <v>—</v>
      </c>
      <c r="E5332" s="16">
        <f t="shared" ca="1" si="252"/>
        <v>7</v>
      </c>
    </row>
    <row r="5333" spans="1:5" x14ac:dyDescent="0.25">
      <c r="A5333" s="3">
        <f t="shared" si="250"/>
        <v>78989</v>
      </c>
      <c r="B5333" t="str">
        <f ca="1">TEXT(DATE(YEAR(Invoer!$A$5),1,1)+INT((ROWS(B$2:B5333)-1)/24),"""18""jjmmdd")</f>
        <v>18980811</v>
      </c>
      <c r="C5333" s="11" t="str">
        <f>INDEX(Data,2,2+MOD(ROWS(C$2:C5333)-1,24))</f>
        <v>04.00</v>
      </c>
      <c r="D5333" s="8" t="str">
        <f t="shared" ca="1" si="251"/>
        <v>—</v>
      </c>
      <c r="E5333" s="16">
        <f t="shared" ca="1" si="252"/>
        <v>7</v>
      </c>
    </row>
    <row r="5334" spans="1:5" x14ac:dyDescent="0.25">
      <c r="A5334" s="3">
        <f t="shared" si="250"/>
        <v>78989</v>
      </c>
      <c r="B5334" t="str">
        <f ca="1">TEXT(DATE(YEAR(Invoer!$A$5),1,1)+INT((ROWS(B$2:B5334)-1)/24),"""18""jjmmdd")</f>
        <v>18980811</v>
      </c>
      <c r="C5334" s="11" t="str">
        <f>INDEX(Data,2,2+MOD(ROWS(C$2:C5334)-1,24))</f>
        <v>05.00</v>
      </c>
      <c r="D5334" s="8" t="str">
        <f t="shared" ca="1" si="251"/>
        <v>—</v>
      </c>
      <c r="E5334" s="16">
        <f t="shared" ca="1" si="252"/>
        <v>7</v>
      </c>
    </row>
    <row r="5335" spans="1:5" x14ac:dyDescent="0.25">
      <c r="A5335" s="3">
        <f t="shared" si="250"/>
        <v>78989</v>
      </c>
      <c r="B5335" t="str">
        <f ca="1">TEXT(DATE(YEAR(Invoer!$A$5),1,1)+INT((ROWS(B$2:B5335)-1)/24),"""18""jjmmdd")</f>
        <v>18980811</v>
      </c>
      <c r="C5335" s="11" t="str">
        <f>INDEX(Data,2,2+MOD(ROWS(C$2:C5335)-1,24))</f>
        <v>06.00</v>
      </c>
      <c r="D5335" s="8" t="str">
        <f t="shared" ca="1" si="251"/>
        <v>—</v>
      </c>
      <c r="E5335" s="16">
        <f t="shared" ca="1" si="252"/>
        <v>7</v>
      </c>
    </row>
    <row r="5336" spans="1:5" x14ac:dyDescent="0.25">
      <c r="A5336" s="3">
        <f t="shared" si="250"/>
        <v>78989</v>
      </c>
      <c r="B5336" t="str">
        <f ca="1">TEXT(DATE(YEAR(Invoer!$A$5),1,1)+INT((ROWS(B$2:B5336)-1)/24),"""18""jjmmdd")</f>
        <v>18980811</v>
      </c>
      <c r="C5336" s="11" t="str">
        <f>INDEX(Data,2,2+MOD(ROWS(C$2:C5336)-1,24))</f>
        <v>07.00</v>
      </c>
      <c r="D5336" s="8" t="str">
        <f t="shared" ca="1" si="251"/>
        <v>—</v>
      </c>
      <c r="E5336" s="16">
        <f t="shared" ca="1" si="252"/>
        <v>7</v>
      </c>
    </row>
    <row r="5337" spans="1:5" x14ac:dyDescent="0.25">
      <c r="A5337" s="3">
        <f t="shared" si="250"/>
        <v>78989</v>
      </c>
      <c r="B5337" t="str">
        <f ca="1">TEXT(DATE(YEAR(Invoer!$A$5),1,1)+INT((ROWS(B$2:B5337)-1)/24),"""18""jjmmdd")</f>
        <v>18980811</v>
      </c>
      <c r="C5337" s="11" t="str">
        <f>INDEX(Data,2,2+MOD(ROWS(C$2:C5337)-1,24))</f>
        <v>08.00</v>
      </c>
      <c r="D5337" s="8" t="str">
        <f t="shared" ca="1" si="251"/>
        <v>—</v>
      </c>
      <c r="E5337" s="16">
        <f t="shared" ca="1" si="252"/>
        <v>7</v>
      </c>
    </row>
    <row r="5338" spans="1:5" x14ac:dyDescent="0.25">
      <c r="A5338" s="3">
        <f t="shared" si="250"/>
        <v>78989</v>
      </c>
      <c r="B5338" t="str">
        <f ca="1">TEXT(DATE(YEAR(Invoer!$A$5),1,1)+INT((ROWS(B$2:B5338)-1)/24),"""18""jjmmdd")</f>
        <v>18980811</v>
      </c>
      <c r="C5338" s="11" t="str">
        <f>INDEX(Data,2,2+MOD(ROWS(C$2:C5338)-1,24))</f>
        <v>09.00</v>
      </c>
      <c r="D5338" s="8" t="str">
        <f t="shared" ca="1" si="251"/>
        <v>—</v>
      </c>
      <c r="E5338" s="16">
        <f t="shared" ca="1" si="252"/>
        <v>7</v>
      </c>
    </row>
    <row r="5339" spans="1:5" x14ac:dyDescent="0.25">
      <c r="A5339" s="3">
        <f t="shared" si="250"/>
        <v>78989</v>
      </c>
      <c r="B5339" t="str">
        <f ca="1">TEXT(DATE(YEAR(Invoer!$A$5),1,1)+INT((ROWS(B$2:B5339)-1)/24),"""18""jjmmdd")</f>
        <v>18980811</v>
      </c>
      <c r="C5339" s="11" t="str">
        <f>INDEX(Data,2,2+MOD(ROWS(C$2:C5339)-1,24))</f>
        <v>10.00</v>
      </c>
      <c r="D5339" s="8" t="str">
        <f t="shared" ca="1" si="251"/>
        <v>—</v>
      </c>
      <c r="E5339" s="16">
        <f t="shared" ca="1" si="252"/>
        <v>7</v>
      </c>
    </row>
    <row r="5340" spans="1:5" x14ac:dyDescent="0.25">
      <c r="A5340" s="3">
        <f t="shared" si="250"/>
        <v>78989</v>
      </c>
      <c r="B5340" t="str">
        <f ca="1">TEXT(DATE(YEAR(Invoer!$A$5),1,1)+INT((ROWS(B$2:B5340)-1)/24),"""18""jjmmdd")</f>
        <v>18980811</v>
      </c>
      <c r="C5340" s="11" t="str">
        <f>INDEX(Data,2,2+MOD(ROWS(C$2:C5340)-1,24))</f>
        <v>11.00</v>
      </c>
      <c r="D5340" s="8" t="str">
        <f t="shared" ca="1" si="251"/>
        <v>—</v>
      </c>
      <c r="E5340" s="16">
        <f t="shared" ca="1" si="252"/>
        <v>7</v>
      </c>
    </row>
    <row r="5341" spans="1:5" x14ac:dyDescent="0.25">
      <c r="A5341" s="3">
        <f t="shared" si="250"/>
        <v>78989</v>
      </c>
      <c r="B5341" t="str">
        <f ca="1">TEXT(DATE(YEAR(Invoer!$A$5),1,1)+INT((ROWS(B$2:B5341)-1)/24),"""18""jjmmdd")</f>
        <v>18980811</v>
      </c>
      <c r="C5341" s="11" t="str">
        <f>INDEX(Data,2,2+MOD(ROWS(C$2:C5341)-1,24))</f>
        <v>12.00</v>
      </c>
      <c r="D5341" s="8" t="str">
        <f t="shared" ca="1" si="251"/>
        <v>—</v>
      </c>
      <c r="E5341" s="16">
        <f t="shared" ca="1" si="252"/>
        <v>7</v>
      </c>
    </row>
    <row r="5342" spans="1:5" x14ac:dyDescent="0.25">
      <c r="A5342" s="3">
        <f t="shared" si="250"/>
        <v>78989</v>
      </c>
      <c r="B5342" t="str">
        <f ca="1">TEXT(DATE(YEAR(Invoer!$A$5),1,1)+INT((ROWS(B$2:B5342)-1)/24),"""18""jjmmdd")</f>
        <v>18980811</v>
      </c>
      <c r="C5342" s="11" t="str">
        <f>INDEX(Data,2,2+MOD(ROWS(C$2:C5342)-1,24))</f>
        <v>13.00</v>
      </c>
      <c r="D5342" s="8" t="str">
        <f t="shared" ca="1" si="251"/>
        <v>—</v>
      </c>
      <c r="E5342" s="16">
        <f t="shared" ca="1" si="252"/>
        <v>7</v>
      </c>
    </row>
    <row r="5343" spans="1:5" x14ac:dyDescent="0.25">
      <c r="A5343" s="3">
        <f t="shared" si="250"/>
        <v>78989</v>
      </c>
      <c r="B5343" t="str">
        <f ca="1">TEXT(DATE(YEAR(Invoer!$A$5),1,1)+INT((ROWS(B$2:B5343)-1)/24),"""18""jjmmdd")</f>
        <v>18980811</v>
      </c>
      <c r="C5343" s="11" t="str">
        <f>INDEX(Data,2,2+MOD(ROWS(C$2:C5343)-1,24))</f>
        <v>14.00</v>
      </c>
      <c r="D5343" s="8" t="str">
        <f t="shared" ca="1" si="251"/>
        <v>—</v>
      </c>
      <c r="E5343" s="16">
        <f t="shared" ca="1" si="252"/>
        <v>7</v>
      </c>
    </row>
    <row r="5344" spans="1:5" x14ac:dyDescent="0.25">
      <c r="A5344" s="3">
        <f t="shared" si="250"/>
        <v>78989</v>
      </c>
      <c r="B5344" t="str">
        <f ca="1">TEXT(DATE(YEAR(Invoer!$A$5),1,1)+INT((ROWS(B$2:B5344)-1)/24),"""18""jjmmdd")</f>
        <v>18980811</v>
      </c>
      <c r="C5344" s="11" t="str">
        <f>INDEX(Data,2,2+MOD(ROWS(C$2:C5344)-1,24))</f>
        <v>15.00</v>
      </c>
      <c r="D5344" s="8" t="str">
        <f t="shared" ca="1" si="251"/>
        <v>—</v>
      </c>
      <c r="E5344" s="16">
        <f t="shared" ca="1" si="252"/>
        <v>7</v>
      </c>
    </row>
    <row r="5345" spans="1:5" x14ac:dyDescent="0.25">
      <c r="A5345" s="3">
        <f t="shared" si="250"/>
        <v>78989</v>
      </c>
      <c r="B5345" t="str">
        <f ca="1">TEXT(DATE(YEAR(Invoer!$A$5),1,1)+INT((ROWS(B$2:B5345)-1)/24),"""18""jjmmdd")</f>
        <v>18980811</v>
      </c>
      <c r="C5345" s="11" t="str">
        <f>INDEX(Data,2,2+MOD(ROWS(C$2:C5345)-1,24))</f>
        <v>16.00</v>
      </c>
      <c r="D5345" s="8" t="str">
        <f t="shared" ca="1" si="251"/>
        <v>—</v>
      </c>
      <c r="E5345" s="16">
        <f t="shared" ca="1" si="252"/>
        <v>7</v>
      </c>
    </row>
    <row r="5346" spans="1:5" x14ac:dyDescent="0.25">
      <c r="A5346" s="3">
        <f t="shared" si="250"/>
        <v>78989</v>
      </c>
      <c r="B5346" t="str">
        <f ca="1">TEXT(DATE(YEAR(Invoer!$A$5),1,1)+INT((ROWS(B$2:B5346)-1)/24),"""18""jjmmdd")</f>
        <v>18980811</v>
      </c>
      <c r="C5346" s="11" t="str">
        <f>INDEX(Data,2,2+MOD(ROWS(C$2:C5346)-1,24))</f>
        <v>17.00</v>
      </c>
      <c r="D5346" s="8" t="str">
        <f t="shared" ca="1" si="251"/>
        <v>—</v>
      </c>
      <c r="E5346" s="16">
        <f t="shared" ca="1" si="252"/>
        <v>7</v>
      </c>
    </row>
    <row r="5347" spans="1:5" x14ac:dyDescent="0.25">
      <c r="A5347" s="3">
        <f t="shared" si="250"/>
        <v>78989</v>
      </c>
      <c r="B5347" t="str">
        <f ca="1">TEXT(DATE(YEAR(Invoer!$A$5),1,1)+INT((ROWS(B$2:B5347)-1)/24),"""18""jjmmdd")</f>
        <v>18980811</v>
      </c>
      <c r="C5347" s="11" t="str">
        <f>INDEX(Data,2,2+MOD(ROWS(C$2:C5347)-1,24))</f>
        <v>18.00</v>
      </c>
      <c r="D5347" s="8" t="str">
        <f t="shared" ca="1" si="251"/>
        <v>—</v>
      </c>
      <c r="E5347" s="16">
        <f t="shared" ca="1" si="252"/>
        <v>7</v>
      </c>
    </row>
    <row r="5348" spans="1:5" x14ac:dyDescent="0.25">
      <c r="A5348" s="3">
        <f t="shared" si="250"/>
        <v>78989</v>
      </c>
      <c r="B5348" t="str">
        <f ca="1">TEXT(DATE(YEAR(Invoer!$A$5),1,1)+INT((ROWS(B$2:B5348)-1)/24),"""18""jjmmdd")</f>
        <v>18980811</v>
      </c>
      <c r="C5348" s="11" t="str">
        <f>INDEX(Data,2,2+MOD(ROWS(C$2:C5348)-1,24))</f>
        <v>19.00</v>
      </c>
      <c r="D5348" s="8" t="str">
        <f t="shared" ca="1" si="251"/>
        <v>—</v>
      </c>
      <c r="E5348" s="16">
        <f t="shared" ca="1" si="252"/>
        <v>7</v>
      </c>
    </row>
    <row r="5349" spans="1:5" x14ac:dyDescent="0.25">
      <c r="A5349" s="3">
        <f t="shared" si="250"/>
        <v>78989</v>
      </c>
      <c r="B5349" t="str">
        <f ca="1">TEXT(DATE(YEAR(Invoer!$A$5),1,1)+INT((ROWS(B$2:B5349)-1)/24),"""18""jjmmdd")</f>
        <v>18980811</v>
      </c>
      <c r="C5349" s="11" t="str">
        <f>INDEX(Data,2,2+MOD(ROWS(C$2:C5349)-1,24))</f>
        <v>20.00</v>
      </c>
      <c r="D5349" s="8" t="str">
        <f t="shared" ca="1" si="251"/>
        <v>—</v>
      </c>
      <c r="E5349" s="16">
        <f t="shared" ca="1" si="252"/>
        <v>7</v>
      </c>
    </row>
    <row r="5350" spans="1:5" x14ac:dyDescent="0.25">
      <c r="A5350" s="3">
        <f t="shared" si="250"/>
        <v>78989</v>
      </c>
      <c r="B5350" t="str">
        <f ca="1">TEXT(DATE(YEAR(Invoer!$A$5),1,1)+INT((ROWS(B$2:B5350)-1)/24),"""18""jjmmdd")</f>
        <v>18980811</v>
      </c>
      <c r="C5350" s="11" t="str">
        <f>INDEX(Data,2,2+MOD(ROWS(C$2:C5350)-1,24))</f>
        <v>21.00</v>
      </c>
      <c r="D5350" s="8" t="str">
        <f t="shared" ca="1" si="251"/>
        <v>—</v>
      </c>
      <c r="E5350" s="16">
        <f t="shared" ca="1" si="252"/>
        <v>7</v>
      </c>
    </row>
    <row r="5351" spans="1:5" x14ac:dyDescent="0.25">
      <c r="A5351" s="3">
        <f t="shared" si="250"/>
        <v>78989</v>
      </c>
      <c r="B5351" t="str">
        <f ca="1">TEXT(DATE(YEAR(Invoer!$A$5),1,1)+INT((ROWS(B$2:B5351)-1)/24),"""18""jjmmdd")</f>
        <v>18980811</v>
      </c>
      <c r="C5351" s="11" t="str">
        <f>INDEX(Data,2,2+MOD(ROWS(C$2:C5351)-1,24))</f>
        <v>22.00</v>
      </c>
      <c r="D5351" s="8" t="str">
        <f t="shared" ca="1" si="251"/>
        <v>—</v>
      </c>
      <c r="E5351" s="16">
        <f t="shared" ca="1" si="252"/>
        <v>7</v>
      </c>
    </row>
    <row r="5352" spans="1:5" x14ac:dyDescent="0.25">
      <c r="A5352" s="3">
        <f t="shared" si="250"/>
        <v>78989</v>
      </c>
      <c r="B5352" t="str">
        <f ca="1">TEXT(DATE(YEAR(Invoer!$A$5),1,1)+INT((ROWS(B$2:B5352)-1)/24),"""18""jjmmdd")</f>
        <v>18980811</v>
      </c>
      <c r="C5352" s="11" t="str">
        <f>INDEX(Data,2,2+MOD(ROWS(C$2:C5352)-1,24))</f>
        <v>23.00</v>
      </c>
      <c r="D5352" s="8" t="str">
        <f t="shared" ca="1" si="251"/>
        <v>—</v>
      </c>
      <c r="E5352" s="16">
        <f t="shared" ca="1" si="252"/>
        <v>7</v>
      </c>
    </row>
    <row r="5353" spans="1:5" x14ac:dyDescent="0.25">
      <c r="A5353" s="3">
        <f t="shared" si="250"/>
        <v>78989</v>
      </c>
      <c r="B5353" t="str">
        <f ca="1">TEXT(DATE(YEAR(Invoer!$A$5),1,1)+INT((ROWS(B$2:B5353)-1)/24),"""18""jjmmdd")</f>
        <v>18980811</v>
      </c>
      <c r="C5353" s="11" t="str">
        <f>INDEX(Data,2,2+MOD(ROWS(C$2:C5353)-1,24))</f>
        <v>24.00</v>
      </c>
      <c r="D5353" s="8" t="str">
        <f t="shared" ca="1" si="251"/>
        <v>—</v>
      </c>
      <c r="E5353" s="16">
        <f t="shared" ca="1" si="252"/>
        <v>7</v>
      </c>
    </row>
    <row r="5354" spans="1:5" x14ac:dyDescent="0.25">
      <c r="A5354" s="3">
        <f t="shared" si="250"/>
        <v>78989</v>
      </c>
      <c r="B5354" t="str">
        <f ca="1">TEXT(DATE(YEAR(Invoer!$A$5),1,1)+INT((ROWS(B$2:B5354)-1)/24),"""18""jjmmdd")</f>
        <v>18980812</v>
      </c>
      <c r="C5354" s="11" t="str">
        <f>INDEX(Data,2,2+MOD(ROWS(C$2:C5354)-1,24))</f>
        <v>01.00</v>
      </c>
      <c r="D5354" s="8" t="str">
        <f t="shared" ca="1" si="251"/>
        <v>—</v>
      </c>
      <c r="E5354" s="16">
        <f t="shared" ca="1" si="252"/>
        <v>7</v>
      </c>
    </row>
    <row r="5355" spans="1:5" x14ac:dyDescent="0.25">
      <c r="A5355" s="3">
        <f t="shared" si="250"/>
        <v>78989</v>
      </c>
      <c r="B5355" t="str">
        <f ca="1">TEXT(DATE(YEAR(Invoer!$A$5),1,1)+INT((ROWS(B$2:B5355)-1)/24),"""18""jjmmdd")</f>
        <v>18980812</v>
      </c>
      <c r="C5355" s="11" t="str">
        <f>INDEX(Data,2,2+MOD(ROWS(C$2:C5355)-1,24))</f>
        <v>02.00</v>
      </c>
      <c r="D5355" s="8" t="str">
        <f t="shared" ca="1" si="251"/>
        <v>—</v>
      </c>
      <c r="E5355" s="16">
        <f t="shared" ca="1" si="252"/>
        <v>7</v>
      </c>
    </row>
    <row r="5356" spans="1:5" x14ac:dyDescent="0.25">
      <c r="A5356" s="3">
        <f t="shared" si="250"/>
        <v>78989</v>
      </c>
      <c r="B5356" t="str">
        <f ca="1">TEXT(DATE(YEAR(Invoer!$A$5),1,1)+INT((ROWS(B$2:B5356)-1)/24),"""18""jjmmdd")</f>
        <v>18980812</v>
      </c>
      <c r="C5356" s="11" t="str">
        <f>INDEX(Data,2,2+MOD(ROWS(C$2:C5356)-1,24))</f>
        <v>03.00</v>
      </c>
      <c r="D5356" s="8" t="str">
        <f t="shared" ca="1" si="251"/>
        <v>—</v>
      </c>
      <c r="E5356" s="16">
        <f t="shared" ca="1" si="252"/>
        <v>7</v>
      </c>
    </row>
    <row r="5357" spans="1:5" x14ac:dyDescent="0.25">
      <c r="A5357" s="3">
        <f t="shared" si="250"/>
        <v>78989</v>
      </c>
      <c r="B5357" t="str">
        <f ca="1">TEXT(DATE(YEAR(Invoer!$A$5),1,1)+INT((ROWS(B$2:B5357)-1)/24),"""18""jjmmdd")</f>
        <v>18980812</v>
      </c>
      <c r="C5357" s="11" t="str">
        <f>INDEX(Data,2,2+MOD(ROWS(C$2:C5357)-1,24))</f>
        <v>04.00</v>
      </c>
      <c r="D5357" s="8" t="str">
        <f t="shared" ca="1" si="251"/>
        <v>—</v>
      </c>
      <c r="E5357" s="16">
        <f t="shared" ca="1" si="252"/>
        <v>7</v>
      </c>
    </row>
    <row r="5358" spans="1:5" x14ac:dyDescent="0.25">
      <c r="A5358" s="3">
        <f t="shared" si="250"/>
        <v>78989</v>
      </c>
      <c r="B5358" t="str">
        <f ca="1">TEXT(DATE(YEAR(Invoer!$A$5),1,1)+INT((ROWS(B$2:B5358)-1)/24),"""18""jjmmdd")</f>
        <v>18980812</v>
      </c>
      <c r="C5358" s="11" t="str">
        <f>INDEX(Data,2,2+MOD(ROWS(C$2:C5358)-1,24))</f>
        <v>05.00</v>
      </c>
      <c r="D5358" s="8" t="str">
        <f t="shared" ca="1" si="251"/>
        <v>—</v>
      </c>
      <c r="E5358" s="16">
        <f t="shared" ca="1" si="252"/>
        <v>7</v>
      </c>
    </row>
    <row r="5359" spans="1:5" x14ac:dyDescent="0.25">
      <c r="A5359" s="3">
        <f t="shared" si="250"/>
        <v>78989</v>
      </c>
      <c r="B5359" t="str">
        <f ca="1">TEXT(DATE(YEAR(Invoer!$A$5),1,1)+INT((ROWS(B$2:B5359)-1)/24),"""18""jjmmdd")</f>
        <v>18980812</v>
      </c>
      <c r="C5359" s="11" t="str">
        <f>INDEX(Data,2,2+MOD(ROWS(C$2:C5359)-1,24))</f>
        <v>06.00</v>
      </c>
      <c r="D5359" s="8" t="str">
        <f t="shared" ca="1" si="251"/>
        <v>—</v>
      </c>
      <c r="E5359" s="16">
        <f t="shared" ca="1" si="252"/>
        <v>7</v>
      </c>
    </row>
    <row r="5360" spans="1:5" x14ac:dyDescent="0.25">
      <c r="A5360" s="3">
        <f t="shared" si="250"/>
        <v>78989</v>
      </c>
      <c r="B5360" t="str">
        <f ca="1">TEXT(DATE(YEAR(Invoer!$A$5),1,1)+INT((ROWS(B$2:B5360)-1)/24),"""18""jjmmdd")</f>
        <v>18980812</v>
      </c>
      <c r="C5360" s="11" t="str">
        <f>INDEX(Data,2,2+MOD(ROWS(C$2:C5360)-1,24))</f>
        <v>07.00</v>
      </c>
      <c r="D5360" s="8" t="str">
        <f t="shared" ca="1" si="251"/>
        <v>—</v>
      </c>
      <c r="E5360" s="16">
        <f t="shared" ca="1" si="252"/>
        <v>7</v>
      </c>
    </row>
    <row r="5361" spans="1:5" x14ac:dyDescent="0.25">
      <c r="A5361" s="3">
        <f t="shared" si="250"/>
        <v>78989</v>
      </c>
      <c r="B5361" t="str">
        <f ca="1">TEXT(DATE(YEAR(Invoer!$A$5),1,1)+INT((ROWS(B$2:B5361)-1)/24),"""18""jjmmdd")</f>
        <v>18980812</v>
      </c>
      <c r="C5361" s="11" t="str">
        <f>INDEX(Data,2,2+MOD(ROWS(C$2:C5361)-1,24))</f>
        <v>08.00</v>
      </c>
      <c r="D5361" s="8" t="str">
        <f t="shared" ca="1" si="251"/>
        <v>—</v>
      </c>
      <c r="E5361" s="16">
        <f t="shared" ca="1" si="252"/>
        <v>7</v>
      </c>
    </row>
    <row r="5362" spans="1:5" x14ac:dyDescent="0.25">
      <c r="A5362" s="3">
        <f t="shared" si="250"/>
        <v>78989</v>
      </c>
      <c r="B5362" t="str">
        <f ca="1">TEXT(DATE(YEAR(Invoer!$A$5),1,1)+INT((ROWS(B$2:B5362)-1)/24),"""18""jjmmdd")</f>
        <v>18980812</v>
      </c>
      <c r="C5362" s="11" t="str">
        <f>INDEX(Data,2,2+MOD(ROWS(C$2:C5362)-1,24))</f>
        <v>09.00</v>
      </c>
      <c r="D5362" s="8" t="str">
        <f t="shared" ca="1" si="251"/>
        <v>—</v>
      </c>
      <c r="E5362" s="16">
        <f t="shared" ca="1" si="252"/>
        <v>7</v>
      </c>
    </row>
    <row r="5363" spans="1:5" x14ac:dyDescent="0.25">
      <c r="A5363" s="3">
        <f t="shared" si="250"/>
        <v>78989</v>
      </c>
      <c r="B5363" t="str">
        <f ca="1">TEXT(DATE(YEAR(Invoer!$A$5),1,1)+INT((ROWS(B$2:B5363)-1)/24),"""18""jjmmdd")</f>
        <v>18980812</v>
      </c>
      <c r="C5363" s="11" t="str">
        <f>INDEX(Data,2,2+MOD(ROWS(C$2:C5363)-1,24))</f>
        <v>10.00</v>
      </c>
      <c r="D5363" s="8" t="str">
        <f t="shared" ca="1" si="251"/>
        <v>—</v>
      </c>
      <c r="E5363" s="16">
        <f t="shared" ca="1" si="252"/>
        <v>7</v>
      </c>
    </row>
    <row r="5364" spans="1:5" x14ac:dyDescent="0.25">
      <c r="A5364" s="3">
        <f t="shared" si="250"/>
        <v>78989</v>
      </c>
      <c r="B5364" t="str">
        <f ca="1">TEXT(DATE(YEAR(Invoer!$A$5),1,1)+INT((ROWS(B$2:B5364)-1)/24),"""18""jjmmdd")</f>
        <v>18980812</v>
      </c>
      <c r="C5364" s="11" t="str">
        <f>INDEX(Data,2,2+MOD(ROWS(C$2:C5364)-1,24))</f>
        <v>11.00</v>
      </c>
      <c r="D5364" s="8" t="str">
        <f t="shared" ca="1" si="251"/>
        <v>—</v>
      </c>
      <c r="E5364" s="16">
        <f t="shared" ca="1" si="252"/>
        <v>7</v>
      </c>
    </row>
    <row r="5365" spans="1:5" x14ac:dyDescent="0.25">
      <c r="A5365" s="3">
        <f t="shared" si="250"/>
        <v>78989</v>
      </c>
      <c r="B5365" t="str">
        <f ca="1">TEXT(DATE(YEAR(Invoer!$A$5),1,1)+INT((ROWS(B$2:B5365)-1)/24),"""18""jjmmdd")</f>
        <v>18980812</v>
      </c>
      <c r="C5365" s="11" t="str">
        <f>INDEX(Data,2,2+MOD(ROWS(C$2:C5365)-1,24))</f>
        <v>12.00</v>
      </c>
      <c r="D5365" s="8" t="str">
        <f t="shared" ca="1" si="251"/>
        <v>—</v>
      </c>
      <c r="E5365" s="16">
        <f t="shared" ca="1" si="252"/>
        <v>7</v>
      </c>
    </row>
    <row r="5366" spans="1:5" x14ac:dyDescent="0.25">
      <c r="A5366" s="3">
        <f t="shared" si="250"/>
        <v>78989</v>
      </c>
      <c r="B5366" t="str">
        <f ca="1">TEXT(DATE(YEAR(Invoer!$A$5),1,1)+INT((ROWS(B$2:B5366)-1)/24),"""18""jjmmdd")</f>
        <v>18980812</v>
      </c>
      <c r="C5366" s="11" t="str">
        <f>INDEX(Data,2,2+MOD(ROWS(C$2:C5366)-1,24))</f>
        <v>13.00</v>
      </c>
      <c r="D5366" s="8" t="str">
        <f t="shared" ca="1" si="251"/>
        <v>—</v>
      </c>
      <c r="E5366" s="16">
        <f t="shared" ca="1" si="252"/>
        <v>7</v>
      </c>
    </row>
    <row r="5367" spans="1:5" x14ac:dyDescent="0.25">
      <c r="A5367" s="3">
        <f t="shared" si="250"/>
        <v>78989</v>
      </c>
      <c r="B5367" t="str">
        <f ca="1">TEXT(DATE(YEAR(Invoer!$A$5),1,1)+INT((ROWS(B$2:B5367)-1)/24),"""18""jjmmdd")</f>
        <v>18980812</v>
      </c>
      <c r="C5367" s="11" t="str">
        <f>INDEX(Data,2,2+MOD(ROWS(C$2:C5367)-1,24))</f>
        <v>14.00</v>
      </c>
      <c r="D5367" s="8" t="str">
        <f t="shared" ca="1" si="251"/>
        <v>—</v>
      </c>
      <c r="E5367" s="16">
        <f t="shared" ca="1" si="252"/>
        <v>7</v>
      </c>
    </row>
    <row r="5368" spans="1:5" x14ac:dyDescent="0.25">
      <c r="A5368" s="3">
        <f t="shared" si="250"/>
        <v>78989</v>
      </c>
      <c r="B5368" t="str">
        <f ca="1">TEXT(DATE(YEAR(Invoer!$A$5),1,1)+INT((ROWS(B$2:B5368)-1)/24),"""18""jjmmdd")</f>
        <v>18980812</v>
      </c>
      <c r="C5368" s="11" t="str">
        <f>INDEX(Data,2,2+MOD(ROWS(C$2:C5368)-1,24))</f>
        <v>15.00</v>
      </c>
      <c r="D5368" s="8" t="str">
        <f t="shared" ca="1" si="251"/>
        <v>—</v>
      </c>
      <c r="E5368" s="16">
        <f t="shared" ca="1" si="252"/>
        <v>7</v>
      </c>
    </row>
    <row r="5369" spans="1:5" x14ac:dyDescent="0.25">
      <c r="A5369" s="3">
        <f t="shared" si="250"/>
        <v>78989</v>
      </c>
      <c r="B5369" t="str">
        <f ca="1">TEXT(DATE(YEAR(Invoer!$A$5),1,1)+INT((ROWS(B$2:B5369)-1)/24),"""18""jjmmdd")</f>
        <v>18980812</v>
      </c>
      <c r="C5369" s="11" t="str">
        <f>INDEX(Data,2,2+MOD(ROWS(C$2:C5369)-1,24))</f>
        <v>16.00</v>
      </c>
      <c r="D5369" s="8" t="str">
        <f t="shared" ca="1" si="251"/>
        <v>—</v>
      </c>
      <c r="E5369" s="16">
        <f t="shared" ca="1" si="252"/>
        <v>7</v>
      </c>
    </row>
    <row r="5370" spans="1:5" x14ac:dyDescent="0.25">
      <c r="A5370" s="3">
        <f t="shared" si="250"/>
        <v>78989</v>
      </c>
      <c r="B5370" t="str">
        <f ca="1">TEXT(DATE(YEAR(Invoer!$A$5),1,1)+INT((ROWS(B$2:B5370)-1)/24),"""18""jjmmdd")</f>
        <v>18980812</v>
      </c>
      <c r="C5370" s="11" t="str">
        <f>INDEX(Data,2,2+MOD(ROWS(C$2:C5370)-1,24))</f>
        <v>17.00</v>
      </c>
      <c r="D5370" s="8" t="str">
        <f t="shared" ca="1" si="251"/>
        <v>—</v>
      </c>
      <c r="E5370" s="16">
        <f t="shared" ca="1" si="252"/>
        <v>7</v>
      </c>
    </row>
    <row r="5371" spans="1:5" x14ac:dyDescent="0.25">
      <c r="A5371" s="3">
        <f t="shared" si="250"/>
        <v>78989</v>
      </c>
      <c r="B5371" t="str">
        <f ca="1">TEXT(DATE(YEAR(Invoer!$A$5),1,1)+INT((ROWS(B$2:B5371)-1)/24),"""18""jjmmdd")</f>
        <v>18980812</v>
      </c>
      <c r="C5371" s="11" t="str">
        <f>INDEX(Data,2,2+MOD(ROWS(C$2:C5371)-1,24))</f>
        <v>18.00</v>
      </c>
      <c r="D5371" s="8" t="str">
        <f t="shared" ca="1" si="251"/>
        <v>—</v>
      </c>
      <c r="E5371" s="16">
        <f t="shared" ca="1" si="252"/>
        <v>7</v>
      </c>
    </row>
    <row r="5372" spans="1:5" x14ac:dyDescent="0.25">
      <c r="A5372" s="3">
        <f t="shared" si="250"/>
        <v>78989</v>
      </c>
      <c r="B5372" t="str">
        <f ca="1">TEXT(DATE(YEAR(Invoer!$A$5),1,1)+INT((ROWS(B$2:B5372)-1)/24),"""18""jjmmdd")</f>
        <v>18980812</v>
      </c>
      <c r="C5372" s="11" t="str">
        <f>INDEX(Data,2,2+MOD(ROWS(C$2:C5372)-1,24))</f>
        <v>19.00</v>
      </c>
      <c r="D5372" s="8" t="str">
        <f t="shared" ca="1" si="251"/>
        <v>—</v>
      </c>
      <c r="E5372" s="16">
        <f t="shared" ca="1" si="252"/>
        <v>7</v>
      </c>
    </row>
    <row r="5373" spans="1:5" x14ac:dyDescent="0.25">
      <c r="A5373" s="3">
        <f t="shared" si="250"/>
        <v>78989</v>
      </c>
      <c r="B5373" t="str">
        <f ca="1">TEXT(DATE(YEAR(Invoer!$A$5),1,1)+INT((ROWS(B$2:B5373)-1)/24),"""18""jjmmdd")</f>
        <v>18980812</v>
      </c>
      <c r="C5373" s="11" t="str">
        <f>INDEX(Data,2,2+MOD(ROWS(C$2:C5373)-1,24))</f>
        <v>20.00</v>
      </c>
      <c r="D5373" s="8" t="str">
        <f t="shared" ca="1" si="251"/>
        <v>—</v>
      </c>
      <c r="E5373" s="16">
        <f t="shared" ca="1" si="252"/>
        <v>7</v>
      </c>
    </row>
    <row r="5374" spans="1:5" x14ac:dyDescent="0.25">
      <c r="A5374" s="3">
        <f t="shared" si="250"/>
        <v>78989</v>
      </c>
      <c r="B5374" t="str">
        <f ca="1">TEXT(DATE(YEAR(Invoer!$A$5),1,1)+INT((ROWS(B$2:B5374)-1)/24),"""18""jjmmdd")</f>
        <v>18980812</v>
      </c>
      <c r="C5374" s="11" t="str">
        <f>INDEX(Data,2,2+MOD(ROWS(C$2:C5374)-1,24))</f>
        <v>21.00</v>
      </c>
      <c r="D5374" s="8" t="str">
        <f t="shared" ca="1" si="251"/>
        <v>—</v>
      </c>
      <c r="E5374" s="16">
        <f t="shared" ca="1" si="252"/>
        <v>7</v>
      </c>
    </row>
    <row r="5375" spans="1:5" x14ac:dyDescent="0.25">
      <c r="A5375" s="3">
        <f t="shared" si="250"/>
        <v>78989</v>
      </c>
      <c r="B5375" t="str">
        <f ca="1">TEXT(DATE(YEAR(Invoer!$A$5),1,1)+INT((ROWS(B$2:B5375)-1)/24),"""18""jjmmdd")</f>
        <v>18980812</v>
      </c>
      <c r="C5375" s="11" t="str">
        <f>INDEX(Data,2,2+MOD(ROWS(C$2:C5375)-1,24))</f>
        <v>22.00</v>
      </c>
      <c r="D5375" s="8" t="str">
        <f t="shared" ca="1" si="251"/>
        <v>—</v>
      </c>
      <c r="E5375" s="16">
        <f t="shared" ca="1" si="252"/>
        <v>7</v>
      </c>
    </row>
    <row r="5376" spans="1:5" x14ac:dyDescent="0.25">
      <c r="A5376" s="3">
        <f t="shared" si="250"/>
        <v>78989</v>
      </c>
      <c r="B5376" t="str">
        <f ca="1">TEXT(DATE(YEAR(Invoer!$A$5),1,1)+INT((ROWS(B$2:B5376)-1)/24),"""18""jjmmdd")</f>
        <v>18980812</v>
      </c>
      <c r="C5376" s="11" t="str">
        <f>INDEX(Data,2,2+MOD(ROWS(C$2:C5376)-1,24))</f>
        <v>23.00</v>
      </c>
      <c r="D5376" s="8" t="str">
        <f t="shared" ca="1" si="251"/>
        <v>—</v>
      </c>
      <c r="E5376" s="16">
        <f t="shared" ca="1" si="252"/>
        <v>7</v>
      </c>
    </row>
    <row r="5377" spans="1:5" x14ac:dyDescent="0.25">
      <c r="A5377" s="3">
        <f t="shared" si="250"/>
        <v>78989</v>
      </c>
      <c r="B5377" t="str">
        <f ca="1">TEXT(DATE(YEAR(Invoer!$A$5),1,1)+INT((ROWS(B$2:B5377)-1)/24),"""18""jjmmdd")</f>
        <v>18980812</v>
      </c>
      <c r="C5377" s="11" t="str">
        <f>INDEX(Data,2,2+MOD(ROWS(C$2:C5377)-1,24))</f>
        <v>24.00</v>
      </c>
      <c r="D5377" s="8" t="str">
        <f t="shared" ca="1" si="251"/>
        <v>—</v>
      </c>
      <c r="E5377" s="16">
        <f t="shared" ca="1" si="252"/>
        <v>7</v>
      </c>
    </row>
    <row r="5378" spans="1:5" x14ac:dyDescent="0.25">
      <c r="A5378" s="3">
        <f t="shared" ref="A5378:A5441" si="253">INDEX(Stations,2,1)</f>
        <v>78989</v>
      </c>
      <c r="B5378" t="str">
        <f ca="1">TEXT(DATE(YEAR(Invoer!$A$5),1,1)+INT((ROWS(B$2:B5378)-1)/24),"""18""jjmmdd")</f>
        <v>18980813</v>
      </c>
      <c r="C5378" s="11" t="str">
        <f>INDEX(Data,2,2+MOD(ROWS(C$2:C5378)-1,24))</f>
        <v>01.00</v>
      </c>
      <c r="D5378" s="8" t="str">
        <f t="shared" ref="D5378:D5441" ca="1" si="254">IF(OR(ISBLANK(VLOOKUP(DATEVALUE("37"&amp;MID($B5378,3,2)&amp;"-"&amp;MID($B5378,5,2)&amp;"-"&amp;RIGHT($B5378,2)),Data,MATCH(LEFT(VLOOKUP(D$1,Parameters,2,FALSE()),4)&amp;"*",OFFSET(Data,0,0,1),0)+MATCH($C5378,OFFSET(Data,1,0,1),0)-2,FALSE())),ISTEXT(VLOOKUP(DATEVALUE("37"&amp;MID($B5378,3,2)&amp;"-"&amp;MID($B5378,5,2)&amp;"-"&amp;RIGHT($B5378,2)),Data,MATCH(LEFT(VLOOKUP(D$1,Parameters,2,FALSE()),4)&amp;"*",OFFSET(Data,0,0,1),0)+MATCH($C5378,OFFSET(Data,1,0,1),0)-2,FALSE()))),"—",VLOOKUP(DATEVALUE("37"&amp;MID($B5378,3,2)&amp;"-"&amp;MID($B5378,5,2)&amp;"-"&amp;RIGHT($B5378,2)),Data,MATCH(LEFT(VLOOKUP(D$1,Parameters,2,FALSE()),4)&amp;"*",OFFSET(Data,0,0,1),0)+MATCH($C5378,OFFSET(Data,1,0,1),0)-2,FALSE()))</f>
        <v>—</v>
      </c>
      <c r="E5378" s="16">
        <f t="shared" ca="1" si="252"/>
        <v>7</v>
      </c>
    </row>
    <row r="5379" spans="1:5" x14ac:dyDescent="0.25">
      <c r="A5379" s="3">
        <f t="shared" si="253"/>
        <v>78989</v>
      </c>
      <c r="B5379" t="str">
        <f ca="1">TEXT(DATE(YEAR(Invoer!$A$5),1,1)+INT((ROWS(B$2:B5379)-1)/24),"""18""jjmmdd")</f>
        <v>18980813</v>
      </c>
      <c r="C5379" s="11" t="str">
        <f>INDEX(Data,2,2+MOD(ROWS(C$2:C5379)-1,24))</f>
        <v>02.00</v>
      </c>
      <c r="D5379" s="8" t="str">
        <f t="shared" ca="1" si="254"/>
        <v>—</v>
      </c>
      <c r="E5379" s="16">
        <f t="shared" ref="E5379:E5442" ca="1" si="255">IF(OR(ISBLANK(VLOOKUP(DATEVALUE("37"&amp;MID($B5379,3,2)&amp;"-"&amp;MID($B5379,5,2)&amp;"-"&amp;RIGHT($B5379,2)),Data,MATCH(LEFT(VLOOKUP(D$1,Parameters,2,FALSE()),4)&amp;"*",OFFSET(Data,0,0,1),0)+MATCH($C5379,OFFSET(Data,1,0,1),0)-2,FALSE())),ISTEXT(VLOOKUP(DATEVALUE("37"&amp;MID($B5379,3,2)&amp;"-"&amp;MID($B5379,5,2)&amp;"-"&amp;RIGHT($B5379,2)),Data,MATCH(LEFT(VLOOKUP(D$1,Parameters,2,FALSE()),4)&amp;"*",OFFSET(Data,0,0,1),0)+MATCH($C5379,OFFSET(Data,1,0,1),0)-2,FALSE()))),Lacking,IF(ISNA(MATCH(DATEVALUE("37"&amp;MID($B5379,3,2)&amp;"-"&amp;MID($B5379,5,2)&amp;"-"&amp;RIGHT($B5379,2)),OFFSET(Catalogus,0,0,,1),0)),Ok,VLOOKUP(DATEVALUE("37"&amp;MID($B5379,3,2)&amp;"-"&amp;MID($B5379,5,2)&amp;"-"&amp;RIGHT($B5379,2)),Catalogus,MATCH(LEFT(VLOOKUP(MID(E$1,2,LEN(E$1)-1),Parameters,2,FALSE()),4)&amp;"*",OFFSET(Catalogus,0,0,1),0)+MATCH($C5379,OFFSET(Catalogus,1,0,1),0)-2,FALSE())))</f>
        <v>7</v>
      </c>
    </row>
    <row r="5380" spans="1:5" x14ac:dyDescent="0.25">
      <c r="A5380" s="3">
        <f t="shared" si="253"/>
        <v>78989</v>
      </c>
      <c r="B5380" t="str">
        <f ca="1">TEXT(DATE(YEAR(Invoer!$A$5),1,1)+INT((ROWS(B$2:B5380)-1)/24),"""18""jjmmdd")</f>
        <v>18980813</v>
      </c>
      <c r="C5380" s="11" t="str">
        <f>INDEX(Data,2,2+MOD(ROWS(C$2:C5380)-1,24))</f>
        <v>03.00</v>
      </c>
      <c r="D5380" s="8" t="str">
        <f t="shared" ca="1" si="254"/>
        <v>—</v>
      </c>
      <c r="E5380" s="16">
        <f t="shared" ca="1" si="255"/>
        <v>7</v>
      </c>
    </row>
    <row r="5381" spans="1:5" x14ac:dyDescent="0.25">
      <c r="A5381" s="3">
        <f t="shared" si="253"/>
        <v>78989</v>
      </c>
      <c r="B5381" t="str">
        <f ca="1">TEXT(DATE(YEAR(Invoer!$A$5),1,1)+INT((ROWS(B$2:B5381)-1)/24),"""18""jjmmdd")</f>
        <v>18980813</v>
      </c>
      <c r="C5381" s="11" t="str">
        <f>INDEX(Data,2,2+MOD(ROWS(C$2:C5381)-1,24))</f>
        <v>04.00</v>
      </c>
      <c r="D5381" s="8" t="str">
        <f t="shared" ca="1" si="254"/>
        <v>—</v>
      </c>
      <c r="E5381" s="16">
        <f t="shared" ca="1" si="255"/>
        <v>7</v>
      </c>
    </row>
    <row r="5382" spans="1:5" x14ac:dyDescent="0.25">
      <c r="A5382" s="3">
        <f t="shared" si="253"/>
        <v>78989</v>
      </c>
      <c r="B5382" t="str">
        <f ca="1">TEXT(DATE(YEAR(Invoer!$A$5),1,1)+INT((ROWS(B$2:B5382)-1)/24),"""18""jjmmdd")</f>
        <v>18980813</v>
      </c>
      <c r="C5382" s="11" t="str">
        <f>INDEX(Data,2,2+MOD(ROWS(C$2:C5382)-1,24))</f>
        <v>05.00</v>
      </c>
      <c r="D5382" s="8" t="str">
        <f t="shared" ca="1" si="254"/>
        <v>—</v>
      </c>
      <c r="E5382" s="16">
        <f t="shared" ca="1" si="255"/>
        <v>7</v>
      </c>
    </row>
    <row r="5383" spans="1:5" x14ac:dyDescent="0.25">
      <c r="A5383" s="3">
        <f t="shared" si="253"/>
        <v>78989</v>
      </c>
      <c r="B5383" t="str">
        <f ca="1">TEXT(DATE(YEAR(Invoer!$A$5),1,1)+INT((ROWS(B$2:B5383)-1)/24),"""18""jjmmdd")</f>
        <v>18980813</v>
      </c>
      <c r="C5383" s="11" t="str">
        <f>INDEX(Data,2,2+MOD(ROWS(C$2:C5383)-1,24))</f>
        <v>06.00</v>
      </c>
      <c r="D5383" s="8" t="str">
        <f t="shared" ca="1" si="254"/>
        <v>—</v>
      </c>
      <c r="E5383" s="16">
        <f t="shared" ca="1" si="255"/>
        <v>7</v>
      </c>
    </row>
    <row r="5384" spans="1:5" x14ac:dyDescent="0.25">
      <c r="A5384" s="3">
        <f t="shared" si="253"/>
        <v>78989</v>
      </c>
      <c r="B5384" t="str">
        <f ca="1">TEXT(DATE(YEAR(Invoer!$A$5),1,1)+INT((ROWS(B$2:B5384)-1)/24),"""18""jjmmdd")</f>
        <v>18980813</v>
      </c>
      <c r="C5384" s="11" t="str">
        <f>INDEX(Data,2,2+MOD(ROWS(C$2:C5384)-1,24))</f>
        <v>07.00</v>
      </c>
      <c r="D5384" s="8" t="str">
        <f t="shared" ca="1" si="254"/>
        <v>—</v>
      </c>
      <c r="E5384" s="16">
        <f t="shared" ca="1" si="255"/>
        <v>7</v>
      </c>
    </row>
    <row r="5385" spans="1:5" x14ac:dyDescent="0.25">
      <c r="A5385" s="3">
        <f t="shared" si="253"/>
        <v>78989</v>
      </c>
      <c r="B5385" t="str">
        <f ca="1">TEXT(DATE(YEAR(Invoer!$A$5),1,1)+INT((ROWS(B$2:B5385)-1)/24),"""18""jjmmdd")</f>
        <v>18980813</v>
      </c>
      <c r="C5385" s="11" t="str">
        <f>INDEX(Data,2,2+MOD(ROWS(C$2:C5385)-1,24))</f>
        <v>08.00</v>
      </c>
      <c r="D5385" s="8" t="str">
        <f t="shared" ca="1" si="254"/>
        <v>—</v>
      </c>
      <c r="E5385" s="16">
        <f t="shared" ca="1" si="255"/>
        <v>7</v>
      </c>
    </row>
    <row r="5386" spans="1:5" x14ac:dyDescent="0.25">
      <c r="A5386" s="3">
        <f t="shared" si="253"/>
        <v>78989</v>
      </c>
      <c r="B5386" t="str">
        <f ca="1">TEXT(DATE(YEAR(Invoer!$A$5),1,1)+INT((ROWS(B$2:B5386)-1)/24),"""18""jjmmdd")</f>
        <v>18980813</v>
      </c>
      <c r="C5386" s="11" t="str">
        <f>INDEX(Data,2,2+MOD(ROWS(C$2:C5386)-1,24))</f>
        <v>09.00</v>
      </c>
      <c r="D5386" s="8" t="str">
        <f t="shared" ca="1" si="254"/>
        <v>—</v>
      </c>
      <c r="E5386" s="16">
        <f t="shared" ca="1" si="255"/>
        <v>7</v>
      </c>
    </row>
    <row r="5387" spans="1:5" x14ac:dyDescent="0.25">
      <c r="A5387" s="3">
        <f t="shared" si="253"/>
        <v>78989</v>
      </c>
      <c r="B5387" t="str">
        <f ca="1">TEXT(DATE(YEAR(Invoer!$A$5),1,1)+INT((ROWS(B$2:B5387)-1)/24),"""18""jjmmdd")</f>
        <v>18980813</v>
      </c>
      <c r="C5387" s="11" t="str">
        <f>INDEX(Data,2,2+MOD(ROWS(C$2:C5387)-1,24))</f>
        <v>10.00</v>
      </c>
      <c r="D5387" s="8" t="str">
        <f t="shared" ca="1" si="254"/>
        <v>—</v>
      </c>
      <c r="E5387" s="16">
        <f t="shared" ca="1" si="255"/>
        <v>7</v>
      </c>
    </row>
    <row r="5388" spans="1:5" x14ac:dyDescent="0.25">
      <c r="A5388" s="3">
        <f t="shared" si="253"/>
        <v>78989</v>
      </c>
      <c r="B5388" t="str">
        <f ca="1">TEXT(DATE(YEAR(Invoer!$A$5),1,1)+INT((ROWS(B$2:B5388)-1)/24),"""18""jjmmdd")</f>
        <v>18980813</v>
      </c>
      <c r="C5388" s="11" t="str">
        <f>INDEX(Data,2,2+MOD(ROWS(C$2:C5388)-1,24))</f>
        <v>11.00</v>
      </c>
      <c r="D5388" s="8" t="str">
        <f t="shared" ca="1" si="254"/>
        <v>—</v>
      </c>
      <c r="E5388" s="16">
        <f t="shared" ca="1" si="255"/>
        <v>7</v>
      </c>
    </row>
    <row r="5389" spans="1:5" x14ac:dyDescent="0.25">
      <c r="A5389" s="3">
        <f t="shared" si="253"/>
        <v>78989</v>
      </c>
      <c r="B5389" t="str">
        <f ca="1">TEXT(DATE(YEAR(Invoer!$A$5),1,1)+INT((ROWS(B$2:B5389)-1)/24),"""18""jjmmdd")</f>
        <v>18980813</v>
      </c>
      <c r="C5389" s="11" t="str">
        <f>INDEX(Data,2,2+MOD(ROWS(C$2:C5389)-1,24))</f>
        <v>12.00</v>
      </c>
      <c r="D5389" s="8" t="str">
        <f t="shared" ca="1" si="254"/>
        <v>—</v>
      </c>
      <c r="E5389" s="16">
        <f t="shared" ca="1" si="255"/>
        <v>7</v>
      </c>
    </row>
    <row r="5390" spans="1:5" x14ac:dyDescent="0.25">
      <c r="A5390" s="3">
        <f t="shared" si="253"/>
        <v>78989</v>
      </c>
      <c r="B5390" t="str">
        <f ca="1">TEXT(DATE(YEAR(Invoer!$A$5),1,1)+INT((ROWS(B$2:B5390)-1)/24),"""18""jjmmdd")</f>
        <v>18980813</v>
      </c>
      <c r="C5390" s="11" t="str">
        <f>INDEX(Data,2,2+MOD(ROWS(C$2:C5390)-1,24))</f>
        <v>13.00</v>
      </c>
      <c r="D5390" s="8" t="str">
        <f t="shared" ca="1" si="254"/>
        <v>—</v>
      </c>
      <c r="E5390" s="16">
        <f t="shared" ca="1" si="255"/>
        <v>7</v>
      </c>
    </row>
    <row r="5391" spans="1:5" x14ac:dyDescent="0.25">
      <c r="A5391" s="3">
        <f t="shared" si="253"/>
        <v>78989</v>
      </c>
      <c r="B5391" t="str">
        <f ca="1">TEXT(DATE(YEAR(Invoer!$A$5),1,1)+INT((ROWS(B$2:B5391)-1)/24),"""18""jjmmdd")</f>
        <v>18980813</v>
      </c>
      <c r="C5391" s="11" t="str">
        <f>INDEX(Data,2,2+MOD(ROWS(C$2:C5391)-1,24))</f>
        <v>14.00</v>
      </c>
      <c r="D5391" s="8" t="str">
        <f t="shared" ca="1" si="254"/>
        <v>—</v>
      </c>
      <c r="E5391" s="16">
        <f t="shared" ca="1" si="255"/>
        <v>7</v>
      </c>
    </row>
    <row r="5392" spans="1:5" x14ac:dyDescent="0.25">
      <c r="A5392" s="3">
        <f t="shared" si="253"/>
        <v>78989</v>
      </c>
      <c r="B5392" t="str">
        <f ca="1">TEXT(DATE(YEAR(Invoer!$A$5),1,1)+INT((ROWS(B$2:B5392)-1)/24),"""18""jjmmdd")</f>
        <v>18980813</v>
      </c>
      <c r="C5392" s="11" t="str">
        <f>INDEX(Data,2,2+MOD(ROWS(C$2:C5392)-1,24))</f>
        <v>15.00</v>
      </c>
      <c r="D5392" s="8" t="str">
        <f t="shared" ca="1" si="254"/>
        <v>—</v>
      </c>
      <c r="E5392" s="16">
        <f t="shared" ca="1" si="255"/>
        <v>7</v>
      </c>
    </row>
    <row r="5393" spans="1:5" x14ac:dyDescent="0.25">
      <c r="A5393" s="3">
        <f t="shared" si="253"/>
        <v>78989</v>
      </c>
      <c r="B5393" t="str">
        <f ca="1">TEXT(DATE(YEAR(Invoer!$A$5),1,1)+INT((ROWS(B$2:B5393)-1)/24),"""18""jjmmdd")</f>
        <v>18980813</v>
      </c>
      <c r="C5393" s="11" t="str">
        <f>INDEX(Data,2,2+MOD(ROWS(C$2:C5393)-1,24))</f>
        <v>16.00</v>
      </c>
      <c r="D5393" s="8" t="str">
        <f t="shared" ca="1" si="254"/>
        <v>—</v>
      </c>
      <c r="E5393" s="16">
        <f t="shared" ca="1" si="255"/>
        <v>7</v>
      </c>
    </row>
    <row r="5394" spans="1:5" x14ac:dyDescent="0.25">
      <c r="A5394" s="3">
        <f t="shared" si="253"/>
        <v>78989</v>
      </c>
      <c r="B5394" t="str">
        <f ca="1">TEXT(DATE(YEAR(Invoer!$A$5),1,1)+INT((ROWS(B$2:B5394)-1)/24),"""18""jjmmdd")</f>
        <v>18980813</v>
      </c>
      <c r="C5394" s="11" t="str">
        <f>INDEX(Data,2,2+MOD(ROWS(C$2:C5394)-1,24))</f>
        <v>17.00</v>
      </c>
      <c r="D5394" s="8" t="str">
        <f t="shared" ca="1" si="254"/>
        <v>—</v>
      </c>
      <c r="E5394" s="16">
        <f t="shared" ca="1" si="255"/>
        <v>7</v>
      </c>
    </row>
    <row r="5395" spans="1:5" x14ac:dyDescent="0.25">
      <c r="A5395" s="3">
        <f t="shared" si="253"/>
        <v>78989</v>
      </c>
      <c r="B5395" t="str">
        <f ca="1">TEXT(DATE(YEAR(Invoer!$A$5),1,1)+INT((ROWS(B$2:B5395)-1)/24),"""18""jjmmdd")</f>
        <v>18980813</v>
      </c>
      <c r="C5395" s="11" t="str">
        <f>INDEX(Data,2,2+MOD(ROWS(C$2:C5395)-1,24))</f>
        <v>18.00</v>
      </c>
      <c r="D5395" s="8" t="str">
        <f t="shared" ca="1" si="254"/>
        <v>—</v>
      </c>
      <c r="E5395" s="16">
        <f t="shared" ca="1" si="255"/>
        <v>7</v>
      </c>
    </row>
    <row r="5396" spans="1:5" x14ac:dyDescent="0.25">
      <c r="A5396" s="3">
        <f t="shared" si="253"/>
        <v>78989</v>
      </c>
      <c r="B5396" t="str">
        <f ca="1">TEXT(DATE(YEAR(Invoer!$A$5),1,1)+INT((ROWS(B$2:B5396)-1)/24),"""18""jjmmdd")</f>
        <v>18980813</v>
      </c>
      <c r="C5396" s="11" t="str">
        <f>INDEX(Data,2,2+MOD(ROWS(C$2:C5396)-1,24))</f>
        <v>19.00</v>
      </c>
      <c r="D5396" s="8" t="str">
        <f t="shared" ca="1" si="254"/>
        <v>—</v>
      </c>
      <c r="E5396" s="16">
        <f t="shared" ca="1" si="255"/>
        <v>7</v>
      </c>
    </row>
    <row r="5397" spans="1:5" x14ac:dyDescent="0.25">
      <c r="A5397" s="3">
        <f t="shared" si="253"/>
        <v>78989</v>
      </c>
      <c r="B5397" t="str">
        <f ca="1">TEXT(DATE(YEAR(Invoer!$A$5),1,1)+INT((ROWS(B$2:B5397)-1)/24),"""18""jjmmdd")</f>
        <v>18980813</v>
      </c>
      <c r="C5397" s="11" t="str">
        <f>INDEX(Data,2,2+MOD(ROWS(C$2:C5397)-1,24))</f>
        <v>20.00</v>
      </c>
      <c r="D5397" s="8" t="str">
        <f t="shared" ca="1" si="254"/>
        <v>—</v>
      </c>
      <c r="E5397" s="16">
        <f t="shared" ca="1" si="255"/>
        <v>7</v>
      </c>
    </row>
    <row r="5398" spans="1:5" x14ac:dyDescent="0.25">
      <c r="A5398" s="3">
        <f t="shared" si="253"/>
        <v>78989</v>
      </c>
      <c r="B5398" t="str">
        <f ca="1">TEXT(DATE(YEAR(Invoer!$A$5),1,1)+INT((ROWS(B$2:B5398)-1)/24),"""18""jjmmdd")</f>
        <v>18980813</v>
      </c>
      <c r="C5398" s="11" t="str">
        <f>INDEX(Data,2,2+MOD(ROWS(C$2:C5398)-1,24))</f>
        <v>21.00</v>
      </c>
      <c r="D5398" s="8" t="str">
        <f t="shared" ca="1" si="254"/>
        <v>—</v>
      </c>
      <c r="E5398" s="16">
        <f t="shared" ca="1" si="255"/>
        <v>7</v>
      </c>
    </row>
    <row r="5399" spans="1:5" x14ac:dyDescent="0.25">
      <c r="A5399" s="3">
        <f t="shared" si="253"/>
        <v>78989</v>
      </c>
      <c r="B5399" t="str">
        <f ca="1">TEXT(DATE(YEAR(Invoer!$A$5),1,1)+INT((ROWS(B$2:B5399)-1)/24),"""18""jjmmdd")</f>
        <v>18980813</v>
      </c>
      <c r="C5399" s="11" t="str">
        <f>INDEX(Data,2,2+MOD(ROWS(C$2:C5399)-1,24))</f>
        <v>22.00</v>
      </c>
      <c r="D5399" s="8" t="str">
        <f t="shared" ca="1" si="254"/>
        <v>—</v>
      </c>
      <c r="E5399" s="16">
        <f t="shared" ca="1" si="255"/>
        <v>7</v>
      </c>
    </row>
    <row r="5400" spans="1:5" x14ac:dyDescent="0.25">
      <c r="A5400" s="3">
        <f t="shared" si="253"/>
        <v>78989</v>
      </c>
      <c r="B5400" t="str">
        <f ca="1">TEXT(DATE(YEAR(Invoer!$A$5),1,1)+INT((ROWS(B$2:B5400)-1)/24),"""18""jjmmdd")</f>
        <v>18980813</v>
      </c>
      <c r="C5400" s="11" t="str">
        <f>INDEX(Data,2,2+MOD(ROWS(C$2:C5400)-1,24))</f>
        <v>23.00</v>
      </c>
      <c r="D5400" s="8" t="str">
        <f t="shared" ca="1" si="254"/>
        <v>—</v>
      </c>
      <c r="E5400" s="16">
        <f t="shared" ca="1" si="255"/>
        <v>7</v>
      </c>
    </row>
    <row r="5401" spans="1:5" x14ac:dyDescent="0.25">
      <c r="A5401" s="3">
        <f t="shared" si="253"/>
        <v>78989</v>
      </c>
      <c r="B5401" t="str">
        <f ca="1">TEXT(DATE(YEAR(Invoer!$A$5),1,1)+INT((ROWS(B$2:B5401)-1)/24),"""18""jjmmdd")</f>
        <v>18980813</v>
      </c>
      <c r="C5401" s="11" t="str">
        <f>INDEX(Data,2,2+MOD(ROWS(C$2:C5401)-1,24))</f>
        <v>24.00</v>
      </c>
      <c r="D5401" s="8" t="str">
        <f t="shared" ca="1" si="254"/>
        <v>—</v>
      </c>
      <c r="E5401" s="16">
        <f t="shared" ca="1" si="255"/>
        <v>7</v>
      </c>
    </row>
    <row r="5402" spans="1:5" x14ac:dyDescent="0.25">
      <c r="A5402" s="3">
        <f t="shared" si="253"/>
        <v>78989</v>
      </c>
      <c r="B5402" t="str">
        <f ca="1">TEXT(DATE(YEAR(Invoer!$A$5),1,1)+INT((ROWS(B$2:B5402)-1)/24),"""18""jjmmdd")</f>
        <v>18980814</v>
      </c>
      <c r="C5402" s="11" t="str">
        <f>INDEX(Data,2,2+MOD(ROWS(C$2:C5402)-1,24))</f>
        <v>01.00</v>
      </c>
      <c r="D5402" s="8" t="str">
        <f t="shared" ca="1" si="254"/>
        <v>—</v>
      </c>
      <c r="E5402" s="16">
        <f t="shared" ca="1" si="255"/>
        <v>7</v>
      </c>
    </row>
    <row r="5403" spans="1:5" x14ac:dyDescent="0.25">
      <c r="A5403" s="3">
        <f t="shared" si="253"/>
        <v>78989</v>
      </c>
      <c r="B5403" t="str">
        <f ca="1">TEXT(DATE(YEAR(Invoer!$A$5),1,1)+INT((ROWS(B$2:B5403)-1)/24),"""18""jjmmdd")</f>
        <v>18980814</v>
      </c>
      <c r="C5403" s="11" t="str">
        <f>INDEX(Data,2,2+MOD(ROWS(C$2:C5403)-1,24))</f>
        <v>02.00</v>
      </c>
      <c r="D5403" s="8" t="str">
        <f t="shared" ca="1" si="254"/>
        <v>—</v>
      </c>
      <c r="E5403" s="16">
        <f t="shared" ca="1" si="255"/>
        <v>7</v>
      </c>
    </row>
    <row r="5404" spans="1:5" x14ac:dyDescent="0.25">
      <c r="A5404" s="3">
        <f t="shared" si="253"/>
        <v>78989</v>
      </c>
      <c r="B5404" t="str">
        <f ca="1">TEXT(DATE(YEAR(Invoer!$A$5),1,1)+INT((ROWS(B$2:B5404)-1)/24),"""18""jjmmdd")</f>
        <v>18980814</v>
      </c>
      <c r="C5404" s="11" t="str">
        <f>INDEX(Data,2,2+MOD(ROWS(C$2:C5404)-1,24))</f>
        <v>03.00</v>
      </c>
      <c r="D5404" s="8" t="str">
        <f t="shared" ca="1" si="254"/>
        <v>—</v>
      </c>
      <c r="E5404" s="16">
        <f t="shared" ca="1" si="255"/>
        <v>7</v>
      </c>
    </row>
    <row r="5405" spans="1:5" x14ac:dyDescent="0.25">
      <c r="A5405" s="3">
        <f t="shared" si="253"/>
        <v>78989</v>
      </c>
      <c r="B5405" t="str">
        <f ca="1">TEXT(DATE(YEAR(Invoer!$A$5),1,1)+INT((ROWS(B$2:B5405)-1)/24),"""18""jjmmdd")</f>
        <v>18980814</v>
      </c>
      <c r="C5405" s="11" t="str">
        <f>INDEX(Data,2,2+MOD(ROWS(C$2:C5405)-1,24))</f>
        <v>04.00</v>
      </c>
      <c r="D5405" s="8" t="str">
        <f t="shared" ca="1" si="254"/>
        <v>—</v>
      </c>
      <c r="E5405" s="16">
        <f t="shared" ca="1" si="255"/>
        <v>7</v>
      </c>
    </row>
    <row r="5406" spans="1:5" x14ac:dyDescent="0.25">
      <c r="A5406" s="3">
        <f t="shared" si="253"/>
        <v>78989</v>
      </c>
      <c r="B5406" t="str">
        <f ca="1">TEXT(DATE(YEAR(Invoer!$A$5),1,1)+INT((ROWS(B$2:B5406)-1)/24),"""18""jjmmdd")</f>
        <v>18980814</v>
      </c>
      <c r="C5406" s="11" t="str">
        <f>INDEX(Data,2,2+MOD(ROWS(C$2:C5406)-1,24))</f>
        <v>05.00</v>
      </c>
      <c r="D5406" s="8" t="str">
        <f t="shared" ca="1" si="254"/>
        <v>—</v>
      </c>
      <c r="E5406" s="16">
        <f t="shared" ca="1" si="255"/>
        <v>7</v>
      </c>
    </row>
    <row r="5407" spans="1:5" x14ac:dyDescent="0.25">
      <c r="A5407" s="3">
        <f t="shared" si="253"/>
        <v>78989</v>
      </c>
      <c r="B5407" t="str">
        <f ca="1">TEXT(DATE(YEAR(Invoer!$A$5),1,1)+INT((ROWS(B$2:B5407)-1)/24),"""18""jjmmdd")</f>
        <v>18980814</v>
      </c>
      <c r="C5407" s="11" t="str">
        <f>INDEX(Data,2,2+MOD(ROWS(C$2:C5407)-1,24))</f>
        <v>06.00</v>
      </c>
      <c r="D5407" s="8" t="str">
        <f t="shared" ca="1" si="254"/>
        <v>—</v>
      </c>
      <c r="E5407" s="16">
        <f t="shared" ca="1" si="255"/>
        <v>7</v>
      </c>
    </row>
    <row r="5408" spans="1:5" x14ac:dyDescent="0.25">
      <c r="A5408" s="3">
        <f t="shared" si="253"/>
        <v>78989</v>
      </c>
      <c r="B5408" t="str">
        <f ca="1">TEXT(DATE(YEAR(Invoer!$A$5),1,1)+INT((ROWS(B$2:B5408)-1)/24),"""18""jjmmdd")</f>
        <v>18980814</v>
      </c>
      <c r="C5408" s="11" t="str">
        <f>INDEX(Data,2,2+MOD(ROWS(C$2:C5408)-1,24))</f>
        <v>07.00</v>
      </c>
      <c r="D5408" s="8" t="str">
        <f t="shared" ca="1" si="254"/>
        <v>—</v>
      </c>
      <c r="E5408" s="16">
        <f t="shared" ca="1" si="255"/>
        <v>7</v>
      </c>
    </row>
    <row r="5409" spans="1:5" x14ac:dyDescent="0.25">
      <c r="A5409" s="3">
        <f t="shared" si="253"/>
        <v>78989</v>
      </c>
      <c r="B5409" t="str">
        <f ca="1">TEXT(DATE(YEAR(Invoer!$A$5),1,1)+INT((ROWS(B$2:B5409)-1)/24),"""18""jjmmdd")</f>
        <v>18980814</v>
      </c>
      <c r="C5409" s="11" t="str">
        <f>INDEX(Data,2,2+MOD(ROWS(C$2:C5409)-1,24))</f>
        <v>08.00</v>
      </c>
      <c r="D5409" s="8" t="str">
        <f t="shared" ca="1" si="254"/>
        <v>—</v>
      </c>
      <c r="E5409" s="16">
        <f t="shared" ca="1" si="255"/>
        <v>7</v>
      </c>
    </row>
    <row r="5410" spans="1:5" x14ac:dyDescent="0.25">
      <c r="A5410" s="3">
        <f t="shared" si="253"/>
        <v>78989</v>
      </c>
      <c r="B5410" t="str">
        <f ca="1">TEXT(DATE(YEAR(Invoer!$A$5),1,1)+INT((ROWS(B$2:B5410)-1)/24),"""18""jjmmdd")</f>
        <v>18980814</v>
      </c>
      <c r="C5410" s="11" t="str">
        <f>INDEX(Data,2,2+MOD(ROWS(C$2:C5410)-1,24))</f>
        <v>09.00</v>
      </c>
      <c r="D5410" s="8" t="str">
        <f t="shared" ca="1" si="254"/>
        <v>—</v>
      </c>
      <c r="E5410" s="16">
        <f t="shared" ca="1" si="255"/>
        <v>7</v>
      </c>
    </row>
    <row r="5411" spans="1:5" x14ac:dyDescent="0.25">
      <c r="A5411" s="3">
        <f t="shared" si="253"/>
        <v>78989</v>
      </c>
      <c r="B5411" t="str">
        <f ca="1">TEXT(DATE(YEAR(Invoer!$A$5),1,1)+INT((ROWS(B$2:B5411)-1)/24),"""18""jjmmdd")</f>
        <v>18980814</v>
      </c>
      <c r="C5411" s="11" t="str">
        <f>INDEX(Data,2,2+MOD(ROWS(C$2:C5411)-1,24))</f>
        <v>10.00</v>
      </c>
      <c r="D5411" s="8" t="str">
        <f t="shared" ca="1" si="254"/>
        <v>—</v>
      </c>
      <c r="E5411" s="16">
        <f t="shared" ca="1" si="255"/>
        <v>7</v>
      </c>
    </row>
    <row r="5412" spans="1:5" x14ac:dyDescent="0.25">
      <c r="A5412" s="3">
        <f t="shared" si="253"/>
        <v>78989</v>
      </c>
      <c r="B5412" t="str">
        <f ca="1">TEXT(DATE(YEAR(Invoer!$A$5),1,1)+INT((ROWS(B$2:B5412)-1)/24),"""18""jjmmdd")</f>
        <v>18980814</v>
      </c>
      <c r="C5412" s="11" t="str">
        <f>INDEX(Data,2,2+MOD(ROWS(C$2:C5412)-1,24))</f>
        <v>11.00</v>
      </c>
      <c r="D5412" s="8" t="str">
        <f t="shared" ca="1" si="254"/>
        <v>—</v>
      </c>
      <c r="E5412" s="16">
        <f t="shared" ca="1" si="255"/>
        <v>7</v>
      </c>
    </row>
    <row r="5413" spans="1:5" x14ac:dyDescent="0.25">
      <c r="A5413" s="3">
        <f t="shared" si="253"/>
        <v>78989</v>
      </c>
      <c r="B5413" t="str">
        <f ca="1">TEXT(DATE(YEAR(Invoer!$A$5),1,1)+INT((ROWS(B$2:B5413)-1)/24),"""18""jjmmdd")</f>
        <v>18980814</v>
      </c>
      <c r="C5413" s="11" t="str">
        <f>INDEX(Data,2,2+MOD(ROWS(C$2:C5413)-1,24))</f>
        <v>12.00</v>
      </c>
      <c r="D5413" s="8">
        <f t="shared" ca="1" si="254"/>
        <v>6</v>
      </c>
      <c r="E5413" s="16">
        <f t="shared" ca="1" si="255"/>
        <v>0</v>
      </c>
    </row>
    <row r="5414" spans="1:5" x14ac:dyDescent="0.25">
      <c r="A5414" s="3">
        <f t="shared" si="253"/>
        <v>78989</v>
      </c>
      <c r="B5414" t="str">
        <f ca="1">TEXT(DATE(YEAR(Invoer!$A$5),1,1)+INT((ROWS(B$2:B5414)-1)/24),"""18""jjmmdd")</f>
        <v>18980814</v>
      </c>
      <c r="C5414" s="11" t="str">
        <f>INDEX(Data,2,2+MOD(ROWS(C$2:C5414)-1,24))</f>
        <v>13.00</v>
      </c>
      <c r="D5414" s="8">
        <f t="shared" ca="1" si="254"/>
        <v>7</v>
      </c>
      <c r="E5414" s="16">
        <f t="shared" ca="1" si="255"/>
        <v>6</v>
      </c>
    </row>
    <row r="5415" spans="1:5" x14ac:dyDescent="0.25">
      <c r="A5415" s="3">
        <f t="shared" si="253"/>
        <v>78989</v>
      </c>
      <c r="B5415" t="str">
        <f ca="1">TEXT(DATE(YEAR(Invoer!$A$5),1,1)+INT((ROWS(B$2:B5415)-1)/24),"""18""jjmmdd")</f>
        <v>18980814</v>
      </c>
      <c r="C5415" s="11" t="str">
        <f>INDEX(Data,2,2+MOD(ROWS(C$2:C5415)-1,24))</f>
        <v>14.00</v>
      </c>
      <c r="D5415" s="8">
        <f t="shared" ca="1" si="254"/>
        <v>7</v>
      </c>
      <c r="E5415" s="16">
        <f t="shared" ca="1" si="255"/>
        <v>6</v>
      </c>
    </row>
    <row r="5416" spans="1:5" x14ac:dyDescent="0.25">
      <c r="A5416" s="3">
        <f t="shared" si="253"/>
        <v>78989</v>
      </c>
      <c r="B5416" t="str">
        <f ca="1">TEXT(DATE(YEAR(Invoer!$A$5),1,1)+INT((ROWS(B$2:B5416)-1)/24),"""18""jjmmdd")</f>
        <v>18980814</v>
      </c>
      <c r="C5416" s="11" t="str">
        <f>INDEX(Data,2,2+MOD(ROWS(C$2:C5416)-1,24))</f>
        <v>15.00</v>
      </c>
      <c r="D5416" s="8">
        <f t="shared" ca="1" si="254"/>
        <v>8</v>
      </c>
      <c r="E5416" s="16">
        <f t="shared" ca="1" si="255"/>
        <v>6</v>
      </c>
    </row>
    <row r="5417" spans="1:5" x14ac:dyDescent="0.25">
      <c r="A5417" s="3">
        <f t="shared" si="253"/>
        <v>78989</v>
      </c>
      <c r="B5417" t="str">
        <f ca="1">TEXT(DATE(YEAR(Invoer!$A$5),1,1)+INT((ROWS(B$2:B5417)-1)/24),"""18""jjmmdd")</f>
        <v>18980814</v>
      </c>
      <c r="C5417" s="11" t="str">
        <f>INDEX(Data,2,2+MOD(ROWS(C$2:C5417)-1,24))</f>
        <v>16.00</v>
      </c>
      <c r="D5417" s="8">
        <f t="shared" ca="1" si="254"/>
        <v>10</v>
      </c>
      <c r="E5417" s="16">
        <f t="shared" ca="1" si="255"/>
        <v>6</v>
      </c>
    </row>
    <row r="5418" spans="1:5" x14ac:dyDescent="0.25">
      <c r="A5418" s="3">
        <f t="shared" si="253"/>
        <v>78989</v>
      </c>
      <c r="B5418" t="str">
        <f ca="1">TEXT(DATE(YEAR(Invoer!$A$5),1,1)+INT((ROWS(B$2:B5418)-1)/24),"""18""jjmmdd")</f>
        <v>18980814</v>
      </c>
      <c r="C5418" s="11" t="str">
        <f>INDEX(Data,2,2+MOD(ROWS(C$2:C5418)-1,24))</f>
        <v>17.00</v>
      </c>
      <c r="D5418" s="8">
        <f t="shared" ca="1" si="254"/>
        <v>9</v>
      </c>
      <c r="E5418" s="16">
        <f t="shared" ca="1" si="255"/>
        <v>6</v>
      </c>
    </row>
    <row r="5419" spans="1:5" x14ac:dyDescent="0.25">
      <c r="A5419" s="3">
        <f t="shared" si="253"/>
        <v>78989</v>
      </c>
      <c r="B5419" t="str">
        <f ca="1">TEXT(DATE(YEAR(Invoer!$A$5),1,1)+INT((ROWS(B$2:B5419)-1)/24),"""18""jjmmdd")</f>
        <v>18980814</v>
      </c>
      <c r="C5419" s="11" t="str">
        <f>INDEX(Data,2,2+MOD(ROWS(C$2:C5419)-1,24))</f>
        <v>18.00</v>
      </c>
      <c r="D5419" s="8">
        <f t="shared" ca="1" si="254"/>
        <v>9</v>
      </c>
      <c r="E5419" s="16">
        <f t="shared" ca="1" si="255"/>
        <v>6</v>
      </c>
    </row>
    <row r="5420" spans="1:5" x14ac:dyDescent="0.25">
      <c r="A5420" s="3">
        <f t="shared" si="253"/>
        <v>78989</v>
      </c>
      <c r="B5420" t="str">
        <f ca="1">TEXT(DATE(YEAR(Invoer!$A$5),1,1)+INT((ROWS(B$2:B5420)-1)/24),"""18""jjmmdd")</f>
        <v>18980814</v>
      </c>
      <c r="C5420" s="11" t="str">
        <f>INDEX(Data,2,2+MOD(ROWS(C$2:C5420)-1,24))</f>
        <v>19.00</v>
      </c>
      <c r="D5420" s="8">
        <f t="shared" ca="1" si="254"/>
        <v>10</v>
      </c>
      <c r="E5420" s="16">
        <f t="shared" ca="1" si="255"/>
        <v>6</v>
      </c>
    </row>
    <row r="5421" spans="1:5" x14ac:dyDescent="0.25">
      <c r="A5421" s="3">
        <f t="shared" si="253"/>
        <v>78989</v>
      </c>
      <c r="B5421" t="str">
        <f ca="1">TEXT(DATE(YEAR(Invoer!$A$5),1,1)+INT((ROWS(B$2:B5421)-1)/24),"""18""jjmmdd")</f>
        <v>18980814</v>
      </c>
      <c r="C5421" s="11" t="str">
        <f>INDEX(Data,2,2+MOD(ROWS(C$2:C5421)-1,24))</f>
        <v>20.00</v>
      </c>
      <c r="D5421" s="8">
        <f t="shared" ca="1" si="254"/>
        <v>10</v>
      </c>
      <c r="E5421" s="16">
        <f t="shared" ca="1" si="255"/>
        <v>6</v>
      </c>
    </row>
    <row r="5422" spans="1:5" x14ac:dyDescent="0.25">
      <c r="A5422" s="3">
        <f t="shared" si="253"/>
        <v>78989</v>
      </c>
      <c r="B5422" t="str">
        <f ca="1">TEXT(DATE(YEAR(Invoer!$A$5),1,1)+INT((ROWS(B$2:B5422)-1)/24),"""18""jjmmdd")</f>
        <v>18980814</v>
      </c>
      <c r="C5422" s="11" t="str">
        <f>INDEX(Data,2,2+MOD(ROWS(C$2:C5422)-1,24))</f>
        <v>21.00</v>
      </c>
      <c r="D5422" s="8">
        <f t="shared" ca="1" si="254"/>
        <v>9</v>
      </c>
      <c r="E5422" s="16">
        <f t="shared" ca="1" si="255"/>
        <v>6</v>
      </c>
    </row>
    <row r="5423" spans="1:5" x14ac:dyDescent="0.25">
      <c r="A5423" s="3">
        <f t="shared" si="253"/>
        <v>78989</v>
      </c>
      <c r="B5423" t="str">
        <f ca="1">TEXT(DATE(YEAR(Invoer!$A$5),1,1)+INT((ROWS(B$2:B5423)-1)/24),"""18""jjmmdd")</f>
        <v>18980814</v>
      </c>
      <c r="C5423" s="11" t="str">
        <f>INDEX(Data,2,2+MOD(ROWS(C$2:C5423)-1,24))</f>
        <v>22.00</v>
      </c>
      <c r="D5423" s="8">
        <f t="shared" ca="1" si="254"/>
        <v>8</v>
      </c>
      <c r="E5423" s="16">
        <f t="shared" ca="1" si="255"/>
        <v>6</v>
      </c>
    </row>
    <row r="5424" spans="1:5" x14ac:dyDescent="0.25">
      <c r="A5424" s="3">
        <f t="shared" si="253"/>
        <v>78989</v>
      </c>
      <c r="B5424" t="str">
        <f ca="1">TEXT(DATE(YEAR(Invoer!$A$5),1,1)+INT((ROWS(B$2:B5424)-1)/24),"""18""jjmmdd")</f>
        <v>18980814</v>
      </c>
      <c r="C5424" s="11" t="str">
        <f>INDEX(Data,2,2+MOD(ROWS(C$2:C5424)-1,24))</f>
        <v>23.00</v>
      </c>
      <c r="D5424" s="8">
        <f t="shared" ca="1" si="254"/>
        <v>7</v>
      </c>
      <c r="E5424" s="16">
        <f t="shared" ca="1" si="255"/>
        <v>6</v>
      </c>
    </row>
    <row r="5425" spans="1:5" x14ac:dyDescent="0.25">
      <c r="A5425" s="3">
        <f t="shared" si="253"/>
        <v>78989</v>
      </c>
      <c r="B5425" t="str">
        <f ca="1">TEXT(DATE(YEAR(Invoer!$A$5),1,1)+INT((ROWS(B$2:B5425)-1)/24),"""18""jjmmdd")</f>
        <v>18980814</v>
      </c>
      <c r="C5425" s="11" t="str">
        <f>INDEX(Data,2,2+MOD(ROWS(C$2:C5425)-1,24))</f>
        <v>24.00</v>
      </c>
      <c r="D5425" s="8">
        <f t="shared" ca="1" si="254"/>
        <v>6</v>
      </c>
      <c r="E5425" s="16">
        <f t="shared" ca="1" si="255"/>
        <v>6</v>
      </c>
    </row>
    <row r="5426" spans="1:5" x14ac:dyDescent="0.25">
      <c r="A5426" s="3">
        <f t="shared" si="253"/>
        <v>78989</v>
      </c>
      <c r="B5426" t="str">
        <f ca="1">TEXT(DATE(YEAR(Invoer!$A$5),1,1)+INT((ROWS(B$2:B5426)-1)/24),"""18""jjmmdd")</f>
        <v>18980815</v>
      </c>
      <c r="C5426" s="11" t="str">
        <f>INDEX(Data,2,2+MOD(ROWS(C$2:C5426)-1,24))</f>
        <v>01.00</v>
      </c>
      <c r="D5426" s="8">
        <f t="shared" ca="1" si="254"/>
        <v>6</v>
      </c>
      <c r="E5426" s="16">
        <f t="shared" ca="1" si="255"/>
        <v>6</v>
      </c>
    </row>
    <row r="5427" spans="1:5" x14ac:dyDescent="0.25">
      <c r="A5427" s="3">
        <f t="shared" si="253"/>
        <v>78989</v>
      </c>
      <c r="B5427" t="str">
        <f ca="1">TEXT(DATE(YEAR(Invoer!$A$5),1,1)+INT((ROWS(B$2:B5427)-1)/24),"""18""jjmmdd")</f>
        <v>18980815</v>
      </c>
      <c r="C5427" s="11" t="str">
        <f>INDEX(Data,2,2+MOD(ROWS(C$2:C5427)-1,24))</f>
        <v>02.00</v>
      </c>
      <c r="D5427" s="8">
        <f t="shared" ca="1" si="254"/>
        <v>5</v>
      </c>
      <c r="E5427" s="16">
        <f t="shared" ca="1" si="255"/>
        <v>6</v>
      </c>
    </row>
    <row r="5428" spans="1:5" x14ac:dyDescent="0.25">
      <c r="A5428" s="3">
        <f t="shared" si="253"/>
        <v>78989</v>
      </c>
      <c r="B5428" t="str">
        <f ca="1">TEXT(DATE(YEAR(Invoer!$A$5),1,1)+INT((ROWS(B$2:B5428)-1)/24),"""18""jjmmdd")</f>
        <v>18980815</v>
      </c>
      <c r="C5428" s="11" t="str">
        <f>INDEX(Data,2,2+MOD(ROWS(C$2:C5428)-1,24))</f>
        <v>03.00</v>
      </c>
      <c r="D5428" s="8">
        <f t="shared" ca="1" si="254"/>
        <v>5</v>
      </c>
      <c r="E5428" s="16">
        <f t="shared" ca="1" si="255"/>
        <v>6</v>
      </c>
    </row>
    <row r="5429" spans="1:5" x14ac:dyDescent="0.25">
      <c r="A5429" s="3">
        <f t="shared" si="253"/>
        <v>78989</v>
      </c>
      <c r="B5429" t="str">
        <f ca="1">TEXT(DATE(YEAR(Invoer!$A$5),1,1)+INT((ROWS(B$2:B5429)-1)/24),"""18""jjmmdd")</f>
        <v>18980815</v>
      </c>
      <c r="C5429" s="11" t="str">
        <f>INDEX(Data,2,2+MOD(ROWS(C$2:C5429)-1,24))</f>
        <v>04.00</v>
      </c>
      <c r="D5429" s="8">
        <f t="shared" ca="1" si="254"/>
        <v>5</v>
      </c>
      <c r="E5429" s="16">
        <f t="shared" ca="1" si="255"/>
        <v>6</v>
      </c>
    </row>
    <row r="5430" spans="1:5" x14ac:dyDescent="0.25">
      <c r="A5430" s="3">
        <f t="shared" si="253"/>
        <v>78989</v>
      </c>
      <c r="B5430" t="str">
        <f ca="1">TEXT(DATE(YEAR(Invoer!$A$5),1,1)+INT((ROWS(B$2:B5430)-1)/24),"""18""jjmmdd")</f>
        <v>18980815</v>
      </c>
      <c r="C5430" s="11" t="str">
        <f>INDEX(Data,2,2+MOD(ROWS(C$2:C5430)-1,24))</f>
        <v>05.00</v>
      </c>
      <c r="D5430" s="8">
        <f t="shared" ca="1" si="254"/>
        <v>5</v>
      </c>
      <c r="E5430" s="16">
        <f t="shared" ca="1" si="255"/>
        <v>6</v>
      </c>
    </row>
    <row r="5431" spans="1:5" x14ac:dyDescent="0.25">
      <c r="A5431" s="3">
        <f t="shared" si="253"/>
        <v>78989</v>
      </c>
      <c r="B5431" t="str">
        <f ca="1">TEXT(DATE(YEAR(Invoer!$A$5),1,1)+INT((ROWS(B$2:B5431)-1)/24),"""18""jjmmdd")</f>
        <v>18980815</v>
      </c>
      <c r="C5431" s="11" t="str">
        <f>INDEX(Data,2,2+MOD(ROWS(C$2:C5431)-1,24))</f>
        <v>06.00</v>
      </c>
      <c r="D5431" s="8">
        <f t="shared" ca="1" si="254"/>
        <v>4</v>
      </c>
      <c r="E5431" s="16">
        <f t="shared" ca="1" si="255"/>
        <v>6</v>
      </c>
    </row>
    <row r="5432" spans="1:5" x14ac:dyDescent="0.25">
      <c r="A5432" s="3">
        <f t="shared" si="253"/>
        <v>78989</v>
      </c>
      <c r="B5432" t="str">
        <f ca="1">TEXT(DATE(YEAR(Invoer!$A$5),1,1)+INT((ROWS(B$2:B5432)-1)/24),"""18""jjmmdd")</f>
        <v>18980815</v>
      </c>
      <c r="C5432" s="11" t="str">
        <f>INDEX(Data,2,2+MOD(ROWS(C$2:C5432)-1,24))</f>
        <v>07.00</v>
      </c>
      <c r="D5432" s="8">
        <f t="shared" ca="1" si="254"/>
        <v>5</v>
      </c>
      <c r="E5432" s="16">
        <f t="shared" ca="1" si="255"/>
        <v>6</v>
      </c>
    </row>
    <row r="5433" spans="1:5" x14ac:dyDescent="0.25">
      <c r="A5433" s="3">
        <f t="shared" si="253"/>
        <v>78989</v>
      </c>
      <c r="B5433" t="str">
        <f ca="1">TEXT(DATE(YEAR(Invoer!$A$5),1,1)+INT((ROWS(B$2:B5433)-1)/24),"""18""jjmmdd")</f>
        <v>18980815</v>
      </c>
      <c r="C5433" s="11" t="str">
        <f>INDEX(Data,2,2+MOD(ROWS(C$2:C5433)-1,24))</f>
        <v>08.00</v>
      </c>
      <c r="D5433" s="8">
        <f t="shared" ca="1" si="254"/>
        <v>6</v>
      </c>
      <c r="E5433" s="16">
        <f t="shared" ca="1" si="255"/>
        <v>6</v>
      </c>
    </row>
    <row r="5434" spans="1:5" x14ac:dyDescent="0.25">
      <c r="A5434" s="3">
        <f t="shared" si="253"/>
        <v>78989</v>
      </c>
      <c r="B5434" t="str">
        <f ca="1">TEXT(DATE(YEAR(Invoer!$A$5),1,1)+INT((ROWS(B$2:B5434)-1)/24),"""18""jjmmdd")</f>
        <v>18980815</v>
      </c>
      <c r="C5434" s="11" t="str">
        <f>INDEX(Data,2,2+MOD(ROWS(C$2:C5434)-1,24))</f>
        <v>09.00</v>
      </c>
      <c r="D5434" s="8">
        <f t="shared" ca="1" si="254"/>
        <v>6</v>
      </c>
      <c r="E5434" s="16">
        <f t="shared" ca="1" si="255"/>
        <v>6</v>
      </c>
    </row>
    <row r="5435" spans="1:5" x14ac:dyDescent="0.25">
      <c r="A5435" s="3">
        <f t="shared" si="253"/>
        <v>78989</v>
      </c>
      <c r="B5435" t="str">
        <f ca="1">TEXT(DATE(YEAR(Invoer!$A$5),1,1)+INT((ROWS(B$2:B5435)-1)/24),"""18""jjmmdd")</f>
        <v>18980815</v>
      </c>
      <c r="C5435" s="11" t="str">
        <f>INDEX(Data,2,2+MOD(ROWS(C$2:C5435)-1,24))</f>
        <v>10.00</v>
      </c>
      <c r="D5435" s="8">
        <f t="shared" ca="1" si="254"/>
        <v>6</v>
      </c>
      <c r="E5435" s="16">
        <f t="shared" ca="1" si="255"/>
        <v>6</v>
      </c>
    </row>
    <row r="5436" spans="1:5" x14ac:dyDescent="0.25">
      <c r="A5436" s="3">
        <f t="shared" si="253"/>
        <v>78989</v>
      </c>
      <c r="B5436" t="str">
        <f ca="1">TEXT(DATE(YEAR(Invoer!$A$5),1,1)+INT((ROWS(B$2:B5436)-1)/24),"""18""jjmmdd")</f>
        <v>18980815</v>
      </c>
      <c r="C5436" s="11" t="str">
        <f>INDEX(Data,2,2+MOD(ROWS(C$2:C5436)-1,24))</f>
        <v>11.00</v>
      </c>
      <c r="D5436" s="8">
        <f t="shared" ca="1" si="254"/>
        <v>6</v>
      </c>
      <c r="E5436" s="16">
        <f t="shared" ca="1" si="255"/>
        <v>6</v>
      </c>
    </row>
    <row r="5437" spans="1:5" x14ac:dyDescent="0.25">
      <c r="A5437" s="3">
        <f t="shared" si="253"/>
        <v>78989</v>
      </c>
      <c r="B5437" t="str">
        <f ca="1">TEXT(DATE(YEAR(Invoer!$A$5),1,1)+INT((ROWS(B$2:B5437)-1)/24),"""18""jjmmdd")</f>
        <v>18980815</v>
      </c>
      <c r="C5437" s="11" t="str">
        <f>INDEX(Data,2,2+MOD(ROWS(C$2:C5437)-1,24))</f>
        <v>12.00</v>
      </c>
      <c r="D5437" s="8">
        <f t="shared" ca="1" si="254"/>
        <v>7</v>
      </c>
      <c r="E5437" s="16">
        <f t="shared" ca="1" si="255"/>
        <v>6</v>
      </c>
    </row>
    <row r="5438" spans="1:5" x14ac:dyDescent="0.25">
      <c r="A5438" s="3">
        <f t="shared" si="253"/>
        <v>78989</v>
      </c>
      <c r="B5438" t="str">
        <f ca="1">TEXT(DATE(YEAR(Invoer!$A$5),1,1)+INT((ROWS(B$2:B5438)-1)/24),"""18""jjmmdd")</f>
        <v>18980815</v>
      </c>
      <c r="C5438" s="11" t="str">
        <f>INDEX(Data,2,2+MOD(ROWS(C$2:C5438)-1,24))</f>
        <v>13.00</v>
      </c>
      <c r="D5438" s="8">
        <f t="shared" ca="1" si="254"/>
        <v>5</v>
      </c>
      <c r="E5438" s="16">
        <f t="shared" ca="1" si="255"/>
        <v>6</v>
      </c>
    </row>
    <row r="5439" spans="1:5" x14ac:dyDescent="0.25">
      <c r="A5439" s="3">
        <f t="shared" si="253"/>
        <v>78989</v>
      </c>
      <c r="B5439" t="str">
        <f ca="1">TEXT(DATE(YEAR(Invoer!$A$5),1,1)+INT((ROWS(B$2:B5439)-1)/24),"""18""jjmmdd")</f>
        <v>18980815</v>
      </c>
      <c r="C5439" s="11" t="str">
        <f>INDEX(Data,2,2+MOD(ROWS(C$2:C5439)-1,24))</f>
        <v>14.00</v>
      </c>
      <c r="D5439" s="8">
        <f t="shared" ca="1" si="254"/>
        <v>5</v>
      </c>
      <c r="E5439" s="16">
        <f t="shared" ca="1" si="255"/>
        <v>6</v>
      </c>
    </row>
    <row r="5440" spans="1:5" x14ac:dyDescent="0.25">
      <c r="A5440" s="3">
        <f t="shared" si="253"/>
        <v>78989</v>
      </c>
      <c r="B5440" t="str">
        <f ca="1">TEXT(DATE(YEAR(Invoer!$A$5),1,1)+INT((ROWS(B$2:B5440)-1)/24),"""18""jjmmdd")</f>
        <v>18980815</v>
      </c>
      <c r="C5440" s="11" t="str">
        <f>INDEX(Data,2,2+MOD(ROWS(C$2:C5440)-1,24))</f>
        <v>15.00</v>
      </c>
      <c r="D5440" s="8">
        <f t="shared" ca="1" si="254"/>
        <v>6</v>
      </c>
      <c r="E5440" s="16">
        <f t="shared" ca="1" si="255"/>
        <v>6</v>
      </c>
    </row>
    <row r="5441" spans="1:5" x14ac:dyDescent="0.25">
      <c r="A5441" s="3">
        <f t="shared" si="253"/>
        <v>78989</v>
      </c>
      <c r="B5441" t="str">
        <f ca="1">TEXT(DATE(YEAR(Invoer!$A$5),1,1)+INT((ROWS(B$2:B5441)-1)/24),"""18""jjmmdd")</f>
        <v>18980815</v>
      </c>
      <c r="C5441" s="11" t="str">
        <f>INDEX(Data,2,2+MOD(ROWS(C$2:C5441)-1,24))</f>
        <v>16.00</v>
      </c>
      <c r="D5441" s="8">
        <f t="shared" ca="1" si="254"/>
        <v>7</v>
      </c>
      <c r="E5441" s="16">
        <f t="shared" ca="1" si="255"/>
        <v>6</v>
      </c>
    </row>
    <row r="5442" spans="1:5" x14ac:dyDescent="0.25">
      <c r="A5442" s="3">
        <f t="shared" ref="A5442:A5505" si="256">INDEX(Stations,2,1)</f>
        <v>78989</v>
      </c>
      <c r="B5442" t="str">
        <f ca="1">TEXT(DATE(YEAR(Invoer!$A$5),1,1)+INT((ROWS(B$2:B5442)-1)/24),"""18""jjmmdd")</f>
        <v>18980815</v>
      </c>
      <c r="C5442" s="11" t="str">
        <f>INDEX(Data,2,2+MOD(ROWS(C$2:C5442)-1,24))</f>
        <v>17.00</v>
      </c>
      <c r="D5442" s="8">
        <f t="shared" ref="D5442:D5505" ca="1" si="257">IF(OR(ISBLANK(VLOOKUP(DATEVALUE("37"&amp;MID($B5442,3,2)&amp;"-"&amp;MID($B5442,5,2)&amp;"-"&amp;RIGHT($B5442,2)),Data,MATCH(LEFT(VLOOKUP(D$1,Parameters,2,FALSE()),4)&amp;"*",OFFSET(Data,0,0,1),0)+MATCH($C5442,OFFSET(Data,1,0,1),0)-2,FALSE())),ISTEXT(VLOOKUP(DATEVALUE("37"&amp;MID($B5442,3,2)&amp;"-"&amp;MID($B5442,5,2)&amp;"-"&amp;RIGHT($B5442,2)),Data,MATCH(LEFT(VLOOKUP(D$1,Parameters,2,FALSE()),4)&amp;"*",OFFSET(Data,0,0,1),0)+MATCH($C5442,OFFSET(Data,1,0,1),0)-2,FALSE()))),"—",VLOOKUP(DATEVALUE("37"&amp;MID($B5442,3,2)&amp;"-"&amp;MID($B5442,5,2)&amp;"-"&amp;RIGHT($B5442,2)),Data,MATCH(LEFT(VLOOKUP(D$1,Parameters,2,FALSE()),4)&amp;"*",OFFSET(Data,0,0,1),0)+MATCH($C5442,OFFSET(Data,1,0,1),0)-2,FALSE()))</f>
        <v>11</v>
      </c>
      <c r="E5442" s="16">
        <f t="shared" ca="1" si="255"/>
        <v>0</v>
      </c>
    </row>
    <row r="5443" spans="1:5" x14ac:dyDescent="0.25">
      <c r="A5443" s="3">
        <f t="shared" si="256"/>
        <v>78989</v>
      </c>
      <c r="B5443" t="str">
        <f ca="1">TEXT(DATE(YEAR(Invoer!$A$5),1,1)+INT((ROWS(B$2:B5443)-1)/24),"""18""jjmmdd")</f>
        <v>18980815</v>
      </c>
      <c r="C5443" s="11" t="str">
        <f>INDEX(Data,2,2+MOD(ROWS(C$2:C5443)-1,24))</f>
        <v>18.00</v>
      </c>
      <c r="D5443" s="8">
        <f t="shared" ca="1" si="257"/>
        <v>10</v>
      </c>
      <c r="E5443" s="16">
        <f t="shared" ref="E5443:E5506" ca="1" si="258">IF(OR(ISBLANK(VLOOKUP(DATEVALUE("37"&amp;MID($B5443,3,2)&amp;"-"&amp;MID($B5443,5,2)&amp;"-"&amp;RIGHT($B5443,2)),Data,MATCH(LEFT(VLOOKUP(D$1,Parameters,2,FALSE()),4)&amp;"*",OFFSET(Data,0,0,1),0)+MATCH($C5443,OFFSET(Data,1,0,1),0)-2,FALSE())),ISTEXT(VLOOKUP(DATEVALUE("37"&amp;MID($B5443,3,2)&amp;"-"&amp;MID($B5443,5,2)&amp;"-"&amp;RIGHT($B5443,2)),Data,MATCH(LEFT(VLOOKUP(D$1,Parameters,2,FALSE()),4)&amp;"*",OFFSET(Data,0,0,1),0)+MATCH($C5443,OFFSET(Data,1,0,1),0)-2,FALSE()))),Lacking,IF(ISNA(MATCH(DATEVALUE("37"&amp;MID($B5443,3,2)&amp;"-"&amp;MID($B5443,5,2)&amp;"-"&amp;RIGHT($B5443,2)),OFFSET(Catalogus,0,0,,1),0)),Ok,VLOOKUP(DATEVALUE("37"&amp;MID($B5443,3,2)&amp;"-"&amp;MID($B5443,5,2)&amp;"-"&amp;RIGHT($B5443,2)),Catalogus,MATCH(LEFT(VLOOKUP(MID(E$1,2,LEN(E$1)-1),Parameters,2,FALSE()),4)&amp;"*",OFFSET(Catalogus,0,0,1),0)+MATCH($C5443,OFFSET(Catalogus,1,0,1),0)-2,FALSE())))</f>
        <v>0</v>
      </c>
    </row>
    <row r="5444" spans="1:5" x14ac:dyDescent="0.25">
      <c r="A5444" s="3">
        <f t="shared" si="256"/>
        <v>78989</v>
      </c>
      <c r="B5444" t="str">
        <f ca="1">TEXT(DATE(YEAR(Invoer!$A$5),1,1)+INT((ROWS(B$2:B5444)-1)/24),"""18""jjmmdd")</f>
        <v>18980815</v>
      </c>
      <c r="C5444" s="11" t="str">
        <f>INDEX(Data,2,2+MOD(ROWS(C$2:C5444)-1,24))</f>
        <v>19.00</v>
      </c>
      <c r="D5444" s="8">
        <f t="shared" ca="1" si="257"/>
        <v>10</v>
      </c>
      <c r="E5444" s="16">
        <f t="shared" ca="1" si="258"/>
        <v>0</v>
      </c>
    </row>
    <row r="5445" spans="1:5" x14ac:dyDescent="0.25">
      <c r="A5445" s="3">
        <f t="shared" si="256"/>
        <v>78989</v>
      </c>
      <c r="B5445" t="str">
        <f ca="1">TEXT(DATE(YEAR(Invoer!$A$5),1,1)+INT((ROWS(B$2:B5445)-1)/24),"""18""jjmmdd")</f>
        <v>18980815</v>
      </c>
      <c r="C5445" s="11" t="str">
        <f>INDEX(Data,2,2+MOD(ROWS(C$2:C5445)-1,24))</f>
        <v>20.00</v>
      </c>
      <c r="D5445" s="8">
        <f t="shared" ca="1" si="257"/>
        <v>10</v>
      </c>
      <c r="E5445" s="16">
        <f t="shared" ca="1" si="258"/>
        <v>0</v>
      </c>
    </row>
    <row r="5446" spans="1:5" x14ac:dyDescent="0.25">
      <c r="A5446" s="3">
        <f t="shared" si="256"/>
        <v>78989</v>
      </c>
      <c r="B5446" t="str">
        <f ca="1">TEXT(DATE(YEAR(Invoer!$A$5),1,1)+INT((ROWS(B$2:B5446)-1)/24),"""18""jjmmdd")</f>
        <v>18980815</v>
      </c>
      <c r="C5446" s="11" t="str">
        <f>INDEX(Data,2,2+MOD(ROWS(C$2:C5446)-1,24))</f>
        <v>21.00</v>
      </c>
      <c r="D5446" s="8">
        <f t="shared" ca="1" si="257"/>
        <v>10</v>
      </c>
      <c r="E5446" s="16">
        <f t="shared" ca="1" si="258"/>
        <v>0</v>
      </c>
    </row>
    <row r="5447" spans="1:5" x14ac:dyDescent="0.25">
      <c r="A5447" s="3">
        <f t="shared" si="256"/>
        <v>78989</v>
      </c>
      <c r="B5447" t="str">
        <f ca="1">TEXT(DATE(YEAR(Invoer!$A$5),1,1)+INT((ROWS(B$2:B5447)-1)/24),"""18""jjmmdd")</f>
        <v>18980815</v>
      </c>
      <c r="C5447" s="11" t="str">
        <f>INDEX(Data,2,2+MOD(ROWS(C$2:C5447)-1,24))</f>
        <v>22.00</v>
      </c>
      <c r="D5447" s="8">
        <f t="shared" ca="1" si="257"/>
        <v>9</v>
      </c>
      <c r="E5447" s="16">
        <f t="shared" ca="1" si="258"/>
        <v>0</v>
      </c>
    </row>
    <row r="5448" spans="1:5" x14ac:dyDescent="0.25">
      <c r="A5448" s="3">
        <f t="shared" si="256"/>
        <v>78989</v>
      </c>
      <c r="B5448" t="str">
        <f ca="1">TEXT(DATE(YEAR(Invoer!$A$5),1,1)+INT((ROWS(B$2:B5448)-1)/24),"""18""jjmmdd")</f>
        <v>18980815</v>
      </c>
      <c r="C5448" s="11" t="str">
        <f>INDEX(Data,2,2+MOD(ROWS(C$2:C5448)-1,24))</f>
        <v>23.00</v>
      </c>
      <c r="D5448" s="8">
        <f t="shared" ca="1" si="257"/>
        <v>7</v>
      </c>
      <c r="E5448" s="16">
        <f t="shared" ca="1" si="258"/>
        <v>0</v>
      </c>
    </row>
    <row r="5449" spans="1:5" x14ac:dyDescent="0.25">
      <c r="A5449" s="3">
        <f t="shared" si="256"/>
        <v>78989</v>
      </c>
      <c r="B5449" t="str">
        <f ca="1">TEXT(DATE(YEAR(Invoer!$A$5),1,1)+INT((ROWS(B$2:B5449)-1)/24),"""18""jjmmdd")</f>
        <v>18980815</v>
      </c>
      <c r="C5449" s="11" t="str">
        <f>INDEX(Data,2,2+MOD(ROWS(C$2:C5449)-1,24))</f>
        <v>24.00</v>
      </c>
      <c r="D5449" s="8">
        <f t="shared" ca="1" si="257"/>
        <v>6</v>
      </c>
      <c r="E5449" s="16">
        <f t="shared" ca="1" si="258"/>
        <v>0</v>
      </c>
    </row>
    <row r="5450" spans="1:5" x14ac:dyDescent="0.25">
      <c r="A5450" s="3">
        <f t="shared" si="256"/>
        <v>78989</v>
      </c>
      <c r="B5450" t="str">
        <f ca="1">TEXT(DATE(YEAR(Invoer!$A$5),1,1)+INT((ROWS(B$2:B5450)-1)/24),"""18""jjmmdd")</f>
        <v>18980816</v>
      </c>
      <c r="C5450" s="11" t="str">
        <f>INDEX(Data,2,2+MOD(ROWS(C$2:C5450)-1,24))</f>
        <v>01.00</v>
      </c>
      <c r="D5450" s="8">
        <f t="shared" ca="1" si="257"/>
        <v>5</v>
      </c>
      <c r="E5450" s="16">
        <f t="shared" ca="1" si="258"/>
        <v>0</v>
      </c>
    </row>
    <row r="5451" spans="1:5" x14ac:dyDescent="0.25">
      <c r="A5451" s="3">
        <f t="shared" si="256"/>
        <v>78989</v>
      </c>
      <c r="B5451" t="str">
        <f ca="1">TEXT(DATE(YEAR(Invoer!$A$5),1,1)+INT((ROWS(B$2:B5451)-1)/24),"""18""jjmmdd")</f>
        <v>18980816</v>
      </c>
      <c r="C5451" s="11" t="str">
        <f>INDEX(Data,2,2+MOD(ROWS(C$2:C5451)-1,24))</f>
        <v>02.00</v>
      </c>
      <c r="D5451" s="8">
        <f t="shared" ca="1" si="257"/>
        <v>6</v>
      </c>
      <c r="E5451" s="16">
        <f t="shared" ca="1" si="258"/>
        <v>0</v>
      </c>
    </row>
    <row r="5452" spans="1:5" x14ac:dyDescent="0.25">
      <c r="A5452" s="3">
        <f t="shared" si="256"/>
        <v>78989</v>
      </c>
      <c r="B5452" t="str">
        <f ca="1">TEXT(DATE(YEAR(Invoer!$A$5),1,1)+INT((ROWS(B$2:B5452)-1)/24),"""18""jjmmdd")</f>
        <v>18980816</v>
      </c>
      <c r="C5452" s="11" t="str">
        <f>INDEX(Data,2,2+MOD(ROWS(C$2:C5452)-1,24))</f>
        <v>03.00</v>
      </c>
      <c r="D5452" s="8">
        <f t="shared" ca="1" si="257"/>
        <v>7</v>
      </c>
      <c r="E5452" s="16">
        <f t="shared" ca="1" si="258"/>
        <v>0</v>
      </c>
    </row>
    <row r="5453" spans="1:5" x14ac:dyDescent="0.25">
      <c r="A5453" s="3">
        <f t="shared" si="256"/>
        <v>78989</v>
      </c>
      <c r="B5453" t="str">
        <f ca="1">TEXT(DATE(YEAR(Invoer!$A$5),1,1)+INT((ROWS(B$2:B5453)-1)/24),"""18""jjmmdd")</f>
        <v>18980816</v>
      </c>
      <c r="C5453" s="11" t="str">
        <f>INDEX(Data,2,2+MOD(ROWS(C$2:C5453)-1,24))</f>
        <v>04.00</v>
      </c>
      <c r="D5453" s="8">
        <f t="shared" ca="1" si="257"/>
        <v>5</v>
      </c>
      <c r="E5453" s="16">
        <f t="shared" ca="1" si="258"/>
        <v>0</v>
      </c>
    </row>
    <row r="5454" spans="1:5" x14ac:dyDescent="0.25">
      <c r="A5454" s="3">
        <f t="shared" si="256"/>
        <v>78989</v>
      </c>
      <c r="B5454" t="str">
        <f ca="1">TEXT(DATE(YEAR(Invoer!$A$5),1,1)+INT((ROWS(B$2:B5454)-1)/24),"""18""jjmmdd")</f>
        <v>18980816</v>
      </c>
      <c r="C5454" s="11" t="str">
        <f>INDEX(Data,2,2+MOD(ROWS(C$2:C5454)-1,24))</f>
        <v>05.00</v>
      </c>
      <c r="D5454" s="8">
        <f t="shared" ca="1" si="257"/>
        <v>4</v>
      </c>
      <c r="E5454" s="16">
        <f t="shared" ca="1" si="258"/>
        <v>0</v>
      </c>
    </row>
    <row r="5455" spans="1:5" x14ac:dyDescent="0.25">
      <c r="A5455" s="3">
        <f t="shared" si="256"/>
        <v>78989</v>
      </c>
      <c r="B5455" t="str">
        <f ca="1">TEXT(DATE(YEAR(Invoer!$A$5),1,1)+INT((ROWS(B$2:B5455)-1)/24),"""18""jjmmdd")</f>
        <v>18980816</v>
      </c>
      <c r="C5455" s="11" t="str">
        <f>INDEX(Data,2,2+MOD(ROWS(C$2:C5455)-1,24))</f>
        <v>06.00</v>
      </c>
      <c r="D5455" s="8">
        <f t="shared" ca="1" si="257"/>
        <v>5</v>
      </c>
      <c r="E5455" s="16">
        <f t="shared" ca="1" si="258"/>
        <v>0</v>
      </c>
    </row>
    <row r="5456" spans="1:5" x14ac:dyDescent="0.25">
      <c r="A5456" s="3">
        <f t="shared" si="256"/>
        <v>78989</v>
      </c>
      <c r="B5456" t="str">
        <f ca="1">TEXT(DATE(YEAR(Invoer!$A$5),1,1)+INT((ROWS(B$2:B5456)-1)/24),"""18""jjmmdd")</f>
        <v>18980816</v>
      </c>
      <c r="C5456" s="11" t="str">
        <f>INDEX(Data,2,2+MOD(ROWS(C$2:C5456)-1,24))</f>
        <v>07.00</v>
      </c>
      <c r="D5456" s="8">
        <f t="shared" ca="1" si="257"/>
        <v>6</v>
      </c>
      <c r="E5456" s="16">
        <f t="shared" ca="1" si="258"/>
        <v>0</v>
      </c>
    </row>
    <row r="5457" spans="1:5" x14ac:dyDescent="0.25">
      <c r="A5457" s="3">
        <f t="shared" si="256"/>
        <v>78989</v>
      </c>
      <c r="B5457" t="str">
        <f ca="1">TEXT(DATE(YEAR(Invoer!$A$5),1,1)+INT((ROWS(B$2:B5457)-1)/24),"""18""jjmmdd")</f>
        <v>18980816</v>
      </c>
      <c r="C5457" s="11" t="str">
        <f>INDEX(Data,2,2+MOD(ROWS(C$2:C5457)-1,24))</f>
        <v>08.00</v>
      </c>
      <c r="D5457" s="8">
        <f t="shared" ca="1" si="257"/>
        <v>7</v>
      </c>
      <c r="E5457" s="16">
        <f t="shared" ca="1" si="258"/>
        <v>0</v>
      </c>
    </row>
    <row r="5458" spans="1:5" x14ac:dyDescent="0.25">
      <c r="A5458" s="3">
        <f t="shared" si="256"/>
        <v>78989</v>
      </c>
      <c r="B5458" t="str">
        <f ca="1">TEXT(DATE(YEAR(Invoer!$A$5),1,1)+INT((ROWS(B$2:B5458)-1)/24),"""18""jjmmdd")</f>
        <v>18980816</v>
      </c>
      <c r="C5458" s="11" t="str">
        <f>INDEX(Data,2,2+MOD(ROWS(C$2:C5458)-1,24))</f>
        <v>09.00</v>
      </c>
      <c r="D5458" s="8">
        <f t="shared" ca="1" si="257"/>
        <v>8</v>
      </c>
      <c r="E5458" s="16">
        <f t="shared" ca="1" si="258"/>
        <v>0</v>
      </c>
    </row>
    <row r="5459" spans="1:5" x14ac:dyDescent="0.25">
      <c r="A5459" s="3">
        <f t="shared" si="256"/>
        <v>78989</v>
      </c>
      <c r="B5459" t="str">
        <f ca="1">TEXT(DATE(YEAR(Invoer!$A$5),1,1)+INT((ROWS(B$2:B5459)-1)/24),"""18""jjmmdd")</f>
        <v>18980816</v>
      </c>
      <c r="C5459" s="11" t="str">
        <f>INDEX(Data,2,2+MOD(ROWS(C$2:C5459)-1,24))</f>
        <v>10.00</v>
      </c>
      <c r="D5459" s="8">
        <f t="shared" ca="1" si="257"/>
        <v>7</v>
      </c>
      <c r="E5459" s="16">
        <f t="shared" ca="1" si="258"/>
        <v>0</v>
      </c>
    </row>
    <row r="5460" spans="1:5" x14ac:dyDescent="0.25">
      <c r="A5460" s="3">
        <f t="shared" si="256"/>
        <v>78989</v>
      </c>
      <c r="B5460" t="str">
        <f ca="1">TEXT(DATE(YEAR(Invoer!$A$5),1,1)+INT((ROWS(B$2:B5460)-1)/24),"""18""jjmmdd")</f>
        <v>18980816</v>
      </c>
      <c r="C5460" s="11" t="str">
        <f>INDEX(Data,2,2+MOD(ROWS(C$2:C5460)-1,24))</f>
        <v>11.00</v>
      </c>
      <c r="D5460" s="8">
        <f t="shared" ca="1" si="257"/>
        <v>8</v>
      </c>
      <c r="E5460" s="16">
        <f t="shared" ca="1" si="258"/>
        <v>0</v>
      </c>
    </row>
    <row r="5461" spans="1:5" x14ac:dyDescent="0.25">
      <c r="A5461" s="3">
        <f t="shared" si="256"/>
        <v>78989</v>
      </c>
      <c r="B5461" t="str">
        <f ca="1">TEXT(DATE(YEAR(Invoer!$A$5),1,1)+INT((ROWS(B$2:B5461)-1)/24),"""18""jjmmdd")</f>
        <v>18980816</v>
      </c>
      <c r="C5461" s="11" t="str">
        <f>INDEX(Data,2,2+MOD(ROWS(C$2:C5461)-1,24))</f>
        <v>12.00</v>
      </c>
      <c r="D5461" s="8">
        <f t="shared" ca="1" si="257"/>
        <v>7</v>
      </c>
      <c r="E5461" s="16">
        <f t="shared" ca="1" si="258"/>
        <v>0</v>
      </c>
    </row>
    <row r="5462" spans="1:5" x14ac:dyDescent="0.25">
      <c r="A5462" s="3">
        <f t="shared" si="256"/>
        <v>78989</v>
      </c>
      <c r="B5462" t="str">
        <f ca="1">TEXT(DATE(YEAR(Invoer!$A$5),1,1)+INT((ROWS(B$2:B5462)-1)/24),"""18""jjmmdd")</f>
        <v>18980816</v>
      </c>
      <c r="C5462" s="11" t="str">
        <f>INDEX(Data,2,2+MOD(ROWS(C$2:C5462)-1,24))</f>
        <v>13.00</v>
      </c>
      <c r="D5462" s="8">
        <f t="shared" ca="1" si="257"/>
        <v>6</v>
      </c>
      <c r="E5462" s="16">
        <f t="shared" ca="1" si="258"/>
        <v>0</v>
      </c>
    </row>
    <row r="5463" spans="1:5" x14ac:dyDescent="0.25">
      <c r="A5463" s="3">
        <f t="shared" si="256"/>
        <v>78989</v>
      </c>
      <c r="B5463" t="str">
        <f ca="1">TEXT(DATE(YEAR(Invoer!$A$5),1,1)+INT((ROWS(B$2:B5463)-1)/24),"""18""jjmmdd")</f>
        <v>18980816</v>
      </c>
      <c r="C5463" s="11" t="str">
        <f>INDEX(Data,2,2+MOD(ROWS(C$2:C5463)-1,24))</f>
        <v>14.00</v>
      </c>
      <c r="D5463" s="8">
        <f t="shared" ca="1" si="257"/>
        <v>5</v>
      </c>
      <c r="E5463" s="16">
        <f t="shared" ca="1" si="258"/>
        <v>0</v>
      </c>
    </row>
    <row r="5464" spans="1:5" x14ac:dyDescent="0.25">
      <c r="A5464" s="3">
        <f t="shared" si="256"/>
        <v>78989</v>
      </c>
      <c r="B5464" t="str">
        <f ca="1">TEXT(DATE(YEAR(Invoer!$A$5),1,1)+INT((ROWS(B$2:B5464)-1)/24),"""18""jjmmdd")</f>
        <v>18980816</v>
      </c>
      <c r="C5464" s="11" t="str">
        <f>INDEX(Data,2,2+MOD(ROWS(C$2:C5464)-1,24))</f>
        <v>15.00</v>
      </c>
      <c r="D5464" s="8">
        <f t="shared" ca="1" si="257"/>
        <v>9</v>
      </c>
      <c r="E5464" s="16">
        <f t="shared" ca="1" si="258"/>
        <v>0</v>
      </c>
    </row>
    <row r="5465" spans="1:5" x14ac:dyDescent="0.25">
      <c r="A5465" s="3">
        <f t="shared" si="256"/>
        <v>78989</v>
      </c>
      <c r="B5465" t="str">
        <f ca="1">TEXT(DATE(YEAR(Invoer!$A$5),1,1)+INT((ROWS(B$2:B5465)-1)/24),"""18""jjmmdd")</f>
        <v>18980816</v>
      </c>
      <c r="C5465" s="11" t="str">
        <f>INDEX(Data,2,2+MOD(ROWS(C$2:C5465)-1,24))</f>
        <v>16.00</v>
      </c>
      <c r="D5465" s="8">
        <f t="shared" ca="1" si="257"/>
        <v>9</v>
      </c>
      <c r="E5465" s="16">
        <f t="shared" ca="1" si="258"/>
        <v>0</v>
      </c>
    </row>
    <row r="5466" spans="1:5" x14ac:dyDescent="0.25">
      <c r="A5466" s="3">
        <f t="shared" si="256"/>
        <v>78989</v>
      </c>
      <c r="B5466" t="str">
        <f ca="1">TEXT(DATE(YEAR(Invoer!$A$5),1,1)+INT((ROWS(B$2:B5466)-1)/24),"""18""jjmmdd")</f>
        <v>18980816</v>
      </c>
      <c r="C5466" s="11" t="str">
        <f>INDEX(Data,2,2+MOD(ROWS(C$2:C5466)-1,24))</f>
        <v>17.00</v>
      </c>
      <c r="D5466" s="8">
        <f t="shared" ca="1" si="257"/>
        <v>9</v>
      </c>
      <c r="E5466" s="16">
        <f t="shared" ca="1" si="258"/>
        <v>0</v>
      </c>
    </row>
    <row r="5467" spans="1:5" x14ac:dyDescent="0.25">
      <c r="A5467" s="3">
        <f t="shared" si="256"/>
        <v>78989</v>
      </c>
      <c r="B5467" t="str">
        <f ca="1">TEXT(DATE(YEAR(Invoer!$A$5),1,1)+INT((ROWS(B$2:B5467)-1)/24),"""18""jjmmdd")</f>
        <v>18980816</v>
      </c>
      <c r="C5467" s="11" t="str">
        <f>INDEX(Data,2,2+MOD(ROWS(C$2:C5467)-1,24))</f>
        <v>18.00</v>
      </c>
      <c r="D5467" s="8">
        <f t="shared" ca="1" si="257"/>
        <v>9</v>
      </c>
      <c r="E5467" s="16">
        <f t="shared" ca="1" si="258"/>
        <v>0</v>
      </c>
    </row>
    <row r="5468" spans="1:5" x14ac:dyDescent="0.25">
      <c r="A5468" s="3">
        <f t="shared" si="256"/>
        <v>78989</v>
      </c>
      <c r="B5468" t="str">
        <f ca="1">TEXT(DATE(YEAR(Invoer!$A$5),1,1)+INT((ROWS(B$2:B5468)-1)/24),"""18""jjmmdd")</f>
        <v>18980816</v>
      </c>
      <c r="C5468" s="11" t="str">
        <f>INDEX(Data,2,2+MOD(ROWS(C$2:C5468)-1,24))</f>
        <v>19.00</v>
      </c>
      <c r="D5468" s="8">
        <f t="shared" ca="1" si="257"/>
        <v>5</v>
      </c>
      <c r="E5468" s="16">
        <f t="shared" ca="1" si="258"/>
        <v>0</v>
      </c>
    </row>
    <row r="5469" spans="1:5" x14ac:dyDescent="0.25">
      <c r="A5469" s="3">
        <f t="shared" si="256"/>
        <v>78989</v>
      </c>
      <c r="B5469" t="str">
        <f ca="1">TEXT(DATE(YEAR(Invoer!$A$5),1,1)+INT((ROWS(B$2:B5469)-1)/24),"""18""jjmmdd")</f>
        <v>18980816</v>
      </c>
      <c r="C5469" s="11" t="str">
        <f>INDEX(Data,2,2+MOD(ROWS(C$2:C5469)-1,24))</f>
        <v>20.00</v>
      </c>
      <c r="D5469" s="8">
        <f t="shared" ca="1" si="257"/>
        <v>4</v>
      </c>
      <c r="E5469" s="16">
        <f t="shared" ca="1" si="258"/>
        <v>0</v>
      </c>
    </row>
    <row r="5470" spans="1:5" x14ac:dyDescent="0.25">
      <c r="A5470" s="3">
        <f t="shared" si="256"/>
        <v>78989</v>
      </c>
      <c r="B5470" t="str">
        <f ca="1">TEXT(DATE(YEAR(Invoer!$A$5),1,1)+INT((ROWS(B$2:B5470)-1)/24),"""18""jjmmdd")</f>
        <v>18980816</v>
      </c>
      <c r="C5470" s="11" t="str">
        <f>INDEX(Data,2,2+MOD(ROWS(C$2:C5470)-1,24))</f>
        <v>21.00</v>
      </c>
      <c r="D5470" s="8">
        <f t="shared" ca="1" si="257"/>
        <v>4</v>
      </c>
      <c r="E5470" s="16">
        <f t="shared" ca="1" si="258"/>
        <v>0</v>
      </c>
    </row>
    <row r="5471" spans="1:5" x14ac:dyDescent="0.25">
      <c r="A5471" s="3">
        <f t="shared" si="256"/>
        <v>78989</v>
      </c>
      <c r="B5471" t="str">
        <f ca="1">TEXT(DATE(YEAR(Invoer!$A$5),1,1)+INT((ROWS(B$2:B5471)-1)/24),"""18""jjmmdd")</f>
        <v>18980816</v>
      </c>
      <c r="C5471" s="11" t="str">
        <f>INDEX(Data,2,2+MOD(ROWS(C$2:C5471)-1,24))</f>
        <v>22.00</v>
      </c>
      <c r="D5471" s="8">
        <f t="shared" ca="1" si="257"/>
        <v>4</v>
      </c>
      <c r="E5471" s="16">
        <f t="shared" ca="1" si="258"/>
        <v>0</v>
      </c>
    </row>
    <row r="5472" spans="1:5" x14ac:dyDescent="0.25">
      <c r="A5472" s="3">
        <f t="shared" si="256"/>
        <v>78989</v>
      </c>
      <c r="B5472" t="str">
        <f ca="1">TEXT(DATE(YEAR(Invoer!$A$5),1,1)+INT((ROWS(B$2:B5472)-1)/24),"""18""jjmmdd")</f>
        <v>18980816</v>
      </c>
      <c r="C5472" s="11" t="str">
        <f>INDEX(Data,2,2+MOD(ROWS(C$2:C5472)-1,24))</f>
        <v>23.00</v>
      </c>
      <c r="D5472" s="8">
        <f t="shared" ca="1" si="257"/>
        <v>3</v>
      </c>
      <c r="E5472" s="16">
        <f t="shared" ca="1" si="258"/>
        <v>0</v>
      </c>
    </row>
    <row r="5473" spans="1:5" x14ac:dyDescent="0.25">
      <c r="A5473" s="3">
        <f t="shared" si="256"/>
        <v>78989</v>
      </c>
      <c r="B5473" t="str">
        <f ca="1">TEXT(DATE(YEAR(Invoer!$A$5),1,1)+INT((ROWS(B$2:B5473)-1)/24),"""18""jjmmdd")</f>
        <v>18980816</v>
      </c>
      <c r="C5473" s="11" t="str">
        <f>INDEX(Data,2,2+MOD(ROWS(C$2:C5473)-1,24))</f>
        <v>24.00</v>
      </c>
      <c r="D5473" s="8">
        <f t="shared" ca="1" si="257"/>
        <v>3</v>
      </c>
      <c r="E5473" s="16">
        <f t="shared" ca="1" si="258"/>
        <v>0</v>
      </c>
    </row>
    <row r="5474" spans="1:5" x14ac:dyDescent="0.25">
      <c r="A5474" s="3">
        <f t="shared" si="256"/>
        <v>78989</v>
      </c>
      <c r="B5474" t="str">
        <f ca="1">TEXT(DATE(YEAR(Invoer!$A$5),1,1)+INT((ROWS(B$2:B5474)-1)/24),"""18""jjmmdd")</f>
        <v>18980817</v>
      </c>
      <c r="C5474" s="11" t="str">
        <f>INDEX(Data,2,2+MOD(ROWS(C$2:C5474)-1,24))</f>
        <v>01.00</v>
      </c>
      <c r="D5474" s="8">
        <f t="shared" ca="1" si="257"/>
        <v>4</v>
      </c>
      <c r="E5474" s="16">
        <f t="shared" ca="1" si="258"/>
        <v>0</v>
      </c>
    </row>
    <row r="5475" spans="1:5" x14ac:dyDescent="0.25">
      <c r="A5475" s="3">
        <f t="shared" si="256"/>
        <v>78989</v>
      </c>
      <c r="B5475" t="str">
        <f ca="1">TEXT(DATE(YEAR(Invoer!$A$5),1,1)+INT((ROWS(B$2:B5475)-1)/24),"""18""jjmmdd")</f>
        <v>18980817</v>
      </c>
      <c r="C5475" s="11" t="str">
        <f>INDEX(Data,2,2+MOD(ROWS(C$2:C5475)-1,24))</f>
        <v>02.00</v>
      </c>
      <c r="D5475" s="8">
        <f t="shared" ca="1" si="257"/>
        <v>5</v>
      </c>
      <c r="E5475" s="16">
        <f t="shared" ca="1" si="258"/>
        <v>0</v>
      </c>
    </row>
    <row r="5476" spans="1:5" x14ac:dyDescent="0.25">
      <c r="A5476" s="3">
        <f t="shared" si="256"/>
        <v>78989</v>
      </c>
      <c r="B5476" t="str">
        <f ca="1">TEXT(DATE(YEAR(Invoer!$A$5),1,1)+INT((ROWS(B$2:B5476)-1)/24),"""18""jjmmdd")</f>
        <v>18980817</v>
      </c>
      <c r="C5476" s="11" t="str">
        <f>INDEX(Data,2,2+MOD(ROWS(C$2:C5476)-1,24))</f>
        <v>03.00</v>
      </c>
      <c r="D5476" s="8">
        <f t="shared" ca="1" si="257"/>
        <v>2</v>
      </c>
      <c r="E5476" s="16">
        <f t="shared" ca="1" si="258"/>
        <v>0</v>
      </c>
    </row>
    <row r="5477" spans="1:5" x14ac:dyDescent="0.25">
      <c r="A5477" s="3">
        <f t="shared" si="256"/>
        <v>78989</v>
      </c>
      <c r="B5477" t="str">
        <f ca="1">TEXT(DATE(YEAR(Invoer!$A$5),1,1)+INT((ROWS(B$2:B5477)-1)/24),"""18""jjmmdd")</f>
        <v>18980817</v>
      </c>
      <c r="C5477" s="11" t="str">
        <f>INDEX(Data,2,2+MOD(ROWS(C$2:C5477)-1,24))</f>
        <v>04.00</v>
      </c>
      <c r="D5477" s="8">
        <f t="shared" ca="1" si="257"/>
        <v>0</v>
      </c>
      <c r="E5477" s="16">
        <f t="shared" ca="1" si="258"/>
        <v>0</v>
      </c>
    </row>
    <row r="5478" spans="1:5" x14ac:dyDescent="0.25">
      <c r="A5478" s="3">
        <f t="shared" si="256"/>
        <v>78989</v>
      </c>
      <c r="B5478" t="str">
        <f ca="1">TEXT(DATE(YEAR(Invoer!$A$5),1,1)+INT((ROWS(B$2:B5478)-1)/24),"""18""jjmmdd")</f>
        <v>18980817</v>
      </c>
      <c r="C5478" s="11" t="str">
        <f>INDEX(Data,2,2+MOD(ROWS(C$2:C5478)-1,24))</f>
        <v>05.00</v>
      </c>
      <c r="D5478" s="8">
        <f t="shared" ca="1" si="257"/>
        <v>1</v>
      </c>
      <c r="E5478" s="16">
        <f t="shared" ca="1" si="258"/>
        <v>0</v>
      </c>
    </row>
    <row r="5479" spans="1:5" x14ac:dyDescent="0.25">
      <c r="A5479" s="3">
        <f t="shared" si="256"/>
        <v>78989</v>
      </c>
      <c r="B5479" t="str">
        <f ca="1">TEXT(DATE(YEAR(Invoer!$A$5),1,1)+INT((ROWS(B$2:B5479)-1)/24),"""18""jjmmdd")</f>
        <v>18980817</v>
      </c>
      <c r="C5479" s="11" t="str">
        <f>INDEX(Data,2,2+MOD(ROWS(C$2:C5479)-1,24))</f>
        <v>06.00</v>
      </c>
      <c r="D5479" s="8">
        <f t="shared" ca="1" si="257"/>
        <v>1</v>
      </c>
      <c r="E5479" s="16">
        <f t="shared" ca="1" si="258"/>
        <v>0</v>
      </c>
    </row>
    <row r="5480" spans="1:5" x14ac:dyDescent="0.25">
      <c r="A5480" s="3">
        <f t="shared" si="256"/>
        <v>78989</v>
      </c>
      <c r="B5480" t="str">
        <f ca="1">TEXT(DATE(YEAR(Invoer!$A$5),1,1)+INT((ROWS(B$2:B5480)-1)/24),"""18""jjmmdd")</f>
        <v>18980817</v>
      </c>
      <c r="C5480" s="11" t="str">
        <f>INDEX(Data,2,2+MOD(ROWS(C$2:C5480)-1,24))</f>
        <v>07.00</v>
      </c>
      <c r="D5480" s="8">
        <f t="shared" ca="1" si="257"/>
        <v>9</v>
      </c>
      <c r="E5480" s="16">
        <f t="shared" ca="1" si="258"/>
        <v>0</v>
      </c>
    </row>
    <row r="5481" spans="1:5" x14ac:dyDescent="0.25">
      <c r="A5481" s="3">
        <f t="shared" si="256"/>
        <v>78989</v>
      </c>
      <c r="B5481" t="str">
        <f ca="1">TEXT(DATE(YEAR(Invoer!$A$5),1,1)+INT((ROWS(B$2:B5481)-1)/24),"""18""jjmmdd")</f>
        <v>18980817</v>
      </c>
      <c r="C5481" s="11" t="str">
        <f>INDEX(Data,2,2+MOD(ROWS(C$2:C5481)-1,24))</f>
        <v>08.00</v>
      </c>
      <c r="D5481" s="8">
        <f t="shared" ca="1" si="257"/>
        <v>6</v>
      </c>
      <c r="E5481" s="16">
        <f t="shared" ca="1" si="258"/>
        <v>0</v>
      </c>
    </row>
    <row r="5482" spans="1:5" x14ac:dyDescent="0.25">
      <c r="A5482" s="3">
        <f t="shared" si="256"/>
        <v>78989</v>
      </c>
      <c r="B5482" t="str">
        <f ca="1">TEXT(DATE(YEAR(Invoer!$A$5),1,1)+INT((ROWS(B$2:B5482)-1)/24),"""18""jjmmdd")</f>
        <v>18980817</v>
      </c>
      <c r="C5482" s="11" t="str">
        <f>INDEX(Data,2,2+MOD(ROWS(C$2:C5482)-1,24))</f>
        <v>09.00</v>
      </c>
      <c r="D5482" s="8">
        <f t="shared" ca="1" si="257"/>
        <v>5</v>
      </c>
      <c r="E5482" s="16">
        <f t="shared" ca="1" si="258"/>
        <v>0</v>
      </c>
    </row>
    <row r="5483" spans="1:5" x14ac:dyDescent="0.25">
      <c r="A5483" s="3">
        <f t="shared" si="256"/>
        <v>78989</v>
      </c>
      <c r="B5483" t="str">
        <f ca="1">TEXT(DATE(YEAR(Invoer!$A$5),1,1)+INT((ROWS(B$2:B5483)-1)/24),"""18""jjmmdd")</f>
        <v>18980817</v>
      </c>
      <c r="C5483" s="11" t="str">
        <f>INDEX(Data,2,2+MOD(ROWS(C$2:C5483)-1,24))</f>
        <v>10.00</v>
      </c>
      <c r="D5483" s="8">
        <f t="shared" ca="1" si="257"/>
        <v>6</v>
      </c>
      <c r="E5483" s="16">
        <f t="shared" ca="1" si="258"/>
        <v>0</v>
      </c>
    </row>
    <row r="5484" spans="1:5" x14ac:dyDescent="0.25">
      <c r="A5484" s="3">
        <f t="shared" si="256"/>
        <v>78989</v>
      </c>
      <c r="B5484" t="str">
        <f ca="1">TEXT(DATE(YEAR(Invoer!$A$5),1,1)+INT((ROWS(B$2:B5484)-1)/24),"""18""jjmmdd")</f>
        <v>18980817</v>
      </c>
      <c r="C5484" s="11" t="str">
        <f>INDEX(Data,2,2+MOD(ROWS(C$2:C5484)-1,24))</f>
        <v>11.00</v>
      </c>
      <c r="D5484" s="8">
        <f t="shared" ca="1" si="257"/>
        <v>7</v>
      </c>
      <c r="E5484" s="16">
        <f t="shared" ca="1" si="258"/>
        <v>0</v>
      </c>
    </row>
    <row r="5485" spans="1:5" x14ac:dyDescent="0.25">
      <c r="A5485" s="3">
        <f t="shared" si="256"/>
        <v>78989</v>
      </c>
      <c r="B5485" t="str">
        <f ca="1">TEXT(DATE(YEAR(Invoer!$A$5),1,1)+INT((ROWS(B$2:B5485)-1)/24),"""18""jjmmdd")</f>
        <v>18980817</v>
      </c>
      <c r="C5485" s="11" t="str">
        <f>INDEX(Data,2,2+MOD(ROWS(C$2:C5485)-1,24))</f>
        <v>12.00</v>
      </c>
      <c r="D5485" s="8">
        <f t="shared" ca="1" si="257"/>
        <v>5</v>
      </c>
      <c r="E5485" s="16">
        <f t="shared" ca="1" si="258"/>
        <v>0</v>
      </c>
    </row>
    <row r="5486" spans="1:5" x14ac:dyDescent="0.25">
      <c r="A5486" s="3">
        <f t="shared" si="256"/>
        <v>78989</v>
      </c>
      <c r="B5486" t="str">
        <f ca="1">TEXT(DATE(YEAR(Invoer!$A$5),1,1)+INT((ROWS(B$2:B5486)-1)/24),"""18""jjmmdd")</f>
        <v>18980817</v>
      </c>
      <c r="C5486" s="11" t="str">
        <f>INDEX(Data,2,2+MOD(ROWS(C$2:C5486)-1,24))</f>
        <v>13.00</v>
      </c>
      <c r="D5486" s="8">
        <f t="shared" ca="1" si="257"/>
        <v>4</v>
      </c>
      <c r="E5486" s="16">
        <f t="shared" ca="1" si="258"/>
        <v>0</v>
      </c>
    </row>
    <row r="5487" spans="1:5" x14ac:dyDescent="0.25">
      <c r="A5487" s="3">
        <f t="shared" si="256"/>
        <v>78989</v>
      </c>
      <c r="B5487" t="str">
        <f ca="1">TEXT(DATE(YEAR(Invoer!$A$5),1,1)+INT((ROWS(B$2:B5487)-1)/24),"""18""jjmmdd")</f>
        <v>18980817</v>
      </c>
      <c r="C5487" s="11" t="str">
        <f>INDEX(Data,2,2+MOD(ROWS(C$2:C5487)-1,24))</f>
        <v>14.00</v>
      </c>
      <c r="D5487" s="8">
        <f t="shared" ca="1" si="257"/>
        <v>9</v>
      </c>
      <c r="E5487" s="16">
        <f t="shared" ca="1" si="258"/>
        <v>0</v>
      </c>
    </row>
    <row r="5488" spans="1:5" x14ac:dyDescent="0.25">
      <c r="A5488" s="3">
        <f t="shared" si="256"/>
        <v>78989</v>
      </c>
      <c r="B5488" t="str">
        <f ca="1">TEXT(DATE(YEAR(Invoer!$A$5),1,1)+INT((ROWS(B$2:B5488)-1)/24),"""18""jjmmdd")</f>
        <v>18980817</v>
      </c>
      <c r="C5488" s="11" t="str">
        <f>INDEX(Data,2,2+MOD(ROWS(C$2:C5488)-1,24))</f>
        <v>15.00</v>
      </c>
      <c r="D5488" s="8">
        <f t="shared" ca="1" si="257"/>
        <v>10</v>
      </c>
      <c r="E5488" s="16">
        <f t="shared" ca="1" si="258"/>
        <v>0</v>
      </c>
    </row>
    <row r="5489" spans="1:5" x14ac:dyDescent="0.25">
      <c r="A5489" s="3">
        <f t="shared" si="256"/>
        <v>78989</v>
      </c>
      <c r="B5489" t="str">
        <f ca="1">TEXT(DATE(YEAR(Invoer!$A$5),1,1)+INT((ROWS(B$2:B5489)-1)/24),"""18""jjmmdd")</f>
        <v>18980817</v>
      </c>
      <c r="C5489" s="11" t="str">
        <f>INDEX(Data,2,2+MOD(ROWS(C$2:C5489)-1,24))</f>
        <v>16.00</v>
      </c>
      <c r="D5489" s="8">
        <f t="shared" ca="1" si="257"/>
        <v>12</v>
      </c>
      <c r="E5489" s="16">
        <f t="shared" ca="1" si="258"/>
        <v>0</v>
      </c>
    </row>
    <row r="5490" spans="1:5" x14ac:dyDescent="0.25">
      <c r="A5490" s="3">
        <f t="shared" si="256"/>
        <v>78989</v>
      </c>
      <c r="B5490" t="str">
        <f ca="1">TEXT(DATE(YEAR(Invoer!$A$5),1,1)+INT((ROWS(B$2:B5490)-1)/24),"""18""jjmmdd")</f>
        <v>18980817</v>
      </c>
      <c r="C5490" s="11" t="str">
        <f>INDEX(Data,2,2+MOD(ROWS(C$2:C5490)-1,24))</f>
        <v>17.00</v>
      </c>
      <c r="D5490" s="8">
        <f t="shared" ca="1" si="257"/>
        <v>13</v>
      </c>
      <c r="E5490" s="16">
        <f t="shared" ca="1" si="258"/>
        <v>0</v>
      </c>
    </row>
    <row r="5491" spans="1:5" x14ac:dyDescent="0.25">
      <c r="A5491" s="3">
        <f t="shared" si="256"/>
        <v>78989</v>
      </c>
      <c r="B5491" t="str">
        <f ca="1">TEXT(DATE(YEAR(Invoer!$A$5),1,1)+INT((ROWS(B$2:B5491)-1)/24),"""18""jjmmdd")</f>
        <v>18980817</v>
      </c>
      <c r="C5491" s="11" t="str">
        <f>INDEX(Data,2,2+MOD(ROWS(C$2:C5491)-1,24))</f>
        <v>18.00</v>
      </c>
      <c r="D5491" s="8">
        <f t="shared" ca="1" si="257"/>
        <v>14</v>
      </c>
      <c r="E5491" s="16">
        <f t="shared" ca="1" si="258"/>
        <v>0</v>
      </c>
    </row>
    <row r="5492" spans="1:5" x14ac:dyDescent="0.25">
      <c r="A5492" s="3">
        <f t="shared" si="256"/>
        <v>78989</v>
      </c>
      <c r="B5492" t="str">
        <f ca="1">TEXT(DATE(YEAR(Invoer!$A$5),1,1)+INT((ROWS(B$2:B5492)-1)/24),"""18""jjmmdd")</f>
        <v>18980817</v>
      </c>
      <c r="C5492" s="11" t="str">
        <f>INDEX(Data,2,2+MOD(ROWS(C$2:C5492)-1,24))</f>
        <v>19.00</v>
      </c>
      <c r="D5492" s="8">
        <f t="shared" ca="1" si="257"/>
        <v>13</v>
      </c>
      <c r="E5492" s="16">
        <f t="shared" ca="1" si="258"/>
        <v>0</v>
      </c>
    </row>
    <row r="5493" spans="1:5" x14ac:dyDescent="0.25">
      <c r="A5493" s="3">
        <f t="shared" si="256"/>
        <v>78989</v>
      </c>
      <c r="B5493" t="str">
        <f ca="1">TEXT(DATE(YEAR(Invoer!$A$5),1,1)+INT((ROWS(B$2:B5493)-1)/24),"""18""jjmmdd")</f>
        <v>18980817</v>
      </c>
      <c r="C5493" s="11" t="str">
        <f>INDEX(Data,2,2+MOD(ROWS(C$2:C5493)-1,24))</f>
        <v>20.00</v>
      </c>
      <c r="D5493" s="8">
        <f t="shared" ca="1" si="257"/>
        <v>12</v>
      </c>
      <c r="E5493" s="16">
        <f t="shared" ca="1" si="258"/>
        <v>0</v>
      </c>
    </row>
    <row r="5494" spans="1:5" x14ac:dyDescent="0.25">
      <c r="A5494" s="3">
        <f t="shared" si="256"/>
        <v>78989</v>
      </c>
      <c r="B5494" t="str">
        <f ca="1">TEXT(DATE(YEAR(Invoer!$A$5),1,1)+INT((ROWS(B$2:B5494)-1)/24),"""18""jjmmdd")</f>
        <v>18980817</v>
      </c>
      <c r="C5494" s="11" t="str">
        <f>INDEX(Data,2,2+MOD(ROWS(C$2:C5494)-1,24))</f>
        <v>21.00</v>
      </c>
      <c r="D5494" s="8">
        <f t="shared" ca="1" si="257"/>
        <v>12</v>
      </c>
      <c r="E5494" s="16">
        <f t="shared" ca="1" si="258"/>
        <v>0</v>
      </c>
    </row>
    <row r="5495" spans="1:5" x14ac:dyDescent="0.25">
      <c r="A5495" s="3">
        <f t="shared" si="256"/>
        <v>78989</v>
      </c>
      <c r="B5495" t="str">
        <f ca="1">TEXT(DATE(YEAR(Invoer!$A$5),1,1)+INT((ROWS(B$2:B5495)-1)/24),"""18""jjmmdd")</f>
        <v>18980817</v>
      </c>
      <c r="C5495" s="11" t="str">
        <f>INDEX(Data,2,2+MOD(ROWS(C$2:C5495)-1,24))</f>
        <v>22.00</v>
      </c>
      <c r="D5495" s="8">
        <f t="shared" ca="1" si="257"/>
        <v>11</v>
      </c>
      <c r="E5495" s="16">
        <f t="shared" ca="1" si="258"/>
        <v>0</v>
      </c>
    </row>
    <row r="5496" spans="1:5" x14ac:dyDescent="0.25">
      <c r="A5496" s="3">
        <f t="shared" si="256"/>
        <v>78989</v>
      </c>
      <c r="B5496" t="str">
        <f ca="1">TEXT(DATE(YEAR(Invoer!$A$5),1,1)+INT((ROWS(B$2:B5496)-1)/24),"""18""jjmmdd")</f>
        <v>18980817</v>
      </c>
      <c r="C5496" s="11" t="str">
        <f>INDEX(Data,2,2+MOD(ROWS(C$2:C5496)-1,24))</f>
        <v>23.00</v>
      </c>
      <c r="D5496" s="8">
        <f t="shared" ca="1" si="257"/>
        <v>12</v>
      </c>
      <c r="E5496" s="16">
        <f t="shared" ca="1" si="258"/>
        <v>0</v>
      </c>
    </row>
    <row r="5497" spans="1:5" x14ac:dyDescent="0.25">
      <c r="A5497" s="3">
        <f t="shared" si="256"/>
        <v>78989</v>
      </c>
      <c r="B5497" t="str">
        <f ca="1">TEXT(DATE(YEAR(Invoer!$A$5),1,1)+INT((ROWS(B$2:B5497)-1)/24),"""18""jjmmdd")</f>
        <v>18980817</v>
      </c>
      <c r="C5497" s="11" t="str">
        <f>INDEX(Data,2,2+MOD(ROWS(C$2:C5497)-1,24))</f>
        <v>24.00</v>
      </c>
      <c r="D5497" s="8">
        <f t="shared" ca="1" si="257"/>
        <v>10</v>
      </c>
      <c r="E5497" s="16">
        <f t="shared" ca="1" si="258"/>
        <v>0</v>
      </c>
    </row>
    <row r="5498" spans="1:5" x14ac:dyDescent="0.25">
      <c r="A5498" s="3">
        <f t="shared" si="256"/>
        <v>78989</v>
      </c>
      <c r="B5498" t="str">
        <f ca="1">TEXT(DATE(YEAR(Invoer!$A$5),1,1)+INT((ROWS(B$2:B5498)-1)/24),"""18""jjmmdd")</f>
        <v>18980818</v>
      </c>
      <c r="C5498" s="11" t="str">
        <f>INDEX(Data,2,2+MOD(ROWS(C$2:C5498)-1,24))</f>
        <v>01.00</v>
      </c>
      <c r="D5498" s="8">
        <f t="shared" ca="1" si="257"/>
        <v>12</v>
      </c>
      <c r="E5498" s="16">
        <f t="shared" ca="1" si="258"/>
        <v>0</v>
      </c>
    </row>
    <row r="5499" spans="1:5" x14ac:dyDescent="0.25">
      <c r="A5499" s="3">
        <f t="shared" si="256"/>
        <v>78989</v>
      </c>
      <c r="B5499" t="str">
        <f ca="1">TEXT(DATE(YEAR(Invoer!$A$5),1,1)+INT((ROWS(B$2:B5499)-1)/24),"""18""jjmmdd")</f>
        <v>18980818</v>
      </c>
      <c r="C5499" s="11" t="str">
        <f>INDEX(Data,2,2+MOD(ROWS(C$2:C5499)-1,24))</f>
        <v>02.00</v>
      </c>
      <c r="D5499" s="8">
        <f t="shared" ca="1" si="257"/>
        <v>10</v>
      </c>
      <c r="E5499" s="16">
        <f t="shared" ca="1" si="258"/>
        <v>0</v>
      </c>
    </row>
    <row r="5500" spans="1:5" x14ac:dyDescent="0.25">
      <c r="A5500" s="3">
        <f t="shared" si="256"/>
        <v>78989</v>
      </c>
      <c r="B5500" t="str">
        <f ca="1">TEXT(DATE(YEAR(Invoer!$A$5),1,1)+INT((ROWS(B$2:B5500)-1)/24),"""18""jjmmdd")</f>
        <v>18980818</v>
      </c>
      <c r="C5500" s="11" t="str">
        <f>INDEX(Data,2,2+MOD(ROWS(C$2:C5500)-1,24))</f>
        <v>03.00</v>
      </c>
      <c r="D5500" s="8">
        <f t="shared" ca="1" si="257"/>
        <v>9</v>
      </c>
      <c r="E5500" s="16">
        <f t="shared" ca="1" si="258"/>
        <v>0</v>
      </c>
    </row>
    <row r="5501" spans="1:5" x14ac:dyDescent="0.25">
      <c r="A5501" s="3">
        <f t="shared" si="256"/>
        <v>78989</v>
      </c>
      <c r="B5501" t="str">
        <f ca="1">TEXT(DATE(YEAR(Invoer!$A$5),1,1)+INT((ROWS(B$2:B5501)-1)/24),"""18""jjmmdd")</f>
        <v>18980818</v>
      </c>
      <c r="C5501" s="11" t="str">
        <f>INDEX(Data,2,2+MOD(ROWS(C$2:C5501)-1,24))</f>
        <v>04.00</v>
      </c>
      <c r="D5501" s="8">
        <f t="shared" ca="1" si="257"/>
        <v>8</v>
      </c>
      <c r="E5501" s="16">
        <f t="shared" ca="1" si="258"/>
        <v>0</v>
      </c>
    </row>
    <row r="5502" spans="1:5" x14ac:dyDescent="0.25">
      <c r="A5502" s="3">
        <f t="shared" si="256"/>
        <v>78989</v>
      </c>
      <c r="B5502" t="str">
        <f ca="1">TEXT(DATE(YEAR(Invoer!$A$5),1,1)+INT((ROWS(B$2:B5502)-1)/24),"""18""jjmmdd")</f>
        <v>18980818</v>
      </c>
      <c r="C5502" s="11" t="str">
        <f>INDEX(Data,2,2+MOD(ROWS(C$2:C5502)-1,24))</f>
        <v>05.00</v>
      </c>
      <c r="D5502" s="8">
        <f t="shared" ca="1" si="257"/>
        <v>14</v>
      </c>
      <c r="E5502" s="16">
        <f t="shared" ca="1" si="258"/>
        <v>0</v>
      </c>
    </row>
    <row r="5503" spans="1:5" x14ac:dyDescent="0.25">
      <c r="A5503" s="3">
        <f t="shared" si="256"/>
        <v>78989</v>
      </c>
      <c r="B5503" t="str">
        <f ca="1">TEXT(DATE(YEAR(Invoer!$A$5),1,1)+INT((ROWS(B$2:B5503)-1)/24),"""18""jjmmdd")</f>
        <v>18980818</v>
      </c>
      <c r="C5503" s="11" t="str">
        <f>INDEX(Data,2,2+MOD(ROWS(C$2:C5503)-1,24))</f>
        <v>06.00</v>
      </c>
      <c r="D5503" s="8">
        <f t="shared" ca="1" si="257"/>
        <v>13</v>
      </c>
      <c r="E5503" s="16">
        <f t="shared" ca="1" si="258"/>
        <v>0</v>
      </c>
    </row>
    <row r="5504" spans="1:5" x14ac:dyDescent="0.25">
      <c r="A5504" s="3">
        <f t="shared" si="256"/>
        <v>78989</v>
      </c>
      <c r="B5504" t="str">
        <f ca="1">TEXT(DATE(YEAR(Invoer!$A$5),1,1)+INT((ROWS(B$2:B5504)-1)/24),"""18""jjmmdd")</f>
        <v>18980818</v>
      </c>
      <c r="C5504" s="11" t="str">
        <f>INDEX(Data,2,2+MOD(ROWS(C$2:C5504)-1,24))</f>
        <v>07.00</v>
      </c>
      <c r="D5504" s="8">
        <f t="shared" ca="1" si="257"/>
        <v>14</v>
      </c>
      <c r="E5504" s="16">
        <f t="shared" ca="1" si="258"/>
        <v>0</v>
      </c>
    </row>
    <row r="5505" spans="1:5" x14ac:dyDescent="0.25">
      <c r="A5505" s="3">
        <f t="shared" si="256"/>
        <v>78989</v>
      </c>
      <c r="B5505" t="str">
        <f ca="1">TEXT(DATE(YEAR(Invoer!$A$5),1,1)+INT((ROWS(B$2:B5505)-1)/24),"""18""jjmmdd")</f>
        <v>18980818</v>
      </c>
      <c r="C5505" s="11" t="str">
        <f>INDEX(Data,2,2+MOD(ROWS(C$2:C5505)-1,24))</f>
        <v>08.00</v>
      </c>
      <c r="D5505" s="8">
        <f t="shared" ca="1" si="257"/>
        <v>14</v>
      </c>
      <c r="E5505" s="16">
        <f t="shared" ca="1" si="258"/>
        <v>0</v>
      </c>
    </row>
    <row r="5506" spans="1:5" x14ac:dyDescent="0.25">
      <c r="A5506" s="3">
        <f t="shared" ref="A5506:A5569" si="259">INDEX(Stations,2,1)</f>
        <v>78989</v>
      </c>
      <c r="B5506" t="str">
        <f ca="1">TEXT(DATE(YEAR(Invoer!$A$5),1,1)+INT((ROWS(B$2:B5506)-1)/24),"""18""jjmmdd")</f>
        <v>18980818</v>
      </c>
      <c r="C5506" s="11" t="str">
        <f>INDEX(Data,2,2+MOD(ROWS(C$2:C5506)-1,24))</f>
        <v>09.00</v>
      </c>
      <c r="D5506" s="8">
        <f t="shared" ref="D5506:D5569" ca="1" si="260">IF(OR(ISBLANK(VLOOKUP(DATEVALUE("37"&amp;MID($B5506,3,2)&amp;"-"&amp;MID($B5506,5,2)&amp;"-"&amp;RIGHT($B5506,2)),Data,MATCH(LEFT(VLOOKUP(D$1,Parameters,2,FALSE()),4)&amp;"*",OFFSET(Data,0,0,1),0)+MATCH($C5506,OFFSET(Data,1,0,1),0)-2,FALSE())),ISTEXT(VLOOKUP(DATEVALUE("37"&amp;MID($B5506,3,2)&amp;"-"&amp;MID($B5506,5,2)&amp;"-"&amp;RIGHT($B5506,2)),Data,MATCH(LEFT(VLOOKUP(D$1,Parameters,2,FALSE()),4)&amp;"*",OFFSET(Data,0,0,1),0)+MATCH($C5506,OFFSET(Data,1,0,1),0)-2,FALSE()))),"—",VLOOKUP(DATEVALUE("37"&amp;MID($B5506,3,2)&amp;"-"&amp;MID($B5506,5,2)&amp;"-"&amp;RIGHT($B5506,2)),Data,MATCH(LEFT(VLOOKUP(D$1,Parameters,2,FALSE()),4)&amp;"*",OFFSET(Data,0,0,1),0)+MATCH($C5506,OFFSET(Data,1,0,1),0)-2,FALSE()))</f>
        <v>15</v>
      </c>
      <c r="E5506" s="16">
        <f t="shared" ca="1" si="258"/>
        <v>0</v>
      </c>
    </row>
    <row r="5507" spans="1:5" x14ac:dyDescent="0.25">
      <c r="A5507" s="3">
        <f t="shared" si="259"/>
        <v>78989</v>
      </c>
      <c r="B5507" t="str">
        <f ca="1">TEXT(DATE(YEAR(Invoer!$A$5),1,1)+INT((ROWS(B$2:B5507)-1)/24),"""18""jjmmdd")</f>
        <v>18980818</v>
      </c>
      <c r="C5507" s="11" t="str">
        <f>INDEX(Data,2,2+MOD(ROWS(C$2:C5507)-1,24))</f>
        <v>10.00</v>
      </c>
      <c r="D5507" s="8">
        <f t="shared" ca="1" si="260"/>
        <v>13</v>
      </c>
      <c r="E5507" s="16">
        <f t="shared" ref="E5507:E5570" ca="1" si="261">IF(OR(ISBLANK(VLOOKUP(DATEVALUE("37"&amp;MID($B5507,3,2)&amp;"-"&amp;MID($B5507,5,2)&amp;"-"&amp;RIGHT($B5507,2)),Data,MATCH(LEFT(VLOOKUP(D$1,Parameters,2,FALSE()),4)&amp;"*",OFFSET(Data,0,0,1),0)+MATCH($C5507,OFFSET(Data,1,0,1),0)-2,FALSE())),ISTEXT(VLOOKUP(DATEVALUE("37"&amp;MID($B5507,3,2)&amp;"-"&amp;MID($B5507,5,2)&amp;"-"&amp;RIGHT($B5507,2)),Data,MATCH(LEFT(VLOOKUP(D$1,Parameters,2,FALSE()),4)&amp;"*",OFFSET(Data,0,0,1),0)+MATCH($C5507,OFFSET(Data,1,0,1),0)-2,FALSE()))),Lacking,IF(ISNA(MATCH(DATEVALUE("37"&amp;MID($B5507,3,2)&amp;"-"&amp;MID($B5507,5,2)&amp;"-"&amp;RIGHT($B5507,2)),OFFSET(Catalogus,0,0,,1),0)),Ok,VLOOKUP(DATEVALUE("37"&amp;MID($B5507,3,2)&amp;"-"&amp;MID($B5507,5,2)&amp;"-"&amp;RIGHT($B5507,2)),Catalogus,MATCH(LEFT(VLOOKUP(MID(E$1,2,LEN(E$1)-1),Parameters,2,FALSE()),4)&amp;"*",OFFSET(Catalogus,0,0,1),0)+MATCH($C5507,OFFSET(Catalogus,1,0,1),0)-2,FALSE())))</f>
        <v>0</v>
      </c>
    </row>
    <row r="5508" spans="1:5" x14ac:dyDescent="0.25">
      <c r="A5508" s="3">
        <f t="shared" si="259"/>
        <v>78989</v>
      </c>
      <c r="B5508" t="str">
        <f ca="1">TEXT(DATE(YEAR(Invoer!$A$5),1,1)+INT((ROWS(B$2:B5508)-1)/24),"""18""jjmmdd")</f>
        <v>18980818</v>
      </c>
      <c r="C5508" s="11" t="str">
        <f>INDEX(Data,2,2+MOD(ROWS(C$2:C5508)-1,24))</f>
        <v>11.00</v>
      </c>
      <c r="D5508" s="8">
        <f t="shared" ca="1" si="260"/>
        <v>14</v>
      </c>
      <c r="E5508" s="16">
        <f t="shared" ca="1" si="261"/>
        <v>0</v>
      </c>
    </row>
    <row r="5509" spans="1:5" x14ac:dyDescent="0.25">
      <c r="A5509" s="3">
        <f t="shared" si="259"/>
        <v>78989</v>
      </c>
      <c r="B5509" t="str">
        <f ca="1">TEXT(DATE(YEAR(Invoer!$A$5),1,1)+INT((ROWS(B$2:B5509)-1)/24),"""18""jjmmdd")</f>
        <v>18980818</v>
      </c>
      <c r="C5509" s="11" t="str">
        <f>INDEX(Data,2,2+MOD(ROWS(C$2:C5509)-1,24))</f>
        <v>12.00</v>
      </c>
      <c r="D5509" s="8">
        <f t="shared" ca="1" si="260"/>
        <v>12</v>
      </c>
      <c r="E5509" s="16">
        <f t="shared" ca="1" si="261"/>
        <v>0</v>
      </c>
    </row>
    <row r="5510" spans="1:5" x14ac:dyDescent="0.25">
      <c r="A5510" s="3">
        <f t="shared" si="259"/>
        <v>78989</v>
      </c>
      <c r="B5510" t="str">
        <f ca="1">TEXT(DATE(YEAR(Invoer!$A$5),1,1)+INT((ROWS(B$2:B5510)-1)/24),"""18""jjmmdd")</f>
        <v>18980818</v>
      </c>
      <c r="C5510" s="11" t="str">
        <f>INDEX(Data,2,2+MOD(ROWS(C$2:C5510)-1,24))</f>
        <v>13.00</v>
      </c>
      <c r="D5510" s="8">
        <f t="shared" ca="1" si="260"/>
        <v>13</v>
      </c>
      <c r="E5510" s="16">
        <f t="shared" ca="1" si="261"/>
        <v>0</v>
      </c>
    </row>
    <row r="5511" spans="1:5" x14ac:dyDescent="0.25">
      <c r="A5511" s="3">
        <f t="shared" si="259"/>
        <v>78989</v>
      </c>
      <c r="B5511" t="str">
        <f ca="1">TEXT(DATE(YEAR(Invoer!$A$5),1,1)+INT((ROWS(B$2:B5511)-1)/24),"""18""jjmmdd")</f>
        <v>18980818</v>
      </c>
      <c r="C5511" s="11" t="str">
        <f>INDEX(Data,2,2+MOD(ROWS(C$2:C5511)-1,24))</f>
        <v>14.00</v>
      </c>
      <c r="D5511" s="8">
        <f t="shared" ca="1" si="260"/>
        <v>11</v>
      </c>
      <c r="E5511" s="16">
        <f t="shared" ca="1" si="261"/>
        <v>0</v>
      </c>
    </row>
    <row r="5512" spans="1:5" x14ac:dyDescent="0.25">
      <c r="A5512" s="3">
        <f t="shared" si="259"/>
        <v>78989</v>
      </c>
      <c r="B5512" t="str">
        <f ca="1">TEXT(DATE(YEAR(Invoer!$A$5),1,1)+INT((ROWS(B$2:B5512)-1)/24),"""18""jjmmdd")</f>
        <v>18980818</v>
      </c>
      <c r="C5512" s="11" t="str">
        <f>INDEX(Data,2,2+MOD(ROWS(C$2:C5512)-1,24))</f>
        <v>15.00</v>
      </c>
      <c r="D5512" s="8">
        <f t="shared" ca="1" si="260"/>
        <v>11</v>
      </c>
      <c r="E5512" s="16">
        <f t="shared" ca="1" si="261"/>
        <v>0</v>
      </c>
    </row>
    <row r="5513" spans="1:5" x14ac:dyDescent="0.25">
      <c r="A5513" s="3">
        <f t="shared" si="259"/>
        <v>78989</v>
      </c>
      <c r="B5513" t="str">
        <f ca="1">TEXT(DATE(YEAR(Invoer!$A$5),1,1)+INT((ROWS(B$2:B5513)-1)/24),"""18""jjmmdd")</f>
        <v>18980818</v>
      </c>
      <c r="C5513" s="11" t="str">
        <f>INDEX(Data,2,2+MOD(ROWS(C$2:C5513)-1,24))</f>
        <v>16.00</v>
      </c>
      <c r="D5513" s="8">
        <f t="shared" ca="1" si="260"/>
        <v>13</v>
      </c>
      <c r="E5513" s="16">
        <f t="shared" ca="1" si="261"/>
        <v>0</v>
      </c>
    </row>
    <row r="5514" spans="1:5" x14ac:dyDescent="0.25">
      <c r="A5514" s="3">
        <f t="shared" si="259"/>
        <v>78989</v>
      </c>
      <c r="B5514" t="str">
        <f ca="1">TEXT(DATE(YEAR(Invoer!$A$5),1,1)+INT((ROWS(B$2:B5514)-1)/24),"""18""jjmmdd")</f>
        <v>18980818</v>
      </c>
      <c r="C5514" s="11" t="str">
        <f>INDEX(Data,2,2+MOD(ROWS(C$2:C5514)-1,24))</f>
        <v>17.00</v>
      </c>
      <c r="D5514" s="8">
        <f t="shared" ca="1" si="260"/>
        <v>14</v>
      </c>
      <c r="E5514" s="16">
        <f t="shared" ca="1" si="261"/>
        <v>0</v>
      </c>
    </row>
    <row r="5515" spans="1:5" x14ac:dyDescent="0.25">
      <c r="A5515" s="3">
        <f t="shared" si="259"/>
        <v>78989</v>
      </c>
      <c r="B5515" t="str">
        <f ca="1">TEXT(DATE(YEAR(Invoer!$A$5),1,1)+INT((ROWS(B$2:B5515)-1)/24),"""18""jjmmdd")</f>
        <v>18980818</v>
      </c>
      <c r="C5515" s="11" t="str">
        <f>INDEX(Data,2,2+MOD(ROWS(C$2:C5515)-1,24))</f>
        <v>18.00</v>
      </c>
      <c r="D5515" s="8">
        <f t="shared" ca="1" si="260"/>
        <v>15</v>
      </c>
      <c r="E5515" s="16">
        <f t="shared" ca="1" si="261"/>
        <v>0</v>
      </c>
    </row>
    <row r="5516" spans="1:5" x14ac:dyDescent="0.25">
      <c r="A5516" s="3">
        <f t="shared" si="259"/>
        <v>78989</v>
      </c>
      <c r="B5516" t="str">
        <f ca="1">TEXT(DATE(YEAR(Invoer!$A$5),1,1)+INT((ROWS(B$2:B5516)-1)/24),"""18""jjmmdd")</f>
        <v>18980818</v>
      </c>
      <c r="C5516" s="11" t="str">
        <f>INDEX(Data,2,2+MOD(ROWS(C$2:C5516)-1,24))</f>
        <v>19.00</v>
      </c>
      <c r="D5516" s="8">
        <f t="shared" ca="1" si="260"/>
        <v>13</v>
      </c>
      <c r="E5516" s="16">
        <f t="shared" ca="1" si="261"/>
        <v>0</v>
      </c>
    </row>
    <row r="5517" spans="1:5" x14ac:dyDescent="0.25">
      <c r="A5517" s="3">
        <f t="shared" si="259"/>
        <v>78989</v>
      </c>
      <c r="B5517" t="str">
        <f ca="1">TEXT(DATE(YEAR(Invoer!$A$5),1,1)+INT((ROWS(B$2:B5517)-1)/24),"""18""jjmmdd")</f>
        <v>18980818</v>
      </c>
      <c r="C5517" s="11" t="str">
        <f>INDEX(Data,2,2+MOD(ROWS(C$2:C5517)-1,24))</f>
        <v>20.00</v>
      </c>
      <c r="D5517" s="8">
        <f t="shared" ca="1" si="260"/>
        <v>11</v>
      </c>
      <c r="E5517" s="16">
        <f t="shared" ca="1" si="261"/>
        <v>0</v>
      </c>
    </row>
    <row r="5518" spans="1:5" x14ac:dyDescent="0.25">
      <c r="A5518" s="3">
        <f t="shared" si="259"/>
        <v>78989</v>
      </c>
      <c r="B5518" t="str">
        <f ca="1">TEXT(DATE(YEAR(Invoer!$A$5),1,1)+INT((ROWS(B$2:B5518)-1)/24),"""18""jjmmdd")</f>
        <v>18980818</v>
      </c>
      <c r="C5518" s="11" t="str">
        <f>INDEX(Data,2,2+MOD(ROWS(C$2:C5518)-1,24))</f>
        <v>21.00</v>
      </c>
      <c r="D5518" s="8">
        <f t="shared" ca="1" si="260"/>
        <v>12</v>
      </c>
      <c r="E5518" s="16">
        <f t="shared" ca="1" si="261"/>
        <v>0</v>
      </c>
    </row>
    <row r="5519" spans="1:5" x14ac:dyDescent="0.25">
      <c r="A5519" s="3">
        <f t="shared" si="259"/>
        <v>78989</v>
      </c>
      <c r="B5519" t="str">
        <f ca="1">TEXT(DATE(YEAR(Invoer!$A$5),1,1)+INT((ROWS(B$2:B5519)-1)/24),"""18""jjmmdd")</f>
        <v>18980818</v>
      </c>
      <c r="C5519" s="11" t="str">
        <f>INDEX(Data,2,2+MOD(ROWS(C$2:C5519)-1,24))</f>
        <v>22.00</v>
      </c>
      <c r="D5519" s="8">
        <f t="shared" ca="1" si="260"/>
        <v>13</v>
      </c>
      <c r="E5519" s="16">
        <f t="shared" ca="1" si="261"/>
        <v>0</v>
      </c>
    </row>
    <row r="5520" spans="1:5" x14ac:dyDescent="0.25">
      <c r="A5520" s="3">
        <f t="shared" si="259"/>
        <v>78989</v>
      </c>
      <c r="B5520" t="str">
        <f ca="1">TEXT(DATE(YEAR(Invoer!$A$5),1,1)+INT((ROWS(B$2:B5520)-1)/24),"""18""jjmmdd")</f>
        <v>18980818</v>
      </c>
      <c r="C5520" s="11" t="str">
        <f>INDEX(Data,2,2+MOD(ROWS(C$2:C5520)-1,24))</f>
        <v>23.00</v>
      </c>
      <c r="D5520" s="8">
        <f t="shared" ca="1" si="260"/>
        <v>12</v>
      </c>
      <c r="E5520" s="16">
        <f t="shared" ca="1" si="261"/>
        <v>0</v>
      </c>
    </row>
    <row r="5521" spans="1:5" x14ac:dyDescent="0.25">
      <c r="A5521" s="3">
        <f t="shared" si="259"/>
        <v>78989</v>
      </c>
      <c r="B5521" t="str">
        <f ca="1">TEXT(DATE(YEAR(Invoer!$A$5),1,1)+INT((ROWS(B$2:B5521)-1)/24),"""18""jjmmdd")</f>
        <v>18980818</v>
      </c>
      <c r="C5521" s="11" t="str">
        <f>INDEX(Data,2,2+MOD(ROWS(C$2:C5521)-1,24))</f>
        <v>24.00</v>
      </c>
      <c r="D5521" s="8">
        <f t="shared" ca="1" si="260"/>
        <v>10</v>
      </c>
      <c r="E5521" s="16">
        <f t="shared" ca="1" si="261"/>
        <v>0</v>
      </c>
    </row>
    <row r="5522" spans="1:5" x14ac:dyDescent="0.25">
      <c r="A5522" s="3">
        <f t="shared" si="259"/>
        <v>78989</v>
      </c>
      <c r="B5522" t="str">
        <f ca="1">TEXT(DATE(YEAR(Invoer!$A$5),1,1)+INT((ROWS(B$2:B5522)-1)/24),"""18""jjmmdd")</f>
        <v>18980819</v>
      </c>
      <c r="C5522" s="11" t="str">
        <f>INDEX(Data,2,2+MOD(ROWS(C$2:C5522)-1,24))</f>
        <v>01.00</v>
      </c>
      <c r="D5522" s="8">
        <f t="shared" ca="1" si="260"/>
        <v>10</v>
      </c>
      <c r="E5522" s="16">
        <f t="shared" ca="1" si="261"/>
        <v>0</v>
      </c>
    </row>
    <row r="5523" spans="1:5" x14ac:dyDescent="0.25">
      <c r="A5523" s="3">
        <f t="shared" si="259"/>
        <v>78989</v>
      </c>
      <c r="B5523" t="str">
        <f ca="1">TEXT(DATE(YEAR(Invoer!$A$5),1,1)+INT((ROWS(B$2:B5523)-1)/24),"""18""jjmmdd")</f>
        <v>18980819</v>
      </c>
      <c r="C5523" s="11" t="str">
        <f>INDEX(Data,2,2+MOD(ROWS(C$2:C5523)-1,24))</f>
        <v>02.00</v>
      </c>
      <c r="D5523" s="8">
        <f t="shared" ca="1" si="260"/>
        <v>9</v>
      </c>
      <c r="E5523" s="16">
        <f t="shared" ca="1" si="261"/>
        <v>0</v>
      </c>
    </row>
    <row r="5524" spans="1:5" x14ac:dyDescent="0.25">
      <c r="A5524" s="3">
        <f t="shared" si="259"/>
        <v>78989</v>
      </c>
      <c r="B5524" t="str">
        <f ca="1">TEXT(DATE(YEAR(Invoer!$A$5),1,1)+INT((ROWS(B$2:B5524)-1)/24),"""18""jjmmdd")</f>
        <v>18980819</v>
      </c>
      <c r="C5524" s="11" t="str">
        <f>INDEX(Data,2,2+MOD(ROWS(C$2:C5524)-1,24))</f>
        <v>03.00</v>
      </c>
      <c r="D5524" s="8">
        <f t="shared" ca="1" si="260"/>
        <v>8</v>
      </c>
      <c r="E5524" s="16">
        <f t="shared" ca="1" si="261"/>
        <v>0</v>
      </c>
    </row>
    <row r="5525" spans="1:5" x14ac:dyDescent="0.25">
      <c r="A5525" s="3">
        <f t="shared" si="259"/>
        <v>78989</v>
      </c>
      <c r="B5525" t="str">
        <f ca="1">TEXT(DATE(YEAR(Invoer!$A$5),1,1)+INT((ROWS(B$2:B5525)-1)/24),"""18""jjmmdd")</f>
        <v>18980819</v>
      </c>
      <c r="C5525" s="11" t="str">
        <f>INDEX(Data,2,2+MOD(ROWS(C$2:C5525)-1,24))</f>
        <v>04.00</v>
      </c>
      <c r="D5525" s="8">
        <f t="shared" ca="1" si="260"/>
        <v>7</v>
      </c>
      <c r="E5525" s="16">
        <f t="shared" ca="1" si="261"/>
        <v>0</v>
      </c>
    </row>
    <row r="5526" spans="1:5" x14ac:dyDescent="0.25">
      <c r="A5526" s="3">
        <f t="shared" si="259"/>
        <v>78989</v>
      </c>
      <c r="B5526" t="str">
        <f ca="1">TEXT(DATE(YEAR(Invoer!$A$5),1,1)+INT((ROWS(B$2:B5526)-1)/24),"""18""jjmmdd")</f>
        <v>18980819</v>
      </c>
      <c r="C5526" s="11" t="str">
        <f>INDEX(Data,2,2+MOD(ROWS(C$2:C5526)-1,24))</f>
        <v>05.00</v>
      </c>
      <c r="D5526" s="8">
        <f t="shared" ca="1" si="260"/>
        <v>6</v>
      </c>
      <c r="E5526" s="16">
        <f t="shared" ca="1" si="261"/>
        <v>0</v>
      </c>
    </row>
    <row r="5527" spans="1:5" x14ac:dyDescent="0.25">
      <c r="A5527" s="3">
        <f t="shared" si="259"/>
        <v>78989</v>
      </c>
      <c r="B5527" t="str">
        <f ca="1">TEXT(DATE(YEAR(Invoer!$A$5),1,1)+INT((ROWS(B$2:B5527)-1)/24),"""18""jjmmdd")</f>
        <v>18980819</v>
      </c>
      <c r="C5527" s="11" t="str">
        <f>INDEX(Data,2,2+MOD(ROWS(C$2:C5527)-1,24))</f>
        <v>06.00</v>
      </c>
      <c r="D5527" s="8">
        <f t="shared" ca="1" si="260"/>
        <v>6</v>
      </c>
      <c r="E5527" s="16">
        <f t="shared" ca="1" si="261"/>
        <v>0</v>
      </c>
    </row>
    <row r="5528" spans="1:5" x14ac:dyDescent="0.25">
      <c r="A5528" s="3">
        <f t="shared" si="259"/>
        <v>78989</v>
      </c>
      <c r="B5528" t="str">
        <f ca="1">TEXT(DATE(YEAR(Invoer!$A$5),1,1)+INT((ROWS(B$2:B5528)-1)/24),"""18""jjmmdd")</f>
        <v>18980819</v>
      </c>
      <c r="C5528" s="11" t="str">
        <f>INDEX(Data,2,2+MOD(ROWS(C$2:C5528)-1,24))</f>
        <v>07.00</v>
      </c>
      <c r="D5528" s="8">
        <f t="shared" ca="1" si="260"/>
        <v>9</v>
      </c>
      <c r="E5528" s="16">
        <f t="shared" ca="1" si="261"/>
        <v>0</v>
      </c>
    </row>
    <row r="5529" spans="1:5" x14ac:dyDescent="0.25">
      <c r="A5529" s="3">
        <f t="shared" si="259"/>
        <v>78989</v>
      </c>
      <c r="B5529" t="str">
        <f ca="1">TEXT(DATE(YEAR(Invoer!$A$5),1,1)+INT((ROWS(B$2:B5529)-1)/24),"""18""jjmmdd")</f>
        <v>18980819</v>
      </c>
      <c r="C5529" s="11" t="str">
        <f>INDEX(Data,2,2+MOD(ROWS(C$2:C5529)-1,24))</f>
        <v>08.00</v>
      </c>
      <c r="D5529" s="8">
        <f t="shared" ca="1" si="260"/>
        <v>8</v>
      </c>
      <c r="E5529" s="16">
        <f t="shared" ca="1" si="261"/>
        <v>0</v>
      </c>
    </row>
    <row r="5530" spans="1:5" x14ac:dyDescent="0.25">
      <c r="A5530" s="3">
        <f t="shared" si="259"/>
        <v>78989</v>
      </c>
      <c r="B5530" t="str">
        <f ca="1">TEXT(DATE(YEAR(Invoer!$A$5),1,1)+INT((ROWS(B$2:B5530)-1)/24),"""18""jjmmdd")</f>
        <v>18980819</v>
      </c>
      <c r="C5530" s="11" t="str">
        <f>INDEX(Data,2,2+MOD(ROWS(C$2:C5530)-1,24))</f>
        <v>09.00</v>
      </c>
      <c r="D5530" s="8">
        <f t="shared" ca="1" si="260"/>
        <v>9</v>
      </c>
      <c r="E5530" s="16">
        <f t="shared" ca="1" si="261"/>
        <v>0</v>
      </c>
    </row>
    <row r="5531" spans="1:5" x14ac:dyDescent="0.25">
      <c r="A5531" s="3">
        <f t="shared" si="259"/>
        <v>78989</v>
      </c>
      <c r="B5531" t="str">
        <f ca="1">TEXT(DATE(YEAR(Invoer!$A$5),1,1)+INT((ROWS(B$2:B5531)-1)/24),"""18""jjmmdd")</f>
        <v>18980819</v>
      </c>
      <c r="C5531" s="11" t="str">
        <f>INDEX(Data,2,2+MOD(ROWS(C$2:C5531)-1,24))</f>
        <v>10.00</v>
      </c>
      <c r="D5531" s="8">
        <f t="shared" ca="1" si="260"/>
        <v>11</v>
      </c>
      <c r="E5531" s="16">
        <f t="shared" ca="1" si="261"/>
        <v>0</v>
      </c>
    </row>
    <row r="5532" spans="1:5" x14ac:dyDescent="0.25">
      <c r="A5532" s="3">
        <f t="shared" si="259"/>
        <v>78989</v>
      </c>
      <c r="B5532" t="str">
        <f ca="1">TEXT(DATE(YEAR(Invoer!$A$5),1,1)+INT((ROWS(B$2:B5532)-1)/24),"""18""jjmmdd")</f>
        <v>18980819</v>
      </c>
      <c r="C5532" s="11" t="str">
        <f>INDEX(Data,2,2+MOD(ROWS(C$2:C5532)-1,24))</f>
        <v>11.00</v>
      </c>
      <c r="D5532" s="8">
        <f t="shared" ca="1" si="260"/>
        <v>12</v>
      </c>
      <c r="E5532" s="16">
        <f t="shared" ca="1" si="261"/>
        <v>0</v>
      </c>
    </row>
    <row r="5533" spans="1:5" x14ac:dyDescent="0.25">
      <c r="A5533" s="3">
        <f t="shared" si="259"/>
        <v>78989</v>
      </c>
      <c r="B5533" t="str">
        <f ca="1">TEXT(DATE(YEAR(Invoer!$A$5),1,1)+INT((ROWS(B$2:B5533)-1)/24),"""18""jjmmdd")</f>
        <v>18980819</v>
      </c>
      <c r="C5533" s="11" t="str">
        <f>INDEX(Data,2,2+MOD(ROWS(C$2:C5533)-1,24))</f>
        <v>12.00</v>
      </c>
      <c r="D5533" s="8">
        <f t="shared" ca="1" si="260"/>
        <v>9</v>
      </c>
      <c r="E5533" s="16">
        <f t="shared" ca="1" si="261"/>
        <v>0</v>
      </c>
    </row>
    <row r="5534" spans="1:5" x14ac:dyDescent="0.25">
      <c r="A5534" s="3">
        <f t="shared" si="259"/>
        <v>78989</v>
      </c>
      <c r="B5534" t="str">
        <f ca="1">TEXT(DATE(YEAR(Invoer!$A$5),1,1)+INT((ROWS(B$2:B5534)-1)/24),"""18""jjmmdd")</f>
        <v>18980819</v>
      </c>
      <c r="C5534" s="11" t="str">
        <f>INDEX(Data,2,2+MOD(ROWS(C$2:C5534)-1,24))</f>
        <v>13.00</v>
      </c>
      <c r="D5534" s="8">
        <f t="shared" ca="1" si="260"/>
        <v>4</v>
      </c>
      <c r="E5534" s="16">
        <f t="shared" ca="1" si="261"/>
        <v>0</v>
      </c>
    </row>
    <row r="5535" spans="1:5" x14ac:dyDescent="0.25">
      <c r="A5535" s="3">
        <f t="shared" si="259"/>
        <v>78989</v>
      </c>
      <c r="B5535" t="str">
        <f ca="1">TEXT(DATE(YEAR(Invoer!$A$5),1,1)+INT((ROWS(B$2:B5535)-1)/24),"""18""jjmmdd")</f>
        <v>18980819</v>
      </c>
      <c r="C5535" s="11" t="str">
        <f>INDEX(Data,2,2+MOD(ROWS(C$2:C5535)-1,24))</f>
        <v>14.00</v>
      </c>
      <c r="D5535" s="8">
        <f t="shared" ca="1" si="260"/>
        <v>9</v>
      </c>
      <c r="E5535" s="16">
        <f t="shared" ca="1" si="261"/>
        <v>0</v>
      </c>
    </row>
    <row r="5536" spans="1:5" x14ac:dyDescent="0.25">
      <c r="A5536" s="3">
        <f t="shared" si="259"/>
        <v>78989</v>
      </c>
      <c r="B5536" t="str">
        <f ca="1">TEXT(DATE(YEAR(Invoer!$A$5),1,1)+INT((ROWS(B$2:B5536)-1)/24),"""18""jjmmdd")</f>
        <v>18980819</v>
      </c>
      <c r="C5536" s="11" t="str">
        <f>INDEX(Data,2,2+MOD(ROWS(C$2:C5536)-1,24))</f>
        <v>15.00</v>
      </c>
      <c r="D5536" s="8">
        <f t="shared" ca="1" si="260"/>
        <v>10</v>
      </c>
      <c r="E5536" s="16">
        <f t="shared" ca="1" si="261"/>
        <v>0</v>
      </c>
    </row>
    <row r="5537" spans="1:5" x14ac:dyDescent="0.25">
      <c r="A5537" s="3">
        <f t="shared" si="259"/>
        <v>78989</v>
      </c>
      <c r="B5537" t="str">
        <f ca="1">TEXT(DATE(YEAR(Invoer!$A$5),1,1)+INT((ROWS(B$2:B5537)-1)/24),"""18""jjmmdd")</f>
        <v>18980819</v>
      </c>
      <c r="C5537" s="11" t="str">
        <f>INDEX(Data,2,2+MOD(ROWS(C$2:C5537)-1,24))</f>
        <v>16.00</v>
      </c>
      <c r="D5537" s="8">
        <f t="shared" ca="1" si="260"/>
        <v>11</v>
      </c>
      <c r="E5537" s="16">
        <f t="shared" ca="1" si="261"/>
        <v>0</v>
      </c>
    </row>
    <row r="5538" spans="1:5" x14ac:dyDescent="0.25">
      <c r="A5538" s="3">
        <f t="shared" si="259"/>
        <v>78989</v>
      </c>
      <c r="B5538" t="str">
        <f ca="1">TEXT(DATE(YEAR(Invoer!$A$5),1,1)+INT((ROWS(B$2:B5538)-1)/24),"""18""jjmmdd")</f>
        <v>18980819</v>
      </c>
      <c r="C5538" s="11" t="str">
        <f>INDEX(Data,2,2+MOD(ROWS(C$2:C5538)-1,24))</f>
        <v>17.00</v>
      </c>
      <c r="D5538" s="8">
        <f t="shared" ca="1" si="260"/>
        <v>12</v>
      </c>
      <c r="E5538" s="16">
        <f t="shared" ca="1" si="261"/>
        <v>0</v>
      </c>
    </row>
    <row r="5539" spans="1:5" x14ac:dyDescent="0.25">
      <c r="A5539" s="3">
        <f t="shared" si="259"/>
        <v>78989</v>
      </c>
      <c r="B5539" t="str">
        <f ca="1">TEXT(DATE(YEAR(Invoer!$A$5),1,1)+INT((ROWS(B$2:B5539)-1)/24),"""18""jjmmdd")</f>
        <v>18980819</v>
      </c>
      <c r="C5539" s="11" t="str">
        <f>INDEX(Data,2,2+MOD(ROWS(C$2:C5539)-1,24))</f>
        <v>18.00</v>
      </c>
      <c r="D5539" s="8">
        <f t="shared" ca="1" si="260"/>
        <v>13</v>
      </c>
      <c r="E5539" s="16">
        <f t="shared" ca="1" si="261"/>
        <v>0</v>
      </c>
    </row>
    <row r="5540" spans="1:5" x14ac:dyDescent="0.25">
      <c r="A5540" s="3">
        <f t="shared" si="259"/>
        <v>78989</v>
      </c>
      <c r="B5540" t="str">
        <f ca="1">TEXT(DATE(YEAR(Invoer!$A$5),1,1)+INT((ROWS(B$2:B5540)-1)/24),"""18""jjmmdd")</f>
        <v>18980819</v>
      </c>
      <c r="C5540" s="11" t="str">
        <f>INDEX(Data,2,2+MOD(ROWS(C$2:C5540)-1,24))</f>
        <v>19.00</v>
      </c>
      <c r="D5540" s="8">
        <f t="shared" ca="1" si="260"/>
        <v>11</v>
      </c>
      <c r="E5540" s="16">
        <f t="shared" ca="1" si="261"/>
        <v>0</v>
      </c>
    </row>
    <row r="5541" spans="1:5" x14ac:dyDescent="0.25">
      <c r="A5541" s="3">
        <f t="shared" si="259"/>
        <v>78989</v>
      </c>
      <c r="B5541" t="str">
        <f ca="1">TEXT(DATE(YEAR(Invoer!$A$5),1,1)+INT((ROWS(B$2:B5541)-1)/24),"""18""jjmmdd")</f>
        <v>18980819</v>
      </c>
      <c r="C5541" s="11" t="str">
        <f>INDEX(Data,2,2+MOD(ROWS(C$2:C5541)-1,24))</f>
        <v>20.00</v>
      </c>
      <c r="D5541" s="8">
        <f t="shared" ca="1" si="260"/>
        <v>9</v>
      </c>
      <c r="E5541" s="16">
        <f t="shared" ca="1" si="261"/>
        <v>0</v>
      </c>
    </row>
    <row r="5542" spans="1:5" x14ac:dyDescent="0.25">
      <c r="A5542" s="3">
        <f t="shared" si="259"/>
        <v>78989</v>
      </c>
      <c r="B5542" t="str">
        <f ca="1">TEXT(DATE(YEAR(Invoer!$A$5),1,1)+INT((ROWS(B$2:B5542)-1)/24),"""18""jjmmdd")</f>
        <v>18980819</v>
      </c>
      <c r="C5542" s="11" t="str">
        <f>INDEX(Data,2,2+MOD(ROWS(C$2:C5542)-1,24))</f>
        <v>21.00</v>
      </c>
      <c r="D5542" s="8">
        <f t="shared" ca="1" si="260"/>
        <v>9</v>
      </c>
      <c r="E5542" s="16">
        <f t="shared" ca="1" si="261"/>
        <v>0</v>
      </c>
    </row>
    <row r="5543" spans="1:5" x14ac:dyDescent="0.25">
      <c r="A5543" s="3">
        <f t="shared" si="259"/>
        <v>78989</v>
      </c>
      <c r="B5543" t="str">
        <f ca="1">TEXT(DATE(YEAR(Invoer!$A$5),1,1)+INT((ROWS(B$2:B5543)-1)/24),"""18""jjmmdd")</f>
        <v>18980819</v>
      </c>
      <c r="C5543" s="11" t="str">
        <f>INDEX(Data,2,2+MOD(ROWS(C$2:C5543)-1,24))</f>
        <v>22.00</v>
      </c>
      <c r="D5543" s="8">
        <f t="shared" ca="1" si="260"/>
        <v>9</v>
      </c>
      <c r="E5543" s="16">
        <f t="shared" ca="1" si="261"/>
        <v>0</v>
      </c>
    </row>
    <row r="5544" spans="1:5" x14ac:dyDescent="0.25">
      <c r="A5544" s="3">
        <f t="shared" si="259"/>
        <v>78989</v>
      </c>
      <c r="B5544" t="str">
        <f ca="1">TEXT(DATE(YEAR(Invoer!$A$5),1,1)+INT((ROWS(B$2:B5544)-1)/24),"""18""jjmmdd")</f>
        <v>18980819</v>
      </c>
      <c r="C5544" s="11" t="str">
        <f>INDEX(Data,2,2+MOD(ROWS(C$2:C5544)-1,24))</f>
        <v>23.00</v>
      </c>
      <c r="D5544" s="8">
        <f t="shared" ca="1" si="260"/>
        <v>8</v>
      </c>
      <c r="E5544" s="16">
        <f t="shared" ca="1" si="261"/>
        <v>0</v>
      </c>
    </row>
    <row r="5545" spans="1:5" x14ac:dyDescent="0.25">
      <c r="A5545" s="3">
        <f t="shared" si="259"/>
        <v>78989</v>
      </c>
      <c r="B5545" t="str">
        <f ca="1">TEXT(DATE(YEAR(Invoer!$A$5),1,1)+INT((ROWS(B$2:B5545)-1)/24),"""18""jjmmdd")</f>
        <v>18980819</v>
      </c>
      <c r="C5545" s="11" t="str">
        <f>INDEX(Data,2,2+MOD(ROWS(C$2:C5545)-1,24))</f>
        <v>24.00</v>
      </c>
      <c r="D5545" s="8">
        <f t="shared" ca="1" si="260"/>
        <v>7</v>
      </c>
      <c r="E5545" s="16">
        <f t="shared" ca="1" si="261"/>
        <v>0</v>
      </c>
    </row>
    <row r="5546" spans="1:5" x14ac:dyDescent="0.25">
      <c r="A5546" s="3">
        <f t="shared" si="259"/>
        <v>78989</v>
      </c>
      <c r="B5546" t="str">
        <f ca="1">TEXT(DATE(YEAR(Invoer!$A$5),1,1)+INT((ROWS(B$2:B5546)-1)/24),"""18""jjmmdd")</f>
        <v>18980820</v>
      </c>
      <c r="C5546" s="11" t="str">
        <f>INDEX(Data,2,2+MOD(ROWS(C$2:C5546)-1,24))</f>
        <v>01.00</v>
      </c>
      <c r="D5546" s="8">
        <f t="shared" ca="1" si="260"/>
        <v>7</v>
      </c>
      <c r="E5546" s="16">
        <f t="shared" ca="1" si="261"/>
        <v>0</v>
      </c>
    </row>
    <row r="5547" spans="1:5" x14ac:dyDescent="0.25">
      <c r="A5547" s="3">
        <f t="shared" si="259"/>
        <v>78989</v>
      </c>
      <c r="B5547" t="str">
        <f ca="1">TEXT(DATE(YEAR(Invoer!$A$5),1,1)+INT((ROWS(B$2:B5547)-1)/24),"""18""jjmmdd")</f>
        <v>18980820</v>
      </c>
      <c r="C5547" s="11" t="str">
        <f>INDEX(Data,2,2+MOD(ROWS(C$2:C5547)-1,24))</f>
        <v>02.00</v>
      </c>
      <c r="D5547" s="8">
        <f t="shared" ca="1" si="260"/>
        <v>6</v>
      </c>
      <c r="E5547" s="16">
        <f t="shared" ca="1" si="261"/>
        <v>0</v>
      </c>
    </row>
    <row r="5548" spans="1:5" x14ac:dyDescent="0.25">
      <c r="A5548" s="3">
        <f t="shared" si="259"/>
        <v>78989</v>
      </c>
      <c r="B5548" t="str">
        <f ca="1">TEXT(DATE(YEAR(Invoer!$A$5),1,1)+INT((ROWS(B$2:B5548)-1)/24),"""18""jjmmdd")</f>
        <v>18980820</v>
      </c>
      <c r="C5548" s="11" t="str">
        <f>INDEX(Data,2,2+MOD(ROWS(C$2:C5548)-1,24))</f>
        <v>03.00</v>
      </c>
      <c r="D5548" s="8">
        <f t="shared" ca="1" si="260"/>
        <v>5</v>
      </c>
      <c r="E5548" s="16">
        <f t="shared" ca="1" si="261"/>
        <v>0</v>
      </c>
    </row>
    <row r="5549" spans="1:5" x14ac:dyDescent="0.25">
      <c r="A5549" s="3">
        <f t="shared" si="259"/>
        <v>78989</v>
      </c>
      <c r="B5549" t="str">
        <f ca="1">TEXT(DATE(YEAR(Invoer!$A$5),1,1)+INT((ROWS(B$2:B5549)-1)/24),"""18""jjmmdd")</f>
        <v>18980820</v>
      </c>
      <c r="C5549" s="11" t="str">
        <f>INDEX(Data,2,2+MOD(ROWS(C$2:C5549)-1,24))</f>
        <v>04.00</v>
      </c>
      <c r="D5549" s="8">
        <f t="shared" ca="1" si="260"/>
        <v>7</v>
      </c>
      <c r="E5549" s="16">
        <f t="shared" ca="1" si="261"/>
        <v>0</v>
      </c>
    </row>
    <row r="5550" spans="1:5" x14ac:dyDescent="0.25">
      <c r="A5550" s="3">
        <f t="shared" si="259"/>
        <v>78989</v>
      </c>
      <c r="B5550" t="str">
        <f ca="1">TEXT(DATE(YEAR(Invoer!$A$5),1,1)+INT((ROWS(B$2:B5550)-1)/24),"""18""jjmmdd")</f>
        <v>18980820</v>
      </c>
      <c r="C5550" s="11" t="str">
        <f>INDEX(Data,2,2+MOD(ROWS(C$2:C5550)-1,24))</f>
        <v>05.00</v>
      </c>
      <c r="D5550" s="8">
        <f t="shared" ca="1" si="260"/>
        <v>6</v>
      </c>
      <c r="E5550" s="16">
        <f t="shared" ca="1" si="261"/>
        <v>0</v>
      </c>
    </row>
    <row r="5551" spans="1:5" x14ac:dyDescent="0.25">
      <c r="A5551" s="3">
        <f t="shared" si="259"/>
        <v>78989</v>
      </c>
      <c r="B5551" t="str">
        <f ca="1">TEXT(DATE(YEAR(Invoer!$A$5),1,1)+INT((ROWS(B$2:B5551)-1)/24),"""18""jjmmdd")</f>
        <v>18980820</v>
      </c>
      <c r="C5551" s="11" t="str">
        <f>INDEX(Data,2,2+MOD(ROWS(C$2:C5551)-1,24))</f>
        <v>06.00</v>
      </c>
      <c r="D5551" s="8">
        <f t="shared" ca="1" si="260"/>
        <v>8</v>
      </c>
      <c r="E5551" s="16">
        <f t="shared" ca="1" si="261"/>
        <v>0</v>
      </c>
    </row>
    <row r="5552" spans="1:5" x14ac:dyDescent="0.25">
      <c r="A5552" s="3">
        <f t="shared" si="259"/>
        <v>78989</v>
      </c>
      <c r="B5552" t="str">
        <f ca="1">TEXT(DATE(YEAR(Invoer!$A$5),1,1)+INT((ROWS(B$2:B5552)-1)/24),"""18""jjmmdd")</f>
        <v>18980820</v>
      </c>
      <c r="C5552" s="11" t="str">
        <f>INDEX(Data,2,2+MOD(ROWS(C$2:C5552)-1,24))</f>
        <v>07.00</v>
      </c>
      <c r="D5552" s="8">
        <f t="shared" ca="1" si="260"/>
        <v>8</v>
      </c>
      <c r="E5552" s="16">
        <f t="shared" ca="1" si="261"/>
        <v>0</v>
      </c>
    </row>
    <row r="5553" spans="1:5" x14ac:dyDescent="0.25">
      <c r="A5553" s="3">
        <f t="shared" si="259"/>
        <v>78989</v>
      </c>
      <c r="B5553" t="str">
        <f ca="1">TEXT(DATE(YEAR(Invoer!$A$5),1,1)+INT((ROWS(B$2:B5553)-1)/24),"""18""jjmmdd")</f>
        <v>18980820</v>
      </c>
      <c r="C5553" s="11" t="str">
        <f>INDEX(Data,2,2+MOD(ROWS(C$2:C5553)-1,24))</f>
        <v>08.00</v>
      </c>
      <c r="D5553" s="8">
        <f t="shared" ca="1" si="260"/>
        <v>11</v>
      </c>
      <c r="E5553" s="16">
        <f t="shared" ca="1" si="261"/>
        <v>0</v>
      </c>
    </row>
    <row r="5554" spans="1:5" x14ac:dyDescent="0.25">
      <c r="A5554" s="3">
        <f t="shared" si="259"/>
        <v>78989</v>
      </c>
      <c r="B5554" t="str">
        <f ca="1">TEXT(DATE(YEAR(Invoer!$A$5),1,1)+INT((ROWS(B$2:B5554)-1)/24),"""18""jjmmdd")</f>
        <v>18980820</v>
      </c>
      <c r="C5554" s="11" t="str">
        <f>INDEX(Data,2,2+MOD(ROWS(C$2:C5554)-1,24))</f>
        <v>09.00</v>
      </c>
      <c r="D5554" s="8">
        <f t="shared" ca="1" si="260"/>
        <v>11</v>
      </c>
      <c r="E5554" s="16">
        <f t="shared" ca="1" si="261"/>
        <v>0</v>
      </c>
    </row>
    <row r="5555" spans="1:5" x14ac:dyDescent="0.25">
      <c r="A5555" s="3">
        <f t="shared" si="259"/>
        <v>78989</v>
      </c>
      <c r="B5555" t="str">
        <f ca="1">TEXT(DATE(YEAR(Invoer!$A$5),1,1)+INT((ROWS(B$2:B5555)-1)/24),"""18""jjmmdd")</f>
        <v>18980820</v>
      </c>
      <c r="C5555" s="11" t="str">
        <f>INDEX(Data,2,2+MOD(ROWS(C$2:C5555)-1,24))</f>
        <v>10.00</v>
      </c>
      <c r="D5555" s="8">
        <f t="shared" ca="1" si="260"/>
        <v>14</v>
      </c>
      <c r="E5555" s="16">
        <f t="shared" ca="1" si="261"/>
        <v>0</v>
      </c>
    </row>
    <row r="5556" spans="1:5" x14ac:dyDescent="0.25">
      <c r="A5556" s="3">
        <f t="shared" si="259"/>
        <v>78989</v>
      </c>
      <c r="B5556" t="str">
        <f ca="1">TEXT(DATE(YEAR(Invoer!$A$5),1,1)+INT((ROWS(B$2:B5556)-1)/24),"""18""jjmmdd")</f>
        <v>18980820</v>
      </c>
      <c r="C5556" s="11" t="str">
        <f>INDEX(Data,2,2+MOD(ROWS(C$2:C5556)-1,24))</f>
        <v>11.00</v>
      </c>
      <c r="D5556" s="8">
        <f t="shared" ca="1" si="260"/>
        <v>12</v>
      </c>
      <c r="E5556" s="16">
        <f t="shared" ca="1" si="261"/>
        <v>0</v>
      </c>
    </row>
    <row r="5557" spans="1:5" x14ac:dyDescent="0.25">
      <c r="A5557" s="3">
        <f t="shared" si="259"/>
        <v>78989</v>
      </c>
      <c r="B5557" t="str">
        <f ca="1">TEXT(DATE(YEAR(Invoer!$A$5),1,1)+INT((ROWS(B$2:B5557)-1)/24),"""18""jjmmdd")</f>
        <v>18980820</v>
      </c>
      <c r="C5557" s="11" t="str">
        <f>INDEX(Data,2,2+MOD(ROWS(C$2:C5557)-1,24))</f>
        <v>12.00</v>
      </c>
      <c r="D5557" s="8">
        <f t="shared" ca="1" si="260"/>
        <v>13</v>
      </c>
      <c r="E5557" s="16">
        <f t="shared" ca="1" si="261"/>
        <v>0</v>
      </c>
    </row>
    <row r="5558" spans="1:5" x14ac:dyDescent="0.25">
      <c r="A5558" s="3">
        <f t="shared" si="259"/>
        <v>78989</v>
      </c>
      <c r="B5558" t="str">
        <f ca="1">TEXT(DATE(YEAR(Invoer!$A$5),1,1)+INT((ROWS(B$2:B5558)-1)/24),"""18""jjmmdd")</f>
        <v>18980820</v>
      </c>
      <c r="C5558" s="11" t="str">
        <f>INDEX(Data,2,2+MOD(ROWS(C$2:C5558)-1,24))</f>
        <v>13.00</v>
      </c>
      <c r="D5558" s="8">
        <f t="shared" ca="1" si="260"/>
        <v>15</v>
      </c>
      <c r="E5558" s="16">
        <f t="shared" ca="1" si="261"/>
        <v>0</v>
      </c>
    </row>
    <row r="5559" spans="1:5" x14ac:dyDescent="0.25">
      <c r="A5559" s="3">
        <f t="shared" si="259"/>
        <v>78989</v>
      </c>
      <c r="B5559" t="str">
        <f ca="1">TEXT(DATE(YEAR(Invoer!$A$5),1,1)+INT((ROWS(B$2:B5559)-1)/24),"""18""jjmmdd")</f>
        <v>18980820</v>
      </c>
      <c r="C5559" s="11" t="str">
        <f>INDEX(Data,2,2+MOD(ROWS(C$2:C5559)-1,24))</f>
        <v>14.00</v>
      </c>
      <c r="D5559" s="8">
        <f t="shared" ca="1" si="260"/>
        <v>12</v>
      </c>
      <c r="E5559" s="16">
        <f t="shared" ca="1" si="261"/>
        <v>0</v>
      </c>
    </row>
    <row r="5560" spans="1:5" x14ac:dyDescent="0.25">
      <c r="A5560" s="3">
        <f t="shared" si="259"/>
        <v>78989</v>
      </c>
      <c r="B5560" t="str">
        <f ca="1">TEXT(DATE(YEAR(Invoer!$A$5),1,1)+INT((ROWS(B$2:B5560)-1)/24),"""18""jjmmdd")</f>
        <v>18980820</v>
      </c>
      <c r="C5560" s="11" t="str">
        <f>INDEX(Data,2,2+MOD(ROWS(C$2:C5560)-1,24))</f>
        <v>15.00</v>
      </c>
      <c r="D5560" s="8">
        <f t="shared" ca="1" si="260"/>
        <v>12</v>
      </c>
      <c r="E5560" s="16">
        <f t="shared" ca="1" si="261"/>
        <v>0</v>
      </c>
    </row>
    <row r="5561" spans="1:5" x14ac:dyDescent="0.25">
      <c r="A5561" s="3">
        <f t="shared" si="259"/>
        <v>78989</v>
      </c>
      <c r="B5561" t="str">
        <f ca="1">TEXT(DATE(YEAR(Invoer!$A$5),1,1)+INT((ROWS(B$2:B5561)-1)/24),"""18""jjmmdd")</f>
        <v>18980820</v>
      </c>
      <c r="C5561" s="11" t="str">
        <f>INDEX(Data,2,2+MOD(ROWS(C$2:C5561)-1,24))</f>
        <v>16.00</v>
      </c>
      <c r="D5561" s="8">
        <f t="shared" ca="1" si="260"/>
        <v>14</v>
      </c>
      <c r="E5561" s="16">
        <f t="shared" ca="1" si="261"/>
        <v>0</v>
      </c>
    </row>
    <row r="5562" spans="1:5" x14ac:dyDescent="0.25">
      <c r="A5562" s="3">
        <f t="shared" si="259"/>
        <v>78989</v>
      </c>
      <c r="B5562" t="str">
        <f ca="1">TEXT(DATE(YEAR(Invoer!$A$5),1,1)+INT((ROWS(B$2:B5562)-1)/24),"""18""jjmmdd")</f>
        <v>18980820</v>
      </c>
      <c r="C5562" s="11" t="str">
        <f>INDEX(Data,2,2+MOD(ROWS(C$2:C5562)-1,24))</f>
        <v>17.00</v>
      </c>
      <c r="D5562" s="8">
        <f t="shared" ca="1" si="260"/>
        <v>14</v>
      </c>
      <c r="E5562" s="16">
        <f t="shared" ca="1" si="261"/>
        <v>0</v>
      </c>
    </row>
    <row r="5563" spans="1:5" x14ac:dyDescent="0.25">
      <c r="A5563" s="3">
        <f t="shared" si="259"/>
        <v>78989</v>
      </c>
      <c r="B5563" t="str">
        <f ca="1">TEXT(DATE(YEAR(Invoer!$A$5),1,1)+INT((ROWS(B$2:B5563)-1)/24),"""18""jjmmdd")</f>
        <v>18980820</v>
      </c>
      <c r="C5563" s="11" t="str">
        <f>INDEX(Data,2,2+MOD(ROWS(C$2:C5563)-1,24))</f>
        <v>18.00</v>
      </c>
      <c r="D5563" s="8">
        <f t="shared" ca="1" si="260"/>
        <v>14</v>
      </c>
      <c r="E5563" s="16">
        <f t="shared" ca="1" si="261"/>
        <v>0</v>
      </c>
    </row>
    <row r="5564" spans="1:5" x14ac:dyDescent="0.25">
      <c r="A5564" s="3">
        <f t="shared" si="259"/>
        <v>78989</v>
      </c>
      <c r="B5564" t="str">
        <f ca="1">TEXT(DATE(YEAR(Invoer!$A$5),1,1)+INT((ROWS(B$2:B5564)-1)/24),"""18""jjmmdd")</f>
        <v>18980820</v>
      </c>
      <c r="C5564" s="11" t="str">
        <f>INDEX(Data,2,2+MOD(ROWS(C$2:C5564)-1,24))</f>
        <v>19.00</v>
      </c>
      <c r="D5564" s="8">
        <f t="shared" ca="1" si="260"/>
        <v>16</v>
      </c>
      <c r="E5564" s="16">
        <f t="shared" ca="1" si="261"/>
        <v>0</v>
      </c>
    </row>
    <row r="5565" spans="1:5" x14ac:dyDescent="0.25">
      <c r="A5565" s="3">
        <f t="shared" si="259"/>
        <v>78989</v>
      </c>
      <c r="B5565" t="str">
        <f ca="1">TEXT(DATE(YEAR(Invoer!$A$5),1,1)+INT((ROWS(B$2:B5565)-1)/24),"""18""jjmmdd")</f>
        <v>18980820</v>
      </c>
      <c r="C5565" s="11" t="str">
        <f>INDEX(Data,2,2+MOD(ROWS(C$2:C5565)-1,24))</f>
        <v>20.00</v>
      </c>
      <c r="D5565" s="8">
        <f t="shared" ca="1" si="260"/>
        <v>13</v>
      </c>
      <c r="E5565" s="16">
        <f t="shared" ca="1" si="261"/>
        <v>0</v>
      </c>
    </row>
    <row r="5566" spans="1:5" x14ac:dyDescent="0.25">
      <c r="A5566" s="3">
        <f t="shared" si="259"/>
        <v>78989</v>
      </c>
      <c r="B5566" t="str">
        <f ca="1">TEXT(DATE(YEAR(Invoer!$A$5),1,1)+INT((ROWS(B$2:B5566)-1)/24),"""18""jjmmdd")</f>
        <v>18980820</v>
      </c>
      <c r="C5566" s="11" t="str">
        <f>INDEX(Data,2,2+MOD(ROWS(C$2:C5566)-1,24))</f>
        <v>21.00</v>
      </c>
      <c r="D5566" s="8">
        <f t="shared" ca="1" si="260"/>
        <v>10</v>
      </c>
      <c r="E5566" s="16">
        <f t="shared" ca="1" si="261"/>
        <v>0</v>
      </c>
    </row>
    <row r="5567" spans="1:5" x14ac:dyDescent="0.25">
      <c r="A5567" s="3">
        <f t="shared" si="259"/>
        <v>78989</v>
      </c>
      <c r="B5567" t="str">
        <f ca="1">TEXT(DATE(YEAR(Invoer!$A$5),1,1)+INT((ROWS(B$2:B5567)-1)/24),"""18""jjmmdd")</f>
        <v>18980820</v>
      </c>
      <c r="C5567" s="11" t="str">
        <f>INDEX(Data,2,2+MOD(ROWS(C$2:C5567)-1,24))</f>
        <v>22.00</v>
      </c>
      <c r="D5567" s="8">
        <f t="shared" ca="1" si="260"/>
        <v>9</v>
      </c>
      <c r="E5567" s="16">
        <f t="shared" ca="1" si="261"/>
        <v>0</v>
      </c>
    </row>
    <row r="5568" spans="1:5" x14ac:dyDescent="0.25">
      <c r="A5568" s="3">
        <f t="shared" si="259"/>
        <v>78989</v>
      </c>
      <c r="B5568" t="str">
        <f ca="1">TEXT(DATE(YEAR(Invoer!$A$5),1,1)+INT((ROWS(B$2:B5568)-1)/24),"""18""jjmmdd")</f>
        <v>18980820</v>
      </c>
      <c r="C5568" s="11" t="str">
        <f>INDEX(Data,2,2+MOD(ROWS(C$2:C5568)-1,24))</f>
        <v>23.00</v>
      </c>
      <c r="D5568" s="8">
        <f t="shared" ca="1" si="260"/>
        <v>9</v>
      </c>
      <c r="E5568" s="16">
        <f t="shared" ca="1" si="261"/>
        <v>0</v>
      </c>
    </row>
    <row r="5569" spans="1:5" x14ac:dyDescent="0.25">
      <c r="A5569" s="3">
        <f t="shared" si="259"/>
        <v>78989</v>
      </c>
      <c r="B5569" t="str">
        <f ca="1">TEXT(DATE(YEAR(Invoer!$A$5),1,1)+INT((ROWS(B$2:B5569)-1)/24),"""18""jjmmdd")</f>
        <v>18980820</v>
      </c>
      <c r="C5569" s="11" t="str">
        <f>INDEX(Data,2,2+MOD(ROWS(C$2:C5569)-1,24))</f>
        <v>24.00</v>
      </c>
      <c r="D5569" s="8">
        <f t="shared" ca="1" si="260"/>
        <v>9</v>
      </c>
      <c r="E5569" s="16">
        <f t="shared" ca="1" si="261"/>
        <v>0</v>
      </c>
    </row>
    <row r="5570" spans="1:5" x14ac:dyDescent="0.25">
      <c r="A5570" s="3">
        <f t="shared" ref="A5570:A5633" si="262">INDEX(Stations,2,1)</f>
        <v>78989</v>
      </c>
      <c r="B5570" t="str">
        <f ca="1">TEXT(DATE(YEAR(Invoer!$A$5),1,1)+INT((ROWS(B$2:B5570)-1)/24),"""18""jjmmdd")</f>
        <v>18980821</v>
      </c>
      <c r="C5570" s="11" t="str">
        <f>INDEX(Data,2,2+MOD(ROWS(C$2:C5570)-1,24))</f>
        <v>01.00</v>
      </c>
      <c r="D5570" s="8">
        <f t="shared" ref="D5570:D5633" ca="1" si="263">IF(OR(ISBLANK(VLOOKUP(DATEVALUE("37"&amp;MID($B5570,3,2)&amp;"-"&amp;MID($B5570,5,2)&amp;"-"&amp;RIGHT($B5570,2)),Data,MATCH(LEFT(VLOOKUP(D$1,Parameters,2,FALSE()),4)&amp;"*",OFFSET(Data,0,0,1),0)+MATCH($C5570,OFFSET(Data,1,0,1),0)-2,FALSE())),ISTEXT(VLOOKUP(DATEVALUE("37"&amp;MID($B5570,3,2)&amp;"-"&amp;MID($B5570,5,2)&amp;"-"&amp;RIGHT($B5570,2)),Data,MATCH(LEFT(VLOOKUP(D$1,Parameters,2,FALSE()),4)&amp;"*",OFFSET(Data,0,0,1),0)+MATCH($C5570,OFFSET(Data,1,0,1),0)-2,FALSE()))),"—",VLOOKUP(DATEVALUE("37"&amp;MID($B5570,3,2)&amp;"-"&amp;MID($B5570,5,2)&amp;"-"&amp;RIGHT($B5570,2)),Data,MATCH(LEFT(VLOOKUP(D$1,Parameters,2,FALSE()),4)&amp;"*",OFFSET(Data,0,0,1),0)+MATCH($C5570,OFFSET(Data,1,0,1),0)-2,FALSE()))</f>
        <v>11</v>
      </c>
      <c r="E5570" s="16">
        <f t="shared" ca="1" si="261"/>
        <v>0</v>
      </c>
    </row>
    <row r="5571" spans="1:5" x14ac:dyDescent="0.25">
      <c r="A5571" s="3">
        <f t="shared" si="262"/>
        <v>78989</v>
      </c>
      <c r="B5571" t="str">
        <f ca="1">TEXT(DATE(YEAR(Invoer!$A$5),1,1)+INT((ROWS(B$2:B5571)-1)/24),"""18""jjmmdd")</f>
        <v>18980821</v>
      </c>
      <c r="C5571" s="11" t="str">
        <f>INDEX(Data,2,2+MOD(ROWS(C$2:C5571)-1,24))</f>
        <v>02.00</v>
      </c>
      <c r="D5571" s="8">
        <f t="shared" ca="1" si="263"/>
        <v>9</v>
      </c>
      <c r="E5571" s="16">
        <f t="shared" ref="E5571:E5634" ca="1" si="264">IF(OR(ISBLANK(VLOOKUP(DATEVALUE("37"&amp;MID($B5571,3,2)&amp;"-"&amp;MID($B5571,5,2)&amp;"-"&amp;RIGHT($B5571,2)),Data,MATCH(LEFT(VLOOKUP(D$1,Parameters,2,FALSE()),4)&amp;"*",OFFSET(Data,0,0,1),0)+MATCH($C5571,OFFSET(Data,1,0,1),0)-2,FALSE())),ISTEXT(VLOOKUP(DATEVALUE("37"&amp;MID($B5571,3,2)&amp;"-"&amp;MID($B5571,5,2)&amp;"-"&amp;RIGHT($B5571,2)),Data,MATCH(LEFT(VLOOKUP(D$1,Parameters,2,FALSE()),4)&amp;"*",OFFSET(Data,0,0,1),0)+MATCH($C5571,OFFSET(Data,1,0,1),0)-2,FALSE()))),Lacking,IF(ISNA(MATCH(DATEVALUE("37"&amp;MID($B5571,3,2)&amp;"-"&amp;MID($B5571,5,2)&amp;"-"&amp;RIGHT($B5571,2)),OFFSET(Catalogus,0,0,,1),0)),Ok,VLOOKUP(DATEVALUE("37"&amp;MID($B5571,3,2)&amp;"-"&amp;MID($B5571,5,2)&amp;"-"&amp;RIGHT($B5571,2)),Catalogus,MATCH(LEFT(VLOOKUP(MID(E$1,2,LEN(E$1)-1),Parameters,2,FALSE()),4)&amp;"*",OFFSET(Catalogus,0,0,1),0)+MATCH($C5571,OFFSET(Catalogus,1,0,1),0)-2,FALSE())))</f>
        <v>0</v>
      </c>
    </row>
    <row r="5572" spans="1:5" x14ac:dyDescent="0.25">
      <c r="A5572" s="3">
        <f t="shared" si="262"/>
        <v>78989</v>
      </c>
      <c r="B5572" t="str">
        <f ca="1">TEXT(DATE(YEAR(Invoer!$A$5),1,1)+INT((ROWS(B$2:B5572)-1)/24),"""18""jjmmdd")</f>
        <v>18980821</v>
      </c>
      <c r="C5572" s="11" t="str">
        <f>INDEX(Data,2,2+MOD(ROWS(C$2:C5572)-1,24))</f>
        <v>03.00</v>
      </c>
      <c r="D5572" s="8">
        <f t="shared" ca="1" si="263"/>
        <v>9</v>
      </c>
      <c r="E5572" s="16">
        <f t="shared" ca="1" si="264"/>
        <v>0</v>
      </c>
    </row>
    <row r="5573" spans="1:5" x14ac:dyDescent="0.25">
      <c r="A5573" s="3">
        <f t="shared" si="262"/>
        <v>78989</v>
      </c>
      <c r="B5573" t="str">
        <f ca="1">TEXT(DATE(YEAR(Invoer!$A$5),1,1)+INT((ROWS(B$2:B5573)-1)/24),"""18""jjmmdd")</f>
        <v>18980821</v>
      </c>
      <c r="C5573" s="11" t="str">
        <f>INDEX(Data,2,2+MOD(ROWS(C$2:C5573)-1,24))</f>
        <v>04.00</v>
      </c>
      <c r="D5573" s="8">
        <f t="shared" ca="1" si="263"/>
        <v>8</v>
      </c>
      <c r="E5573" s="16">
        <f t="shared" ca="1" si="264"/>
        <v>0</v>
      </c>
    </row>
    <row r="5574" spans="1:5" x14ac:dyDescent="0.25">
      <c r="A5574" s="3">
        <f t="shared" si="262"/>
        <v>78989</v>
      </c>
      <c r="B5574" t="str">
        <f ca="1">TEXT(DATE(YEAR(Invoer!$A$5),1,1)+INT((ROWS(B$2:B5574)-1)/24),"""18""jjmmdd")</f>
        <v>18980821</v>
      </c>
      <c r="C5574" s="11" t="str">
        <f>INDEX(Data,2,2+MOD(ROWS(C$2:C5574)-1,24))</f>
        <v>05.00</v>
      </c>
      <c r="D5574" s="8">
        <f t="shared" ca="1" si="263"/>
        <v>9</v>
      </c>
      <c r="E5574" s="16">
        <f t="shared" ca="1" si="264"/>
        <v>0</v>
      </c>
    </row>
    <row r="5575" spans="1:5" x14ac:dyDescent="0.25">
      <c r="A5575" s="3">
        <f t="shared" si="262"/>
        <v>78989</v>
      </c>
      <c r="B5575" t="str">
        <f ca="1">TEXT(DATE(YEAR(Invoer!$A$5),1,1)+INT((ROWS(B$2:B5575)-1)/24),"""18""jjmmdd")</f>
        <v>18980821</v>
      </c>
      <c r="C5575" s="11" t="str">
        <f>INDEX(Data,2,2+MOD(ROWS(C$2:C5575)-1,24))</f>
        <v>06.00</v>
      </c>
      <c r="D5575" s="8">
        <f t="shared" ca="1" si="263"/>
        <v>7</v>
      </c>
      <c r="E5575" s="16">
        <f t="shared" ca="1" si="264"/>
        <v>0</v>
      </c>
    </row>
    <row r="5576" spans="1:5" x14ac:dyDescent="0.25">
      <c r="A5576" s="3">
        <f t="shared" si="262"/>
        <v>78989</v>
      </c>
      <c r="B5576" t="str">
        <f ca="1">TEXT(DATE(YEAR(Invoer!$A$5),1,1)+INT((ROWS(B$2:B5576)-1)/24),"""18""jjmmdd")</f>
        <v>18980821</v>
      </c>
      <c r="C5576" s="11" t="str">
        <f>INDEX(Data,2,2+MOD(ROWS(C$2:C5576)-1,24))</f>
        <v>07.00</v>
      </c>
      <c r="D5576" s="8">
        <f t="shared" ca="1" si="263"/>
        <v>10</v>
      </c>
      <c r="E5576" s="16">
        <f t="shared" ca="1" si="264"/>
        <v>0</v>
      </c>
    </row>
    <row r="5577" spans="1:5" x14ac:dyDescent="0.25">
      <c r="A5577" s="3">
        <f t="shared" si="262"/>
        <v>78989</v>
      </c>
      <c r="B5577" t="str">
        <f ca="1">TEXT(DATE(YEAR(Invoer!$A$5),1,1)+INT((ROWS(B$2:B5577)-1)/24),"""18""jjmmdd")</f>
        <v>18980821</v>
      </c>
      <c r="C5577" s="11" t="str">
        <f>INDEX(Data,2,2+MOD(ROWS(C$2:C5577)-1,24))</f>
        <v>08.00</v>
      </c>
      <c r="D5577" s="8">
        <f t="shared" ca="1" si="263"/>
        <v>11</v>
      </c>
      <c r="E5577" s="16">
        <f t="shared" ca="1" si="264"/>
        <v>0</v>
      </c>
    </row>
    <row r="5578" spans="1:5" x14ac:dyDescent="0.25">
      <c r="A5578" s="3">
        <f t="shared" si="262"/>
        <v>78989</v>
      </c>
      <c r="B5578" t="str">
        <f ca="1">TEXT(DATE(YEAR(Invoer!$A$5),1,1)+INT((ROWS(B$2:B5578)-1)/24),"""18""jjmmdd")</f>
        <v>18980821</v>
      </c>
      <c r="C5578" s="11" t="str">
        <f>INDEX(Data,2,2+MOD(ROWS(C$2:C5578)-1,24))</f>
        <v>09.00</v>
      </c>
      <c r="D5578" s="8">
        <f t="shared" ca="1" si="263"/>
        <v>12</v>
      </c>
      <c r="E5578" s="16">
        <f t="shared" ca="1" si="264"/>
        <v>0</v>
      </c>
    </row>
    <row r="5579" spans="1:5" x14ac:dyDescent="0.25">
      <c r="A5579" s="3">
        <f t="shared" si="262"/>
        <v>78989</v>
      </c>
      <c r="B5579" t="str">
        <f ca="1">TEXT(DATE(YEAR(Invoer!$A$5),1,1)+INT((ROWS(B$2:B5579)-1)/24),"""18""jjmmdd")</f>
        <v>18980821</v>
      </c>
      <c r="C5579" s="11" t="str">
        <f>INDEX(Data,2,2+MOD(ROWS(C$2:C5579)-1,24))</f>
        <v>10.00</v>
      </c>
      <c r="D5579" s="8">
        <f t="shared" ca="1" si="263"/>
        <v>11</v>
      </c>
      <c r="E5579" s="16">
        <f t="shared" ca="1" si="264"/>
        <v>0</v>
      </c>
    </row>
    <row r="5580" spans="1:5" x14ac:dyDescent="0.25">
      <c r="A5580" s="3">
        <f t="shared" si="262"/>
        <v>78989</v>
      </c>
      <c r="B5580" t="str">
        <f ca="1">TEXT(DATE(YEAR(Invoer!$A$5),1,1)+INT((ROWS(B$2:B5580)-1)/24),"""18""jjmmdd")</f>
        <v>18980821</v>
      </c>
      <c r="C5580" s="11" t="str">
        <f>INDEX(Data,2,2+MOD(ROWS(C$2:C5580)-1,24))</f>
        <v>11.00</v>
      </c>
      <c r="D5580" s="8">
        <f t="shared" ca="1" si="263"/>
        <v>13</v>
      </c>
      <c r="E5580" s="16">
        <f t="shared" ca="1" si="264"/>
        <v>0</v>
      </c>
    </row>
    <row r="5581" spans="1:5" x14ac:dyDescent="0.25">
      <c r="A5581" s="3">
        <f t="shared" si="262"/>
        <v>78989</v>
      </c>
      <c r="B5581" t="str">
        <f ca="1">TEXT(DATE(YEAR(Invoer!$A$5),1,1)+INT((ROWS(B$2:B5581)-1)/24),"""18""jjmmdd")</f>
        <v>18980821</v>
      </c>
      <c r="C5581" s="11" t="str">
        <f>INDEX(Data,2,2+MOD(ROWS(C$2:C5581)-1,24))</f>
        <v>12.00</v>
      </c>
      <c r="D5581" s="8">
        <f t="shared" ca="1" si="263"/>
        <v>12</v>
      </c>
      <c r="E5581" s="16">
        <f t="shared" ca="1" si="264"/>
        <v>0</v>
      </c>
    </row>
    <row r="5582" spans="1:5" x14ac:dyDescent="0.25">
      <c r="A5582" s="3">
        <f t="shared" si="262"/>
        <v>78989</v>
      </c>
      <c r="B5582" t="str">
        <f ca="1">TEXT(DATE(YEAR(Invoer!$A$5),1,1)+INT((ROWS(B$2:B5582)-1)/24),"""18""jjmmdd")</f>
        <v>18980821</v>
      </c>
      <c r="C5582" s="11" t="str">
        <f>INDEX(Data,2,2+MOD(ROWS(C$2:C5582)-1,24))</f>
        <v>13.00</v>
      </c>
      <c r="D5582" s="8">
        <f t="shared" ca="1" si="263"/>
        <v>13</v>
      </c>
      <c r="E5582" s="16">
        <f t="shared" ca="1" si="264"/>
        <v>0</v>
      </c>
    </row>
    <row r="5583" spans="1:5" x14ac:dyDescent="0.25">
      <c r="A5583" s="3">
        <f t="shared" si="262"/>
        <v>78989</v>
      </c>
      <c r="B5583" t="str">
        <f ca="1">TEXT(DATE(YEAR(Invoer!$A$5),1,1)+INT((ROWS(B$2:B5583)-1)/24),"""18""jjmmdd")</f>
        <v>18980821</v>
      </c>
      <c r="C5583" s="11" t="str">
        <f>INDEX(Data,2,2+MOD(ROWS(C$2:C5583)-1,24))</f>
        <v>14.00</v>
      </c>
      <c r="D5583" s="8">
        <f t="shared" ca="1" si="263"/>
        <v>14</v>
      </c>
      <c r="E5583" s="16">
        <f t="shared" ca="1" si="264"/>
        <v>0</v>
      </c>
    </row>
    <row r="5584" spans="1:5" x14ac:dyDescent="0.25">
      <c r="A5584" s="3">
        <f t="shared" si="262"/>
        <v>78989</v>
      </c>
      <c r="B5584" t="str">
        <f ca="1">TEXT(DATE(YEAR(Invoer!$A$5),1,1)+INT((ROWS(B$2:B5584)-1)/24),"""18""jjmmdd")</f>
        <v>18980821</v>
      </c>
      <c r="C5584" s="11" t="str">
        <f>INDEX(Data,2,2+MOD(ROWS(C$2:C5584)-1,24))</f>
        <v>15.00</v>
      </c>
      <c r="D5584" s="8">
        <f t="shared" ca="1" si="263"/>
        <v>10</v>
      </c>
      <c r="E5584" s="16">
        <f t="shared" ca="1" si="264"/>
        <v>0</v>
      </c>
    </row>
    <row r="5585" spans="1:5" x14ac:dyDescent="0.25">
      <c r="A5585" s="3">
        <f t="shared" si="262"/>
        <v>78989</v>
      </c>
      <c r="B5585" t="str">
        <f ca="1">TEXT(DATE(YEAR(Invoer!$A$5),1,1)+INT((ROWS(B$2:B5585)-1)/24),"""18""jjmmdd")</f>
        <v>18980821</v>
      </c>
      <c r="C5585" s="11" t="str">
        <f>INDEX(Data,2,2+MOD(ROWS(C$2:C5585)-1,24))</f>
        <v>16.00</v>
      </c>
      <c r="D5585" s="8">
        <f t="shared" ca="1" si="263"/>
        <v>9</v>
      </c>
      <c r="E5585" s="16">
        <f t="shared" ca="1" si="264"/>
        <v>0</v>
      </c>
    </row>
    <row r="5586" spans="1:5" x14ac:dyDescent="0.25">
      <c r="A5586" s="3">
        <f t="shared" si="262"/>
        <v>78989</v>
      </c>
      <c r="B5586" t="str">
        <f ca="1">TEXT(DATE(YEAR(Invoer!$A$5),1,1)+INT((ROWS(B$2:B5586)-1)/24),"""18""jjmmdd")</f>
        <v>18980821</v>
      </c>
      <c r="C5586" s="11" t="str">
        <f>INDEX(Data,2,2+MOD(ROWS(C$2:C5586)-1,24))</f>
        <v>17.00</v>
      </c>
      <c r="D5586" s="8">
        <f t="shared" ca="1" si="263"/>
        <v>8</v>
      </c>
      <c r="E5586" s="16">
        <f t="shared" ca="1" si="264"/>
        <v>0</v>
      </c>
    </row>
    <row r="5587" spans="1:5" x14ac:dyDescent="0.25">
      <c r="A5587" s="3">
        <f t="shared" si="262"/>
        <v>78989</v>
      </c>
      <c r="B5587" t="str">
        <f ca="1">TEXT(DATE(YEAR(Invoer!$A$5),1,1)+INT((ROWS(B$2:B5587)-1)/24),"""18""jjmmdd")</f>
        <v>18980821</v>
      </c>
      <c r="C5587" s="11" t="str">
        <f>INDEX(Data,2,2+MOD(ROWS(C$2:C5587)-1,24))</f>
        <v>18.00</v>
      </c>
      <c r="D5587" s="8">
        <f t="shared" ca="1" si="263"/>
        <v>8</v>
      </c>
      <c r="E5587" s="16">
        <f t="shared" ca="1" si="264"/>
        <v>0</v>
      </c>
    </row>
    <row r="5588" spans="1:5" x14ac:dyDescent="0.25">
      <c r="A5588" s="3">
        <f t="shared" si="262"/>
        <v>78989</v>
      </c>
      <c r="B5588" t="str">
        <f ca="1">TEXT(DATE(YEAR(Invoer!$A$5),1,1)+INT((ROWS(B$2:B5588)-1)/24),"""18""jjmmdd")</f>
        <v>18980821</v>
      </c>
      <c r="C5588" s="11" t="str">
        <f>INDEX(Data,2,2+MOD(ROWS(C$2:C5588)-1,24))</f>
        <v>19.00</v>
      </c>
      <c r="D5588" s="8">
        <f t="shared" ca="1" si="263"/>
        <v>10</v>
      </c>
      <c r="E5588" s="16">
        <f t="shared" ca="1" si="264"/>
        <v>0</v>
      </c>
    </row>
    <row r="5589" spans="1:5" x14ac:dyDescent="0.25">
      <c r="A5589" s="3">
        <f t="shared" si="262"/>
        <v>78989</v>
      </c>
      <c r="B5589" t="str">
        <f ca="1">TEXT(DATE(YEAR(Invoer!$A$5),1,1)+INT((ROWS(B$2:B5589)-1)/24),"""18""jjmmdd")</f>
        <v>18980821</v>
      </c>
      <c r="C5589" s="11" t="str">
        <f>INDEX(Data,2,2+MOD(ROWS(C$2:C5589)-1,24))</f>
        <v>20.00</v>
      </c>
      <c r="D5589" s="8">
        <f t="shared" ca="1" si="263"/>
        <v>9</v>
      </c>
      <c r="E5589" s="16">
        <f t="shared" ca="1" si="264"/>
        <v>0</v>
      </c>
    </row>
    <row r="5590" spans="1:5" x14ac:dyDescent="0.25">
      <c r="A5590" s="3">
        <f t="shared" si="262"/>
        <v>78989</v>
      </c>
      <c r="B5590" t="str">
        <f ca="1">TEXT(DATE(YEAR(Invoer!$A$5),1,1)+INT((ROWS(B$2:B5590)-1)/24),"""18""jjmmdd")</f>
        <v>18980821</v>
      </c>
      <c r="C5590" s="11" t="str">
        <f>INDEX(Data,2,2+MOD(ROWS(C$2:C5590)-1,24))</f>
        <v>21.00</v>
      </c>
      <c r="D5590" s="8">
        <f t="shared" ca="1" si="263"/>
        <v>8</v>
      </c>
      <c r="E5590" s="16">
        <f t="shared" ca="1" si="264"/>
        <v>0</v>
      </c>
    </row>
    <row r="5591" spans="1:5" x14ac:dyDescent="0.25">
      <c r="A5591" s="3">
        <f t="shared" si="262"/>
        <v>78989</v>
      </c>
      <c r="B5591" t="str">
        <f ca="1">TEXT(DATE(YEAR(Invoer!$A$5),1,1)+INT((ROWS(B$2:B5591)-1)/24),"""18""jjmmdd")</f>
        <v>18980821</v>
      </c>
      <c r="C5591" s="11" t="str">
        <f>INDEX(Data,2,2+MOD(ROWS(C$2:C5591)-1,24))</f>
        <v>22.00</v>
      </c>
      <c r="D5591" s="8">
        <f t="shared" ca="1" si="263"/>
        <v>7</v>
      </c>
      <c r="E5591" s="16">
        <f t="shared" ca="1" si="264"/>
        <v>0</v>
      </c>
    </row>
    <row r="5592" spans="1:5" x14ac:dyDescent="0.25">
      <c r="A5592" s="3">
        <f t="shared" si="262"/>
        <v>78989</v>
      </c>
      <c r="B5592" t="str">
        <f ca="1">TEXT(DATE(YEAR(Invoer!$A$5),1,1)+INT((ROWS(B$2:B5592)-1)/24),"""18""jjmmdd")</f>
        <v>18980821</v>
      </c>
      <c r="C5592" s="11" t="str">
        <f>INDEX(Data,2,2+MOD(ROWS(C$2:C5592)-1,24))</f>
        <v>23.00</v>
      </c>
      <c r="D5592" s="8">
        <f t="shared" ca="1" si="263"/>
        <v>6</v>
      </c>
      <c r="E5592" s="16">
        <f t="shared" ca="1" si="264"/>
        <v>0</v>
      </c>
    </row>
    <row r="5593" spans="1:5" x14ac:dyDescent="0.25">
      <c r="A5593" s="3">
        <f t="shared" si="262"/>
        <v>78989</v>
      </c>
      <c r="B5593" t="str">
        <f ca="1">TEXT(DATE(YEAR(Invoer!$A$5),1,1)+INT((ROWS(B$2:B5593)-1)/24),"""18""jjmmdd")</f>
        <v>18980821</v>
      </c>
      <c r="C5593" s="11" t="str">
        <f>INDEX(Data,2,2+MOD(ROWS(C$2:C5593)-1,24))</f>
        <v>24.00</v>
      </c>
      <c r="D5593" s="8">
        <f t="shared" ca="1" si="263"/>
        <v>7</v>
      </c>
      <c r="E5593" s="16">
        <f t="shared" ca="1" si="264"/>
        <v>0</v>
      </c>
    </row>
    <row r="5594" spans="1:5" x14ac:dyDescent="0.25">
      <c r="A5594" s="3">
        <f t="shared" si="262"/>
        <v>78989</v>
      </c>
      <c r="B5594" t="str">
        <f ca="1">TEXT(DATE(YEAR(Invoer!$A$5),1,1)+INT((ROWS(B$2:B5594)-1)/24),"""18""jjmmdd")</f>
        <v>18980822</v>
      </c>
      <c r="C5594" s="11" t="str">
        <f>INDEX(Data,2,2+MOD(ROWS(C$2:C5594)-1,24))</f>
        <v>01.00</v>
      </c>
      <c r="D5594" s="8">
        <f t="shared" ca="1" si="263"/>
        <v>7</v>
      </c>
      <c r="E5594" s="16">
        <f t="shared" ca="1" si="264"/>
        <v>0</v>
      </c>
    </row>
    <row r="5595" spans="1:5" x14ac:dyDescent="0.25">
      <c r="A5595" s="3">
        <f t="shared" si="262"/>
        <v>78989</v>
      </c>
      <c r="B5595" t="str">
        <f ca="1">TEXT(DATE(YEAR(Invoer!$A$5),1,1)+INT((ROWS(B$2:B5595)-1)/24),"""18""jjmmdd")</f>
        <v>18980822</v>
      </c>
      <c r="C5595" s="11" t="str">
        <f>INDEX(Data,2,2+MOD(ROWS(C$2:C5595)-1,24))</f>
        <v>02.00</v>
      </c>
      <c r="D5595" s="8">
        <f t="shared" ca="1" si="263"/>
        <v>6</v>
      </c>
      <c r="E5595" s="16">
        <f t="shared" ca="1" si="264"/>
        <v>0</v>
      </c>
    </row>
    <row r="5596" spans="1:5" x14ac:dyDescent="0.25">
      <c r="A5596" s="3">
        <f t="shared" si="262"/>
        <v>78989</v>
      </c>
      <c r="B5596" t="str">
        <f ca="1">TEXT(DATE(YEAR(Invoer!$A$5),1,1)+INT((ROWS(B$2:B5596)-1)/24),"""18""jjmmdd")</f>
        <v>18980822</v>
      </c>
      <c r="C5596" s="11" t="str">
        <f>INDEX(Data,2,2+MOD(ROWS(C$2:C5596)-1,24))</f>
        <v>03.00</v>
      </c>
      <c r="D5596" s="8">
        <f t="shared" ca="1" si="263"/>
        <v>6</v>
      </c>
      <c r="E5596" s="16">
        <f t="shared" ca="1" si="264"/>
        <v>0</v>
      </c>
    </row>
    <row r="5597" spans="1:5" x14ac:dyDescent="0.25">
      <c r="A5597" s="3">
        <f t="shared" si="262"/>
        <v>78989</v>
      </c>
      <c r="B5597" t="str">
        <f ca="1">TEXT(DATE(YEAR(Invoer!$A$5),1,1)+INT((ROWS(B$2:B5597)-1)/24),"""18""jjmmdd")</f>
        <v>18980822</v>
      </c>
      <c r="C5597" s="11" t="str">
        <f>INDEX(Data,2,2+MOD(ROWS(C$2:C5597)-1,24))</f>
        <v>04.00</v>
      </c>
      <c r="D5597" s="8">
        <f t="shared" ca="1" si="263"/>
        <v>6</v>
      </c>
      <c r="E5597" s="16">
        <f t="shared" ca="1" si="264"/>
        <v>0</v>
      </c>
    </row>
    <row r="5598" spans="1:5" x14ac:dyDescent="0.25">
      <c r="A5598" s="3">
        <f t="shared" si="262"/>
        <v>78989</v>
      </c>
      <c r="B5598" t="str">
        <f ca="1">TEXT(DATE(YEAR(Invoer!$A$5),1,1)+INT((ROWS(B$2:B5598)-1)/24),"""18""jjmmdd")</f>
        <v>18980822</v>
      </c>
      <c r="C5598" s="11" t="str">
        <f>INDEX(Data,2,2+MOD(ROWS(C$2:C5598)-1,24))</f>
        <v>05.00</v>
      </c>
      <c r="D5598" s="8">
        <f t="shared" ca="1" si="263"/>
        <v>4</v>
      </c>
      <c r="E5598" s="16">
        <f t="shared" ca="1" si="264"/>
        <v>0</v>
      </c>
    </row>
    <row r="5599" spans="1:5" x14ac:dyDescent="0.25">
      <c r="A5599" s="3">
        <f t="shared" si="262"/>
        <v>78989</v>
      </c>
      <c r="B5599" t="str">
        <f ca="1">TEXT(DATE(YEAR(Invoer!$A$5),1,1)+INT((ROWS(B$2:B5599)-1)/24),"""18""jjmmdd")</f>
        <v>18980822</v>
      </c>
      <c r="C5599" s="11" t="str">
        <f>INDEX(Data,2,2+MOD(ROWS(C$2:C5599)-1,24))</f>
        <v>06.00</v>
      </c>
      <c r="D5599" s="8">
        <f t="shared" ca="1" si="263"/>
        <v>6</v>
      </c>
      <c r="E5599" s="16">
        <f t="shared" ca="1" si="264"/>
        <v>0</v>
      </c>
    </row>
    <row r="5600" spans="1:5" x14ac:dyDescent="0.25">
      <c r="A5600" s="3">
        <f t="shared" si="262"/>
        <v>78989</v>
      </c>
      <c r="B5600" t="str">
        <f ca="1">TEXT(DATE(YEAR(Invoer!$A$5),1,1)+INT((ROWS(B$2:B5600)-1)/24),"""18""jjmmdd")</f>
        <v>18980822</v>
      </c>
      <c r="C5600" s="11" t="str">
        <f>INDEX(Data,2,2+MOD(ROWS(C$2:C5600)-1,24))</f>
        <v>07.00</v>
      </c>
      <c r="D5600" s="8">
        <f t="shared" ca="1" si="263"/>
        <v>6</v>
      </c>
      <c r="E5600" s="16">
        <f t="shared" ca="1" si="264"/>
        <v>0</v>
      </c>
    </row>
    <row r="5601" spans="1:5" x14ac:dyDescent="0.25">
      <c r="A5601" s="3">
        <f t="shared" si="262"/>
        <v>78989</v>
      </c>
      <c r="B5601" t="str">
        <f ca="1">TEXT(DATE(YEAR(Invoer!$A$5),1,1)+INT((ROWS(B$2:B5601)-1)/24),"""18""jjmmdd")</f>
        <v>18980822</v>
      </c>
      <c r="C5601" s="11" t="str">
        <f>INDEX(Data,2,2+MOD(ROWS(C$2:C5601)-1,24))</f>
        <v>08.00</v>
      </c>
      <c r="D5601" s="8">
        <f t="shared" ca="1" si="263"/>
        <v>10</v>
      </c>
      <c r="E5601" s="16">
        <f t="shared" ca="1" si="264"/>
        <v>0</v>
      </c>
    </row>
    <row r="5602" spans="1:5" x14ac:dyDescent="0.25">
      <c r="A5602" s="3">
        <f t="shared" si="262"/>
        <v>78989</v>
      </c>
      <c r="B5602" t="str">
        <f ca="1">TEXT(DATE(YEAR(Invoer!$A$5),1,1)+INT((ROWS(B$2:B5602)-1)/24),"""18""jjmmdd")</f>
        <v>18980822</v>
      </c>
      <c r="C5602" s="11" t="str">
        <f>INDEX(Data,2,2+MOD(ROWS(C$2:C5602)-1,24))</f>
        <v>09.00</v>
      </c>
      <c r="D5602" s="8">
        <f t="shared" ca="1" si="263"/>
        <v>11</v>
      </c>
      <c r="E5602" s="16">
        <f t="shared" ca="1" si="264"/>
        <v>0</v>
      </c>
    </row>
    <row r="5603" spans="1:5" x14ac:dyDescent="0.25">
      <c r="A5603" s="3">
        <f t="shared" si="262"/>
        <v>78989</v>
      </c>
      <c r="B5603" t="str">
        <f ca="1">TEXT(DATE(YEAR(Invoer!$A$5),1,1)+INT((ROWS(B$2:B5603)-1)/24),"""18""jjmmdd")</f>
        <v>18980822</v>
      </c>
      <c r="C5603" s="11" t="str">
        <f>INDEX(Data,2,2+MOD(ROWS(C$2:C5603)-1,24))</f>
        <v>10.00</v>
      </c>
      <c r="D5603" s="8">
        <f t="shared" ca="1" si="263"/>
        <v>13</v>
      </c>
      <c r="E5603" s="16">
        <f t="shared" ca="1" si="264"/>
        <v>0</v>
      </c>
    </row>
    <row r="5604" spans="1:5" x14ac:dyDescent="0.25">
      <c r="A5604" s="3">
        <f t="shared" si="262"/>
        <v>78989</v>
      </c>
      <c r="B5604" t="str">
        <f ca="1">TEXT(DATE(YEAR(Invoer!$A$5),1,1)+INT((ROWS(B$2:B5604)-1)/24),"""18""jjmmdd")</f>
        <v>18980822</v>
      </c>
      <c r="C5604" s="11" t="str">
        <f>INDEX(Data,2,2+MOD(ROWS(C$2:C5604)-1,24))</f>
        <v>11.00</v>
      </c>
      <c r="D5604" s="8">
        <f t="shared" ca="1" si="263"/>
        <v>14</v>
      </c>
      <c r="E5604" s="16">
        <f t="shared" ca="1" si="264"/>
        <v>0</v>
      </c>
    </row>
    <row r="5605" spans="1:5" x14ac:dyDescent="0.25">
      <c r="A5605" s="3">
        <f t="shared" si="262"/>
        <v>78989</v>
      </c>
      <c r="B5605" t="str">
        <f ca="1">TEXT(DATE(YEAR(Invoer!$A$5),1,1)+INT((ROWS(B$2:B5605)-1)/24),"""18""jjmmdd")</f>
        <v>18980822</v>
      </c>
      <c r="C5605" s="11" t="str">
        <f>INDEX(Data,2,2+MOD(ROWS(C$2:C5605)-1,24))</f>
        <v>12.00</v>
      </c>
      <c r="D5605" s="8">
        <f t="shared" ca="1" si="263"/>
        <v>15</v>
      </c>
      <c r="E5605" s="16">
        <f t="shared" ca="1" si="264"/>
        <v>0</v>
      </c>
    </row>
    <row r="5606" spans="1:5" x14ac:dyDescent="0.25">
      <c r="A5606" s="3">
        <f t="shared" si="262"/>
        <v>78989</v>
      </c>
      <c r="B5606" t="str">
        <f ca="1">TEXT(DATE(YEAR(Invoer!$A$5),1,1)+INT((ROWS(B$2:B5606)-1)/24),"""18""jjmmdd")</f>
        <v>18980822</v>
      </c>
      <c r="C5606" s="11" t="str">
        <f>INDEX(Data,2,2+MOD(ROWS(C$2:C5606)-1,24))</f>
        <v>13.00</v>
      </c>
      <c r="D5606" s="8">
        <f t="shared" ca="1" si="263"/>
        <v>15</v>
      </c>
      <c r="E5606" s="16">
        <f t="shared" ca="1" si="264"/>
        <v>0</v>
      </c>
    </row>
    <row r="5607" spans="1:5" x14ac:dyDescent="0.25">
      <c r="A5607" s="3">
        <f t="shared" si="262"/>
        <v>78989</v>
      </c>
      <c r="B5607" t="str">
        <f ca="1">TEXT(DATE(YEAR(Invoer!$A$5),1,1)+INT((ROWS(B$2:B5607)-1)/24),"""18""jjmmdd")</f>
        <v>18980822</v>
      </c>
      <c r="C5607" s="11" t="str">
        <f>INDEX(Data,2,2+MOD(ROWS(C$2:C5607)-1,24))</f>
        <v>14.00</v>
      </c>
      <c r="D5607" s="8">
        <f t="shared" ca="1" si="263"/>
        <v>14</v>
      </c>
      <c r="E5607" s="16">
        <f t="shared" ca="1" si="264"/>
        <v>0</v>
      </c>
    </row>
    <row r="5608" spans="1:5" x14ac:dyDescent="0.25">
      <c r="A5608" s="3">
        <f t="shared" si="262"/>
        <v>78989</v>
      </c>
      <c r="B5608" t="str">
        <f ca="1">TEXT(DATE(YEAR(Invoer!$A$5),1,1)+INT((ROWS(B$2:B5608)-1)/24),"""18""jjmmdd")</f>
        <v>18980822</v>
      </c>
      <c r="C5608" s="11" t="str">
        <f>INDEX(Data,2,2+MOD(ROWS(C$2:C5608)-1,24))</f>
        <v>15.00</v>
      </c>
      <c r="D5608" s="8">
        <f t="shared" ca="1" si="263"/>
        <v>14</v>
      </c>
      <c r="E5608" s="16">
        <f t="shared" ca="1" si="264"/>
        <v>0</v>
      </c>
    </row>
    <row r="5609" spans="1:5" x14ac:dyDescent="0.25">
      <c r="A5609" s="3">
        <f t="shared" si="262"/>
        <v>78989</v>
      </c>
      <c r="B5609" t="str">
        <f ca="1">TEXT(DATE(YEAR(Invoer!$A$5),1,1)+INT((ROWS(B$2:B5609)-1)/24),"""18""jjmmdd")</f>
        <v>18980822</v>
      </c>
      <c r="C5609" s="11" t="str">
        <f>INDEX(Data,2,2+MOD(ROWS(C$2:C5609)-1,24))</f>
        <v>16.00</v>
      </c>
      <c r="D5609" s="8">
        <f t="shared" ca="1" si="263"/>
        <v>14</v>
      </c>
      <c r="E5609" s="16">
        <f t="shared" ca="1" si="264"/>
        <v>0</v>
      </c>
    </row>
    <row r="5610" spans="1:5" x14ac:dyDescent="0.25">
      <c r="A5610" s="3">
        <f t="shared" si="262"/>
        <v>78989</v>
      </c>
      <c r="B5610" t="str">
        <f ca="1">TEXT(DATE(YEAR(Invoer!$A$5),1,1)+INT((ROWS(B$2:B5610)-1)/24),"""18""jjmmdd")</f>
        <v>18980822</v>
      </c>
      <c r="C5610" s="11" t="str">
        <f>INDEX(Data,2,2+MOD(ROWS(C$2:C5610)-1,24))</f>
        <v>17.00</v>
      </c>
      <c r="D5610" s="8">
        <f t="shared" ca="1" si="263"/>
        <v>15</v>
      </c>
      <c r="E5610" s="16">
        <f t="shared" ca="1" si="264"/>
        <v>0</v>
      </c>
    </row>
    <row r="5611" spans="1:5" x14ac:dyDescent="0.25">
      <c r="A5611" s="3">
        <f t="shared" si="262"/>
        <v>78989</v>
      </c>
      <c r="B5611" t="str">
        <f ca="1">TEXT(DATE(YEAR(Invoer!$A$5),1,1)+INT((ROWS(B$2:B5611)-1)/24),"""18""jjmmdd")</f>
        <v>18980822</v>
      </c>
      <c r="C5611" s="11" t="str">
        <f>INDEX(Data,2,2+MOD(ROWS(C$2:C5611)-1,24))</f>
        <v>18.00</v>
      </c>
      <c r="D5611" s="8">
        <f t="shared" ca="1" si="263"/>
        <v>14</v>
      </c>
      <c r="E5611" s="16">
        <f t="shared" ca="1" si="264"/>
        <v>0</v>
      </c>
    </row>
    <row r="5612" spans="1:5" x14ac:dyDescent="0.25">
      <c r="A5612" s="3">
        <f t="shared" si="262"/>
        <v>78989</v>
      </c>
      <c r="B5612" t="str">
        <f ca="1">TEXT(DATE(YEAR(Invoer!$A$5),1,1)+INT((ROWS(B$2:B5612)-1)/24),"""18""jjmmdd")</f>
        <v>18980822</v>
      </c>
      <c r="C5612" s="11" t="str">
        <f>INDEX(Data,2,2+MOD(ROWS(C$2:C5612)-1,24))</f>
        <v>19.00</v>
      </c>
      <c r="D5612" s="8">
        <f t="shared" ca="1" si="263"/>
        <v>12</v>
      </c>
      <c r="E5612" s="16">
        <f t="shared" ca="1" si="264"/>
        <v>0</v>
      </c>
    </row>
    <row r="5613" spans="1:5" x14ac:dyDescent="0.25">
      <c r="A5613" s="3">
        <f t="shared" si="262"/>
        <v>78989</v>
      </c>
      <c r="B5613" t="str">
        <f ca="1">TEXT(DATE(YEAR(Invoer!$A$5),1,1)+INT((ROWS(B$2:B5613)-1)/24),"""18""jjmmdd")</f>
        <v>18980822</v>
      </c>
      <c r="C5613" s="11" t="str">
        <f>INDEX(Data,2,2+MOD(ROWS(C$2:C5613)-1,24))</f>
        <v>20.00</v>
      </c>
      <c r="D5613" s="8">
        <f t="shared" ca="1" si="263"/>
        <v>11</v>
      </c>
      <c r="E5613" s="16">
        <f t="shared" ca="1" si="264"/>
        <v>0</v>
      </c>
    </row>
    <row r="5614" spans="1:5" x14ac:dyDescent="0.25">
      <c r="A5614" s="3">
        <f t="shared" si="262"/>
        <v>78989</v>
      </c>
      <c r="B5614" t="str">
        <f ca="1">TEXT(DATE(YEAR(Invoer!$A$5),1,1)+INT((ROWS(B$2:B5614)-1)/24),"""18""jjmmdd")</f>
        <v>18980822</v>
      </c>
      <c r="C5614" s="11" t="str">
        <f>INDEX(Data,2,2+MOD(ROWS(C$2:C5614)-1,24))</f>
        <v>21.00</v>
      </c>
      <c r="D5614" s="8">
        <f t="shared" ca="1" si="263"/>
        <v>13</v>
      </c>
      <c r="E5614" s="16">
        <f t="shared" ca="1" si="264"/>
        <v>0</v>
      </c>
    </row>
    <row r="5615" spans="1:5" x14ac:dyDescent="0.25">
      <c r="A5615" s="3">
        <f t="shared" si="262"/>
        <v>78989</v>
      </c>
      <c r="B5615" t="str">
        <f ca="1">TEXT(DATE(YEAR(Invoer!$A$5),1,1)+INT((ROWS(B$2:B5615)-1)/24),"""18""jjmmdd")</f>
        <v>18980822</v>
      </c>
      <c r="C5615" s="11" t="str">
        <f>INDEX(Data,2,2+MOD(ROWS(C$2:C5615)-1,24))</f>
        <v>22.00</v>
      </c>
      <c r="D5615" s="8">
        <f t="shared" ca="1" si="263"/>
        <v>17</v>
      </c>
      <c r="E5615" s="16">
        <f t="shared" ca="1" si="264"/>
        <v>0</v>
      </c>
    </row>
    <row r="5616" spans="1:5" x14ac:dyDescent="0.25">
      <c r="A5616" s="3">
        <f t="shared" si="262"/>
        <v>78989</v>
      </c>
      <c r="B5616" t="str">
        <f ca="1">TEXT(DATE(YEAR(Invoer!$A$5),1,1)+INT((ROWS(B$2:B5616)-1)/24),"""18""jjmmdd")</f>
        <v>18980822</v>
      </c>
      <c r="C5616" s="11" t="str">
        <f>INDEX(Data,2,2+MOD(ROWS(C$2:C5616)-1,24))</f>
        <v>23.00</v>
      </c>
      <c r="D5616" s="8">
        <f t="shared" ca="1" si="263"/>
        <v>15</v>
      </c>
      <c r="E5616" s="16">
        <f t="shared" ca="1" si="264"/>
        <v>0</v>
      </c>
    </row>
    <row r="5617" spans="1:5" x14ac:dyDescent="0.25">
      <c r="A5617" s="3">
        <f t="shared" si="262"/>
        <v>78989</v>
      </c>
      <c r="B5617" t="str">
        <f ca="1">TEXT(DATE(YEAR(Invoer!$A$5),1,1)+INT((ROWS(B$2:B5617)-1)/24),"""18""jjmmdd")</f>
        <v>18980822</v>
      </c>
      <c r="C5617" s="11" t="str">
        <f>INDEX(Data,2,2+MOD(ROWS(C$2:C5617)-1,24))</f>
        <v>24.00</v>
      </c>
      <c r="D5617" s="8">
        <f t="shared" ca="1" si="263"/>
        <v>14</v>
      </c>
      <c r="E5617" s="16">
        <f t="shared" ca="1" si="264"/>
        <v>0</v>
      </c>
    </row>
    <row r="5618" spans="1:5" x14ac:dyDescent="0.25">
      <c r="A5618" s="3">
        <f t="shared" si="262"/>
        <v>78989</v>
      </c>
      <c r="B5618" t="str">
        <f ca="1">TEXT(DATE(YEAR(Invoer!$A$5),1,1)+INT((ROWS(B$2:B5618)-1)/24),"""18""jjmmdd")</f>
        <v>18980823</v>
      </c>
      <c r="C5618" s="11" t="str">
        <f>INDEX(Data,2,2+MOD(ROWS(C$2:C5618)-1,24))</f>
        <v>01.00</v>
      </c>
      <c r="D5618" s="8">
        <f t="shared" ca="1" si="263"/>
        <v>12</v>
      </c>
      <c r="E5618" s="16">
        <f t="shared" ca="1" si="264"/>
        <v>0</v>
      </c>
    </row>
    <row r="5619" spans="1:5" x14ac:dyDescent="0.25">
      <c r="A5619" s="3">
        <f t="shared" si="262"/>
        <v>78989</v>
      </c>
      <c r="B5619" t="str">
        <f ca="1">TEXT(DATE(YEAR(Invoer!$A$5),1,1)+INT((ROWS(B$2:B5619)-1)/24),"""18""jjmmdd")</f>
        <v>18980823</v>
      </c>
      <c r="C5619" s="11" t="str">
        <f>INDEX(Data,2,2+MOD(ROWS(C$2:C5619)-1,24))</f>
        <v>02.00</v>
      </c>
      <c r="D5619" s="8">
        <f t="shared" ca="1" si="263"/>
        <v>13</v>
      </c>
      <c r="E5619" s="16">
        <f t="shared" ca="1" si="264"/>
        <v>0</v>
      </c>
    </row>
    <row r="5620" spans="1:5" x14ac:dyDescent="0.25">
      <c r="A5620" s="3">
        <f t="shared" si="262"/>
        <v>78989</v>
      </c>
      <c r="B5620" t="str">
        <f ca="1">TEXT(DATE(YEAR(Invoer!$A$5),1,1)+INT((ROWS(B$2:B5620)-1)/24),"""18""jjmmdd")</f>
        <v>18980823</v>
      </c>
      <c r="C5620" s="11" t="str">
        <f>INDEX(Data,2,2+MOD(ROWS(C$2:C5620)-1,24))</f>
        <v>03.00</v>
      </c>
      <c r="D5620" s="8">
        <f t="shared" ca="1" si="263"/>
        <v>12</v>
      </c>
      <c r="E5620" s="16">
        <f t="shared" ca="1" si="264"/>
        <v>0</v>
      </c>
    </row>
    <row r="5621" spans="1:5" x14ac:dyDescent="0.25">
      <c r="A5621" s="3">
        <f t="shared" si="262"/>
        <v>78989</v>
      </c>
      <c r="B5621" t="str">
        <f ca="1">TEXT(DATE(YEAR(Invoer!$A$5),1,1)+INT((ROWS(B$2:B5621)-1)/24),"""18""jjmmdd")</f>
        <v>18980823</v>
      </c>
      <c r="C5621" s="11" t="str">
        <f>INDEX(Data,2,2+MOD(ROWS(C$2:C5621)-1,24))</f>
        <v>04.00</v>
      </c>
      <c r="D5621" s="8">
        <f t="shared" ca="1" si="263"/>
        <v>11</v>
      </c>
      <c r="E5621" s="16">
        <f t="shared" ca="1" si="264"/>
        <v>0</v>
      </c>
    </row>
    <row r="5622" spans="1:5" x14ac:dyDescent="0.25">
      <c r="A5622" s="3">
        <f t="shared" si="262"/>
        <v>78989</v>
      </c>
      <c r="B5622" t="str">
        <f ca="1">TEXT(DATE(YEAR(Invoer!$A$5),1,1)+INT((ROWS(B$2:B5622)-1)/24),"""18""jjmmdd")</f>
        <v>18980823</v>
      </c>
      <c r="C5622" s="11" t="str">
        <f>INDEX(Data,2,2+MOD(ROWS(C$2:C5622)-1,24))</f>
        <v>05.00</v>
      </c>
      <c r="D5622" s="8">
        <f t="shared" ca="1" si="263"/>
        <v>12</v>
      </c>
      <c r="E5622" s="16">
        <f t="shared" ca="1" si="264"/>
        <v>0</v>
      </c>
    </row>
    <row r="5623" spans="1:5" x14ac:dyDescent="0.25">
      <c r="A5623" s="3">
        <f t="shared" si="262"/>
        <v>78989</v>
      </c>
      <c r="B5623" t="str">
        <f ca="1">TEXT(DATE(YEAR(Invoer!$A$5),1,1)+INT((ROWS(B$2:B5623)-1)/24),"""18""jjmmdd")</f>
        <v>18980823</v>
      </c>
      <c r="C5623" s="11" t="str">
        <f>INDEX(Data,2,2+MOD(ROWS(C$2:C5623)-1,24))</f>
        <v>06.00</v>
      </c>
      <c r="D5623" s="8">
        <f t="shared" ca="1" si="263"/>
        <v>10</v>
      </c>
      <c r="E5623" s="16">
        <f t="shared" ca="1" si="264"/>
        <v>0</v>
      </c>
    </row>
    <row r="5624" spans="1:5" x14ac:dyDescent="0.25">
      <c r="A5624" s="3">
        <f t="shared" si="262"/>
        <v>78989</v>
      </c>
      <c r="B5624" t="str">
        <f ca="1">TEXT(DATE(YEAR(Invoer!$A$5),1,1)+INT((ROWS(B$2:B5624)-1)/24),"""18""jjmmdd")</f>
        <v>18980823</v>
      </c>
      <c r="C5624" s="11" t="str">
        <f>INDEX(Data,2,2+MOD(ROWS(C$2:C5624)-1,24))</f>
        <v>07.00</v>
      </c>
      <c r="D5624" s="8">
        <f t="shared" ca="1" si="263"/>
        <v>13</v>
      </c>
      <c r="E5624" s="16">
        <f t="shared" ca="1" si="264"/>
        <v>0</v>
      </c>
    </row>
    <row r="5625" spans="1:5" x14ac:dyDescent="0.25">
      <c r="A5625" s="3">
        <f t="shared" si="262"/>
        <v>78989</v>
      </c>
      <c r="B5625" t="str">
        <f ca="1">TEXT(DATE(YEAR(Invoer!$A$5),1,1)+INT((ROWS(B$2:B5625)-1)/24),"""18""jjmmdd")</f>
        <v>18980823</v>
      </c>
      <c r="C5625" s="11" t="str">
        <f>INDEX(Data,2,2+MOD(ROWS(C$2:C5625)-1,24))</f>
        <v>08.00</v>
      </c>
      <c r="D5625" s="8">
        <f t="shared" ca="1" si="263"/>
        <v>14</v>
      </c>
      <c r="E5625" s="16">
        <f t="shared" ca="1" si="264"/>
        <v>0</v>
      </c>
    </row>
    <row r="5626" spans="1:5" x14ac:dyDescent="0.25">
      <c r="A5626" s="3">
        <f t="shared" si="262"/>
        <v>78989</v>
      </c>
      <c r="B5626" t="str">
        <f ca="1">TEXT(DATE(YEAR(Invoer!$A$5),1,1)+INT((ROWS(B$2:B5626)-1)/24),"""18""jjmmdd")</f>
        <v>18980823</v>
      </c>
      <c r="C5626" s="11" t="str">
        <f>INDEX(Data,2,2+MOD(ROWS(C$2:C5626)-1,24))</f>
        <v>09.00</v>
      </c>
      <c r="D5626" s="8">
        <f t="shared" ca="1" si="263"/>
        <v>16</v>
      </c>
      <c r="E5626" s="16">
        <f t="shared" ca="1" si="264"/>
        <v>0</v>
      </c>
    </row>
    <row r="5627" spans="1:5" x14ac:dyDescent="0.25">
      <c r="A5627" s="3">
        <f t="shared" si="262"/>
        <v>78989</v>
      </c>
      <c r="B5627" t="str">
        <f ca="1">TEXT(DATE(YEAR(Invoer!$A$5),1,1)+INT((ROWS(B$2:B5627)-1)/24),"""18""jjmmdd")</f>
        <v>18980823</v>
      </c>
      <c r="C5627" s="11" t="str">
        <f>INDEX(Data,2,2+MOD(ROWS(C$2:C5627)-1,24))</f>
        <v>10.00</v>
      </c>
      <c r="D5627" s="8">
        <f t="shared" ca="1" si="263"/>
        <v>15</v>
      </c>
      <c r="E5627" s="16">
        <f t="shared" ca="1" si="264"/>
        <v>0</v>
      </c>
    </row>
    <row r="5628" spans="1:5" x14ac:dyDescent="0.25">
      <c r="A5628" s="3">
        <f t="shared" si="262"/>
        <v>78989</v>
      </c>
      <c r="B5628" t="str">
        <f ca="1">TEXT(DATE(YEAR(Invoer!$A$5),1,1)+INT((ROWS(B$2:B5628)-1)/24),"""18""jjmmdd")</f>
        <v>18980823</v>
      </c>
      <c r="C5628" s="11" t="str">
        <f>INDEX(Data,2,2+MOD(ROWS(C$2:C5628)-1,24))</f>
        <v>11.00</v>
      </c>
      <c r="D5628" s="8">
        <f t="shared" ca="1" si="263"/>
        <v>14</v>
      </c>
      <c r="E5628" s="16">
        <f t="shared" ca="1" si="264"/>
        <v>0</v>
      </c>
    </row>
    <row r="5629" spans="1:5" x14ac:dyDescent="0.25">
      <c r="A5629" s="3">
        <f t="shared" si="262"/>
        <v>78989</v>
      </c>
      <c r="B5629" t="str">
        <f ca="1">TEXT(DATE(YEAR(Invoer!$A$5),1,1)+INT((ROWS(B$2:B5629)-1)/24),"""18""jjmmdd")</f>
        <v>18980823</v>
      </c>
      <c r="C5629" s="11" t="str">
        <f>INDEX(Data,2,2+MOD(ROWS(C$2:C5629)-1,24))</f>
        <v>12.00</v>
      </c>
      <c r="D5629" s="8">
        <f t="shared" ca="1" si="263"/>
        <v>13</v>
      </c>
      <c r="E5629" s="16">
        <f t="shared" ca="1" si="264"/>
        <v>0</v>
      </c>
    </row>
    <row r="5630" spans="1:5" x14ac:dyDescent="0.25">
      <c r="A5630" s="3">
        <f t="shared" si="262"/>
        <v>78989</v>
      </c>
      <c r="B5630" t="str">
        <f ca="1">TEXT(DATE(YEAR(Invoer!$A$5),1,1)+INT((ROWS(B$2:B5630)-1)/24),"""18""jjmmdd")</f>
        <v>18980823</v>
      </c>
      <c r="C5630" s="11" t="str">
        <f>INDEX(Data,2,2+MOD(ROWS(C$2:C5630)-1,24))</f>
        <v>13.00</v>
      </c>
      <c r="D5630" s="8">
        <f t="shared" ca="1" si="263"/>
        <v>15</v>
      </c>
      <c r="E5630" s="16">
        <f t="shared" ca="1" si="264"/>
        <v>0</v>
      </c>
    </row>
    <row r="5631" spans="1:5" x14ac:dyDescent="0.25">
      <c r="A5631" s="3">
        <f t="shared" si="262"/>
        <v>78989</v>
      </c>
      <c r="B5631" t="str">
        <f ca="1">TEXT(DATE(YEAR(Invoer!$A$5),1,1)+INT((ROWS(B$2:B5631)-1)/24),"""18""jjmmdd")</f>
        <v>18980823</v>
      </c>
      <c r="C5631" s="11" t="str">
        <f>INDEX(Data,2,2+MOD(ROWS(C$2:C5631)-1,24))</f>
        <v>14.00</v>
      </c>
      <c r="D5631" s="8">
        <f t="shared" ca="1" si="263"/>
        <v>15</v>
      </c>
      <c r="E5631" s="16">
        <f t="shared" ca="1" si="264"/>
        <v>0</v>
      </c>
    </row>
    <row r="5632" spans="1:5" x14ac:dyDescent="0.25">
      <c r="A5632" s="3">
        <f t="shared" si="262"/>
        <v>78989</v>
      </c>
      <c r="B5632" t="str">
        <f ca="1">TEXT(DATE(YEAR(Invoer!$A$5),1,1)+INT((ROWS(B$2:B5632)-1)/24),"""18""jjmmdd")</f>
        <v>18980823</v>
      </c>
      <c r="C5632" s="11" t="str">
        <f>INDEX(Data,2,2+MOD(ROWS(C$2:C5632)-1,24))</f>
        <v>15.00</v>
      </c>
      <c r="D5632" s="8">
        <f t="shared" ca="1" si="263"/>
        <v>15</v>
      </c>
      <c r="E5632" s="16">
        <f t="shared" ca="1" si="264"/>
        <v>0</v>
      </c>
    </row>
    <row r="5633" spans="1:5" x14ac:dyDescent="0.25">
      <c r="A5633" s="3">
        <f t="shared" si="262"/>
        <v>78989</v>
      </c>
      <c r="B5633" t="str">
        <f ca="1">TEXT(DATE(YEAR(Invoer!$A$5),1,1)+INT((ROWS(B$2:B5633)-1)/24),"""18""jjmmdd")</f>
        <v>18980823</v>
      </c>
      <c r="C5633" s="11" t="str">
        <f>INDEX(Data,2,2+MOD(ROWS(C$2:C5633)-1,24))</f>
        <v>16.00</v>
      </c>
      <c r="D5633" s="8">
        <f t="shared" ca="1" si="263"/>
        <v>15</v>
      </c>
      <c r="E5633" s="16">
        <f t="shared" ca="1" si="264"/>
        <v>0</v>
      </c>
    </row>
    <row r="5634" spans="1:5" x14ac:dyDescent="0.25">
      <c r="A5634" s="3">
        <f t="shared" ref="A5634:A5697" si="265">INDEX(Stations,2,1)</f>
        <v>78989</v>
      </c>
      <c r="B5634" t="str">
        <f ca="1">TEXT(DATE(YEAR(Invoer!$A$5),1,1)+INT((ROWS(B$2:B5634)-1)/24),"""18""jjmmdd")</f>
        <v>18980823</v>
      </c>
      <c r="C5634" s="11" t="str">
        <f>INDEX(Data,2,2+MOD(ROWS(C$2:C5634)-1,24))</f>
        <v>17.00</v>
      </c>
      <c r="D5634" s="8">
        <f t="shared" ref="D5634:D5697" ca="1" si="266">IF(OR(ISBLANK(VLOOKUP(DATEVALUE("37"&amp;MID($B5634,3,2)&amp;"-"&amp;MID($B5634,5,2)&amp;"-"&amp;RIGHT($B5634,2)),Data,MATCH(LEFT(VLOOKUP(D$1,Parameters,2,FALSE()),4)&amp;"*",OFFSET(Data,0,0,1),0)+MATCH($C5634,OFFSET(Data,1,0,1),0)-2,FALSE())),ISTEXT(VLOOKUP(DATEVALUE("37"&amp;MID($B5634,3,2)&amp;"-"&amp;MID($B5634,5,2)&amp;"-"&amp;RIGHT($B5634,2)),Data,MATCH(LEFT(VLOOKUP(D$1,Parameters,2,FALSE()),4)&amp;"*",OFFSET(Data,0,0,1),0)+MATCH($C5634,OFFSET(Data,1,0,1),0)-2,FALSE()))),"—",VLOOKUP(DATEVALUE("37"&amp;MID($B5634,3,2)&amp;"-"&amp;MID($B5634,5,2)&amp;"-"&amp;RIGHT($B5634,2)),Data,MATCH(LEFT(VLOOKUP(D$1,Parameters,2,FALSE()),4)&amp;"*",OFFSET(Data,0,0,1),0)+MATCH($C5634,OFFSET(Data,1,0,1),0)-2,FALSE()))</f>
        <v>17</v>
      </c>
      <c r="E5634" s="16">
        <f t="shared" ca="1" si="264"/>
        <v>0</v>
      </c>
    </row>
    <row r="5635" spans="1:5" x14ac:dyDescent="0.25">
      <c r="A5635" s="3">
        <f t="shared" si="265"/>
        <v>78989</v>
      </c>
      <c r="B5635" t="str">
        <f ca="1">TEXT(DATE(YEAR(Invoer!$A$5),1,1)+INT((ROWS(B$2:B5635)-1)/24),"""18""jjmmdd")</f>
        <v>18980823</v>
      </c>
      <c r="C5635" s="11" t="str">
        <f>INDEX(Data,2,2+MOD(ROWS(C$2:C5635)-1,24))</f>
        <v>18.00</v>
      </c>
      <c r="D5635" s="8">
        <f t="shared" ca="1" si="266"/>
        <v>17</v>
      </c>
      <c r="E5635" s="16">
        <f t="shared" ref="E5635:E5698" ca="1" si="267">IF(OR(ISBLANK(VLOOKUP(DATEVALUE("37"&amp;MID($B5635,3,2)&amp;"-"&amp;MID($B5635,5,2)&amp;"-"&amp;RIGHT($B5635,2)),Data,MATCH(LEFT(VLOOKUP(D$1,Parameters,2,FALSE()),4)&amp;"*",OFFSET(Data,0,0,1),0)+MATCH($C5635,OFFSET(Data,1,0,1),0)-2,FALSE())),ISTEXT(VLOOKUP(DATEVALUE("37"&amp;MID($B5635,3,2)&amp;"-"&amp;MID($B5635,5,2)&amp;"-"&amp;RIGHT($B5635,2)),Data,MATCH(LEFT(VLOOKUP(D$1,Parameters,2,FALSE()),4)&amp;"*",OFFSET(Data,0,0,1),0)+MATCH($C5635,OFFSET(Data,1,0,1),0)-2,FALSE()))),Lacking,IF(ISNA(MATCH(DATEVALUE("37"&amp;MID($B5635,3,2)&amp;"-"&amp;MID($B5635,5,2)&amp;"-"&amp;RIGHT($B5635,2)),OFFSET(Catalogus,0,0,,1),0)),Ok,VLOOKUP(DATEVALUE("37"&amp;MID($B5635,3,2)&amp;"-"&amp;MID($B5635,5,2)&amp;"-"&amp;RIGHT($B5635,2)),Catalogus,MATCH(LEFT(VLOOKUP(MID(E$1,2,LEN(E$1)-1),Parameters,2,FALSE()),4)&amp;"*",OFFSET(Catalogus,0,0,1),0)+MATCH($C5635,OFFSET(Catalogus,1,0,1),0)-2,FALSE())))</f>
        <v>0</v>
      </c>
    </row>
    <row r="5636" spans="1:5" x14ac:dyDescent="0.25">
      <c r="A5636" s="3">
        <f t="shared" si="265"/>
        <v>78989</v>
      </c>
      <c r="B5636" t="str">
        <f ca="1">TEXT(DATE(YEAR(Invoer!$A$5),1,1)+INT((ROWS(B$2:B5636)-1)/24),"""18""jjmmdd")</f>
        <v>18980823</v>
      </c>
      <c r="C5636" s="11" t="str">
        <f>INDEX(Data,2,2+MOD(ROWS(C$2:C5636)-1,24))</f>
        <v>19.00</v>
      </c>
      <c r="D5636" s="8">
        <f t="shared" ca="1" si="266"/>
        <v>19</v>
      </c>
      <c r="E5636" s="16">
        <f t="shared" ca="1" si="267"/>
        <v>0</v>
      </c>
    </row>
    <row r="5637" spans="1:5" x14ac:dyDescent="0.25">
      <c r="A5637" s="3">
        <f t="shared" si="265"/>
        <v>78989</v>
      </c>
      <c r="B5637" t="str">
        <f ca="1">TEXT(DATE(YEAR(Invoer!$A$5),1,1)+INT((ROWS(B$2:B5637)-1)/24),"""18""jjmmdd")</f>
        <v>18980823</v>
      </c>
      <c r="C5637" s="11" t="str">
        <f>INDEX(Data,2,2+MOD(ROWS(C$2:C5637)-1,24))</f>
        <v>20.00</v>
      </c>
      <c r="D5637" s="8">
        <f t="shared" ca="1" si="266"/>
        <v>16</v>
      </c>
      <c r="E5637" s="16">
        <f t="shared" ca="1" si="267"/>
        <v>0</v>
      </c>
    </row>
    <row r="5638" spans="1:5" x14ac:dyDescent="0.25">
      <c r="A5638" s="3">
        <f t="shared" si="265"/>
        <v>78989</v>
      </c>
      <c r="B5638" t="str">
        <f ca="1">TEXT(DATE(YEAR(Invoer!$A$5),1,1)+INT((ROWS(B$2:B5638)-1)/24),"""18""jjmmdd")</f>
        <v>18980823</v>
      </c>
      <c r="C5638" s="11" t="str">
        <f>INDEX(Data,2,2+MOD(ROWS(C$2:C5638)-1,24))</f>
        <v>21.00</v>
      </c>
      <c r="D5638" s="8">
        <f t="shared" ca="1" si="266"/>
        <v>15</v>
      </c>
      <c r="E5638" s="16">
        <f t="shared" ca="1" si="267"/>
        <v>0</v>
      </c>
    </row>
    <row r="5639" spans="1:5" x14ac:dyDescent="0.25">
      <c r="A5639" s="3">
        <f t="shared" si="265"/>
        <v>78989</v>
      </c>
      <c r="B5639" t="str">
        <f ca="1">TEXT(DATE(YEAR(Invoer!$A$5),1,1)+INT((ROWS(B$2:B5639)-1)/24),"""18""jjmmdd")</f>
        <v>18980823</v>
      </c>
      <c r="C5639" s="11" t="str">
        <f>INDEX(Data,2,2+MOD(ROWS(C$2:C5639)-1,24))</f>
        <v>22.00</v>
      </c>
      <c r="D5639" s="8">
        <f t="shared" ca="1" si="266"/>
        <v>16</v>
      </c>
      <c r="E5639" s="16">
        <f t="shared" ca="1" si="267"/>
        <v>0</v>
      </c>
    </row>
    <row r="5640" spans="1:5" x14ac:dyDescent="0.25">
      <c r="A5640" s="3">
        <f t="shared" si="265"/>
        <v>78989</v>
      </c>
      <c r="B5640" t="str">
        <f ca="1">TEXT(DATE(YEAR(Invoer!$A$5),1,1)+INT((ROWS(B$2:B5640)-1)/24),"""18""jjmmdd")</f>
        <v>18980823</v>
      </c>
      <c r="C5640" s="11" t="str">
        <f>INDEX(Data,2,2+MOD(ROWS(C$2:C5640)-1,24))</f>
        <v>23.00</v>
      </c>
      <c r="D5640" s="8">
        <f t="shared" ca="1" si="266"/>
        <v>14</v>
      </c>
      <c r="E5640" s="16">
        <f t="shared" ca="1" si="267"/>
        <v>0</v>
      </c>
    </row>
    <row r="5641" spans="1:5" x14ac:dyDescent="0.25">
      <c r="A5641" s="3">
        <f t="shared" si="265"/>
        <v>78989</v>
      </c>
      <c r="B5641" t="str">
        <f ca="1">TEXT(DATE(YEAR(Invoer!$A$5),1,1)+INT((ROWS(B$2:B5641)-1)/24),"""18""jjmmdd")</f>
        <v>18980823</v>
      </c>
      <c r="C5641" s="11" t="str">
        <f>INDEX(Data,2,2+MOD(ROWS(C$2:C5641)-1,24))</f>
        <v>24.00</v>
      </c>
      <c r="D5641" s="8">
        <f t="shared" ca="1" si="266"/>
        <v>14</v>
      </c>
      <c r="E5641" s="16">
        <f t="shared" ca="1" si="267"/>
        <v>0</v>
      </c>
    </row>
    <row r="5642" spans="1:5" x14ac:dyDescent="0.25">
      <c r="A5642" s="3">
        <f t="shared" si="265"/>
        <v>78989</v>
      </c>
      <c r="B5642" t="str">
        <f ca="1">TEXT(DATE(YEAR(Invoer!$A$5),1,1)+INT((ROWS(B$2:B5642)-1)/24),"""18""jjmmdd")</f>
        <v>18980824</v>
      </c>
      <c r="C5642" s="11" t="str">
        <f>INDEX(Data,2,2+MOD(ROWS(C$2:C5642)-1,24))</f>
        <v>01.00</v>
      </c>
      <c r="D5642" s="8">
        <f t="shared" ca="1" si="266"/>
        <v>12</v>
      </c>
      <c r="E5642" s="16">
        <f t="shared" ca="1" si="267"/>
        <v>0</v>
      </c>
    </row>
    <row r="5643" spans="1:5" x14ac:dyDescent="0.25">
      <c r="A5643" s="3">
        <f t="shared" si="265"/>
        <v>78989</v>
      </c>
      <c r="B5643" t="str">
        <f ca="1">TEXT(DATE(YEAR(Invoer!$A$5),1,1)+INT((ROWS(B$2:B5643)-1)/24),"""18""jjmmdd")</f>
        <v>18980824</v>
      </c>
      <c r="C5643" s="11" t="str">
        <f>INDEX(Data,2,2+MOD(ROWS(C$2:C5643)-1,24))</f>
        <v>02.00</v>
      </c>
      <c r="D5643" s="8">
        <f t="shared" ca="1" si="266"/>
        <v>13</v>
      </c>
      <c r="E5643" s="16">
        <f t="shared" ca="1" si="267"/>
        <v>0</v>
      </c>
    </row>
    <row r="5644" spans="1:5" x14ac:dyDescent="0.25">
      <c r="A5644" s="3">
        <f t="shared" si="265"/>
        <v>78989</v>
      </c>
      <c r="B5644" t="str">
        <f ca="1">TEXT(DATE(YEAR(Invoer!$A$5),1,1)+INT((ROWS(B$2:B5644)-1)/24),"""18""jjmmdd")</f>
        <v>18980824</v>
      </c>
      <c r="C5644" s="11" t="str">
        <f>INDEX(Data,2,2+MOD(ROWS(C$2:C5644)-1,24))</f>
        <v>03.00</v>
      </c>
      <c r="D5644" s="8">
        <f t="shared" ca="1" si="266"/>
        <v>8</v>
      </c>
      <c r="E5644" s="16">
        <f t="shared" ca="1" si="267"/>
        <v>0</v>
      </c>
    </row>
    <row r="5645" spans="1:5" x14ac:dyDescent="0.25">
      <c r="A5645" s="3">
        <f t="shared" si="265"/>
        <v>78989</v>
      </c>
      <c r="B5645" t="str">
        <f ca="1">TEXT(DATE(YEAR(Invoer!$A$5),1,1)+INT((ROWS(B$2:B5645)-1)/24),"""18""jjmmdd")</f>
        <v>18980824</v>
      </c>
      <c r="C5645" s="11" t="str">
        <f>INDEX(Data,2,2+MOD(ROWS(C$2:C5645)-1,24))</f>
        <v>04.00</v>
      </c>
      <c r="D5645" s="8">
        <f t="shared" ca="1" si="266"/>
        <v>10</v>
      </c>
      <c r="E5645" s="16">
        <f t="shared" ca="1" si="267"/>
        <v>0</v>
      </c>
    </row>
    <row r="5646" spans="1:5" x14ac:dyDescent="0.25">
      <c r="A5646" s="3">
        <f t="shared" si="265"/>
        <v>78989</v>
      </c>
      <c r="B5646" t="str">
        <f ca="1">TEXT(DATE(YEAR(Invoer!$A$5),1,1)+INT((ROWS(B$2:B5646)-1)/24),"""18""jjmmdd")</f>
        <v>18980824</v>
      </c>
      <c r="C5646" s="11" t="str">
        <f>INDEX(Data,2,2+MOD(ROWS(C$2:C5646)-1,24))</f>
        <v>05.00</v>
      </c>
      <c r="D5646" s="8">
        <f t="shared" ca="1" si="266"/>
        <v>9</v>
      </c>
      <c r="E5646" s="16">
        <f t="shared" ca="1" si="267"/>
        <v>0</v>
      </c>
    </row>
    <row r="5647" spans="1:5" x14ac:dyDescent="0.25">
      <c r="A5647" s="3">
        <f t="shared" si="265"/>
        <v>78989</v>
      </c>
      <c r="B5647" t="str">
        <f ca="1">TEXT(DATE(YEAR(Invoer!$A$5),1,1)+INT((ROWS(B$2:B5647)-1)/24),"""18""jjmmdd")</f>
        <v>18980824</v>
      </c>
      <c r="C5647" s="11" t="str">
        <f>INDEX(Data,2,2+MOD(ROWS(C$2:C5647)-1,24))</f>
        <v>06.00</v>
      </c>
      <c r="D5647" s="8">
        <f t="shared" ca="1" si="266"/>
        <v>8</v>
      </c>
      <c r="E5647" s="16">
        <f t="shared" ca="1" si="267"/>
        <v>0</v>
      </c>
    </row>
    <row r="5648" spans="1:5" x14ac:dyDescent="0.25">
      <c r="A5648" s="3">
        <f t="shared" si="265"/>
        <v>78989</v>
      </c>
      <c r="B5648" t="str">
        <f ca="1">TEXT(DATE(YEAR(Invoer!$A$5),1,1)+INT((ROWS(B$2:B5648)-1)/24),"""18""jjmmdd")</f>
        <v>18980824</v>
      </c>
      <c r="C5648" s="11" t="str">
        <f>INDEX(Data,2,2+MOD(ROWS(C$2:C5648)-1,24))</f>
        <v>07.00</v>
      </c>
      <c r="D5648" s="8">
        <f t="shared" ca="1" si="266"/>
        <v>11</v>
      </c>
      <c r="E5648" s="16">
        <f t="shared" ca="1" si="267"/>
        <v>0</v>
      </c>
    </row>
    <row r="5649" spans="1:5" x14ac:dyDescent="0.25">
      <c r="A5649" s="3">
        <f t="shared" si="265"/>
        <v>78989</v>
      </c>
      <c r="B5649" t="str">
        <f ca="1">TEXT(DATE(YEAR(Invoer!$A$5),1,1)+INT((ROWS(B$2:B5649)-1)/24),"""18""jjmmdd")</f>
        <v>18980824</v>
      </c>
      <c r="C5649" s="11" t="str">
        <f>INDEX(Data,2,2+MOD(ROWS(C$2:C5649)-1,24))</f>
        <v>08.00</v>
      </c>
      <c r="D5649" s="8">
        <f t="shared" ca="1" si="266"/>
        <v>13</v>
      </c>
      <c r="E5649" s="16">
        <f t="shared" ca="1" si="267"/>
        <v>0</v>
      </c>
    </row>
    <row r="5650" spans="1:5" x14ac:dyDescent="0.25">
      <c r="A5650" s="3">
        <f t="shared" si="265"/>
        <v>78989</v>
      </c>
      <c r="B5650" t="str">
        <f ca="1">TEXT(DATE(YEAR(Invoer!$A$5),1,1)+INT((ROWS(B$2:B5650)-1)/24),"""18""jjmmdd")</f>
        <v>18980824</v>
      </c>
      <c r="C5650" s="11" t="str">
        <f>INDEX(Data,2,2+MOD(ROWS(C$2:C5650)-1,24))</f>
        <v>09.00</v>
      </c>
      <c r="D5650" s="8">
        <f t="shared" ca="1" si="266"/>
        <v>11</v>
      </c>
      <c r="E5650" s="16">
        <f t="shared" ca="1" si="267"/>
        <v>0</v>
      </c>
    </row>
    <row r="5651" spans="1:5" x14ac:dyDescent="0.25">
      <c r="A5651" s="3">
        <f t="shared" si="265"/>
        <v>78989</v>
      </c>
      <c r="B5651" t="str">
        <f ca="1">TEXT(DATE(YEAR(Invoer!$A$5),1,1)+INT((ROWS(B$2:B5651)-1)/24),"""18""jjmmdd")</f>
        <v>18980824</v>
      </c>
      <c r="C5651" s="11" t="str">
        <f>INDEX(Data,2,2+MOD(ROWS(C$2:C5651)-1,24))</f>
        <v>10.00</v>
      </c>
      <c r="D5651" s="8">
        <f t="shared" ca="1" si="266"/>
        <v>13</v>
      </c>
      <c r="E5651" s="16">
        <f t="shared" ca="1" si="267"/>
        <v>0</v>
      </c>
    </row>
    <row r="5652" spans="1:5" x14ac:dyDescent="0.25">
      <c r="A5652" s="3">
        <f t="shared" si="265"/>
        <v>78989</v>
      </c>
      <c r="B5652" t="str">
        <f ca="1">TEXT(DATE(YEAR(Invoer!$A$5),1,1)+INT((ROWS(B$2:B5652)-1)/24),"""18""jjmmdd")</f>
        <v>18980824</v>
      </c>
      <c r="C5652" s="11" t="str">
        <f>INDEX(Data,2,2+MOD(ROWS(C$2:C5652)-1,24))</f>
        <v>11.00</v>
      </c>
      <c r="D5652" s="8">
        <f t="shared" ca="1" si="266"/>
        <v>14</v>
      </c>
      <c r="E5652" s="16">
        <f t="shared" ca="1" si="267"/>
        <v>0</v>
      </c>
    </row>
    <row r="5653" spans="1:5" x14ac:dyDescent="0.25">
      <c r="A5653" s="3">
        <f t="shared" si="265"/>
        <v>78989</v>
      </c>
      <c r="B5653" t="str">
        <f ca="1">TEXT(DATE(YEAR(Invoer!$A$5),1,1)+INT((ROWS(B$2:B5653)-1)/24),"""18""jjmmdd")</f>
        <v>18980824</v>
      </c>
      <c r="C5653" s="11" t="str">
        <f>INDEX(Data,2,2+MOD(ROWS(C$2:C5653)-1,24))</f>
        <v>12.00</v>
      </c>
      <c r="D5653" s="8">
        <f t="shared" ca="1" si="266"/>
        <v>14</v>
      </c>
      <c r="E5653" s="16">
        <f t="shared" ca="1" si="267"/>
        <v>0</v>
      </c>
    </row>
    <row r="5654" spans="1:5" x14ac:dyDescent="0.25">
      <c r="A5654" s="3">
        <f t="shared" si="265"/>
        <v>78989</v>
      </c>
      <c r="B5654" t="str">
        <f ca="1">TEXT(DATE(YEAR(Invoer!$A$5),1,1)+INT((ROWS(B$2:B5654)-1)/24),"""18""jjmmdd")</f>
        <v>18980824</v>
      </c>
      <c r="C5654" s="11" t="str">
        <f>INDEX(Data,2,2+MOD(ROWS(C$2:C5654)-1,24))</f>
        <v>13.00</v>
      </c>
      <c r="D5654" s="8">
        <f t="shared" ca="1" si="266"/>
        <v>11</v>
      </c>
      <c r="E5654" s="16">
        <f t="shared" ca="1" si="267"/>
        <v>0</v>
      </c>
    </row>
    <row r="5655" spans="1:5" x14ac:dyDescent="0.25">
      <c r="A5655" s="3">
        <f t="shared" si="265"/>
        <v>78989</v>
      </c>
      <c r="B5655" t="str">
        <f ca="1">TEXT(DATE(YEAR(Invoer!$A$5),1,1)+INT((ROWS(B$2:B5655)-1)/24),"""18""jjmmdd")</f>
        <v>18980824</v>
      </c>
      <c r="C5655" s="11" t="str">
        <f>INDEX(Data,2,2+MOD(ROWS(C$2:C5655)-1,24))</f>
        <v>14.00</v>
      </c>
      <c r="D5655" s="8">
        <f t="shared" ca="1" si="266"/>
        <v>12</v>
      </c>
      <c r="E5655" s="16">
        <f t="shared" ca="1" si="267"/>
        <v>0</v>
      </c>
    </row>
    <row r="5656" spans="1:5" x14ac:dyDescent="0.25">
      <c r="A5656" s="3">
        <f t="shared" si="265"/>
        <v>78989</v>
      </c>
      <c r="B5656" t="str">
        <f ca="1">TEXT(DATE(YEAR(Invoer!$A$5),1,1)+INT((ROWS(B$2:B5656)-1)/24),"""18""jjmmdd")</f>
        <v>18980824</v>
      </c>
      <c r="C5656" s="11" t="str">
        <f>INDEX(Data,2,2+MOD(ROWS(C$2:C5656)-1,24))</f>
        <v>15.00</v>
      </c>
      <c r="D5656" s="8">
        <f t="shared" ca="1" si="266"/>
        <v>13</v>
      </c>
      <c r="E5656" s="16">
        <f t="shared" ca="1" si="267"/>
        <v>0</v>
      </c>
    </row>
    <row r="5657" spans="1:5" x14ac:dyDescent="0.25">
      <c r="A5657" s="3">
        <f t="shared" si="265"/>
        <v>78989</v>
      </c>
      <c r="B5657" t="str">
        <f ca="1">TEXT(DATE(YEAR(Invoer!$A$5),1,1)+INT((ROWS(B$2:B5657)-1)/24),"""18""jjmmdd")</f>
        <v>18980824</v>
      </c>
      <c r="C5657" s="11" t="str">
        <f>INDEX(Data,2,2+MOD(ROWS(C$2:C5657)-1,24))</f>
        <v>16.00</v>
      </c>
      <c r="D5657" s="8">
        <f t="shared" ca="1" si="266"/>
        <v>14</v>
      </c>
      <c r="E5657" s="16">
        <f t="shared" ca="1" si="267"/>
        <v>0</v>
      </c>
    </row>
    <row r="5658" spans="1:5" x14ac:dyDescent="0.25">
      <c r="A5658" s="3">
        <f t="shared" si="265"/>
        <v>78989</v>
      </c>
      <c r="B5658" t="str">
        <f ca="1">TEXT(DATE(YEAR(Invoer!$A$5),1,1)+INT((ROWS(B$2:B5658)-1)/24),"""18""jjmmdd")</f>
        <v>18980824</v>
      </c>
      <c r="C5658" s="11" t="str">
        <f>INDEX(Data,2,2+MOD(ROWS(C$2:C5658)-1,24))</f>
        <v>17.00</v>
      </c>
      <c r="D5658" s="8">
        <f t="shared" ca="1" si="266"/>
        <v>15</v>
      </c>
      <c r="E5658" s="16">
        <f t="shared" ca="1" si="267"/>
        <v>0</v>
      </c>
    </row>
    <row r="5659" spans="1:5" x14ac:dyDescent="0.25">
      <c r="A5659" s="3">
        <f t="shared" si="265"/>
        <v>78989</v>
      </c>
      <c r="B5659" t="str">
        <f ca="1">TEXT(DATE(YEAR(Invoer!$A$5),1,1)+INT((ROWS(B$2:B5659)-1)/24),"""18""jjmmdd")</f>
        <v>18980824</v>
      </c>
      <c r="C5659" s="11" t="str">
        <f>INDEX(Data,2,2+MOD(ROWS(C$2:C5659)-1,24))</f>
        <v>18.00</v>
      </c>
      <c r="D5659" s="8">
        <f t="shared" ca="1" si="266"/>
        <v>15</v>
      </c>
      <c r="E5659" s="16">
        <f t="shared" ca="1" si="267"/>
        <v>0</v>
      </c>
    </row>
    <row r="5660" spans="1:5" x14ac:dyDescent="0.25">
      <c r="A5660" s="3">
        <f t="shared" si="265"/>
        <v>78989</v>
      </c>
      <c r="B5660" t="str">
        <f ca="1">TEXT(DATE(YEAR(Invoer!$A$5),1,1)+INT((ROWS(B$2:B5660)-1)/24),"""18""jjmmdd")</f>
        <v>18980824</v>
      </c>
      <c r="C5660" s="11" t="str">
        <f>INDEX(Data,2,2+MOD(ROWS(C$2:C5660)-1,24))</f>
        <v>19.00</v>
      </c>
      <c r="D5660" s="8">
        <f t="shared" ca="1" si="266"/>
        <v>13</v>
      </c>
      <c r="E5660" s="16">
        <f t="shared" ca="1" si="267"/>
        <v>0</v>
      </c>
    </row>
    <row r="5661" spans="1:5" x14ac:dyDescent="0.25">
      <c r="A5661" s="3">
        <f t="shared" si="265"/>
        <v>78989</v>
      </c>
      <c r="B5661" t="str">
        <f ca="1">TEXT(DATE(YEAR(Invoer!$A$5),1,1)+INT((ROWS(B$2:B5661)-1)/24),"""18""jjmmdd")</f>
        <v>18980824</v>
      </c>
      <c r="C5661" s="11" t="str">
        <f>INDEX(Data,2,2+MOD(ROWS(C$2:C5661)-1,24))</f>
        <v>20.00</v>
      </c>
      <c r="D5661" s="8">
        <f t="shared" ca="1" si="266"/>
        <v>12</v>
      </c>
      <c r="E5661" s="16">
        <f t="shared" ca="1" si="267"/>
        <v>0</v>
      </c>
    </row>
    <row r="5662" spans="1:5" x14ac:dyDescent="0.25">
      <c r="A5662" s="3">
        <f t="shared" si="265"/>
        <v>78989</v>
      </c>
      <c r="B5662" t="str">
        <f ca="1">TEXT(DATE(YEAR(Invoer!$A$5),1,1)+INT((ROWS(B$2:B5662)-1)/24),"""18""jjmmdd")</f>
        <v>18980824</v>
      </c>
      <c r="C5662" s="11" t="str">
        <f>INDEX(Data,2,2+MOD(ROWS(C$2:C5662)-1,24))</f>
        <v>21.00</v>
      </c>
      <c r="D5662" s="8">
        <f t="shared" ca="1" si="266"/>
        <v>13</v>
      </c>
      <c r="E5662" s="16">
        <f t="shared" ca="1" si="267"/>
        <v>0</v>
      </c>
    </row>
    <row r="5663" spans="1:5" x14ac:dyDescent="0.25">
      <c r="A5663" s="3">
        <f t="shared" si="265"/>
        <v>78989</v>
      </c>
      <c r="B5663" t="str">
        <f ca="1">TEXT(DATE(YEAR(Invoer!$A$5),1,1)+INT((ROWS(B$2:B5663)-1)/24),"""18""jjmmdd")</f>
        <v>18980824</v>
      </c>
      <c r="C5663" s="11" t="str">
        <f>INDEX(Data,2,2+MOD(ROWS(C$2:C5663)-1,24))</f>
        <v>22.00</v>
      </c>
      <c r="D5663" s="8">
        <f t="shared" ca="1" si="266"/>
        <v>11</v>
      </c>
      <c r="E5663" s="16">
        <f t="shared" ca="1" si="267"/>
        <v>0</v>
      </c>
    </row>
    <row r="5664" spans="1:5" x14ac:dyDescent="0.25">
      <c r="A5664" s="3">
        <f t="shared" si="265"/>
        <v>78989</v>
      </c>
      <c r="B5664" t="str">
        <f ca="1">TEXT(DATE(YEAR(Invoer!$A$5),1,1)+INT((ROWS(B$2:B5664)-1)/24),"""18""jjmmdd")</f>
        <v>18980824</v>
      </c>
      <c r="C5664" s="11" t="str">
        <f>INDEX(Data,2,2+MOD(ROWS(C$2:C5664)-1,24))</f>
        <v>23.00</v>
      </c>
      <c r="D5664" s="8">
        <f t="shared" ca="1" si="266"/>
        <v>12</v>
      </c>
      <c r="E5664" s="16">
        <f t="shared" ca="1" si="267"/>
        <v>0</v>
      </c>
    </row>
    <row r="5665" spans="1:5" x14ac:dyDescent="0.25">
      <c r="A5665" s="3">
        <f t="shared" si="265"/>
        <v>78989</v>
      </c>
      <c r="B5665" t="str">
        <f ca="1">TEXT(DATE(YEAR(Invoer!$A$5),1,1)+INT((ROWS(B$2:B5665)-1)/24),"""18""jjmmdd")</f>
        <v>18980824</v>
      </c>
      <c r="C5665" s="11" t="str">
        <f>INDEX(Data,2,2+MOD(ROWS(C$2:C5665)-1,24))</f>
        <v>24.00</v>
      </c>
      <c r="D5665" s="8">
        <f t="shared" ca="1" si="266"/>
        <v>9</v>
      </c>
      <c r="E5665" s="16">
        <f t="shared" ca="1" si="267"/>
        <v>0</v>
      </c>
    </row>
    <row r="5666" spans="1:5" x14ac:dyDescent="0.25">
      <c r="A5666" s="3">
        <f t="shared" si="265"/>
        <v>78989</v>
      </c>
      <c r="B5666" t="str">
        <f ca="1">TEXT(DATE(YEAR(Invoer!$A$5),1,1)+INT((ROWS(B$2:B5666)-1)/24),"""18""jjmmdd")</f>
        <v>18980825</v>
      </c>
      <c r="C5666" s="11" t="str">
        <f>INDEX(Data,2,2+MOD(ROWS(C$2:C5666)-1,24))</f>
        <v>01.00</v>
      </c>
      <c r="D5666" s="8">
        <f t="shared" ca="1" si="266"/>
        <v>9</v>
      </c>
      <c r="E5666" s="16">
        <f t="shared" ca="1" si="267"/>
        <v>0</v>
      </c>
    </row>
    <row r="5667" spans="1:5" x14ac:dyDescent="0.25">
      <c r="A5667" s="3">
        <f t="shared" si="265"/>
        <v>78989</v>
      </c>
      <c r="B5667" t="str">
        <f ca="1">TEXT(DATE(YEAR(Invoer!$A$5),1,1)+INT((ROWS(B$2:B5667)-1)/24),"""18""jjmmdd")</f>
        <v>18980825</v>
      </c>
      <c r="C5667" s="11" t="str">
        <f>INDEX(Data,2,2+MOD(ROWS(C$2:C5667)-1,24))</f>
        <v>02.00</v>
      </c>
      <c r="D5667" s="8">
        <f t="shared" ca="1" si="266"/>
        <v>9</v>
      </c>
      <c r="E5667" s="16">
        <f t="shared" ca="1" si="267"/>
        <v>0</v>
      </c>
    </row>
    <row r="5668" spans="1:5" x14ac:dyDescent="0.25">
      <c r="A5668" s="3">
        <f t="shared" si="265"/>
        <v>78989</v>
      </c>
      <c r="B5668" t="str">
        <f ca="1">TEXT(DATE(YEAR(Invoer!$A$5),1,1)+INT((ROWS(B$2:B5668)-1)/24),"""18""jjmmdd")</f>
        <v>18980825</v>
      </c>
      <c r="C5668" s="11" t="str">
        <f>INDEX(Data,2,2+MOD(ROWS(C$2:C5668)-1,24))</f>
        <v>03.00</v>
      </c>
      <c r="D5668" s="8">
        <f t="shared" ca="1" si="266"/>
        <v>9</v>
      </c>
      <c r="E5668" s="16">
        <f t="shared" ca="1" si="267"/>
        <v>0</v>
      </c>
    </row>
    <row r="5669" spans="1:5" x14ac:dyDescent="0.25">
      <c r="A5669" s="3">
        <f t="shared" si="265"/>
        <v>78989</v>
      </c>
      <c r="B5669" t="str">
        <f ca="1">TEXT(DATE(YEAR(Invoer!$A$5),1,1)+INT((ROWS(B$2:B5669)-1)/24),"""18""jjmmdd")</f>
        <v>18980825</v>
      </c>
      <c r="C5669" s="11" t="str">
        <f>INDEX(Data,2,2+MOD(ROWS(C$2:C5669)-1,24))</f>
        <v>04.00</v>
      </c>
      <c r="D5669" s="8">
        <f t="shared" ca="1" si="266"/>
        <v>8</v>
      </c>
      <c r="E5669" s="16">
        <f t="shared" ca="1" si="267"/>
        <v>0</v>
      </c>
    </row>
    <row r="5670" spans="1:5" x14ac:dyDescent="0.25">
      <c r="A5670" s="3">
        <f t="shared" si="265"/>
        <v>78989</v>
      </c>
      <c r="B5670" t="str">
        <f ca="1">TEXT(DATE(YEAR(Invoer!$A$5),1,1)+INT((ROWS(B$2:B5670)-1)/24),"""18""jjmmdd")</f>
        <v>18980825</v>
      </c>
      <c r="C5670" s="11" t="str">
        <f>INDEX(Data,2,2+MOD(ROWS(C$2:C5670)-1,24))</f>
        <v>05.00</v>
      </c>
      <c r="D5670" s="8">
        <f t="shared" ca="1" si="266"/>
        <v>9</v>
      </c>
      <c r="E5670" s="16">
        <f t="shared" ca="1" si="267"/>
        <v>0</v>
      </c>
    </row>
    <row r="5671" spans="1:5" x14ac:dyDescent="0.25">
      <c r="A5671" s="3">
        <f t="shared" si="265"/>
        <v>78989</v>
      </c>
      <c r="B5671" t="str">
        <f ca="1">TEXT(DATE(YEAR(Invoer!$A$5),1,1)+INT((ROWS(B$2:B5671)-1)/24),"""18""jjmmdd")</f>
        <v>18980825</v>
      </c>
      <c r="C5671" s="11" t="str">
        <f>INDEX(Data,2,2+MOD(ROWS(C$2:C5671)-1,24))</f>
        <v>06.00</v>
      </c>
      <c r="D5671" s="8">
        <f t="shared" ca="1" si="266"/>
        <v>7</v>
      </c>
      <c r="E5671" s="16">
        <f t="shared" ca="1" si="267"/>
        <v>0</v>
      </c>
    </row>
    <row r="5672" spans="1:5" x14ac:dyDescent="0.25">
      <c r="A5672" s="3">
        <f t="shared" si="265"/>
        <v>78989</v>
      </c>
      <c r="B5672" t="str">
        <f ca="1">TEXT(DATE(YEAR(Invoer!$A$5),1,1)+INT((ROWS(B$2:B5672)-1)/24),"""18""jjmmdd")</f>
        <v>18980825</v>
      </c>
      <c r="C5672" s="11" t="str">
        <f>INDEX(Data,2,2+MOD(ROWS(C$2:C5672)-1,24))</f>
        <v>07.00</v>
      </c>
      <c r="D5672" s="8">
        <f t="shared" ca="1" si="266"/>
        <v>9</v>
      </c>
      <c r="E5672" s="16">
        <f t="shared" ca="1" si="267"/>
        <v>0</v>
      </c>
    </row>
    <row r="5673" spans="1:5" x14ac:dyDescent="0.25">
      <c r="A5673" s="3">
        <f t="shared" si="265"/>
        <v>78989</v>
      </c>
      <c r="B5673" t="str">
        <f ca="1">TEXT(DATE(YEAR(Invoer!$A$5),1,1)+INT((ROWS(B$2:B5673)-1)/24),"""18""jjmmdd")</f>
        <v>18980825</v>
      </c>
      <c r="C5673" s="11" t="str">
        <f>INDEX(Data,2,2+MOD(ROWS(C$2:C5673)-1,24))</f>
        <v>08.00</v>
      </c>
      <c r="D5673" s="8">
        <f t="shared" ca="1" si="266"/>
        <v>11</v>
      </c>
      <c r="E5673" s="16">
        <f t="shared" ca="1" si="267"/>
        <v>0</v>
      </c>
    </row>
    <row r="5674" spans="1:5" x14ac:dyDescent="0.25">
      <c r="A5674" s="3">
        <f t="shared" si="265"/>
        <v>78989</v>
      </c>
      <c r="B5674" t="str">
        <f ca="1">TEXT(DATE(YEAR(Invoer!$A$5),1,1)+INT((ROWS(B$2:B5674)-1)/24),"""18""jjmmdd")</f>
        <v>18980825</v>
      </c>
      <c r="C5674" s="11" t="str">
        <f>INDEX(Data,2,2+MOD(ROWS(C$2:C5674)-1,24))</f>
        <v>09.00</v>
      </c>
      <c r="D5674" s="8">
        <f t="shared" ca="1" si="266"/>
        <v>11</v>
      </c>
      <c r="E5674" s="16">
        <f t="shared" ca="1" si="267"/>
        <v>0</v>
      </c>
    </row>
    <row r="5675" spans="1:5" x14ac:dyDescent="0.25">
      <c r="A5675" s="3">
        <f t="shared" si="265"/>
        <v>78989</v>
      </c>
      <c r="B5675" t="str">
        <f ca="1">TEXT(DATE(YEAR(Invoer!$A$5),1,1)+INT((ROWS(B$2:B5675)-1)/24),"""18""jjmmdd")</f>
        <v>18980825</v>
      </c>
      <c r="C5675" s="11" t="str">
        <f>INDEX(Data,2,2+MOD(ROWS(C$2:C5675)-1,24))</f>
        <v>10.00</v>
      </c>
      <c r="D5675" s="8">
        <f t="shared" ca="1" si="266"/>
        <v>12</v>
      </c>
      <c r="E5675" s="16">
        <f t="shared" ca="1" si="267"/>
        <v>0</v>
      </c>
    </row>
    <row r="5676" spans="1:5" x14ac:dyDescent="0.25">
      <c r="A5676" s="3">
        <f t="shared" si="265"/>
        <v>78989</v>
      </c>
      <c r="B5676" t="str">
        <f ca="1">TEXT(DATE(YEAR(Invoer!$A$5),1,1)+INT((ROWS(B$2:B5676)-1)/24),"""18""jjmmdd")</f>
        <v>18980825</v>
      </c>
      <c r="C5676" s="11" t="str">
        <f>INDEX(Data,2,2+MOD(ROWS(C$2:C5676)-1,24))</f>
        <v>11.00</v>
      </c>
      <c r="D5676" s="8">
        <f t="shared" ca="1" si="266"/>
        <v>13</v>
      </c>
      <c r="E5676" s="16">
        <f t="shared" ca="1" si="267"/>
        <v>0</v>
      </c>
    </row>
    <row r="5677" spans="1:5" x14ac:dyDescent="0.25">
      <c r="A5677" s="3">
        <f t="shared" si="265"/>
        <v>78989</v>
      </c>
      <c r="B5677" t="str">
        <f ca="1">TEXT(DATE(YEAR(Invoer!$A$5),1,1)+INT((ROWS(B$2:B5677)-1)/24),"""18""jjmmdd")</f>
        <v>18980825</v>
      </c>
      <c r="C5677" s="11" t="str">
        <f>INDEX(Data,2,2+MOD(ROWS(C$2:C5677)-1,24))</f>
        <v>12.00</v>
      </c>
      <c r="D5677" s="8">
        <f t="shared" ca="1" si="266"/>
        <v>13</v>
      </c>
      <c r="E5677" s="16">
        <f t="shared" ca="1" si="267"/>
        <v>0</v>
      </c>
    </row>
    <row r="5678" spans="1:5" x14ac:dyDescent="0.25">
      <c r="A5678" s="3">
        <f t="shared" si="265"/>
        <v>78989</v>
      </c>
      <c r="B5678" t="str">
        <f ca="1">TEXT(DATE(YEAR(Invoer!$A$5),1,1)+INT((ROWS(B$2:B5678)-1)/24),"""18""jjmmdd")</f>
        <v>18980825</v>
      </c>
      <c r="C5678" s="11" t="str">
        <f>INDEX(Data,2,2+MOD(ROWS(C$2:C5678)-1,24))</f>
        <v>13.00</v>
      </c>
      <c r="D5678" s="8">
        <f t="shared" ca="1" si="266"/>
        <v>13</v>
      </c>
      <c r="E5678" s="16">
        <f t="shared" ca="1" si="267"/>
        <v>0</v>
      </c>
    </row>
    <row r="5679" spans="1:5" x14ac:dyDescent="0.25">
      <c r="A5679" s="3">
        <f t="shared" si="265"/>
        <v>78989</v>
      </c>
      <c r="B5679" t="str">
        <f ca="1">TEXT(DATE(YEAR(Invoer!$A$5),1,1)+INT((ROWS(B$2:B5679)-1)/24),"""18""jjmmdd")</f>
        <v>18980825</v>
      </c>
      <c r="C5679" s="11" t="str">
        <f>INDEX(Data,2,2+MOD(ROWS(C$2:C5679)-1,24))</f>
        <v>14.00</v>
      </c>
      <c r="D5679" s="8">
        <f t="shared" ca="1" si="266"/>
        <v>12</v>
      </c>
      <c r="E5679" s="16">
        <f t="shared" ca="1" si="267"/>
        <v>0</v>
      </c>
    </row>
    <row r="5680" spans="1:5" x14ac:dyDescent="0.25">
      <c r="A5680" s="3">
        <f t="shared" si="265"/>
        <v>78989</v>
      </c>
      <c r="B5680" t="str">
        <f ca="1">TEXT(DATE(YEAR(Invoer!$A$5),1,1)+INT((ROWS(B$2:B5680)-1)/24),"""18""jjmmdd")</f>
        <v>18980825</v>
      </c>
      <c r="C5680" s="11" t="str">
        <f>INDEX(Data,2,2+MOD(ROWS(C$2:C5680)-1,24))</f>
        <v>15.00</v>
      </c>
      <c r="D5680" s="8">
        <f t="shared" ca="1" si="266"/>
        <v>12</v>
      </c>
      <c r="E5680" s="16">
        <f t="shared" ca="1" si="267"/>
        <v>0</v>
      </c>
    </row>
    <row r="5681" spans="1:5" x14ac:dyDescent="0.25">
      <c r="A5681" s="3">
        <f t="shared" si="265"/>
        <v>78989</v>
      </c>
      <c r="B5681" t="str">
        <f ca="1">TEXT(DATE(YEAR(Invoer!$A$5),1,1)+INT((ROWS(B$2:B5681)-1)/24),"""18""jjmmdd")</f>
        <v>18980825</v>
      </c>
      <c r="C5681" s="11" t="str">
        <f>INDEX(Data,2,2+MOD(ROWS(C$2:C5681)-1,24))</f>
        <v>16.00</v>
      </c>
      <c r="D5681" s="8">
        <f t="shared" ca="1" si="266"/>
        <v>13</v>
      </c>
      <c r="E5681" s="16">
        <f t="shared" ca="1" si="267"/>
        <v>0</v>
      </c>
    </row>
    <row r="5682" spans="1:5" x14ac:dyDescent="0.25">
      <c r="A5682" s="3">
        <f t="shared" si="265"/>
        <v>78989</v>
      </c>
      <c r="B5682" t="str">
        <f ca="1">TEXT(DATE(YEAR(Invoer!$A$5),1,1)+INT((ROWS(B$2:B5682)-1)/24),"""18""jjmmdd")</f>
        <v>18980825</v>
      </c>
      <c r="C5682" s="11" t="str">
        <f>INDEX(Data,2,2+MOD(ROWS(C$2:C5682)-1,24))</f>
        <v>17.00</v>
      </c>
      <c r="D5682" s="8">
        <f t="shared" ca="1" si="266"/>
        <v>13</v>
      </c>
      <c r="E5682" s="16">
        <f t="shared" ca="1" si="267"/>
        <v>0</v>
      </c>
    </row>
    <row r="5683" spans="1:5" x14ac:dyDescent="0.25">
      <c r="A5683" s="3">
        <f t="shared" si="265"/>
        <v>78989</v>
      </c>
      <c r="B5683" t="str">
        <f ca="1">TEXT(DATE(YEAR(Invoer!$A$5),1,1)+INT((ROWS(B$2:B5683)-1)/24),"""18""jjmmdd")</f>
        <v>18980825</v>
      </c>
      <c r="C5683" s="11" t="str">
        <f>INDEX(Data,2,2+MOD(ROWS(C$2:C5683)-1,24))</f>
        <v>18.00</v>
      </c>
      <c r="D5683" s="8">
        <f t="shared" ca="1" si="266"/>
        <v>11</v>
      </c>
      <c r="E5683" s="16">
        <f t="shared" ca="1" si="267"/>
        <v>0</v>
      </c>
    </row>
    <row r="5684" spans="1:5" x14ac:dyDescent="0.25">
      <c r="A5684" s="3">
        <f t="shared" si="265"/>
        <v>78989</v>
      </c>
      <c r="B5684" t="str">
        <f ca="1">TEXT(DATE(YEAR(Invoer!$A$5),1,1)+INT((ROWS(B$2:B5684)-1)/24),"""18""jjmmdd")</f>
        <v>18980825</v>
      </c>
      <c r="C5684" s="11" t="str">
        <f>INDEX(Data,2,2+MOD(ROWS(C$2:C5684)-1,24))</f>
        <v>19.00</v>
      </c>
      <c r="D5684" s="8">
        <f t="shared" ca="1" si="266"/>
        <v>11</v>
      </c>
      <c r="E5684" s="16">
        <f t="shared" ca="1" si="267"/>
        <v>0</v>
      </c>
    </row>
    <row r="5685" spans="1:5" x14ac:dyDescent="0.25">
      <c r="A5685" s="3">
        <f t="shared" si="265"/>
        <v>78989</v>
      </c>
      <c r="B5685" t="str">
        <f ca="1">TEXT(DATE(YEAR(Invoer!$A$5),1,1)+INT((ROWS(B$2:B5685)-1)/24),"""18""jjmmdd")</f>
        <v>18980825</v>
      </c>
      <c r="C5685" s="11" t="str">
        <f>INDEX(Data,2,2+MOD(ROWS(C$2:C5685)-1,24))</f>
        <v>20.00</v>
      </c>
      <c r="D5685" s="8">
        <f t="shared" ca="1" si="266"/>
        <v>10</v>
      </c>
      <c r="E5685" s="16">
        <f t="shared" ca="1" si="267"/>
        <v>0</v>
      </c>
    </row>
    <row r="5686" spans="1:5" x14ac:dyDescent="0.25">
      <c r="A5686" s="3">
        <f t="shared" si="265"/>
        <v>78989</v>
      </c>
      <c r="B5686" t="str">
        <f ca="1">TEXT(DATE(YEAR(Invoer!$A$5),1,1)+INT((ROWS(B$2:B5686)-1)/24),"""18""jjmmdd")</f>
        <v>18980825</v>
      </c>
      <c r="C5686" s="11" t="str">
        <f>INDEX(Data,2,2+MOD(ROWS(C$2:C5686)-1,24))</f>
        <v>21.00</v>
      </c>
      <c r="D5686" s="8">
        <f t="shared" ca="1" si="266"/>
        <v>10</v>
      </c>
      <c r="E5686" s="16">
        <f t="shared" ca="1" si="267"/>
        <v>0</v>
      </c>
    </row>
    <row r="5687" spans="1:5" x14ac:dyDescent="0.25">
      <c r="A5687" s="3">
        <f t="shared" si="265"/>
        <v>78989</v>
      </c>
      <c r="B5687" t="str">
        <f ca="1">TEXT(DATE(YEAR(Invoer!$A$5),1,1)+INT((ROWS(B$2:B5687)-1)/24),"""18""jjmmdd")</f>
        <v>18980825</v>
      </c>
      <c r="C5687" s="11" t="str">
        <f>INDEX(Data,2,2+MOD(ROWS(C$2:C5687)-1,24))</f>
        <v>22.00</v>
      </c>
      <c r="D5687" s="8">
        <f t="shared" ca="1" si="266"/>
        <v>10</v>
      </c>
      <c r="E5687" s="16">
        <f t="shared" ca="1" si="267"/>
        <v>0</v>
      </c>
    </row>
    <row r="5688" spans="1:5" x14ac:dyDescent="0.25">
      <c r="A5688" s="3">
        <f t="shared" si="265"/>
        <v>78989</v>
      </c>
      <c r="B5688" t="str">
        <f ca="1">TEXT(DATE(YEAR(Invoer!$A$5),1,1)+INT((ROWS(B$2:B5688)-1)/24),"""18""jjmmdd")</f>
        <v>18980825</v>
      </c>
      <c r="C5688" s="11" t="str">
        <f>INDEX(Data,2,2+MOD(ROWS(C$2:C5688)-1,24))</f>
        <v>23.00</v>
      </c>
      <c r="D5688" s="8">
        <f t="shared" ca="1" si="266"/>
        <v>9</v>
      </c>
      <c r="E5688" s="16">
        <f t="shared" ca="1" si="267"/>
        <v>0</v>
      </c>
    </row>
    <row r="5689" spans="1:5" x14ac:dyDescent="0.25">
      <c r="A5689" s="3">
        <f t="shared" si="265"/>
        <v>78989</v>
      </c>
      <c r="B5689" t="str">
        <f ca="1">TEXT(DATE(YEAR(Invoer!$A$5),1,1)+INT((ROWS(B$2:B5689)-1)/24),"""18""jjmmdd")</f>
        <v>18980825</v>
      </c>
      <c r="C5689" s="11" t="str">
        <f>INDEX(Data,2,2+MOD(ROWS(C$2:C5689)-1,24))</f>
        <v>24.00</v>
      </c>
      <c r="D5689" s="8">
        <f t="shared" ca="1" si="266"/>
        <v>10</v>
      </c>
      <c r="E5689" s="16">
        <f t="shared" ca="1" si="267"/>
        <v>0</v>
      </c>
    </row>
    <row r="5690" spans="1:5" x14ac:dyDescent="0.25">
      <c r="A5690" s="3">
        <f t="shared" si="265"/>
        <v>78989</v>
      </c>
      <c r="B5690" t="str">
        <f ca="1">TEXT(DATE(YEAR(Invoer!$A$5),1,1)+INT((ROWS(B$2:B5690)-1)/24),"""18""jjmmdd")</f>
        <v>18980826</v>
      </c>
      <c r="C5690" s="11" t="str">
        <f>INDEX(Data,2,2+MOD(ROWS(C$2:C5690)-1,24))</f>
        <v>01.00</v>
      </c>
      <c r="D5690" s="8">
        <f t="shared" ca="1" si="266"/>
        <v>8</v>
      </c>
      <c r="E5690" s="16">
        <f t="shared" ca="1" si="267"/>
        <v>0</v>
      </c>
    </row>
    <row r="5691" spans="1:5" x14ac:dyDescent="0.25">
      <c r="A5691" s="3">
        <f t="shared" si="265"/>
        <v>78989</v>
      </c>
      <c r="B5691" t="str">
        <f ca="1">TEXT(DATE(YEAR(Invoer!$A$5),1,1)+INT((ROWS(B$2:B5691)-1)/24),"""18""jjmmdd")</f>
        <v>18980826</v>
      </c>
      <c r="C5691" s="11" t="str">
        <f>INDEX(Data,2,2+MOD(ROWS(C$2:C5691)-1,24))</f>
        <v>02.00</v>
      </c>
      <c r="D5691" s="8">
        <f t="shared" ca="1" si="266"/>
        <v>8</v>
      </c>
      <c r="E5691" s="16">
        <f t="shared" ca="1" si="267"/>
        <v>0</v>
      </c>
    </row>
    <row r="5692" spans="1:5" x14ac:dyDescent="0.25">
      <c r="A5692" s="3">
        <f t="shared" si="265"/>
        <v>78989</v>
      </c>
      <c r="B5692" t="str">
        <f ca="1">TEXT(DATE(YEAR(Invoer!$A$5),1,1)+INT((ROWS(B$2:B5692)-1)/24),"""18""jjmmdd")</f>
        <v>18980826</v>
      </c>
      <c r="C5692" s="11" t="str">
        <f>INDEX(Data,2,2+MOD(ROWS(C$2:C5692)-1,24))</f>
        <v>03.00</v>
      </c>
      <c r="D5692" s="8">
        <f t="shared" ca="1" si="266"/>
        <v>7</v>
      </c>
      <c r="E5692" s="16">
        <f t="shared" ca="1" si="267"/>
        <v>0</v>
      </c>
    </row>
    <row r="5693" spans="1:5" x14ac:dyDescent="0.25">
      <c r="A5693" s="3">
        <f t="shared" si="265"/>
        <v>78989</v>
      </c>
      <c r="B5693" t="str">
        <f ca="1">TEXT(DATE(YEAR(Invoer!$A$5),1,1)+INT((ROWS(B$2:B5693)-1)/24),"""18""jjmmdd")</f>
        <v>18980826</v>
      </c>
      <c r="C5693" s="11" t="str">
        <f>INDEX(Data,2,2+MOD(ROWS(C$2:C5693)-1,24))</f>
        <v>04.00</v>
      </c>
      <c r="D5693" s="8">
        <f t="shared" ca="1" si="266"/>
        <v>4</v>
      </c>
      <c r="E5693" s="16">
        <f t="shared" ca="1" si="267"/>
        <v>0</v>
      </c>
    </row>
    <row r="5694" spans="1:5" x14ac:dyDescent="0.25">
      <c r="A5694" s="3">
        <f t="shared" si="265"/>
        <v>78989</v>
      </c>
      <c r="B5694" t="str">
        <f ca="1">TEXT(DATE(YEAR(Invoer!$A$5),1,1)+INT((ROWS(B$2:B5694)-1)/24),"""18""jjmmdd")</f>
        <v>18980826</v>
      </c>
      <c r="C5694" s="11" t="str">
        <f>INDEX(Data,2,2+MOD(ROWS(C$2:C5694)-1,24))</f>
        <v>05.00</v>
      </c>
      <c r="D5694" s="8">
        <f t="shared" ca="1" si="266"/>
        <v>5</v>
      </c>
      <c r="E5694" s="16">
        <f t="shared" ca="1" si="267"/>
        <v>0</v>
      </c>
    </row>
    <row r="5695" spans="1:5" x14ac:dyDescent="0.25">
      <c r="A5695" s="3">
        <f t="shared" si="265"/>
        <v>78989</v>
      </c>
      <c r="B5695" t="str">
        <f ca="1">TEXT(DATE(YEAR(Invoer!$A$5),1,1)+INT((ROWS(B$2:B5695)-1)/24),"""18""jjmmdd")</f>
        <v>18980826</v>
      </c>
      <c r="C5695" s="11" t="str">
        <f>INDEX(Data,2,2+MOD(ROWS(C$2:C5695)-1,24))</f>
        <v>06.00</v>
      </c>
      <c r="D5695" s="8">
        <f t="shared" ca="1" si="266"/>
        <v>5</v>
      </c>
      <c r="E5695" s="16">
        <f t="shared" ca="1" si="267"/>
        <v>0</v>
      </c>
    </row>
    <row r="5696" spans="1:5" x14ac:dyDescent="0.25">
      <c r="A5696" s="3">
        <f t="shared" si="265"/>
        <v>78989</v>
      </c>
      <c r="B5696" t="str">
        <f ca="1">TEXT(DATE(YEAR(Invoer!$A$5),1,1)+INT((ROWS(B$2:B5696)-1)/24),"""18""jjmmdd")</f>
        <v>18980826</v>
      </c>
      <c r="C5696" s="11" t="str">
        <f>INDEX(Data,2,2+MOD(ROWS(C$2:C5696)-1,24))</f>
        <v>07.00</v>
      </c>
      <c r="D5696" s="8">
        <f t="shared" ca="1" si="266"/>
        <v>7</v>
      </c>
      <c r="E5696" s="16">
        <f t="shared" ca="1" si="267"/>
        <v>0</v>
      </c>
    </row>
    <row r="5697" spans="1:5" x14ac:dyDescent="0.25">
      <c r="A5697" s="3">
        <f t="shared" si="265"/>
        <v>78989</v>
      </c>
      <c r="B5697" t="str">
        <f ca="1">TEXT(DATE(YEAR(Invoer!$A$5),1,1)+INT((ROWS(B$2:B5697)-1)/24),"""18""jjmmdd")</f>
        <v>18980826</v>
      </c>
      <c r="C5697" s="11" t="str">
        <f>INDEX(Data,2,2+MOD(ROWS(C$2:C5697)-1,24))</f>
        <v>08.00</v>
      </c>
      <c r="D5697" s="8">
        <f t="shared" ca="1" si="266"/>
        <v>9</v>
      </c>
      <c r="E5697" s="16">
        <f t="shared" ca="1" si="267"/>
        <v>0</v>
      </c>
    </row>
    <row r="5698" spans="1:5" x14ac:dyDescent="0.25">
      <c r="A5698" s="3">
        <f t="shared" ref="A5698:A5761" si="268">INDEX(Stations,2,1)</f>
        <v>78989</v>
      </c>
      <c r="B5698" t="str">
        <f ca="1">TEXT(DATE(YEAR(Invoer!$A$5),1,1)+INT((ROWS(B$2:B5698)-1)/24),"""18""jjmmdd")</f>
        <v>18980826</v>
      </c>
      <c r="C5698" s="11" t="str">
        <f>INDEX(Data,2,2+MOD(ROWS(C$2:C5698)-1,24))</f>
        <v>09.00</v>
      </c>
      <c r="D5698" s="8">
        <f t="shared" ref="D5698:D5761" ca="1" si="269">IF(OR(ISBLANK(VLOOKUP(DATEVALUE("37"&amp;MID($B5698,3,2)&amp;"-"&amp;MID($B5698,5,2)&amp;"-"&amp;RIGHT($B5698,2)),Data,MATCH(LEFT(VLOOKUP(D$1,Parameters,2,FALSE()),4)&amp;"*",OFFSET(Data,0,0,1),0)+MATCH($C5698,OFFSET(Data,1,0,1),0)-2,FALSE())),ISTEXT(VLOOKUP(DATEVALUE("37"&amp;MID($B5698,3,2)&amp;"-"&amp;MID($B5698,5,2)&amp;"-"&amp;RIGHT($B5698,2)),Data,MATCH(LEFT(VLOOKUP(D$1,Parameters,2,FALSE()),4)&amp;"*",OFFSET(Data,0,0,1),0)+MATCH($C5698,OFFSET(Data,1,0,1),0)-2,FALSE()))),"—",VLOOKUP(DATEVALUE("37"&amp;MID($B5698,3,2)&amp;"-"&amp;MID($B5698,5,2)&amp;"-"&amp;RIGHT($B5698,2)),Data,MATCH(LEFT(VLOOKUP(D$1,Parameters,2,FALSE()),4)&amp;"*",OFFSET(Data,0,0,1),0)+MATCH($C5698,OFFSET(Data,1,0,1),0)-2,FALSE()))</f>
        <v>10</v>
      </c>
      <c r="E5698" s="16">
        <f t="shared" ca="1" si="267"/>
        <v>0</v>
      </c>
    </row>
    <row r="5699" spans="1:5" x14ac:dyDescent="0.25">
      <c r="A5699" s="3">
        <f t="shared" si="268"/>
        <v>78989</v>
      </c>
      <c r="B5699" t="str">
        <f ca="1">TEXT(DATE(YEAR(Invoer!$A$5),1,1)+INT((ROWS(B$2:B5699)-1)/24),"""18""jjmmdd")</f>
        <v>18980826</v>
      </c>
      <c r="C5699" s="11" t="str">
        <f>INDEX(Data,2,2+MOD(ROWS(C$2:C5699)-1,24))</f>
        <v>10.00</v>
      </c>
      <c r="D5699" s="8">
        <f t="shared" ca="1" si="269"/>
        <v>12</v>
      </c>
      <c r="E5699" s="16">
        <f t="shared" ref="E5699:E5762" ca="1" si="270">IF(OR(ISBLANK(VLOOKUP(DATEVALUE("37"&amp;MID($B5699,3,2)&amp;"-"&amp;MID($B5699,5,2)&amp;"-"&amp;RIGHT($B5699,2)),Data,MATCH(LEFT(VLOOKUP(D$1,Parameters,2,FALSE()),4)&amp;"*",OFFSET(Data,0,0,1),0)+MATCH($C5699,OFFSET(Data,1,0,1),0)-2,FALSE())),ISTEXT(VLOOKUP(DATEVALUE("37"&amp;MID($B5699,3,2)&amp;"-"&amp;MID($B5699,5,2)&amp;"-"&amp;RIGHT($B5699,2)),Data,MATCH(LEFT(VLOOKUP(D$1,Parameters,2,FALSE()),4)&amp;"*",OFFSET(Data,0,0,1),0)+MATCH($C5699,OFFSET(Data,1,0,1),0)-2,FALSE()))),Lacking,IF(ISNA(MATCH(DATEVALUE("37"&amp;MID($B5699,3,2)&amp;"-"&amp;MID($B5699,5,2)&amp;"-"&amp;RIGHT($B5699,2)),OFFSET(Catalogus,0,0,,1),0)),Ok,VLOOKUP(DATEVALUE("37"&amp;MID($B5699,3,2)&amp;"-"&amp;MID($B5699,5,2)&amp;"-"&amp;RIGHT($B5699,2)),Catalogus,MATCH(LEFT(VLOOKUP(MID(E$1,2,LEN(E$1)-1),Parameters,2,FALSE()),4)&amp;"*",OFFSET(Catalogus,0,0,1),0)+MATCH($C5699,OFFSET(Catalogus,1,0,1),0)-2,FALSE())))</f>
        <v>0</v>
      </c>
    </row>
    <row r="5700" spans="1:5" x14ac:dyDescent="0.25">
      <c r="A5700" s="3">
        <f t="shared" si="268"/>
        <v>78989</v>
      </c>
      <c r="B5700" t="str">
        <f ca="1">TEXT(DATE(YEAR(Invoer!$A$5),1,1)+INT((ROWS(B$2:B5700)-1)/24),"""18""jjmmdd")</f>
        <v>18980826</v>
      </c>
      <c r="C5700" s="11" t="str">
        <f>INDEX(Data,2,2+MOD(ROWS(C$2:C5700)-1,24))</f>
        <v>11.00</v>
      </c>
      <c r="D5700" s="8">
        <f t="shared" ca="1" si="269"/>
        <v>14</v>
      </c>
      <c r="E5700" s="16">
        <f t="shared" ca="1" si="270"/>
        <v>0</v>
      </c>
    </row>
    <row r="5701" spans="1:5" x14ac:dyDescent="0.25">
      <c r="A5701" s="3">
        <f t="shared" si="268"/>
        <v>78989</v>
      </c>
      <c r="B5701" t="str">
        <f ca="1">TEXT(DATE(YEAR(Invoer!$A$5),1,1)+INT((ROWS(B$2:B5701)-1)/24),"""18""jjmmdd")</f>
        <v>18980826</v>
      </c>
      <c r="C5701" s="11" t="str">
        <f>INDEX(Data,2,2+MOD(ROWS(C$2:C5701)-1,24))</f>
        <v>12.00</v>
      </c>
      <c r="D5701" s="8">
        <f t="shared" ca="1" si="269"/>
        <v>13</v>
      </c>
      <c r="E5701" s="16">
        <f t="shared" ca="1" si="270"/>
        <v>0</v>
      </c>
    </row>
    <row r="5702" spans="1:5" x14ac:dyDescent="0.25">
      <c r="A5702" s="3">
        <f t="shared" si="268"/>
        <v>78989</v>
      </c>
      <c r="B5702" t="str">
        <f ca="1">TEXT(DATE(YEAR(Invoer!$A$5),1,1)+INT((ROWS(B$2:B5702)-1)/24),"""18""jjmmdd")</f>
        <v>18980826</v>
      </c>
      <c r="C5702" s="11" t="str">
        <f>INDEX(Data,2,2+MOD(ROWS(C$2:C5702)-1,24))</f>
        <v>13.00</v>
      </c>
      <c r="D5702" s="8">
        <f t="shared" ca="1" si="269"/>
        <v>13</v>
      </c>
      <c r="E5702" s="16">
        <f t="shared" ca="1" si="270"/>
        <v>0</v>
      </c>
    </row>
    <row r="5703" spans="1:5" x14ac:dyDescent="0.25">
      <c r="A5703" s="3">
        <f t="shared" si="268"/>
        <v>78989</v>
      </c>
      <c r="B5703" t="str">
        <f ca="1">TEXT(DATE(YEAR(Invoer!$A$5),1,1)+INT((ROWS(B$2:B5703)-1)/24),"""18""jjmmdd")</f>
        <v>18980826</v>
      </c>
      <c r="C5703" s="11" t="str">
        <f>INDEX(Data,2,2+MOD(ROWS(C$2:C5703)-1,24))</f>
        <v>14.00</v>
      </c>
      <c r="D5703" s="8">
        <f t="shared" ca="1" si="269"/>
        <v>11</v>
      </c>
      <c r="E5703" s="16">
        <f t="shared" ca="1" si="270"/>
        <v>0</v>
      </c>
    </row>
    <row r="5704" spans="1:5" x14ac:dyDescent="0.25">
      <c r="A5704" s="3">
        <f t="shared" si="268"/>
        <v>78989</v>
      </c>
      <c r="B5704" t="str">
        <f ca="1">TEXT(DATE(YEAR(Invoer!$A$5),1,1)+INT((ROWS(B$2:B5704)-1)/24),"""18""jjmmdd")</f>
        <v>18980826</v>
      </c>
      <c r="C5704" s="11" t="str">
        <f>INDEX(Data,2,2+MOD(ROWS(C$2:C5704)-1,24))</f>
        <v>15.00</v>
      </c>
      <c r="D5704" s="8">
        <f t="shared" ca="1" si="269"/>
        <v>13</v>
      </c>
      <c r="E5704" s="16">
        <f t="shared" ca="1" si="270"/>
        <v>0</v>
      </c>
    </row>
    <row r="5705" spans="1:5" x14ac:dyDescent="0.25">
      <c r="A5705" s="3">
        <f t="shared" si="268"/>
        <v>78989</v>
      </c>
      <c r="B5705" t="str">
        <f ca="1">TEXT(DATE(YEAR(Invoer!$A$5),1,1)+INT((ROWS(B$2:B5705)-1)/24),"""18""jjmmdd")</f>
        <v>18980826</v>
      </c>
      <c r="C5705" s="11" t="str">
        <f>INDEX(Data,2,2+MOD(ROWS(C$2:C5705)-1,24))</f>
        <v>16.00</v>
      </c>
      <c r="D5705" s="8">
        <f t="shared" ca="1" si="269"/>
        <v>14</v>
      </c>
      <c r="E5705" s="16">
        <f t="shared" ca="1" si="270"/>
        <v>0</v>
      </c>
    </row>
    <row r="5706" spans="1:5" x14ac:dyDescent="0.25">
      <c r="A5706" s="3">
        <f t="shared" si="268"/>
        <v>78989</v>
      </c>
      <c r="B5706" t="str">
        <f ca="1">TEXT(DATE(YEAR(Invoer!$A$5),1,1)+INT((ROWS(B$2:B5706)-1)/24),"""18""jjmmdd")</f>
        <v>18980826</v>
      </c>
      <c r="C5706" s="11" t="str">
        <f>INDEX(Data,2,2+MOD(ROWS(C$2:C5706)-1,24))</f>
        <v>17.00</v>
      </c>
      <c r="D5706" s="8">
        <f t="shared" ca="1" si="269"/>
        <v>13</v>
      </c>
      <c r="E5706" s="16">
        <f t="shared" ca="1" si="270"/>
        <v>0</v>
      </c>
    </row>
    <row r="5707" spans="1:5" x14ac:dyDescent="0.25">
      <c r="A5707" s="3">
        <f t="shared" si="268"/>
        <v>78989</v>
      </c>
      <c r="B5707" t="str">
        <f ca="1">TEXT(DATE(YEAR(Invoer!$A$5),1,1)+INT((ROWS(B$2:B5707)-1)/24),"""18""jjmmdd")</f>
        <v>18980826</v>
      </c>
      <c r="C5707" s="11" t="str">
        <f>INDEX(Data,2,2+MOD(ROWS(C$2:C5707)-1,24))</f>
        <v>18.00</v>
      </c>
      <c r="D5707" s="8">
        <f t="shared" ca="1" si="269"/>
        <v>12</v>
      </c>
      <c r="E5707" s="16">
        <f t="shared" ca="1" si="270"/>
        <v>0</v>
      </c>
    </row>
    <row r="5708" spans="1:5" x14ac:dyDescent="0.25">
      <c r="A5708" s="3">
        <f t="shared" si="268"/>
        <v>78989</v>
      </c>
      <c r="B5708" t="str">
        <f ca="1">TEXT(DATE(YEAR(Invoer!$A$5),1,1)+INT((ROWS(B$2:B5708)-1)/24),"""18""jjmmdd")</f>
        <v>18980826</v>
      </c>
      <c r="C5708" s="11" t="str">
        <f>INDEX(Data,2,2+MOD(ROWS(C$2:C5708)-1,24))</f>
        <v>19.00</v>
      </c>
      <c r="D5708" s="8">
        <f t="shared" ca="1" si="269"/>
        <v>13</v>
      </c>
      <c r="E5708" s="16">
        <f t="shared" ca="1" si="270"/>
        <v>0</v>
      </c>
    </row>
    <row r="5709" spans="1:5" x14ac:dyDescent="0.25">
      <c r="A5709" s="3">
        <f t="shared" si="268"/>
        <v>78989</v>
      </c>
      <c r="B5709" t="str">
        <f ca="1">TEXT(DATE(YEAR(Invoer!$A$5),1,1)+INT((ROWS(B$2:B5709)-1)/24),"""18""jjmmdd")</f>
        <v>18980826</v>
      </c>
      <c r="C5709" s="11" t="str">
        <f>INDEX(Data,2,2+MOD(ROWS(C$2:C5709)-1,24))</f>
        <v>20.00</v>
      </c>
      <c r="D5709" s="8">
        <f t="shared" ca="1" si="269"/>
        <v>11</v>
      </c>
      <c r="E5709" s="16">
        <f t="shared" ca="1" si="270"/>
        <v>0</v>
      </c>
    </row>
    <row r="5710" spans="1:5" x14ac:dyDescent="0.25">
      <c r="A5710" s="3">
        <f t="shared" si="268"/>
        <v>78989</v>
      </c>
      <c r="B5710" t="str">
        <f ca="1">TEXT(DATE(YEAR(Invoer!$A$5),1,1)+INT((ROWS(B$2:B5710)-1)/24),"""18""jjmmdd")</f>
        <v>18980826</v>
      </c>
      <c r="C5710" s="11" t="str">
        <f>INDEX(Data,2,2+MOD(ROWS(C$2:C5710)-1,24))</f>
        <v>21.00</v>
      </c>
      <c r="D5710" s="8">
        <f t="shared" ca="1" si="269"/>
        <v>6</v>
      </c>
      <c r="E5710" s="16">
        <f t="shared" ca="1" si="270"/>
        <v>0</v>
      </c>
    </row>
    <row r="5711" spans="1:5" x14ac:dyDescent="0.25">
      <c r="A5711" s="3">
        <f t="shared" si="268"/>
        <v>78989</v>
      </c>
      <c r="B5711" t="str">
        <f ca="1">TEXT(DATE(YEAR(Invoer!$A$5),1,1)+INT((ROWS(B$2:B5711)-1)/24),"""18""jjmmdd")</f>
        <v>18980826</v>
      </c>
      <c r="C5711" s="11" t="str">
        <f>INDEX(Data,2,2+MOD(ROWS(C$2:C5711)-1,24))</f>
        <v>22.00</v>
      </c>
      <c r="D5711" s="8">
        <f t="shared" ca="1" si="269"/>
        <v>9</v>
      </c>
      <c r="E5711" s="16">
        <f t="shared" ca="1" si="270"/>
        <v>0</v>
      </c>
    </row>
    <row r="5712" spans="1:5" x14ac:dyDescent="0.25">
      <c r="A5712" s="3">
        <f t="shared" si="268"/>
        <v>78989</v>
      </c>
      <c r="B5712" t="str">
        <f ca="1">TEXT(DATE(YEAR(Invoer!$A$5),1,1)+INT((ROWS(B$2:B5712)-1)/24),"""18""jjmmdd")</f>
        <v>18980826</v>
      </c>
      <c r="C5712" s="11" t="str">
        <f>INDEX(Data,2,2+MOD(ROWS(C$2:C5712)-1,24))</f>
        <v>23.00</v>
      </c>
      <c r="D5712" s="8">
        <f t="shared" ca="1" si="269"/>
        <v>8</v>
      </c>
      <c r="E5712" s="16">
        <f t="shared" ca="1" si="270"/>
        <v>0</v>
      </c>
    </row>
    <row r="5713" spans="1:5" x14ac:dyDescent="0.25">
      <c r="A5713" s="3">
        <f t="shared" si="268"/>
        <v>78989</v>
      </c>
      <c r="B5713" t="str">
        <f ca="1">TEXT(DATE(YEAR(Invoer!$A$5),1,1)+INT((ROWS(B$2:B5713)-1)/24),"""18""jjmmdd")</f>
        <v>18980826</v>
      </c>
      <c r="C5713" s="11" t="str">
        <f>INDEX(Data,2,2+MOD(ROWS(C$2:C5713)-1,24))</f>
        <v>24.00</v>
      </c>
      <c r="D5713" s="8">
        <f t="shared" ca="1" si="269"/>
        <v>6</v>
      </c>
      <c r="E5713" s="16">
        <f t="shared" ca="1" si="270"/>
        <v>0</v>
      </c>
    </row>
    <row r="5714" spans="1:5" x14ac:dyDescent="0.25">
      <c r="A5714" s="3">
        <f t="shared" si="268"/>
        <v>78989</v>
      </c>
      <c r="B5714" t="str">
        <f ca="1">TEXT(DATE(YEAR(Invoer!$A$5),1,1)+INT((ROWS(B$2:B5714)-1)/24),"""18""jjmmdd")</f>
        <v>18980827</v>
      </c>
      <c r="C5714" s="11" t="str">
        <f>INDEX(Data,2,2+MOD(ROWS(C$2:C5714)-1,24))</f>
        <v>01.00</v>
      </c>
      <c r="D5714" s="8">
        <f t="shared" ca="1" si="269"/>
        <v>6</v>
      </c>
      <c r="E5714" s="16">
        <f t="shared" ca="1" si="270"/>
        <v>0</v>
      </c>
    </row>
    <row r="5715" spans="1:5" x14ac:dyDescent="0.25">
      <c r="A5715" s="3">
        <f t="shared" si="268"/>
        <v>78989</v>
      </c>
      <c r="B5715" t="str">
        <f ca="1">TEXT(DATE(YEAR(Invoer!$A$5),1,1)+INT((ROWS(B$2:B5715)-1)/24),"""18""jjmmdd")</f>
        <v>18980827</v>
      </c>
      <c r="C5715" s="11" t="str">
        <f>INDEX(Data,2,2+MOD(ROWS(C$2:C5715)-1,24))</f>
        <v>02.00</v>
      </c>
      <c r="D5715" s="8">
        <f t="shared" ca="1" si="269"/>
        <v>6</v>
      </c>
      <c r="E5715" s="16">
        <f t="shared" ca="1" si="270"/>
        <v>0</v>
      </c>
    </row>
    <row r="5716" spans="1:5" x14ac:dyDescent="0.25">
      <c r="A5716" s="3">
        <f t="shared" si="268"/>
        <v>78989</v>
      </c>
      <c r="B5716" t="str">
        <f ca="1">TEXT(DATE(YEAR(Invoer!$A$5),1,1)+INT((ROWS(B$2:B5716)-1)/24),"""18""jjmmdd")</f>
        <v>18980827</v>
      </c>
      <c r="C5716" s="11" t="str">
        <f>INDEX(Data,2,2+MOD(ROWS(C$2:C5716)-1,24))</f>
        <v>03.00</v>
      </c>
      <c r="D5716" s="8">
        <f t="shared" ca="1" si="269"/>
        <v>7</v>
      </c>
      <c r="E5716" s="16">
        <f t="shared" ca="1" si="270"/>
        <v>0</v>
      </c>
    </row>
    <row r="5717" spans="1:5" x14ac:dyDescent="0.25">
      <c r="A5717" s="3">
        <f t="shared" si="268"/>
        <v>78989</v>
      </c>
      <c r="B5717" t="str">
        <f ca="1">TEXT(DATE(YEAR(Invoer!$A$5),1,1)+INT((ROWS(B$2:B5717)-1)/24),"""18""jjmmdd")</f>
        <v>18980827</v>
      </c>
      <c r="C5717" s="11" t="str">
        <f>INDEX(Data,2,2+MOD(ROWS(C$2:C5717)-1,24))</f>
        <v>04.00</v>
      </c>
      <c r="D5717" s="8">
        <f t="shared" ca="1" si="269"/>
        <v>8</v>
      </c>
      <c r="E5717" s="16">
        <f t="shared" ca="1" si="270"/>
        <v>0</v>
      </c>
    </row>
    <row r="5718" spans="1:5" x14ac:dyDescent="0.25">
      <c r="A5718" s="3">
        <f t="shared" si="268"/>
        <v>78989</v>
      </c>
      <c r="B5718" t="str">
        <f ca="1">TEXT(DATE(YEAR(Invoer!$A$5),1,1)+INT((ROWS(B$2:B5718)-1)/24),"""18""jjmmdd")</f>
        <v>18980827</v>
      </c>
      <c r="C5718" s="11" t="str">
        <f>INDEX(Data,2,2+MOD(ROWS(C$2:C5718)-1,24))</f>
        <v>05.00</v>
      </c>
      <c r="D5718" s="8">
        <f t="shared" ca="1" si="269"/>
        <v>9</v>
      </c>
      <c r="E5718" s="16">
        <f t="shared" ca="1" si="270"/>
        <v>0</v>
      </c>
    </row>
    <row r="5719" spans="1:5" x14ac:dyDescent="0.25">
      <c r="A5719" s="3">
        <f t="shared" si="268"/>
        <v>78989</v>
      </c>
      <c r="B5719" t="str">
        <f ca="1">TEXT(DATE(YEAR(Invoer!$A$5),1,1)+INT((ROWS(B$2:B5719)-1)/24),"""18""jjmmdd")</f>
        <v>18980827</v>
      </c>
      <c r="C5719" s="11" t="str">
        <f>INDEX(Data,2,2+MOD(ROWS(C$2:C5719)-1,24))</f>
        <v>06.00</v>
      </c>
      <c r="D5719" s="8">
        <f t="shared" ca="1" si="269"/>
        <v>8</v>
      </c>
      <c r="E5719" s="16">
        <f t="shared" ca="1" si="270"/>
        <v>0</v>
      </c>
    </row>
    <row r="5720" spans="1:5" x14ac:dyDescent="0.25">
      <c r="A5720" s="3">
        <f t="shared" si="268"/>
        <v>78989</v>
      </c>
      <c r="B5720" t="str">
        <f ca="1">TEXT(DATE(YEAR(Invoer!$A$5),1,1)+INT((ROWS(B$2:B5720)-1)/24),"""18""jjmmdd")</f>
        <v>18980827</v>
      </c>
      <c r="C5720" s="11" t="str">
        <f>INDEX(Data,2,2+MOD(ROWS(C$2:C5720)-1,24))</f>
        <v>07.00</v>
      </c>
      <c r="D5720" s="8">
        <f t="shared" ca="1" si="269"/>
        <v>10</v>
      </c>
      <c r="E5720" s="16">
        <f t="shared" ca="1" si="270"/>
        <v>0</v>
      </c>
    </row>
    <row r="5721" spans="1:5" x14ac:dyDescent="0.25">
      <c r="A5721" s="3">
        <f t="shared" si="268"/>
        <v>78989</v>
      </c>
      <c r="B5721" t="str">
        <f ca="1">TEXT(DATE(YEAR(Invoer!$A$5),1,1)+INT((ROWS(B$2:B5721)-1)/24),"""18""jjmmdd")</f>
        <v>18980827</v>
      </c>
      <c r="C5721" s="11" t="str">
        <f>INDEX(Data,2,2+MOD(ROWS(C$2:C5721)-1,24))</f>
        <v>08.00</v>
      </c>
      <c r="D5721" s="8">
        <f t="shared" ca="1" si="269"/>
        <v>13</v>
      </c>
      <c r="E5721" s="16">
        <f t="shared" ca="1" si="270"/>
        <v>0</v>
      </c>
    </row>
    <row r="5722" spans="1:5" x14ac:dyDescent="0.25">
      <c r="A5722" s="3">
        <f t="shared" si="268"/>
        <v>78989</v>
      </c>
      <c r="B5722" t="str">
        <f ca="1">TEXT(DATE(YEAR(Invoer!$A$5),1,1)+INT((ROWS(B$2:B5722)-1)/24),"""18""jjmmdd")</f>
        <v>18980827</v>
      </c>
      <c r="C5722" s="11" t="str">
        <f>INDEX(Data,2,2+MOD(ROWS(C$2:C5722)-1,24))</f>
        <v>09.00</v>
      </c>
      <c r="D5722" s="8">
        <f t="shared" ca="1" si="269"/>
        <v>15</v>
      </c>
      <c r="E5722" s="16">
        <f t="shared" ca="1" si="270"/>
        <v>0</v>
      </c>
    </row>
    <row r="5723" spans="1:5" x14ac:dyDescent="0.25">
      <c r="A5723" s="3">
        <f t="shared" si="268"/>
        <v>78989</v>
      </c>
      <c r="B5723" t="str">
        <f ca="1">TEXT(DATE(YEAR(Invoer!$A$5),1,1)+INT((ROWS(B$2:B5723)-1)/24),"""18""jjmmdd")</f>
        <v>18980827</v>
      </c>
      <c r="C5723" s="11" t="str">
        <f>INDEX(Data,2,2+MOD(ROWS(C$2:C5723)-1,24))</f>
        <v>10.00</v>
      </c>
      <c r="D5723" s="8">
        <f t="shared" ca="1" si="269"/>
        <v>14</v>
      </c>
      <c r="E5723" s="16">
        <f t="shared" ca="1" si="270"/>
        <v>0</v>
      </c>
    </row>
    <row r="5724" spans="1:5" x14ac:dyDescent="0.25">
      <c r="A5724" s="3">
        <f t="shared" si="268"/>
        <v>78989</v>
      </c>
      <c r="B5724" t="str">
        <f ca="1">TEXT(DATE(YEAR(Invoer!$A$5),1,1)+INT((ROWS(B$2:B5724)-1)/24),"""18""jjmmdd")</f>
        <v>18980827</v>
      </c>
      <c r="C5724" s="11" t="str">
        <f>INDEX(Data,2,2+MOD(ROWS(C$2:C5724)-1,24))</f>
        <v>11.00</v>
      </c>
      <c r="D5724" s="8">
        <f t="shared" ca="1" si="269"/>
        <v>14</v>
      </c>
      <c r="E5724" s="16">
        <f t="shared" ca="1" si="270"/>
        <v>0</v>
      </c>
    </row>
    <row r="5725" spans="1:5" x14ac:dyDescent="0.25">
      <c r="A5725" s="3">
        <f t="shared" si="268"/>
        <v>78989</v>
      </c>
      <c r="B5725" t="str">
        <f ca="1">TEXT(DATE(YEAR(Invoer!$A$5),1,1)+INT((ROWS(B$2:B5725)-1)/24),"""18""jjmmdd")</f>
        <v>18980827</v>
      </c>
      <c r="C5725" s="11" t="str">
        <f>INDEX(Data,2,2+MOD(ROWS(C$2:C5725)-1,24))</f>
        <v>12.00</v>
      </c>
      <c r="D5725" s="8">
        <f t="shared" ca="1" si="269"/>
        <v>14</v>
      </c>
      <c r="E5725" s="16">
        <f t="shared" ca="1" si="270"/>
        <v>0</v>
      </c>
    </row>
    <row r="5726" spans="1:5" x14ac:dyDescent="0.25">
      <c r="A5726" s="3">
        <f t="shared" si="268"/>
        <v>78989</v>
      </c>
      <c r="B5726" t="str">
        <f ca="1">TEXT(DATE(YEAR(Invoer!$A$5),1,1)+INT((ROWS(B$2:B5726)-1)/24),"""18""jjmmdd")</f>
        <v>18980827</v>
      </c>
      <c r="C5726" s="11" t="str">
        <f>INDEX(Data,2,2+MOD(ROWS(C$2:C5726)-1,24))</f>
        <v>13.00</v>
      </c>
      <c r="D5726" s="8">
        <f t="shared" ca="1" si="269"/>
        <v>14</v>
      </c>
      <c r="E5726" s="16">
        <f t="shared" ca="1" si="270"/>
        <v>0</v>
      </c>
    </row>
    <row r="5727" spans="1:5" x14ac:dyDescent="0.25">
      <c r="A5727" s="3">
        <f t="shared" si="268"/>
        <v>78989</v>
      </c>
      <c r="B5727" t="str">
        <f ca="1">TEXT(DATE(YEAR(Invoer!$A$5),1,1)+INT((ROWS(B$2:B5727)-1)/24),"""18""jjmmdd")</f>
        <v>18980827</v>
      </c>
      <c r="C5727" s="11" t="str">
        <f>INDEX(Data,2,2+MOD(ROWS(C$2:C5727)-1,24))</f>
        <v>14.00</v>
      </c>
      <c r="D5727" s="8">
        <f t="shared" ca="1" si="269"/>
        <v>14</v>
      </c>
      <c r="E5727" s="16">
        <f t="shared" ca="1" si="270"/>
        <v>0</v>
      </c>
    </row>
    <row r="5728" spans="1:5" x14ac:dyDescent="0.25">
      <c r="A5728" s="3">
        <f t="shared" si="268"/>
        <v>78989</v>
      </c>
      <c r="B5728" t="str">
        <f ca="1">TEXT(DATE(YEAR(Invoer!$A$5),1,1)+INT((ROWS(B$2:B5728)-1)/24),"""18""jjmmdd")</f>
        <v>18980827</v>
      </c>
      <c r="C5728" s="11" t="str">
        <f>INDEX(Data,2,2+MOD(ROWS(C$2:C5728)-1,24))</f>
        <v>15.00</v>
      </c>
      <c r="D5728" s="8">
        <f t="shared" ca="1" si="269"/>
        <v>14</v>
      </c>
      <c r="E5728" s="16">
        <f t="shared" ca="1" si="270"/>
        <v>0</v>
      </c>
    </row>
    <row r="5729" spans="1:5" x14ac:dyDescent="0.25">
      <c r="A5729" s="3">
        <f t="shared" si="268"/>
        <v>78989</v>
      </c>
      <c r="B5729" t="str">
        <f ca="1">TEXT(DATE(YEAR(Invoer!$A$5),1,1)+INT((ROWS(B$2:B5729)-1)/24),"""18""jjmmdd")</f>
        <v>18980827</v>
      </c>
      <c r="C5729" s="11" t="str">
        <f>INDEX(Data,2,2+MOD(ROWS(C$2:C5729)-1,24))</f>
        <v>16.00</v>
      </c>
      <c r="D5729" s="8">
        <f t="shared" ca="1" si="269"/>
        <v>14</v>
      </c>
      <c r="E5729" s="16">
        <f t="shared" ca="1" si="270"/>
        <v>0</v>
      </c>
    </row>
    <row r="5730" spans="1:5" x14ac:dyDescent="0.25">
      <c r="A5730" s="3">
        <f t="shared" si="268"/>
        <v>78989</v>
      </c>
      <c r="B5730" t="str">
        <f ca="1">TEXT(DATE(YEAR(Invoer!$A$5),1,1)+INT((ROWS(B$2:B5730)-1)/24),"""18""jjmmdd")</f>
        <v>18980827</v>
      </c>
      <c r="C5730" s="11" t="str">
        <f>INDEX(Data,2,2+MOD(ROWS(C$2:C5730)-1,24))</f>
        <v>17.00</v>
      </c>
      <c r="D5730" s="8">
        <f t="shared" ca="1" si="269"/>
        <v>16</v>
      </c>
      <c r="E5730" s="16">
        <f t="shared" ca="1" si="270"/>
        <v>0</v>
      </c>
    </row>
    <row r="5731" spans="1:5" x14ac:dyDescent="0.25">
      <c r="A5731" s="3">
        <f t="shared" si="268"/>
        <v>78989</v>
      </c>
      <c r="B5731" t="str">
        <f ca="1">TEXT(DATE(YEAR(Invoer!$A$5),1,1)+INT((ROWS(B$2:B5731)-1)/24),"""18""jjmmdd")</f>
        <v>18980827</v>
      </c>
      <c r="C5731" s="11" t="str">
        <f>INDEX(Data,2,2+MOD(ROWS(C$2:C5731)-1,24))</f>
        <v>18.00</v>
      </c>
      <c r="D5731" s="8">
        <f t="shared" ca="1" si="269"/>
        <v>17</v>
      </c>
      <c r="E5731" s="16">
        <f t="shared" ca="1" si="270"/>
        <v>0</v>
      </c>
    </row>
    <row r="5732" spans="1:5" x14ac:dyDescent="0.25">
      <c r="A5732" s="3">
        <f t="shared" si="268"/>
        <v>78989</v>
      </c>
      <c r="B5732" t="str">
        <f ca="1">TEXT(DATE(YEAR(Invoer!$A$5),1,1)+INT((ROWS(B$2:B5732)-1)/24),"""18""jjmmdd")</f>
        <v>18980827</v>
      </c>
      <c r="C5732" s="11" t="str">
        <f>INDEX(Data,2,2+MOD(ROWS(C$2:C5732)-1,24))</f>
        <v>19.00</v>
      </c>
      <c r="D5732" s="8">
        <f t="shared" ca="1" si="269"/>
        <v>17</v>
      </c>
      <c r="E5732" s="16">
        <f t="shared" ca="1" si="270"/>
        <v>0</v>
      </c>
    </row>
    <row r="5733" spans="1:5" x14ac:dyDescent="0.25">
      <c r="A5733" s="3">
        <f t="shared" si="268"/>
        <v>78989</v>
      </c>
      <c r="B5733" t="str">
        <f ca="1">TEXT(DATE(YEAR(Invoer!$A$5),1,1)+INT((ROWS(B$2:B5733)-1)/24),"""18""jjmmdd")</f>
        <v>18980827</v>
      </c>
      <c r="C5733" s="11" t="str">
        <f>INDEX(Data,2,2+MOD(ROWS(C$2:C5733)-1,24))</f>
        <v>20.00</v>
      </c>
      <c r="D5733" s="8">
        <f t="shared" ca="1" si="269"/>
        <v>15</v>
      </c>
      <c r="E5733" s="16">
        <f t="shared" ca="1" si="270"/>
        <v>0</v>
      </c>
    </row>
    <row r="5734" spans="1:5" x14ac:dyDescent="0.25">
      <c r="A5734" s="3">
        <f t="shared" si="268"/>
        <v>78989</v>
      </c>
      <c r="B5734" t="str">
        <f ca="1">TEXT(DATE(YEAR(Invoer!$A$5),1,1)+INT((ROWS(B$2:B5734)-1)/24),"""18""jjmmdd")</f>
        <v>18980827</v>
      </c>
      <c r="C5734" s="11" t="str">
        <f>INDEX(Data,2,2+MOD(ROWS(C$2:C5734)-1,24))</f>
        <v>21.00</v>
      </c>
      <c r="D5734" s="8">
        <f t="shared" ca="1" si="269"/>
        <v>14</v>
      </c>
      <c r="E5734" s="16">
        <f t="shared" ca="1" si="270"/>
        <v>0</v>
      </c>
    </row>
    <row r="5735" spans="1:5" x14ac:dyDescent="0.25">
      <c r="A5735" s="3">
        <f t="shared" si="268"/>
        <v>78989</v>
      </c>
      <c r="B5735" t="str">
        <f ca="1">TEXT(DATE(YEAR(Invoer!$A$5),1,1)+INT((ROWS(B$2:B5735)-1)/24),"""18""jjmmdd")</f>
        <v>18980827</v>
      </c>
      <c r="C5735" s="11" t="str">
        <f>INDEX(Data,2,2+MOD(ROWS(C$2:C5735)-1,24))</f>
        <v>22.00</v>
      </c>
      <c r="D5735" s="8">
        <f t="shared" ca="1" si="269"/>
        <v>12</v>
      </c>
      <c r="E5735" s="16">
        <f t="shared" ca="1" si="270"/>
        <v>0</v>
      </c>
    </row>
    <row r="5736" spans="1:5" x14ac:dyDescent="0.25">
      <c r="A5736" s="3">
        <f t="shared" si="268"/>
        <v>78989</v>
      </c>
      <c r="B5736" t="str">
        <f ca="1">TEXT(DATE(YEAR(Invoer!$A$5),1,1)+INT((ROWS(B$2:B5736)-1)/24),"""18""jjmmdd")</f>
        <v>18980827</v>
      </c>
      <c r="C5736" s="11" t="str">
        <f>INDEX(Data,2,2+MOD(ROWS(C$2:C5736)-1,24))</f>
        <v>23.00</v>
      </c>
      <c r="D5736" s="8">
        <f t="shared" ca="1" si="269"/>
        <v>14</v>
      </c>
      <c r="E5736" s="16">
        <f t="shared" ca="1" si="270"/>
        <v>0</v>
      </c>
    </row>
    <row r="5737" spans="1:5" x14ac:dyDescent="0.25">
      <c r="A5737" s="3">
        <f t="shared" si="268"/>
        <v>78989</v>
      </c>
      <c r="B5737" t="str">
        <f ca="1">TEXT(DATE(YEAR(Invoer!$A$5),1,1)+INT((ROWS(B$2:B5737)-1)/24),"""18""jjmmdd")</f>
        <v>18980827</v>
      </c>
      <c r="C5737" s="11" t="str">
        <f>INDEX(Data,2,2+MOD(ROWS(C$2:C5737)-1,24))</f>
        <v>24.00</v>
      </c>
      <c r="D5737" s="8">
        <f t="shared" ca="1" si="269"/>
        <v>13</v>
      </c>
      <c r="E5737" s="16">
        <f t="shared" ca="1" si="270"/>
        <v>0</v>
      </c>
    </row>
    <row r="5738" spans="1:5" x14ac:dyDescent="0.25">
      <c r="A5738" s="3">
        <f t="shared" si="268"/>
        <v>78989</v>
      </c>
      <c r="B5738" t="str">
        <f ca="1">TEXT(DATE(YEAR(Invoer!$A$5),1,1)+INT((ROWS(B$2:B5738)-1)/24),"""18""jjmmdd")</f>
        <v>18980828</v>
      </c>
      <c r="C5738" s="11" t="str">
        <f>INDEX(Data,2,2+MOD(ROWS(C$2:C5738)-1,24))</f>
        <v>01.00</v>
      </c>
      <c r="D5738" s="8">
        <f t="shared" ca="1" si="269"/>
        <v>11</v>
      </c>
      <c r="E5738" s="16">
        <f t="shared" ca="1" si="270"/>
        <v>0</v>
      </c>
    </row>
    <row r="5739" spans="1:5" x14ac:dyDescent="0.25">
      <c r="A5739" s="3">
        <f t="shared" si="268"/>
        <v>78989</v>
      </c>
      <c r="B5739" t="str">
        <f ca="1">TEXT(DATE(YEAR(Invoer!$A$5),1,1)+INT((ROWS(B$2:B5739)-1)/24),"""18""jjmmdd")</f>
        <v>18980828</v>
      </c>
      <c r="C5739" s="11" t="str">
        <f>INDEX(Data,2,2+MOD(ROWS(C$2:C5739)-1,24))</f>
        <v>02.00</v>
      </c>
      <c r="D5739" s="8">
        <f t="shared" ca="1" si="269"/>
        <v>11</v>
      </c>
      <c r="E5739" s="16">
        <f t="shared" ca="1" si="270"/>
        <v>0</v>
      </c>
    </row>
    <row r="5740" spans="1:5" x14ac:dyDescent="0.25">
      <c r="A5740" s="3">
        <f t="shared" si="268"/>
        <v>78989</v>
      </c>
      <c r="B5740" t="str">
        <f ca="1">TEXT(DATE(YEAR(Invoer!$A$5),1,1)+INT((ROWS(B$2:B5740)-1)/24),"""18""jjmmdd")</f>
        <v>18980828</v>
      </c>
      <c r="C5740" s="11" t="str">
        <f>INDEX(Data,2,2+MOD(ROWS(C$2:C5740)-1,24))</f>
        <v>03.00</v>
      </c>
      <c r="D5740" s="8">
        <f t="shared" ca="1" si="269"/>
        <v>10</v>
      </c>
      <c r="E5740" s="16">
        <f t="shared" ca="1" si="270"/>
        <v>0</v>
      </c>
    </row>
    <row r="5741" spans="1:5" x14ac:dyDescent="0.25">
      <c r="A5741" s="3">
        <f t="shared" si="268"/>
        <v>78989</v>
      </c>
      <c r="B5741" t="str">
        <f ca="1">TEXT(DATE(YEAR(Invoer!$A$5),1,1)+INT((ROWS(B$2:B5741)-1)/24),"""18""jjmmdd")</f>
        <v>18980828</v>
      </c>
      <c r="C5741" s="11" t="str">
        <f>INDEX(Data,2,2+MOD(ROWS(C$2:C5741)-1,24))</f>
        <v>04.00</v>
      </c>
      <c r="D5741" s="8">
        <f t="shared" ca="1" si="269"/>
        <v>11</v>
      </c>
      <c r="E5741" s="16">
        <f t="shared" ca="1" si="270"/>
        <v>0</v>
      </c>
    </row>
    <row r="5742" spans="1:5" x14ac:dyDescent="0.25">
      <c r="A5742" s="3">
        <f t="shared" si="268"/>
        <v>78989</v>
      </c>
      <c r="B5742" t="str">
        <f ca="1">TEXT(DATE(YEAR(Invoer!$A$5),1,1)+INT((ROWS(B$2:B5742)-1)/24),"""18""jjmmdd")</f>
        <v>18980828</v>
      </c>
      <c r="C5742" s="11" t="str">
        <f>INDEX(Data,2,2+MOD(ROWS(C$2:C5742)-1,24))</f>
        <v>05.00</v>
      </c>
      <c r="D5742" s="8">
        <f t="shared" ca="1" si="269"/>
        <v>11</v>
      </c>
      <c r="E5742" s="16">
        <f t="shared" ca="1" si="270"/>
        <v>0</v>
      </c>
    </row>
    <row r="5743" spans="1:5" x14ac:dyDescent="0.25">
      <c r="A5743" s="3">
        <f t="shared" si="268"/>
        <v>78989</v>
      </c>
      <c r="B5743" t="str">
        <f ca="1">TEXT(DATE(YEAR(Invoer!$A$5),1,1)+INT((ROWS(B$2:B5743)-1)/24),"""18""jjmmdd")</f>
        <v>18980828</v>
      </c>
      <c r="C5743" s="11" t="str">
        <f>INDEX(Data,2,2+MOD(ROWS(C$2:C5743)-1,24))</f>
        <v>06.00</v>
      </c>
      <c r="D5743" s="8">
        <f t="shared" ca="1" si="269"/>
        <v>12</v>
      </c>
      <c r="E5743" s="16">
        <f t="shared" ca="1" si="270"/>
        <v>0</v>
      </c>
    </row>
    <row r="5744" spans="1:5" x14ac:dyDescent="0.25">
      <c r="A5744" s="3">
        <f t="shared" si="268"/>
        <v>78989</v>
      </c>
      <c r="B5744" t="str">
        <f ca="1">TEXT(DATE(YEAR(Invoer!$A$5),1,1)+INT((ROWS(B$2:B5744)-1)/24),"""18""jjmmdd")</f>
        <v>18980828</v>
      </c>
      <c r="C5744" s="11" t="str">
        <f>INDEX(Data,2,2+MOD(ROWS(C$2:C5744)-1,24))</f>
        <v>07.00</v>
      </c>
      <c r="D5744" s="8">
        <f t="shared" ca="1" si="269"/>
        <v>15</v>
      </c>
      <c r="E5744" s="16">
        <f t="shared" ca="1" si="270"/>
        <v>0</v>
      </c>
    </row>
    <row r="5745" spans="1:5" x14ac:dyDescent="0.25">
      <c r="A5745" s="3">
        <f t="shared" si="268"/>
        <v>78989</v>
      </c>
      <c r="B5745" t="str">
        <f ca="1">TEXT(DATE(YEAR(Invoer!$A$5),1,1)+INT((ROWS(B$2:B5745)-1)/24),"""18""jjmmdd")</f>
        <v>18980828</v>
      </c>
      <c r="C5745" s="11" t="str">
        <f>INDEX(Data,2,2+MOD(ROWS(C$2:C5745)-1,24))</f>
        <v>08.00</v>
      </c>
      <c r="D5745" s="8">
        <f t="shared" ca="1" si="269"/>
        <v>17</v>
      </c>
      <c r="E5745" s="16">
        <f t="shared" ca="1" si="270"/>
        <v>0</v>
      </c>
    </row>
    <row r="5746" spans="1:5" x14ac:dyDescent="0.25">
      <c r="A5746" s="3">
        <f t="shared" si="268"/>
        <v>78989</v>
      </c>
      <c r="B5746" t="str">
        <f ca="1">TEXT(DATE(YEAR(Invoer!$A$5),1,1)+INT((ROWS(B$2:B5746)-1)/24),"""18""jjmmdd")</f>
        <v>18980828</v>
      </c>
      <c r="C5746" s="11" t="str">
        <f>INDEX(Data,2,2+MOD(ROWS(C$2:C5746)-1,24))</f>
        <v>09.00</v>
      </c>
      <c r="D5746" s="8">
        <f t="shared" ca="1" si="269"/>
        <v>16</v>
      </c>
      <c r="E5746" s="16">
        <f t="shared" ca="1" si="270"/>
        <v>0</v>
      </c>
    </row>
    <row r="5747" spans="1:5" x14ac:dyDescent="0.25">
      <c r="A5747" s="3">
        <f t="shared" si="268"/>
        <v>78989</v>
      </c>
      <c r="B5747" t="str">
        <f ca="1">TEXT(DATE(YEAR(Invoer!$A$5),1,1)+INT((ROWS(B$2:B5747)-1)/24),"""18""jjmmdd")</f>
        <v>18980828</v>
      </c>
      <c r="C5747" s="11" t="str">
        <f>INDEX(Data,2,2+MOD(ROWS(C$2:C5747)-1,24))</f>
        <v>10.00</v>
      </c>
      <c r="D5747" s="8">
        <f t="shared" ca="1" si="269"/>
        <v>14</v>
      </c>
      <c r="E5747" s="16">
        <f t="shared" ca="1" si="270"/>
        <v>0</v>
      </c>
    </row>
    <row r="5748" spans="1:5" x14ac:dyDescent="0.25">
      <c r="A5748" s="3">
        <f t="shared" si="268"/>
        <v>78989</v>
      </c>
      <c r="B5748" t="str">
        <f ca="1">TEXT(DATE(YEAR(Invoer!$A$5),1,1)+INT((ROWS(B$2:B5748)-1)/24),"""18""jjmmdd")</f>
        <v>18980828</v>
      </c>
      <c r="C5748" s="11" t="str">
        <f>INDEX(Data,2,2+MOD(ROWS(C$2:C5748)-1,24))</f>
        <v>11.00</v>
      </c>
      <c r="D5748" s="8">
        <f t="shared" ca="1" si="269"/>
        <v>14</v>
      </c>
      <c r="E5748" s="16">
        <f t="shared" ca="1" si="270"/>
        <v>0</v>
      </c>
    </row>
    <row r="5749" spans="1:5" x14ac:dyDescent="0.25">
      <c r="A5749" s="3">
        <f t="shared" si="268"/>
        <v>78989</v>
      </c>
      <c r="B5749" t="str">
        <f ca="1">TEXT(DATE(YEAR(Invoer!$A$5),1,1)+INT((ROWS(B$2:B5749)-1)/24),"""18""jjmmdd")</f>
        <v>18980828</v>
      </c>
      <c r="C5749" s="11" t="str">
        <f>INDEX(Data,2,2+MOD(ROWS(C$2:C5749)-1,24))</f>
        <v>12.00</v>
      </c>
      <c r="D5749" s="8">
        <f t="shared" ca="1" si="269"/>
        <v>12</v>
      </c>
      <c r="E5749" s="16">
        <f t="shared" ca="1" si="270"/>
        <v>0</v>
      </c>
    </row>
    <row r="5750" spans="1:5" x14ac:dyDescent="0.25">
      <c r="A5750" s="3">
        <f t="shared" si="268"/>
        <v>78989</v>
      </c>
      <c r="B5750" t="str">
        <f ca="1">TEXT(DATE(YEAR(Invoer!$A$5),1,1)+INT((ROWS(B$2:B5750)-1)/24),"""18""jjmmdd")</f>
        <v>18980828</v>
      </c>
      <c r="C5750" s="11" t="str">
        <f>INDEX(Data,2,2+MOD(ROWS(C$2:C5750)-1,24))</f>
        <v>13.00</v>
      </c>
      <c r="D5750" s="8">
        <f t="shared" ca="1" si="269"/>
        <v>15</v>
      </c>
      <c r="E5750" s="16">
        <f t="shared" ca="1" si="270"/>
        <v>0</v>
      </c>
    </row>
    <row r="5751" spans="1:5" x14ac:dyDescent="0.25">
      <c r="A5751" s="3">
        <f t="shared" si="268"/>
        <v>78989</v>
      </c>
      <c r="B5751" t="str">
        <f ca="1">TEXT(DATE(YEAR(Invoer!$A$5),1,1)+INT((ROWS(B$2:B5751)-1)/24),"""18""jjmmdd")</f>
        <v>18980828</v>
      </c>
      <c r="C5751" s="11" t="str">
        <f>INDEX(Data,2,2+MOD(ROWS(C$2:C5751)-1,24))</f>
        <v>14.00</v>
      </c>
      <c r="D5751" s="8">
        <f t="shared" ca="1" si="269"/>
        <v>17</v>
      </c>
      <c r="E5751" s="16">
        <f t="shared" ca="1" si="270"/>
        <v>0</v>
      </c>
    </row>
    <row r="5752" spans="1:5" x14ac:dyDescent="0.25">
      <c r="A5752" s="3">
        <f t="shared" si="268"/>
        <v>78989</v>
      </c>
      <c r="B5752" t="str">
        <f ca="1">TEXT(DATE(YEAR(Invoer!$A$5),1,1)+INT((ROWS(B$2:B5752)-1)/24),"""18""jjmmdd")</f>
        <v>18980828</v>
      </c>
      <c r="C5752" s="11" t="str">
        <f>INDEX(Data,2,2+MOD(ROWS(C$2:C5752)-1,24))</f>
        <v>15.00</v>
      </c>
      <c r="D5752" s="8">
        <f t="shared" ca="1" si="269"/>
        <v>16</v>
      </c>
      <c r="E5752" s="16">
        <f t="shared" ca="1" si="270"/>
        <v>0</v>
      </c>
    </row>
    <row r="5753" spans="1:5" x14ac:dyDescent="0.25">
      <c r="A5753" s="3">
        <f t="shared" si="268"/>
        <v>78989</v>
      </c>
      <c r="B5753" t="str">
        <f ca="1">TEXT(DATE(YEAR(Invoer!$A$5),1,1)+INT((ROWS(B$2:B5753)-1)/24),"""18""jjmmdd")</f>
        <v>18980828</v>
      </c>
      <c r="C5753" s="11" t="str">
        <f>INDEX(Data,2,2+MOD(ROWS(C$2:C5753)-1,24))</f>
        <v>16.00</v>
      </c>
      <c r="D5753" s="8">
        <f t="shared" ca="1" si="269"/>
        <v>18</v>
      </c>
      <c r="E5753" s="16">
        <f t="shared" ca="1" si="270"/>
        <v>0</v>
      </c>
    </row>
    <row r="5754" spans="1:5" x14ac:dyDescent="0.25">
      <c r="A5754" s="3">
        <f t="shared" si="268"/>
        <v>78989</v>
      </c>
      <c r="B5754" t="str">
        <f ca="1">TEXT(DATE(YEAR(Invoer!$A$5),1,1)+INT((ROWS(B$2:B5754)-1)/24),"""18""jjmmdd")</f>
        <v>18980828</v>
      </c>
      <c r="C5754" s="11" t="str">
        <f>INDEX(Data,2,2+MOD(ROWS(C$2:C5754)-1,24))</f>
        <v>17.00</v>
      </c>
      <c r="D5754" s="8">
        <f t="shared" ca="1" si="269"/>
        <v>16</v>
      </c>
      <c r="E5754" s="16">
        <f t="shared" ca="1" si="270"/>
        <v>0</v>
      </c>
    </row>
    <row r="5755" spans="1:5" x14ac:dyDescent="0.25">
      <c r="A5755" s="3">
        <f t="shared" si="268"/>
        <v>78989</v>
      </c>
      <c r="B5755" t="str">
        <f ca="1">TEXT(DATE(YEAR(Invoer!$A$5),1,1)+INT((ROWS(B$2:B5755)-1)/24),"""18""jjmmdd")</f>
        <v>18980828</v>
      </c>
      <c r="C5755" s="11" t="str">
        <f>INDEX(Data,2,2+MOD(ROWS(C$2:C5755)-1,24))</f>
        <v>18.00</v>
      </c>
      <c r="D5755" s="8">
        <f t="shared" ca="1" si="269"/>
        <v>14</v>
      </c>
      <c r="E5755" s="16">
        <f t="shared" ca="1" si="270"/>
        <v>0</v>
      </c>
    </row>
    <row r="5756" spans="1:5" x14ac:dyDescent="0.25">
      <c r="A5756" s="3">
        <f t="shared" si="268"/>
        <v>78989</v>
      </c>
      <c r="B5756" t="str">
        <f ca="1">TEXT(DATE(YEAR(Invoer!$A$5),1,1)+INT((ROWS(B$2:B5756)-1)/24),"""18""jjmmdd")</f>
        <v>18980828</v>
      </c>
      <c r="C5756" s="11" t="str">
        <f>INDEX(Data,2,2+MOD(ROWS(C$2:C5756)-1,24))</f>
        <v>19.00</v>
      </c>
      <c r="D5756" s="8">
        <f t="shared" ca="1" si="269"/>
        <v>14</v>
      </c>
      <c r="E5756" s="16">
        <f t="shared" ca="1" si="270"/>
        <v>0</v>
      </c>
    </row>
    <row r="5757" spans="1:5" x14ac:dyDescent="0.25">
      <c r="A5757" s="3">
        <f t="shared" si="268"/>
        <v>78989</v>
      </c>
      <c r="B5757" t="str">
        <f ca="1">TEXT(DATE(YEAR(Invoer!$A$5),1,1)+INT((ROWS(B$2:B5757)-1)/24),"""18""jjmmdd")</f>
        <v>18980828</v>
      </c>
      <c r="C5757" s="11" t="str">
        <f>INDEX(Data,2,2+MOD(ROWS(C$2:C5757)-1,24))</f>
        <v>20.00</v>
      </c>
      <c r="D5757" s="8">
        <f t="shared" ca="1" si="269"/>
        <v>13</v>
      </c>
      <c r="E5757" s="16">
        <f t="shared" ca="1" si="270"/>
        <v>0</v>
      </c>
    </row>
    <row r="5758" spans="1:5" x14ac:dyDescent="0.25">
      <c r="A5758" s="3">
        <f t="shared" si="268"/>
        <v>78989</v>
      </c>
      <c r="B5758" t="str">
        <f ca="1">TEXT(DATE(YEAR(Invoer!$A$5),1,1)+INT((ROWS(B$2:B5758)-1)/24),"""18""jjmmdd")</f>
        <v>18980828</v>
      </c>
      <c r="C5758" s="11" t="str">
        <f>INDEX(Data,2,2+MOD(ROWS(C$2:C5758)-1,24))</f>
        <v>21.00</v>
      </c>
      <c r="D5758" s="8">
        <f t="shared" ca="1" si="269"/>
        <v>13</v>
      </c>
      <c r="E5758" s="16">
        <f t="shared" ca="1" si="270"/>
        <v>0</v>
      </c>
    </row>
    <row r="5759" spans="1:5" x14ac:dyDescent="0.25">
      <c r="A5759" s="3">
        <f t="shared" si="268"/>
        <v>78989</v>
      </c>
      <c r="B5759" t="str">
        <f ca="1">TEXT(DATE(YEAR(Invoer!$A$5),1,1)+INT((ROWS(B$2:B5759)-1)/24),"""18""jjmmdd")</f>
        <v>18980828</v>
      </c>
      <c r="C5759" s="11" t="str">
        <f>INDEX(Data,2,2+MOD(ROWS(C$2:C5759)-1,24))</f>
        <v>22.00</v>
      </c>
      <c r="D5759" s="8">
        <f t="shared" ca="1" si="269"/>
        <v>11</v>
      </c>
      <c r="E5759" s="16">
        <f t="shared" ca="1" si="270"/>
        <v>0</v>
      </c>
    </row>
    <row r="5760" spans="1:5" x14ac:dyDescent="0.25">
      <c r="A5760" s="3">
        <f t="shared" si="268"/>
        <v>78989</v>
      </c>
      <c r="B5760" t="str">
        <f ca="1">TEXT(DATE(YEAR(Invoer!$A$5),1,1)+INT((ROWS(B$2:B5760)-1)/24),"""18""jjmmdd")</f>
        <v>18980828</v>
      </c>
      <c r="C5760" s="11" t="str">
        <f>INDEX(Data,2,2+MOD(ROWS(C$2:C5760)-1,24))</f>
        <v>23.00</v>
      </c>
      <c r="D5760" s="8">
        <f t="shared" ca="1" si="269"/>
        <v>12</v>
      </c>
      <c r="E5760" s="16">
        <f t="shared" ca="1" si="270"/>
        <v>0</v>
      </c>
    </row>
    <row r="5761" spans="1:5" x14ac:dyDescent="0.25">
      <c r="A5761" s="3">
        <f t="shared" si="268"/>
        <v>78989</v>
      </c>
      <c r="B5761" t="str">
        <f ca="1">TEXT(DATE(YEAR(Invoer!$A$5),1,1)+INT((ROWS(B$2:B5761)-1)/24),"""18""jjmmdd")</f>
        <v>18980828</v>
      </c>
      <c r="C5761" s="11" t="str">
        <f>INDEX(Data,2,2+MOD(ROWS(C$2:C5761)-1,24))</f>
        <v>24.00</v>
      </c>
      <c r="D5761" s="8">
        <f t="shared" ca="1" si="269"/>
        <v>9</v>
      </c>
      <c r="E5761" s="16">
        <f t="shared" ca="1" si="270"/>
        <v>0</v>
      </c>
    </row>
    <row r="5762" spans="1:5" x14ac:dyDescent="0.25">
      <c r="A5762" s="3">
        <f t="shared" ref="A5762:A5825" si="271">INDEX(Stations,2,1)</f>
        <v>78989</v>
      </c>
      <c r="B5762" t="str">
        <f ca="1">TEXT(DATE(YEAR(Invoer!$A$5),1,1)+INT((ROWS(B$2:B5762)-1)/24),"""18""jjmmdd")</f>
        <v>18980829</v>
      </c>
      <c r="C5762" s="11" t="str">
        <f>INDEX(Data,2,2+MOD(ROWS(C$2:C5762)-1,24))</f>
        <v>01.00</v>
      </c>
      <c r="D5762" s="8">
        <f t="shared" ref="D5762:D5825" ca="1" si="272">IF(OR(ISBLANK(VLOOKUP(DATEVALUE("37"&amp;MID($B5762,3,2)&amp;"-"&amp;MID($B5762,5,2)&amp;"-"&amp;RIGHT($B5762,2)),Data,MATCH(LEFT(VLOOKUP(D$1,Parameters,2,FALSE()),4)&amp;"*",OFFSET(Data,0,0,1),0)+MATCH($C5762,OFFSET(Data,1,0,1),0)-2,FALSE())),ISTEXT(VLOOKUP(DATEVALUE("37"&amp;MID($B5762,3,2)&amp;"-"&amp;MID($B5762,5,2)&amp;"-"&amp;RIGHT($B5762,2)),Data,MATCH(LEFT(VLOOKUP(D$1,Parameters,2,FALSE()),4)&amp;"*",OFFSET(Data,0,0,1),0)+MATCH($C5762,OFFSET(Data,1,0,1),0)-2,FALSE()))),"—",VLOOKUP(DATEVALUE("37"&amp;MID($B5762,3,2)&amp;"-"&amp;MID($B5762,5,2)&amp;"-"&amp;RIGHT($B5762,2)),Data,MATCH(LEFT(VLOOKUP(D$1,Parameters,2,FALSE()),4)&amp;"*",OFFSET(Data,0,0,1),0)+MATCH($C5762,OFFSET(Data,1,0,1),0)-2,FALSE()))</f>
        <v>10</v>
      </c>
      <c r="E5762" s="16">
        <f t="shared" ca="1" si="270"/>
        <v>0</v>
      </c>
    </row>
    <row r="5763" spans="1:5" x14ac:dyDescent="0.25">
      <c r="A5763" s="3">
        <f t="shared" si="271"/>
        <v>78989</v>
      </c>
      <c r="B5763" t="str">
        <f ca="1">TEXT(DATE(YEAR(Invoer!$A$5),1,1)+INT((ROWS(B$2:B5763)-1)/24),"""18""jjmmdd")</f>
        <v>18980829</v>
      </c>
      <c r="C5763" s="11" t="str">
        <f>INDEX(Data,2,2+MOD(ROWS(C$2:C5763)-1,24))</f>
        <v>02.00</v>
      </c>
      <c r="D5763" s="8">
        <f t="shared" ca="1" si="272"/>
        <v>9</v>
      </c>
      <c r="E5763" s="16">
        <f t="shared" ref="E5763:E5826" ca="1" si="273">IF(OR(ISBLANK(VLOOKUP(DATEVALUE("37"&amp;MID($B5763,3,2)&amp;"-"&amp;MID($B5763,5,2)&amp;"-"&amp;RIGHT($B5763,2)),Data,MATCH(LEFT(VLOOKUP(D$1,Parameters,2,FALSE()),4)&amp;"*",OFFSET(Data,0,0,1),0)+MATCH($C5763,OFFSET(Data,1,0,1),0)-2,FALSE())),ISTEXT(VLOOKUP(DATEVALUE("37"&amp;MID($B5763,3,2)&amp;"-"&amp;MID($B5763,5,2)&amp;"-"&amp;RIGHT($B5763,2)),Data,MATCH(LEFT(VLOOKUP(D$1,Parameters,2,FALSE()),4)&amp;"*",OFFSET(Data,0,0,1),0)+MATCH($C5763,OFFSET(Data,1,0,1),0)-2,FALSE()))),Lacking,IF(ISNA(MATCH(DATEVALUE("37"&amp;MID($B5763,3,2)&amp;"-"&amp;MID($B5763,5,2)&amp;"-"&amp;RIGHT($B5763,2)),OFFSET(Catalogus,0,0,,1),0)),Ok,VLOOKUP(DATEVALUE("37"&amp;MID($B5763,3,2)&amp;"-"&amp;MID($B5763,5,2)&amp;"-"&amp;RIGHT($B5763,2)),Catalogus,MATCH(LEFT(VLOOKUP(MID(E$1,2,LEN(E$1)-1),Parameters,2,FALSE()),4)&amp;"*",OFFSET(Catalogus,0,0,1),0)+MATCH($C5763,OFFSET(Catalogus,1,0,1),0)-2,FALSE())))</f>
        <v>0</v>
      </c>
    </row>
    <row r="5764" spans="1:5" x14ac:dyDescent="0.25">
      <c r="A5764" s="3">
        <f t="shared" si="271"/>
        <v>78989</v>
      </c>
      <c r="B5764" t="str">
        <f ca="1">TEXT(DATE(YEAR(Invoer!$A$5),1,1)+INT((ROWS(B$2:B5764)-1)/24),"""18""jjmmdd")</f>
        <v>18980829</v>
      </c>
      <c r="C5764" s="11" t="str">
        <f>INDEX(Data,2,2+MOD(ROWS(C$2:C5764)-1,24))</f>
        <v>03.00</v>
      </c>
      <c r="D5764" s="8">
        <f t="shared" ca="1" si="272"/>
        <v>10</v>
      </c>
      <c r="E5764" s="16">
        <f t="shared" ca="1" si="273"/>
        <v>0</v>
      </c>
    </row>
    <row r="5765" spans="1:5" x14ac:dyDescent="0.25">
      <c r="A5765" s="3">
        <f t="shared" si="271"/>
        <v>78989</v>
      </c>
      <c r="B5765" t="str">
        <f ca="1">TEXT(DATE(YEAR(Invoer!$A$5),1,1)+INT((ROWS(B$2:B5765)-1)/24),"""18""jjmmdd")</f>
        <v>18980829</v>
      </c>
      <c r="C5765" s="11" t="str">
        <f>INDEX(Data,2,2+MOD(ROWS(C$2:C5765)-1,24))</f>
        <v>04.00</v>
      </c>
      <c r="D5765" s="8">
        <f t="shared" ca="1" si="272"/>
        <v>9</v>
      </c>
      <c r="E5765" s="16">
        <f t="shared" ca="1" si="273"/>
        <v>0</v>
      </c>
    </row>
    <row r="5766" spans="1:5" x14ac:dyDescent="0.25">
      <c r="A5766" s="3">
        <f t="shared" si="271"/>
        <v>78989</v>
      </c>
      <c r="B5766" t="str">
        <f ca="1">TEXT(DATE(YEAR(Invoer!$A$5),1,1)+INT((ROWS(B$2:B5766)-1)/24),"""18""jjmmdd")</f>
        <v>18980829</v>
      </c>
      <c r="C5766" s="11" t="str">
        <f>INDEX(Data,2,2+MOD(ROWS(C$2:C5766)-1,24))</f>
        <v>05.00</v>
      </c>
      <c r="D5766" s="8">
        <f t="shared" ca="1" si="272"/>
        <v>8</v>
      </c>
      <c r="E5766" s="16">
        <f t="shared" ca="1" si="273"/>
        <v>0</v>
      </c>
    </row>
    <row r="5767" spans="1:5" x14ac:dyDescent="0.25">
      <c r="A5767" s="3">
        <f t="shared" si="271"/>
        <v>78989</v>
      </c>
      <c r="B5767" t="str">
        <f ca="1">TEXT(DATE(YEAR(Invoer!$A$5),1,1)+INT((ROWS(B$2:B5767)-1)/24),"""18""jjmmdd")</f>
        <v>18980829</v>
      </c>
      <c r="C5767" s="11" t="str">
        <f>INDEX(Data,2,2+MOD(ROWS(C$2:C5767)-1,24))</f>
        <v>06.00</v>
      </c>
      <c r="D5767" s="8">
        <f t="shared" ca="1" si="272"/>
        <v>10</v>
      </c>
      <c r="E5767" s="16">
        <f t="shared" ca="1" si="273"/>
        <v>0</v>
      </c>
    </row>
    <row r="5768" spans="1:5" x14ac:dyDescent="0.25">
      <c r="A5768" s="3">
        <f t="shared" si="271"/>
        <v>78989</v>
      </c>
      <c r="B5768" t="str">
        <f ca="1">TEXT(DATE(YEAR(Invoer!$A$5),1,1)+INT((ROWS(B$2:B5768)-1)/24),"""18""jjmmdd")</f>
        <v>18980829</v>
      </c>
      <c r="C5768" s="11" t="str">
        <f>INDEX(Data,2,2+MOD(ROWS(C$2:C5768)-1,24))</f>
        <v>07.00</v>
      </c>
      <c r="D5768" s="8">
        <f t="shared" ca="1" si="272"/>
        <v>9</v>
      </c>
      <c r="E5768" s="16">
        <f t="shared" ca="1" si="273"/>
        <v>0</v>
      </c>
    </row>
    <row r="5769" spans="1:5" x14ac:dyDescent="0.25">
      <c r="A5769" s="3">
        <f t="shared" si="271"/>
        <v>78989</v>
      </c>
      <c r="B5769" t="str">
        <f ca="1">TEXT(DATE(YEAR(Invoer!$A$5),1,1)+INT((ROWS(B$2:B5769)-1)/24),"""18""jjmmdd")</f>
        <v>18980829</v>
      </c>
      <c r="C5769" s="11" t="str">
        <f>INDEX(Data,2,2+MOD(ROWS(C$2:C5769)-1,24))</f>
        <v>08.00</v>
      </c>
      <c r="D5769" s="8">
        <f t="shared" ca="1" si="272"/>
        <v>11</v>
      </c>
      <c r="E5769" s="16">
        <f t="shared" ca="1" si="273"/>
        <v>0</v>
      </c>
    </row>
    <row r="5770" spans="1:5" x14ac:dyDescent="0.25">
      <c r="A5770" s="3">
        <f t="shared" si="271"/>
        <v>78989</v>
      </c>
      <c r="B5770" t="str">
        <f ca="1">TEXT(DATE(YEAR(Invoer!$A$5),1,1)+INT((ROWS(B$2:B5770)-1)/24),"""18""jjmmdd")</f>
        <v>18980829</v>
      </c>
      <c r="C5770" s="11" t="str">
        <f>INDEX(Data,2,2+MOD(ROWS(C$2:C5770)-1,24))</f>
        <v>09.00</v>
      </c>
      <c r="D5770" s="8">
        <f t="shared" ca="1" si="272"/>
        <v>12</v>
      </c>
      <c r="E5770" s="16">
        <f t="shared" ca="1" si="273"/>
        <v>0</v>
      </c>
    </row>
    <row r="5771" spans="1:5" x14ac:dyDescent="0.25">
      <c r="A5771" s="3">
        <f t="shared" si="271"/>
        <v>78989</v>
      </c>
      <c r="B5771" t="str">
        <f ca="1">TEXT(DATE(YEAR(Invoer!$A$5),1,1)+INT((ROWS(B$2:B5771)-1)/24),"""18""jjmmdd")</f>
        <v>18980829</v>
      </c>
      <c r="C5771" s="11" t="str">
        <f>INDEX(Data,2,2+MOD(ROWS(C$2:C5771)-1,24))</f>
        <v>10.00</v>
      </c>
      <c r="D5771" s="8">
        <f t="shared" ca="1" si="272"/>
        <v>13</v>
      </c>
      <c r="E5771" s="16">
        <f t="shared" ca="1" si="273"/>
        <v>0</v>
      </c>
    </row>
    <row r="5772" spans="1:5" x14ac:dyDescent="0.25">
      <c r="A5772" s="3">
        <f t="shared" si="271"/>
        <v>78989</v>
      </c>
      <c r="B5772" t="str">
        <f ca="1">TEXT(DATE(YEAR(Invoer!$A$5),1,1)+INT((ROWS(B$2:B5772)-1)/24),"""18""jjmmdd")</f>
        <v>18980829</v>
      </c>
      <c r="C5772" s="11" t="str">
        <f>INDEX(Data,2,2+MOD(ROWS(C$2:C5772)-1,24))</f>
        <v>11.00</v>
      </c>
      <c r="D5772" s="8">
        <f t="shared" ca="1" si="272"/>
        <v>13</v>
      </c>
      <c r="E5772" s="16">
        <f t="shared" ca="1" si="273"/>
        <v>0</v>
      </c>
    </row>
    <row r="5773" spans="1:5" x14ac:dyDescent="0.25">
      <c r="A5773" s="3">
        <f t="shared" si="271"/>
        <v>78989</v>
      </c>
      <c r="B5773" t="str">
        <f ca="1">TEXT(DATE(YEAR(Invoer!$A$5),1,1)+INT((ROWS(B$2:B5773)-1)/24),"""18""jjmmdd")</f>
        <v>18980829</v>
      </c>
      <c r="C5773" s="11" t="str">
        <f>INDEX(Data,2,2+MOD(ROWS(C$2:C5773)-1,24))</f>
        <v>12.00</v>
      </c>
      <c r="D5773" s="8">
        <f t="shared" ca="1" si="272"/>
        <v>12</v>
      </c>
      <c r="E5773" s="16">
        <f t="shared" ca="1" si="273"/>
        <v>0</v>
      </c>
    </row>
    <row r="5774" spans="1:5" x14ac:dyDescent="0.25">
      <c r="A5774" s="3">
        <f t="shared" si="271"/>
        <v>78989</v>
      </c>
      <c r="B5774" t="str">
        <f ca="1">TEXT(DATE(YEAR(Invoer!$A$5),1,1)+INT((ROWS(B$2:B5774)-1)/24),"""18""jjmmdd")</f>
        <v>18980829</v>
      </c>
      <c r="C5774" s="11" t="str">
        <f>INDEX(Data,2,2+MOD(ROWS(C$2:C5774)-1,24))</f>
        <v>13.00</v>
      </c>
      <c r="D5774" s="8">
        <f t="shared" ca="1" si="272"/>
        <v>11</v>
      </c>
      <c r="E5774" s="16">
        <f t="shared" ca="1" si="273"/>
        <v>0</v>
      </c>
    </row>
    <row r="5775" spans="1:5" x14ac:dyDescent="0.25">
      <c r="A5775" s="3">
        <f t="shared" si="271"/>
        <v>78989</v>
      </c>
      <c r="B5775" t="str">
        <f ca="1">TEXT(DATE(YEAR(Invoer!$A$5),1,1)+INT((ROWS(B$2:B5775)-1)/24),"""18""jjmmdd")</f>
        <v>18980829</v>
      </c>
      <c r="C5775" s="11" t="str">
        <f>INDEX(Data,2,2+MOD(ROWS(C$2:C5775)-1,24))</f>
        <v>14.00</v>
      </c>
      <c r="D5775" s="8">
        <f t="shared" ca="1" si="272"/>
        <v>13</v>
      </c>
      <c r="E5775" s="16">
        <f t="shared" ca="1" si="273"/>
        <v>0</v>
      </c>
    </row>
    <row r="5776" spans="1:5" x14ac:dyDescent="0.25">
      <c r="A5776" s="3">
        <f t="shared" si="271"/>
        <v>78989</v>
      </c>
      <c r="B5776" t="str">
        <f ca="1">TEXT(DATE(YEAR(Invoer!$A$5),1,1)+INT((ROWS(B$2:B5776)-1)/24),"""18""jjmmdd")</f>
        <v>18980829</v>
      </c>
      <c r="C5776" s="11" t="str">
        <f>INDEX(Data,2,2+MOD(ROWS(C$2:C5776)-1,24))</f>
        <v>15.00</v>
      </c>
      <c r="D5776" s="8">
        <f t="shared" ca="1" si="272"/>
        <v>13</v>
      </c>
      <c r="E5776" s="16">
        <f t="shared" ca="1" si="273"/>
        <v>0</v>
      </c>
    </row>
    <row r="5777" spans="1:5" x14ac:dyDescent="0.25">
      <c r="A5777" s="3">
        <f t="shared" si="271"/>
        <v>78989</v>
      </c>
      <c r="B5777" t="str">
        <f ca="1">TEXT(DATE(YEAR(Invoer!$A$5),1,1)+INT((ROWS(B$2:B5777)-1)/24),"""18""jjmmdd")</f>
        <v>18980829</v>
      </c>
      <c r="C5777" s="11" t="str">
        <f>INDEX(Data,2,2+MOD(ROWS(C$2:C5777)-1,24))</f>
        <v>16.00</v>
      </c>
      <c r="D5777" s="8">
        <f t="shared" ca="1" si="272"/>
        <v>13</v>
      </c>
      <c r="E5777" s="16">
        <f t="shared" ca="1" si="273"/>
        <v>0</v>
      </c>
    </row>
    <row r="5778" spans="1:5" x14ac:dyDescent="0.25">
      <c r="A5778" s="3">
        <f t="shared" si="271"/>
        <v>78989</v>
      </c>
      <c r="B5778" t="str">
        <f ca="1">TEXT(DATE(YEAR(Invoer!$A$5),1,1)+INT((ROWS(B$2:B5778)-1)/24),"""18""jjmmdd")</f>
        <v>18980829</v>
      </c>
      <c r="C5778" s="11" t="str">
        <f>INDEX(Data,2,2+MOD(ROWS(C$2:C5778)-1,24))</f>
        <v>17.00</v>
      </c>
      <c r="D5778" s="8">
        <f t="shared" ca="1" si="272"/>
        <v>12</v>
      </c>
      <c r="E5778" s="16">
        <f t="shared" ca="1" si="273"/>
        <v>0</v>
      </c>
    </row>
    <row r="5779" spans="1:5" x14ac:dyDescent="0.25">
      <c r="A5779" s="3">
        <f t="shared" si="271"/>
        <v>78989</v>
      </c>
      <c r="B5779" t="str">
        <f ca="1">TEXT(DATE(YEAR(Invoer!$A$5),1,1)+INT((ROWS(B$2:B5779)-1)/24),"""18""jjmmdd")</f>
        <v>18980829</v>
      </c>
      <c r="C5779" s="11" t="str">
        <f>INDEX(Data,2,2+MOD(ROWS(C$2:C5779)-1,24))</f>
        <v>18.00</v>
      </c>
      <c r="D5779" s="8">
        <f t="shared" ca="1" si="272"/>
        <v>13</v>
      </c>
      <c r="E5779" s="16">
        <f t="shared" ca="1" si="273"/>
        <v>0</v>
      </c>
    </row>
    <row r="5780" spans="1:5" x14ac:dyDescent="0.25">
      <c r="A5780" s="3">
        <f t="shared" si="271"/>
        <v>78989</v>
      </c>
      <c r="B5780" t="str">
        <f ca="1">TEXT(DATE(YEAR(Invoer!$A$5),1,1)+INT((ROWS(B$2:B5780)-1)/24),"""18""jjmmdd")</f>
        <v>18980829</v>
      </c>
      <c r="C5780" s="11" t="str">
        <f>INDEX(Data,2,2+MOD(ROWS(C$2:C5780)-1,24))</f>
        <v>19.00</v>
      </c>
      <c r="D5780" s="8">
        <f t="shared" ca="1" si="272"/>
        <v>11</v>
      </c>
      <c r="E5780" s="16">
        <f t="shared" ca="1" si="273"/>
        <v>0</v>
      </c>
    </row>
    <row r="5781" spans="1:5" x14ac:dyDescent="0.25">
      <c r="A5781" s="3">
        <f t="shared" si="271"/>
        <v>78989</v>
      </c>
      <c r="B5781" t="str">
        <f ca="1">TEXT(DATE(YEAR(Invoer!$A$5),1,1)+INT((ROWS(B$2:B5781)-1)/24),"""18""jjmmdd")</f>
        <v>18980829</v>
      </c>
      <c r="C5781" s="11" t="str">
        <f>INDEX(Data,2,2+MOD(ROWS(C$2:C5781)-1,24))</f>
        <v>20.00</v>
      </c>
      <c r="D5781" s="8">
        <f t="shared" ca="1" si="272"/>
        <v>12</v>
      </c>
      <c r="E5781" s="16">
        <f t="shared" ca="1" si="273"/>
        <v>0</v>
      </c>
    </row>
    <row r="5782" spans="1:5" x14ac:dyDescent="0.25">
      <c r="A5782" s="3">
        <f t="shared" si="271"/>
        <v>78989</v>
      </c>
      <c r="B5782" t="str">
        <f ca="1">TEXT(DATE(YEAR(Invoer!$A$5),1,1)+INT((ROWS(B$2:B5782)-1)/24),"""18""jjmmdd")</f>
        <v>18980829</v>
      </c>
      <c r="C5782" s="11" t="str">
        <f>INDEX(Data,2,2+MOD(ROWS(C$2:C5782)-1,24))</f>
        <v>21.00</v>
      </c>
      <c r="D5782" s="8">
        <f t="shared" ca="1" si="272"/>
        <v>10</v>
      </c>
      <c r="E5782" s="16">
        <f t="shared" ca="1" si="273"/>
        <v>0</v>
      </c>
    </row>
    <row r="5783" spans="1:5" x14ac:dyDescent="0.25">
      <c r="A5783" s="3">
        <f t="shared" si="271"/>
        <v>78989</v>
      </c>
      <c r="B5783" t="str">
        <f ca="1">TEXT(DATE(YEAR(Invoer!$A$5),1,1)+INT((ROWS(B$2:B5783)-1)/24),"""18""jjmmdd")</f>
        <v>18980829</v>
      </c>
      <c r="C5783" s="11" t="str">
        <f>INDEX(Data,2,2+MOD(ROWS(C$2:C5783)-1,24))</f>
        <v>22.00</v>
      </c>
      <c r="D5783" s="8">
        <f t="shared" ca="1" si="272"/>
        <v>9</v>
      </c>
      <c r="E5783" s="16">
        <f t="shared" ca="1" si="273"/>
        <v>0</v>
      </c>
    </row>
    <row r="5784" spans="1:5" x14ac:dyDescent="0.25">
      <c r="A5784" s="3">
        <f t="shared" si="271"/>
        <v>78989</v>
      </c>
      <c r="B5784" t="str">
        <f ca="1">TEXT(DATE(YEAR(Invoer!$A$5),1,1)+INT((ROWS(B$2:B5784)-1)/24),"""18""jjmmdd")</f>
        <v>18980829</v>
      </c>
      <c r="C5784" s="11" t="str">
        <f>INDEX(Data,2,2+MOD(ROWS(C$2:C5784)-1,24))</f>
        <v>23.00</v>
      </c>
      <c r="D5784" s="8">
        <f t="shared" ca="1" si="272"/>
        <v>8</v>
      </c>
      <c r="E5784" s="16">
        <f t="shared" ca="1" si="273"/>
        <v>0</v>
      </c>
    </row>
    <row r="5785" spans="1:5" x14ac:dyDescent="0.25">
      <c r="A5785" s="3">
        <f t="shared" si="271"/>
        <v>78989</v>
      </c>
      <c r="B5785" t="str">
        <f ca="1">TEXT(DATE(YEAR(Invoer!$A$5),1,1)+INT((ROWS(B$2:B5785)-1)/24),"""18""jjmmdd")</f>
        <v>18980829</v>
      </c>
      <c r="C5785" s="11" t="str">
        <f>INDEX(Data,2,2+MOD(ROWS(C$2:C5785)-1,24))</f>
        <v>24.00</v>
      </c>
      <c r="D5785" s="8">
        <f t="shared" ca="1" si="272"/>
        <v>8</v>
      </c>
      <c r="E5785" s="16">
        <f t="shared" ca="1" si="273"/>
        <v>0</v>
      </c>
    </row>
    <row r="5786" spans="1:5" x14ac:dyDescent="0.25">
      <c r="A5786" s="3">
        <f t="shared" si="271"/>
        <v>78989</v>
      </c>
      <c r="B5786" t="str">
        <f ca="1">TEXT(DATE(YEAR(Invoer!$A$5),1,1)+INT((ROWS(B$2:B5786)-1)/24),"""18""jjmmdd")</f>
        <v>18980830</v>
      </c>
      <c r="C5786" s="11" t="str">
        <f>INDEX(Data,2,2+MOD(ROWS(C$2:C5786)-1,24))</f>
        <v>01.00</v>
      </c>
      <c r="D5786" s="8">
        <f t="shared" ca="1" si="272"/>
        <v>10</v>
      </c>
      <c r="E5786" s="16">
        <f t="shared" ca="1" si="273"/>
        <v>0</v>
      </c>
    </row>
    <row r="5787" spans="1:5" x14ac:dyDescent="0.25">
      <c r="A5787" s="3">
        <f t="shared" si="271"/>
        <v>78989</v>
      </c>
      <c r="B5787" t="str">
        <f ca="1">TEXT(DATE(YEAR(Invoer!$A$5),1,1)+INT((ROWS(B$2:B5787)-1)/24),"""18""jjmmdd")</f>
        <v>18980830</v>
      </c>
      <c r="C5787" s="11" t="str">
        <f>INDEX(Data,2,2+MOD(ROWS(C$2:C5787)-1,24))</f>
        <v>02.00</v>
      </c>
      <c r="D5787" s="8">
        <f t="shared" ca="1" si="272"/>
        <v>9</v>
      </c>
      <c r="E5787" s="16">
        <f t="shared" ca="1" si="273"/>
        <v>0</v>
      </c>
    </row>
    <row r="5788" spans="1:5" x14ac:dyDescent="0.25">
      <c r="A5788" s="3">
        <f t="shared" si="271"/>
        <v>78989</v>
      </c>
      <c r="B5788" t="str">
        <f ca="1">TEXT(DATE(YEAR(Invoer!$A$5),1,1)+INT((ROWS(B$2:B5788)-1)/24),"""18""jjmmdd")</f>
        <v>18980830</v>
      </c>
      <c r="C5788" s="11" t="str">
        <f>INDEX(Data,2,2+MOD(ROWS(C$2:C5788)-1,24))</f>
        <v>03.00</v>
      </c>
      <c r="D5788" s="8">
        <f t="shared" ca="1" si="272"/>
        <v>8</v>
      </c>
      <c r="E5788" s="16">
        <f t="shared" ca="1" si="273"/>
        <v>0</v>
      </c>
    </row>
    <row r="5789" spans="1:5" x14ac:dyDescent="0.25">
      <c r="A5789" s="3">
        <f t="shared" si="271"/>
        <v>78989</v>
      </c>
      <c r="B5789" t="str">
        <f ca="1">TEXT(DATE(YEAR(Invoer!$A$5),1,1)+INT((ROWS(B$2:B5789)-1)/24),"""18""jjmmdd")</f>
        <v>18980830</v>
      </c>
      <c r="C5789" s="11" t="str">
        <f>INDEX(Data,2,2+MOD(ROWS(C$2:C5789)-1,24))</f>
        <v>04.00</v>
      </c>
      <c r="D5789" s="8">
        <f t="shared" ca="1" si="272"/>
        <v>8</v>
      </c>
      <c r="E5789" s="16">
        <f t="shared" ca="1" si="273"/>
        <v>0</v>
      </c>
    </row>
    <row r="5790" spans="1:5" x14ac:dyDescent="0.25">
      <c r="A5790" s="3">
        <f t="shared" si="271"/>
        <v>78989</v>
      </c>
      <c r="B5790" t="str">
        <f ca="1">TEXT(DATE(YEAR(Invoer!$A$5),1,1)+INT((ROWS(B$2:B5790)-1)/24),"""18""jjmmdd")</f>
        <v>18980830</v>
      </c>
      <c r="C5790" s="11" t="str">
        <f>INDEX(Data,2,2+MOD(ROWS(C$2:C5790)-1,24))</f>
        <v>05.00</v>
      </c>
      <c r="D5790" s="8">
        <f t="shared" ca="1" si="272"/>
        <v>8</v>
      </c>
      <c r="E5790" s="16">
        <f t="shared" ca="1" si="273"/>
        <v>0</v>
      </c>
    </row>
    <row r="5791" spans="1:5" x14ac:dyDescent="0.25">
      <c r="A5791" s="3">
        <f t="shared" si="271"/>
        <v>78989</v>
      </c>
      <c r="B5791" t="str">
        <f ca="1">TEXT(DATE(YEAR(Invoer!$A$5),1,1)+INT((ROWS(B$2:B5791)-1)/24),"""18""jjmmdd")</f>
        <v>18980830</v>
      </c>
      <c r="C5791" s="11" t="str">
        <f>INDEX(Data,2,2+MOD(ROWS(C$2:C5791)-1,24))</f>
        <v>06.00</v>
      </c>
      <c r="D5791" s="8">
        <f t="shared" ca="1" si="272"/>
        <v>6</v>
      </c>
      <c r="E5791" s="16">
        <f t="shared" ca="1" si="273"/>
        <v>0</v>
      </c>
    </row>
    <row r="5792" spans="1:5" x14ac:dyDescent="0.25">
      <c r="A5792" s="3">
        <f t="shared" si="271"/>
        <v>78989</v>
      </c>
      <c r="B5792" t="str">
        <f ca="1">TEXT(DATE(YEAR(Invoer!$A$5),1,1)+INT((ROWS(B$2:B5792)-1)/24),"""18""jjmmdd")</f>
        <v>18980830</v>
      </c>
      <c r="C5792" s="11" t="str">
        <f>INDEX(Data,2,2+MOD(ROWS(C$2:C5792)-1,24))</f>
        <v>07.00</v>
      </c>
      <c r="D5792" s="8">
        <f t="shared" ca="1" si="272"/>
        <v>9</v>
      </c>
      <c r="E5792" s="16">
        <f t="shared" ca="1" si="273"/>
        <v>0</v>
      </c>
    </row>
    <row r="5793" spans="1:5" x14ac:dyDescent="0.25">
      <c r="A5793" s="3">
        <f t="shared" si="271"/>
        <v>78989</v>
      </c>
      <c r="B5793" t="str">
        <f ca="1">TEXT(DATE(YEAR(Invoer!$A$5),1,1)+INT((ROWS(B$2:B5793)-1)/24),"""18""jjmmdd")</f>
        <v>18980830</v>
      </c>
      <c r="C5793" s="11" t="str">
        <f>INDEX(Data,2,2+MOD(ROWS(C$2:C5793)-1,24))</f>
        <v>08.00</v>
      </c>
      <c r="D5793" s="8">
        <f t="shared" ca="1" si="272"/>
        <v>12</v>
      </c>
      <c r="E5793" s="16">
        <f t="shared" ca="1" si="273"/>
        <v>0</v>
      </c>
    </row>
    <row r="5794" spans="1:5" x14ac:dyDescent="0.25">
      <c r="A5794" s="3">
        <f t="shared" si="271"/>
        <v>78989</v>
      </c>
      <c r="B5794" t="str">
        <f ca="1">TEXT(DATE(YEAR(Invoer!$A$5),1,1)+INT((ROWS(B$2:B5794)-1)/24),"""18""jjmmdd")</f>
        <v>18980830</v>
      </c>
      <c r="C5794" s="11" t="str">
        <f>INDEX(Data,2,2+MOD(ROWS(C$2:C5794)-1,24))</f>
        <v>09.00</v>
      </c>
      <c r="D5794" s="8">
        <f t="shared" ca="1" si="272"/>
        <v>11</v>
      </c>
      <c r="E5794" s="16">
        <f t="shared" ca="1" si="273"/>
        <v>0</v>
      </c>
    </row>
    <row r="5795" spans="1:5" x14ac:dyDescent="0.25">
      <c r="A5795" s="3">
        <f t="shared" si="271"/>
        <v>78989</v>
      </c>
      <c r="B5795" t="str">
        <f ca="1">TEXT(DATE(YEAR(Invoer!$A$5),1,1)+INT((ROWS(B$2:B5795)-1)/24),"""18""jjmmdd")</f>
        <v>18980830</v>
      </c>
      <c r="C5795" s="11" t="str">
        <f>INDEX(Data,2,2+MOD(ROWS(C$2:C5795)-1,24))</f>
        <v>10.00</v>
      </c>
      <c r="D5795" s="8">
        <f t="shared" ca="1" si="272"/>
        <v>11</v>
      </c>
      <c r="E5795" s="16">
        <f t="shared" ca="1" si="273"/>
        <v>0</v>
      </c>
    </row>
    <row r="5796" spans="1:5" x14ac:dyDescent="0.25">
      <c r="A5796" s="3">
        <f t="shared" si="271"/>
        <v>78989</v>
      </c>
      <c r="B5796" t="str">
        <f ca="1">TEXT(DATE(YEAR(Invoer!$A$5),1,1)+INT((ROWS(B$2:B5796)-1)/24),"""18""jjmmdd")</f>
        <v>18980830</v>
      </c>
      <c r="C5796" s="11" t="str">
        <f>INDEX(Data,2,2+MOD(ROWS(C$2:C5796)-1,24))</f>
        <v>11.00</v>
      </c>
      <c r="D5796" s="8">
        <f t="shared" ca="1" si="272"/>
        <v>12</v>
      </c>
      <c r="E5796" s="16">
        <f t="shared" ca="1" si="273"/>
        <v>0</v>
      </c>
    </row>
    <row r="5797" spans="1:5" x14ac:dyDescent="0.25">
      <c r="A5797" s="3">
        <f t="shared" si="271"/>
        <v>78989</v>
      </c>
      <c r="B5797" t="str">
        <f ca="1">TEXT(DATE(YEAR(Invoer!$A$5),1,1)+INT((ROWS(B$2:B5797)-1)/24),"""18""jjmmdd")</f>
        <v>18980830</v>
      </c>
      <c r="C5797" s="11" t="str">
        <f>INDEX(Data,2,2+MOD(ROWS(C$2:C5797)-1,24))</f>
        <v>12.00</v>
      </c>
      <c r="D5797" s="8">
        <f t="shared" ca="1" si="272"/>
        <v>15</v>
      </c>
      <c r="E5797" s="16">
        <f t="shared" ca="1" si="273"/>
        <v>0</v>
      </c>
    </row>
    <row r="5798" spans="1:5" x14ac:dyDescent="0.25">
      <c r="A5798" s="3">
        <f t="shared" si="271"/>
        <v>78989</v>
      </c>
      <c r="B5798" t="str">
        <f ca="1">TEXT(DATE(YEAR(Invoer!$A$5),1,1)+INT((ROWS(B$2:B5798)-1)/24),"""18""jjmmdd")</f>
        <v>18980830</v>
      </c>
      <c r="C5798" s="11" t="str">
        <f>INDEX(Data,2,2+MOD(ROWS(C$2:C5798)-1,24))</f>
        <v>13.00</v>
      </c>
      <c r="D5798" s="8">
        <f t="shared" ca="1" si="272"/>
        <v>15</v>
      </c>
      <c r="E5798" s="16">
        <f t="shared" ca="1" si="273"/>
        <v>0</v>
      </c>
    </row>
    <row r="5799" spans="1:5" x14ac:dyDescent="0.25">
      <c r="A5799" s="3">
        <f t="shared" si="271"/>
        <v>78989</v>
      </c>
      <c r="B5799" t="str">
        <f ca="1">TEXT(DATE(YEAR(Invoer!$A$5),1,1)+INT((ROWS(B$2:B5799)-1)/24),"""18""jjmmdd")</f>
        <v>18980830</v>
      </c>
      <c r="C5799" s="11" t="str">
        <f>INDEX(Data,2,2+MOD(ROWS(C$2:C5799)-1,24))</f>
        <v>14.00</v>
      </c>
      <c r="D5799" s="8">
        <f t="shared" ca="1" si="272"/>
        <v>12</v>
      </c>
      <c r="E5799" s="16">
        <f t="shared" ca="1" si="273"/>
        <v>0</v>
      </c>
    </row>
    <row r="5800" spans="1:5" x14ac:dyDescent="0.25">
      <c r="A5800" s="3">
        <f t="shared" si="271"/>
        <v>78989</v>
      </c>
      <c r="B5800" t="str">
        <f ca="1">TEXT(DATE(YEAR(Invoer!$A$5),1,1)+INT((ROWS(B$2:B5800)-1)/24),"""18""jjmmdd")</f>
        <v>18980830</v>
      </c>
      <c r="C5800" s="11" t="str">
        <f>INDEX(Data,2,2+MOD(ROWS(C$2:C5800)-1,24))</f>
        <v>15.00</v>
      </c>
      <c r="D5800" s="8">
        <f t="shared" ca="1" si="272"/>
        <v>12</v>
      </c>
      <c r="E5800" s="16">
        <f t="shared" ca="1" si="273"/>
        <v>0</v>
      </c>
    </row>
    <row r="5801" spans="1:5" x14ac:dyDescent="0.25">
      <c r="A5801" s="3">
        <f t="shared" si="271"/>
        <v>78989</v>
      </c>
      <c r="B5801" t="str">
        <f ca="1">TEXT(DATE(YEAR(Invoer!$A$5),1,1)+INT((ROWS(B$2:B5801)-1)/24),"""18""jjmmdd")</f>
        <v>18980830</v>
      </c>
      <c r="C5801" s="11" t="str">
        <f>INDEX(Data,2,2+MOD(ROWS(C$2:C5801)-1,24))</f>
        <v>16.00</v>
      </c>
      <c r="D5801" s="8">
        <f t="shared" ca="1" si="272"/>
        <v>13</v>
      </c>
      <c r="E5801" s="16">
        <f t="shared" ca="1" si="273"/>
        <v>0</v>
      </c>
    </row>
    <row r="5802" spans="1:5" x14ac:dyDescent="0.25">
      <c r="A5802" s="3">
        <f t="shared" si="271"/>
        <v>78989</v>
      </c>
      <c r="B5802" t="str">
        <f ca="1">TEXT(DATE(YEAR(Invoer!$A$5),1,1)+INT((ROWS(B$2:B5802)-1)/24),"""18""jjmmdd")</f>
        <v>18980830</v>
      </c>
      <c r="C5802" s="11" t="str">
        <f>INDEX(Data,2,2+MOD(ROWS(C$2:C5802)-1,24))</f>
        <v>17.00</v>
      </c>
      <c r="D5802" s="8">
        <f t="shared" ca="1" si="272"/>
        <v>13</v>
      </c>
      <c r="E5802" s="16">
        <f t="shared" ca="1" si="273"/>
        <v>0</v>
      </c>
    </row>
    <row r="5803" spans="1:5" x14ac:dyDescent="0.25">
      <c r="A5803" s="3">
        <f t="shared" si="271"/>
        <v>78989</v>
      </c>
      <c r="B5803" t="str">
        <f ca="1">TEXT(DATE(YEAR(Invoer!$A$5),1,1)+INT((ROWS(B$2:B5803)-1)/24),"""18""jjmmdd")</f>
        <v>18980830</v>
      </c>
      <c r="C5803" s="11" t="str">
        <f>INDEX(Data,2,2+MOD(ROWS(C$2:C5803)-1,24))</f>
        <v>18.00</v>
      </c>
      <c r="D5803" s="8">
        <f t="shared" ca="1" si="272"/>
        <v>12</v>
      </c>
      <c r="E5803" s="16">
        <f t="shared" ca="1" si="273"/>
        <v>0</v>
      </c>
    </row>
    <row r="5804" spans="1:5" x14ac:dyDescent="0.25">
      <c r="A5804" s="3">
        <f t="shared" si="271"/>
        <v>78989</v>
      </c>
      <c r="B5804" t="str">
        <f ca="1">TEXT(DATE(YEAR(Invoer!$A$5),1,1)+INT((ROWS(B$2:B5804)-1)/24),"""18""jjmmdd")</f>
        <v>18980830</v>
      </c>
      <c r="C5804" s="11" t="str">
        <f>INDEX(Data,2,2+MOD(ROWS(C$2:C5804)-1,24))</f>
        <v>19.00</v>
      </c>
      <c r="D5804" s="8">
        <f t="shared" ca="1" si="272"/>
        <v>12</v>
      </c>
      <c r="E5804" s="16">
        <f t="shared" ca="1" si="273"/>
        <v>0</v>
      </c>
    </row>
    <row r="5805" spans="1:5" x14ac:dyDescent="0.25">
      <c r="A5805" s="3">
        <f t="shared" si="271"/>
        <v>78989</v>
      </c>
      <c r="B5805" t="str">
        <f ca="1">TEXT(DATE(YEAR(Invoer!$A$5),1,1)+INT((ROWS(B$2:B5805)-1)/24),"""18""jjmmdd")</f>
        <v>18980830</v>
      </c>
      <c r="C5805" s="11" t="str">
        <f>INDEX(Data,2,2+MOD(ROWS(C$2:C5805)-1,24))</f>
        <v>20.00</v>
      </c>
      <c r="D5805" s="8">
        <f t="shared" ca="1" si="272"/>
        <v>10</v>
      </c>
      <c r="E5805" s="16">
        <f t="shared" ca="1" si="273"/>
        <v>0</v>
      </c>
    </row>
    <row r="5806" spans="1:5" x14ac:dyDescent="0.25">
      <c r="A5806" s="3">
        <f t="shared" si="271"/>
        <v>78989</v>
      </c>
      <c r="B5806" t="str">
        <f ca="1">TEXT(DATE(YEAR(Invoer!$A$5),1,1)+INT((ROWS(B$2:B5806)-1)/24),"""18""jjmmdd")</f>
        <v>18980830</v>
      </c>
      <c r="C5806" s="11" t="str">
        <f>INDEX(Data,2,2+MOD(ROWS(C$2:C5806)-1,24))</f>
        <v>21.00</v>
      </c>
      <c r="D5806" s="8">
        <f t="shared" ca="1" si="272"/>
        <v>8</v>
      </c>
      <c r="E5806" s="16">
        <f t="shared" ca="1" si="273"/>
        <v>0</v>
      </c>
    </row>
    <row r="5807" spans="1:5" x14ac:dyDescent="0.25">
      <c r="A5807" s="3">
        <f t="shared" si="271"/>
        <v>78989</v>
      </c>
      <c r="B5807" t="str">
        <f ca="1">TEXT(DATE(YEAR(Invoer!$A$5),1,1)+INT((ROWS(B$2:B5807)-1)/24),"""18""jjmmdd")</f>
        <v>18980830</v>
      </c>
      <c r="C5807" s="11" t="str">
        <f>INDEX(Data,2,2+MOD(ROWS(C$2:C5807)-1,24))</f>
        <v>22.00</v>
      </c>
      <c r="D5807" s="8">
        <f t="shared" ca="1" si="272"/>
        <v>7</v>
      </c>
      <c r="E5807" s="16">
        <f t="shared" ca="1" si="273"/>
        <v>0</v>
      </c>
    </row>
    <row r="5808" spans="1:5" x14ac:dyDescent="0.25">
      <c r="A5808" s="3">
        <f t="shared" si="271"/>
        <v>78989</v>
      </c>
      <c r="B5808" t="str">
        <f ca="1">TEXT(DATE(YEAR(Invoer!$A$5),1,1)+INT((ROWS(B$2:B5808)-1)/24),"""18""jjmmdd")</f>
        <v>18980830</v>
      </c>
      <c r="C5808" s="11" t="str">
        <f>INDEX(Data,2,2+MOD(ROWS(C$2:C5808)-1,24))</f>
        <v>23.00</v>
      </c>
      <c r="D5808" s="8">
        <f t="shared" ca="1" si="272"/>
        <v>8</v>
      </c>
      <c r="E5808" s="16">
        <f t="shared" ca="1" si="273"/>
        <v>0</v>
      </c>
    </row>
    <row r="5809" spans="1:5" x14ac:dyDescent="0.25">
      <c r="A5809" s="3">
        <f t="shared" si="271"/>
        <v>78989</v>
      </c>
      <c r="B5809" t="str">
        <f ca="1">TEXT(DATE(YEAR(Invoer!$A$5),1,1)+INT((ROWS(B$2:B5809)-1)/24),"""18""jjmmdd")</f>
        <v>18980830</v>
      </c>
      <c r="C5809" s="11" t="str">
        <f>INDEX(Data,2,2+MOD(ROWS(C$2:C5809)-1,24))</f>
        <v>24.00</v>
      </c>
      <c r="D5809" s="8">
        <f t="shared" ca="1" si="272"/>
        <v>9</v>
      </c>
      <c r="E5809" s="16">
        <f t="shared" ca="1" si="273"/>
        <v>0</v>
      </c>
    </row>
    <row r="5810" spans="1:5" x14ac:dyDescent="0.25">
      <c r="A5810" s="3">
        <f t="shared" si="271"/>
        <v>78989</v>
      </c>
      <c r="B5810" t="str">
        <f ca="1">TEXT(DATE(YEAR(Invoer!$A$5),1,1)+INT((ROWS(B$2:B5810)-1)/24),"""18""jjmmdd")</f>
        <v>18980831</v>
      </c>
      <c r="C5810" s="11" t="str">
        <f>INDEX(Data,2,2+MOD(ROWS(C$2:C5810)-1,24))</f>
        <v>01.00</v>
      </c>
      <c r="D5810" s="8">
        <f t="shared" ca="1" si="272"/>
        <v>10</v>
      </c>
      <c r="E5810" s="16">
        <f t="shared" ca="1" si="273"/>
        <v>0</v>
      </c>
    </row>
    <row r="5811" spans="1:5" x14ac:dyDescent="0.25">
      <c r="A5811" s="3">
        <f t="shared" si="271"/>
        <v>78989</v>
      </c>
      <c r="B5811" t="str">
        <f ca="1">TEXT(DATE(YEAR(Invoer!$A$5),1,1)+INT((ROWS(B$2:B5811)-1)/24),"""18""jjmmdd")</f>
        <v>18980831</v>
      </c>
      <c r="C5811" s="11" t="str">
        <f>INDEX(Data,2,2+MOD(ROWS(C$2:C5811)-1,24))</f>
        <v>02.00</v>
      </c>
      <c r="D5811" s="8">
        <f t="shared" ca="1" si="272"/>
        <v>8</v>
      </c>
      <c r="E5811" s="16">
        <f t="shared" ca="1" si="273"/>
        <v>0</v>
      </c>
    </row>
    <row r="5812" spans="1:5" x14ac:dyDescent="0.25">
      <c r="A5812" s="3">
        <f t="shared" si="271"/>
        <v>78989</v>
      </c>
      <c r="B5812" t="str">
        <f ca="1">TEXT(DATE(YEAR(Invoer!$A$5),1,1)+INT((ROWS(B$2:B5812)-1)/24),"""18""jjmmdd")</f>
        <v>18980831</v>
      </c>
      <c r="C5812" s="11" t="str">
        <f>INDEX(Data,2,2+MOD(ROWS(C$2:C5812)-1,24))</f>
        <v>03.00</v>
      </c>
      <c r="D5812" s="8">
        <f t="shared" ca="1" si="272"/>
        <v>8</v>
      </c>
      <c r="E5812" s="16">
        <f t="shared" ca="1" si="273"/>
        <v>0</v>
      </c>
    </row>
    <row r="5813" spans="1:5" x14ac:dyDescent="0.25">
      <c r="A5813" s="3">
        <f t="shared" si="271"/>
        <v>78989</v>
      </c>
      <c r="B5813" t="str">
        <f ca="1">TEXT(DATE(YEAR(Invoer!$A$5),1,1)+INT((ROWS(B$2:B5813)-1)/24),"""18""jjmmdd")</f>
        <v>18980831</v>
      </c>
      <c r="C5813" s="11" t="str">
        <f>INDEX(Data,2,2+MOD(ROWS(C$2:C5813)-1,24))</f>
        <v>04.00</v>
      </c>
      <c r="D5813" s="8">
        <f t="shared" ca="1" si="272"/>
        <v>10</v>
      </c>
      <c r="E5813" s="16">
        <f t="shared" ca="1" si="273"/>
        <v>0</v>
      </c>
    </row>
    <row r="5814" spans="1:5" x14ac:dyDescent="0.25">
      <c r="A5814" s="3">
        <f t="shared" si="271"/>
        <v>78989</v>
      </c>
      <c r="B5814" t="str">
        <f ca="1">TEXT(DATE(YEAR(Invoer!$A$5),1,1)+INT((ROWS(B$2:B5814)-1)/24),"""18""jjmmdd")</f>
        <v>18980831</v>
      </c>
      <c r="C5814" s="11" t="str">
        <f>INDEX(Data,2,2+MOD(ROWS(C$2:C5814)-1,24))</f>
        <v>05.00</v>
      </c>
      <c r="D5814" s="8">
        <f t="shared" ca="1" si="272"/>
        <v>8</v>
      </c>
      <c r="E5814" s="16">
        <f t="shared" ca="1" si="273"/>
        <v>0</v>
      </c>
    </row>
    <row r="5815" spans="1:5" x14ac:dyDescent="0.25">
      <c r="A5815" s="3">
        <f t="shared" si="271"/>
        <v>78989</v>
      </c>
      <c r="B5815" t="str">
        <f ca="1">TEXT(DATE(YEAR(Invoer!$A$5),1,1)+INT((ROWS(B$2:B5815)-1)/24),"""18""jjmmdd")</f>
        <v>18980831</v>
      </c>
      <c r="C5815" s="11" t="str">
        <f>INDEX(Data,2,2+MOD(ROWS(C$2:C5815)-1,24))</f>
        <v>06.00</v>
      </c>
      <c r="D5815" s="8">
        <f t="shared" ca="1" si="272"/>
        <v>9</v>
      </c>
      <c r="E5815" s="16">
        <f t="shared" ca="1" si="273"/>
        <v>0</v>
      </c>
    </row>
    <row r="5816" spans="1:5" x14ac:dyDescent="0.25">
      <c r="A5816" s="3">
        <f t="shared" si="271"/>
        <v>78989</v>
      </c>
      <c r="B5816" t="str">
        <f ca="1">TEXT(DATE(YEAR(Invoer!$A$5),1,1)+INT((ROWS(B$2:B5816)-1)/24),"""18""jjmmdd")</f>
        <v>18980831</v>
      </c>
      <c r="C5816" s="11" t="str">
        <f>INDEX(Data,2,2+MOD(ROWS(C$2:C5816)-1,24))</f>
        <v>07.00</v>
      </c>
      <c r="D5816" s="8">
        <f t="shared" ca="1" si="272"/>
        <v>9</v>
      </c>
      <c r="E5816" s="16">
        <f t="shared" ca="1" si="273"/>
        <v>0</v>
      </c>
    </row>
    <row r="5817" spans="1:5" x14ac:dyDescent="0.25">
      <c r="A5817" s="3">
        <f t="shared" si="271"/>
        <v>78989</v>
      </c>
      <c r="B5817" t="str">
        <f ca="1">TEXT(DATE(YEAR(Invoer!$A$5),1,1)+INT((ROWS(B$2:B5817)-1)/24),"""18""jjmmdd")</f>
        <v>18980831</v>
      </c>
      <c r="C5817" s="11" t="str">
        <f>INDEX(Data,2,2+MOD(ROWS(C$2:C5817)-1,24))</f>
        <v>08.00</v>
      </c>
      <c r="D5817" s="8">
        <f t="shared" ca="1" si="272"/>
        <v>12</v>
      </c>
      <c r="E5817" s="16">
        <f t="shared" ca="1" si="273"/>
        <v>0</v>
      </c>
    </row>
    <row r="5818" spans="1:5" x14ac:dyDescent="0.25">
      <c r="A5818" s="3">
        <f t="shared" si="271"/>
        <v>78989</v>
      </c>
      <c r="B5818" t="str">
        <f ca="1">TEXT(DATE(YEAR(Invoer!$A$5),1,1)+INT((ROWS(B$2:B5818)-1)/24),"""18""jjmmdd")</f>
        <v>18980831</v>
      </c>
      <c r="C5818" s="11" t="str">
        <f>INDEX(Data,2,2+MOD(ROWS(C$2:C5818)-1,24))</f>
        <v>09.00</v>
      </c>
      <c r="D5818" s="8">
        <f t="shared" ca="1" si="272"/>
        <v>11</v>
      </c>
      <c r="E5818" s="16">
        <f t="shared" ca="1" si="273"/>
        <v>0</v>
      </c>
    </row>
    <row r="5819" spans="1:5" x14ac:dyDescent="0.25">
      <c r="A5819" s="3">
        <f t="shared" si="271"/>
        <v>78989</v>
      </c>
      <c r="B5819" t="str">
        <f ca="1">TEXT(DATE(YEAR(Invoer!$A$5),1,1)+INT((ROWS(B$2:B5819)-1)/24),"""18""jjmmdd")</f>
        <v>18980831</v>
      </c>
      <c r="C5819" s="11" t="str">
        <f>INDEX(Data,2,2+MOD(ROWS(C$2:C5819)-1,24))</f>
        <v>10.00</v>
      </c>
      <c r="D5819" s="8">
        <f t="shared" ca="1" si="272"/>
        <v>14</v>
      </c>
      <c r="E5819" s="16">
        <f t="shared" ca="1" si="273"/>
        <v>0</v>
      </c>
    </row>
    <row r="5820" spans="1:5" x14ac:dyDescent="0.25">
      <c r="A5820" s="3">
        <f t="shared" si="271"/>
        <v>78989</v>
      </c>
      <c r="B5820" t="str">
        <f ca="1">TEXT(DATE(YEAR(Invoer!$A$5),1,1)+INT((ROWS(B$2:B5820)-1)/24),"""18""jjmmdd")</f>
        <v>18980831</v>
      </c>
      <c r="C5820" s="11" t="str">
        <f>INDEX(Data,2,2+MOD(ROWS(C$2:C5820)-1,24))</f>
        <v>11.00</v>
      </c>
      <c r="D5820" s="8">
        <f t="shared" ca="1" si="272"/>
        <v>11</v>
      </c>
      <c r="E5820" s="16">
        <f t="shared" ca="1" si="273"/>
        <v>0</v>
      </c>
    </row>
    <row r="5821" spans="1:5" x14ac:dyDescent="0.25">
      <c r="A5821" s="3">
        <f t="shared" si="271"/>
        <v>78989</v>
      </c>
      <c r="B5821" t="str">
        <f ca="1">TEXT(DATE(YEAR(Invoer!$A$5),1,1)+INT((ROWS(B$2:B5821)-1)/24),"""18""jjmmdd")</f>
        <v>18980831</v>
      </c>
      <c r="C5821" s="11" t="str">
        <f>INDEX(Data,2,2+MOD(ROWS(C$2:C5821)-1,24))</f>
        <v>12.00</v>
      </c>
      <c r="D5821" s="8">
        <f t="shared" ca="1" si="272"/>
        <v>11</v>
      </c>
      <c r="E5821" s="16">
        <f t="shared" ca="1" si="273"/>
        <v>0</v>
      </c>
    </row>
    <row r="5822" spans="1:5" x14ac:dyDescent="0.25">
      <c r="A5822" s="3">
        <f t="shared" si="271"/>
        <v>78989</v>
      </c>
      <c r="B5822" t="str">
        <f ca="1">TEXT(DATE(YEAR(Invoer!$A$5),1,1)+INT((ROWS(B$2:B5822)-1)/24),"""18""jjmmdd")</f>
        <v>18980831</v>
      </c>
      <c r="C5822" s="11" t="str">
        <f>INDEX(Data,2,2+MOD(ROWS(C$2:C5822)-1,24))</f>
        <v>13.00</v>
      </c>
      <c r="D5822" s="8">
        <f t="shared" ca="1" si="272"/>
        <v>12</v>
      </c>
      <c r="E5822" s="16">
        <f t="shared" ca="1" si="273"/>
        <v>0</v>
      </c>
    </row>
    <row r="5823" spans="1:5" x14ac:dyDescent="0.25">
      <c r="A5823" s="3">
        <f t="shared" si="271"/>
        <v>78989</v>
      </c>
      <c r="B5823" t="str">
        <f ca="1">TEXT(DATE(YEAR(Invoer!$A$5),1,1)+INT((ROWS(B$2:B5823)-1)/24),"""18""jjmmdd")</f>
        <v>18980831</v>
      </c>
      <c r="C5823" s="11" t="str">
        <f>INDEX(Data,2,2+MOD(ROWS(C$2:C5823)-1,24))</f>
        <v>14.00</v>
      </c>
      <c r="D5823" s="8">
        <f t="shared" ca="1" si="272"/>
        <v>15</v>
      </c>
      <c r="E5823" s="16">
        <f t="shared" ca="1" si="273"/>
        <v>0</v>
      </c>
    </row>
    <row r="5824" spans="1:5" x14ac:dyDescent="0.25">
      <c r="A5824" s="3">
        <f t="shared" si="271"/>
        <v>78989</v>
      </c>
      <c r="B5824" t="str">
        <f ca="1">TEXT(DATE(YEAR(Invoer!$A$5),1,1)+INT((ROWS(B$2:B5824)-1)/24),"""18""jjmmdd")</f>
        <v>18980831</v>
      </c>
      <c r="C5824" s="11" t="str">
        <f>INDEX(Data,2,2+MOD(ROWS(C$2:C5824)-1,24))</f>
        <v>15.00</v>
      </c>
      <c r="D5824" s="8">
        <f t="shared" ca="1" si="272"/>
        <v>17</v>
      </c>
      <c r="E5824" s="16">
        <f t="shared" ca="1" si="273"/>
        <v>0</v>
      </c>
    </row>
    <row r="5825" spans="1:5" x14ac:dyDescent="0.25">
      <c r="A5825" s="3">
        <f t="shared" si="271"/>
        <v>78989</v>
      </c>
      <c r="B5825" t="str">
        <f ca="1">TEXT(DATE(YEAR(Invoer!$A$5),1,1)+INT((ROWS(B$2:B5825)-1)/24),"""18""jjmmdd")</f>
        <v>18980831</v>
      </c>
      <c r="C5825" s="11" t="str">
        <f>INDEX(Data,2,2+MOD(ROWS(C$2:C5825)-1,24))</f>
        <v>16.00</v>
      </c>
      <c r="D5825" s="8">
        <f t="shared" ca="1" si="272"/>
        <v>16</v>
      </c>
      <c r="E5825" s="16">
        <f t="shared" ca="1" si="273"/>
        <v>0</v>
      </c>
    </row>
    <row r="5826" spans="1:5" x14ac:dyDescent="0.25">
      <c r="A5826" s="3">
        <f t="shared" ref="A5826:A5889" si="274">INDEX(Stations,2,1)</f>
        <v>78989</v>
      </c>
      <c r="B5826" t="str">
        <f ca="1">TEXT(DATE(YEAR(Invoer!$A$5),1,1)+INT((ROWS(B$2:B5826)-1)/24),"""18""jjmmdd")</f>
        <v>18980831</v>
      </c>
      <c r="C5826" s="11" t="str">
        <f>INDEX(Data,2,2+MOD(ROWS(C$2:C5826)-1,24))</f>
        <v>17.00</v>
      </c>
      <c r="D5826" s="8">
        <f t="shared" ref="D5826:D5889" ca="1" si="275">IF(OR(ISBLANK(VLOOKUP(DATEVALUE("37"&amp;MID($B5826,3,2)&amp;"-"&amp;MID($B5826,5,2)&amp;"-"&amp;RIGHT($B5826,2)),Data,MATCH(LEFT(VLOOKUP(D$1,Parameters,2,FALSE()),4)&amp;"*",OFFSET(Data,0,0,1),0)+MATCH($C5826,OFFSET(Data,1,0,1),0)-2,FALSE())),ISTEXT(VLOOKUP(DATEVALUE("37"&amp;MID($B5826,3,2)&amp;"-"&amp;MID($B5826,5,2)&amp;"-"&amp;RIGHT($B5826,2)),Data,MATCH(LEFT(VLOOKUP(D$1,Parameters,2,FALSE()),4)&amp;"*",OFFSET(Data,0,0,1),0)+MATCH($C5826,OFFSET(Data,1,0,1),0)-2,FALSE()))),"—",VLOOKUP(DATEVALUE("37"&amp;MID($B5826,3,2)&amp;"-"&amp;MID($B5826,5,2)&amp;"-"&amp;RIGHT($B5826,2)),Data,MATCH(LEFT(VLOOKUP(D$1,Parameters,2,FALSE()),4)&amp;"*",OFFSET(Data,0,0,1),0)+MATCH($C5826,OFFSET(Data,1,0,1),0)-2,FALSE()))</f>
        <v>18</v>
      </c>
      <c r="E5826" s="16">
        <f t="shared" ca="1" si="273"/>
        <v>0</v>
      </c>
    </row>
    <row r="5827" spans="1:5" x14ac:dyDescent="0.25">
      <c r="A5827" s="3">
        <f t="shared" si="274"/>
        <v>78989</v>
      </c>
      <c r="B5827" t="str">
        <f ca="1">TEXT(DATE(YEAR(Invoer!$A$5),1,1)+INT((ROWS(B$2:B5827)-1)/24),"""18""jjmmdd")</f>
        <v>18980831</v>
      </c>
      <c r="C5827" s="11" t="str">
        <f>INDEX(Data,2,2+MOD(ROWS(C$2:C5827)-1,24))</f>
        <v>18.00</v>
      </c>
      <c r="D5827" s="8">
        <f t="shared" ca="1" si="275"/>
        <v>16</v>
      </c>
      <c r="E5827" s="16">
        <f t="shared" ref="E5827:E5890" ca="1" si="276">IF(OR(ISBLANK(VLOOKUP(DATEVALUE("37"&amp;MID($B5827,3,2)&amp;"-"&amp;MID($B5827,5,2)&amp;"-"&amp;RIGHT($B5827,2)),Data,MATCH(LEFT(VLOOKUP(D$1,Parameters,2,FALSE()),4)&amp;"*",OFFSET(Data,0,0,1),0)+MATCH($C5827,OFFSET(Data,1,0,1),0)-2,FALSE())),ISTEXT(VLOOKUP(DATEVALUE("37"&amp;MID($B5827,3,2)&amp;"-"&amp;MID($B5827,5,2)&amp;"-"&amp;RIGHT($B5827,2)),Data,MATCH(LEFT(VLOOKUP(D$1,Parameters,2,FALSE()),4)&amp;"*",OFFSET(Data,0,0,1),0)+MATCH($C5827,OFFSET(Data,1,0,1),0)-2,FALSE()))),Lacking,IF(ISNA(MATCH(DATEVALUE("37"&amp;MID($B5827,3,2)&amp;"-"&amp;MID($B5827,5,2)&amp;"-"&amp;RIGHT($B5827,2)),OFFSET(Catalogus,0,0,,1),0)),Ok,VLOOKUP(DATEVALUE("37"&amp;MID($B5827,3,2)&amp;"-"&amp;MID($B5827,5,2)&amp;"-"&amp;RIGHT($B5827,2)),Catalogus,MATCH(LEFT(VLOOKUP(MID(E$1,2,LEN(E$1)-1),Parameters,2,FALSE()),4)&amp;"*",OFFSET(Catalogus,0,0,1),0)+MATCH($C5827,OFFSET(Catalogus,1,0,1),0)-2,FALSE())))</f>
        <v>0</v>
      </c>
    </row>
    <row r="5828" spans="1:5" x14ac:dyDescent="0.25">
      <c r="A5828" s="3">
        <f t="shared" si="274"/>
        <v>78989</v>
      </c>
      <c r="B5828" t="str">
        <f ca="1">TEXT(DATE(YEAR(Invoer!$A$5),1,1)+INT((ROWS(B$2:B5828)-1)/24),"""18""jjmmdd")</f>
        <v>18980831</v>
      </c>
      <c r="C5828" s="11" t="str">
        <f>INDEX(Data,2,2+MOD(ROWS(C$2:C5828)-1,24))</f>
        <v>19.00</v>
      </c>
      <c r="D5828" s="8">
        <f t="shared" ca="1" si="275"/>
        <v>14</v>
      </c>
      <c r="E5828" s="16">
        <f t="shared" ca="1" si="276"/>
        <v>0</v>
      </c>
    </row>
    <row r="5829" spans="1:5" x14ac:dyDescent="0.25">
      <c r="A5829" s="3">
        <f t="shared" si="274"/>
        <v>78989</v>
      </c>
      <c r="B5829" t="str">
        <f ca="1">TEXT(DATE(YEAR(Invoer!$A$5),1,1)+INT((ROWS(B$2:B5829)-1)/24),"""18""jjmmdd")</f>
        <v>18980831</v>
      </c>
      <c r="C5829" s="11" t="str">
        <f>INDEX(Data,2,2+MOD(ROWS(C$2:C5829)-1,24))</f>
        <v>20.00</v>
      </c>
      <c r="D5829" s="8">
        <f t="shared" ca="1" si="275"/>
        <v>14</v>
      </c>
      <c r="E5829" s="16">
        <f t="shared" ca="1" si="276"/>
        <v>0</v>
      </c>
    </row>
    <row r="5830" spans="1:5" x14ac:dyDescent="0.25">
      <c r="A5830" s="3">
        <f t="shared" si="274"/>
        <v>78989</v>
      </c>
      <c r="B5830" t="str">
        <f ca="1">TEXT(DATE(YEAR(Invoer!$A$5),1,1)+INT((ROWS(B$2:B5830)-1)/24),"""18""jjmmdd")</f>
        <v>18980831</v>
      </c>
      <c r="C5830" s="11" t="str">
        <f>INDEX(Data,2,2+MOD(ROWS(C$2:C5830)-1,24))</f>
        <v>21.00</v>
      </c>
      <c r="D5830" s="8">
        <f t="shared" ca="1" si="275"/>
        <v>13</v>
      </c>
      <c r="E5830" s="16">
        <f t="shared" ca="1" si="276"/>
        <v>0</v>
      </c>
    </row>
    <row r="5831" spans="1:5" x14ac:dyDescent="0.25">
      <c r="A5831" s="3">
        <f t="shared" si="274"/>
        <v>78989</v>
      </c>
      <c r="B5831" t="str">
        <f ca="1">TEXT(DATE(YEAR(Invoer!$A$5),1,1)+INT((ROWS(B$2:B5831)-1)/24),"""18""jjmmdd")</f>
        <v>18980831</v>
      </c>
      <c r="C5831" s="11" t="str">
        <f>INDEX(Data,2,2+MOD(ROWS(C$2:C5831)-1,24))</f>
        <v>22.00</v>
      </c>
      <c r="D5831" s="8">
        <f t="shared" ca="1" si="275"/>
        <v>11</v>
      </c>
      <c r="E5831" s="16">
        <f t="shared" ca="1" si="276"/>
        <v>0</v>
      </c>
    </row>
    <row r="5832" spans="1:5" x14ac:dyDescent="0.25">
      <c r="A5832" s="3">
        <f t="shared" si="274"/>
        <v>78989</v>
      </c>
      <c r="B5832" t="str">
        <f ca="1">TEXT(DATE(YEAR(Invoer!$A$5),1,1)+INT((ROWS(B$2:B5832)-1)/24),"""18""jjmmdd")</f>
        <v>18980831</v>
      </c>
      <c r="C5832" s="11" t="str">
        <f>INDEX(Data,2,2+MOD(ROWS(C$2:C5832)-1,24))</f>
        <v>23.00</v>
      </c>
      <c r="D5832" s="8">
        <f t="shared" ca="1" si="275"/>
        <v>10</v>
      </c>
      <c r="E5832" s="16">
        <f t="shared" ca="1" si="276"/>
        <v>0</v>
      </c>
    </row>
    <row r="5833" spans="1:5" x14ac:dyDescent="0.25">
      <c r="A5833" s="3">
        <f t="shared" si="274"/>
        <v>78989</v>
      </c>
      <c r="B5833" t="str">
        <f ca="1">TEXT(DATE(YEAR(Invoer!$A$5),1,1)+INT((ROWS(B$2:B5833)-1)/24),"""18""jjmmdd")</f>
        <v>18980831</v>
      </c>
      <c r="C5833" s="11" t="str">
        <f>INDEX(Data,2,2+MOD(ROWS(C$2:C5833)-1,24))</f>
        <v>24.00</v>
      </c>
      <c r="D5833" s="8">
        <f t="shared" ca="1" si="275"/>
        <v>11</v>
      </c>
      <c r="E5833" s="16">
        <f t="shared" ca="1" si="276"/>
        <v>0</v>
      </c>
    </row>
    <row r="5834" spans="1:5" x14ac:dyDescent="0.25">
      <c r="A5834" s="3">
        <f t="shared" si="274"/>
        <v>78989</v>
      </c>
      <c r="B5834" t="str">
        <f ca="1">TEXT(DATE(YEAR(Invoer!$A$5),1,1)+INT((ROWS(B$2:B5834)-1)/24),"""18""jjmmdd")</f>
        <v>18980901</v>
      </c>
      <c r="C5834" s="11" t="str">
        <f>INDEX(Data,2,2+MOD(ROWS(C$2:C5834)-1,24))</f>
        <v>01.00</v>
      </c>
      <c r="D5834" s="8">
        <f t="shared" ca="1" si="275"/>
        <v>9</v>
      </c>
      <c r="E5834" s="16">
        <f t="shared" ca="1" si="276"/>
        <v>0</v>
      </c>
    </row>
    <row r="5835" spans="1:5" x14ac:dyDescent="0.25">
      <c r="A5835" s="3">
        <f t="shared" si="274"/>
        <v>78989</v>
      </c>
      <c r="B5835" t="str">
        <f ca="1">TEXT(DATE(YEAR(Invoer!$A$5),1,1)+INT((ROWS(B$2:B5835)-1)/24),"""18""jjmmdd")</f>
        <v>18980901</v>
      </c>
      <c r="C5835" s="11" t="str">
        <f>INDEX(Data,2,2+MOD(ROWS(C$2:C5835)-1,24))</f>
        <v>02.00</v>
      </c>
      <c r="D5835" s="8">
        <f t="shared" ca="1" si="275"/>
        <v>8</v>
      </c>
      <c r="E5835" s="16">
        <f t="shared" ca="1" si="276"/>
        <v>0</v>
      </c>
    </row>
    <row r="5836" spans="1:5" x14ac:dyDescent="0.25">
      <c r="A5836" s="3">
        <f t="shared" si="274"/>
        <v>78989</v>
      </c>
      <c r="B5836" t="str">
        <f ca="1">TEXT(DATE(YEAR(Invoer!$A$5),1,1)+INT((ROWS(B$2:B5836)-1)/24),"""18""jjmmdd")</f>
        <v>18980901</v>
      </c>
      <c r="C5836" s="11" t="str">
        <f>INDEX(Data,2,2+MOD(ROWS(C$2:C5836)-1,24))</f>
        <v>03.00</v>
      </c>
      <c r="D5836" s="8">
        <f t="shared" ca="1" si="275"/>
        <v>7</v>
      </c>
      <c r="E5836" s="16">
        <f t="shared" ca="1" si="276"/>
        <v>0</v>
      </c>
    </row>
    <row r="5837" spans="1:5" x14ac:dyDescent="0.25">
      <c r="A5837" s="3">
        <f t="shared" si="274"/>
        <v>78989</v>
      </c>
      <c r="B5837" t="str">
        <f ca="1">TEXT(DATE(YEAR(Invoer!$A$5),1,1)+INT((ROWS(B$2:B5837)-1)/24),"""18""jjmmdd")</f>
        <v>18980901</v>
      </c>
      <c r="C5837" s="11" t="str">
        <f>INDEX(Data,2,2+MOD(ROWS(C$2:C5837)-1,24))</f>
        <v>04.00</v>
      </c>
      <c r="D5837" s="8">
        <f t="shared" ca="1" si="275"/>
        <v>10</v>
      </c>
      <c r="E5837" s="16">
        <f t="shared" ca="1" si="276"/>
        <v>0</v>
      </c>
    </row>
    <row r="5838" spans="1:5" x14ac:dyDescent="0.25">
      <c r="A5838" s="3">
        <f t="shared" si="274"/>
        <v>78989</v>
      </c>
      <c r="B5838" t="str">
        <f ca="1">TEXT(DATE(YEAR(Invoer!$A$5),1,1)+INT((ROWS(B$2:B5838)-1)/24),"""18""jjmmdd")</f>
        <v>18980901</v>
      </c>
      <c r="C5838" s="11" t="str">
        <f>INDEX(Data,2,2+MOD(ROWS(C$2:C5838)-1,24))</f>
        <v>05.00</v>
      </c>
      <c r="D5838" s="8">
        <f t="shared" ca="1" si="275"/>
        <v>8</v>
      </c>
      <c r="E5838" s="16">
        <f t="shared" ca="1" si="276"/>
        <v>0</v>
      </c>
    </row>
    <row r="5839" spans="1:5" x14ac:dyDescent="0.25">
      <c r="A5839" s="3">
        <f t="shared" si="274"/>
        <v>78989</v>
      </c>
      <c r="B5839" t="str">
        <f ca="1">TEXT(DATE(YEAR(Invoer!$A$5),1,1)+INT((ROWS(B$2:B5839)-1)/24),"""18""jjmmdd")</f>
        <v>18980901</v>
      </c>
      <c r="C5839" s="11" t="str">
        <f>INDEX(Data,2,2+MOD(ROWS(C$2:C5839)-1,24))</f>
        <v>06.00</v>
      </c>
      <c r="D5839" s="8">
        <f t="shared" ca="1" si="275"/>
        <v>10</v>
      </c>
      <c r="E5839" s="16">
        <f t="shared" ca="1" si="276"/>
        <v>0</v>
      </c>
    </row>
    <row r="5840" spans="1:5" x14ac:dyDescent="0.25">
      <c r="A5840" s="3">
        <f t="shared" si="274"/>
        <v>78989</v>
      </c>
      <c r="B5840" t="str">
        <f ca="1">TEXT(DATE(YEAR(Invoer!$A$5),1,1)+INT((ROWS(B$2:B5840)-1)/24),"""18""jjmmdd")</f>
        <v>18980901</v>
      </c>
      <c r="C5840" s="11" t="str">
        <f>INDEX(Data,2,2+MOD(ROWS(C$2:C5840)-1,24))</f>
        <v>07.00</v>
      </c>
      <c r="D5840" s="8">
        <f t="shared" ca="1" si="275"/>
        <v>8</v>
      </c>
      <c r="E5840" s="16">
        <f t="shared" ca="1" si="276"/>
        <v>0</v>
      </c>
    </row>
    <row r="5841" spans="1:5" x14ac:dyDescent="0.25">
      <c r="A5841" s="3">
        <f t="shared" si="274"/>
        <v>78989</v>
      </c>
      <c r="B5841" t="str">
        <f ca="1">TEXT(DATE(YEAR(Invoer!$A$5),1,1)+INT((ROWS(B$2:B5841)-1)/24),"""18""jjmmdd")</f>
        <v>18980901</v>
      </c>
      <c r="C5841" s="11" t="str">
        <f>INDEX(Data,2,2+MOD(ROWS(C$2:C5841)-1,24))</f>
        <v>08.00</v>
      </c>
      <c r="D5841" s="8">
        <f t="shared" ca="1" si="275"/>
        <v>9</v>
      </c>
      <c r="E5841" s="16">
        <f t="shared" ca="1" si="276"/>
        <v>0</v>
      </c>
    </row>
    <row r="5842" spans="1:5" x14ac:dyDescent="0.25">
      <c r="A5842" s="3">
        <f t="shared" si="274"/>
        <v>78989</v>
      </c>
      <c r="B5842" t="str">
        <f ca="1">TEXT(DATE(YEAR(Invoer!$A$5),1,1)+INT((ROWS(B$2:B5842)-1)/24),"""18""jjmmdd")</f>
        <v>18980901</v>
      </c>
      <c r="C5842" s="11" t="str">
        <f>INDEX(Data,2,2+MOD(ROWS(C$2:C5842)-1,24))</f>
        <v>09.00</v>
      </c>
      <c r="D5842" s="8">
        <f t="shared" ca="1" si="275"/>
        <v>12</v>
      </c>
      <c r="E5842" s="16">
        <f t="shared" ca="1" si="276"/>
        <v>0</v>
      </c>
    </row>
    <row r="5843" spans="1:5" x14ac:dyDescent="0.25">
      <c r="A5843" s="3">
        <f t="shared" si="274"/>
        <v>78989</v>
      </c>
      <c r="B5843" t="str">
        <f ca="1">TEXT(DATE(YEAR(Invoer!$A$5),1,1)+INT((ROWS(B$2:B5843)-1)/24),"""18""jjmmdd")</f>
        <v>18980901</v>
      </c>
      <c r="C5843" s="11" t="str">
        <f>INDEX(Data,2,2+MOD(ROWS(C$2:C5843)-1,24))</f>
        <v>10.00</v>
      </c>
      <c r="D5843" s="8">
        <f t="shared" ca="1" si="275"/>
        <v>18</v>
      </c>
      <c r="E5843" s="16">
        <f t="shared" ca="1" si="276"/>
        <v>0</v>
      </c>
    </row>
    <row r="5844" spans="1:5" x14ac:dyDescent="0.25">
      <c r="A5844" s="3">
        <f t="shared" si="274"/>
        <v>78989</v>
      </c>
      <c r="B5844" t="str">
        <f ca="1">TEXT(DATE(YEAR(Invoer!$A$5),1,1)+INT((ROWS(B$2:B5844)-1)/24),"""18""jjmmdd")</f>
        <v>18980901</v>
      </c>
      <c r="C5844" s="11" t="str">
        <f>INDEX(Data,2,2+MOD(ROWS(C$2:C5844)-1,24))</f>
        <v>11.00</v>
      </c>
      <c r="D5844" s="8">
        <f t="shared" ca="1" si="275"/>
        <v>17</v>
      </c>
      <c r="E5844" s="16">
        <f t="shared" ca="1" si="276"/>
        <v>0</v>
      </c>
    </row>
    <row r="5845" spans="1:5" x14ac:dyDescent="0.25">
      <c r="A5845" s="3">
        <f t="shared" si="274"/>
        <v>78989</v>
      </c>
      <c r="B5845" t="str">
        <f ca="1">TEXT(DATE(YEAR(Invoer!$A$5),1,1)+INT((ROWS(B$2:B5845)-1)/24),"""18""jjmmdd")</f>
        <v>18980901</v>
      </c>
      <c r="C5845" s="11" t="str">
        <f>INDEX(Data,2,2+MOD(ROWS(C$2:C5845)-1,24))</f>
        <v>12.00</v>
      </c>
      <c r="D5845" s="8">
        <f t="shared" ca="1" si="275"/>
        <v>17</v>
      </c>
      <c r="E5845" s="16">
        <f t="shared" ca="1" si="276"/>
        <v>0</v>
      </c>
    </row>
    <row r="5846" spans="1:5" x14ac:dyDescent="0.25">
      <c r="A5846" s="3">
        <f t="shared" si="274"/>
        <v>78989</v>
      </c>
      <c r="B5846" t="str">
        <f ca="1">TEXT(DATE(YEAR(Invoer!$A$5),1,1)+INT((ROWS(B$2:B5846)-1)/24),"""18""jjmmdd")</f>
        <v>18980901</v>
      </c>
      <c r="C5846" s="11" t="str">
        <f>INDEX(Data,2,2+MOD(ROWS(C$2:C5846)-1,24))</f>
        <v>13.00</v>
      </c>
      <c r="D5846" s="8">
        <f t="shared" ca="1" si="275"/>
        <v>11</v>
      </c>
      <c r="E5846" s="16">
        <f t="shared" ca="1" si="276"/>
        <v>0</v>
      </c>
    </row>
    <row r="5847" spans="1:5" x14ac:dyDescent="0.25">
      <c r="A5847" s="3">
        <f t="shared" si="274"/>
        <v>78989</v>
      </c>
      <c r="B5847" t="str">
        <f ca="1">TEXT(DATE(YEAR(Invoer!$A$5),1,1)+INT((ROWS(B$2:B5847)-1)/24),"""18""jjmmdd")</f>
        <v>18980901</v>
      </c>
      <c r="C5847" s="11" t="str">
        <f>INDEX(Data,2,2+MOD(ROWS(C$2:C5847)-1,24))</f>
        <v>14.00</v>
      </c>
      <c r="D5847" s="8">
        <f t="shared" ca="1" si="275"/>
        <v>14</v>
      </c>
      <c r="E5847" s="16">
        <f t="shared" ca="1" si="276"/>
        <v>0</v>
      </c>
    </row>
    <row r="5848" spans="1:5" x14ac:dyDescent="0.25">
      <c r="A5848" s="3">
        <f t="shared" si="274"/>
        <v>78989</v>
      </c>
      <c r="B5848" t="str">
        <f ca="1">TEXT(DATE(YEAR(Invoer!$A$5),1,1)+INT((ROWS(B$2:B5848)-1)/24),"""18""jjmmdd")</f>
        <v>18980901</v>
      </c>
      <c r="C5848" s="11" t="str">
        <f>INDEX(Data,2,2+MOD(ROWS(C$2:C5848)-1,24))</f>
        <v>15.00</v>
      </c>
      <c r="D5848" s="8">
        <f t="shared" ca="1" si="275"/>
        <v>13</v>
      </c>
      <c r="E5848" s="16">
        <f t="shared" ca="1" si="276"/>
        <v>0</v>
      </c>
    </row>
    <row r="5849" spans="1:5" x14ac:dyDescent="0.25">
      <c r="A5849" s="3">
        <f t="shared" si="274"/>
        <v>78989</v>
      </c>
      <c r="B5849" t="str">
        <f ca="1">TEXT(DATE(YEAR(Invoer!$A$5),1,1)+INT((ROWS(B$2:B5849)-1)/24),"""18""jjmmdd")</f>
        <v>18980901</v>
      </c>
      <c r="C5849" s="11" t="str">
        <f>INDEX(Data,2,2+MOD(ROWS(C$2:C5849)-1,24))</f>
        <v>16.00</v>
      </c>
      <c r="D5849" s="8">
        <f t="shared" ca="1" si="275"/>
        <v>13</v>
      </c>
      <c r="E5849" s="16">
        <f t="shared" ca="1" si="276"/>
        <v>0</v>
      </c>
    </row>
    <row r="5850" spans="1:5" x14ac:dyDescent="0.25">
      <c r="A5850" s="3">
        <f t="shared" si="274"/>
        <v>78989</v>
      </c>
      <c r="B5850" t="str">
        <f ca="1">TEXT(DATE(YEAR(Invoer!$A$5),1,1)+INT((ROWS(B$2:B5850)-1)/24),"""18""jjmmdd")</f>
        <v>18980901</v>
      </c>
      <c r="C5850" s="11" t="str">
        <f>INDEX(Data,2,2+MOD(ROWS(C$2:C5850)-1,24))</f>
        <v>17.00</v>
      </c>
      <c r="D5850" s="8">
        <f t="shared" ca="1" si="275"/>
        <v>13</v>
      </c>
      <c r="E5850" s="16">
        <f t="shared" ca="1" si="276"/>
        <v>0</v>
      </c>
    </row>
    <row r="5851" spans="1:5" x14ac:dyDescent="0.25">
      <c r="A5851" s="3">
        <f t="shared" si="274"/>
        <v>78989</v>
      </c>
      <c r="B5851" t="str">
        <f ca="1">TEXT(DATE(YEAR(Invoer!$A$5),1,1)+INT((ROWS(B$2:B5851)-1)/24),"""18""jjmmdd")</f>
        <v>18980901</v>
      </c>
      <c r="C5851" s="11" t="str">
        <f>INDEX(Data,2,2+MOD(ROWS(C$2:C5851)-1,24))</f>
        <v>18.00</v>
      </c>
      <c r="D5851" s="8">
        <f t="shared" ca="1" si="275"/>
        <v>13</v>
      </c>
      <c r="E5851" s="16">
        <f t="shared" ca="1" si="276"/>
        <v>0</v>
      </c>
    </row>
    <row r="5852" spans="1:5" x14ac:dyDescent="0.25">
      <c r="A5852" s="3">
        <f t="shared" si="274"/>
        <v>78989</v>
      </c>
      <c r="B5852" t="str">
        <f ca="1">TEXT(DATE(YEAR(Invoer!$A$5),1,1)+INT((ROWS(B$2:B5852)-1)/24),"""18""jjmmdd")</f>
        <v>18980901</v>
      </c>
      <c r="C5852" s="11" t="str">
        <f>INDEX(Data,2,2+MOD(ROWS(C$2:C5852)-1,24))</f>
        <v>19.00</v>
      </c>
      <c r="D5852" s="8">
        <f t="shared" ca="1" si="275"/>
        <v>13</v>
      </c>
      <c r="E5852" s="16">
        <f t="shared" ca="1" si="276"/>
        <v>0</v>
      </c>
    </row>
    <row r="5853" spans="1:5" x14ac:dyDescent="0.25">
      <c r="A5853" s="3">
        <f t="shared" si="274"/>
        <v>78989</v>
      </c>
      <c r="B5853" t="str">
        <f ca="1">TEXT(DATE(YEAR(Invoer!$A$5),1,1)+INT((ROWS(B$2:B5853)-1)/24),"""18""jjmmdd")</f>
        <v>18980901</v>
      </c>
      <c r="C5853" s="11" t="str">
        <f>INDEX(Data,2,2+MOD(ROWS(C$2:C5853)-1,24))</f>
        <v>20.00</v>
      </c>
      <c r="D5853" s="8">
        <f t="shared" ca="1" si="275"/>
        <v>11</v>
      </c>
      <c r="E5853" s="16">
        <f t="shared" ca="1" si="276"/>
        <v>0</v>
      </c>
    </row>
    <row r="5854" spans="1:5" x14ac:dyDescent="0.25">
      <c r="A5854" s="3">
        <f t="shared" si="274"/>
        <v>78989</v>
      </c>
      <c r="B5854" t="str">
        <f ca="1">TEXT(DATE(YEAR(Invoer!$A$5),1,1)+INT((ROWS(B$2:B5854)-1)/24),"""18""jjmmdd")</f>
        <v>18980901</v>
      </c>
      <c r="C5854" s="11" t="str">
        <f>INDEX(Data,2,2+MOD(ROWS(C$2:C5854)-1,24))</f>
        <v>21.00</v>
      </c>
      <c r="D5854" s="8">
        <f t="shared" ca="1" si="275"/>
        <v>9</v>
      </c>
      <c r="E5854" s="16">
        <f t="shared" ca="1" si="276"/>
        <v>0</v>
      </c>
    </row>
    <row r="5855" spans="1:5" x14ac:dyDescent="0.25">
      <c r="A5855" s="3">
        <f t="shared" si="274"/>
        <v>78989</v>
      </c>
      <c r="B5855" t="str">
        <f ca="1">TEXT(DATE(YEAR(Invoer!$A$5),1,1)+INT((ROWS(B$2:B5855)-1)/24),"""18""jjmmdd")</f>
        <v>18980901</v>
      </c>
      <c r="C5855" s="11" t="str">
        <f>INDEX(Data,2,2+MOD(ROWS(C$2:C5855)-1,24))</f>
        <v>22.00</v>
      </c>
      <c r="D5855" s="8">
        <f t="shared" ca="1" si="275"/>
        <v>9</v>
      </c>
      <c r="E5855" s="16">
        <f t="shared" ca="1" si="276"/>
        <v>0</v>
      </c>
    </row>
    <row r="5856" spans="1:5" x14ac:dyDescent="0.25">
      <c r="A5856" s="3">
        <f t="shared" si="274"/>
        <v>78989</v>
      </c>
      <c r="B5856" t="str">
        <f ca="1">TEXT(DATE(YEAR(Invoer!$A$5),1,1)+INT((ROWS(B$2:B5856)-1)/24),"""18""jjmmdd")</f>
        <v>18980901</v>
      </c>
      <c r="C5856" s="11" t="str">
        <f>INDEX(Data,2,2+MOD(ROWS(C$2:C5856)-1,24))</f>
        <v>23.00</v>
      </c>
      <c r="D5856" s="8">
        <f t="shared" ca="1" si="275"/>
        <v>8</v>
      </c>
      <c r="E5856" s="16">
        <f t="shared" ca="1" si="276"/>
        <v>0</v>
      </c>
    </row>
    <row r="5857" spans="1:5" x14ac:dyDescent="0.25">
      <c r="A5857" s="3">
        <f t="shared" si="274"/>
        <v>78989</v>
      </c>
      <c r="B5857" t="str">
        <f ca="1">TEXT(DATE(YEAR(Invoer!$A$5),1,1)+INT((ROWS(B$2:B5857)-1)/24),"""18""jjmmdd")</f>
        <v>18980901</v>
      </c>
      <c r="C5857" s="11" t="str">
        <f>INDEX(Data,2,2+MOD(ROWS(C$2:C5857)-1,24))</f>
        <v>24.00</v>
      </c>
      <c r="D5857" s="8">
        <f t="shared" ca="1" si="275"/>
        <v>7</v>
      </c>
      <c r="E5857" s="16">
        <f t="shared" ca="1" si="276"/>
        <v>0</v>
      </c>
    </row>
    <row r="5858" spans="1:5" x14ac:dyDescent="0.25">
      <c r="A5858" s="3">
        <f t="shared" si="274"/>
        <v>78989</v>
      </c>
      <c r="B5858" t="str">
        <f ca="1">TEXT(DATE(YEAR(Invoer!$A$5),1,1)+INT((ROWS(B$2:B5858)-1)/24),"""18""jjmmdd")</f>
        <v>18980902</v>
      </c>
      <c r="C5858" s="11" t="str">
        <f>INDEX(Data,2,2+MOD(ROWS(C$2:C5858)-1,24))</f>
        <v>01.00</v>
      </c>
      <c r="D5858" s="8">
        <f t="shared" ca="1" si="275"/>
        <v>5</v>
      </c>
      <c r="E5858" s="16">
        <f t="shared" ca="1" si="276"/>
        <v>0</v>
      </c>
    </row>
    <row r="5859" spans="1:5" x14ac:dyDescent="0.25">
      <c r="A5859" s="3">
        <f t="shared" si="274"/>
        <v>78989</v>
      </c>
      <c r="B5859" t="str">
        <f ca="1">TEXT(DATE(YEAR(Invoer!$A$5),1,1)+INT((ROWS(B$2:B5859)-1)/24),"""18""jjmmdd")</f>
        <v>18980902</v>
      </c>
      <c r="C5859" s="11" t="str">
        <f>INDEX(Data,2,2+MOD(ROWS(C$2:C5859)-1,24))</f>
        <v>02.00</v>
      </c>
      <c r="D5859" s="8">
        <f t="shared" ca="1" si="275"/>
        <v>10</v>
      </c>
      <c r="E5859" s="16">
        <f t="shared" ca="1" si="276"/>
        <v>0</v>
      </c>
    </row>
    <row r="5860" spans="1:5" x14ac:dyDescent="0.25">
      <c r="A5860" s="3">
        <f t="shared" si="274"/>
        <v>78989</v>
      </c>
      <c r="B5860" t="str">
        <f ca="1">TEXT(DATE(YEAR(Invoer!$A$5),1,1)+INT((ROWS(B$2:B5860)-1)/24),"""18""jjmmdd")</f>
        <v>18980902</v>
      </c>
      <c r="C5860" s="11" t="str">
        <f>INDEX(Data,2,2+MOD(ROWS(C$2:C5860)-1,24))</f>
        <v>03.00</v>
      </c>
      <c r="D5860" s="8">
        <f t="shared" ca="1" si="275"/>
        <v>12</v>
      </c>
      <c r="E5860" s="16">
        <f t="shared" ca="1" si="276"/>
        <v>0</v>
      </c>
    </row>
    <row r="5861" spans="1:5" x14ac:dyDescent="0.25">
      <c r="A5861" s="3">
        <f t="shared" si="274"/>
        <v>78989</v>
      </c>
      <c r="B5861" t="str">
        <f ca="1">TEXT(DATE(YEAR(Invoer!$A$5),1,1)+INT((ROWS(B$2:B5861)-1)/24),"""18""jjmmdd")</f>
        <v>18980902</v>
      </c>
      <c r="C5861" s="11" t="str">
        <f>INDEX(Data,2,2+MOD(ROWS(C$2:C5861)-1,24))</f>
        <v>04.00</v>
      </c>
      <c r="D5861" s="8">
        <f t="shared" ca="1" si="275"/>
        <v>9</v>
      </c>
      <c r="E5861" s="16">
        <f t="shared" ca="1" si="276"/>
        <v>0</v>
      </c>
    </row>
    <row r="5862" spans="1:5" x14ac:dyDescent="0.25">
      <c r="A5862" s="3">
        <f t="shared" si="274"/>
        <v>78989</v>
      </c>
      <c r="B5862" t="str">
        <f ca="1">TEXT(DATE(YEAR(Invoer!$A$5),1,1)+INT((ROWS(B$2:B5862)-1)/24),"""18""jjmmdd")</f>
        <v>18980902</v>
      </c>
      <c r="C5862" s="11" t="str">
        <f>INDEX(Data,2,2+MOD(ROWS(C$2:C5862)-1,24))</f>
        <v>05.00</v>
      </c>
      <c r="D5862" s="8">
        <f t="shared" ca="1" si="275"/>
        <v>8</v>
      </c>
      <c r="E5862" s="16">
        <f t="shared" ca="1" si="276"/>
        <v>0</v>
      </c>
    </row>
    <row r="5863" spans="1:5" x14ac:dyDescent="0.25">
      <c r="A5863" s="3">
        <f t="shared" si="274"/>
        <v>78989</v>
      </c>
      <c r="B5863" t="str">
        <f ca="1">TEXT(DATE(YEAR(Invoer!$A$5),1,1)+INT((ROWS(B$2:B5863)-1)/24),"""18""jjmmdd")</f>
        <v>18980902</v>
      </c>
      <c r="C5863" s="11" t="str">
        <f>INDEX(Data,2,2+MOD(ROWS(C$2:C5863)-1,24))</f>
        <v>06.00</v>
      </c>
      <c r="D5863" s="8">
        <f t="shared" ca="1" si="275"/>
        <v>6</v>
      </c>
      <c r="E5863" s="16">
        <f t="shared" ca="1" si="276"/>
        <v>0</v>
      </c>
    </row>
    <row r="5864" spans="1:5" x14ac:dyDescent="0.25">
      <c r="A5864" s="3">
        <f t="shared" si="274"/>
        <v>78989</v>
      </c>
      <c r="B5864" t="str">
        <f ca="1">TEXT(DATE(YEAR(Invoer!$A$5),1,1)+INT((ROWS(B$2:B5864)-1)/24),"""18""jjmmdd")</f>
        <v>18980902</v>
      </c>
      <c r="C5864" s="11" t="str">
        <f>INDEX(Data,2,2+MOD(ROWS(C$2:C5864)-1,24))</f>
        <v>07.00</v>
      </c>
      <c r="D5864" s="8">
        <f t="shared" ca="1" si="275"/>
        <v>6</v>
      </c>
      <c r="E5864" s="16">
        <f t="shared" ca="1" si="276"/>
        <v>0</v>
      </c>
    </row>
    <row r="5865" spans="1:5" x14ac:dyDescent="0.25">
      <c r="A5865" s="3">
        <f t="shared" si="274"/>
        <v>78989</v>
      </c>
      <c r="B5865" t="str">
        <f ca="1">TEXT(DATE(YEAR(Invoer!$A$5),1,1)+INT((ROWS(B$2:B5865)-1)/24),"""18""jjmmdd")</f>
        <v>18980902</v>
      </c>
      <c r="C5865" s="11" t="str">
        <f>INDEX(Data,2,2+MOD(ROWS(C$2:C5865)-1,24))</f>
        <v>08.00</v>
      </c>
      <c r="D5865" s="8">
        <f t="shared" ca="1" si="275"/>
        <v>10</v>
      </c>
      <c r="E5865" s="16">
        <f t="shared" ca="1" si="276"/>
        <v>0</v>
      </c>
    </row>
    <row r="5866" spans="1:5" x14ac:dyDescent="0.25">
      <c r="A5866" s="3">
        <f t="shared" si="274"/>
        <v>78989</v>
      </c>
      <c r="B5866" t="str">
        <f ca="1">TEXT(DATE(YEAR(Invoer!$A$5),1,1)+INT((ROWS(B$2:B5866)-1)/24),"""18""jjmmdd")</f>
        <v>18980902</v>
      </c>
      <c r="C5866" s="11" t="str">
        <f>INDEX(Data,2,2+MOD(ROWS(C$2:C5866)-1,24))</f>
        <v>09.00</v>
      </c>
      <c r="D5866" s="8">
        <f t="shared" ca="1" si="275"/>
        <v>13</v>
      </c>
      <c r="E5866" s="16">
        <f t="shared" ca="1" si="276"/>
        <v>0</v>
      </c>
    </row>
    <row r="5867" spans="1:5" x14ac:dyDescent="0.25">
      <c r="A5867" s="3">
        <f t="shared" si="274"/>
        <v>78989</v>
      </c>
      <c r="B5867" t="str">
        <f ca="1">TEXT(DATE(YEAR(Invoer!$A$5),1,1)+INT((ROWS(B$2:B5867)-1)/24),"""18""jjmmdd")</f>
        <v>18980902</v>
      </c>
      <c r="C5867" s="11" t="str">
        <f>INDEX(Data,2,2+MOD(ROWS(C$2:C5867)-1,24))</f>
        <v>10.00</v>
      </c>
      <c r="D5867" s="8">
        <f t="shared" ca="1" si="275"/>
        <v>13</v>
      </c>
      <c r="E5867" s="16">
        <f t="shared" ca="1" si="276"/>
        <v>0</v>
      </c>
    </row>
    <row r="5868" spans="1:5" x14ac:dyDescent="0.25">
      <c r="A5868" s="3">
        <f t="shared" si="274"/>
        <v>78989</v>
      </c>
      <c r="B5868" t="str">
        <f ca="1">TEXT(DATE(YEAR(Invoer!$A$5),1,1)+INT((ROWS(B$2:B5868)-1)/24),"""18""jjmmdd")</f>
        <v>18980902</v>
      </c>
      <c r="C5868" s="11" t="str">
        <f>INDEX(Data,2,2+MOD(ROWS(C$2:C5868)-1,24))</f>
        <v>11.00</v>
      </c>
      <c r="D5868" s="8">
        <f t="shared" ca="1" si="275"/>
        <v>14</v>
      </c>
      <c r="E5868" s="16">
        <f t="shared" ca="1" si="276"/>
        <v>0</v>
      </c>
    </row>
    <row r="5869" spans="1:5" x14ac:dyDescent="0.25">
      <c r="A5869" s="3">
        <f t="shared" si="274"/>
        <v>78989</v>
      </c>
      <c r="B5869" t="str">
        <f ca="1">TEXT(DATE(YEAR(Invoer!$A$5),1,1)+INT((ROWS(B$2:B5869)-1)/24),"""18""jjmmdd")</f>
        <v>18980902</v>
      </c>
      <c r="C5869" s="11" t="str">
        <f>INDEX(Data,2,2+MOD(ROWS(C$2:C5869)-1,24))</f>
        <v>12.00</v>
      </c>
      <c r="D5869" s="8">
        <f t="shared" ca="1" si="275"/>
        <v>14</v>
      </c>
      <c r="E5869" s="16">
        <f t="shared" ca="1" si="276"/>
        <v>0</v>
      </c>
    </row>
    <row r="5870" spans="1:5" x14ac:dyDescent="0.25">
      <c r="A5870" s="3">
        <f t="shared" si="274"/>
        <v>78989</v>
      </c>
      <c r="B5870" t="str">
        <f ca="1">TEXT(DATE(YEAR(Invoer!$A$5),1,1)+INT((ROWS(B$2:B5870)-1)/24),"""18""jjmmdd")</f>
        <v>18980902</v>
      </c>
      <c r="C5870" s="11" t="str">
        <f>INDEX(Data,2,2+MOD(ROWS(C$2:C5870)-1,24))</f>
        <v>13.00</v>
      </c>
      <c r="D5870" s="8">
        <f t="shared" ca="1" si="275"/>
        <v>13</v>
      </c>
      <c r="E5870" s="16">
        <f t="shared" ca="1" si="276"/>
        <v>0</v>
      </c>
    </row>
    <row r="5871" spans="1:5" x14ac:dyDescent="0.25">
      <c r="A5871" s="3">
        <f t="shared" si="274"/>
        <v>78989</v>
      </c>
      <c r="B5871" t="str">
        <f ca="1">TEXT(DATE(YEAR(Invoer!$A$5),1,1)+INT((ROWS(B$2:B5871)-1)/24),"""18""jjmmdd")</f>
        <v>18980902</v>
      </c>
      <c r="C5871" s="11" t="str">
        <f>INDEX(Data,2,2+MOD(ROWS(C$2:C5871)-1,24))</f>
        <v>14.00</v>
      </c>
      <c r="D5871" s="8">
        <f t="shared" ca="1" si="275"/>
        <v>14</v>
      </c>
      <c r="E5871" s="16">
        <f t="shared" ca="1" si="276"/>
        <v>0</v>
      </c>
    </row>
    <row r="5872" spans="1:5" x14ac:dyDescent="0.25">
      <c r="A5872" s="3">
        <f t="shared" si="274"/>
        <v>78989</v>
      </c>
      <c r="B5872" t="str">
        <f ca="1">TEXT(DATE(YEAR(Invoer!$A$5),1,1)+INT((ROWS(B$2:B5872)-1)/24),"""18""jjmmdd")</f>
        <v>18980902</v>
      </c>
      <c r="C5872" s="11" t="str">
        <f>INDEX(Data,2,2+MOD(ROWS(C$2:C5872)-1,24))</f>
        <v>15.00</v>
      </c>
      <c r="D5872" s="8">
        <f t="shared" ca="1" si="275"/>
        <v>14</v>
      </c>
      <c r="E5872" s="16">
        <f t="shared" ca="1" si="276"/>
        <v>0</v>
      </c>
    </row>
    <row r="5873" spans="1:5" x14ac:dyDescent="0.25">
      <c r="A5873" s="3">
        <f t="shared" si="274"/>
        <v>78989</v>
      </c>
      <c r="B5873" t="str">
        <f ca="1">TEXT(DATE(YEAR(Invoer!$A$5),1,1)+INT((ROWS(B$2:B5873)-1)/24),"""18""jjmmdd")</f>
        <v>18980902</v>
      </c>
      <c r="C5873" s="11" t="str">
        <f>INDEX(Data,2,2+MOD(ROWS(C$2:C5873)-1,24))</f>
        <v>16.00</v>
      </c>
      <c r="D5873" s="8">
        <f t="shared" ca="1" si="275"/>
        <v>14</v>
      </c>
      <c r="E5873" s="16">
        <f t="shared" ca="1" si="276"/>
        <v>0</v>
      </c>
    </row>
    <row r="5874" spans="1:5" x14ac:dyDescent="0.25">
      <c r="A5874" s="3">
        <f t="shared" si="274"/>
        <v>78989</v>
      </c>
      <c r="B5874" t="str">
        <f ca="1">TEXT(DATE(YEAR(Invoer!$A$5),1,1)+INT((ROWS(B$2:B5874)-1)/24),"""18""jjmmdd")</f>
        <v>18980902</v>
      </c>
      <c r="C5874" s="11" t="str">
        <f>INDEX(Data,2,2+MOD(ROWS(C$2:C5874)-1,24))</f>
        <v>17.00</v>
      </c>
      <c r="D5874" s="8">
        <f t="shared" ca="1" si="275"/>
        <v>13</v>
      </c>
      <c r="E5874" s="16">
        <f t="shared" ca="1" si="276"/>
        <v>0</v>
      </c>
    </row>
    <row r="5875" spans="1:5" x14ac:dyDescent="0.25">
      <c r="A5875" s="3">
        <f t="shared" si="274"/>
        <v>78989</v>
      </c>
      <c r="B5875" t="str">
        <f ca="1">TEXT(DATE(YEAR(Invoer!$A$5),1,1)+INT((ROWS(B$2:B5875)-1)/24),"""18""jjmmdd")</f>
        <v>18980902</v>
      </c>
      <c r="C5875" s="11" t="str">
        <f>INDEX(Data,2,2+MOD(ROWS(C$2:C5875)-1,24))</f>
        <v>18.00</v>
      </c>
      <c r="D5875" s="8">
        <f t="shared" ca="1" si="275"/>
        <v>12</v>
      </c>
      <c r="E5875" s="16">
        <f t="shared" ca="1" si="276"/>
        <v>0</v>
      </c>
    </row>
    <row r="5876" spans="1:5" x14ac:dyDescent="0.25">
      <c r="A5876" s="3">
        <f t="shared" si="274"/>
        <v>78989</v>
      </c>
      <c r="B5876" t="str">
        <f ca="1">TEXT(DATE(YEAR(Invoer!$A$5),1,1)+INT((ROWS(B$2:B5876)-1)/24),"""18""jjmmdd")</f>
        <v>18980902</v>
      </c>
      <c r="C5876" s="11" t="str">
        <f>INDEX(Data,2,2+MOD(ROWS(C$2:C5876)-1,24))</f>
        <v>19.00</v>
      </c>
      <c r="D5876" s="8">
        <f t="shared" ca="1" si="275"/>
        <v>11</v>
      </c>
      <c r="E5876" s="16">
        <f t="shared" ca="1" si="276"/>
        <v>0</v>
      </c>
    </row>
    <row r="5877" spans="1:5" x14ac:dyDescent="0.25">
      <c r="A5877" s="3">
        <f t="shared" si="274"/>
        <v>78989</v>
      </c>
      <c r="B5877" t="str">
        <f ca="1">TEXT(DATE(YEAR(Invoer!$A$5),1,1)+INT((ROWS(B$2:B5877)-1)/24),"""18""jjmmdd")</f>
        <v>18980902</v>
      </c>
      <c r="C5877" s="11" t="str">
        <f>INDEX(Data,2,2+MOD(ROWS(C$2:C5877)-1,24))</f>
        <v>20.00</v>
      </c>
      <c r="D5877" s="8">
        <f t="shared" ca="1" si="275"/>
        <v>12</v>
      </c>
      <c r="E5877" s="16">
        <f t="shared" ca="1" si="276"/>
        <v>0</v>
      </c>
    </row>
    <row r="5878" spans="1:5" x14ac:dyDescent="0.25">
      <c r="A5878" s="3">
        <f t="shared" si="274"/>
        <v>78989</v>
      </c>
      <c r="B5878" t="str">
        <f ca="1">TEXT(DATE(YEAR(Invoer!$A$5),1,1)+INT((ROWS(B$2:B5878)-1)/24),"""18""jjmmdd")</f>
        <v>18980902</v>
      </c>
      <c r="C5878" s="11" t="str">
        <f>INDEX(Data,2,2+MOD(ROWS(C$2:C5878)-1,24))</f>
        <v>21.00</v>
      </c>
      <c r="D5878" s="8">
        <f t="shared" ca="1" si="275"/>
        <v>10</v>
      </c>
      <c r="E5878" s="16">
        <f t="shared" ca="1" si="276"/>
        <v>0</v>
      </c>
    </row>
    <row r="5879" spans="1:5" x14ac:dyDescent="0.25">
      <c r="A5879" s="3">
        <f t="shared" si="274"/>
        <v>78989</v>
      </c>
      <c r="B5879" t="str">
        <f ca="1">TEXT(DATE(YEAR(Invoer!$A$5),1,1)+INT((ROWS(B$2:B5879)-1)/24),"""18""jjmmdd")</f>
        <v>18980902</v>
      </c>
      <c r="C5879" s="11" t="str">
        <f>INDEX(Data,2,2+MOD(ROWS(C$2:C5879)-1,24))</f>
        <v>22.00</v>
      </c>
      <c r="D5879" s="8">
        <f t="shared" ca="1" si="275"/>
        <v>11</v>
      </c>
      <c r="E5879" s="16">
        <f t="shared" ca="1" si="276"/>
        <v>0</v>
      </c>
    </row>
    <row r="5880" spans="1:5" x14ac:dyDescent="0.25">
      <c r="A5880" s="3">
        <f t="shared" si="274"/>
        <v>78989</v>
      </c>
      <c r="B5880" t="str">
        <f ca="1">TEXT(DATE(YEAR(Invoer!$A$5),1,1)+INT((ROWS(B$2:B5880)-1)/24),"""18""jjmmdd")</f>
        <v>18980902</v>
      </c>
      <c r="C5880" s="11" t="str">
        <f>INDEX(Data,2,2+MOD(ROWS(C$2:C5880)-1,24))</f>
        <v>23.00</v>
      </c>
      <c r="D5880" s="8">
        <f t="shared" ca="1" si="275"/>
        <v>10</v>
      </c>
      <c r="E5880" s="16">
        <f t="shared" ca="1" si="276"/>
        <v>0</v>
      </c>
    </row>
    <row r="5881" spans="1:5" x14ac:dyDescent="0.25">
      <c r="A5881" s="3">
        <f t="shared" si="274"/>
        <v>78989</v>
      </c>
      <c r="B5881" t="str">
        <f ca="1">TEXT(DATE(YEAR(Invoer!$A$5),1,1)+INT((ROWS(B$2:B5881)-1)/24),"""18""jjmmdd")</f>
        <v>18980902</v>
      </c>
      <c r="C5881" s="11" t="str">
        <f>INDEX(Data,2,2+MOD(ROWS(C$2:C5881)-1,24))</f>
        <v>24.00</v>
      </c>
      <c r="D5881" s="8">
        <f t="shared" ca="1" si="275"/>
        <v>10</v>
      </c>
      <c r="E5881" s="16">
        <f t="shared" ca="1" si="276"/>
        <v>0</v>
      </c>
    </row>
    <row r="5882" spans="1:5" x14ac:dyDescent="0.25">
      <c r="A5882" s="3">
        <f t="shared" si="274"/>
        <v>78989</v>
      </c>
      <c r="B5882" t="str">
        <f ca="1">TEXT(DATE(YEAR(Invoer!$A$5),1,1)+INT((ROWS(B$2:B5882)-1)/24),"""18""jjmmdd")</f>
        <v>18980903</v>
      </c>
      <c r="C5882" s="11" t="str">
        <f>INDEX(Data,2,2+MOD(ROWS(C$2:C5882)-1,24))</f>
        <v>01.00</v>
      </c>
      <c r="D5882" s="8">
        <f t="shared" ca="1" si="275"/>
        <v>10</v>
      </c>
      <c r="E5882" s="16">
        <f t="shared" ca="1" si="276"/>
        <v>0</v>
      </c>
    </row>
    <row r="5883" spans="1:5" x14ac:dyDescent="0.25">
      <c r="A5883" s="3">
        <f t="shared" si="274"/>
        <v>78989</v>
      </c>
      <c r="B5883" t="str">
        <f ca="1">TEXT(DATE(YEAR(Invoer!$A$5),1,1)+INT((ROWS(B$2:B5883)-1)/24),"""18""jjmmdd")</f>
        <v>18980903</v>
      </c>
      <c r="C5883" s="11" t="str">
        <f>INDEX(Data,2,2+MOD(ROWS(C$2:C5883)-1,24))</f>
        <v>02.00</v>
      </c>
      <c r="D5883" s="8">
        <f t="shared" ca="1" si="275"/>
        <v>10</v>
      </c>
      <c r="E5883" s="16">
        <f t="shared" ca="1" si="276"/>
        <v>0</v>
      </c>
    </row>
    <row r="5884" spans="1:5" x14ac:dyDescent="0.25">
      <c r="A5884" s="3">
        <f t="shared" si="274"/>
        <v>78989</v>
      </c>
      <c r="B5884" t="str">
        <f ca="1">TEXT(DATE(YEAR(Invoer!$A$5),1,1)+INT((ROWS(B$2:B5884)-1)/24),"""18""jjmmdd")</f>
        <v>18980903</v>
      </c>
      <c r="C5884" s="11" t="str">
        <f>INDEX(Data,2,2+MOD(ROWS(C$2:C5884)-1,24))</f>
        <v>03.00</v>
      </c>
      <c r="D5884" s="8">
        <f t="shared" ca="1" si="275"/>
        <v>10</v>
      </c>
      <c r="E5884" s="16">
        <f t="shared" ca="1" si="276"/>
        <v>0</v>
      </c>
    </row>
    <row r="5885" spans="1:5" x14ac:dyDescent="0.25">
      <c r="A5885" s="3">
        <f t="shared" si="274"/>
        <v>78989</v>
      </c>
      <c r="B5885" t="str">
        <f ca="1">TEXT(DATE(YEAR(Invoer!$A$5),1,1)+INT((ROWS(B$2:B5885)-1)/24),"""18""jjmmdd")</f>
        <v>18980903</v>
      </c>
      <c r="C5885" s="11" t="str">
        <f>INDEX(Data,2,2+MOD(ROWS(C$2:C5885)-1,24))</f>
        <v>04.00</v>
      </c>
      <c r="D5885" s="8">
        <f t="shared" ca="1" si="275"/>
        <v>8</v>
      </c>
      <c r="E5885" s="16">
        <f t="shared" ca="1" si="276"/>
        <v>0</v>
      </c>
    </row>
    <row r="5886" spans="1:5" x14ac:dyDescent="0.25">
      <c r="A5886" s="3">
        <f t="shared" si="274"/>
        <v>78989</v>
      </c>
      <c r="B5886" t="str">
        <f ca="1">TEXT(DATE(YEAR(Invoer!$A$5),1,1)+INT((ROWS(B$2:B5886)-1)/24),"""18""jjmmdd")</f>
        <v>18980903</v>
      </c>
      <c r="C5886" s="11" t="str">
        <f>INDEX(Data,2,2+MOD(ROWS(C$2:C5886)-1,24))</f>
        <v>05.00</v>
      </c>
      <c r="D5886" s="8">
        <f t="shared" ca="1" si="275"/>
        <v>6</v>
      </c>
      <c r="E5886" s="16">
        <f t="shared" ca="1" si="276"/>
        <v>0</v>
      </c>
    </row>
    <row r="5887" spans="1:5" x14ac:dyDescent="0.25">
      <c r="A5887" s="3">
        <f t="shared" si="274"/>
        <v>78989</v>
      </c>
      <c r="B5887" t="str">
        <f ca="1">TEXT(DATE(YEAR(Invoer!$A$5),1,1)+INT((ROWS(B$2:B5887)-1)/24),"""18""jjmmdd")</f>
        <v>18980903</v>
      </c>
      <c r="C5887" s="11" t="str">
        <f>INDEX(Data,2,2+MOD(ROWS(C$2:C5887)-1,24))</f>
        <v>06.00</v>
      </c>
      <c r="D5887" s="8">
        <f t="shared" ca="1" si="275"/>
        <v>10</v>
      </c>
      <c r="E5887" s="16">
        <f t="shared" ca="1" si="276"/>
        <v>0</v>
      </c>
    </row>
    <row r="5888" spans="1:5" x14ac:dyDescent="0.25">
      <c r="A5888" s="3">
        <f t="shared" si="274"/>
        <v>78989</v>
      </c>
      <c r="B5888" t="str">
        <f ca="1">TEXT(DATE(YEAR(Invoer!$A$5),1,1)+INT((ROWS(B$2:B5888)-1)/24),"""18""jjmmdd")</f>
        <v>18980903</v>
      </c>
      <c r="C5888" s="11" t="str">
        <f>INDEX(Data,2,2+MOD(ROWS(C$2:C5888)-1,24))</f>
        <v>07.00</v>
      </c>
      <c r="D5888" s="8">
        <f t="shared" ca="1" si="275"/>
        <v>12</v>
      </c>
      <c r="E5888" s="16">
        <f t="shared" ca="1" si="276"/>
        <v>0</v>
      </c>
    </row>
    <row r="5889" spans="1:5" x14ac:dyDescent="0.25">
      <c r="A5889" s="3">
        <f t="shared" si="274"/>
        <v>78989</v>
      </c>
      <c r="B5889" t="str">
        <f ca="1">TEXT(DATE(YEAR(Invoer!$A$5),1,1)+INT((ROWS(B$2:B5889)-1)/24),"""18""jjmmdd")</f>
        <v>18980903</v>
      </c>
      <c r="C5889" s="11" t="str">
        <f>INDEX(Data,2,2+MOD(ROWS(C$2:C5889)-1,24))</f>
        <v>08.00</v>
      </c>
      <c r="D5889" s="8">
        <f t="shared" ca="1" si="275"/>
        <v>14</v>
      </c>
      <c r="E5889" s="16">
        <f t="shared" ca="1" si="276"/>
        <v>0</v>
      </c>
    </row>
    <row r="5890" spans="1:5" x14ac:dyDescent="0.25">
      <c r="A5890" s="3">
        <f t="shared" ref="A5890:A5953" si="277">INDEX(Stations,2,1)</f>
        <v>78989</v>
      </c>
      <c r="B5890" t="str">
        <f ca="1">TEXT(DATE(YEAR(Invoer!$A$5),1,1)+INT((ROWS(B$2:B5890)-1)/24),"""18""jjmmdd")</f>
        <v>18980903</v>
      </c>
      <c r="C5890" s="11" t="str">
        <f>INDEX(Data,2,2+MOD(ROWS(C$2:C5890)-1,24))</f>
        <v>09.00</v>
      </c>
      <c r="D5890" s="8">
        <f t="shared" ref="D5890:D5953" ca="1" si="278">IF(OR(ISBLANK(VLOOKUP(DATEVALUE("37"&amp;MID($B5890,3,2)&amp;"-"&amp;MID($B5890,5,2)&amp;"-"&amp;RIGHT($B5890,2)),Data,MATCH(LEFT(VLOOKUP(D$1,Parameters,2,FALSE()),4)&amp;"*",OFFSET(Data,0,0,1),0)+MATCH($C5890,OFFSET(Data,1,0,1),0)-2,FALSE())),ISTEXT(VLOOKUP(DATEVALUE("37"&amp;MID($B5890,3,2)&amp;"-"&amp;MID($B5890,5,2)&amp;"-"&amp;RIGHT($B5890,2)),Data,MATCH(LEFT(VLOOKUP(D$1,Parameters,2,FALSE()),4)&amp;"*",OFFSET(Data,0,0,1),0)+MATCH($C5890,OFFSET(Data,1,0,1),0)-2,FALSE()))),"—",VLOOKUP(DATEVALUE("37"&amp;MID($B5890,3,2)&amp;"-"&amp;MID($B5890,5,2)&amp;"-"&amp;RIGHT($B5890,2)),Data,MATCH(LEFT(VLOOKUP(D$1,Parameters,2,FALSE()),4)&amp;"*",OFFSET(Data,0,0,1),0)+MATCH($C5890,OFFSET(Data,1,0,1),0)-2,FALSE()))</f>
        <v>14</v>
      </c>
      <c r="E5890" s="16">
        <f t="shared" ca="1" si="276"/>
        <v>0</v>
      </c>
    </row>
    <row r="5891" spans="1:5" x14ac:dyDescent="0.25">
      <c r="A5891" s="3">
        <f t="shared" si="277"/>
        <v>78989</v>
      </c>
      <c r="B5891" t="str">
        <f ca="1">TEXT(DATE(YEAR(Invoer!$A$5),1,1)+INT((ROWS(B$2:B5891)-1)/24),"""18""jjmmdd")</f>
        <v>18980903</v>
      </c>
      <c r="C5891" s="11" t="str">
        <f>INDEX(Data,2,2+MOD(ROWS(C$2:C5891)-1,24))</f>
        <v>10.00</v>
      </c>
      <c r="D5891" s="8">
        <f t="shared" ca="1" si="278"/>
        <v>14</v>
      </c>
      <c r="E5891" s="16">
        <f t="shared" ref="E5891:E5954" ca="1" si="279">IF(OR(ISBLANK(VLOOKUP(DATEVALUE("37"&amp;MID($B5891,3,2)&amp;"-"&amp;MID($B5891,5,2)&amp;"-"&amp;RIGHT($B5891,2)),Data,MATCH(LEFT(VLOOKUP(D$1,Parameters,2,FALSE()),4)&amp;"*",OFFSET(Data,0,0,1),0)+MATCH($C5891,OFFSET(Data,1,0,1),0)-2,FALSE())),ISTEXT(VLOOKUP(DATEVALUE("37"&amp;MID($B5891,3,2)&amp;"-"&amp;MID($B5891,5,2)&amp;"-"&amp;RIGHT($B5891,2)),Data,MATCH(LEFT(VLOOKUP(D$1,Parameters,2,FALSE()),4)&amp;"*",OFFSET(Data,0,0,1),0)+MATCH($C5891,OFFSET(Data,1,0,1),0)-2,FALSE()))),Lacking,IF(ISNA(MATCH(DATEVALUE("37"&amp;MID($B5891,3,2)&amp;"-"&amp;MID($B5891,5,2)&amp;"-"&amp;RIGHT($B5891,2)),OFFSET(Catalogus,0,0,,1),0)),Ok,VLOOKUP(DATEVALUE("37"&amp;MID($B5891,3,2)&amp;"-"&amp;MID($B5891,5,2)&amp;"-"&amp;RIGHT($B5891,2)),Catalogus,MATCH(LEFT(VLOOKUP(MID(E$1,2,LEN(E$1)-1),Parameters,2,FALSE()),4)&amp;"*",OFFSET(Catalogus,0,0,1),0)+MATCH($C5891,OFFSET(Catalogus,1,0,1),0)-2,FALSE())))</f>
        <v>0</v>
      </c>
    </row>
    <row r="5892" spans="1:5" x14ac:dyDescent="0.25">
      <c r="A5892" s="3">
        <f t="shared" si="277"/>
        <v>78989</v>
      </c>
      <c r="B5892" t="str">
        <f ca="1">TEXT(DATE(YEAR(Invoer!$A$5),1,1)+INT((ROWS(B$2:B5892)-1)/24),"""18""jjmmdd")</f>
        <v>18980903</v>
      </c>
      <c r="C5892" s="11" t="str">
        <f>INDEX(Data,2,2+MOD(ROWS(C$2:C5892)-1,24))</f>
        <v>11.00</v>
      </c>
      <c r="D5892" s="8">
        <f t="shared" ca="1" si="278"/>
        <v>16</v>
      </c>
      <c r="E5892" s="16">
        <f t="shared" ca="1" si="279"/>
        <v>0</v>
      </c>
    </row>
    <row r="5893" spans="1:5" x14ac:dyDescent="0.25">
      <c r="A5893" s="3">
        <f t="shared" si="277"/>
        <v>78989</v>
      </c>
      <c r="B5893" t="str">
        <f ca="1">TEXT(DATE(YEAR(Invoer!$A$5),1,1)+INT((ROWS(B$2:B5893)-1)/24),"""18""jjmmdd")</f>
        <v>18980903</v>
      </c>
      <c r="C5893" s="11" t="str">
        <f>INDEX(Data,2,2+MOD(ROWS(C$2:C5893)-1,24))</f>
        <v>12.00</v>
      </c>
      <c r="D5893" s="8">
        <f t="shared" ca="1" si="278"/>
        <v>16</v>
      </c>
      <c r="E5893" s="16">
        <f t="shared" ca="1" si="279"/>
        <v>0</v>
      </c>
    </row>
    <row r="5894" spans="1:5" x14ac:dyDescent="0.25">
      <c r="A5894" s="3">
        <f t="shared" si="277"/>
        <v>78989</v>
      </c>
      <c r="B5894" t="str">
        <f ca="1">TEXT(DATE(YEAR(Invoer!$A$5),1,1)+INT((ROWS(B$2:B5894)-1)/24),"""18""jjmmdd")</f>
        <v>18980903</v>
      </c>
      <c r="C5894" s="11" t="str">
        <f>INDEX(Data,2,2+MOD(ROWS(C$2:C5894)-1,24))</f>
        <v>13.00</v>
      </c>
      <c r="D5894" s="8">
        <f t="shared" ca="1" si="278"/>
        <v>14</v>
      </c>
      <c r="E5894" s="16">
        <f t="shared" ca="1" si="279"/>
        <v>0</v>
      </c>
    </row>
    <row r="5895" spans="1:5" x14ac:dyDescent="0.25">
      <c r="A5895" s="3">
        <f t="shared" si="277"/>
        <v>78989</v>
      </c>
      <c r="B5895" t="str">
        <f ca="1">TEXT(DATE(YEAR(Invoer!$A$5),1,1)+INT((ROWS(B$2:B5895)-1)/24),"""18""jjmmdd")</f>
        <v>18980903</v>
      </c>
      <c r="C5895" s="11" t="str">
        <f>INDEX(Data,2,2+MOD(ROWS(C$2:C5895)-1,24))</f>
        <v>14.00</v>
      </c>
      <c r="D5895" s="8">
        <f t="shared" ca="1" si="278"/>
        <v>16</v>
      </c>
      <c r="E5895" s="16">
        <f t="shared" ca="1" si="279"/>
        <v>0</v>
      </c>
    </row>
    <row r="5896" spans="1:5" x14ac:dyDescent="0.25">
      <c r="A5896" s="3">
        <f t="shared" si="277"/>
        <v>78989</v>
      </c>
      <c r="B5896" t="str">
        <f ca="1">TEXT(DATE(YEAR(Invoer!$A$5),1,1)+INT((ROWS(B$2:B5896)-1)/24),"""18""jjmmdd")</f>
        <v>18980903</v>
      </c>
      <c r="C5896" s="11" t="str">
        <f>INDEX(Data,2,2+MOD(ROWS(C$2:C5896)-1,24))</f>
        <v>15.00</v>
      </c>
      <c r="D5896" s="8">
        <f t="shared" ca="1" si="278"/>
        <v>15</v>
      </c>
      <c r="E5896" s="16">
        <f t="shared" ca="1" si="279"/>
        <v>0</v>
      </c>
    </row>
    <row r="5897" spans="1:5" x14ac:dyDescent="0.25">
      <c r="A5897" s="3">
        <f t="shared" si="277"/>
        <v>78989</v>
      </c>
      <c r="B5897" t="str">
        <f ca="1">TEXT(DATE(YEAR(Invoer!$A$5),1,1)+INT((ROWS(B$2:B5897)-1)/24),"""18""jjmmdd")</f>
        <v>18980903</v>
      </c>
      <c r="C5897" s="11" t="str">
        <f>INDEX(Data,2,2+MOD(ROWS(C$2:C5897)-1,24))</f>
        <v>16.00</v>
      </c>
      <c r="D5897" s="8">
        <f t="shared" ca="1" si="278"/>
        <v>17</v>
      </c>
      <c r="E5897" s="16">
        <f t="shared" ca="1" si="279"/>
        <v>0</v>
      </c>
    </row>
    <row r="5898" spans="1:5" x14ac:dyDescent="0.25">
      <c r="A5898" s="3">
        <f t="shared" si="277"/>
        <v>78989</v>
      </c>
      <c r="B5898" t="str">
        <f ca="1">TEXT(DATE(YEAR(Invoer!$A$5),1,1)+INT((ROWS(B$2:B5898)-1)/24),"""18""jjmmdd")</f>
        <v>18980903</v>
      </c>
      <c r="C5898" s="11" t="str">
        <f>INDEX(Data,2,2+MOD(ROWS(C$2:C5898)-1,24))</f>
        <v>17.00</v>
      </c>
      <c r="D5898" s="8">
        <f t="shared" ca="1" si="278"/>
        <v>17</v>
      </c>
      <c r="E5898" s="16">
        <f t="shared" ca="1" si="279"/>
        <v>0</v>
      </c>
    </row>
    <row r="5899" spans="1:5" x14ac:dyDescent="0.25">
      <c r="A5899" s="3">
        <f t="shared" si="277"/>
        <v>78989</v>
      </c>
      <c r="B5899" t="str">
        <f ca="1">TEXT(DATE(YEAR(Invoer!$A$5),1,1)+INT((ROWS(B$2:B5899)-1)/24),"""18""jjmmdd")</f>
        <v>18980903</v>
      </c>
      <c r="C5899" s="11" t="str">
        <f>INDEX(Data,2,2+MOD(ROWS(C$2:C5899)-1,24))</f>
        <v>18.00</v>
      </c>
      <c r="D5899" s="8">
        <f t="shared" ca="1" si="278"/>
        <v>17</v>
      </c>
      <c r="E5899" s="16">
        <f t="shared" ca="1" si="279"/>
        <v>0</v>
      </c>
    </row>
    <row r="5900" spans="1:5" x14ac:dyDescent="0.25">
      <c r="A5900" s="3">
        <f t="shared" si="277"/>
        <v>78989</v>
      </c>
      <c r="B5900" t="str">
        <f ca="1">TEXT(DATE(YEAR(Invoer!$A$5),1,1)+INT((ROWS(B$2:B5900)-1)/24),"""18""jjmmdd")</f>
        <v>18980903</v>
      </c>
      <c r="C5900" s="11" t="str">
        <f>INDEX(Data,2,2+MOD(ROWS(C$2:C5900)-1,24))</f>
        <v>19.00</v>
      </c>
      <c r="D5900" s="8">
        <f t="shared" ca="1" si="278"/>
        <v>16</v>
      </c>
      <c r="E5900" s="16">
        <f t="shared" ca="1" si="279"/>
        <v>0</v>
      </c>
    </row>
    <row r="5901" spans="1:5" x14ac:dyDescent="0.25">
      <c r="A5901" s="3">
        <f t="shared" si="277"/>
        <v>78989</v>
      </c>
      <c r="B5901" t="str">
        <f ca="1">TEXT(DATE(YEAR(Invoer!$A$5),1,1)+INT((ROWS(B$2:B5901)-1)/24),"""18""jjmmdd")</f>
        <v>18980903</v>
      </c>
      <c r="C5901" s="11" t="str">
        <f>INDEX(Data,2,2+MOD(ROWS(C$2:C5901)-1,24))</f>
        <v>20.00</v>
      </c>
      <c r="D5901" s="8">
        <f t="shared" ca="1" si="278"/>
        <v>15</v>
      </c>
      <c r="E5901" s="16">
        <f t="shared" ca="1" si="279"/>
        <v>0</v>
      </c>
    </row>
    <row r="5902" spans="1:5" x14ac:dyDescent="0.25">
      <c r="A5902" s="3">
        <f t="shared" si="277"/>
        <v>78989</v>
      </c>
      <c r="B5902" t="str">
        <f ca="1">TEXT(DATE(YEAR(Invoer!$A$5),1,1)+INT((ROWS(B$2:B5902)-1)/24),"""18""jjmmdd")</f>
        <v>18980903</v>
      </c>
      <c r="C5902" s="11" t="str">
        <f>INDEX(Data,2,2+MOD(ROWS(C$2:C5902)-1,24))</f>
        <v>21.00</v>
      </c>
      <c r="D5902" s="8">
        <f t="shared" ca="1" si="278"/>
        <v>15</v>
      </c>
      <c r="E5902" s="16">
        <f t="shared" ca="1" si="279"/>
        <v>0</v>
      </c>
    </row>
    <row r="5903" spans="1:5" x14ac:dyDescent="0.25">
      <c r="A5903" s="3">
        <f t="shared" si="277"/>
        <v>78989</v>
      </c>
      <c r="B5903" t="str">
        <f ca="1">TEXT(DATE(YEAR(Invoer!$A$5),1,1)+INT((ROWS(B$2:B5903)-1)/24),"""18""jjmmdd")</f>
        <v>18980903</v>
      </c>
      <c r="C5903" s="11" t="str">
        <f>INDEX(Data,2,2+MOD(ROWS(C$2:C5903)-1,24))</f>
        <v>22.00</v>
      </c>
      <c r="D5903" s="8">
        <f t="shared" ca="1" si="278"/>
        <v>14</v>
      </c>
      <c r="E5903" s="16">
        <f t="shared" ca="1" si="279"/>
        <v>0</v>
      </c>
    </row>
    <row r="5904" spans="1:5" x14ac:dyDescent="0.25">
      <c r="A5904" s="3">
        <f t="shared" si="277"/>
        <v>78989</v>
      </c>
      <c r="B5904" t="str">
        <f ca="1">TEXT(DATE(YEAR(Invoer!$A$5),1,1)+INT((ROWS(B$2:B5904)-1)/24),"""18""jjmmdd")</f>
        <v>18980903</v>
      </c>
      <c r="C5904" s="11" t="str">
        <f>INDEX(Data,2,2+MOD(ROWS(C$2:C5904)-1,24))</f>
        <v>23.00</v>
      </c>
      <c r="D5904" s="8">
        <f t="shared" ca="1" si="278"/>
        <v>14</v>
      </c>
      <c r="E5904" s="16">
        <f t="shared" ca="1" si="279"/>
        <v>0</v>
      </c>
    </row>
    <row r="5905" spans="1:5" x14ac:dyDescent="0.25">
      <c r="A5905" s="3">
        <f t="shared" si="277"/>
        <v>78989</v>
      </c>
      <c r="B5905" t="str">
        <f ca="1">TEXT(DATE(YEAR(Invoer!$A$5),1,1)+INT((ROWS(B$2:B5905)-1)/24),"""18""jjmmdd")</f>
        <v>18980903</v>
      </c>
      <c r="C5905" s="11" t="str">
        <f>INDEX(Data,2,2+MOD(ROWS(C$2:C5905)-1,24))</f>
        <v>24.00</v>
      </c>
      <c r="D5905" s="8">
        <f t="shared" ca="1" si="278"/>
        <v>11</v>
      </c>
      <c r="E5905" s="16">
        <f t="shared" ca="1" si="279"/>
        <v>0</v>
      </c>
    </row>
    <row r="5906" spans="1:5" x14ac:dyDescent="0.25">
      <c r="A5906" s="3">
        <f t="shared" si="277"/>
        <v>78989</v>
      </c>
      <c r="B5906" t="str">
        <f ca="1">TEXT(DATE(YEAR(Invoer!$A$5),1,1)+INT((ROWS(B$2:B5906)-1)/24),"""18""jjmmdd")</f>
        <v>18980904</v>
      </c>
      <c r="C5906" s="11" t="str">
        <f>INDEX(Data,2,2+MOD(ROWS(C$2:C5906)-1,24))</f>
        <v>01.00</v>
      </c>
      <c r="D5906" s="8">
        <f t="shared" ca="1" si="278"/>
        <v>11</v>
      </c>
      <c r="E5906" s="16">
        <f t="shared" ca="1" si="279"/>
        <v>0</v>
      </c>
    </row>
    <row r="5907" spans="1:5" x14ac:dyDescent="0.25">
      <c r="A5907" s="3">
        <f t="shared" si="277"/>
        <v>78989</v>
      </c>
      <c r="B5907" t="str">
        <f ca="1">TEXT(DATE(YEAR(Invoer!$A$5),1,1)+INT((ROWS(B$2:B5907)-1)/24),"""18""jjmmdd")</f>
        <v>18980904</v>
      </c>
      <c r="C5907" s="11" t="str">
        <f>INDEX(Data,2,2+MOD(ROWS(C$2:C5907)-1,24))</f>
        <v>02.00</v>
      </c>
      <c r="D5907" s="8">
        <f t="shared" ca="1" si="278"/>
        <v>10</v>
      </c>
      <c r="E5907" s="16">
        <f t="shared" ca="1" si="279"/>
        <v>0</v>
      </c>
    </row>
    <row r="5908" spans="1:5" x14ac:dyDescent="0.25">
      <c r="A5908" s="3">
        <f t="shared" si="277"/>
        <v>78989</v>
      </c>
      <c r="B5908" t="str">
        <f ca="1">TEXT(DATE(YEAR(Invoer!$A$5),1,1)+INT((ROWS(B$2:B5908)-1)/24),"""18""jjmmdd")</f>
        <v>18980904</v>
      </c>
      <c r="C5908" s="11" t="str">
        <f>INDEX(Data,2,2+MOD(ROWS(C$2:C5908)-1,24))</f>
        <v>03.00</v>
      </c>
      <c r="D5908" s="8">
        <f t="shared" ca="1" si="278"/>
        <v>9</v>
      </c>
      <c r="E5908" s="16">
        <f t="shared" ca="1" si="279"/>
        <v>0</v>
      </c>
    </row>
    <row r="5909" spans="1:5" x14ac:dyDescent="0.25">
      <c r="A5909" s="3">
        <f t="shared" si="277"/>
        <v>78989</v>
      </c>
      <c r="B5909" t="str">
        <f ca="1">TEXT(DATE(YEAR(Invoer!$A$5),1,1)+INT((ROWS(B$2:B5909)-1)/24),"""18""jjmmdd")</f>
        <v>18980904</v>
      </c>
      <c r="C5909" s="11" t="str">
        <f>INDEX(Data,2,2+MOD(ROWS(C$2:C5909)-1,24))</f>
        <v>04.00</v>
      </c>
      <c r="D5909" s="8">
        <f t="shared" ca="1" si="278"/>
        <v>9</v>
      </c>
      <c r="E5909" s="16">
        <f t="shared" ca="1" si="279"/>
        <v>0</v>
      </c>
    </row>
    <row r="5910" spans="1:5" x14ac:dyDescent="0.25">
      <c r="A5910" s="3">
        <f t="shared" si="277"/>
        <v>78989</v>
      </c>
      <c r="B5910" t="str">
        <f ca="1">TEXT(DATE(YEAR(Invoer!$A$5),1,1)+INT((ROWS(B$2:B5910)-1)/24),"""18""jjmmdd")</f>
        <v>18980904</v>
      </c>
      <c r="C5910" s="11" t="str">
        <f>INDEX(Data,2,2+MOD(ROWS(C$2:C5910)-1,24))</f>
        <v>05.00</v>
      </c>
      <c r="D5910" s="8">
        <f t="shared" ca="1" si="278"/>
        <v>9</v>
      </c>
      <c r="E5910" s="16">
        <f t="shared" ca="1" si="279"/>
        <v>0</v>
      </c>
    </row>
    <row r="5911" spans="1:5" x14ac:dyDescent="0.25">
      <c r="A5911" s="3">
        <f t="shared" si="277"/>
        <v>78989</v>
      </c>
      <c r="B5911" t="str">
        <f ca="1">TEXT(DATE(YEAR(Invoer!$A$5),1,1)+INT((ROWS(B$2:B5911)-1)/24),"""18""jjmmdd")</f>
        <v>18980904</v>
      </c>
      <c r="C5911" s="11" t="str">
        <f>INDEX(Data,2,2+MOD(ROWS(C$2:C5911)-1,24))</f>
        <v>06.00</v>
      </c>
      <c r="D5911" s="8">
        <f t="shared" ca="1" si="278"/>
        <v>9</v>
      </c>
      <c r="E5911" s="16">
        <f t="shared" ca="1" si="279"/>
        <v>0</v>
      </c>
    </row>
    <row r="5912" spans="1:5" x14ac:dyDescent="0.25">
      <c r="A5912" s="3">
        <f t="shared" si="277"/>
        <v>78989</v>
      </c>
      <c r="B5912" t="str">
        <f ca="1">TEXT(DATE(YEAR(Invoer!$A$5),1,1)+INT((ROWS(B$2:B5912)-1)/24),"""18""jjmmdd")</f>
        <v>18980904</v>
      </c>
      <c r="C5912" s="11" t="str">
        <f>INDEX(Data,2,2+MOD(ROWS(C$2:C5912)-1,24))</f>
        <v>07.00</v>
      </c>
      <c r="D5912" s="8">
        <f t="shared" ca="1" si="278"/>
        <v>11</v>
      </c>
      <c r="E5912" s="16">
        <f t="shared" ca="1" si="279"/>
        <v>0</v>
      </c>
    </row>
    <row r="5913" spans="1:5" x14ac:dyDescent="0.25">
      <c r="A5913" s="3">
        <f t="shared" si="277"/>
        <v>78989</v>
      </c>
      <c r="B5913" t="str">
        <f ca="1">TEXT(DATE(YEAR(Invoer!$A$5),1,1)+INT((ROWS(B$2:B5913)-1)/24),"""18""jjmmdd")</f>
        <v>18980904</v>
      </c>
      <c r="C5913" s="11" t="str">
        <f>INDEX(Data,2,2+MOD(ROWS(C$2:C5913)-1,24))</f>
        <v>08.00</v>
      </c>
      <c r="D5913" s="8">
        <f t="shared" ca="1" si="278"/>
        <v>14</v>
      </c>
      <c r="E5913" s="16">
        <f t="shared" ca="1" si="279"/>
        <v>0</v>
      </c>
    </row>
    <row r="5914" spans="1:5" x14ac:dyDescent="0.25">
      <c r="A5914" s="3">
        <f t="shared" si="277"/>
        <v>78989</v>
      </c>
      <c r="B5914" t="str">
        <f ca="1">TEXT(DATE(YEAR(Invoer!$A$5),1,1)+INT((ROWS(B$2:B5914)-1)/24),"""18""jjmmdd")</f>
        <v>18980904</v>
      </c>
      <c r="C5914" s="11" t="str">
        <f>INDEX(Data,2,2+MOD(ROWS(C$2:C5914)-1,24))</f>
        <v>09.00</v>
      </c>
      <c r="D5914" s="8">
        <f t="shared" ca="1" si="278"/>
        <v>15</v>
      </c>
      <c r="E5914" s="16">
        <f t="shared" ca="1" si="279"/>
        <v>0</v>
      </c>
    </row>
    <row r="5915" spans="1:5" x14ac:dyDescent="0.25">
      <c r="A5915" s="3">
        <f t="shared" si="277"/>
        <v>78989</v>
      </c>
      <c r="B5915" t="str">
        <f ca="1">TEXT(DATE(YEAR(Invoer!$A$5),1,1)+INT((ROWS(B$2:B5915)-1)/24),"""18""jjmmdd")</f>
        <v>18980904</v>
      </c>
      <c r="C5915" s="11" t="str">
        <f>INDEX(Data,2,2+MOD(ROWS(C$2:C5915)-1,24))</f>
        <v>10.00</v>
      </c>
      <c r="D5915" s="8">
        <f t="shared" ca="1" si="278"/>
        <v>14</v>
      </c>
      <c r="E5915" s="16">
        <f t="shared" ca="1" si="279"/>
        <v>0</v>
      </c>
    </row>
    <row r="5916" spans="1:5" x14ac:dyDescent="0.25">
      <c r="A5916" s="3">
        <f t="shared" si="277"/>
        <v>78989</v>
      </c>
      <c r="B5916" t="str">
        <f ca="1">TEXT(DATE(YEAR(Invoer!$A$5),1,1)+INT((ROWS(B$2:B5916)-1)/24),"""18""jjmmdd")</f>
        <v>18980904</v>
      </c>
      <c r="C5916" s="11" t="str">
        <f>INDEX(Data,2,2+MOD(ROWS(C$2:C5916)-1,24))</f>
        <v>11.00</v>
      </c>
      <c r="D5916" s="8">
        <f t="shared" ca="1" si="278"/>
        <v>15</v>
      </c>
      <c r="E5916" s="16">
        <f t="shared" ca="1" si="279"/>
        <v>0</v>
      </c>
    </row>
    <row r="5917" spans="1:5" x14ac:dyDescent="0.25">
      <c r="A5917" s="3">
        <f t="shared" si="277"/>
        <v>78989</v>
      </c>
      <c r="B5917" t="str">
        <f ca="1">TEXT(DATE(YEAR(Invoer!$A$5),1,1)+INT((ROWS(B$2:B5917)-1)/24),"""18""jjmmdd")</f>
        <v>18980904</v>
      </c>
      <c r="C5917" s="11" t="str">
        <f>INDEX(Data,2,2+MOD(ROWS(C$2:C5917)-1,24))</f>
        <v>12.00</v>
      </c>
      <c r="D5917" s="8">
        <f t="shared" ca="1" si="278"/>
        <v>16</v>
      </c>
      <c r="E5917" s="16">
        <f t="shared" ca="1" si="279"/>
        <v>0</v>
      </c>
    </row>
    <row r="5918" spans="1:5" x14ac:dyDescent="0.25">
      <c r="A5918" s="3">
        <f t="shared" si="277"/>
        <v>78989</v>
      </c>
      <c r="B5918" t="str">
        <f ca="1">TEXT(DATE(YEAR(Invoer!$A$5),1,1)+INT((ROWS(B$2:B5918)-1)/24),"""18""jjmmdd")</f>
        <v>18980904</v>
      </c>
      <c r="C5918" s="11" t="str">
        <f>INDEX(Data,2,2+MOD(ROWS(C$2:C5918)-1,24))</f>
        <v>13.00</v>
      </c>
      <c r="D5918" s="8">
        <f t="shared" ca="1" si="278"/>
        <v>13</v>
      </c>
      <c r="E5918" s="16">
        <f t="shared" ca="1" si="279"/>
        <v>0</v>
      </c>
    </row>
    <row r="5919" spans="1:5" x14ac:dyDescent="0.25">
      <c r="A5919" s="3">
        <f t="shared" si="277"/>
        <v>78989</v>
      </c>
      <c r="B5919" t="str">
        <f ca="1">TEXT(DATE(YEAR(Invoer!$A$5),1,1)+INT((ROWS(B$2:B5919)-1)/24),"""18""jjmmdd")</f>
        <v>18980904</v>
      </c>
      <c r="C5919" s="11" t="str">
        <f>INDEX(Data,2,2+MOD(ROWS(C$2:C5919)-1,24))</f>
        <v>14.00</v>
      </c>
      <c r="D5919" s="8">
        <f t="shared" ca="1" si="278"/>
        <v>13</v>
      </c>
      <c r="E5919" s="16">
        <f t="shared" ca="1" si="279"/>
        <v>0</v>
      </c>
    </row>
    <row r="5920" spans="1:5" x14ac:dyDescent="0.25">
      <c r="A5920" s="3">
        <f t="shared" si="277"/>
        <v>78989</v>
      </c>
      <c r="B5920" t="str">
        <f ca="1">TEXT(DATE(YEAR(Invoer!$A$5),1,1)+INT((ROWS(B$2:B5920)-1)/24),"""18""jjmmdd")</f>
        <v>18980904</v>
      </c>
      <c r="C5920" s="11" t="str">
        <f>INDEX(Data,2,2+MOD(ROWS(C$2:C5920)-1,24))</f>
        <v>15.00</v>
      </c>
      <c r="D5920" s="8">
        <f t="shared" ca="1" si="278"/>
        <v>14</v>
      </c>
      <c r="E5920" s="16">
        <f t="shared" ca="1" si="279"/>
        <v>0</v>
      </c>
    </row>
    <row r="5921" spans="1:5" x14ac:dyDescent="0.25">
      <c r="A5921" s="3">
        <f t="shared" si="277"/>
        <v>78989</v>
      </c>
      <c r="B5921" t="str">
        <f ca="1">TEXT(DATE(YEAR(Invoer!$A$5),1,1)+INT((ROWS(B$2:B5921)-1)/24),"""18""jjmmdd")</f>
        <v>18980904</v>
      </c>
      <c r="C5921" s="11" t="str">
        <f>INDEX(Data,2,2+MOD(ROWS(C$2:C5921)-1,24))</f>
        <v>16.00</v>
      </c>
      <c r="D5921" s="8">
        <f t="shared" ca="1" si="278"/>
        <v>16</v>
      </c>
      <c r="E5921" s="16">
        <f t="shared" ca="1" si="279"/>
        <v>0</v>
      </c>
    </row>
    <row r="5922" spans="1:5" x14ac:dyDescent="0.25">
      <c r="A5922" s="3">
        <f t="shared" si="277"/>
        <v>78989</v>
      </c>
      <c r="B5922" t="str">
        <f ca="1">TEXT(DATE(YEAR(Invoer!$A$5),1,1)+INT((ROWS(B$2:B5922)-1)/24),"""18""jjmmdd")</f>
        <v>18980904</v>
      </c>
      <c r="C5922" s="11" t="str">
        <f>INDEX(Data,2,2+MOD(ROWS(C$2:C5922)-1,24))</f>
        <v>17.00</v>
      </c>
      <c r="D5922" s="8">
        <f t="shared" ca="1" si="278"/>
        <v>15</v>
      </c>
      <c r="E5922" s="16">
        <f t="shared" ca="1" si="279"/>
        <v>0</v>
      </c>
    </row>
    <row r="5923" spans="1:5" x14ac:dyDescent="0.25">
      <c r="A5923" s="3">
        <f t="shared" si="277"/>
        <v>78989</v>
      </c>
      <c r="B5923" t="str">
        <f ca="1">TEXT(DATE(YEAR(Invoer!$A$5),1,1)+INT((ROWS(B$2:B5923)-1)/24),"""18""jjmmdd")</f>
        <v>18980904</v>
      </c>
      <c r="C5923" s="11" t="str">
        <f>INDEX(Data,2,2+MOD(ROWS(C$2:C5923)-1,24))</f>
        <v>18.00</v>
      </c>
      <c r="D5923" s="8">
        <f t="shared" ca="1" si="278"/>
        <v>13</v>
      </c>
      <c r="E5923" s="16">
        <f t="shared" ca="1" si="279"/>
        <v>0</v>
      </c>
    </row>
    <row r="5924" spans="1:5" x14ac:dyDescent="0.25">
      <c r="A5924" s="3">
        <f t="shared" si="277"/>
        <v>78989</v>
      </c>
      <c r="B5924" t="str">
        <f ca="1">TEXT(DATE(YEAR(Invoer!$A$5),1,1)+INT((ROWS(B$2:B5924)-1)/24),"""18""jjmmdd")</f>
        <v>18980904</v>
      </c>
      <c r="C5924" s="11" t="str">
        <f>INDEX(Data,2,2+MOD(ROWS(C$2:C5924)-1,24))</f>
        <v>19.00</v>
      </c>
      <c r="D5924" s="8">
        <f t="shared" ca="1" si="278"/>
        <v>12</v>
      </c>
      <c r="E5924" s="16">
        <f t="shared" ca="1" si="279"/>
        <v>0</v>
      </c>
    </row>
    <row r="5925" spans="1:5" x14ac:dyDescent="0.25">
      <c r="A5925" s="3">
        <f t="shared" si="277"/>
        <v>78989</v>
      </c>
      <c r="B5925" t="str">
        <f ca="1">TEXT(DATE(YEAR(Invoer!$A$5),1,1)+INT((ROWS(B$2:B5925)-1)/24),"""18""jjmmdd")</f>
        <v>18980904</v>
      </c>
      <c r="C5925" s="11" t="str">
        <f>INDEX(Data,2,2+MOD(ROWS(C$2:C5925)-1,24))</f>
        <v>20.00</v>
      </c>
      <c r="D5925" s="8">
        <f t="shared" ca="1" si="278"/>
        <v>13</v>
      </c>
      <c r="E5925" s="16">
        <f t="shared" ca="1" si="279"/>
        <v>0</v>
      </c>
    </row>
    <row r="5926" spans="1:5" x14ac:dyDescent="0.25">
      <c r="A5926" s="3">
        <f t="shared" si="277"/>
        <v>78989</v>
      </c>
      <c r="B5926" t="str">
        <f ca="1">TEXT(DATE(YEAR(Invoer!$A$5),1,1)+INT((ROWS(B$2:B5926)-1)/24),"""18""jjmmdd")</f>
        <v>18980904</v>
      </c>
      <c r="C5926" s="11" t="str">
        <f>INDEX(Data,2,2+MOD(ROWS(C$2:C5926)-1,24))</f>
        <v>21.00</v>
      </c>
      <c r="D5926" s="8">
        <f t="shared" ca="1" si="278"/>
        <v>12</v>
      </c>
      <c r="E5926" s="16">
        <f t="shared" ca="1" si="279"/>
        <v>0</v>
      </c>
    </row>
    <row r="5927" spans="1:5" x14ac:dyDescent="0.25">
      <c r="A5927" s="3">
        <f t="shared" si="277"/>
        <v>78989</v>
      </c>
      <c r="B5927" t="str">
        <f ca="1">TEXT(DATE(YEAR(Invoer!$A$5),1,1)+INT((ROWS(B$2:B5927)-1)/24),"""18""jjmmdd")</f>
        <v>18980904</v>
      </c>
      <c r="C5927" s="11" t="str">
        <f>INDEX(Data,2,2+MOD(ROWS(C$2:C5927)-1,24))</f>
        <v>22.00</v>
      </c>
      <c r="D5927" s="8">
        <f t="shared" ca="1" si="278"/>
        <v>10</v>
      </c>
      <c r="E5927" s="16">
        <f t="shared" ca="1" si="279"/>
        <v>0</v>
      </c>
    </row>
    <row r="5928" spans="1:5" x14ac:dyDescent="0.25">
      <c r="A5928" s="3">
        <f t="shared" si="277"/>
        <v>78989</v>
      </c>
      <c r="B5928" t="str">
        <f ca="1">TEXT(DATE(YEAR(Invoer!$A$5),1,1)+INT((ROWS(B$2:B5928)-1)/24),"""18""jjmmdd")</f>
        <v>18980904</v>
      </c>
      <c r="C5928" s="11" t="str">
        <f>INDEX(Data,2,2+MOD(ROWS(C$2:C5928)-1,24))</f>
        <v>23.00</v>
      </c>
      <c r="D5928" s="8">
        <f t="shared" ca="1" si="278"/>
        <v>9</v>
      </c>
      <c r="E5928" s="16">
        <f t="shared" ca="1" si="279"/>
        <v>0</v>
      </c>
    </row>
    <row r="5929" spans="1:5" x14ac:dyDescent="0.25">
      <c r="A5929" s="3">
        <f t="shared" si="277"/>
        <v>78989</v>
      </c>
      <c r="B5929" t="str">
        <f ca="1">TEXT(DATE(YEAR(Invoer!$A$5),1,1)+INT((ROWS(B$2:B5929)-1)/24),"""18""jjmmdd")</f>
        <v>18980904</v>
      </c>
      <c r="C5929" s="11" t="str">
        <f>INDEX(Data,2,2+MOD(ROWS(C$2:C5929)-1,24))</f>
        <v>24.00</v>
      </c>
      <c r="D5929" s="8">
        <f t="shared" ca="1" si="278"/>
        <v>9</v>
      </c>
      <c r="E5929" s="16">
        <f t="shared" ca="1" si="279"/>
        <v>0</v>
      </c>
    </row>
    <row r="5930" spans="1:5" x14ac:dyDescent="0.25">
      <c r="A5930" s="3">
        <f t="shared" si="277"/>
        <v>78989</v>
      </c>
      <c r="B5930" t="str">
        <f ca="1">TEXT(DATE(YEAR(Invoer!$A$5),1,1)+INT((ROWS(B$2:B5930)-1)/24),"""18""jjmmdd")</f>
        <v>18980905</v>
      </c>
      <c r="C5930" s="11" t="str">
        <f>INDEX(Data,2,2+MOD(ROWS(C$2:C5930)-1,24))</f>
        <v>01.00</v>
      </c>
      <c r="D5930" s="8">
        <f t="shared" ca="1" si="278"/>
        <v>8</v>
      </c>
      <c r="E5930" s="16">
        <f t="shared" ca="1" si="279"/>
        <v>0</v>
      </c>
    </row>
    <row r="5931" spans="1:5" x14ac:dyDescent="0.25">
      <c r="A5931" s="3">
        <f t="shared" si="277"/>
        <v>78989</v>
      </c>
      <c r="B5931" t="str">
        <f ca="1">TEXT(DATE(YEAR(Invoer!$A$5),1,1)+INT((ROWS(B$2:B5931)-1)/24),"""18""jjmmdd")</f>
        <v>18980905</v>
      </c>
      <c r="C5931" s="11" t="str">
        <f>INDEX(Data,2,2+MOD(ROWS(C$2:C5931)-1,24))</f>
        <v>02.00</v>
      </c>
      <c r="D5931" s="8">
        <f t="shared" ca="1" si="278"/>
        <v>8</v>
      </c>
      <c r="E5931" s="16">
        <f t="shared" ca="1" si="279"/>
        <v>0</v>
      </c>
    </row>
    <row r="5932" spans="1:5" x14ac:dyDescent="0.25">
      <c r="A5932" s="3">
        <f t="shared" si="277"/>
        <v>78989</v>
      </c>
      <c r="B5932" t="str">
        <f ca="1">TEXT(DATE(YEAR(Invoer!$A$5),1,1)+INT((ROWS(B$2:B5932)-1)/24),"""18""jjmmdd")</f>
        <v>18980905</v>
      </c>
      <c r="C5932" s="11" t="str">
        <f>INDEX(Data,2,2+MOD(ROWS(C$2:C5932)-1,24))</f>
        <v>03.00</v>
      </c>
      <c r="D5932" s="8">
        <f t="shared" ca="1" si="278"/>
        <v>7</v>
      </c>
      <c r="E5932" s="16">
        <f t="shared" ca="1" si="279"/>
        <v>0</v>
      </c>
    </row>
    <row r="5933" spans="1:5" x14ac:dyDescent="0.25">
      <c r="A5933" s="3">
        <f t="shared" si="277"/>
        <v>78989</v>
      </c>
      <c r="B5933" t="str">
        <f ca="1">TEXT(DATE(YEAR(Invoer!$A$5),1,1)+INT((ROWS(B$2:B5933)-1)/24),"""18""jjmmdd")</f>
        <v>18980905</v>
      </c>
      <c r="C5933" s="11" t="str">
        <f>INDEX(Data,2,2+MOD(ROWS(C$2:C5933)-1,24))</f>
        <v>04.00</v>
      </c>
      <c r="D5933" s="8">
        <f t="shared" ca="1" si="278"/>
        <v>7</v>
      </c>
      <c r="E5933" s="16">
        <f t="shared" ca="1" si="279"/>
        <v>0</v>
      </c>
    </row>
    <row r="5934" spans="1:5" x14ac:dyDescent="0.25">
      <c r="A5934" s="3">
        <f t="shared" si="277"/>
        <v>78989</v>
      </c>
      <c r="B5934" t="str">
        <f ca="1">TEXT(DATE(YEAR(Invoer!$A$5),1,1)+INT((ROWS(B$2:B5934)-1)/24),"""18""jjmmdd")</f>
        <v>18980905</v>
      </c>
      <c r="C5934" s="11" t="str">
        <f>INDEX(Data,2,2+MOD(ROWS(C$2:C5934)-1,24))</f>
        <v>05.00</v>
      </c>
      <c r="D5934" s="8">
        <f t="shared" ca="1" si="278"/>
        <v>6</v>
      </c>
      <c r="E5934" s="16">
        <f t="shared" ca="1" si="279"/>
        <v>0</v>
      </c>
    </row>
    <row r="5935" spans="1:5" x14ac:dyDescent="0.25">
      <c r="A5935" s="3">
        <f t="shared" si="277"/>
        <v>78989</v>
      </c>
      <c r="B5935" t="str">
        <f ca="1">TEXT(DATE(YEAR(Invoer!$A$5),1,1)+INT((ROWS(B$2:B5935)-1)/24),"""18""jjmmdd")</f>
        <v>18980905</v>
      </c>
      <c r="C5935" s="11" t="str">
        <f>INDEX(Data,2,2+MOD(ROWS(C$2:C5935)-1,24))</f>
        <v>06.00</v>
      </c>
      <c r="D5935" s="8">
        <f t="shared" ca="1" si="278"/>
        <v>5</v>
      </c>
      <c r="E5935" s="16">
        <f t="shared" ca="1" si="279"/>
        <v>0</v>
      </c>
    </row>
    <row r="5936" spans="1:5" x14ac:dyDescent="0.25">
      <c r="A5936" s="3">
        <f t="shared" si="277"/>
        <v>78989</v>
      </c>
      <c r="B5936" t="str">
        <f ca="1">TEXT(DATE(YEAR(Invoer!$A$5),1,1)+INT((ROWS(B$2:B5936)-1)/24),"""18""jjmmdd")</f>
        <v>18980905</v>
      </c>
      <c r="C5936" s="11" t="str">
        <f>INDEX(Data,2,2+MOD(ROWS(C$2:C5936)-1,24))</f>
        <v>07.00</v>
      </c>
      <c r="D5936" s="8">
        <f t="shared" ca="1" si="278"/>
        <v>8</v>
      </c>
      <c r="E5936" s="16">
        <f t="shared" ca="1" si="279"/>
        <v>0</v>
      </c>
    </row>
    <row r="5937" spans="1:5" x14ac:dyDescent="0.25">
      <c r="A5937" s="3">
        <f t="shared" si="277"/>
        <v>78989</v>
      </c>
      <c r="B5937" t="str">
        <f ca="1">TEXT(DATE(YEAR(Invoer!$A$5),1,1)+INT((ROWS(B$2:B5937)-1)/24),"""18""jjmmdd")</f>
        <v>18980905</v>
      </c>
      <c r="C5937" s="11" t="str">
        <f>INDEX(Data,2,2+MOD(ROWS(C$2:C5937)-1,24))</f>
        <v>08.00</v>
      </c>
      <c r="D5937" s="8">
        <f t="shared" ca="1" si="278"/>
        <v>10</v>
      </c>
      <c r="E5937" s="16">
        <f t="shared" ca="1" si="279"/>
        <v>0</v>
      </c>
    </row>
    <row r="5938" spans="1:5" x14ac:dyDescent="0.25">
      <c r="A5938" s="3">
        <f t="shared" si="277"/>
        <v>78989</v>
      </c>
      <c r="B5938" t="str">
        <f ca="1">TEXT(DATE(YEAR(Invoer!$A$5),1,1)+INT((ROWS(B$2:B5938)-1)/24),"""18""jjmmdd")</f>
        <v>18980905</v>
      </c>
      <c r="C5938" s="11" t="str">
        <f>INDEX(Data,2,2+MOD(ROWS(C$2:C5938)-1,24))</f>
        <v>09.00</v>
      </c>
      <c r="D5938" s="8">
        <f t="shared" ca="1" si="278"/>
        <v>11</v>
      </c>
      <c r="E5938" s="16">
        <f t="shared" ca="1" si="279"/>
        <v>0</v>
      </c>
    </row>
    <row r="5939" spans="1:5" x14ac:dyDescent="0.25">
      <c r="A5939" s="3">
        <f t="shared" si="277"/>
        <v>78989</v>
      </c>
      <c r="B5939" t="str">
        <f ca="1">TEXT(DATE(YEAR(Invoer!$A$5),1,1)+INT((ROWS(B$2:B5939)-1)/24),"""18""jjmmdd")</f>
        <v>18980905</v>
      </c>
      <c r="C5939" s="11" t="str">
        <f>INDEX(Data,2,2+MOD(ROWS(C$2:C5939)-1,24))</f>
        <v>10.00</v>
      </c>
      <c r="D5939" s="8">
        <f t="shared" ca="1" si="278"/>
        <v>14</v>
      </c>
      <c r="E5939" s="16">
        <f t="shared" ca="1" si="279"/>
        <v>0</v>
      </c>
    </row>
    <row r="5940" spans="1:5" x14ac:dyDescent="0.25">
      <c r="A5940" s="3">
        <f t="shared" si="277"/>
        <v>78989</v>
      </c>
      <c r="B5940" t="str">
        <f ca="1">TEXT(DATE(YEAR(Invoer!$A$5),1,1)+INT((ROWS(B$2:B5940)-1)/24),"""18""jjmmdd")</f>
        <v>18980905</v>
      </c>
      <c r="C5940" s="11" t="str">
        <f>INDEX(Data,2,2+MOD(ROWS(C$2:C5940)-1,24))</f>
        <v>11.00</v>
      </c>
      <c r="D5940" s="8">
        <f t="shared" ca="1" si="278"/>
        <v>13</v>
      </c>
      <c r="E5940" s="16">
        <f t="shared" ca="1" si="279"/>
        <v>0</v>
      </c>
    </row>
    <row r="5941" spans="1:5" x14ac:dyDescent="0.25">
      <c r="A5941" s="3">
        <f t="shared" si="277"/>
        <v>78989</v>
      </c>
      <c r="B5941" t="str">
        <f ca="1">TEXT(DATE(YEAR(Invoer!$A$5),1,1)+INT((ROWS(B$2:B5941)-1)/24),"""18""jjmmdd")</f>
        <v>18980905</v>
      </c>
      <c r="C5941" s="11" t="str">
        <f>INDEX(Data,2,2+MOD(ROWS(C$2:C5941)-1,24))</f>
        <v>12.00</v>
      </c>
      <c r="D5941" s="8">
        <f t="shared" ca="1" si="278"/>
        <v>11</v>
      </c>
      <c r="E5941" s="16">
        <f t="shared" ca="1" si="279"/>
        <v>0</v>
      </c>
    </row>
    <row r="5942" spans="1:5" x14ac:dyDescent="0.25">
      <c r="A5942" s="3">
        <f t="shared" si="277"/>
        <v>78989</v>
      </c>
      <c r="B5942" t="str">
        <f ca="1">TEXT(DATE(YEAR(Invoer!$A$5),1,1)+INT((ROWS(B$2:B5942)-1)/24),"""18""jjmmdd")</f>
        <v>18980905</v>
      </c>
      <c r="C5942" s="11" t="str">
        <f>INDEX(Data,2,2+MOD(ROWS(C$2:C5942)-1,24))</f>
        <v>13.00</v>
      </c>
      <c r="D5942" s="8">
        <f t="shared" ca="1" si="278"/>
        <v>11</v>
      </c>
      <c r="E5942" s="16">
        <f t="shared" ca="1" si="279"/>
        <v>0</v>
      </c>
    </row>
    <row r="5943" spans="1:5" x14ac:dyDescent="0.25">
      <c r="A5943" s="3">
        <f t="shared" si="277"/>
        <v>78989</v>
      </c>
      <c r="B5943" t="str">
        <f ca="1">TEXT(DATE(YEAR(Invoer!$A$5),1,1)+INT((ROWS(B$2:B5943)-1)/24),"""18""jjmmdd")</f>
        <v>18980905</v>
      </c>
      <c r="C5943" s="11" t="str">
        <f>INDEX(Data,2,2+MOD(ROWS(C$2:C5943)-1,24))</f>
        <v>14.00</v>
      </c>
      <c r="D5943" s="8">
        <f t="shared" ca="1" si="278"/>
        <v>11</v>
      </c>
      <c r="E5943" s="16">
        <f t="shared" ca="1" si="279"/>
        <v>0</v>
      </c>
    </row>
    <row r="5944" spans="1:5" x14ac:dyDescent="0.25">
      <c r="A5944" s="3">
        <f t="shared" si="277"/>
        <v>78989</v>
      </c>
      <c r="B5944" t="str">
        <f ca="1">TEXT(DATE(YEAR(Invoer!$A$5),1,1)+INT((ROWS(B$2:B5944)-1)/24),"""18""jjmmdd")</f>
        <v>18980905</v>
      </c>
      <c r="C5944" s="11" t="str">
        <f>INDEX(Data,2,2+MOD(ROWS(C$2:C5944)-1,24))</f>
        <v>15.00</v>
      </c>
      <c r="D5944" s="8">
        <f t="shared" ca="1" si="278"/>
        <v>12</v>
      </c>
      <c r="E5944" s="16">
        <f t="shared" ca="1" si="279"/>
        <v>0</v>
      </c>
    </row>
    <row r="5945" spans="1:5" x14ac:dyDescent="0.25">
      <c r="A5945" s="3">
        <f t="shared" si="277"/>
        <v>78989</v>
      </c>
      <c r="B5945" t="str">
        <f ca="1">TEXT(DATE(YEAR(Invoer!$A$5),1,1)+INT((ROWS(B$2:B5945)-1)/24),"""18""jjmmdd")</f>
        <v>18980905</v>
      </c>
      <c r="C5945" s="11" t="str">
        <f>INDEX(Data,2,2+MOD(ROWS(C$2:C5945)-1,24))</f>
        <v>16.00</v>
      </c>
      <c r="D5945" s="8">
        <f t="shared" ca="1" si="278"/>
        <v>13</v>
      </c>
      <c r="E5945" s="16">
        <f t="shared" ca="1" si="279"/>
        <v>0</v>
      </c>
    </row>
    <row r="5946" spans="1:5" x14ac:dyDescent="0.25">
      <c r="A5946" s="3">
        <f t="shared" si="277"/>
        <v>78989</v>
      </c>
      <c r="B5946" t="str">
        <f ca="1">TEXT(DATE(YEAR(Invoer!$A$5),1,1)+INT((ROWS(B$2:B5946)-1)/24),"""18""jjmmdd")</f>
        <v>18980905</v>
      </c>
      <c r="C5946" s="11" t="str">
        <f>INDEX(Data,2,2+MOD(ROWS(C$2:C5946)-1,24))</f>
        <v>17.00</v>
      </c>
      <c r="D5946" s="8">
        <f t="shared" ca="1" si="278"/>
        <v>13</v>
      </c>
      <c r="E5946" s="16">
        <f t="shared" ca="1" si="279"/>
        <v>0</v>
      </c>
    </row>
    <row r="5947" spans="1:5" x14ac:dyDescent="0.25">
      <c r="A5947" s="3">
        <f t="shared" si="277"/>
        <v>78989</v>
      </c>
      <c r="B5947" t="str">
        <f ca="1">TEXT(DATE(YEAR(Invoer!$A$5),1,1)+INT((ROWS(B$2:B5947)-1)/24),"""18""jjmmdd")</f>
        <v>18980905</v>
      </c>
      <c r="C5947" s="11" t="str">
        <f>INDEX(Data,2,2+MOD(ROWS(C$2:C5947)-1,24))</f>
        <v>18.00</v>
      </c>
      <c r="D5947" s="8">
        <f t="shared" ca="1" si="278"/>
        <v>12</v>
      </c>
      <c r="E5947" s="16">
        <f t="shared" ca="1" si="279"/>
        <v>0</v>
      </c>
    </row>
    <row r="5948" spans="1:5" x14ac:dyDescent="0.25">
      <c r="A5948" s="3">
        <f t="shared" si="277"/>
        <v>78989</v>
      </c>
      <c r="B5948" t="str">
        <f ca="1">TEXT(DATE(YEAR(Invoer!$A$5),1,1)+INT((ROWS(B$2:B5948)-1)/24),"""18""jjmmdd")</f>
        <v>18980905</v>
      </c>
      <c r="C5948" s="11" t="str">
        <f>INDEX(Data,2,2+MOD(ROWS(C$2:C5948)-1,24))</f>
        <v>19.00</v>
      </c>
      <c r="D5948" s="8">
        <f t="shared" ca="1" si="278"/>
        <v>11</v>
      </c>
      <c r="E5948" s="16">
        <f t="shared" ca="1" si="279"/>
        <v>0</v>
      </c>
    </row>
    <row r="5949" spans="1:5" x14ac:dyDescent="0.25">
      <c r="A5949" s="3">
        <f t="shared" si="277"/>
        <v>78989</v>
      </c>
      <c r="B5949" t="str">
        <f ca="1">TEXT(DATE(YEAR(Invoer!$A$5),1,1)+INT((ROWS(B$2:B5949)-1)/24),"""18""jjmmdd")</f>
        <v>18980905</v>
      </c>
      <c r="C5949" s="11" t="str">
        <f>INDEX(Data,2,2+MOD(ROWS(C$2:C5949)-1,24))</f>
        <v>20.00</v>
      </c>
      <c r="D5949" s="8">
        <f t="shared" ca="1" si="278"/>
        <v>11</v>
      </c>
      <c r="E5949" s="16">
        <f t="shared" ca="1" si="279"/>
        <v>0</v>
      </c>
    </row>
    <row r="5950" spans="1:5" x14ac:dyDescent="0.25">
      <c r="A5950" s="3">
        <f t="shared" si="277"/>
        <v>78989</v>
      </c>
      <c r="B5950" t="str">
        <f ca="1">TEXT(DATE(YEAR(Invoer!$A$5),1,1)+INT((ROWS(B$2:B5950)-1)/24),"""18""jjmmdd")</f>
        <v>18980905</v>
      </c>
      <c r="C5950" s="11" t="str">
        <f>INDEX(Data,2,2+MOD(ROWS(C$2:C5950)-1,24))</f>
        <v>21.00</v>
      </c>
      <c r="D5950" s="8">
        <f t="shared" ca="1" si="278"/>
        <v>10</v>
      </c>
      <c r="E5950" s="16">
        <f t="shared" ca="1" si="279"/>
        <v>0</v>
      </c>
    </row>
    <row r="5951" spans="1:5" x14ac:dyDescent="0.25">
      <c r="A5951" s="3">
        <f t="shared" si="277"/>
        <v>78989</v>
      </c>
      <c r="B5951" t="str">
        <f ca="1">TEXT(DATE(YEAR(Invoer!$A$5),1,1)+INT((ROWS(B$2:B5951)-1)/24),"""18""jjmmdd")</f>
        <v>18980905</v>
      </c>
      <c r="C5951" s="11" t="str">
        <f>INDEX(Data,2,2+MOD(ROWS(C$2:C5951)-1,24))</f>
        <v>22.00</v>
      </c>
      <c r="D5951" s="8">
        <f t="shared" ca="1" si="278"/>
        <v>11</v>
      </c>
      <c r="E5951" s="16">
        <f t="shared" ca="1" si="279"/>
        <v>0</v>
      </c>
    </row>
    <row r="5952" spans="1:5" x14ac:dyDescent="0.25">
      <c r="A5952" s="3">
        <f t="shared" si="277"/>
        <v>78989</v>
      </c>
      <c r="B5952" t="str">
        <f ca="1">TEXT(DATE(YEAR(Invoer!$A$5),1,1)+INT((ROWS(B$2:B5952)-1)/24),"""18""jjmmdd")</f>
        <v>18980905</v>
      </c>
      <c r="C5952" s="11" t="str">
        <f>INDEX(Data,2,2+MOD(ROWS(C$2:C5952)-1,24))</f>
        <v>23.00</v>
      </c>
      <c r="D5952" s="8">
        <f t="shared" ca="1" si="278"/>
        <v>9</v>
      </c>
      <c r="E5952" s="16">
        <f t="shared" ca="1" si="279"/>
        <v>0</v>
      </c>
    </row>
    <row r="5953" spans="1:5" x14ac:dyDescent="0.25">
      <c r="A5953" s="3">
        <f t="shared" si="277"/>
        <v>78989</v>
      </c>
      <c r="B5953" t="str">
        <f ca="1">TEXT(DATE(YEAR(Invoer!$A$5),1,1)+INT((ROWS(B$2:B5953)-1)/24),"""18""jjmmdd")</f>
        <v>18980905</v>
      </c>
      <c r="C5953" s="11" t="str">
        <f>INDEX(Data,2,2+MOD(ROWS(C$2:C5953)-1,24))</f>
        <v>24.00</v>
      </c>
      <c r="D5953" s="8">
        <f t="shared" ca="1" si="278"/>
        <v>9</v>
      </c>
      <c r="E5953" s="16">
        <f t="shared" ca="1" si="279"/>
        <v>0</v>
      </c>
    </row>
    <row r="5954" spans="1:5" x14ac:dyDescent="0.25">
      <c r="A5954" s="3">
        <f t="shared" ref="A5954:A6017" si="280">INDEX(Stations,2,1)</f>
        <v>78989</v>
      </c>
      <c r="B5954" t="str">
        <f ca="1">TEXT(DATE(YEAR(Invoer!$A$5),1,1)+INT((ROWS(B$2:B5954)-1)/24),"""18""jjmmdd")</f>
        <v>18980906</v>
      </c>
      <c r="C5954" s="11" t="str">
        <f>INDEX(Data,2,2+MOD(ROWS(C$2:C5954)-1,24))</f>
        <v>01.00</v>
      </c>
      <c r="D5954" s="8">
        <f t="shared" ref="D5954:D6017" ca="1" si="281">IF(OR(ISBLANK(VLOOKUP(DATEVALUE("37"&amp;MID($B5954,3,2)&amp;"-"&amp;MID($B5954,5,2)&amp;"-"&amp;RIGHT($B5954,2)),Data,MATCH(LEFT(VLOOKUP(D$1,Parameters,2,FALSE()),4)&amp;"*",OFFSET(Data,0,0,1),0)+MATCH($C5954,OFFSET(Data,1,0,1),0)-2,FALSE())),ISTEXT(VLOOKUP(DATEVALUE("37"&amp;MID($B5954,3,2)&amp;"-"&amp;MID($B5954,5,2)&amp;"-"&amp;RIGHT($B5954,2)),Data,MATCH(LEFT(VLOOKUP(D$1,Parameters,2,FALSE()),4)&amp;"*",OFFSET(Data,0,0,1),0)+MATCH($C5954,OFFSET(Data,1,0,1),0)-2,FALSE()))),"—",VLOOKUP(DATEVALUE("37"&amp;MID($B5954,3,2)&amp;"-"&amp;MID($B5954,5,2)&amp;"-"&amp;RIGHT($B5954,2)),Data,MATCH(LEFT(VLOOKUP(D$1,Parameters,2,FALSE()),4)&amp;"*",OFFSET(Data,0,0,1),0)+MATCH($C5954,OFFSET(Data,1,0,1),0)-2,FALSE()))</f>
        <v>9</v>
      </c>
      <c r="E5954" s="16">
        <f t="shared" ca="1" si="279"/>
        <v>0</v>
      </c>
    </row>
    <row r="5955" spans="1:5" x14ac:dyDescent="0.25">
      <c r="A5955" s="3">
        <f t="shared" si="280"/>
        <v>78989</v>
      </c>
      <c r="B5955" t="str">
        <f ca="1">TEXT(DATE(YEAR(Invoer!$A$5),1,1)+INT((ROWS(B$2:B5955)-1)/24),"""18""jjmmdd")</f>
        <v>18980906</v>
      </c>
      <c r="C5955" s="11" t="str">
        <f>INDEX(Data,2,2+MOD(ROWS(C$2:C5955)-1,24))</f>
        <v>02.00</v>
      </c>
      <c r="D5955" s="8">
        <f t="shared" ca="1" si="281"/>
        <v>8</v>
      </c>
      <c r="E5955" s="16">
        <f t="shared" ref="E5955:E6018" ca="1" si="282">IF(OR(ISBLANK(VLOOKUP(DATEVALUE("37"&amp;MID($B5955,3,2)&amp;"-"&amp;MID($B5955,5,2)&amp;"-"&amp;RIGHT($B5955,2)),Data,MATCH(LEFT(VLOOKUP(D$1,Parameters,2,FALSE()),4)&amp;"*",OFFSET(Data,0,0,1),0)+MATCH($C5955,OFFSET(Data,1,0,1),0)-2,FALSE())),ISTEXT(VLOOKUP(DATEVALUE("37"&amp;MID($B5955,3,2)&amp;"-"&amp;MID($B5955,5,2)&amp;"-"&amp;RIGHT($B5955,2)),Data,MATCH(LEFT(VLOOKUP(D$1,Parameters,2,FALSE()),4)&amp;"*",OFFSET(Data,0,0,1),0)+MATCH($C5955,OFFSET(Data,1,0,1),0)-2,FALSE()))),Lacking,IF(ISNA(MATCH(DATEVALUE("37"&amp;MID($B5955,3,2)&amp;"-"&amp;MID($B5955,5,2)&amp;"-"&amp;RIGHT($B5955,2)),OFFSET(Catalogus,0,0,,1),0)),Ok,VLOOKUP(DATEVALUE("37"&amp;MID($B5955,3,2)&amp;"-"&amp;MID($B5955,5,2)&amp;"-"&amp;RIGHT($B5955,2)),Catalogus,MATCH(LEFT(VLOOKUP(MID(E$1,2,LEN(E$1)-1),Parameters,2,FALSE()),4)&amp;"*",OFFSET(Catalogus,0,0,1),0)+MATCH($C5955,OFFSET(Catalogus,1,0,1),0)-2,FALSE())))</f>
        <v>0</v>
      </c>
    </row>
    <row r="5956" spans="1:5" x14ac:dyDescent="0.25">
      <c r="A5956" s="3">
        <f t="shared" si="280"/>
        <v>78989</v>
      </c>
      <c r="B5956" t="str">
        <f ca="1">TEXT(DATE(YEAR(Invoer!$A$5),1,1)+INT((ROWS(B$2:B5956)-1)/24),"""18""jjmmdd")</f>
        <v>18980906</v>
      </c>
      <c r="C5956" s="11" t="str">
        <f>INDEX(Data,2,2+MOD(ROWS(C$2:C5956)-1,24))</f>
        <v>03.00</v>
      </c>
      <c r="D5956" s="8">
        <f t="shared" ca="1" si="281"/>
        <v>10</v>
      </c>
      <c r="E5956" s="16">
        <f t="shared" ca="1" si="282"/>
        <v>0</v>
      </c>
    </row>
    <row r="5957" spans="1:5" x14ac:dyDescent="0.25">
      <c r="A5957" s="3">
        <f t="shared" si="280"/>
        <v>78989</v>
      </c>
      <c r="B5957" t="str">
        <f ca="1">TEXT(DATE(YEAR(Invoer!$A$5),1,1)+INT((ROWS(B$2:B5957)-1)/24),"""18""jjmmdd")</f>
        <v>18980906</v>
      </c>
      <c r="C5957" s="11" t="str">
        <f>INDEX(Data,2,2+MOD(ROWS(C$2:C5957)-1,24))</f>
        <v>04.00</v>
      </c>
      <c r="D5957" s="8">
        <f t="shared" ca="1" si="281"/>
        <v>10</v>
      </c>
      <c r="E5957" s="16">
        <f t="shared" ca="1" si="282"/>
        <v>0</v>
      </c>
    </row>
    <row r="5958" spans="1:5" x14ac:dyDescent="0.25">
      <c r="A5958" s="3">
        <f t="shared" si="280"/>
        <v>78989</v>
      </c>
      <c r="B5958" t="str">
        <f ca="1">TEXT(DATE(YEAR(Invoer!$A$5),1,1)+INT((ROWS(B$2:B5958)-1)/24),"""18""jjmmdd")</f>
        <v>18980906</v>
      </c>
      <c r="C5958" s="11" t="str">
        <f>INDEX(Data,2,2+MOD(ROWS(C$2:C5958)-1,24))</f>
        <v>05.00</v>
      </c>
      <c r="D5958" s="8">
        <f t="shared" ca="1" si="281"/>
        <v>9</v>
      </c>
      <c r="E5958" s="16">
        <f t="shared" ca="1" si="282"/>
        <v>0</v>
      </c>
    </row>
    <row r="5959" spans="1:5" x14ac:dyDescent="0.25">
      <c r="A5959" s="3">
        <f t="shared" si="280"/>
        <v>78989</v>
      </c>
      <c r="B5959" t="str">
        <f ca="1">TEXT(DATE(YEAR(Invoer!$A$5),1,1)+INT((ROWS(B$2:B5959)-1)/24),"""18""jjmmdd")</f>
        <v>18980906</v>
      </c>
      <c r="C5959" s="11" t="str">
        <f>INDEX(Data,2,2+MOD(ROWS(C$2:C5959)-1,24))</f>
        <v>06.00</v>
      </c>
      <c r="D5959" s="8">
        <f t="shared" ca="1" si="281"/>
        <v>9</v>
      </c>
      <c r="E5959" s="16">
        <f t="shared" ca="1" si="282"/>
        <v>0</v>
      </c>
    </row>
    <row r="5960" spans="1:5" x14ac:dyDescent="0.25">
      <c r="A5960" s="3">
        <f t="shared" si="280"/>
        <v>78989</v>
      </c>
      <c r="B5960" t="str">
        <f ca="1">TEXT(DATE(YEAR(Invoer!$A$5),1,1)+INT((ROWS(B$2:B5960)-1)/24),"""18""jjmmdd")</f>
        <v>18980906</v>
      </c>
      <c r="C5960" s="11" t="str">
        <f>INDEX(Data,2,2+MOD(ROWS(C$2:C5960)-1,24))</f>
        <v>07.00</v>
      </c>
      <c r="D5960" s="8">
        <f t="shared" ca="1" si="281"/>
        <v>10</v>
      </c>
      <c r="E5960" s="16">
        <f t="shared" ca="1" si="282"/>
        <v>0</v>
      </c>
    </row>
    <row r="5961" spans="1:5" x14ac:dyDescent="0.25">
      <c r="A5961" s="3">
        <f t="shared" si="280"/>
        <v>78989</v>
      </c>
      <c r="B5961" t="str">
        <f ca="1">TEXT(DATE(YEAR(Invoer!$A$5),1,1)+INT((ROWS(B$2:B5961)-1)/24),"""18""jjmmdd")</f>
        <v>18980906</v>
      </c>
      <c r="C5961" s="11" t="str">
        <f>INDEX(Data,2,2+MOD(ROWS(C$2:C5961)-1,24))</f>
        <v>08.00</v>
      </c>
      <c r="D5961" s="8">
        <f t="shared" ca="1" si="281"/>
        <v>12</v>
      </c>
      <c r="E5961" s="16">
        <f t="shared" ca="1" si="282"/>
        <v>0</v>
      </c>
    </row>
    <row r="5962" spans="1:5" x14ac:dyDescent="0.25">
      <c r="A5962" s="3">
        <f t="shared" si="280"/>
        <v>78989</v>
      </c>
      <c r="B5962" t="str">
        <f ca="1">TEXT(DATE(YEAR(Invoer!$A$5),1,1)+INT((ROWS(B$2:B5962)-1)/24),"""18""jjmmdd")</f>
        <v>18980906</v>
      </c>
      <c r="C5962" s="11" t="str">
        <f>INDEX(Data,2,2+MOD(ROWS(C$2:C5962)-1,24))</f>
        <v>09.00</v>
      </c>
      <c r="D5962" s="8">
        <f t="shared" ca="1" si="281"/>
        <v>11</v>
      </c>
      <c r="E5962" s="16">
        <f t="shared" ca="1" si="282"/>
        <v>0</v>
      </c>
    </row>
    <row r="5963" spans="1:5" x14ac:dyDescent="0.25">
      <c r="A5963" s="3">
        <f t="shared" si="280"/>
        <v>78989</v>
      </c>
      <c r="B5963" t="str">
        <f ca="1">TEXT(DATE(YEAR(Invoer!$A$5),1,1)+INT((ROWS(B$2:B5963)-1)/24),"""18""jjmmdd")</f>
        <v>18980906</v>
      </c>
      <c r="C5963" s="11" t="str">
        <f>INDEX(Data,2,2+MOD(ROWS(C$2:C5963)-1,24))</f>
        <v>10.00</v>
      </c>
      <c r="D5963" s="8">
        <f t="shared" ca="1" si="281"/>
        <v>11</v>
      </c>
      <c r="E5963" s="16">
        <f t="shared" ca="1" si="282"/>
        <v>0</v>
      </c>
    </row>
    <row r="5964" spans="1:5" x14ac:dyDescent="0.25">
      <c r="A5964" s="3">
        <f t="shared" si="280"/>
        <v>78989</v>
      </c>
      <c r="B5964" t="str">
        <f ca="1">TEXT(DATE(YEAR(Invoer!$A$5),1,1)+INT((ROWS(B$2:B5964)-1)/24),"""18""jjmmdd")</f>
        <v>18980906</v>
      </c>
      <c r="C5964" s="11" t="str">
        <f>INDEX(Data,2,2+MOD(ROWS(C$2:C5964)-1,24))</f>
        <v>11.00</v>
      </c>
      <c r="D5964" s="8">
        <f t="shared" ca="1" si="281"/>
        <v>12</v>
      </c>
      <c r="E5964" s="16">
        <f t="shared" ca="1" si="282"/>
        <v>0</v>
      </c>
    </row>
    <row r="5965" spans="1:5" x14ac:dyDescent="0.25">
      <c r="A5965" s="3">
        <f t="shared" si="280"/>
        <v>78989</v>
      </c>
      <c r="B5965" t="str">
        <f ca="1">TEXT(DATE(YEAR(Invoer!$A$5),1,1)+INT((ROWS(B$2:B5965)-1)/24),"""18""jjmmdd")</f>
        <v>18980906</v>
      </c>
      <c r="C5965" s="11" t="str">
        <f>INDEX(Data,2,2+MOD(ROWS(C$2:C5965)-1,24))</f>
        <v>12.00</v>
      </c>
      <c r="D5965" s="8">
        <f t="shared" ca="1" si="281"/>
        <v>11</v>
      </c>
      <c r="E5965" s="16">
        <f t="shared" ca="1" si="282"/>
        <v>0</v>
      </c>
    </row>
    <row r="5966" spans="1:5" x14ac:dyDescent="0.25">
      <c r="A5966" s="3">
        <f t="shared" si="280"/>
        <v>78989</v>
      </c>
      <c r="B5966" t="str">
        <f ca="1">TEXT(DATE(YEAR(Invoer!$A$5),1,1)+INT((ROWS(B$2:B5966)-1)/24),"""18""jjmmdd")</f>
        <v>18980906</v>
      </c>
      <c r="C5966" s="11" t="str">
        <f>INDEX(Data,2,2+MOD(ROWS(C$2:C5966)-1,24))</f>
        <v>13.00</v>
      </c>
      <c r="D5966" s="8">
        <f t="shared" ca="1" si="281"/>
        <v>12</v>
      </c>
      <c r="E5966" s="16">
        <f t="shared" ca="1" si="282"/>
        <v>0</v>
      </c>
    </row>
    <row r="5967" spans="1:5" x14ac:dyDescent="0.25">
      <c r="A5967" s="3">
        <f t="shared" si="280"/>
        <v>78989</v>
      </c>
      <c r="B5967" t="str">
        <f ca="1">TEXT(DATE(YEAR(Invoer!$A$5),1,1)+INT((ROWS(B$2:B5967)-1)/24),"""18""jjmmdd")</f>
        <v>18980906</v>
      </c>
      <c r="C5967" s="11" t="str">
        <f>INDEX(Data,2,2+MOD(ROWS(C$2:C5967)-1,24))</f>
        <v>14.00</v>
      </c>
      <c r="D5967" s="8">
        <f t="shared" ca="1" si="281"/>
        <v>13</v>
      </c>
      <c r="E5967" s="16">
        <f t="shared" ca="1" si="282"/>
        <v>0</v>
      </c>
    </row>
    <row r="5968" spans="1:5" x14ac:dyDescent="0.25">
      <c r="A5968" s="3">
        <f t="shared" si="280"/>
        <v>78989</v>
      </c>
      <c r="B5968" t="str">
        <f ca="1">TEXT(DATE(YEAR(Invoer!$A$5),1,1)+INT((ROWS(B$2:B5968)-1)/24),"""18""jjmmdd")</f>
        <v>18980906</v>
      </c>
      <c r="C5968" s="11" t="str">
        <f>INDEX(Data,2,2+MOD(ROWS(C$2:C5968)-1,24))</f>
        <v>15.00</v>
      </c>
      <c r="D5968" s="8">
        <f t="shared" ca="1" si="281"/>
        <v>15</v>
      </c>
      <c r="E5968" s="16">
        <f t="shared" ca="1" si="282"/>
        <v>0</v>
      </c>
    </row>
    <row r="5969" spans="1:5" x14ac:dyDescent="0.25">
      <c r="A5969" s="3">
        <f t="shared" si="280"/>
        <v>78989</v>
      </c>
      <c r="B5969" t="str">
        <f ca="1">TEXT(DATE(YEAR(Invoer!$A$5),1,1)+INT((ROWS(B$2:B5969)-1)/24),"""18""jjmmdd")</f>
        <v>18980906</v>
      </c>
      <c r="C5969" s="11" t="str">
        <f>INDEX(Data,2,2+MOD(ROWS(C$2:C5969)-1,24))</f>
        <v>16.00</v>
      </c>
      <c r="D5969" s="8">
        <f t="shared" ca="1" si="281"/>
        <v>14</v>
      </c>
      <c r="E5969" s="16">
        <f t="shared" ca="1" si="282"/>
        <v>0</v>
      </c>
    </row>
    <row r="5970" spans="1:5" x14ac:dyDescent="0.25">
      <c r="A5970" s="3">
        <f t="shared" si="280"/>
        <v>78989</v>
      </c>
      <c r="B5970" t="str">
        <f ca="1">TEXT(DATE(YEAR(Invoer!$A$5),1,1)+INT((ROWS(B$2:B5970)-1)/24),"""18""jjmmdd")</f>
        <v>18980906</v>
      </c>
      <c r="C5970" s="11" t="str">
        <f>INDEX(Data,2,2+MOD(ROWS(C$2:C5970)-1,24))</f>
        <v>17.00</v>
      </c>
      <c r="D5970" s="8">
        <f t="shared" ca="1" si="281"/>
        <v>15</v>
      </c>
      <c r="E5970" s="16">
        <f t="shared" ca="1" si="282"/>
        <v>0</v>
      </c>
    </row>
    <row r="5971" spans="1:5" x14ac:dyDescent="0.25">
      <c r="A5971" s="3">
        <f t="shared" si="280"/>
        <v>78989</v>
      </c>
      <c r="B5971" t="str">
        <f ca="1">TEXT(DATE(YEAR(Invoer!$A$5),1,1)+INT((ROWS(B$2:B5971)-1)/24),"""18""jjmmdd")</f>
        <v>18980906</v>
      </c>
      <c r="C5971" s="11" t="str">
        <f>INDEX(Data,2,2+MOD(ROWS(C$2:C5971)-1,24))</f>
        <v>18.00</v>
      </c>
      <c r="D5971" s="8">
        <f t="shared" ca="1" si="281"/>
        <v>13</v>
      </c>
      <c r="E5971" s="16">
        <f t="shared" ca="1" si="282"/>
        <v>0</v>
      </c>
    </row>
    <row r="5972" spans="1:5" x14ac:dyDescent="0.25">
      <c r="A5972" s="3">
        <f t="shared" si="280"/>
        <v>78989</v>
      </c>
      <c r="B5972" t="str">
        <f ca="1">TEXT(DATE(YEAR(Invoer!$A$5),1,1)+INT((ROWS(B$2:B5972)-1)/24),"""18""jjmmdd")</f>
        <v>18980906</v>
      </c>
      <c r="C5972" s="11" t="str">
        <f>INDEX(Data,2,2+MOD(ROWS(C$2:C5972)-1,24))</f>
        <v>19.00</v>
      </c>
      <c r="D5972" s="8">
        <f t="shared" ca="1" si="281"/>
        <v>15</v>
      </c>
      <c r="E5972" s="16">
        <f t="shared" ca="1" si="282"/>
        <v>0</v>
      </c>
    </row>
    <row r="5973" spans="1:5" x14ac:dyDescent="0.25">
      <c r="A5973" s="3">
        <f t="shared" si="280"/>
        <v>78989</v>
      </c>
      <c r="B5973" t="str">
        <f ca="1">TEXT(DATE(YEAR(Invoer!$A$5),1,1)+INT((ROWS(B$2:B5973)-1)/24),"""18""jjmmdd")</f>
        <v>18980906</v>
      </c>
      <c r="C5973" s="11" t="str">
        <f>INDEX(Data,2,2+MOD(ROWS(C$2:C5973)-1,24))</f>
        <v>20.00</v>
      </c>
      <c r="D5973" s="8">
        <f t="shared" ca="1" si="281"/>
        <v>12</v>
      </c>
      <c r="E5973" s="16">
        <f t="shared" ca="1" si="282"/>
        <v>0</v>
      </c>
    </row>
    <row r="5974" spans="1:5" x14ac:dyDescent="0.25">
      <c r="A5974" s="3">
        <f t="shared" si="280"/>
        <v>78989</v>
      </c>
      <c r="B5974" t="str">
        <f ca="1">TEXT(DATE(YEAR(Invoer!$A$5),1,1)+INT((ROWS(B$2:B5974)-1)/24),"""18""jjmmdd")</f>
        <v>18980906</v>
      </c>
      <c r="C5974" s="11" t="str">
        <f>INDEX(Data,2,2+MOD(ROWS(C$2:C5974)-1,24))</f>
        <v>21.00</v>
      </c>
      <c r="D5974" s="8">
        <f t="shared" ca="1" si="281"/>
        <v>12</v>
      </c>
      <c r="E5974" s="16">
        <f t="shared" ca="1" si="282"/>
        <v>0</v>
      </c>
    </row>
    <row r="5975" spans="1:5" x14ac:dyDescent="0.25">
      <c r="A5975" s="3">
        <f t="shared" si="280"/>
        <v>78989</v>
      </c>
      <c r="B5975" t="str">
        <f ca="1">TEXT(DATE(YEAR(Invoer!$A$5),1,1)+INT((ROWS(B$2:B5975)-1)/24),"""18""jjmmdd")</f>
        <v>18980906</v>
      </c>
      <c r="C5975" s="11" t="str">
        <f>INDEX(Data,2,2+MOD(ROWS(C$2:C5975)-1,24))</f>
        <v>22.00</v>
      </c>
      <c r="D5975" s="8">
        <f t="shared" ca="1" si="281"/>
        <v>10</v>
      </c>
      <c r="E5975" s="16">
        <f t="shared" ca="1" si="282"/>
        <v>0</v>
      </c>
    </row>
    <row r="5976" spans="1:5" x14ac:dyDescent="0.25">
      <c r="A5976" s="3">
        <f t="shared" si="280"/>
        <v>78989</v>
      </c>
      <c r="B5976" t="str">
        <f ca="1">TEXT(DATE(YEAR(Invoer!$A$5),1,1)+INT((ROWS(B$2:B5976)-1)/24),"""18""jjmmdd")</f>
        <v>18980906</v>
      </c>
      <c r="C5976" s="11" t="str">
        <f>INDEX(Data,2,2+MOD(ROWS(C$2:C5976)-1,24))</f>
        <v>23.00</v>
      </c>
      <c r="D5976" s="8">
        <f t="shared" ca="1" si="281"/>
        <v>9</v>
      </c>
      <c r="E5976" s="16">
        <f t="shared" ca="1" si="282"/>
        <v>0</v>
      </c>
    </row>
    <row r="5977" spans="1:5" x14ac:dyDescent="0.25">
      <c r="A5977" s="3">
        <f t="shared" si="280"/>
        <v>78989</v>
      </c>
      <c r="B5977" t="str">
        <f ca="1">TEXT(DATE(YEAR(Invoer!$A$5),1,1)+INT((ROWS(B$2:B5977)-1)/24),"""18""jjmmdd")</f>
        <v>18980906</v>
      </c>
      <c r="C5977" s="11" t="str">
        <f>INDEX(Data,2,2+MOD(ROWS(C$2:C5977)-1,24))</f>
        <v>24.00</v>
      </c>
      <c r="D5977" s="8">
        <f t="shared" ca="1" si="281"/>
        <v>10</v>
      </c>
      <c r="E5977" s="16">
        <f t="shared" ca="1" si="282"/>
        <v>0</v>
      </c>
    </row>
    <row r="5978" spans="1:5" x14ac:dyDescent="0.25">
      <c r="A5978" s="3">
        <f t="shared" si="280"/>
        <v>78989</v>
      </c>
      <c r="B5978" t="str">
        <f ca="1">TEXT(DATE(YEAR(Invoer!$A$5),1,1)+INT((ROWS(B$2:B5978)-1)/24),"""18""jjmmdd")</f>
        <v>18980907</v>
      </c>
      <c r="C5978" s="11" t="str">
        <f>INDEX(Data,2,2+MOD(ROWS(C$2:C5978)-1,24))</f>
        <v>01.00</v>
      </c>
      <c r="D5978" s="8">
        <f t="shared" ca="1" si="281"/>
        <v>8</v>
      </c>
      <c r="E5978" s="16">
        <f t="shared" ca="1" si="282"/>
        <v>0</v>
      </c>
    </row>
    <row r="5979" spans="1:5" x14ac:dyDescent="0.25">
      <c r="A5979" s="3">
        <f t="shared" si="280"/>
        <v>78989</v>
      </c>
      <c r="B5979" t="str">
        <f ca="1">TEXT(DATE(YEAR(Invoer!$A$5),1,1)+INT((ROWS(B$2:B5979)-1)/24),"""18""jjmmdd")</f>
        <v>18980907</v>
      </c>
      <c r="C5979" s="11" t="str">
        <f>INDEX(Data,2,2+MOD(ROWS(C$2:C5979)-1,24))</f>
        <v>02.00</v>
      </c>
      <c r="D5979" s="8">
        <f t="shared" ca="1" si="281"/>
        <v>8</v>
      </c>
      <c r="E5979" s="16">
        <f t="shared" ca="1" si="282"/>
        <v>0</v>
      </c>
    </row>
    <row r="5980" spans="1:5" x14ac:dyDescent="0.25">
      <c r="A5980" s="3">
        <f t="shared" si="280"/>
        <v>78989</v>
      </c>
      <c r="B5980" t="str">
        <f ca="1">TEXT(DATE(YEAR(Invoer!$A$5),1,1)+INT((ROWS(B$2:B5980)-1)/24),"""18""jjmmdd")</f>
        <v>18980907</v>
      </c>
      <c r="C5980" s="11" t="str">
        <f>INDEX(Data,2,2+MOD(ROWS(C$2:C5980)-1,24))</f>
        <v>03.00</v>
      </c>
      <c r="D5980" s="8">
        <f t="shared" ca="1" si="281"/>
        <v>6</v>
      </c>
      <c r="E5980" s="16">
        <f t="shared" ca="1" si="282"/>
        <v>0</v>
      </c>
    </row>
    <row r="5981" spans="1:5" x14ac:dyDescent="0.25">
      <c r="A5981" s="3">
        <f t="shared" si="280"/>
        <v>78989</v>
      </c>
      <c r="B5981" t="str">
        <f ca="1">TEXT(DATE(YEAR(Invoer!$A$5),1,1)+INT((ROWS(B$2:B5981)-1)/24),"""18""jjmmdd")</f>
        <v>18980907</v>
      </c>
      <c r="C5981" s="11" t="str">
        <f>INDEX(Data,2,2+MOD(ROWS(C$2:C5981)-1,24))</f>
        <v>04.00</v>
      </c>
      <c r="D5981" s="8">
        <f t="shared" ca="1" si="281"/>
        <v>8</v>
      </c>
      <c r="E5981" s="16">
        <f t="shared" ca="1" si="282"/>
        <v>0</v>
      </c>
    </row>
    <row r="5982" spans="1:5" x14ac:dyDescent="0.25">
      <c r="A5982" s="3">
        <f t="shared" si="280"/>
        <v>78989</v>
      </c>
      <c r="B5982" t="str">
        <f ca="1">TEXT(DATE(YEAR(Invoer!$A$5),1,1)+INT((ROWS(B$2:B5982)-1)/24),"""18""jjmmdd")</f>
        <v>18980907</v>
      </c>
      <c r="C5982" s="11" t="str">
        <f>INDEX(Data,2,2+MOD(ROWS(C$2:C5982)-1,24))</f>
        <v>05.00</v>
      </c>
      <c r="D5982" s="8">
        <f t="shared" ca="1" si="281"/>
        <v>5</v>
      </c>
      <c r="E5982" s="16">
        <f t="shared" ca="1" si="282"/>
        <v>0</v>
      </c>
    </row>
    <row r="5983" spans="1:5" x14ac:dyDescent="0.25">
      <c r="A5983" s="3">
        <f t="shared" si="280"/>
        <v>78989</v>
      </c>
      <c r="B5983" t="str">
        <f ca="1">TEXT(DATE(YEAR(Invoer!$A$5),1,1)+INT((ROWS(B$2:B5983)-1)/24),"""18""jjmmdd")</f>
        <v>18980907</v>
      </c>
      <c r="C5983" s="11" t="str">
        <f>INDEX(Data,2,2+MOD(ROWS(C$2:C5983)-1,24))</f>
        <v>06.00</v>
      </c>
      <c r="D5983" s="8">
        <f t="shared" ca="1" si="281"/>
        <v>5</v>
      </c>
      <c r="E5983" s="16">
        <f t="shared" ca="1" si="282"/>
        <v>0</v>
      </c>
    </row>
    <row r="5984" spans="1:5" x14ac:dyDescent="0.25">
      <c r="A5984" s="3">
        <f t="shared" si="280"/>
        <v>78989</v>
      </c>
      <c r="B5984" t="str">
        <f ca="1">TEXT(DATE(YEAR(Invoer!$A$5),1,1)+INT((ROWS(B$2:B5984)-1)/24),"""18""jjmmdd")</f>
        <v>18980907</v>
      </c>
      <c r="C5984" s="11" t="str">
        <f>INDEX(Data,2,2+MOD(ROWS(C$2:C5984)-1,24))</f>
        <v>07.00</v>
      </c>
      <c r="D5984" s="8">
        <f t="shared" ca="1" si="281"/>
        <v>7</v>
      </c>
      <c r="E5984" s="16">
        <f t="shared" ca="1" si="282"/>
        <v>0</v>
      </c>
    </row>
    <row r="5985" spans="1:5" x14ac:dyDescent="0.25">
      <c r="A5985" s="3">
        <f t="shared" si="280"/>
        <v>78989</v>
      </c>
      <c r="B5985" t="str">
        <f ca="1">TEXT(DATE(YEAR(Invoer!$A$5),1,1)+INT((ROWS(B$2:B5985)-1)/24),"""18""jjmmdd")</f>
        <v>18980907</v>
      </c>
      <c r="C5985" s="11" t="str">
        <f>INDEX(Data,2,2+MOD(ROWS(C$2:C5985)-1,24))</f>
        <v>08.00</v>
      </c>
      <c r="D5985" s="8">
        <f t="shared" ca="1" si="281"/>
        <v>12</v>
      </c>
      <c r="E5985" s="16">
        <f t="shared" ca="1" si="282"/>
        <v>0</v>
      </c>
    </row>
    <row r="5986" spans="1:5" x14ac:dyDescent="0.25">
      <c r="A5986" s="3">
        <f t="shared" si="280"/>
        <v>78989</v>
      </c>
      <c r="B5986" t="str">
        <f ca="1">TEXT(DATE(YEAR(Invoer!$A$5),1,1)+INT((ROWS(B$2:B5986)-1)/24),"""18""jjmmdd")</f>
        <v>18980907</v>
      </c>
      <c r="C5986" s="11" t="str">
        <f>INDEX(Data,2,2+MOD(ROWS(C$2:C5986)-1,24))</f>
        <v>09.00</v>
      </c>
      <c r="D5986" s="8">
        <f t="shared" ca="1" si="281"/>
        <v>13</v>
      </c>
      <c r="E5986" s="16">
        <f t="shared" ca="1" si="282"/>
        <v>0</v>
      </c>
    </row>
    <row r="5987" spans="1:5" x14ac:dyDescent="0.25">
      <c r="A5987" s="3">
        <f t="shared" si="280"/>
        <v>78989</v>
      </c>
      <c r="B5987" t="str">
        <f ca="1">TEXT(DATE(YEAR(Invoer!$A$5),1,1)+INT((ROWS(B$2:B5987)-1)/24),"""18""jjmmdd")</f>
        <v>18980907</v>
      </c>
      <c r="C5987" s="11" t="str">
        <f>INDEX(Data,2,2+MOD(ROWS(C$2:C5987)-1,24))</f>
        <v>10.00</v>
      </c>
      <c r="D5987" s="8">
        <f t="shared" ca="1" si="281"/>
        <v>13</v>
      </c>
      <c r="E5987" s="16">
        <f t="shared" ca="1" si="282"/>
        <v>0</v>
      </c>
    </row>
    <row r="5988" spans="1:5" x14ac:dyDescent="0.25">
      <c r="A5988" s="3">
        <f t="shared" si="280"/>
        <v>78989</v>
      </c>
      <c r="B5988" t="str">
        <f ca="1">TEXT(DATE(YEAR(Invoer!$A$5),1,1)+INT((ROWS(B$2:B5988)-1)/24),"""18""jjmmdd")</f>
        <v>18980907</v>
      </c>
      <c r="C5988" s="11" t="str">
        <f>INDEX(Data,2,2+MOD(ROWS(C$2:C5988)-1,24))</f>
        <v>11.00</v>
      </c>
      <c r="D5988" s="8">
        <f t="shared" ca="1" si="281"/>
        <v>13</v>
      </c>
      <c r="E5988" s="16">
        <f t="shared" ca="1" si="282"/>
        <v>0</v>
      </c>
    </row>
    <row r="5989" spans="1:5" x14ac:dyDescent="0.25">
      <c r="A5989" s="3">
        <f t="shared" si="280"/>
        <v>78989</v>
      </c>
      <c r="B5989" t="str">
        <f ca="1">TEXT(DATE(YEAR(Invoer!$A$5),1,1)+INT((ROWS(B$2:B5989)-1)/24),"""18""jjmmdd")</f>
        <v>18980907</v>
      </c>
      <c r="C5989" s="11" t="str">
        <f>INDEX(Data,2,2+MOD(ROWS(C$2:C5989)-1,24))</f>
        <v>12.00</v>
      </c>
      <c r="D5989" s="8">
        <f t="shared" ca="1" si="281"/>
        <v>13</v>
      </c>
      <c r="E5989" s="16">
        <f t="shared" ca="1" si="282"/>
        <v>0</v>
      </c>
    </row>
    <row r="5990" spans="1:5" x14ac:dyDescent="0.25">
      <c r="A5990" s="3">
        <f t="shared" si="280"/>
        <v>78989</v>
      </c>
      <c r="B5990" t="str">
        <f ca="1">TEXT(DATE(YEAR(Invoer!$A$5),1,1)+INT((ROWS(B$2:B5990)-1)/24),"""18""jjmmdd")</f>
        <v>18980907</v>
      </c>
      <c r="C5990" s="11" t="str">
        <f>INDEX(Data,2,2+MOD(ROWS(C$2:C5990)-1,24))</f>
        <v>13.00</v>
      </c>
      <c r="D5990" s="8">
        <f t="shared" ca="1" si="281"/>
        <v>15</v>
      </c>
      <c r="E5990" s="16">
        <f t="shared" ca="1" si="282"/>
        <v>0</v>
      </c>
    </row>
    <row r="5991" spans="1:5" x14ac:dyDescent="0.25">
      <c r="A5991" s="3">
        <f t="shared" si="280"/>
        <v>78989</v>
      </c>
      <c r="B5991" t="str">
        <f ca="1">TEXT(DATE(YEAR(Invoer!$A$5),1,1)+INT((ROWS(B$2:B5991)-1)/24),"""18""jjmmdd")</f>
        <v>18980907</v>
      </c>
      <c r="C5991" s="11" t="str">
        <f>INDEX(Data,2,2+MOD(ROWS(C$2:C5991)-1,24))</f>
        <v>14.00</v>
      </c>
      <c r="D5991" s="8">
        <f t="shared" ca="1" si="281"/>
        <v>11</v>
      </c>
      <c r="E5991" s="16">
        <f t="shared" ca="1" si="282"/>
        <v>0</v>
      </c>
    </row>
    <row r="5992" spans="1:5" x14ac:dyDescent="0.25">
      <c r="A5992" s="3">
        <f t="shared" si="280"/>
        <v>78989</v>
      </c>
      <c r="B5992" t="str">
        <f ca="1">TEXT(DATE(YEAR(Invoer!$A$5),1,1)+INT((ROWS(B$2:B5992)-1)/24),"""18""jjmmdd")</f>
        <v>18980907</v>
      </c>
      <c r="C5992" s="11" t="str">
        <f>INDEX(Data,2,2+MOD(ROWS(C$2:C5992)-1,24))</f>
        <v>15.00</v>
      </c>
      <c r="D5992" s="8">
        <f t="shared" ca="1" si="281"/>
        <v>12</v>
      </c>
      <c r="E5992" s="16">
        <f t="shared" ca="1" si="282"/>
        <v>0</v>
      </c>
    </row>
    <row r="5993" spans="1:5" x14ac:dyDescent="0.25">
      <c r="A5993" s="3">
        <f t="shared" si="280"/>
        <v>78989</v>
      </c>
      <c r="B5993" t="str">
        <f ca="1">TEXT(DATE(YEAR(Invoer!$A$5),1,1)+INT((ROWS(B$2:B5993)-1)/24),"""18""jjmmdd")</f>
        <v>18980907</v>
      </c>
      <c r="C5993" s="11" t="str">
        <f>INDEX(Data,2,2+MOD(ROWS(C$2:C5993)-1,24))</f>
        <v>16.00</v>
      </c>
      <c r="D5993" s="8">
        <f t="shared" ca="1" si="281"/>
        <v>11</v>
      </c>
      <c r="E5993" s="16">
        <f t="shared" ca="1" si="282"/>
        <v>0</v>
      </c>
    </row>
    <row r="5994" spans="1:5" x14ac:dyDescent="0.25">
      <c r="A5994" s="3">
        <f t="shared" si="280"/>
        <v>78989</v>
      </c>
      <c r="B5994" t="str">
        <f ca="1">TEXT(DATE(YEAR(Invoer!$A$5),1,1)+INT((ROWS(B$2:B5994)-1)/24),"""18""jjmmdd")</f>
        <v>18980907</v>
      </c>
      <c r="C5994" s="11" t="str">
        <f>INDEX(Data,2,2+MOD(ROWS(C$2:C5994)-1,24))</f>
        <v>17.00</v>
      </c>
      <c r="D5994" s="8">
        <f t="shared" ca="1" si="281"/>
        <v>12</v>
      </c>
      <c r="E5994" s="16">
        <f t="shared" ca="1" si="282"/>
        <v>0</v>
      </c>
    </row>
    <row r="5995" spans="1:5" x14ac:dyDescent="0.25">
      <c r="A5995" s="3">
        <f t="shared" si="280"/>
        <v>78989</v>
      </c>
      <c r="B5995" t="str">
        <f ca="1">TEXT(DATE(YEAR(Invoer!$A$5),1,1)+INT((ROWS(B$2:B5995)-1)/24),"""18""jjmmdd")</f>
        <v>18980907</v>
      </c>
      <c r="C5995" s="11" t="str">
        <f>INDEX(Data,2,2+MOD(ROWS(C$2:C5995)-1,24))</f>
        <v>18.00</v>
      </c>
      <c r="D5995" s="8">
        <f t="shared" ca="1" si="281"/>
        <v>11</v>
      </c>
      <c r="E5995" s="16">
        <f t="shared" ca="1" si="282"/>
        <v>0</v>
      </c>
    </row>
    <row r="5996" spans="1:5" x14ac:dyDescent="0.25">
      <c r="A5996" s="3">
        <f t="shared" si="280"/>
        <v>78989</v>
      </c>
      <c r="B5996" t="str">
        <f ca="1">TEXT(DATE(YEAR(Invoer!$A$5),1,1)+INT((ROWS(B$2:B5996)-1)/24),"""18""jjmmdd")</f>
        <v>18980907</v>
      </c>
      <c r="C5996" s="11" t="str">
        <f>INDEX(Data,2,2+MOD(ROWS(C$2:C5996)-1,24))</f>
        <v>19.00</v>
      </c>
      <c r="D5996" s="8">
        <f t="shared" ca="1" si="281"/>
        <v>10</v>
      </c>
      <c r="E5996" s="16">
        <f t="shared" ca="1" si="282"/>
        <v>0</v>
      </c>
    </row>
    <row r="5997" spans="1:5" x14ac:dyDescent="0.25">
      <c r="A5997" s="3">
        <f t="shared" si="280"/>
        <v>78989</v>
      </c>
      <c r="B5997" t="str">
        <f ca="1">TEXT(DATE(YEAR(Invoer!$A$5),1,1)+INT((ROWS(B$2:B5997)-1)/24),"""18""jjmmdd")</f>
        <v>18980907</v>
      </c>
      <c r="C5997" s="11" t="str">
        <f>INDEX(Data,2,2+MOD(ROWS(C$2:C5997)-1,24))</f>
        <v>20.00</v>
      </c>
      <c r="D5997" s="8">
        <f t="shared" ca="1" si="281"/>
        <v>10</v>
      </c>
      <c r="E5997" s="16">
        <f t="shared" ca="1" si="282"/>
        <v>0</v>
      </c>
    </row>
    <row r="5998" spans="1:5" x14ac:dyDescent="0.25">
      <c r="A5998" s="3">
        <f t="shared" si="280"/>
        <v>78989</v>
      </c>
      <c r="B5998" t="str">
        <f ca="1">TEXT(DATE(YEAR(Invoer!$A$5),1,1)+INT((ROWS(B$2:B5998)-1)/24),"""18""jjmmdd")</f>
        <v>18980907</v>
      </c>
      <c r="C5998" s="11" t="str">
        <f>INDEX(Data,2,2+MOD(ROWS(C$2:C5998)-1,24))</f>
        <v>21.00</v>
      </c>
      <c r="D5998" s="8">
        <f t="shared" ca="1" si="281"/>
        <v>9</v>
      </c>
      <c r="E5998" s="16">
        <f t="shared" ca="1" si="282"/>
        <v>0</v>
      </c>
    </row>
    <row r="5999" spans="1:5" x14ac:dyDescent="0.25">
      <c r="A5999" s="3">
        <f t="shared" si="280"/>
        <v>78989</v>
      </c>
      <c r="B5999" t="str">
        <f ca="1">TEXT(DATE(YEAR(Invoer!$A$5),1,1)+INT((ROWS(B$2:B5999)-1)/24),"""18""jjmmdd")</f>
        <v>18980907</v>
      </c>
      <c r="C5999" s="11" t="str">
        <f>INDEX(Data,2,2+MOD(ROWS(C$2:C5999)-1,24))</f>
        <v>22.00</v>
      </c>
      <c r="D5999" s="8">
        <f t="shared" ca="1" si="281"/>
        <v>9</v>
      </c>
      <c r="E5999" s="16">
        <f t="shared" ca="1" si="282"/>
        <v>0</v>
      </c>
    </row>
    <row r="6000" spans="1:5" x14ac:dyDescent="0.25">
      <c r="A6000" s="3">
        <f t="shared" si="280"/>
        <v>78989</v>
      </c>
      <c r="B6000" t="str">
        <f ca="1">TEXT(DATE(YEAR(Invoer!$A$5),1,1)+INT((ROWS(B$2:B6000)-1)/24),"""18""jjmmdd")</f>
        <v>18980907</v>
      </c>
      <c r="C6000" s="11" t="str">
        <f>INDEX(Data,2,2+MOD(ROWS(C$2:C6000)-1,24))</f>
        <v>23.00</v>
      </c>
      <c r="D6000" s="8">
        <f t="shared" ca="1" si="281"/>
        <v>9</v>
      </c>
      <c r="E6000" s="16">
        <f t="shared" ca="1" si="282"/>
        <v>0</v>
      </c>
    </row>
    <row r="6001" spans="1:5" x14ac:dyDescent="0.25">
      <c r="A6001" s="3">
        <f t="shared" si="280"/>
        <v>78989</v>
      </c>
      <c r="B6001" t="str">
        <f ca="1">TEXT(DATE(YEAR(Invoer!$A$5),1,1)+INT((ROWS(B$2:B6001)-1)/24),"""18""jjmmdd")</f>
        <v>18980907</v>
      </c>
      <c r="C6001" s="11" t="str">
        <f>INDEX(Data,2,2+MOD(ROWS(C$2:C6001)-1,24))</f>
        <v>24.00</v>
      </c>
      <c r="D6001" s="8">
        <f t="shared" ca="1" si="281"/>
        <v>9</v>
      </c>
      <c r="E6001" s="16">
        <f t="shared" ca="1" si="282"/>
        <v>0</v>
      </c>
    </row>
    <row r="6002" spans="1:5" x14ac:dyDescent="0.25">
      <c r="A6002" s="3">
        <f t="shared" si="280"/>
        <v>78989</v>
      </c>
      <c r="B6002" t="str">
        <f ca="1">TEXT(DATE(YEAR(Invoer!$A$5),1,1)+INT((ROWS(B$2:B6002)-1)/24),"""18""jjmmdd")</f>
        <v>18980908</v>
      </c>
      <c r="C6002" s="11" t="str">
        <f>INDEX(Data,2,2+MOD(ROWS(C$2:C6002)-1,24))</f>
        <v>01.00</v>
      </c>
      <c r="D6002" s="8">
        <f t="shared" ca="1" si="281"/>
        <v>9</v>
      </c>
      <c r="E6002" s="16">
        <f t="shared" ca="1" si="282"/>
        <v>0</v>
      </c>
    </row>
    <row r="6003" spans="1:5" x14ac:dyDescent="0.25">
      <c r="A6003" s="3">
        <f t="shared" si="280"/>
        <v>78989</v>
      </c>
      <c r="B6003" t="str">
        <f ca="1">TEXT(DATE(YEAR(Invoer!$A$5),1,1)+INT((ROWS(B$2:B6003)-1)/24),"""18""jjmmdd")</f>
        <v>18980908</v>
      </c>
      <c r="C6003" s="11" t="str">
        <f>INDEX(Data,2,2+MOD(ROWS(C$2:C6003)-1,24))</f>
        <v>02.00</v>
      </c>
      <c r="D6003" s="8">
        <f t="shared" ca="1" si="281"/>
        <v>7</v>
      </c>
      <c r="E6003" s="16">
        <f t="shared" ca="1" si="282"/>
        <v>0</v>
      </c>
    </row>
    <row r="6004" spans="1:5" x14ac:dyDescent="0.25">
      <c r="A6004" s="3">
        <f t="shared" si="280"/>
        <v>78989</v>
      </c>
      <c r="B6004" t="str">
        <f ca="1">TEXT(DATE(YEAR(Invoer!$A$5),1,1)+INT((ROWS(B$2:B6004)-1)/24),"""18""jjmmdd")</f>
        <v>18980908</v>
      </c>
      <c r="C6004" s="11" t="str">
        <f>INDEX(Data,2,2+MOD(ROWS(C$2:C6004)-1,24))</f>
        <v>03.00</v>
      </c>
      <c r="D6004" s="8">
        <f t="shared" ca="1" si="281"/>
        <v>6</v>
      </c>
      <c r="E6004" s="16">
        <f t="shared" ca="1" si="282"/>
        <v>0</v>
      </c>
    </row>
    <row r="6005" spans="1:5" x14ac:dyDescent="0.25">
      <c r="A6005" s="3">
        <f t="shared" si="280"/>
        <v>78989</v>
      </c>
      <c r="B6005" t="str">
        <f ca="1">TEXT(DATE(YEAR(Invoer!$A$5),1,1)+INT((ROWS(B$2:B6005)-1)/24),"""18""jjmmdd")</f>
        <v>18980908</v>
      </c>
      <c r="C6005" s="11" t="str">
        <f>INDEX(Data,2,2+MOD(ROWS(C$2:C6005)-1,24))</f>
        <v>04.00</v>
      </c>
      <c r="D6005" s="8">
        <f t="shared" ca="1" si="281"/>
        <v>5</v>
      </c>
      <c r="E6005" s="16">
        <f t="shared" ca="1" si="282"/>
        <v>0</v>
      </c>
    </row>
    <row r="6006" spans="1:5" x14ac:dyDescent="0.25">
      <c r="A6006" s="3">
        <f t="shared" si="280"/>
        <v>78989</v>
      </c>
      <c r="B6006" t="str">
        <f ca="1">TEXT(DATE(YEAR(Invoer!$A$5),1,1)+INT((ROWS(B$2:B6006)-1)/24),"""18""jjmmdd")</f>
        <v>18980908</v>
      </c>
      <c r="C6006" s="11" t="str">
        <f>INDEX(Data,2,2+MOD(ROWS(C$2:C6006)-1,24))</f>
        <v>05.00</v>
      </c>
      <c r="D6006" s="8">
        <f t="shared" ca="1" si="281"/>
        <v>6</v>
      </c>
      <c r="E6006" s="16">
        <f t="shared" ca="1" si="282"/>
        <v>0</v>
      </c>
    </row>
    <row r="6007" spans="1:5" x14ac:dyDescent="0.25">
      <c r="A6007" s="3">
        <f t="shared" si="280"/>
        <v>78989</v>
      </c>
      <c r="B6007" t="str">
        <f ca="1">TEXT(DATE(YEAR(Invoer!$A$5),1,1)+INT((ROWS(B$2:B6007)-1)/24),"""18""jjmmdd")</f>
        <v>18980908</v>
      </c>
      <c r="C6007" s="11" t="str">
        <f>INDEX(Data,2,2+MOD(ROWS(C$2:C6007)-1,24))</f>
        <v>06.00</v>
      </c>
      <c r="D6007" s="8">
        <f t="shared" ca="1" si="281"/>
        <v>4</v>
      </c>
      <c r="E6007" s="16">
        <f t="shared" ca="1" si="282"/>
        <v>0</v>
      </c>
    </row>
    <row r="6008" spans="1:5" x14ac:dyDescent="0.25">
      <c r="A6008" s="3">
        <f t="shared" si="280"/>
        <v>78989</v>
      </c>
      <c r="B6008" t="str">
        <f ca="1">TEXT(DATE(YEAR(Invoer!$A$5),1,1)+INT((ROWS(B$2:B6008)-1)/24),"""18""jjmmdd")</f>
        <v>18980908</v>
      </c>
      <c r="C6008" s="11" t="str">
        <f>INDEX(Data,2,2+MOD(ROWS(C$2:C6008)-1,24))</f>
        <v>07.00</v>
      </c>
      <c r="D6008" s="8">
        <f t="shared" ca="1" si="281"/>
        <v>5</v>
      </c>
      <c r="E6008" s="16">
        <f t="shared" ca="1" si="282"/>
        <v>0</v>
      </c>
    </row>
    <row r="6009" spans="1:5" x14ac:dyDescent="0.25">
      <c r="A6009" s="3">
        <f t="shared" si="280"/>
        <v>78989</v>
      </c>
      <c r="B6009" t="str">
        <f ca="1">TEXT(DATE(YEAR(Invoer!$A$5),1,1)+INT((ROWS(B$2:B6009)-1)/24),"""18""jjmmdd")</f>
        <v>18980908</v>
      </c>
      <c r="C6009" s="11" t="str">
        <f>INDEX(Data,2,2+MOD(ROWS(C$2:C6009)-1,24))</f>
        <v>08.00</v>
      </c>
      <c r="D6009" s="8">
        <f t="shared" ca="1" si="281"/>
        <v>6</v>
      </c>
      <c r="E6009" s="16">
        <f t="shared" ca="1" si="282"/>
        <v>0</v>
      </c>
    </row>
    <row r="6010" spans="1:5" x14ac:dyDescent="0.25">
      <c r="A6010" s="3">
        <f t="shared" si="280"/>
        <v>78989</v>
      </c>
      <c r="B6010" t="str">
        <f ca="1">TEXT(DATE(YEAR(Invoer!$A$5),1,1)+INT((ROWS(B$2:B6010)-1)/24),"""18""jjmmdd")</f>
        <v>18980908</v>
      </c>
      <c r="C6010" s="11" t="str">
        <f>INDEX(Data,2,2+MOD(ROWS(C$2:C6010)-1,24))</f>
        <v>09.00</v>
      </c>
      <c r="D6010" s="8">
        <f t="shared" ca="1" si="281"/>
        <v>6</v>
      </c>
      <c r="E6010" s="16">
        <f t="shared" ca="1" si="282"/>
        <v>0</v>
      </c>
    </row>
    <row r="6011" spans="1:5" x14ac:dyDescent="0.25">
      <c r="A6011" s="3">
        <f t="shared" si="280"/>
        <v>78989</v>
      </c>
      <c r="B6011" t="str">
        <f ca="1">TEXT(DATE(YEAR(Invoer!$A$5),1,1)+INT((ROWS(B$2:B6011)-1)/24),"""18""jjmmdd")</f>
        <v>18980908</v>
      </c>
      <c r="C6011" s="11" t="str">
        <f>INDEX(Data,2,2+MOD(ROWS(C$2:C6011)-1,24))</f>
        <v>10.00</v>
      </c>
      <c r="D6011" s="8">
        <f t="shared" ca="1" si="281"/>
        <v>7</v>
      </c>
      <c r="E6011" s="16">
        <f t="shared" ca="1" si="282"/>
        <v>0</v>
      </c>
    </row>
    <row r="6012" spans="1:5" x14ac:dyDescent="0.25">
      <c r="A6012" s="3">
        <f t="shared" si="280"/>
        <v>78989</v>
      </c>
      <c r="B6012" t="str">
        <f ca="1">TEXT(DATE(YEAR(Invoer!$A$5),1,1)+INT((ROWS(B$2:B6012)-1)/24),"""18""jjmmdd")</f>
        <v>18980908</v>
      </c>
      <c r="C6012" s="11" t="str">
        <f>INDEX(Data,2,2+MOD(ROWS(C$2:C6012)-1,24))</f>
        <v>11.00</v>
      </c>
      <c r="D6012" s="8">
        <f t="shared" ca="1" si="281"/>
        <v>10</v>
      </c>
      <c r="E6012" s="16">
        <f t="shared" ca="1" si="282"/>
        <v>0</v>
      </c>
    </row>
    <row r="6013" spans="1:5" x14ac:dyDescent="0.25">
      <c r="A6013" s="3">
        <f t="shared" si="280"/>
        <v>78989</v>
      </c>
      <c r="B6013" t="str">
        <f ca="1">TEXT(DATE(YEAR(Invoer!$A$5),1,1)+INT((ROWS(B$2:B6013)-1)/24),"""18""jjmmdd")</f>
        <v>18980908</v>
      </c>
      <c r="C6013" s="11" t="str">
        <f>INDEX(Data,2,2+MOD(ROWS(C$2:C6013)-1,24))</f>
        <v>12.00</v>
      </c>
      <c r="D6013" s="8">
        <f t="shared" ca="1" si="281"/>
        <v>9</v>
      </c>
      <c r="E6013" s="16">
        <f t="shared" ca="1" si="282"/>
        <v>0</v>
      </c>
    </row>
    <row r="6014" spans="1:5" x14ac:dyDescent="0.25">
      <c r="A6014" s="3">
        <f t="shared" si="280"/>
        <v>78989</v>
      </c>
      <c r="B6014" t="str">
        <f ca="1">TEXT(DATE(YEAR(Invoer!$A$5),1,1)+INT((ROWS(B$2:B6014)-1)/24),"""18""jjmmdd")</f>
        <v>18980908</v>
      </c>
      <c r="C6014" s="11" t="str">
        <f>INDEX(Data,2,2+MOD(ROWS(C$2:C6014)-1,24))</f>
        <v>13.00</v>
      </c>
      <c r="D6014" s="8">
        <f t="shared" ca="1" si="281"/>
        <v>7</v>
      </c>
      <c r="E6014" s="16">
        <f t="shared" ca="1" si="282"/>
        <v>0</v>
      </c>
    </row>
    <row r="6015" spans="1:5" x14ac:dyDescent="0.25">
      <c r="A6015" s="3">
        <f t="shared" si="280"/>
        <v>78989</v>
      </c>
      <c r="B6015" t="str">
        <f ca="1">TEXT(DATE(YEAR(Invoer!$A$5),1,1)+INT((ROWS(B$2:B6015)-1)/24),"""18""jjmmdd")</f>
        <v>18980908</v>
      </c>
      <c r="C6015" s="11" t="str">
        <f>INDEX(Data,2,2+MOD(ROWS(C$2:C6015)-1,24))</f>
        <v>14.00</v>
      </c>
      <c r="D6015" s="8">
        <f t="shared" ca="1" si="281"/>
        <v>11</v>
      </c>
      <c r="E6015" s="16">
        <f t="shared" ca="1" si="282"/>
        <v>0</v>
      </c>
    </row>
    <row r="6016" spans="1:5" x14ac:dyDescent="0.25">
      <c r="A6016" s="3">
        <f t="shared" si="280"/>
        <v>78989</v>
      </c>
      <c r="B6016" t="str">
        <f ca="1">TEXT(DATE(YEAR(Invoer!$A$5),1,1)+INT((ROWS(B$2:B6016)-1)/24),"""18""jjmmdd")</f>
        <v>18980908</v>
      </c>
      <c r="C6016" s="11" t="str">
        <f>INDEX(Data,2,2+MOD(ROWS(C$2:C6016)-1,24))</f>
        <v>15.00</v>
      </c>
      <c r="D6016" s="8">
        <f t="shared" ca="1" si="281"/>
        <v>12</v>
      </c>
      <c r="E6016" s="16">
        <f t="shared" ca="1" si="282"/>
        <v>0</v>
      </c>
    </row>
    <row r="6017" spans="1:5" x14ac:dyDescent="0.25">
      <c r="A6017" s="3">
        <f t="shared" si="280"/>
        <v>78989</v>
      </c>
      <c r="B6017" t="str">
        <f ca="1">TEXT(DATE(YEAR(Invoer!$A$5),1,1)+INT((ROWS(B$2:B6017)-1)/24),"""18""jjmmdd")</f>
        <v>18980908</v>
      </c>
      <c r="C6017" s="11" t="str">
        <f>INDEX(Data,2,2+MOD(ROWS(C$2:C6017)-1,24))</f>
        <v>16.00</v>
      </c>
      <c r="D6017" s="8">
        <f t="shared" ca="1" si="281"/>
        <v>13</v>
      </c>
      <c r="E6017" s="16">
        <f t="shared" ca="1" si="282"/>
        <v>0</v>
      </c>
    </row>
    <row r="6018" spans="1:5" x14ac:dyDescent="0.25">
      <c r="A6018" s="3">
        <f t="shared" ref="A6018:A6081" si="283">INDEX(Stations,2,1)</f>
        <v>78989</v>
      </c>
      <c r="B6018" t="str">
        <f ca="1">TEXT(DATE(YEAR(Invoer!$A$5),1,1)+INT((ROWS(B$2:B6018)-1)/24),"""18""jjmmdd")</f>
        <v>18980908</v>
      </c>
      <c r="C6018" s="11" t="str">
        <f>INDEX(Data,2,2+MOD(ROWS(C$2:C6018)-1,24))</f>
        <v>17.00</v>
      </c>
      <c r="D6018" s="8">
        <f t="shared" ref="D6018:D6081" ca="1" si="284">IF(OR(ISBLANK(VLOOKUP(DATEVALUE("37"&amp;MID($B6018,3,2)&amp;"-"&amp;MID($B6018,5,2)&amp;"-"&amp;RIGHT($B6018,2)),Data,MATCH(LEFT(VLOOKUP(D$1,Parameters,2,FALSE()),4)&amp;"*",OFFSET(Data,0,0,1),0)+MATCH($C6018,OFFSET(Data,1,0,1),0)-2,FALSE())),ISTEXT(VLOOKUP(DATEVALUE("37"&amp;MID($B6018,3,2)&amp;"-"&amp;MID($B6018,5,2)&amp;"-"&amp;RIGHT($B6018,2)),Data,MATCH(LEFT(VLOOKUP(D$1,Parameters,2,FALSE()),4)&amp;"*",OFFSET(Data,0,0,1),0)+MATCH($C6018,OFFSET(Data,1,0,1),0)-2,FALSE()))),"—",VLOOKUP(DATEVALUE("37"&amp;MID($B6018,3,2)&amp;"-"&amp;MID($B6018,5,2)&amp;"-"&amp;RIGHT($B6018,2)),Data,MATCH(LEFT(VLOOKUP(D$1,Parameters,2,FALSE()),4)&amp;"*",OFFSET(Data,0,0,1),0)+MATCH($C6018,OFFSET(Data,1,0,1),0)-2,FALSE()))</f>
        <v>11</v>
      </c>
      <c r="E6018" s="16">
        <f t="shared" ca="1" si="282"/>
        <v>0</v>
      </c>
    </row>
    <row r="6019" spans="1:5" x14ac:dyDescent="0.25">
      <c r="A6019" s="3">
        <f t="shared" si="283"/>
        <v>78989</v>
      </c>
      <c r="B6019" t="str">
        <f ca="1">TEXT(DATE(YEAR(Invoer!$A$5),1,1)+INT((ROWS(B$2:B6019)-1)/24),"""18""jjmmdd")</f>
        <v>18980908</v>
      </c>
      <c r="C6019" s="11" t="str">
        <f>INDEX(Data,2,2+MOD(ROWS(C$2:C6019)-1,24))</f>
        <v>18.00</v>
      </c>
      <c r="D6019" s="8">
        <f t="shared" ca="1" si="284"/>
        <v>9</v>
      </c>
      <c r="E6019" s="16">
        <f t="shared" ref="E6019:E6082" ca="1" si="285">IF(OR(ISBLANK(VLOOKUP(DATEVALUE("37"&amp;MID($B6019,3,2)&amp;"-"&amp;MID($B6019,5,2)&amp;"-"&amp;RIGHT($B6019,2)),Data,MATCH(LEFT(VLOOKUP(D$1,Parameters,2,FALSE()),4)&amp;"*",OFFSET(Data,0,0,1),0)+MATCH($C6019,OFFSET(Data,1,0,1),0)-2,FALSE())),ISTEXT(VLOOKUP(DATEVALUE("37"&amp;MID($B6019,3,2)&amp;"-"&amp;MID($B6019,5,2)&amp;"-"&amp;RIGHT($B6019,2)),Data,MATCH(LEFT(VLOOKUP(D$1,Parameters,2,FALSE()),4)&amp;"*",OFFSET(Data,0,0,1),0)+MATCH($C6019,OFFSET(Data,1,0,1),0)-2,FALSE()))),Lacking,IF(ISNA(MATCH(DATEVALUE("37"&amp;MID($B6019,3,2)&amp;"-"&amp;MID($B6019,5,2)&amp;"-"&amp;RIGHT($B6019,2)),OFFSET(Catalogus,0,0,,1),0)),Ok,VLOOKUP(DATEVALUE("37"&amp;MID($B6019,3,2)&amp;"-"&amp;MID($B6019,5,2)&amp;"-"&amp;RIGHT($B6019,2)),Catalogus,MATCH(LEFT(VLOOKUP(MID(E$1,2,LEN(E$1)-1),Parameters,2,FALSE()),4)&amp;"*",OFFSET(Catalogus,0,0,1),0)+MATCH($C6019,OFFSET(Catalogus,1,0,1),0)-2,FALSE())))</f>
        <v>0</v>
      </c>
    </row>
    <row r="6020" spans="1:5" x14ac:dyDescent="0.25">
      <c r="A6020" s="3">
        <f t="shared" si="283"/>
        <v>78989</v>
      </c>
      <c r="B6020" t="str">
        <f ca="1">TEXT(DATE(YEAR(Invoer!$A$5),1,1)+INT((ROWS(B$2:B6020)-1)/24),"""18""jjmmdd")</f>
        <v>18980908</v>
      </c>
      <c r="C6020" s="11" t="str">
        <f>INDEX(Data,2,2+MOD(ROWS(C$2:C6020)-1,24))</f>
        <v>19.00</v>
      </c>
      <c r="D6020" s="8">
        <f t="shared" ca="1" si="284"/>
        <v>9</v>
      </c>
      <c r="E6020" s="16">
        <f t="shared" ca="1" si="285"/>
        <v>0</v>
      </c>
    </row>
    <row r="6021" spans="1:5" x14ac:dyDescent="0.25">
      <c r="A6021" s="3">
        <f t="shared" si="283"/>
        <v>78989</v>
      </c>
      <c r="B6021" t="str">
        <f ca="1">TEXT(DATE(YEAR(Invoer!$A$5),1,1)+INT((ROWS(B$2:B6021)-1)/24),"""18""jjmmdd")</f>
        <v>18980908</v>
      </c>
      <c r="C6021" s="11" t="str">
        <f>INDEX(Data,2,2+MOD(ROWS(C$2:C6021)-1,24))</f>
        <v>20.00</v>
      </c>
      <c r="D6021" s="8">
        <f t="shared" ca="1" si="284"/>
        <v>5</v>
      </c>
      <c r="E6021" s="16">
        <f t="shared" ca="1" si="285"/>
        <v>0</v>
      </c>
    </row>
    <row r="6022" spans="1:5" x14ac:dyDescent="0.25">
      <c r="A6022" s="3">
        <f t="shared" si="283"/>
        <v>78989</v>
      </c>
      <c r="B6022" t="str">
        <f ca="1">TEXT(DATE(YEAR(Invoer!$A$5),1,1)+INT((ROWS(B$2:B6022)-1)/24),"""18""jjmmdd")</f>
        <v>18980908</v>
      </c>
      <c r="C6022" s="11" t="str">
        <f>INDEX(Data,2,2+MOD(ROWS(C$2:C6022)-1,24))</f>
        <v>21.00</v>
      </c>
      <c r="D6022" s="8">
        <f t="shared" ca="1" si="284"/>
        <v>6</v>
      </c>
      <c r="E6022" s="16">
        <f t="shared" ca="1" si="285"/>
        <v>0</v>
      </c>
    </row>
    <row r="6023" spans="1:5" x14ac:dyDescent="0.25">
      <c r="A6023" s="3">
        <f t="shared" si="283"/>
        <v>78989</v>
      </c>
      <c r="B6023" t="str">
        <f ca="1">TEXT(DATE(YEAR(Invoer!$A$5),1,1)+INT((ROWS(B$2:B6023)-1)/24),"""18""jjmmdd")</f>
        <v>18980908</v>
      </c>
      <c r="C6023" s="11" t="str">
        <f>INDEX(Data,2,2+MOD(ROWS(C$2:C6023)-1,24))</f>
        <v>22.00</v>
      </c>
      <c r="D6023" s="8">
        <f t="shared" ca="1" si="284"/>
        <v>6</v>
      </c>
      <c r="E6023" s="16">
        <f t="shared" ca="1" si="285"/>
        <v>0</v>
      </c>
    </row>
    <row r="6024" spans="1:5" x14ac:dyDescent="0.25">
      <c r="A6024" s="3">
        <f t="shared" si="283"/>
        <v>78989</v>
      </c>
      <c r="B6024" t="str">
        <f ca="1">TEXT(DATE(YEAR(Invoer!$A$5),1,1)+INT((ROWS(B$2:B6024)-1)/24),"""18""jjmmdd")</f>
        <v>18980908</v>
      </c>
      <c r="C6024" s="11" t="str">
        <f>INDEX(Data,2,2+MOD(ROWS(C$2:C6024)-1,24))</f>
        <v>23.00</v>
      </c>
      <c r="D6024" s="8">
        <f t="shared" ca="1" si="284"/>
        <v>6</v>
      </c>
      <c r="E6024" s="16">
        <f t="shared" ca="1" si="285"/>
        <v>0</v>
      </c>
    </row>
    <row r="6025" spans="1:5" x14ac:dyDescent="0.25">
      <c r="A6025" s="3">
        <f t="shared" si="283"/>
        <v>78989</v>
      </c>
      <c r="B6025" t="str">
        <f ca="1">TEXT(DATE(YEAR(Invoer!$A$5),1,1)+INT((ROWS(B$2:B6025)-1)/24),"""18""jjmmdd")</f>
        <v>18980908</v>
      </c>
      <c r="C6025" s="11" t="str">
        <f>INDEX(Data,2,2+MOD(ROWS(C$2:C6025)-1,24))</f>
        <v>24.00</v>
      </c>
      <c r="D6025" s="8">
        <f t="shared" ca="1" si="284"/>
        <v>6</v>
      </c>
      <c r="E6025" s="16">
        <f t="shared" ca="1" si="285"/>
        <v>0</v>
      </c>
    </row>
    <row r="6026" spans="1:5" x14ac:dyDescent="0.25">
      <c r="A6026" s="3">
        <f t="shared" si="283"/>
        <v>78989</v>
      </c>
      <c r="B6026" t="str">
        <f ca="1">TEXT(DATE(YEAR(Invoer!$A$5),1,1)+INT((ROWS(B$2:B6026)-1)/24),"""18""jjmmdd")</f>
        <v>18980909</v>
      </c>
      <c r="C6026" s="11" t="str">
        <f>INDEX(Data,2,2+MOD(ROWS(C$2:C6026)-1,24))</f>
        <v>01.00</v>
      </c>
      <c r="D6026" s="8">
        <f t="shared" ca="1" si="284"/>
        <v>6</v>
      </c>
      <c r="E6026" s="16">
        <f t="shared" ca="1" si="285"/>
        <v>0</v>
      </c>
    </row>
    <row r="6027" spans="1:5" x14ac:dyDescent="0.25">
      <c r="A6027" s="3">
        <f t="shared" si="283"/>
        <v>78989</v>
      </c>
      <c r="B6027" t="str">
        <f ca="1">TEXT(DATE(YEAR(Invoer!$A$5),1,1)+INT((ROWS(B$2:B6027)-1)/24),"""18""jjmmdd")</f>
        <v>18980909</v>
      </c>
      <c r="C6027" s="11" t="str">
        <f>INDEX(Data,2,2+MOD(ROWS(C$2:C6027)-1,24))</f>
        <v>02.00</v>
      </c>
      <c r="D6027" s="8">
        <f t="shared" ca="1" si="284"/>
        <v>6</v>
      </c>
      <c r="E6027" s="16">
        <f t="shared" ca="1" si="285"/>
        <v>0</v>
      </c>
    </row>
    <row r="6028" spans="1:5" x14ac:dyDescent="0.25">
      <c r="A6028" s="3">
        <f t="shared" si="283"/>
        <v>78989</v>
      </c>
      <c r="B6028" t="str">
        <f ca="1">TEXT(DATE(YEAR(Invoer!$A$5),1,1)+INT((ROWS(B$2:B6028)-1)/24),"""18""jjmmdd")</f>
        <v>18980909</v>
      </c>
      <c r="C6028" s="11" t="str">
        <f>INDEX(Data,2,2+MOD(ROWS(C$2:C6028)-1,24))</f>
        <v>03.00</v>
      </c>
      <c r="D6028" s="8">
        <f t="shared" ca="1" si="284"/>
        <v>6</v>
      </c>
      <c r="E6028" s="16">
        <f t="shared" ca="1" si="285"/>
        <v>0</v>
      </c>
    </row>
    <row r="6029" spans="1:5" x14ac:dyDescent="0.25">
      <c r="A6029" s="3">
        <f t="shared" si="283"/>
        <v>78989</v>
      </c>
      <c r="B6029" t="str">
        <f ca="1">TEXT(DATE(YEAR(Invoer!$A$5),1,1)+INT((ROWS(B$2:B6029)-1)/24),"""18""jjmmdd")</f>
        <v>18980909</v>
      </c>
      <c r="C6029" s="11" t="str">
        <f>INDEX(Data,2,2+MOD(ROWS(C$2:C6029)-1,24))</f>
        <v>04.00</v>
      </c>
      <c r="D6029" s="8">
        <f t="shared" ca="1" si="284"/>
        <v>8</v>
      </c>
      <c r="E6029" s="16">
        <f t="shared" ca="1" si="285"/>
        <v>0</v>
      </c>
    </row>
    <row r="6030" spans="1:5" x14ac:dyDescent="0.25">
      <c r="A6030" s="3">
        <f t="shared" si="283"/>
        <v>78989</v>
      </c>
      <c r="B6030" t="str">
        <f ca="1">TEXT(DATE(YEAR(Invoer!$A$5),1,1)+INT((ROWS(B$2:B6030)-1)/24),"""18""jjmmdd")</f>
        <v>18980909</v>
      </c>
      <c r="C6030" s="11" t="str">
        <f>INDEX(Data,2,2+MOD(ROWS(C$2:C6030)-1,24))</f>
        <v>05.00</v>
      </c>
      <c r="D6030" s="8">
        <f t="shared" ca="1" si="284"/>
        <v>8</v>
      </c>
      <c r="E6030" s="16">
        <f t="shared" ca="1" si="285"/>
        <v>0</v>
      </c>
    </row>
    <row r="6031" spans="1:5" x14ac:dyDescent="0.25">
      <c r="A6031" s="3">
        <f t="shared" si="283"/>
        <v>78989</v>
      </c>
      <c r="B6031" t="str">
        <f ca="1">TEXT(DATE(YEAR(Invoer!$A$5),1,1)+INT((ROWS(B$2:B6031)-1)/24),"""18""jjmmdd")</f>
        <v>18980909</v>
      </c>
      <c r="C6031" s="11" t="str">
        <f>INDEX(Data,2,2+MOD(ROWS(C$2:C6031)-1,24))</f>
        <v>06.00</v>
      </c>
      <c r="D6031" s="8">
        <f t="shared" ca="1" si="284"/>
        <v>9</v>
      </c>
      <c r="E6031" s="16">
        <f t="shared" ca="1" si="285"/>
        <v>0</v>
      </c>
    </row>
    <row r="6032" spans="1:5" x14ac:dyDescent="0.25">
      <c r="A6032" s="3">
        <f t="shared" si="283"/>
        <v>78989</v>
      </c>
      <c r="B6032" t="str">
        <f ca="1">TEXT(DATE(YEAR(Invoer!$A$5),1,1)+INT((ROWS(B$2:B6032)-1)/24),"""18""jjmmdd")</f>
        <v>18980909</v>
      </c>
      <c r="C6032" s="11" t="str">
        <f>INDEX(Data,2,2+MOD(ROWS(C$2:C6032)-1,24))</f>
        <v>07.00</v>
      </c>
      <c r="D6032" s="8">
        <f t="shared" ca="1" si="284"/>
        <v>7</v>
      </c>
      <c r="E6032" s="16">
        <f t="shared" ca="1" si="285"/>
        <v>0</v>
      </c>
    </row>
    <row r="6033" spans="1:5" x14ac:dyDescent="0.25">
      <c r="A6033" s="3">
        <f t="shared" si="283"/>
        <v>78989</v>
      </c>
      <c r="B6033" t="str">
        <f ca="1">TEXT(DATE(YEAR(Invoer!$A$5),1,1)+INT((ROWS(B$2:B6033)-1)/24),"""18""jjmmdd")</f>
        <v>18980909</v>
      </c>
      <c r="C6033" s="11" t="str">
        <f>INDEX(Data,2,2+MOD(ROWS(C$2:C6033)-1,24))</f>
        <v>08.00</v>
      </c>
      <c r="D6033" s="8">
        <f t="shared" ca="1" si="284"/>
        <v>10</v>
      </c>
      <c r="E6033" s="16">
        <f t="shared" ca="1" si="285"/>
        <v>0</v>
      </c>
    </row>
    <row r="6034" spans="1:5" x14ac:dyDescent="0.25">
      <c r="A6034" s="3">
        <f t="shared" si="283"/>
        <v>78989</v>
      </c>
      <c r="B6034" t="str">
        <f ca="1">TEXT(DATE(YEAR(Invoer!$A$5),1,1)+INT((ROWS(B$2:B6034)-1)/24),"""18""jjmmdd")</f>
        <v>18980909</v>
      </c>
      <c r="C6034" s="11" t="str">
        <f>INDEX(Data,2,2+MOD(ROWS(C$2:C6034)-1,24))</f>
        <v>09.00</v>
      </c>
      <c r="D6034" s="8">
        <f t="shared" ca="1" si="284"/>
        <v>11</v>
      </c>
      <c r="E6034" s="16">
        <f t="shared" ca="1" si="285"/>
        <v>0</v>
      </c>
    </row>
    <row r="6035" spans="1:5" x14ac:dyDescent="0.25">
      <c r="A6035" s="3">
        <f t="shared" si="283"/>
        <v>78989</v>
      </c>
      <c r="B6035" t="str">
        <f ca="1">TEXT(DATE(YEAR(Invoer!$A$5),1,1)+INT((ROWS(B$2:B6035)-1)/24),"""18""jjmmdd")</f>
        <v>18980909</v>
      </c>
      <c r="C6035" s="11" t="str">
        <f>INDEX(Data,2,2+MOD(ROWS(C$2:C6035)-1,24))</f>
        <v>10.00</v>
      </c>
      <c r="D6035" s="8">
        <f t="shared" ca="1" si="284"/>
        <v>11</v>
      </c>
      <c r="E6035" s="16">
        <f t="shared" ca="1" si="285"/>
        <v>0</v>
      </c>
    </row>
    <row r="6036" spans="1:5" x14ac:dyDescent="0.25">
      <c r="A6036" s="3">
        <f t="shared" si="283"/>
        <v>78989</v>
      </c>
      <c r="B6036" t="str">
        <f ca="1">TEXT(DATE(YEAR(Invoer!$A$5),1,1)+INT((ROWS(B$2:B6036)-1)/24),"""18""jjmmdd")</f>
        <v>18980909</v>
      </c>
      <c r="C6036" s="11" t="str">
        <f>INDEX(Data,2,2+MOD(ROWS(C$2:C6036)-1,24))</f>
        <v>11.00</v>
      </c>
      <c r="D6036" s="8">
        <f t="shared" ca="1" si="284"/>
        <v>10</v>
      </c>
      <c r="E6036" s="16">
        <f t="shared" ca="1" si="285"/>
        <v>0</v>
      </c>
    </row>
    <row r="6037" spans="1:5" x14ac:dyDescent="0.25">
      <c r="A6037" s="3">
        <f t="shared" si="283"/>
        <v>78989</v>
      </c>
      <c r="B6037" t="str">
        <f ca="1">TEXT(DATE(YEAR(Invoer!$A$5),1,1)+INT((ROWS(B$2:B6037)-1)/24),"""18""jjmmdd")</f>
        <v>18980909</v>
      </c>
      <c r="C6037" s="11" t="str">
        <f>INDEX(Data,2,2+MOD(ROWS(C$2:C6037)-1,24))</f>
        <v>12.00</v>
      </c>
      <c r="D6037" s="8">
        <f t="shared" ca="1" si="284"/>
        <v>10</v>
      </c>
      <c r="E6037" s="16">
        <f t="shared" ca="1" si="285"/>
        <v>0</v>
      </c>
    </row>
    <row r="6038" spans="1:5" x14ac:dyDescent="0.25">
      <c r="A6038" s="3">
        <f t="shared" si="283"/>
        <v>78989</v>
      </c>
      <c r="B6038" t="str">
        <f ca="1">TEXT(DATE(YEAR(Invoer!$A$5),1,1)+INT((ROWS(B$2:B6038)-1)/24),"""18""jjmmdd")</f>
        <v>18980909</v>
      </c>
      <c r="C6038" s="11" t="str">
        <f>INDEX(Data,2,2+MOD(ROWS(C$2:C6038)-1,24))</f>
        <v>13.00</v>
      </c>
      <c r="D6038" s="8">
        <f t="shared" ca="1" si="284"/>
        <v>8</v>
      </c>
      <c r="E6038" s="16">
        <f t="shared" ca="1" si="285"/>
        <v>0</v>
      </c>
    </row>
    <row r="6039" spans="1:5" x14ac:dyDescent="0.25">
      <c r="A6039" s="3">
        <f t="shared" si="283"/>
        <v>78989</v>
      </c>
      <c r="B6039" t="str">
        <f ca="1">TEXT(DATE(YEAR(Invoer!$A$5),1,1)+INT((ROWS(B$2:B6039)-1)/24),"""18""jjmmdd")</f>
        <v>18980909</v>
      </c>
      <c r="C6039" s="11" t="str">
        <f>INDEX(Data,2,2+MOD(ROWS(C$2:C6039)-1,24))</f>
        <v>14.00</v>
      </c>
      <c r="D6039" s="8">
        <f t="shared" ca="1" si="284"/>
        <v>9</v>
      </c>
      <c r="E6039" s="16">
        <f t="shared" ca="1" si="285"/>
        <v>0</v>
      </c>
    </row>
    <row r="6040" spans="1:5" x14ac:dyDescent="0.25">
      <c r="A6040" s="3">
        <f t="shared" si="283"/>
        <v>78989</v>
      </c>
      <c r="B6040" t="str">
        <f ca="1">TEXT(DATE(YEAR(Invoer!$A$5),1,1)+INT((ROWS(B$2:B6040)-1)/24),"""18""jjmmdd")</f>
        <v>18980909</v>
      </c>
      <c r="C6040" s="11" t="str">
        <f>INDEX(Data,2,2+MOD(ROWS(C$2:C6040)-1,24))</f>
        <v>15.00</v>
      </c>
      <c r="D6040" s="8">
        <f t="shared" ca="1" si="284"/>
        <v>10</v>
      </c>
      <c r="E6040" s="16">
        <f t="shared" ca="1" si="285"/>
        <v>0</v>
      </c>
    </row>
    <row r="6041" spans="1:5" x14ac:dyDescent="0.25">
      <c r="A6041" s="3">
        <f t="shared" si="283"/>
        <v>78989</v>
      </c>
      <c r="B6041" t="str">
        <f ca="1">TEXT(DATE(YEAR(Invoer!$A$5),1,1)+INT((ROWS(B$2:B6041)-1)/24),"""18""jjmmdd")</f>
        <v>18980909</v>
      </c>
      <c r="C6041" s="11" t="str">
        <f>INDEX(Data,2,2+MOD(ROWS(C$2:C6041)-1,24))</f>
        <v>16.00</v>
      </c>
      <c r="D6041" s="8">
        <f t="shared" ca="1" si="284"/>
        <v>13</v>
      </c>
      <c r="E6041" s="16">
        <f t="shared" ca="1" si="285"/>
        <v>0</v>
      </c>
    </row>
    <row r="6042" spans="1:5" x14ac:dyDescent="0.25">
      <c r="A6042" s="3">
        <f t="shared" si="283"/>
        <v>78989</v>
      </c>
      <c r="B6042" t="str">
        <f ca="1">TEXT(DATE(YEAR(Invoer!$A$5),1,1)+INT((ROWS(B$2:B6042)-1)/24),"""18""jjmmdd")</f>
        <v>18980909</v>
      </c>
      <c r="C6042" s="11" t="str">
        <f>INDEX(Data,2,2+MOD(ROWS(C$2:C6042)-1,24))</f>
        <v>17.00</v>
      </c>
      <c r="D6042" s="8">
        <f t="shared" ca="1" si="284"/>
        <v>12</v>
      </c>
      <c r="E6042" s="16">
        <f t="shared" ca="1" si="285"/>
        <v>0</v>
      </c>
    </row>
    <row r="6043" spans="1:5" x14ac:dyDescent="0.25">
      <c r="A6043" s="3">
        <f t="shared" si="283"/>
        <v>78989</v>
      </c>
      <c r="B6043" t="str">
        <f ca="1">TEXT(DATE(YEAR(Invoer!$A$5),1,1)+INT((ROWS(B$2:B6043)-1)/24),"""18""jjmmdd")</f>
        <v>18980909</v>
      </c>
      <c r="C6043" s="11" t="str">
        <f>INDEX(Data,2,2+MOD(ROWS(C$2:C6043)-1,24))</f>
        <v>18.00</v>
      </c>
      <c r="D6043" s="8">
        <f t="shared" ca="1" si="284"/>
        <v>12</v>
      </c>
      <c r="E6043" s="16">
        <f t="shared" ca="1" si="285"/>
        <v>0</v>
      </c>
    </row>
    <row r="6044" spans="1:5" x14ac:dyDescent="0.25">
      <c r="A6044" s="3">
        <f t="shared" si="283"/>
        <v>78989</v>
      </c>
      <c r="B6044" t="str">
        <f ca="1">TEXT(DATE(YEAR(Invoer!$A$5),1,1)+INT((ROWS(B$2:B6044)-1)/24),"""18""jjmmdd")</f>
        <v>18980909</v>
      </c>
      <c r="C6044" s="11" t="str">
        <f>INDEX(Data,2,2+MOD(ROWS(C$2:C6044)-1,24))</f>
        <v>19.00</v>
      </c>
      <c r="D6044" s="8">
        <f t="shared" ca="1" si="284"/>
        <v>11</v>
      </c>
      <c r="E6044" s="16">
        <f t="shared" ca="1" si="285"/>
        <v>0</v>
      </c>
    </row>
    <row r="6045" spans="1:5" x14ac:dyDescent="0.25">
      <c r="A6045" s="3">
        <f t="shared" si="283"/>
        <v>78989</v>
      </c>
      <c r="B6045" t="str">
        <f ca="1">TEXT(DATE(YEAR(Invoer!$A$5),1,1)+INT((ROWS(B$2:B6045)-1)/24),"""18""jjmmdd")</f>
        <v>18980909</v>
      </c>
      <c r="C6045" s="11" t="str">
        <f>INDEX(Data,2,2+MOD(ROWS(C$2:C6045)-1,24))</f>
        <v>20.00</v>
      </c>
      <c r="D6045" s="8">
        <f t="shared" ca="1" si="284"/>
        <v>9</v>
      </c>
      <c r="E6045" s="16">
        <f t="shared" ca="1" si="285"/>
        <v>0</v>
      </c>
    </row>
    <row r="6046" spans="1:5" x14ac:dyDescent="0.25">
      <c r="A6046" s="3">
        <f t="shared" si="283"/>
        <v>78989</v>
      </c>
      <c r="B6046" t="str">
        <f ca="1">TEXT(DATE(YEAR(Invoer!$A$5),1,1)+INT((ROWS(B$2:B6046)-1)/24),"""18""jjmmdd")</f>
        <v>18980909</v>
      </c>
      <c r="C6046" s="11" t="str">
        <f>INDEX(Data,2,2+MOD(ROWS(C$2:C6046)-1,24))</f>
        <v>21.00</v>
      </c>
      <c r="D6046" s="8">
        <f t="shared" ca="1" si="284"/>
        <v>12</v>
      </c>
      <c r="E6046" s="16">
        <f t="shared" ca="1" si="285"/>
        <v>0</v>
      </c>
    </row>
    <row r="6047" spans="1:5" x14ac:dyDescent="0.25">
      <c r="A6047" s="3">
        <f t="shared" si="283"/>
        <v>78989</v>
      </c>
      <c r="B6047" t="str">
        <f ca="1">TEXT(DATE(YEAR(Invoer!$A$5),1,1)+INT((ROWS(B$2:B6047)-1)/24),"""18""jjmmdd")</f>
        <v>18980909</v>
      </c>
      <c r="C6047" s="11" t="str">
        <f>INDEX(Data,2,2+MOD(ROWS(C$2:C6047)-1,24))</f>
        <v>22.00</v>
      </c>
      <c r="D6047" s="8">
        <f t="shared" ca="1" si="284"/>
        <v>9</v>
      </c>
      <c r="E6047" s="16">
        <f t="shared" ca="1" si="285"/>
        <v>0</v>
      </c>
    </row>
    <row r="6048" spans="1:5" x14ac:dyDescent="0.25">
      <c r="A6048" s="3">
        <f t="shared" si="283"/>
        <v>78989</v>
      </c>
      <c r="B6048" t="str">
        <f ca="1">TEXT(DATE(YEAR(Invoer!$A$5),1,1)+INT((ROWS(B$2:B6048)-1)/24),"""18""jjmmdd")</f>
        <v>18980909</v>
      </c>
      <c r="C6048" s="11" t="str">
        <f>INDEX(Data,2,2+MOD(ROWS(C$2:C6048)-1,24))</f>
        <v>23.00</v>
      </c>
      <c r="D6048" s="8">
        <f t="shared" ca="1" si="284"/>
        <v>4</v>
      </c>
      <c r="E6048" s="16">
        <f t="shared" ca="1" si="285"/>
        <v>0</v>
      </c>
    </row>
    <row r="6049" spans="1:5" x14ac:dyDescent="0.25">
      <c r="A6049" s="3">
        <f t="shared" si="283"/>
        <v>78989</v>
      </c>
      <c r="B6049" t="str">
        <f ca="1">TEXT(DATE(YEAR(Invoer!$A$5),1,1)+INT((ROWS(B$2:B6049)-1)/24),"""18""jjmmdd")</f>
        <v>18980909</v>
      </c>
      <c r="C6049" s="11" t="str">
        <f>INDEX(Data,2,2+MOD(ROWS(C$2:C6049)-1,24))</f>
        <v>24.00</v>
      </c>
      <c r="D6049" s="8">
        <f t="shared" ca="1" si="284"/>
        <v>10</v>
      </c>
      <c r="E6049" s="16">
        <f t="shared" ca="1" si="285"/>
        <v>0</v>
      </c>
    </row>
    <row r="6050" spans="1:5" x14ac:dyDescent="0.25">
      <c r="A6050" s="3">
        <f t="shared" si="283"/>
        <v>78989</v>
      </c>
      <c r="B6050" t="str">
        <f ca="1">TEXT(DATE(YEAR(Invoer!$A$5),1,1)+INT((ROWS(B$2:B6050)-1)/24),"""18""jjmmdd")</f>
        <v>18980910</v>
      </c>
      <c r="C6050" s="11" t="str">
        <f>INDEX(Data,2,2+MOD(ROWS(C$2:C6050)-1,24))</f>
        <v>01.00</v>
      </c>
      <c r="D6050" s="8">
        <f t="shared" ca="1" si="284"/>
        <v>8</v>
      </c>
      <c r="E6050" s="16">
        <f t="shared" ca="1" si="285"/>
        <v>0</v>
      </c>
    </row>
    <row r="6051" spans="1:5" x14ac:dyDescent="0.25">
      <c r="A6051" s="3">
        <f t="shared" si="283"/>
        <v>78989</v>
      </c>
      <c r="B6051" t="str">
        <f ca="1">TEXT(DATE(YEAR(Invoer!$A$5),1,1)+INT((ROWS(B$2:B6051)-1)/24),"""18""jjmmdd")</f>
        <v>18980910</v>
      </c>
      <c r="C6051" s="11" t="str">
        <f>INDEX(Data,2,2+MOD(ROWS(C$2:C6051)-1,24))</f>
        <v>02.00</v>
      </c>
      <c r="D6051" s="8">
        <f t="shared" ca="1" si="284"/>
        <v>9</v>
      </c>
      <c r="E6051" s="16">
        <f t="shared" ca="1" si="285"/>
        <v>0</v>
      </c>
    </row>
    <row r="6052" spans="1:5" x14ac:dyDescent="0.25">
      <c r="A6052" s="3">
        <f t="shared" si="283"/>
        <v>78989</v>
      </c>
      <c r="B6052" t="str">
        <f ca="1">TEXT(DATE(YEAR(Invoer!$A$5),1,1)+INT((ROWS(B$2:B6052)-1)/24),"""18""jjmmdd")</f>
        <v>18980910</v>
      </c>
      <c r="C6052" s="11" t="str">
        <f>INDEX(Data,2,2+MOD(ROWS(C$2:C6052)-1,24))</f>
        <v>03.00</v>
      </c>
      <c r="D6052" s="8">
        <f t="shared" ca="1" si="284"/>
        <v>8</v>
      </c>
      <c r="E6052" s="16">
        <f t="shared" ca="1" si="285"/>
        <v>0</v>
      </c>
    </row>
    <row r="6053" spans="1:5" x14ac:dyDescent="0.25">
      <c r="A6053" s="3">
        <f t="shared" si="283"/>
        <v>78989</v>
      </c>
      <c r="B6053" t="str">
        <f ca="1">TEXT(DATE(YEAR(Invoer!$A$5),1,1)+INT((ROWS(B$2:B6053)-1)/24),"""18""jjmmdd")</f>
        <v>18980910</v>
      </c>
      <c r="C6053" s="11" t="str">
        <f>INDEX(Data,2,2+MOD(ROWS(C$2:C6053)-1,24))</f>
        <v>04.00</v>
      </c>
      <c r="D6053" s="8">
        <f t="shared" ca="1" si="284"/>
        <v>8</v>
      </c>
      <c r="E6053" s="16">
        <f t="shared" ca="1" si="285"/>
        <v>0</v>
      </c>
    </row>
    <row r="6054" spans="1:5" x14ac:dyDescent="0.25">
      <c r="A6054" s="3">
        <f t="shared" si="283"/>
        <v>78989</v>
      </c>
      <c r="B6054" t="str">
        <f ca="1">TEXT(DATE(YEAR(Invoer!$A$5),1,1)+INT((ROWS(B$2:B6054)-1)/24),"""18""jjmmdd")</f>
        <v>18980910</v>
      </c>
      <c r="C6054" s="11" t="str">
        <f>INDEX(Data,2,2+MOD(ROWS(C$2:C6054)-1,24))</f>
        <v>05.00</v>
      </c>
      <c r="D6054" s="8">
        <f t="shared" ca="1" si="284"/>
        <v>6</v>
      </c>
      <c r="E6054" s="16">
        <f t="shared" ca="1" si="285"/>
        <v>0</v>
      </c>
    </row>
    <row r="6055" spans="1:5" x14ac:dyDescent="0.25">
      <c r="A6055" s="3">
        <f t="shared" si="283"/>
        <v>78989</v>
      </c>
      <c r="B6055" t="str">
        <f ca="1">TEXT(DATE(YEAR(Invoer!$A$5),1,1)+INT((ROWS(B$2:B6055)-1)/24),"""18""jjmmdd")</f>
        <v>18980910</v>
      </c>
      <c r="C6055" s="11" t="str">
        <f>INDEX(Data,2,2+MOD(ROWS(C$2:C6055)-1,24))</f>
        <v>06.00</v>
      </c>
      <c r="D6055" s="8">
        <f t="shared" ca="1" si="284"/>
        <v>5</v>
      </c>
      <c r="E6055" s="16">
        <f t="shared" ca="1" si="285"/>
        <v>0</v>
      </c>
    </row>
    <row r="6056" spans="1:5" x14ac:dyDescent="0.25">
      <c r="A6056" s="3">
        <f t="shared" si="283"/>
        <v>78989</v>
      </c>
      <c r="B6056" t="str">
        <f ca="1">TEXT(DATE(YEAR(Invoer!$A$5),1,1)+INT((ROWS(B$2:B6056)-1)/24),"""18""jjmmdd")</f>
        <v>18980910</v>
      </c>
      <c r="C6056" s="11" t="str">
        <f>INDEX(Data,2,2+MOD(ROWS(C$2:C6056)-1,24))</f>
        <v>07.00</v>
      </c>
      <c r="D6056" s="8">
        <f t="shared" ca="1" si="284"/>
        <v>6</v>
      </c>
      <c r="E6056" s="16">
        <f t="shared" ca="1" si="285"/>
        <v>0</v>
      </c>
    </row>
    <row r="6057" spans="1:5" x14ac:dyDescent="0.25">
      <c r="A6057" s="3">
        <f t="shared" si="283"/>
        <v>78989</v>
      </c>
      <c r="B6057" t="str">
        <f ca="1">TEXT(DATE(YEAR(Invoer!$A$5),1,1)+INT((ROWS(B$2:B6057)-1)/24),"""18""jjmmdd")</f>
        <v>18980910</v>
      </c>
      <c r="C6057" s="11" t="str">
        <f>INDEX(Data,2,2+MOD(ROWS(C$2:C6057)-1,24))</f>
        <v>08.00</v>
      </c>
      <c r="D6057" s="8">
        <f t="shared" ca="1" si="284"/>
        <v>8</v>
      </c>
      <c r="E6057" s="16">
        <f t="shared" ca="1" si="285"/>
        <v>0</v>
      </c>
    </row>
    <row r="6058" spans="1:5" x14ac:dyDescent="0.25">
      <c r="A6058" s="3">
        <f t="shared" si="283"/>
        <v>78989</v>
      </c>
      <c r="B6058" t="str">
        <f ca="1">TEXT(DATE(YEAR(Invoer!$A$5),1,1)+INT((ROWS(B$2:B6058)-1)/24),"""18""jjmmdd")</f>
        <v>18980910</v>
      </c>
      <c r="C6058" s="11" t="str">
        <f>INDEX(Data,2,2+MOD(ROWS(C$2:C6058)-1,24))</f>
        <v>09.00</v>
      </c>
      <c r="D6058" s="8">
        <f t="shared" ca="1" si="284"/>
        <v>10</v>
      </c>
      <c r="E6058" s="16">
        <f t="shared" ca="1" si="285"/>
        <v>0</v>
      </c>
    </row>
    <row r="6059" spans="1:5" x14ac:dyDescent="0.25">
      <c r="A6059" s="3">
        <f t="shared" si="283"/>
        <v>78989</v>
      </c>
      <c r="B6059" t="str">
        <f ca="1">TEXT(DATE(YEAR(Invoer!$A$5),1,1)+INT((ROWS(B$2:B6059)-1)/24),"""18""jjmmdd")</f>
        <v>18980910</v>
      </c>
      <c r="C6059" s="11" t="str">
        <f>INDEX(Data,2,2+MOD(ROWS(C$2:C6059)-1,24))</f>
        <v>10.00</v>
      </c>
      <c r="D6059" s="8">
        <f t="shared" ca="1" si="284"/>
        <v>9</v>
      </c>
      <c r="E6059" s="16">
        <f t="shared" ca="1" si="285"/>
        <v>0</v>
      </c>
    </row>
    <row r="6060" spans="1:5" x14ac:dyDescent="0.25">
      <c r="A6060" s="3">
        <f t="shared" si="283"/>
        <v>78989</v>
      </c>
      <c r="B6060" t="str">
        <f ca="1">TEXT(DATE(YEAR(Invoer!$A$5),1,1)+INT((ROWS(B$2:B6060)-1)/24),"""18""jjmmdd")</f>
        <v>18980910</v>
      </c>
      <c r="C6060" s="11" t="str">
        <f>INDEX(Data,2,2+MOD(ROWS(C$2:C6060)-1,24))</f>
        <v>11.00</v>
      </c>
      <c r="D6060" s="8">
        <f t="shared" ca="1" si="284"/>
        <v>9</v>
      </c>
      <c r="E6060" s="16">
        <f t="shared" ca="1" si="285"/>
        <v>0</v>
      </c>
    </row>
    <row r="6061" spans="1:5" x14ac:dyDescent="0.25">
      <c r="A6061" s="3">
        <f t="shared" si="283"/>
        <v>78989</v>
      </c>
      <c r="B6061" t="str">
        <f ca="1">TEXT(DATE(YEAR(Invoer!$A$5),1,1)+INT((ROWS(B$2:B6061)-1)/24),"""18""jjmmdd")</f>
        <v>18980910</v>
      </c>
      <c r="C6061" s="11" t="str">
        <f>INDEX(Data,2,2+MOD(ROWS(C$2:C6061)-1,24))</f>
        <v>12.00</v>
      </c>
      <c r="D6061" s="8">
        <f t="shared" ca="1" si="284"/>
        <v>13</v>
      </c>
      <c r="E6061" s="16">
        <f t="shared" ca="1" si="285"/>
        <v>0</v>
      </c>
    </row>
    <row r="6062" spans="1:5" x14ac:dyDescent="0.25">
      <c r="A6062" s="3">
        <f t="shared" si="283"/>
        <v>78989</v>
      </c>
      <c r="B6062" t="str">
        <f ca="1">TEXT(DATE(YEAR(Invoer!$A$5),1,1)+INT((ROWS(B$2:B6062)-1)/24),"""18""jjmmdd")</f>
        <v>18980910</v>
      </c>
      <c r="C6062" s="11" t="str">
        <f>INDEX(Data,2,2+MOD(ROWS(C$2:C6062)-1,24))</f>
        <v>13.00</v>
      </c>
      <c r="D6062" s="8">
        <f t="shared" ca="1" si="284"/>
        <v>11</v>
      </c>
      <c r="E6062" s="16">
        <f t="shared" ca="1" si="285"/>
        <v>0</v>
      </c>
    </row>
    <row r="6063" spans="1:5" x14ac:dyDescent="0.25">
      <c r="A6063" s="3">
        <f t="shared" si="283"/>
        <v>78989</v>
      </c>
      <c r="B6063" t="str">
        <f ca="1">TEXT(DATE(YEAR(Invoer!$A$5),1,1)+INT((ROWS(B$2:B6063)-1)/24),"""18""jjmmdd")</f>
        <v>18980910</v>
      </c>
      <c r="C6063" s="11" t="str">
        <f>INDEX(Data,2,2+MOD(ROWS(C$2:C6063)-1,24))</f>
        <v>14.00</v>
      </c>
      <c r="D6063" s="8">
        <f t="shared" ca="1" si="284"/>
        <v>11</v>
      </c>
      <c r="E6063" s="16">
        <f t="shared" ca="1" si="285"/>
        <v>0</v>
      </c>
    </row>
    <row r="6064" spans="1:5" x14ac:dyDescent="0.25">
      <c r="A6064" s="3">
        <f t="shared" si="283"/>
        <v>78989</v>
      </c>
      <c r="B6064" t="str">
        <f ca="1">TEXT(DATE(YEAR(Invoer!$A$5),1,1)+INT((ROWS(B$2:B6064)-1)/24),"""18""jjmmdd")</f>
        <v>18980910</v>
      </c>
      <c r="C6064" s="11" t="str">
        <f>INDEX(Data,2,2+MOD(ROWS(C$2:C6064)-1,24))</f>
        <v>15.00</v>
      </c>
      <c r="D6064" s="8">
        <f t="shared" ca="1" si="284"/>
        <v>10</v>
      </c>
      <c r="E6064" s="16">
        <f t="shared" ca="1" si="285"/>
        <v>0</v>
      </c>
    </row>
    <row r="6065" spans="1:5" x14ac:dyDescent="0.25">
      <c r="A6065" s="3">
        <f t="shared" si="283"/>
        <v>78989</v>
      </c>
      <c r="B6065" t="str">
        <f ca="1">TEXT(DATE(YEAR(Invoer!$A$5),1,1)+INT((ROWS(B$2:B6065)-1)/24),"""18""jjmmdd")</f>
        <v>18980910</v>
      </c>
      <c r="C6065" s="11" t="str">
        <f>INDEX(Data,2,2+MOD(ROWS(C$2:C6065)-1,24))</f>
        <v>16.00</v>
      </c>
      <c r="D6065" s="8">
        <f t="shared" ca="1" si="284"/>
        <v>10</v>
      </c>
      <c r="E6065" s="16">
        <f t="shared" ca="1" si="285"/>
        <v>0</v>
      </c>
    </row>
    <row r="6066" spans="1:5" x14ac:dyDescent="0.25">
      <c r="A6066" s="3">
        <f t="shared" si="283"/>
        <v>78989</v>
      </c>
      <c r="B6066" t="str">
        <f ca="1">TEXT(DATE(YEAR(Invoer!$A$5),1,1)+INT((ROWS(B$2:B6066)-1)/24),"""18""jjmmdd")</f>
        <v>18980910</v>
      </c>
      <c r="C6066" s="11" t="str">
        <f>INDEX(Data,2,2+MOD(ROWS(C$2:C6066)-1,24))</f>
        <v>17.00</v>
      </c>
      <c r="D6066" s="8">
        <f t="shared" ca="1" si="284"/>
        <v>9</v>
      </c>
      <c r="E6066" s="16">
        <f t="shared" ca="1" si="285"/>
        <v>0</v>
      </c>
    </row>
    <row r="6067" spans="1:5" x14ac:dyDescent="0.25">
      <c r="A6067" s="3">
        <f t="shared" si="283"/>
        <v>78989</v>
      </c>
      <c r="B6067" t="str">
        <f ca="1">TEXT(DATE(YEAR(Invoer!$A$5),1,1)+INT((ROWS(B$2:B6067)-1)/24),"""18""jjmmdd")</f>
        <v>18980910</v>
      </c>
      <c r="C6067" s="11" t="str">
        <f>INDEX(Data,2,2+MOD(ROWS(C$2:C6067)-1,24))</f>
        <v>18.00</v>
      </c>
      <c r="D6067" s="8">
        <f t="shared" ca="1" si="284"/>
        <v>8</v>
      </c>
      <c r="E6067" s="16">
        <f t="shared" ca="1" si="285"/>
        <v>0</v>
      </c>
    </row>
    <row r="6068" spans="1:5" x14ac:dyDescent="0.25">
      <c r="A6068" s="3">
        <f t="shared" si="283"/>
        <v>78989</v>
      </c>
      <c r="B6068" t="str">
        <f ca="1">TEXT(DATE(YEAR(Invoer!$A$5),1,1)+INT((ROWS(B$2:B6068)-1)/24),"""18""jjmmdd")</f>
        <v>18980910</v>
      </c>
      <c r="C6068" s="11" t="str">
        <f>INDEX(Data,2,2+MOD(ROWS(C$2:C6068)-1,24))</f>
        <v>19.00</v>
      </c>
      <c r="D6068" s="8">
        <f t="shared" ca="1" si="284"/>
        <v>8</v>
      </c>
      <c r="E6068" s="16">
        <f t="shared" ca="1" si="285"/>
        <v>0</v>
      </c>
    </row>
    <row r="6069" spans="1:5" x14ac:dyDescent="0.25">
      <c r="A6069" s="3">
        <f t="shared" si="283"/>
        <v>78989</v>
      </c>
      <c r="B6069" t="str">
        <f ca="1">TEXT(DATE(YEAR(Invoer!$A$5),1,1)+INT((ROWS(B$2:B6069)-1)/24),"""18""jjmmdd")</f>
        <v>18980910</v>
      </c>
      <c r="C6069" s="11" t="str">
        <f>INDEX(Data,2,2+MOD(ROWS(C$2:C6069)-1,24))</f>
        <v>20.00</v>
      </c>
      <c r="D6069" s="8">
        <f t="shared" ca="1" si="284"/>
        <v>7</v>
      </c>
      <c r="E6069" s="16">
        <f t="shared" ca="1" si="285"/>
        <v>0</v>
      </c>
    </row>
    <row r="6070" spans="1:5" x14ac:dyDescent="0.25">
      <c r="A6070" s="3">
        <f t="shared" si="283"/>
        <v>78989</v>
      </c>
      <c r="B6070" t="str">
        <f ca="1">TEXT(DATE(YEAR(Invoer!$A$5),1,1)+INT((ROWS(B$2:B6070)-1)/24),"""18""jjmmdd")</f>
        <v>18980910</v>
      </c>
      <c r="C6070" s="11" t="str">
        <f>INDEX(Data,2,2+MOD(ROWS(C$2:C6070)-1,24))</f>
        <v>21.00</v>
      </c>
      <c r="D6070" s="8">
        <f t="shared" ca="1" si="284"/>
        <v>7</v>
      </c>
      <c r="E6070" s="16">
        <f t="shared" ca="1" si="285"/>
        <v>0</v>
      </c>
    </row>
    <row r="6071" spans="1:5" x14ac:dyDescent="0.25">
      <c r="A6071" s="3">
        <f t="shared" si="283"/>
        <v>78989</v>
      </c>
      <c r="B6071" t="str">
        <f ca="1">TEXT(DATE(YEAR(Invoer!$A$5),1,1)+INT((ROWS(B$2:B6071)-1)/24),"""18""jjmmdd")</f>
        <v>18980910</v>
      </c>
      <c r="C6071" s="11" t="str">
        <f>INDEX(Data,2,2+MOD(ROWS(C$2:C6071)-1,24))</f>
        <v>22.00</v>
      </c>
      <c r="D6071" s="8">
        <f t="shared" ca="1" si="284"/>
        <v>6</v>
      </c>
      <c r="E6071" s="16">
        <f t="shared" ca="1" si="285"/>
        <v>0</v>
      </c>
    </row>
    <row r="6072" spans="1:5" x14ac:dyDescent="0.25">
      <c r="A6072" s="3">
        <f t="shared" si="283"/>
        <v>78989</v>
      </c>
      <c r="B6072" t="str">
        <f ca="1">TEXT(DATE(YEAR(Invoer!$A$5),1,1)+INT((ROWS(B$2:B6072)-1)/24),"""18""jjmmdd")</f>
        <v>18980910</v>
      </c>
      <c r="C6072" s="11" t="str">
        <f>INDEX(Data,2,2+MOD(ROWS(C$2:C6072)-1,24))</f>
        <v>23.00</v>
      </c>
      <c r="D6072" s="8">
        <f t="shared" ca="1" si="284"/>
        <v>6</v>
      </c>
      <c r="E6072" s="16">
        <f t="shared" ca="1" si="285"/>
        <v>0</v>
      </c>
    </row>
    <row r="6073" spans="1:5" x14ac:dyDescent="0.25">
      <c r="A6073" s="3">
        <f t="shared" si="283"/>
        <v>78989</v>
      </c>
      <c r="B6073" t="str">
        <f ca="1">TEXT(DATE(YEAR(Invoer!$A$5),1,1)+INT((ROWS(B$2:B6073)-1)/24),"""18""jjmmdd")</f>
        <v>18980910</v>
      </c>
      <c r="C6073" s="11" t="str">
        <f>INDEX(Data,2,2+MOD(ROWS(C$2:C6073)-1,24))</f>
        <v>24.00</v>
      </c>
      <c r="D6073" s="8">
        <f t="shared" ca="1" si="284"/>
        <v>5</v>
      </c>
      <c r="E6073" s="16">
        <f t="shared" ca="1" si="285"/>
        <v>0</v>
      </c>
    </row>
    <row r="6074" spans="1:5" x14ac:dyDescent="0.25">
      <c r="A6074" s="3">
        <f t="shared" si="283"/>
        <v>78989</v>
      </c>
      <c r="B6074" t="str">
        <f ca="1">TEXT(DATE(YEAR(Invoer!$A$5),1,1)+INT((ROWS(B$2:B6074)-1)/24),"""18""jjmmdd")</f>
        <v>18980911</v>
      </c>
      <c r="C6074" s="11" t="str">
        <f>INDEX(Data,2,2+MOD(ROWS(C$2:C6074)-1,24))</f>
        <v>01.00</v>
      </c>
      <c r="D6074" s="8">
        <f t="shared" ca="1" si="284"/>
        <v>4</v>
      </c>
      <c r="E6074" s="16">
        <f t="shared" ca="1" si="285"/>
        <v>0</v>
      </c>
    </row>
    <row r="6075" spans="1:5" x14ac:dyDescent="0.25">
      <c r="A6075" s="3">
        <f t="shared" si="283"/>
        <v>78989</v>
      </c>
      <c r="B6075" t="str">
        <f ca="1">TEXT(DATE(YEAR(Invoer!$A$5),1,1)+INT((ROWS(B$2:B6075)-1)/24),"""18""jjmmdd")</f>
        <v>18980911</v>
      </c>
      <c r="C6075" s="11" t="str">
        <f>INDEX(Data,2,2+MOD(ROWS(C$2:C6075)-1,24))</f>
        <v>02.00</v>
      </c>
      <c r="D6075" s="8">
        <f t="shared" ca="1" si="284"/>
        <v>3</v>
      </c>
      <c r="E6075" s="16">
        <f t="shared" ca="1" si="285"/>
        <v>0</v>
      </c>
    </row>
    <row r="6076" spans="1:5" x14ac:dyDescent="0.25">
      <c r="A6076" s="3">
        <f t="shared" si="283"/>
        <v>78989</v>
      </c>
      <c r="B6076" t="str">
        <f ca="1">TEXT(DATE(YEAR(Invoer!$A$5),1,1)+INT((ROWS(B$2:B6076)-1)/24),"""18""jjmmdd")</f>
        <v>18980911</v>
      </c>
      <c r="C6076" s="11" t="str">
        <f>INDEX(Data,2,2+MOD(ROWS(C$2:C6076)-1,24))</f>
        <v>03.00</v>
      </c>
      <c r="D6076" s="8">
        <f t="shared" ca="1" si="284"/>
        <v>2</v>
      </c>
      <c r="E6076" s="16">
        <f t="shared" ca="1" si="285"/>
        <v>0</v>
      </c>
    </row>
    <row r="6077" spans="1:5" x14ac:dyDescent="0.25">
      <c r="A6077" s="3">
        <f t="shared" si="283"/>
        <v>78989</v>
      </c>
      <c r="B6077" t="str">
        <f ca="1">TEXT(DATE(YEAR(Invoer!$A$5),1,1)+INT((ROWS(B$2:B6077)-1)/24),"""18""jjmmdd")</f>
        <v>18980911</v>
      </c>
      <c r="C6077" s="11" t="str">
        <f>INDEX(Data,2,2+MOD(ROWS(C$2:C6077)-1,24))</f>
        <v>04.00</v>
      </c>
      <c r="D6077" s="8">
        <f t="shared" ca="1" si="284"/>
        <v>4</v>
      </c>
      <c r="E6077" s="16">
        <f t="shared" ca="1" si="285"/>
        <v>0</v>
      </c>
    </row>
    <row r="6078" spans="1:5" x14ac:dyDescent="0.25">
      <c r="A6078" s="3">
        <f t="shared" si="283"/>
        <v>78989</v>
      </c>
      <c r="B6078" t="str">
        <f ca="1">TEXT(DATE(YEAR(Invoer!$A$5),1,1)+INT((ROWS(B$2:B6078)-1)/24),"""18""jjmmdd")</f>
        <v>18980911</v>
      </c>
      <c r="C6078" s="11" t="str">
        <f>INDEX(Data,2,2+MOD(ROWS(C$2:C6078)-1,24))</f>
        <v>05.00</v>
      </c>
      <c r="D6078" s="8">
        <f t="shared" ca="1" si="284"/>
        <v>3</v>
      </c>
      <c r="E6078" s="16">
        <f t="shared" ca="1" si="285"/>
        <v>0</v>
      </c>
    </row>
    <row r="6079" spans="1:5" x14ac:dyDescent="0.25">
      <c r="A6079" s="3">
        <f t="shared" si="283"/>
        <v>78989</v>
      </c>
      <c r="B6079" t="str">
        <f ca="1">TEXT(DATE(YEAR(Invoer!$A$5),1,1)+INT((ROWS(B$2:B6079)-1)/24),"""18""jjmmdd")</f>
        <v>18980911</v>
      </c>
      <c r="C6079" s="11" t="str">
        <f>INDEX(Data,2,2+MOD(ROWS(C$2:C6079)-1,24))</f>
        <v>06.00</v>
      </c>
      <c r="D6079" s="8">
        <f t="shared" ca="1" si="284"/>
        <v>3</v>
      </c>
      <c r="E6079" s="16">
        <f t="shared" ca="1" si="285"/>
        <v>0</v>
      </c>
    </row>
    <row r="6080" spans="1:5" x14ac:dyDescent="0.25">
      <c r="A6080" s="3">
        <f t="shared" si="283"/>
        <v>78989</v>
      </c>
      <c r="B6080" t="str">
        <f ca="1">TEXT(DATE(YEAR(Invoer!$A$5),1,1)+INT((ROWS(B$2:B6080)-1)/24),"""18""jjmmdd")</f>
        <v>18980911</v>
      </c>
      <c r="C6080" s="11" t="str">
        <f>INDEX(Data,2,2+MOD(ROWS(C$2:C6080)-1,24))</f>
        <v>07.00</v>
      </c>
      <c r="D6080" s="8">
        <f t="shared" ca="1" si="284"/>
        <v>4</v>
      </c>
      <c r="E6080" s="16">
        <f t="shared" ca="1" si="285"/>
        <v>0</v>
      </c>
    </row>
    <row r="6081" spans="1:5" x14ac:dyDescent="0.25">
      <c r="A6081" s="3">
        <f t="shared" si="283"/>
        <v>78989</v>
      </c>
      <c r="B6081" t="str">
        <f ca="1">TEXT(DATE(YEAR(Invoer!$A$5),1,1)+INT((ROWS(B$2:B6081)-1)/24),"""18""jjmmdd")</f>
        <v>18980911</v>
      </c>
      <c r="C6081" s="11" t="str">
        <f>INDEX(Data,2,2+MOD(ROWS(C$2:C6081)-1,24))</f>
        <v>08.00</v>
      </c>
      <c r="D6081" s="8">
        <f t="shared" ca="1" si="284"/>
        <v>5</v>
      </c>
      <c r="E6081" s="16">
        <f t="shared" ca="1" si="285"/>
        <v>0</v>
      </c>
    </row>
    <row r="6082" spans="1:5" x14ac:dyDescent="0.25">
      <c r="A6082" s="3">
        <f t="shared" ref="A6082:A6145" si="286">INDEX(Stations,2,1)</f>
        <v>78989</v>
      </c>
      <c r="B6082" t="str">
        <f ca="1">TEXT(DATE(YEAR(Invoer!$A$5),1,1)+INT((ROWS(B$2:B6082)-1)/24),"""18""jjmmdd")</f>
        <v>18980911</v>
      </c>
      <c r="C6082" s="11" t="str">
        <f>INDEX(Data,2,2+MOD(ROWS(C$2:C6082)-1,24))</f>
        <v>09.00</v>
      </c>
      <c r="D6082" s="8">
        <f t="shared" ref="D6082:D6145" ca="1" si="287">IF(OR(ISBLANK(VLOOKUP(DATEVALUE("37"&amp;MID($B6082,3,2)&amp;"-"&amp;MID($B6082,5,2)&amp;"-"&amp;RIGHT($B6082,2)),Data,MATCH(LEFT(VLOOKUP(D$1,Parameters,2,FALSE()),4)&amp;"*",OFFSET(Data,0,0,1),0)+MATCH($C6082,OFFSET(Data,1,0,1),0)-2,FALSE())),ISTEXT(VLOOKUP(DATEVALUE("37"&amp;MID($B6082,3,2)&amp;"-"&amp;MID($B6082,5,2)&amp;"-"&amp;RIGHT($B6082,2)),Data,MATCH(LEFT(VLOOKUP(D$1,Parameters,2,FALSE()),4)&amp;"*",OFFSET(Data,0,0,1),0)+MATCH($C6082,OFFSET(Data,1,0,1),0)-2,FALSE()))),"—",VLOOKUP(DATEVALUE("37"&amp;MID($B6082,3,2)&amp;"-"&amp;MID($B6082,5,2)&amp;"-"&amp;RIGHT($B6082,2)),Data,MATCH(LEFT(VLOOKUP(D$1,Parameters,2,FALSE()),4)&amp;"*",OFFSET(Data,0,0,1),0)+MATCH($C6082,OFFSET(Data,1,0,1),0)-2,FALSE()))</f>
        <v>6</v>
      </c>
      <c r="E6082" s="16">
        <f t="shared" ca="1" si="285"/>
        <v>0</v>
      </c>
    </row>
    <row r="6083" spans="1:5" x14ac:dyDescent="0.25">
      <c r="A6083" s="3">
        <f t="shared" si="286"/>
        <v>78989</v>
      </c>
      <c r="B6083" t="str">
        <f ca="1">TEXT(DATE(YEAR(Invoer!$A$5),1,1)+INT((ROWS(B$2:B6083)-1)/24),"""18""jjmmdd")</f>
        <v>18980911</v>
      </c>
      <c r="C6083" s="11" t="str">
        <f>INDEX(Data,2,2+MOD(ROWS(C$2:C6083)-1,24))</f>
        <v>10.00</v>
      </c>
      <c r="D6083" s="8">
        <f t="shared" ca="1" si="287"/>
        <v>7</v>
      </c>
      <c r="E6083" s="16">
        <f t="shared" ref="E6083:E6146" ca="1" si="288">IF(OR(ISBLANK(VLOOKUP(DATEVALUE("37"&amp;MID($B6083,3,2)&amp;"-"&amp;MID($B6083,5,2)&amp;"-"&amp;RIGHT($B6083,2)),Data,MATCH(LEFT(VLOOKUP(D$1,Parameters,2,FALSE()),4)&amp;"*",OFFSET(Data,0,0,1),0)+MATCH($C6083,OFFSET(Data,1,0,1),0)-2,FALSE())),ISTEXT(VLOOKUP(DATEVALUE("37"&amp;MID($B6083,3,2)&amp;"-"&amp;MID($B6083,5,2)&amp;"-"&amp;RIGHT($B6083,2)),Data,MATCH(LEFT(VLOOKUP(D$1,Parameters,2,FALSE()),4)&amp;"*",OFFSET(Data,0,0,1),0)+MATCH($C6083,OFFSET(Data,1,0,1),0)-2,FALSE()))),Lacking,IF(ISNA(MATCH(DATEVALUE("37"&amp;MID($B6083,3,2)&amp;"-"&amp;MID($B6083,5,2)&amp;"-"&amp;RIGHT($B6083,2)),OFFSET(Catalogus,0,0,,1),0)),Ok,VLOOKUP(DATEVALUE("37"&amp;MID($B6083,3,2)&amp;"-"&amp;MID($B6083,5,2)&amp;"-"&amp;RIGHT($B6083,2)),Catalogus,MATCH(LEFT(VLOOKUP(MID(E$1,2,LEN(E$1)-1),Parameters,2,FALSE()),4)&amp;"*",OFFSET(Catalogus,0,0,1),0)+MATCH($C6083,OFFSET(Catalogus,1,0,1),0)-2,FALSE())))</f>
        <v>0</v>
      </c>
    </row>
    <row r="6084" spans="1:5" x14ac:dyDescent="0.25">
      <c r="A6084" s="3">
        <f t="shared" si="286"/>
        <v>78989</v>
      </c>
      <c r="B6084" t="str">
        <f ca="1">TEXT(DATE(YEAR(Invoer!$A$5),1,1)+INT((ROWS(B$2:B6084)-1)/24),"""18""jjmmdd")</f>
        <v>18980911</v>
      </c>
      <c r="C6084" s="11" t="str">
        <f>INDEX(Data,2,2+MOD(ROWS(C$2:C6084)-1,24))</f>
        <v>11.00</v>
      </c>
      <c r="D6084" s="8">
        <f t="shared" ca="1" si="287"/>
        <v>7</v>
      </c>
      <c r="E6084" s="16">
        <f t="shared" ca="1" si="288"/>
        <v>0</v>
      </c>
    </row>
    <row r="6085" spans="1:5" x14ac:dyDescent="0.25">
      <c r="A6085" s="3">
        <f t="shared" si="286"/>
        <v>78989</v>
      </c>
      <c r="B6085" t="str">
        <f ca="1">TEXT(DATE(YEAR(Invoer!$A$5),1,1)+INT((ROWS(B$2:B6085)-1)/24),"""18""jjmmdd")</f>
        <v>18980911</v>
      </c>
      <c r="C6085" s="11" t="str">
        <f>INDEX(Data,2,2+MOD(ROWS(C$2:C6085)-1,24))</f>
        <v>12.00</v>
      </c>
      <c r="D6085" s="8">
        <f t="shared" ca="1" si="287"/>
        <v>2</v>
      </c>
      <c r="E6085" s="16">
        <f t="shared" ca="1" si="288"/>
        <v>0</v>
      </c>
    </row>
    <row r="6086" spans="1:5" x14ac:dyDescent="0.25">
      <c r="A6086" s="3">
        <f t="shared" si="286"/>
        <v>78989</v>
      </c>
      <c r="B6086" t="str">
        <f ca="1">TEXT(DATE(YEAR(Invoer!$A$5),1,1)+INT((ROWS(B$2:B6086)-1)/24),"""18""jjmmdd")</f>
        <v>18980911</v>
      </c>
      <c r="C6086" s="11" t="str">
        <f>INDEX(Data,2,2+MOD(ROWS(C$2:C6086)-1,24))</f>
        <v>13.00</v>
      </c>
      <c r="D6086" s="8">
        <f t="shared" ca="1" si="287"/>
        <v>5</v>
      </c>
      <c r="E6086" s="16">
        <f t="shared" ca="1" si="288"/>
        <v>0</v>
      </c>
    </row>
    <row r="6087" spans="1:5" x14ac:dyDescent="0.25">
      <c r="A6087" s="3">
        <f t="shared" si="286"/>
        <v>78989</v>
      </c>
      <c r="B6087" t="str">
        <f ca="1">TEXT(DATE(YEAR(Invoer!$A$5),1,1)+INT((ROWS(B$2:B6087)-1)/24),"""18""jjmmdd")</f>
        <v>18980911</v>
      </c>
      <c r="C6087" s="11" t="str">
        <f>INDEX(Data,2,2+MOD(ROWS(C$2:C6087)-1,24))</f>
        <v>14.00</v>
      </c>
      <c r="D6087" s="8">
        <f t="shared" ca="1" si="287"/>
        <v>9</v>
      </c>
      <c r="E6087" s="16">
        <f t="shared" ca="1" si="288"/>
        <v>0</v>
      </c>
    </row>
    <row r="6088" spans="1:5" x14ac:dyDescent="0.25">
      <c r="A6088" s="3">
        <f t="shared" si="286"/>
        <v>78989</v>
      </c>
      <c r="B6088" t="str">
        <f ca="1">TEXT(DATE(YEAR(Invoer!$A$5),1,1)+INT((ROWS(B$2:B6088)-1)/24),"""18""jjmmdd")</f>
        <v>18980911</v>
      </c>
      <c r="C6088" s="11" t="str">
        <f>INDEX(Data,2,2+MOD(ROWS(C$2:C6088)-1,24))</f>
        <v>15.00</v>
      </c>
      <c r="D6088" s="8">
        <f t="shared" ca="1" si="287"/>
        <v>9</v>
      </c>
      <c r="E6088" s="16">
        <f t="shared" ca="1" si="288"/>
        <v>0</v>
      </c>
    </row>
    <row r="6089" spans="1:5" x14ac:dyDescent="0.25">
      <c r="A6089" s="3">
        <f t="shared" si="286"/>
        <v>78989</v>
      </c>
      <c r="B6089" t="str">
        <f ca="1">TEXT(DATE(YEAR(Invoer!$A$5),1,1)+INT((ROWS(B$2:B6089)-1)/24),"""18""jjmmdd")</f>
        <v>18980911</v>
      </c>
      <c r="C6089" s="11" t="str">
        <f>INDEX(Data,2,2+MOD(ROWS(C$2:C6089)-1,24))</f>
        <v>16.00</v>
      </c>
      <c r="D6089" s="8">
        <f t="shared" ca="1" si="287"/>
        <v>10</v>
      </c>
      <c r="E6089" s="16">
        <f t="shared" ca="1" si="288"/>
        <v>0</v>
      </c>
    </row>
    <row r="6090" spans="1:5" x14ac:dyDescent="0.25">
      <c r="A6090" s="3">
        <f t="shared" si="286"/>
        <v>78989</v>
      </c>
      <c r="B6090" t="str">
        <f ca="1">TEXT(DATE(YEAR(Invoer!$A$5),1,1)+INT((ROWS(B$2:B6090)-1)/24),"""18""jjmmdd")</f>
        <v>18980911</v>
      </c>
      <c r="C6090" s="11" t="str">
        <f>INDEX(Data,2,2+MOD(ROWS(C$2:C6090)-1,24))</f>
        <v>17.00</v>
      </c>
      <c r="D6090" s="8">
        <f t="shared" ca="1" si="287"/>
        <v>9</v>
      </c>
      <c r="E6090" s="16">
        <f t="shared" ca="1" si="288"/>
        <v>0</v>
      </c>
    </row>
    <row r="6091" spans="1:5" x14ac:dyDescent="0.25">
      <c r="A6091" s="3">
        <f t="shared" si="286"/>
        <v>78989</v>
      </c>
      <c r="B6091" t="str">
        <f ca="1">TEXT(DATE(YEAR(Invoer!$A$5),1,1)+INT((ROWS(B$2:B6091)-1)/24),"""18""jjmmdd")</f>
        <v>18980911</v>
      </c>
      <c r="C6091" s="11" t="str">
        <f>INDEX(Data,2,2+MOD(ROWS(C$2:C6091)-1,24))</f>
        <v>18.00</v>
      </c>
      <c r="D6091" s="8">
        <f t="shared" ca="1" si="287"/>
        <v>7</v>
      </c>
      <c r="E6091" s="16">
        <f t="shared" ca="1" si="288"/>
        <v>0</v>
      </c>
    </row>
    <row r="6092" spans="1:5" x14ac:dyDescent="0.25">
      <c r="A6092" s="3">
        <f t="shared" si="286"/>
        <v>78989</v>
      </c>
      <c r="B6092" t="str">
        <f ca="1">TEXT(DATE(YEAR(Invoer!$A$5),1,1)+INT((ROWS(B$2:B6092)-1)/24),"""18""jjmmdd")</f>
        <v>18980911</v>
      </c>
      <c r="C6092" s="11" t="str">
        <f>INDEX(Data,2,2+MOD(ROWS(C$2:C6092)-1,24))</f>
        <v>19.00</v>
      </c>
      <c r="D6092" s="8">
        <f t="shared" ca="1" si="287"/>
        <v>6</v>
      </c>
      <c r="E6092" s="16">
        <f t="shared" ca="1" si="288"/>
        <v>0</v>
      </c>
    </row>
    <row r="6093" spans="1:5" x14ac:dyDescent="0.25">
      <c r="A6093" s="3">
        <f t="shared" si="286"/>
        <v>78989</v>
      </c>
      <c r="B6093" t="str">
        <f ca="1">TEXT(DATE(YEAR(Invoer!$A$5),1,1)+INT((ROWS(B$2:B6093)-1)/24),"""18""jjmmdd")</f>
        <v>18980911</v>
      </c>
      <c r="C6093" s="11" t="str">
        <f>INDEX(Data,2,2+MOD(ROWS(C$2:C6093)-1,24))</f>
        <v>20.00</v>
      </c>
      <c r="D6093" s="8">
        <f t="shared" ca="1" si="287"/>
        <v>3</v>
      </c>
      <c r="E6093" s="16">
        <f t="shared" ca="1" si="288"/>
        <v>0</v>
      </c>
    </row>
    <row r="6094" spans="1:5" x14ac:dyDescent="0.25">
      <c r="A6094" s="3">
        <f t="shared" si="286"/>
        <v>78989</v>
      </c>
      <c r="B6094" t="str">
        <f ca="1">TEXT(DATE(YEAR(Invoer!$A$5),1,1)+INT((ROWS(B$2:B6094)-1)/24),"""18""jjmmdd")</f>
        <v>18980911</v>
      </c>
      <c r="C6094" s="11" t="str">
        <f>INDEX(Data,2,2+MOD(ROWS(C$2:C6094)-1,24))</f>
        <v>21.00</v>
      </c>
      <c r="D6094" s="8">
        <f t="shared" ca="1" si="287"/>
        <v>3</v>
      </c>
      <c r="E6094" s="16">
        <f t="shared" ca="1" si="288"/>
        <v>0</v>
      </c>
    </row>
    <row r="6095" spans="1:5" x14ac:dyDescent="0.25">
      <c r="A6095" s="3">
        <f t="shared" si="286"/>
        <v>78989</v>
      </c>
      <c r="B6095" t="str">
        <f ca="1">TEXT(DATE(YEAR(Invoer!$A$5),1,1)+INT((ROWS(B$2:B6095)-1)/24),"""18""jjmmdd")</f>
        <v>18980911</v>
      </c>
      <c r="C6095" s="11" t="str">
        <f>INDEX(Data,2,2+MOD(ROWS(C$2:C6095)-1,24))</f>
        <v>22.00</v>
      </c>
      <c r="D6095" s="8">
        <f t="shared" ca="1" si="287"/>
        <v>3</v>
      </c>
      <c r="E6095" s="16">
        <f t="shared" ca="1" si="288"/>
        <v>0</v>
      </c>
    </row>
    <row r="6096" spans="1:5" x14ac:dyDescent="0.25">
      <c r="A6096" s="3">
        <f t="shared" si="286"/>
        <v>78989</v>
      </c>
      <c r="B6096" t="str">
        <f ca="1">TEXT(DATE(YEAR(Invoer!$A$5),1,1)+INT((ROWS(B$2:B6096)-1)/24),"""18""jjmmdd")</f>
        <v>18980911</v>
      </c>
      <c r="C6096" s="11" t="str">
        <f>INDEX(Data,2,2+MOD(ROWS(C$2:C6096)-1,24))</f>
        <v>23.00</v>
      </c>
      <c r="D6096" s="8">
        <f t="shared" ca="1" si="287"/>
        <v>3</v>
      </c>
      <c r="E6096" s="16">
        <f t="shared" ca="1" si="288"/>
        <v>0</v>
      </c>
    </row>
    <row r="6097" spans="1:5" x14ac:dyDescent="0.25">
      <c r="A6097" s="3">
        <f t="shared" si="286"/>
        <v>78989</v>
      </c>
      <c r="B6097" t="str">
        <f ca="1">TEXT(DATE(YEAR(Invoer!$A$5),1,1)+INT((ROWS(B$2:B6097)-1)/24),"""18""jjmmdd")</f>
        <v>18980911</v>
      </c>
      <c r="C6097" s="11" t="str">
        <f>INDEX(Data,2,2+MOD(ROWS(C$2:C6097)-1,24))</f>
        <v>24.00</v>
      </c>
      <c r="D6097" s="8">
        <f t="shared" ca="1" si="287"/>
        <v>3</v>
      </c>
      <c r="E6097" s="16">
        <f t="shared" ca="1" si="288"/>
        <v>0</v>
      </c>
    </row>
    <row r="6098" spans="1:5" x14ac:dyDescent="0.25">
      <c r="A6098" s="3">
        <f t="shared" si="286"/>
        <v>78989</v>
      </c>
      <c r="B6098" t="str">
        <f ca="1">TEXT(DATE(YEAR(Invoer!$A$5),1,1)+INT((ROWS(B$2:B6098)-1)/24),"""18""jjmmdd")</f>
        <v>18980912</v>
      </c>
      <c r="C6098" s="11" t="str">
        <f>INDEX(Data,2,2+MOD(ROWS(C$2:C6098)-1,24))</f>
        <v>01.00</v>
      </c>
      <c r="D6098" s="8">
        <f t="shared" ca="1" si="287"/>
        <v>1</v>
      </c>
      <c r="E6098" s="16">
        <f t="shared" ca="1" si="288"/>
        <v>0</v>
      </c>
    </row>
    <row r="6099" spans="1:5" x14ac:dyDescent="0.25">
      <c r="A6099" s="3">
        <f t="shared" si="286"/>
        <v>78989</v>
      </c>
      <c r="B6099" t="str">
        <f ca="1">TEXT(DATE(YEAR(Invoer!$A$5),1,1)+INT((ROWS(B$2:B6099)-1)/24),"""18""jjmmdd")</f>
        <v>18980912</v>
      </c>
      <c r="C6099" s="11" t="str">
        <f>INDEX(Data,2,2+MOD(ROWS(C$2:C6099)-1,24))</f>
        <v>02.00</v>
      </c>
      <c r="D6099" s="8">
        <f t="shared" ca="1" si="287"/>
        <v>2</v>
      </c>
      <c r="E6099" s="16">
        <f t="shared" ca="1" si="288"/>
        <v>0</v>
      </c>
    </row>
    <row r="6100" spans="1:5" x14ac:dyDescent="0.25">
      <c r="A6100" s="3">
        <f t="shared" si="286"/>
        <v>78989</v>
      </c>
      <c r="B6100" t="str">
        <f ca="1">TEXT(DATE(YEAR(Invoer!$A$5),1,1)+INT((ROWS(B$2:B6100)-1)/24),"""18""jjmmdd")</f>
        <v>18980912</v>
      </c>
      <c r="C6100" s="11" t="str">
        <f>INDEX(Data,2,2+MOD(ROWS(C$2:C6100)-1,24))</f>
        <v>03.00</v>
      </c>
      <c r="D6100" s="8">
        <f t="shared" ca="1" si="287"/>
        <v>3</v>
      </c>
      <c r="E6100" s="16">
        <f t="shared" ca="1" si="288"/>
        <v>0</v>
      </c>
    </row>
    <row r="6101" spans="1:5" x14ac:dyDescent="0.25">
      <c r="A6101" s="3">
        <f t="shared" si="286"/>
        <v>78989</v>
      </c>
      <c r="B6101" t="str">
        <f ca="1">TEXT(DATE(YEAR(Invoer!$A$5),1,1)+INT((ROWS(B$2:B6101)-1)/24),"""18""jjmmdd")</f>
        <v>18980912</v>
      </c>
      <c r="C6101" s="11" t="str">
        <f>INDEX(Data,2,2+MOD(ROWS(C$2:C6101)-1,24))</f>
        <v>04.00</v>
      </c>
      <c r="D6101" s="8">
        <f t="shared" ca="1" si="287"/>
        <v>4</v>
      </c>
      <c r="E6101" s="16">
        <f t="shared" ca="1" si="288"/>
        <v>0</v>
      </c>
    </row>
    <row r="6102" spans="1:5" x14ac:dyDescent="0.25">
      <c r="A6102" s="3">
        <f t="shared" si="286"/>
        <v>78989</v>
      </c>
      <c r="B6102" t="str">
        <f ca="1">TEXT(DATE(YEAR(Invoer!$A$5),1,1)+INT((ROWS(B$2:B6102)-1)/24),"""18""jjmmdd")</f>
        <v>18980912</v>
      </c>
      <c r="C6102" s="11" t="str">
        <f>INDEX(Data,2,2+MOD(ROWS(C$2:C6102)-1,24))</f>
        <v>05.00</v>
      </c>
      <c r="D6102" s="8">
        <f t="shared" ca="1" si="287"/>
        <v>3</v>
      </c>
      <c r="E6102" s="16">
        <f t="shared" ca="1" si="288"/>
        <v>0</v>
      </c>
    </row>
    <row r="6103" spans="1:5" x14ac:dyDescent="0.25">
      <c r="A6103" s="3">
        <f t="shared" si="286"/>
        <v>78989</v>
      </c>
      <c r="B6103" t="str">
        <f ca="1">TEXT(DATE(YEAR(Invoer!$A$5),1,1)+INT((ROWS(B$2:B6103)-1)/24),"""18""jjmmdd")</f>
        <v>18980912</v>
      </c>
      <c r="C6103" s="11" t="str">
        <f>INDEX(Data,2,2+MOD(ROWS(C$2:C6103)-1,24))</f>
        <v>06.00</v>
      </c>
      <c r="D6103" s="8">
        <f t="shared" ca="1" si="287"/>
        <v>3</v>
      </c>
      <c r="E6103" s="16">
        <f t="shared" ca="1" si="288"/>
        <v>0</v>
      </c>
    </row>
    <row r="6104" spans="1:5" x14ac:dyDescent="0.25">
      <c r="A6104" s="3">
        <f t="shared" si="286"/>
        <v>78989</v>
      </c>
      <c r="B6104" t="str">
        <f ca="1">TEXT(DATE(YEAR(Invoer!$A$5),1,1)+INT((ROWS(B$2:B6104)-1)/24),"""18""jjmmdd")</f>
        <v>18980912</v>
      </c>
      <c r="C6104" s="11" t="str">
        <f>INDEX(Data,2,2+MOD(ROWS(C$2:C6104)-1,24))</f>
        <v>07.00</v>
      </c>
      <c r="D6104" s="8">
        <f t="shared" ca="1" si="287"/>
        <v>1</v>
      </c>
      <c r="E6104" s="16">
        <f t="shared" ca="1" si="288"/>
        <v>0</v>
      </c>
    </row>
    <row r="6105" spans="1:5" x14ac:dyDescent="0.25">
      <c r="A6105" s="3">
        <f t="shared" si="286"/>
        <v>78989</v>
      </c>
      <c r="B6105" t="str">
        <f ca="1">TEXT(DATE(YEAR(Invoer!$A$5),1,1)+INT((ROWS(B$2:B6105)-1)/24),"""18""jjmmdd")</f>
        <v>18980912</v>
      </c>
      <c r="C6105" s="11" t="str">
        <f>INDEX(Data,2,2+MOD(ROWS(C$2:C6105)-1,24))</f>
        <v>08.00</v>
      </c>
      <c r="D6105" s="8">
        <f t="shared" ca="1" si="287"/>
        <v>3</v>
      </c>
      <c r="E6105" s="16">
        <f t="shared" ca="1" si="288"/>
        <v>0</v>
      </c>
    </row>
    <row r="6106" spans="1:5" x14ac:dyDescent="0.25">
      <c r="A6106" s="3">
        <f t="shared" si="286"/>
        <v>78989</v>
      </c>
      <c r="B6106" t="str">
        <f ca="1">TEXT(DATE(YEAR(Invoer!$A$5),1,1)+INT((ROWS(B$2:B6106)-1)/24),"""18""jjmmdd")</f>
        <v>18980912</v>
      </c>
      <c r="C6106" s="11" t="str">
        <f>INDEX(Data,2,2+MOD(ROWS(C$2:C6106)-1,24))</f>
        <v>09.00</v>
      </c>
      <c r="D6106" s="8">
        <f t="shared" ca="1" si="287"/>
        <v>5</v>
      </c>
      <c r="E6106" s="16">
        <f t="shared" ca="1" si="288"/>
        <v>0</v>
      </c>
    </row>
    <row r="6107" spans="1:5" x14ac:dyDescent="0.25">
      <c r="A6107" s="3">
        <f t="shared" si="286"/>
        <v>78989</v>
      </c>
      <c r="B6107" t="str">
        <f ca="1">TEXT(DATE(YEAR(Invoer!$A$5),1,1)+INT((ROWS(B$2:B6107)-1)/24),"""18""jjmmdd")</f>
        <v>18980912</v>
      </c>
      <c r="C6107" s="11" t="str">
        <f>INDEX(Data,2,2+MOD(ROWS(C$2:C6107)-1,24))</f>
        <v>10.00</v>
      </c>
      <c r="D6107" s="8">
        <f t="shared" ca="1" si="287"/>
        <v>8</v>
      </c>
      <c r="E6107" s="16">
        <f t="shared" ca="1" si="288"/>
        <v>0</v>
      </c>
    </row>
    <row r="6108" spans="1:5" x14ac:dyDescent="0.25">
      <c r="A6108" s="3">
        <f t="shared" si="286"/>
        <v>78989</v>
      </c>
      <c r="B6108" t="str">
        <f ca="1">TEXT(DATE(YEAR(Invoer!$A$5),1,1)+INT((ROWS(B$2:B6108)-1)/24),"""18""jjmmdd")</f>
        <v>18980912</v>
      </c>
      <c r="C6108" s="11" t="str">
        <f>INDEX(Data,2,2+MOD(ROWS(C$2:C6108)-1,24))</f>
        <v>11.00</v>
      </c>
      <c r="D6108" s="8">
        <f t="shared" ca="1" si="287"/>
        <v>8</v>
      </c>
      <c r="E6108" s="16">
        <f t="shared" ca="1" si="288"/>
        <v>0</v>
      </c>
    </row>
    <row r="6109" spans="1:5" x14ac:dyDescent="0.25">
      <c r="A6109" s="3">
        <f t="shared" si="286"/>
        <v>78989</v>
      </c>
      <c r="B6109" t="str">
        <f ca="1">TEXT(DATE(YEAR(Invoer!$A$5),1,1)+INT((ROWS(B$2:B6109)-1)/24),"""18""jjmmdd")</f>
        <v>18980912</v>
      </c>
      <c r="C6109" s="11" t="str">
        <f>INDEX(Data,2,2+MOD(ROWS(C$2:C6109)-1,24))</f>
        <v>12.00</v>
      </c>
      <c r="D6109" s="8">
        <f t="shared" ca="1" si="287"/>
        <v>8</v>
      </c>
      <c r="E6109" s="16">
        <f t="shared" ca="1" si="288"/>
        <v>0</v>
      </c>
    </row>
    <row r="6110" spans="1:5" x14ac:dyDescent="0.25">
      <c r="A6110" s="3">
        <f t="shared" si="286"/>
        <v>78989</v>
      </c>
      <c r="B6110" t="str">
        <f ca="1">TEXT(DATE(YEAR(Invoer!$A$5),1,1)+INT((ROWS(B$2:B6110)-1)/24),"""18""jjmmdd")</f>
        <v>18980912</v>
      </c>
      <c r="C6110" s="11" t="str">
        <f>INDEX(Data,2,2+MOD(ROWS(C$2:C6110)-1,24))</f>
        <v>13.00</v>
      </c>
      <c r="D6110" s="8">
        <f t="shared" ca="1" si="287"/>
        <v>8</v>
      </c>
      <c r="E6110" s="16">
        <f t="shared" ca="1" si="288"/>
        <v>0</v>
      </c>
    </row>
    <row r="6111" spans="1:5" x14ac:dyDescent="0.25">
      <c r="A6111" s="3">
        <f t="shared" si="286"/>
        <v>78989</v>
      </c>
      <c r="B6111" t="str">
        <f ca="1">TEXT(DATE(YEAR(Invoer!$A$5),1,1)+INT((ROWS(B$2:B6111)-1)/24),"""18""jjmmdd")</f>
        <v>18980912</v>
      </c>
      <c r="C6111" s="11" t="str">
        <f>INDEX(Data,2,2+MOD(ROWS(C$2:C6111)-1,24))</f>
        <v>14.00</v>
      </c>
      <c r="D6111" s="8">
        <f t="shared" ca="1" si="287"/>
        <v>6</v>
      </c>
      <c r="E6111" s="16">
        <f t="shared" ca="1" si="288"/>
        <v>0</v>
      </c>
    </row>
    <row r="6112" spans="1:5" x14ac:dyDescent="0.25">
      <c r="A6112" s="3">
        <f t="shared" si="286"/>
        <v>78989</v>
      </c>
      <c r="B6112" t="str">
        <f ca="1">TEXT(DATE(YEAR(Invoer!$A$5),1,1)+INT((ROWS(B$2:B6112)-1)/24),"""18""jjmmdd")</f>
        <v>18980912</v>
      </c>
      <c r="C6112" s="11" t="str">
        <f>INDEX(Data,2,2+MOD(ROWS(C$2:C6112)-1,24))</f>
        <v>15.00</v>
      </c>
      <c r="D6112" s="8">
        <f t="shared" ca="1" si="287"/>
        <v>5</v>
      </c>
      <c r="E6112" s="16">
        <f t="shared" ca="1" si="288"/>
        <v>0</v>
      </c>
    </row>
    <row r="6113" spans="1:5" x14ac:dyDescent="0.25">
      <c r="A6113" s="3">
        <f t="shared" si="286"/>
        <v>78989</v>
      </c>
      <c r="B6113" t="str">
        <f ca="1">TEXT(DATE(YEAR(Invoer!$A$5),1,1)+INT((ROWS(B$2:B6113)-1)/24),"""18""jjmmdd")</f>
        <v>18980912</v>
      </c>
      <c r="C6113" s="11" t="str">
        <f>INDEX(Data,2,2+MOD(ROWS(C$2:C6113)-1,24))</f>
        <v>16.00</v>
      </c>
      <c r="D6113" s="8">
        <f t="shared" ca="1" si="287"/>
        <v>3</v>
      </c>
      <c r="E6113" s="16">
        <f t="shared" ca="1" si="288"/>
        <v>0</v>
      </c>
    </row>
    <row r="6114" spans="1:5" x14ac:dyDescent="0.25">
      <c r="A6114" s="3">
        <f t="shared" si="286"/>
        <v>78989</v>
      </c>
      <c r="B6114" t="str">
        <f ca="1">TEXT(DATE(YEAR(Invoer!$A$5),1,1)+INT((ROWS(B$2:B6114)-1)/24),"""18""jjmmdd")</f>
        <v>18980912</v>
      </c>
      <c r="C6114" s="11" t="str">
        <f>INDEX(Data,2,2+MOD(ROWS(C$2:C6114)-1,24))</f>
        <v>17.00</v>
      </c>
      <c r="D6114" s="8">
        <f t="shared" ca="1" si="287"/>
        <v>17</v>
      </c>
      <c r="E6114" s="16">
        <f t="shared" ca="1" si="288"/>
        <v>0</v>
      </c>
    </row>
    <row r="6115" spans="1:5" x14ac:dyDescent="0.25">
      <c r="A6115" s="3">
        <f t="shared" si="286"/>
        <v>78989</v>
      </c>
      <c r="B6115" t="str">
        <f ca="1">TEXT(DATE(YEAR(Invoer!$A$5),1,1)+INT((ROWS(B$2:B6115)-1)/24),"""18""jjmmdd")</f>
        <v>18980912</v>
      </c>
      <c r="C6115" s="11" t="str">
        <f>INDEX(Data,2,2+MOD(ROWS(C$2:C6115)-1,24))</f>
        <v>18.00</v>
      </c>
      <c r="D6115" s="8">
        <f t="shared" ca="1" si="287"/>
        <v>9</v>
      </c>
      <c r="E6115" s="16">
        <f t="shared" ca="1" si="288"/>
        <v>0</v>
      </c>
    </row>
    <row r="6116" spans="1:5" x14ac:dyDescent="0.25">
      <c r="A6116" s="3">
        <f t="shared" si="286"/>
        <v>78989</v>
      </c>
      <c r="B6116" t="str">
        <f ca="1">TEXT(DATE(YEAR(Invoer!$A$5),1,1)+INT((ROWS(B$2:B6116)-1)/24),"""18""jjmmdd")</f>
        <v>18980912</v>
      </c>
      <c r="C6116" s="11" t="str">
        <f>INDEX(Data,2,2+MOD(ROWS(C$2:C6116)-1,24))</f>
        <v>19.00</v>
      </c>
      <c r="D6116" s="8">
        <f t="shared" ca="1" si="287"/>
        <v>7</v>
      </c>
      <c r="E6116" s="16">
        <f t="shared" ca="1" si="288"/>
        <v>0</v>
      </c>
    </row>
    <row r="6117" spans="1:5" x14ac:dyDescent="0.25">
      <c r="A6117" s="3">
        <f t="shared" si="286"/>
        <v>78989</v>
      </c>
      <c r="B6117" t="str">
        <f ca="1">TEXT(DATE(YEAR(Invoer!$A$5),1,1)+INT((ROWS(B$2:B6117)-1)/24),"""18""jjmmdd")</f>
        <v>18980912</v>
      </c>
      <c r="C6117" s="11" t="str">
        <f>INDEX(Data,2,2+MOD(ROWS(C$2:C6117)-1,24))</f>
        <v>20.00</v>
      </c>
      <c r="D6117" s="8">
        <f t="shared" ca="1" si="287"/>
        <v>7</v>
      </c>
      <c r="E6117" s="16">
        <f t="shared" ca="1" si="288"/>
        <v>0</v>
      </c>
    </row>
    <row r="6118" spans="1:5" x14ac:dyDescent="0.25">
      <c r="A6118" s="3">
        <f t="shared" si="286"/>
        <v>78989</v>
      </c>
      <c r="B6118" t="str">
        <f ca="1">TEXT(DATE(YEAR(Invoer!$A$5),1,1)+INT((ROWS(B$2:B6118)-1)/24),"""18""jjmmdd")</f>
        <v>18980912</v>
      </c>
      <c r="C6118" s="11" t="str">
        <f>INDEX(Data,2,2+MOD(ROWS(C$2:C6118)-1,24))</f>
        <v>21.00</v>
      </c>
      <c r="D6118" s="8">
        <f t="shared" ca="1" si="287"/>
        <v>5</v>
      </c>
      <c r="E6118" s="16">
        <f t="shared" ca="1" si="288"/>
        <v>0</v>
      </c>
    </row>
    <row r="6119" spans="1:5" x14ac:dyDescent="0.25">
      <c r="A6119" s="3">
        <f t="shared" si="286"/>
        <v>78989</v>
      </c>
      <c r="B6119" t="str">
        <f ca="1">TEXT(DATE(YEAR(Invoer!$A$5),1,1)+INT((ROWS(B$2:B6119)-1)/24),"""18""jjmmdd")</f>
        <v>18980912</v>
      </c>
      <c r="C6119" s="11" t="str">
        <f>INDEX(Data,2,2+MOD(ROWS(C$2:C6119)-1,24))</f>
        <v>22.00</v>
      </c>
      <c r="D6119" s="8">
        <f t="shared" ca="1" si="287"/>
        <v>7</v>
      </c>
      <c r="E6119" s="16">
        <f t="shared" ca="1" si="288"/>
        <v>0</v>
      </c>
    </row>
    <row r="6120" spans="1:5" x14ac:dyDescent="0.25">
      <c r="A6120" s="3">
        <f t="shared" si="286"/>
        <v>78989</v>
      </c>
      <c r="B6120" t="str">
        <f ca="1">TEXT(DATE(YEAR(Invoer!$A$5),1,1)+INT((ROWS(B$2:B6120)-1)/24),"""18""jjmmdd")</f>
        <v>18980912</v>
      </c>
      <c r="C6120" s="11" t="str">
        <f>INDEX(Data,2,2+MOD(ROWS(C$2:C6120)-1,24))</f>
        <v>23.00</v>
      </c>
      <c r="D6120" s="8">
        <f t="shared" ca="1" si="287"/>
        <v>7</v>
      </c>
      <c r="E6120" s="16">
        <f t="shared" ca="1" si="288"/>
        <v>0</v>
      </c>
    </row>
    <row r="6121" spans="1:5" x14ac:dyDescent="0.25">
      <c r="A6121" s="3">
        <f t="shared" si="286"/>
        <v>78989</v>
      </c>
      <c r="B6121" t="str">
        <f ca="1">TEXT(DATE(YEAR(Invoer!$A$5),1,1)+INT((ROWS(B$2:B6121)-1)/24),"""18""jjmmdd")</f>
        <v>18980912</v>
      </c>
      <c r="C6121" s="11" t="str">
        <f>INDEX(Data,2,2+MOD(ROWS(C$2:C6121)-1,24))</f>
        <v>24.00</v>
      </c>
      <c r="D6121" s="8">
        <f t="shared" ca="1" si="287"/>
        <v>7</v>
      </c>
      <c r="E6121" s="16">
        <f t="shared" ca="1" si="288"/>
        <v>0</v>
      </c>
    </row>
    <row r="6122" spans="1:5" x14ac:dyDescent="0.25">
      <c r="A6122" s="3">
        <f t="shared" si="286"/>
        <v>78989</v>
      </c>
      <c r="B6122" t="str">
        <f ca="1">TEXT(DATE(YEAR(Invoer!$A$5),1,1)+INT((ROWS(B$2:B6122)-1)/24),"""18""jjmmdd")</f>
        <v>18980913</v>
      </c>
      <c r="C6122" s="11" t="str">
        <f>INDEX(Data,2,2+MOD(ROWS(C$2:C6122)-1,24))</f>
        <v>01.00</v>
      </c>
      <c r="D6122" s="8">
        <f t="shared" ca="1" si="287"/>
        <v>8</v>
      </c>
      <c r="E6122" s="16">
        <f t="shared" ca="1" si="288"/>
        <v>0</v>
      </c>
    </row>
    <row r="6123" spans="1:5" x14ac:dyDescent="0.25">
      <c r="A6123" s="3">
        <f t="shared" si="286"/>
        <v>78989</v>
      </c>
      <c r="B6123" t="str">
        <f ca="1">TEXT(DATE(YEAR(Invoer!$A$5),1,1)+INT((ROWS(B$2:B6123)-1)/24),"""18""jjmmdd")</f>
        <v>18980913</v>
      </c>
      <c r="C6123" s="11" t="str">
        <f>INDEX(Data,2,2+MOD(ROWS(C$2:C6123)-1,24))</f>
        <v>02.00</v>
      </c>
      <c r="D6123" s="8">
        <f t="shared" ca="1" si="287"/>
        <v>5</v>
      </c>
      <c r="E6123" s="16">
        <f t="shared" ca="1" si="288"/>
        <v>0</v>
      </c>
    </row>
    <row r="6124" spans="1:5" x14ac:dyDescent="0.25">
      <c r="A6124" s="3">
        <f t="shared" si="286"/>
        <v>78989</v>
      </c>
      <c r="B6124" t="str">
        <f ca="1">TEXT(DATE(YEAR(Invoer!$A$5),1,1)+INT((ROWS(B$2:B6124)-1)/24),"""18""jjmmdd")</f>
        <v>18980913</v>
      </c>
      <c r="C6124" s="11" t="str">
        <f>INDEX(Data,2,2+MOD(ROWS(C$2:C6124)-1,24))</f>
        <v>03.00</v>
      </c>
      <c r="D6124" s="8">
        <f t="shared" ca="1" si="287"/>
        <v>5</v>
      </c>
      <c r="E6124" s="16">
        <f t="shared" ca="1" si="288"/>
        <v>0</v>
      </c>
    </row>
    <row r="6125" spans="1:5" x14ac:dyDescent="0.25">
      <c r="A6125" s="3">
        <f t="shared" si="286"/>
        <v>78989</v>
      </c>
      <c r="B6125" t="str">
        <f ca="1">TEXT(DATE(YEAR(Invoer!$A$5),1,1)+INT((ROWS(B$2:B6125)-1)/24),"""18""jjmmdd")</f>
        <v>18980913</v>
      </c>
      <c r="C6125" s="11" t="str">
        <f>INDEX(Data,2,2+MOD(ROWS(C$2:C6125)-1,24))</f>
        <v>04.00</v>
      </c>
      <c r="D6125" s="8">
        <f t="shared" ca="1" si="287"/>
        <v>7</v>
      </c>
      <c r="E6125" s="16">
        <f t="shared" ca="1" si="288"/>
        <v>0</v>
      </c>
    </row>
    <row r="6126" spans="1:5" x14ac:dyDescent="0.25">
      <c r="A6126" s="3">
        <f t="shared" si="286"/>
        <v>78989</v>
      </c>
      <c r="B6126" t="str">
        <f ca="1">TEXT(DATE(YEAR(Invoer!$A$5),1,1)+INT((ROWS(B$2:B6126)-1)/24),"""18""jjmmdd")</f>
        <v>18980913</v>
      </c>
      <c r="C6126" s="11" t="str">
        <f>INDEX(Data,2,2+MOD(ROWS(C$2:C6126)-1,24))</f>
        <v>05.00</v>
      </c>
      <c r="D6126" s="8">
        <f t="shared" ca="1" si="287"/>
        <v>5</v>
      </c>
      <c r="E6126" s="16">
        <f t="shared" ca="1" si="288"/>
        <v>0</v>
      </c>
    </row>
    <row r="6127" spans="1:5" x14ac:dyDescent="0.25">
      <c r="A6127" s="3">
        <f t="shared" si="286"/>
        <v>78989</v>
      </c>
      <c r="B6127" t="str">
        <f ca="1">TEXT(DATE(YEAR(Invoer!$A$5),1,1)+INT((ROWS(B$2:B6127)-1)/24),"""18""jjmmdd")</f>
        <v>18980913</v>
      </c>
      <c r="C6127" s="11" t="str">
        <f>INDEX(Data,2,2+MOD(ROWS(C$2:C6127)-1,24))</f>
        <v>06.00</v>
      </c>
      <c r="D6127" s="8">
        <f t="shared" ca="1" si="287"/>
        <v>3</v>
      </c>
      <c r="E6127" s="16">
        <f t="shared" ca="1" si="288"/>
        <v>0</v>
      </c>
    </row>
    <row r="6128" spans="1:5" x14ac:dyDescent="0.25">
      <c r="A6128" s="3">
        <f t="shared" si="286"/>
        <v>78989</v>
      </c>
      <c r="B6128" t="str">
        <f ca="1">TEXT(DATE(YEAR(Invoer!$A$5),1,1)+INT((ROWS(B$2:B6128)-1)/24),"""18""jjmmdd")</f>
        <v>18980913</v>
      </c>
      <c r="C6128" s="11" t="str">
        <f>INDEX(Data,2,2+MOD(ROWS(C$2:C6128)-1,24))</f>
        <v>07.00</v>
      </c>
      <c r="D6128" s="8">
        <f t="shared" ca="1" si="287"/>
        <v>5</v>
      </c>
      <c r="E6128" s="16">
        <f t="shared" ca="1" si="288"/>
        <v>0</v>
      </c>
    </row>
    <row r="6129" spans="1:5" x14ac:dyDescent="0.25">
      <c r="A6129" s="3">
        <f t="shared" si="286"/>
        <v>78989</v>
      </c>
      <c r="B6129" t="str">
        <f ca="1">TEXT(DATE(YEAR(Invoer!$A$5),1,1)+INT((ROWS(B$2:B6129)-1)/24),"""18""jjmmdd")</f>
        <v>18980913</v>
      </c>
      <c r="C6129" s="11" t="str">
        <f>INDEX(Data,2,2+MOD(ROWS(C$2:C6129)-1,24))</f>
        <v>08.00</v>
      </c>
      <c r="D6129" s="8">
        <f t="shared" ca="1" si="287"/>
        <v>6</v>
      </c>
      <c r="E6129" s="16">
        <f t="shared" ca="1" si="288"/>
        <v>0</v>
      </c>
    </row>
    <row r="6130" spans="1:5" x14ac:dyDescent="0.25">
      <c r="A6130" s="3">
        <f t="shared" si="286"/>
        <v>78989</v>
      </c>
      <c r="B6130" t="str">
        <f ca="1">TEXT(DATE(YEAR(Invoer!$A$5),1,1)+INT((ROWS(B$2:B6130)-1)/24),"""18""jjmmdd")</f>
        <v>18980913</v>
      </c>
      <c r="C6130" s="11" t="str">
        <f>INDEX(Data,2,2+MOD(ROWS(C$2:C6130)-1,24))</f>
        <v>09.00</v>
      </c>
      <c r="D6130" s="8">
        <f t="shared" ca="1" si="287"/>
        <v>8</v>
      </c>
      <c r="E6130" s="16">
        <f t="shared" ca="1" si="288"/>
        <v>0</v>
      </c>
    </row>
    <row r="6131" spans="1:5" x14ac:dyDescent="0.25">
      <c r="A6131" s="3">
        <f t="shared" si="286"/>
        <v>78989</v>
      </c>
      <c r="B6131" t="str">
        <f ca="1">TEXT(DATE(YEAR(Invoer!$A$5),1,1)+INT((ROWS(B$2:B6131)-1)/24),"""18""jjmmdd")</f>
        <v>18980913</v>
      </c>
      <c r="C6131" s="11" t="str">
        <f>INDEX(Data,2,2+MOD(ROWS(C$2:C6131)-1,24))</f>
        <v>10.00</v>
      </c>
      <c r="D6131" s="8">
        <f t="shared" ca="1" si="287"/>
        <v>8</v>
      </c>
      <c r="E6131" s="16">
        <f t="shared" ca="1" si="288"/>
        <v>0</v>
      </c>
    </row>
    <row r="6132" spans="1:5" x14ac:dyDescent="0.25">
      <c r="A6132" s="3">
        <f t="shared" si="286"/>
        <v>78989</v>
      </c>
      <c r="B6132" t="str">
        <f ca="1">TEXT(DATE(YEAR(Invoer!$A$5),1,1)+INT((ROWS(B$2:B6132)-1)/24),"""18""jjmmdd")</f>
        <v>18980913</v>
      </c>
      <c r="C6132" s="11" t="str">
        <f>INDEX(Data,2,2+MOD(ROWS(C$2:C6132)-1,24))</f>
        <v>11.00</v>
      </c>
      <c r="D6132" s="8">
        <f t="shared" ca="1" si="287"/>
        <v>8</v>
      </c>
      <c r="E6132" s="16">
        <f t="shared" ca="1" si="288"/>
        <v>0</v>
      </c>
    </row>
    <row r="6133" spans="1:5" x14ac:dyDescent="0.25">
      <c r="A6133" s="3">
        <f t="shared" si="286"/>
        <v>78989</v>
      </c>
      <c r="B6133" t="str">
        <f ca="1">TEXT(DATE(YEAR(Invoer!$A$5),1,1)+INT((ROWS(B$2:B6133)-1)/24),"""18""jjmmdd")</f>
        <v>18980913</v>
      </c>
      <c r="C6133" s="11" t="str">
        <f>INDEX(Data,2,2+MOD(ROWS(C$2:C6133)-1,24))</f>
        <v>12.00</v>
      </c>
      <c r="D6133" s="8">
        <f t="shared" ca="1" si="287"/>
        <v>6</v>
      </c>
      <c r="E6133" s="16">
        <f t="shared" ca="1" si="288"/>
        <v>0</v>
      </c>
    </row>
    <row r="6134" spans="1:5" x14ac:dyDescent="0.25">
      <c r="A6134" s="3">
        <f t="shared" si="286"/>
        <v>78989</v>
      </c>
      <c r="B6134" t="str">
        <f ca="1">TEXT(DATE(YEAR(Invoer!$A$5),1,1)+INT((ROWS(B$2:B6134)-1)/24),"""18""jjmmdd")</f>
        <v>18980913</v>
      </c>
      <c r="C6134" s="11" t="str">
        <f>INDEX(Data,2,2+MOD(ROWS(C$2:C6134)-1,24))</f>
        <v>13.00</v>
      </c>
      <c r="D6134" s="8">
        <f t="shared" ca="1" si="287"/>
        <v>6</v>
      </c>
      <c r="E6134" s="16">
        <f t="shared" ca="1" si="288"/>
        <v>0</v>
      </c>
    </row>
    <row r="6135" spans="1:5" x14ac:dyDescent="0.25">
      <c r="A6135" s="3">
        <f t="shared" si="286"/>
        <v>78989</v>
      </c>
      <c r="B6135" t="str">
        <f ca="1">TEXT(DATE(YEAR(Invoer!$A$5),1,1)+INT((ROWS(B$2:B6135)-1)/24),"""18""jjmmdd")</f>
        <v>18980913</v>
      </c>
      <c r="C6135" s="11" t="str">
        <f>INDEX(Data,2,2+MOD(ROWS(C$2:C6135)-1,24))</f>
        <v>14.00</v>
      </c>
      <c r="D6135" s="8">
        <f t="shared" ca="1" si="287"/>
        <v>7</v>
      </c>
      <c r="E6135" s="16">
        <f t="shared" ca="1" si="288"/>
        <v>0</v>
      </c>
    </row>
    <row r="6136" spans="1:5" x14ac:dyDescent="0.25">
      <c r="A6136" s="3">
        <f t="shared" si="286"/>
        <v>78989</v>
      </c>
      <c r="B6136" t="str">
        <f ca="1">TEXT(DATE(YEAR(Invoer!$A$5),1,1)+INT((ROWS(B$2:B6136)-1)/24),"""18""jjmmdd")</f>
        <v>18980913</v>
      </c>
      <c r="C6136" s="11" t="str">
        <f>INDEX(Data,2,2+MOD(ROWS(C$2:C6136)-1,24))</f>
        <v>15.00</v>
      </c>
      <c r="D6136" s="8">
        <f t="shared" ca="1" si="287"/>
        <v>8</v>
      </c>
      <c r="E6136" s="16">
        <f t="shared" ca="1" si="288"/>
        <v>0</v>
      </c>
    </row>
    <row r="6137" spans="1:5" x14ac:dyDescent="0.25">
      <c r="A6137" s="3">
        <f t="shared" si="286"/>
        <v>78989</v>
      </c>
      <c r="B6137" t="str">
        <f ca="1">TEXT(DATE(YEAR(Invoer!$A$5),1,1)+INT((ROWS(B$2:B6137)-1)/24),"""18""jjmmdd")</f>
        <v>18980913</v>
      </c>
      <c r="C6137" s="11" t="str">
        <f>INDEX(Data,2,2+MOD(ROWS(C$2:C6137)-1,24))</f>
        <v>16.00</v>
      </c>
      <c r="D6137" s="8">
        <f t="shared" ca="1" si="287"/>
        <v>5</v>
      </c>
      <c r="E6137" s="16">
        <f t="shared" ca="1" si="288"/>
        <v>0</v>
      </c>
    </row>
    <row r="6138" spans="1:5" x14ac:dyDescent="0.25">
      <c r="A6138" s="3">
        <f t="shared" si="286"/>
        <v>78989</v>
      </c>
      <c r="B6138" t="str">
        <f ca="1">TEXT(DATE(YEAR(Invoer!$A$5),1,1)+INT((ROWS(B$2:B6138)-1)/24),"""18""jjmmdd")</f>
        <v>18980913</v>
      </c>
      <c r="C6138" s="11" t="str">
        <f>INDEX(Data,2,2+MOD(ROWS(C$2:C6138)-1,24))</f>
        <v>17.00</v>
      </c>
      <c r="D6138" s="8">
        <f t="shared" ca="1" si="287"/>
        <v>8</v>
      </c>
      <c r="E6138" s="16">
        <f t="shared" ca="1" si="288"/>
        <v>0</v>
      </c>
    </row>
    <row r="6139" spans="1:5" x14ac:dyDescent="0.25">
      <c r="A6139" s="3">
        <f t="shared" si="286"/>
        <v>78989</v>
      </c>
      <c r="B6139" t="str">
        <f ca="1">TEXT(DATE(YEAR(Invoer!$A$5),1,1)+INT((ROWS(B$2:B6139)-1)/24),"""18""jjmmdd")</f>
        <v>18980913</v>
      </c>
      <c r="C6139" s="11" t="str">
        <f>INDEX(Data,2,2+MOD(ROWS(C$2:C6139)-1,24))</f>
        <v>18.00</v>
      </c>
      <c r="D6139" s="8">
        <f t="shared" ca="1" si="287"/>
        <v>8</v>
      </c>
      <c r="E6139" s="16">
        <f t="shared" ca="1" si="288"/>
        <v>0</v>
      </c>
    </row>
    <row r="6140" spans="1:5" x14ac:dyDescent="0.25">
      <c r="A6140" s="3">
        <f t="shared" si="286"/>
        <v>78989</v>
      </c>
      <c r="B6140" t="str">
        <f ca="1">TEXT(DATE(YEAR(Invoer!$A$5),1,1)+INT((ROWS(B$2:B6140)-1)/24),"""18""jjmmdd")</f>
        <v>18980913</v>
      </c>
      <c r="C6140" s="11" t="str">
        <f>INDEX(Data,2,2+MOD(ROWS(C$2:C6140)-1,24))</f>
        <v>19.00</v>
      </c>
      <c r="D6140" s="8">
        <f t="shared" ca="1" si="287"/>
        <v>7</v>
      </c>
      <c r="E6140" s="16">
        <f t="shared" ca="1" si="288"/>
        <v>0</v>
      </c>
    </row>
    <row r="6141" spans="1:5" x14ac:dyDescent="0.25">
      <c r="A6141" s="3">
        <f t="shared" si="286"/>
        <v>78989</v>
      </c>
      <c r="B6141" t="str">
        <f ca="1">TEXT(DATE(YEAR(Invoer!$A$5),1,1)+INT((ROWS(B$2:B6141)-1)/24),"""18""jjmmdd")</f>
        <v>18980913</v>
      </c>
      <c r="C6141" s="11" t="str">
        <f>INDEX(Data,2,2+MOD(ROWS(C$2:C6141)-1,24))</f>
        <v>20.00</v>
      </c>
      <c r="D6141" s="8">
        <f t="shared" ca="1" si="287"/>
        <v>6</v>
      </c>
      <c r="E6141" s="16">
        <f t="shared" ca="1" si="288"/>
        <v>0</v>
      </c>
    </row>
    <row r="6142" spans="1:5" x14ac:dyDescent="0.25">
      <c r="A6142" s="3">
        <f t="shared" si="286"/>
        <v>78989</v>
      </c>
      <c r="B6142" t="str">
        <f ca="1">TEXT(DATE(YEAR(Invoer!$A$5),1,1)+INT((ROWS(B$2:B6142)-1)/24),"""18""jjmmdd")</f>
        <v>18980913</v>
      </c>
      <c r="C6142" s="11" t="str">
        <f>INDEX(Data,2,2+MOD(ROWS(C$2:C6142)-1,24))</f>
        <v>21.00</v>
      </c>
      <c r="D6142" s="8">
        <f t="shared" ca="1" si="287"/>
        <v>4</v>
      </c>
      <c r="E6142" s="16">
        <f t="shared" ca="1" si="288"/>
        <v>0</v>
      </c>
    </row>
    <row r="6143" spans="1:5" x14ac:dyDescent="0.25">
      <c r="A6143" s="3">
        <f t="shared" si="286"/>
        <v>78989</v>
      </c>
      <c r="B6143" t="str">
        <f ca="1">TEXT(DATE(YEAR(Invoer!$A$5),1,1)+INT((ROWS(B$2:B6143)-1)/24),"""18""jjmmdd")</f>
        <v>18980913</v>
      </c>
      <c r="C6143" s="11" t="str">
        <f>INDEX(Data,2,2+MOD(ROWS(C$2:C6143)-1,24))</f>
        <v>22.00</v>
      </c>
      <c r="D6143" s="8">
        <f t="shared" ca="1" si="287"/>
        <v>5</v>
      </c>
      <c r="E6143" s="16">
        <f t="shared" ca="1" si="288"/>
        <v>0</v>
      </c>
    </row>
    <row r="6144" spans="1:5" x14ac:dyDescent="0.25">
      <c r="A6144" s="3">
        <f t="shared" si="286"/>
        <v>78989</v>
      </c>
      <c r="B6144" t="str">
        <f ca="1">TEXT(DATE(YEAR(Invoer!$A$5),1,1)+INT((ROWS(B$2:B6144)-1)/24),"""18""jjmmdd")</f>
        <v>18980913</v>
      </c>
      <c r="C6144" s="11" t="str">
        <f>INDEX(Data,2,2+MOD(ROWS(C$2:C6144)-1,24))</f>
        <v>23.00</v>
      </c>
      <c r="D6144" s="8">
        <f t="shared" ca="1" si="287"/>
        <v>4</v>
      </c>
      <c r="E6144" s="16">
        <f t="shared" ca="1" si="288"/>
        <v>0</v>
      </c>
    </row>
    <row r="6145" spans="1:5" x14ac:dyDescent="0.25">
      <c r="A6145" s="3">
        <f t="shared" si="286"/>
        <v>78989</v>
      </c>
      <c r="B6145" t="str">
        <f ca="1">TEXT(DATE(YEAR(Invoer!$A$5),1,1)+INT((ROWS(B$2:B6145)-1)/24),"""18""jjmmdd")</f>
        <v>18980913</v>
      </c>
      <c r="C6145" s="11" t="str">
        <f>INDEX(Data,2,2+MOD(ROWS(C$2:C6145)-1,24))</f>
        <v>24.00</v>
      </c>
      <c r="D6145" s="8">
        <f t="shared" ca="1" si="287"/>
        <v>4</v>
      </c>
      <c r="E6145" s="16">
        <f t="shared" ca="1" si="288"/>
        <v>0</v>
      </c>
    </row>
    <row r="6146" spans="1:5" x14ac:dyDescent="0.25">
      <c r="A6146" s="3">
        <f t="shared" ref="A6146:A6209" si="289">INDEX(Stations,2,1)</f>
        <v>78989</v>
      </c>
      <c r="B6146" t="str">
        <f ca="1">TEXT(DATE(YEAR(Invoer!$A$5),1,1)+INT((ROWS(B$2:B6146)-1)/24),"""18""jjmmdd")</f>
        <v>18980914</v>
      </c>
      <c r="C6146" s="11" t="str">
        <f>INDEX(Data,2,2+MOD(ROWS(C$2:C6146)-1,24))</f>
        <v>01.00</v>
      </c>
      <c r="D6146" s="8">
        <f t="shared" ref="D6146:D6209" ca="1" si="290">IF(OR(ISBLANK(VLOOKUP(DATEVALUE("37"&amp;MID($B6146,3,2)&amp;"-"&amp;MID($B6146,5,2)&amp;"-"&amp;RIGHT($B6146,2)),Data,MATCH(LEFT(VLOOKUP(D$1,Parameters,2,FALSE()),4)&amp;"*",OFFSET(Data,0,0,1),0)+MATCH($C6146,OFFSET(Data,1,0,1),0)-2,FALSE())),ISTEXT(VLOOKUP(DATEVALUE("37"&amp;MID($B6146,3,2)&amp;"-"&amp;MID($B6146,5,2)&amp;"-"&amp;RIGHT($B6146,2)),Data,MATCH(LEFT(VLOOKUP(D$1,Parameters,2,FALSE()),4)&amp;"*",OFFSET(Data,0,0,1),0)+MATCH($C6146,OFFSET(Data,1,0,1),0)-2,FALSE()))),"—",VLOOKUP(DATEVALUE("37"&amp;MID($B6146,3,2)&amp;"-"&amp;MID($B6146,5,2)&amp;"-"&amp;RIGHT($B6146,2)),Data,MATCH(LEFT(VLOOKUP(D$1,Parameters,2,FALSE()),4)&amp;"*",OFFSET(Data,0,0,1),0)+MATCH($C6146,OFFSET(Data,1,0,1),0)-2,FALSE()))</f>
        <v>5</v>
      </c>
      <c r="E6146" s="16">
        <f t="shared" ca="1" si="288"/>
        <v>0</v>
      </c>
    </row>
    <row r="6147" spans="1:5" x14ac:dyDescent="0.25">
      <c r="A6147" s="3">
        <f t="shared" si="289"/>
        <v>78989</v>
      </c>
      <c r="B6147" t="str">
        <f ca="1">TEXT(DATE(YEAR(Invoer!$A$5),1,1)+INT((ROWS(B$2:B6147)-1)/24),"""18""jjmmdd")</f>
        <v>18980914</v>
      </c>
      <c r="C6147" s="11" t="str">
        <f>INDEX(Data,2,2+MOD(ROWS(C$2:C6147)-1,24))</f>
        <v>02.00</v>
      </c>
      <c r="D6147" s="8">
        <f t="shared" ca="1" si="290"/>
        <v>3</v>
      </c>
      <c r="E6147" s="16">
        <f t="shared" ref="E6147:E6210" ca="1" si="291">IF(OR(ISBLANK(VLOOKUP(DATEVALUE("37"&amp;MID($B6147,3,2)&amp;"-"&amp;MID($B6147,5,2)&amp;"-"&amp;RIGHT($B6147,2)),Data,MATCH(LEFT(VLOOKUP(D$1,Parameters,2,FALSE()),4)&amp;"*",OFFSET(Data,0,0,1),0)+MATCH($C6147,OFFSET(Data,1,0,1),0)-2,FALSE())),ISTEXT(VLOOKUP(DATEVALUE("37"&amp;MID($B6147,3,2)&amp;"-"&amp;MID($B6147,5,2)&amp;"-"&amp;RIGHT($B6147,2)),Data,MATCH(LEFT(VLOOKUP(D$1,Parameters,2,FALSE()),4)&amp;"*",OFFSET(Data,0,0,1),0)+MATCH($C6147,OFFSET(Data,1,0,1),0)-2,FALSE()))),Lacking,IF(ISNA(MATCH(DATEVALUE("37"&amp;MID($B6147,3,2)&amp;"-"&amp;MID($B6147,5,2)&amp;"-"&amp;RIGHT($B6147,2)),OFFSET(Catalogus,0,0,,1),0)),Ok,VLOOKUP(DATEVALUE("37"&amp;MID($B6147,3,2)&amp;"-"&amp;MID($B6147,5,2)&amp;"-"&amp;RIGHT($B6147,2)),Catalogus,MATCH(LEFT(VLOOKUP(MID(E$1,2,LEN(E$1)-1),Parameters,2,FALSE()),4)&amp;"*",OFFSET(Catalogus,0,0,1),0)+MATCH($C6147,OFFSET(Catalogus,1,0,1),0)-2,FALSE())))</f>
        <v>0</v>
      </c>
    </row>
    <row r="6148" spans="1:5" x14ac:dyDescent="0.25">
      <c r="A6148" s="3">
        <f t="shared" si="289"/>
        <v>78989</v>
      </c>
      <c r="B6148" t="str">
        <f ca="1">TEXT(DATE(YEAR(Invoer!$A$5),1,1)+INT((ROWS(B$2:B6148)-1)/24),"""18""jjmmdd")</f>
        <v>18980914</v>
      </c>
      <c r="C6148" s="11" t="str">
        <f>INDEX(Data,2,2+MOD(ROWS(C$2:C6148)-1,24))</f>
        <v>03.00</v>
      </c>
      <c r="D6148" s="8">
        <f t="shared" ca="1" si="290"/>
        <v>5</v>
      </c>
      <c r="E6148" s="16">
        <f t="shared" ca="1" si="291"/>
        <v>0</v>
      </c>
    </row>
    <row r="6149" spans="1:5" x14ac:dyDescent="0.25">
      <c r="A6149" s="3">
        <f t="shared" si="289"/>
        <v>78989</v>
      </c>
      <c r="B6149" t="str">
        <f ca="1">TEXT(DATE(YEAR(Invoer!$A$5),1,1)+INT((ROWS(B$2:B6149)-1)/24),"""18""jjmmdd")</f>
        <v>18980914</v>
      </c>
      <c r="C6149" s="11" t="str">
        <f>INDEX(Data,2,2+MOD(ROWS(C$2:C6149)-1,24))</f>
        <v>04.00</v>
      </c>
      <c r="D6149" s="8">
        <f t="shared" ca="1" si="290"/>
        <v>4</v>
      </c>
      <c r="E6149" s="16">
        <f t="shared" ca="1" si="291"/>
        <v>0</v>
      </c>
    </row>
    <row r="6150" spans="1:5" x14ac:dyDescent="0.25">
      <c r="A6150" s="3">
        <f t="shared" si="289"/>
        <v>78989</v>
      </c>
      <c r="B6150" t="str">
        <f ca="1">TEXT(DATE(YEAR(Invoer!$A$5),1,1)+INT((ROWS(B$2:B6150)-1)/24),"""18""jjmmdd")</f>
        <v>18980914</v>
      </c>
      <c r="C6150" s="11" t="str">
        <f>INDEX(Data,2,2+MOD(ROWS(C$2:C6150)-1,24))</f>
        <v>05.00</v>
      </c>
      <c r="D6150" s="8">
        <f t="shared" ca="1" si="290"/>
        <v>4</v>
      </c>
      <c r="E6150" s="16">
        <f t="shared" ca="1" si="291"/>
        <v>0</v>
      </c>
    </row>
    <row r="6151" spans="1:5" x14ac:dyDescent="0.25">
      <c r="A6151" s="3">
        <f t="shared" si="289"/>
        <v>78989</v>
      </c>
      <c r="B6151" t="str">
        <f ca="1">TEXT(DATE(YEAR(Invoer!$A$5),1,1)+INT((ROWS(B$2:B6151)-1)/24),"""18""jjmmdd")</f>
        <v>18980914</v>
      </c>
      <c r="C6151" s="11" t="str">
        <f>INDEX(Data,2,2+MOD(ROWS(C$2:C6151)-1,24))</f>
        <v>06.00</v>
      </c>
      <c r="D6151" s="8">
        <f t="shared" ca="1" si="290"/>
        <v>2</v>
      </c>
      <c r="E6151" s="16">
        <f t="shared" ca="1" si="291"/>
        <v>0</v>
      </c>
    </row>
    <row r="6152" spans="1:5" x14ac:dyDescent="0.25">
      <c r="A6152" s="3">
        <f t="shared" si="289"/>
        <v>78989</v>
      </c>
      <c r="B6152" t="str">
        <f ca="1">TEXT(DATE(YEAR(Invoer!$A$5),1,1)+INT((ROWS(B$2:B6152)-1)/24),"""18""jjmmdd")</f>
        <v>18980914</v>
      </c>
      <c r="C6152" s="11" t="str">
        <f>INDEX(Data,2,2+MOD(ROWS(C$2:C6152)-1,24))</f>
        <v>07.00</v>
      </c>
      <c r="D6152" s="8">
        <f t="shared" ca="1" si="290"/>
        <v>3</v>
      </c>
      <c r="E6152" s="16">
        <f t="shared" ca="1" si="291"/>
        <v>0</v>
      </c>
    </row>
    <row r="6153" spans="1:5" x14ac:dyDescent="0.25">
      <c r="A6153" s="3">
        <f t="shared" si="289"/>
        <v>78989</v>
      </c>
      <c r="B6153" t="str">
        <f ca="1">TEXT(DATE(YEAR(Invoer!$A$5),1,1)+INT((ROWS(B$2:B6153)-1)/24),"""18""jjmmdd")</f>
        <v>18980914</v>
      </c>
      <c r="C6153" s="11" t="str">
        <f>INDEX(Data,2,2+MOD(ROWS(C$2:C6153)-1,24))</f>
        <v>08.00</v>
      </c>
      <c r="D6153" s="8">
        <f t="shared" ca="1" si="290"/>
        <v>7</v>
      </c>
      <c r="E6153" s="16">
        <f t="shared" ca="1" si="291"/>
        <v>0</v>
      </c>
    </row>
    <row r="6154" spans="1:5" x14ac:dyDescent="0.25">
      <c r="A6154" s="3">
        <f t="shared" si="289"/>
        <v>78989</v>
      </c>
      <c r="B6154" t="str">
        <f ca="1">TEXT(DATE(YEAR(Invoer!$A$5),1,1)+INT((ROWS(B$2:B6154)-1)/24),"""18""jjmmdd")</f>
        <v>18980914</v>
      </c>
      <c r="C6154" s="11" t="str">
        <f>INDEX(Data,2,2+MOD(ROWS(C$2:C6154)-1,24))</f>
        <v>09.00</v>
      </c>
      <c r="D6154" s="8">
        <f t="shared" ca="1" si="290"/>
        <v>8</v>
      </c>
      <c r="E6154" s="16">
        <f t="shared" ca="1" si="291"/>
        <v>0</v>
      </c>
    </row>
    <row r="6155" spans="1:5" x14ac:dyDescent="0.25">
      <c r="A6155" s="3">
        <f t="shared" si="289"/>
        <v>78989</v>
      </c>
      <c r="B6155" t="str">
        <f ca="1">TEXT(DATE(YEAR(Invoer!$A$5),1,1)+INT((ROWS(B$2:B6155)-1)/24),"""18""jjmmdd")</f>
        <v>18980914</v>
      </c>
      <c r="C6155" s="11" t="str">
        <f>INDEX(Data,2,2+MOD(ROWS(C$2:C6155)-1,24))</f>
        <v>10.00</v>
      </c>
      <c r="D6155" s="8">
        <f t="shared" ca="1" si="290"/>
        <v>8</v>
      </c>
      <c r="E6155" s="16">
        <f t="shared" ca="1" si="291"/>
        <v>0</v>
      </c>
    </row>
    <row r="6156" spans="1:5" x14ac:dyDescent="0.25">
      <c r="A6156" s="3">
        <f t="shared" si="289"/>
        <v>78989</v>
      </c>
      <c r="B6156" t="str">
        <f ca="1">TEXT(DATE(YEAR(Invoer!$A$5),1,1)+INT((ROWS(B$2:B6156)-1)/24),"""18""jjmmdd")</f>
        <v>18980914</v>
      </c>
      <c r="C6156" s="11" t="str">
        <f>INDEX(Data,2,2+MOD(ROWS(C$2:C6156)-1,24))</f>
        <v>11.00</v>
      </c>
      <c r="D6156" s="8">
        <f t="shared" ca="1" si="290"/>
        <v>9</v>
      </c>
      <c r="E6156" s="16">
        <f t="shared" ca="1" si="291"/>
        <v>0</v>
      </c>
    </row>
    <row r="6157" spans="1:5" x14ac:dyDescent="0.25">
      <c r="A6157" s="3">
        <f t="shared" si="289"/>
        <v>78989</v>
      </c>
      <c r="B6157" t="str">
        <f ca="1">TEXT(DATE(YEAR(Invoer!$A$5),1,1)+INT((ROWS(B$2:B6157)-1)/24),"""18""jjmmdd")</f>
        <v>18980914</v>
      </c>
      <c r="C6157" s="11" t="str">
        <f>INDEX(Data,2,2+MOD(ROWS(C$2:C6157)-1,24))</f>
        <v>12.00</v>
      </c>
      <c r="D6157" s="8">
        <f t="shared" ca="1" si="290"/>
        <v>10</v>
      </c>
      <c r="E6157" s="16">
        <f t="shared" ca="1" si="291"/>
        <v>0</v>
      </c>
    </row>
    <row r="6158" spans="1:5" x14ac:dyDescent="0.25">
      <c r="A6158" s="3">
        <f t="shared" si="289"/>
        <v>78989</v>
      </c>
      <c r="B6158" t="str">
        <f ca="1">TEXT(DATE(YEAR(Invoer!$A$5),1,1)+INT((ROWS(B$2:B6158)-1)/24),"""18""jjmmdd")</f>
        <v>18980914</v>
      </c>
      <c r="C6158" s="11" t="str">
        <f>INDEX(Data,2,2+MOD(ROWS(C$2:C6158)-1,24))</f>
        <v>13.00</v>
      </c>
      <c r="D6158" s="8">
        <f t="shared" ca="1" si="290"/>
        <v>9</v>
      </c>
      <c r="E6158" s="16">
        <f t="shared" ca="1" si="291"/>
        <v>0</v>
      </c>
    </row>
    <row r="6159" spans="1:5" x14ac:dyDescent="0.25">
      <c r="A6159" s="3">
        <f t="shared" si="289"/>
        <v>78989</v>
      </c>
      <c r="B6159" t="str">
        <f ca="1">TEXT(DATE(YEAR(Invoer!$A$5),1,1)+INT((ROWS(B$2:B6159)-1)/24),"""18""jjmmdd")</f>
        <v>18980914</v>
      </c>
      <c r="C6159" s="11" t="str">
        <f>INDEX(Data,2,2+MOD(ROWS(C$2:C6159)-1,24))</f>
        <v>14.00</v>
      </c>
      <c r="D6159" s="8">
        <f t="shared" ca="1" si="290"/>
        <v>6</v>
      </c>
      <c r="E6159" s="16">
        <f t="shared" ca="1" si="291"/>
        <v>0</v>
      </c>
    </row>
    <row r="6160" spans="1:5" x14ac:dyDescent="0.25">
      <c r="A6160" s="3">
        <f t="shared" si="289"/>
        <v>78989</v>
      </c>
      <c r="B6160" t="str">
        <f ca="1">TEXT(DATE(YEAR(Invoer!$A$5),1,1)+INT((ROWS(B$2:B6160)-1)/24),"""18""jjmmdd")</f>
        <v>18980914</v>
      </c>
      <c r="C6160" s="11" t="str">
        <f>INDEX(Data,2,2+MOD(ROWS(C$2:C6160)-1,24))</f>
        <v>15.00</v>
      </c>
      <c r="D6160" s="8">
        <f t="shared" ca="1" si="290"/>
        <v>7</v>
      </c>
      <c r="E6160" s="16">
        <f t="shared" ca="1" si="291"/>
        <v>0</v>
      </c>
    </row>
    <row r="6161" spans="1:5" x14ac:dyDescent="0.25">
      <c r="A6161" s="3">
        <f t="shared" si="289"/>
        <v>78989</v>
      </c>
      <c r="B6161" t="str">
        <f ca="1">TEXT(DATE(YEAR(Invoer!$A$5),1,1)+INT((ROWS(B$2:B6161)-1)/24),"""18""jjmmdd")</f>
        <v>18980914</v>
      </c>
      <c r="C6161" s="11" t="str">
        <f>INDEX(Data,2,2+MOD(ROWS(C$2:C6161)-1,24))</f>
        <v>16.00</v>
      </c>
      <c r="D6161" s="8">
        <f t="shared" ca="1" si="290"/>
        <v>5</v>
      </c>
      <c r="E6161" s="16">
        <f t="shared" ca="1" si="291"/>
        <v>0</v>
      </c>
    </row>
    <row r="6162" spans="1:5" x14ac:dyDescent="0.25">
      <c r="A6162" s="3">
        <f t="shared" si="289"/>
        <v>78989</v>
      </c>
      <c r="B6162" t="str">
        <f ca="1">TEXT(DATE(YEAR(Invoer!$A$5),1,1)+INT((ROWS(B$2:B6162)-1)/24),"""18""jjmmdd")</f>
        <v>18980914</v>
      </c>
      <c r="C6162" s="11" t="str">
        <f>INDEX(Data,2,2+MOD(ROWS(C$2:C6162)-1,24))</f>
        <v>17.00</v>
      </c>
      <c r="D6162" s="8">
        <f t="shared" ca="1" si="290"/>
        <v>8</v>
      </c>
      <c r="E6162" s="16">
        <f t="shared" ca="1" si="291"/>
        <v>0</v>
      </c>
    </row>
    <row r="6163" spans="1:5" x14ac:dyDescent="0.25">
      <c r="A6163" s="3">
        <f t="shared" si="289"/>
        <v>78989</v>
      </c>
      <c r="B6163" t="str">
        <f ca="1">TEXT(DATE(YEAR(Invoer!$A$5),1,1)+INT((ROWS(B$2:B6163)-1)/24),"""18""jjmmdd")</f>
        <v>18980914</v>
      </c>
      <c r="C6163" s="11" t="str">
        <f>INDEX(Data,2,2+MOD(ROWS(C$2:C6163)-1,24))</f>
        <v>18.00</v>
      </c>
      <c r="D6163" s="8">
        <f t="shared" ca="1" si="290"/>
        <v>8</v>
      </c>
      <c r="E6163" s="16">
        <f t="shared" ca="1" si="291"/>
        <v>0</v>
      </c>
    </row>
    <row r="6164" spans="1:5" x14ac:dyDescent="0.25">
      <c r="A6164" s="3">
        <f t="shared" si="289"/>
        <v>78989</v>
      </c>
      <c r="B6164" t="str">
        <f ca="1">TEXT(DATE(YEAR(Invoer!$A$5),1,1)+INT((ROWS(B$2:B6164)-1)/24),"""18""jjmmdd")</f>
        <v>18980914</v>
      </c>
      <c r="C6164" s="11" t="str">
        <f>INDEX(Data,2,2+MOD(ROWS(C$2:C6164)-1,24))</f>
        <v>19.00</v>
      </c>
      <c r="D6164" s="8">
        <f t="shared" ca="1" si="290"/>
        <v>7</v>
      </c>
      <c r="E6164" s="16">
        <f t="shared" ca="1" si="291"/>
        <v>0</v>
      </c>
    </row>
    <row r="6165" spans="1:5" x14ac:dyDescent="0.25">
      <c r="A6165" s="3">
        <f t="shared" si="289"/>
        <v>78989</v>
      </c>
      <c r="B6165" t="str">
        <f ca="1">TEXT(DATE(YEAR(Invoer!$A$5),1,1)+INT((ROWS(B$2:B6165)-1)/24),"""18""jjmmdd")</f>
        <v>18980914</v>
      </c>
      <c r="C6165" s="11" t="str">
        <f>INDEX(Data,2,2+MOD(ROWS(C$2:C6165)-1,24))</f>
        <v>20.00</v>
      </c>
      <c r="D6165" s="8">
        <f t="shared" ca="1" si="290"/>
        <v>8</v>
      </c>
      <c r="E6165" s="16">
        <f t="shared" ca="1" si="291"/>
        <v>0</v>
      </c>
    </row>
    <row r="6166" spans="1:5" x14ac:dyDescent="0.25">
      <c r="A6166" s="3">
        <f t="shared" si="289"/>
        <v>78989</v>
      </c>
      <c r="B6166" t="str">
        <f ca="1">TEXT(DATE(YEAR(Invoer!$A$5),1,1)+INT((ROWS(B$2:B6166)-1)/24),"""18""jjmmdd")</f>
        <v>18980914</v>
      </c>
      <c r="C6166" s="11" t="str">
        <f>INDEX(Data,2,2+MOD(ROWS(C$2:C6166)-1,24))</f>
        <v>21.00</v>
      </c>
      <c r="D6166" s="8">
        <f t="shared" ca="1" si="290"/>
        <v>5</v>
      </c>
      <c r="E6166" s="16">
        <f t="shared" ca="1" si="291"/>
        <v>0</v>
      </c>
    </row>
    <row r="6167" spans="1:5" x14ac:dyDescent="0.25">
      <c r="A6167" s="3">
        <f t="shared" si="289"/>
        <v>78989</v>
      </c>
      <c r="B6167" t="str">
        <f ca="1">TEXT(DATE(YEAR(Invoer!$A$5),1,1)+INT((ROWS(B$2:B6167)-1)/24),"""18""jjmmdd")</f>
        <v>18980914</v>
      </c>
      <c r="C6167" s="11" t="str">
        <f>INDEX(Data,2,2+MOD(ROWS(C$2:C6167)-1,24))</f>
        <v>22.00</v>
      </c>
      <c r="D6167" s="8">
        <f t="shared" ca="1" si="290"/>
        <v>5</v>
      </c>
      <c r="E6167" s="16">
        <f t="shared" ca="1" si="291"/>
        <v>0</v>
      </c>
    </row>
    <row r="6168" spans="1:5" x14ac:dyDescent="0.25">
      <c r="A6168" s="3">
        <f t="shared" si="289"/>
        <v>78989</v>
      </c>
      <c r="B6168" t="str">
        <f ca="1">TEXT(DATE(YEAR(Invoer!$A$5),1,1)+INT((ROWS(B$2:B6168)-1)/24),"""18""jjmmdd")</f>
        <v>18980914</v>
      </c>
      <c r="C6168" s="11" t="str">
        <f>INDEX(Data,2,2+MOD(ROWS(C$2:C6168)-1,24))</f>
        <v>23.00</v>
      </c>
      <c r="D6168" s="8">
        <f t="shared" ca="1" si="290"/>
        <v>6</v>
      </c>
      <c r="E6168" s="16">
        <f t="shared" ca="1" si="291"/>
        <v>0</v>
      </c>
    </row>
    <row r="6169" spans="1:5" x14ac:dyDescent="0.25">
      <c r="A6169" s="3">
        <f t="shared" si="289"/>
        <v>78989</v>
      </c>
      <c r="B6169" t="str">
        <f ca="1">TEXT(DATE(YEAR(Invoer!$A$5),1,1)+INT((ROWS(B$2:B6169)-1)/24),"""18""jjmmdd")</f>
        <v>18980914</v>
      </c>
      <c r="C6169" s="11" t="str">
        <f>INDEX(Data,2,2+MOD(ROWS(C$2:C6169)-1,24))</f>
        <v>24.00</v>
      </c>
      <c r="D6169" s="8">
        <f t="shared" ca="1" si="290"/>
        <v>5</v>
      </c>
      <c r="E6169" s="16">
        <f t="shared" ca="1" si="291"/>
        <v>0</v>
      </c>
    </row>
    <row r="6170" spans="1:5" x14ac:dyDescent="0.25">
      <c r="A6170" s="3">
        <f t="shared" si="289"/>
        <v>78989</v>
      </c>
      <c r="B6170" t="str">
        <f ca="1">TEXT(DATE(YEAR(Invoer!$A$5),1,1)+INT((ROWS(B$2:B6170)-1)/24),"""18""jjmmdd")</f>
        <v>18980915</v>
      </c>
      <c r="C6170" s="11" t="str">
        <f>INDEX(Data,2,2+MOD(ROWS(C$2:C6170)-1,24))</f>
        <v>01.00</v>
      </c>
      <c r="D6170" s="8">
        <f t="shared" ca="1" si="290"/>
        <v>5</v>
      </c>
      <c r="E6170" s="16">
        <f t="shared" ca="1" si="291"/>
        <v>0</v>
      </c>
    </row>
    <row r="6171" spans="1:5" x14ac:dyDescent="0.25">
      <c r="A6171" s="3">
        <f t="shared" si="289"/>
        <v>78989</v>
      </c>
      <c r="B6171" t="str">
        <f ca="1">TEXT(DATE(YEAR(Invoer!$A$5),1,1)+INT((ROWS(B$2:B6171)-1)/24),"""18""jjmmdd")</f>
        <v>18980915</v>
      </c>
      <c r="C6171" s="11" t="str">
        <f>INDEX(Data,2,2+MOD(ROWS(C$2:C6171)-1,24))</f>
        <v>02.00</v>
      </c>
      <c r="D6171" s="8">
        <f t="shared" ca="1" si="290"/>
        <v>4</v>
      </c>
      <c r="E6171" s="16">
        <f t="shared" ca="1" si="291"/>
        <v>0</v>
      </c>
    </row>
    <row r="6172" spans="1:5" x14ac:dyDescent="0.25">
      <c r="A6172" s="3">
        <f t="shared" si="289"/>
        <v>78989</v>
      </c>
      <c r="B6172" t="str">
        <f ca="1">TEXT(DATE(YEAR(Invoer!$A$5),1,1)+INT((ROWS(B$2:B6172)-1)/24),"""18""jjmmdd")</f>
        <v>18980915</v>
      </c>
      <c r="C6172" s="11" t="str">
        <f>INDEX(Data,2,2+MOD(ROWS(C$2:C6172)-1,24))</f>
        <v>03.00</v>
      </c>
      <c r="D6172" s="8">
        <f t="shared" ca="1" si="290"/>
        <v>3</v>
      </c>
      <c r="E6172" s="16">
        <f t="shared" ca="1" si="291"/>
        <v>0</v>
      </c>
    </row>
    <row r="6173" spans="1:5" x14ac:dyDescent="0.25">
      <c r="A6173" s="3">
        <f t="shared" si="289"/>
        <v>78989</v>
      </c>
      <c r="B6173" t="str">
        <f ca="1">TEXT(DATE(YEAR(Invoer!$A$5),1,1)+INT((ROWS(B$2:B6173)-1)/24),"""18""jjmmdd")</f>
        <v>18980915</v>
      </c>
      <c r="C6173" s="11" t="str">
        <f>INDEX(Data,2,2+MOD(ROWS(C$2:C6173)-1,24))</f>
        <v>04.00</v>
      </c>
      <c r="D6173" s="8">
        <f t="shared" ca="1" si="290"/>
        <v>3</v>
      </c>
      <c r="E6173" s="16">
        <f t="shared" ca="1" si="291"/>
        <v>0</v>
      </c>
    </row>
    <row r="6174" spans="1:5" x14ac:dyDescent="0.25">
      <c r="A6174" s="3">
        <f t="shared" si="289"/>
        <v>78989</v>
      </c>
      <c r="B6174" t="str">
        <f ca="1">TEXT(DATE(YEAR(Invoer!$A$5),1,1)+INT((ROWS(B$2:B6174)-1)/24),"""18""jjmmdd")</f>
        <v>18980915</v>
      </c>
      <c r="C6174" s="11" t="str">
        <f>INDEX(Data,2,2+MOD(ROWS(C$2:C6174)-1,24))</f>
        <v>05.00</v>
      </c>
      <c r="D6174" s="8">
        <f t="shared" ca="1" si="290"/>
        <v>3</v>
      </c>
      <c r="E6174" s="16">
        <f t="shared" ca="1" si="291"/>
        <v>0</v>
      </c>
    </row>
    <row r="6175" spans="1:5" x14ac:dyDescent="0.25">
      <c r="A6175" s="3">
        <f t="shared" si="289"/>
        <v>78989</v>
      </c>
      <c r="B6175" t="str">
        <f ca="1">TEXT(DATE(YEAR(Invoer!$A$5),1,1)+INT((ROWS(B$2:B6175)-1)/24),"""18""jjmmdd")</f>
        <v>18980915</v>
      </c>
      <c r="C6175" s="11" t="str">
        <f>INDEX(Data,2,2+MOD(ROWS(C$2:C6175)-1,24))</f>
        <v>06.00</v>
      </c>
      <c r="D6175" s="8">
        <f t="shared" ca="1" si="290"/>
        <v>3</v>
      </c>
      <c r="E6175" s="16">
        <f t="shared" ca="1" si="291"/>
        <v>0</v>
      </c>
    </row>
    <row r="6176" spans="1:5" x14ac:dyDescent="0.25">
      <c r="A6176" s="3">
        <f t="shared" si="289"/>
        <v>78989</v>
      </c>
      <c r="B6176" t="str">
        <f ca="1">TEXT(DATE(YEAR(Invoer!$A$5),1,1)+INT((ROWS(B$2:B6176)-1)/24),"""18""jjmmdd")</f>
        <v>18980915</v>
      </c>
      <c r="C6176" s="11" t="str">
        <f>INDEX(Data,2,2+MOD(ROWS(C$2:C6176)-1,24))</f>
        <v>07.00</v>
      </c>
      <c r="D6176" s="8">
        <f t="shared" ca="1" si="290"/>
        <v>5</v>
      </c>
      <c r="E6176" s="16">
        <f t="shared" ca="1" si="291"/>
        <v>0</v>
      </c>
    </row>
    <row r="6177" spans="1:5" x14ac:dyDescent="0.25">
      <c r="A6177" s="3">
        <f t="shared" si="289"/>
        <v>78989</v>
      </c>
      <c r="B6177" t="str">
        <f ca="1">TEXT(DATE(YEAR(Invoer!$A$5),1,1)+INT((ROWS(B$2:B6177)-1)/24),"""18""jjmmdd")</f>
        <v>18980915</v>
      </c>
      <c r="C6177" s="11" t="str">
        <f>INDEX(Data,2,2+MOD(ROWS(C$2:C6177)-1,24))</f>
        <v>08.00</v>
      </c>
      <c r="D6177" s="8">
        <f t="shared" ca="1" si="290"/>
        <v>7</v>
      </c>
      <c r="E6177" s="16">
        <f t="shared" ca="1" si="291"/>
        <v>0</v>
      </c>
    </row>
    <row r="6178" spans="1:5" x14ac:dyDescent="0.25">
      <c r="A6178" s="3">
        <f t="shared" si="289"/>
        <v>78989</v>
      </c>
      <c r="B6178" t="str">
        <f ca="1">TEXT(DATE(YEAR(Invoer!$A$5),1,1)+INT((ROWS(B$2:B6178)-1)/24),"""18""jjmmdd")</f>
        <v>18980915</v>
      </c>
      <c r="C6178" s="11" t="str">
        <f>INDEX(Data,2,2+MOD(ROWS(C$2:C6178)-1,24))</f>
        <v>09.00</v>
      </c>
      <c r="D6178" s="8">
        <f t="shared" ca="1" si="290"/>
        <v>12</v>
      </c>
      <c r="E6178" s="16">
        <f t="shared" ca="1" si="291"/>
        <v>0</v>
      </c>
    </row>
    <row r="6179" spans="1:5" x14ac:dyDescent="0.25">
      <c r="A6179" s="3">
        <f t="shared" si="289"/>
        <v>78989</v>
      </c>
      <c r="B6179" t="str">
        <f ca="1">TEXT(DATE(YEAR(Invoer!$A$5),1,1)+INT((ROWS(B$2:B6179)-1)/24),"""18""jjmmdd")</f>
        <v>18980915</v>
      </c>
      <c r="C6179" s="11" t="str">
        <f>INDEX(Data,2,2+MOD(ROWS(C$2:C6179)-1,24))</f>
        <v>10.00</v>
      </c>
      <c r="D6179" s="8">
        <f t="shared" ca="1" si="290"/>
        <v>11</v>
      </c>
      <c r="E6179" s="16">
        <f t="shared" ca="1" si="291"/>
        <v>0</v>
      </c>
    </row>
    <row r="6180" spans="1:5" x14ac:dyDescent="0.25">
      <c r="A6180" s="3">
        <f t="shared" si="289"/>
        <v>78989</v>
      </c>
      <c r="B6180" t="str">
        <f ca="1">TEXT(DATE(YEAR(Invoer!$A$5),1,1)+INT((ROWS(B$2:B6180)-1)/24),"""18""jjmmdd")</f>
        <v>18980915</v>
      </c>
      <c r="C6180" s="11" t="str">
        <f>INDEX(Data,2,2+MOD(ROWS(C$2:C6180)-1,24))</f>
        <v>11.00</v>
      </c>
      <c r="D6180" s="8">
        <f t="shared" ca="1" si="290"/>
        <v>12</v>
      </c>
      <c r="E6180" s="16">
        <f t="shared" ca="1" si="291"/>
        <v>0</v>
      </c>
    </row>
    <row r="6181" spans="1:5" x14ac:dyDescent="0.25">
      <c r="A6181" s="3">
        <f t="shared" si="289"/>
        <v>78989</v>
      </c>
      <c r="B6181" t="str">
        <f ca="1">TEXT(DATE(YEAR(Invoer!$A$5),1,1)+INT((ROWS(B$2:B6181)-1)/24),"""18""jjmmdd")</f>
        <v>18980915</v>
      </c>
      <c r="C6181" s="11" t="str">
        <f>INDEX(Data,2,2+MOD(ROWS(C$2:C6181)-1,24))</f>
        <v>12.00</v>
      </c>
      <c r="D6181" s="8">
        <f t="shared" ca="1" si="290"/>
        <v>10</v>
      </c>
      <c r="E6181" s="16">
        <f t="shared" ca="1" si="291"/>
        <v>0</v>
      </c>
    </row>
    <row r="6182" spans="1:5" x14ac:dyDescent="0.25">
      <c r="A6182" s="3">
        <f t="shared" si="289"/>
        <v>78989</v>
      </c>
      <c r="B6182" t="str">
        <f ca="1">TEXT(DATE(YEAR(Invoer!$A$5),1,1)+INT((ROWS(B$2:B6182)-1)/24),"""18""jjmmdd")</f>
        <v>18980915</v>
      </c>
      <c r="C6182" s="11" t="str">
        <f>INDEX(Data,2,2+MOD(ROWS(C$2:C6182)-1,24))</f>
        <v>13.00</v>
      </c>
      <c r="D6182" s="8">
        <f t="shared" ca="1" si="290"/>
        <v>10</v>
      </c>
      <c r="E6182" s="16">
        <f t="shared" ca="1" si="291"/>
        <v>0</v>
      </c>
    </row>
    <row r="6183" spans="1:5" x14ac:dyDescent="0.25">
      <c r="A6183" s="3">
        <f t="shared" si="289"/>
        <v>78989</v>
      </c>
      <c r="B6183" t="str">
        <f ca="1">TEXT(DATE(YEAR(Invoer!$A$5),1,1)+INT((ROWS(B$2:B6183)-1)/24),"""18""jjmmdd")</f>
        <v>18980915</v>
      </c>
      <c r="C6183" s="11" t="str">
        <f>INDEX(Data,2,2+MOD(ROWS(C$2:C6183)-1,24))</f>
        <v>14.00</v>
      </c>
      <c r="D6183" s="8">
        <f t="shared" ca="1" si="290"/>
        <v>10</v>
      </c>
      <c r="E6183" s="16">
        <f t="shared" ca="1" si="291"/>
        <v>0</v>
      </c>
    </row>
    <row r="6184" spans="1:5" x14ac:dyDescent="0.25">
      <c r="A6184" s="3">
        <f t="shared" si="289"/>
        <v>78989</v>
      </c>
      <c r="B6184" t="str">
        <f ca="1">TEXT(DATE(YEAR(Invoer!$A$5),1,1)+INT((ROWS(B$2:B6184)-1)/24),"""18""jjmmdd")</f>
        <v>18980915</v>
      </c>
      <c r="C6184" s="11" t="str">
        <f>INDEX(Data,2,2+MOD(ROWS(C$2:C6184)-1,24))</f>
        <v>15.00</v>
      </c>
      <c r="D6184" s="8">
        <f t="shared" ca="1" si="290"/>
        <v>11</v>
      </c>
      <c r="E6184" s="16">
        <f t="shared" ca="1" si="291"/>
        <v>0</v>
      </c>
    </row>
    <row r="6185" spans="1:5" x14ac:dyDescent="0.25">
      <c r="A6185" s="3">
        <f t="shared" si="289"/>
        <v>78989</v>
      </c>
      <c r="B6185" t="str">
        <f ca="1">TEXT(DATE(YEAR(Invoer!$A$5),1,1)+INT((ROWS(B$2:B6185)-1)/24),"""18""jjmmdd")</f>
        <v>18980915</v>
      </c>
      <c r="C6185" s="11" t="str">
        <f>INDEX(Data,2,2+MOD(ROWS(C$2:C6185)-1,24))</f>
        <v>16.00</v>
      </c>
      <c r="D6185" s="8">
        <f t="shared" ca="1" si="290"/>
        <v>8</v>
      </c>
      <c r="E6185" s="16">
        <f t="shared" ca="1" si="291"/>
        <v>0</v>
      </c>
    </row>
    <row r="6186" spans="1:5" x14ac:dyDescent="0.25">
      <c r="A6186" s="3">
        <f t="shared" si="289"/>
        <v>78989</v>
      </c>
      <c r="B6186" t="str">
        <f ca="1">TEXT(DATE(YEAR(Invoer!$A$5),1,1)+INT((ROWS(B$2:B6186)-1)/24),"""18""jjmmdd")</f>
        <v>18980915</v>
      </c>
      <c r="C6186" s="11" t="str">
        <f>INDEX(Data,2,2+MOD(ROWS(C$2:C6186)-1,24))</f>
        <v>17.00</v>
      </c>
      <c r="D6186" s="8">
        <f t="shared" ca="1" si="290"/>
        <v>10</v>
      </c>
      <c r="E6186" s="16">
        <f t="shared" ca="1" si="291"/>
        <v>0</v>
      </c>
    </row>
    <row r="6187" spans="1:5" x14ac:dyDescent="0.25">
      <c r="A6187" s="3">
        <f t="shared" si="289"/>
        <v>78989</v>
      </c>
      <c r="B6187" t="str">
        <f ca="1">TEXT(DATE(YEAR(Invoer!$A$5),1,1)+INT((ROWS(B$2:B6187)-1)/24),"""18""jjmmdd")</f>
        <v>18980915</v>
      </c>
      <c r="C6187" s="11" t="str">
        <f>INDEX(Data,2,2+MOD(ROWS(C$2:C6187)-1,24))</f>
        <v>18.00</v>
      </c>
      <c r="D6187" s="8">
        <f t="shared" ca="1" si="290"/>
        <v>11</v>
      </c>
      <c r="E6187" s="16">
        <f t="shared" ca="1" si="291"/>
        <v>0</v>
      </c>
    </row>
    <row r="6188" spans="1:5" x14ac:dyDescent="0.25">
      <c r="A6188" s="3">
        <f t="shared" si="289"/>
        <v>78989</v>
      </c>
      <c r="B6188" t="str">
        <f ca="1">TEXT(DATE(YEAR(Invoer!$A$5),1,1)+INT((ROWS(B$2:B6188)-1)/24),"""18""jjmmdd")</f>
        <v>18980915</v>
      </c>
      <c r="C6188" s="11" t="str">
        <f>INDEX(Data,2,2+MOD(ROWS(C$2:C6188)-1,24))</f>
        <v>19.00</v>
      </c>
      <c r="D6188" s="8">
        <f t="shared" ca="1" si="290"/>
        <v>10</v>
      </c>
      <c r="E6188" s="16">
        <f t="shared" ca="1" si="291"/>
        <v>0</v>
      </c>
    </row>
    <row r="6189" spans="1:5" x14ac:dyDescent="0.25">
      <c r="A6189" s="3">
        <f t="shared" si="289"/>
        <v>78989</v>
      </c>
      <c r="B6189" t="str">
        <f ca="1">TEXT(DATE(YEAR(Invoer!$A$5),1,1)+INT((ROWS(B$2:B6189)-1)/24),"""18""jjmmdd")</f>
        <v>18980915</v>
      </c>
      <c r="C6189" s="11" t="str">
        <f>INDEX(Data,2,2+MOD(ROWS(C$2:C6189)-1,24))</f>
        <v>20.00</v>
      </c>
      <c r="D6189" s="8">
        <f t="shared" ca="1" si="290"/>
        <v>10</v>
      </c>
      <c r="E6189" s="16">
        <f t="shared" ca="1" si="291"/>
        <v>0</v>
      </c>
    </row>
    <row r="6190" spans="1:5" x14ac:dyDescent="0.25">
      <c r="A6190" s="3">
        <f t="shared" si="289"/>
        <v>78989</v>
      </c>
      <c r="B6190" t="str">
        <f ca="1">TEXT(DATE(YEAR(Invoer!$A$5),1,1)+INT((ROWS(B$2:B6190)-1)/24),"""18""jjmmdd")</f>
        <v>18980915</v>
      </c>
      <c r="C6190" s="11" t="str">
        <f>INDEX(Data,2,2+MOD(ROWS(C$2:C6190)-1,24))</f>
        <v>21.00</v>
      </c>
      <c r="D6190" s="8">
        <f t="shared" ca="1" si="290"/>
        <v>9</v>
      </c>
      <c r="E6190" s="16">
        <f t="shared" ca="1" si="291"/>
        <v>0</v>
      </c>
    </row>
    <row r="6191" spans="1:5" x14ac:dyDescent="0.25">
      <c r="A6191" s="3">
        <f t="shared" si="289"/>
        <v>78989</v>
      </c>
      <c r="B6191" t="str">
        <f ca="1">TEXT(DATE(YEAR(Invoer!$A$5),1,1)+INT((ROWS(B$2:B6191)-1)/24),"""18""jjmmdd")</f>
        <v>18980915</v>
      </c>
      <c r="C6191" s="11" t="str">
        <f>INDEX(Data,2,2+MOD(ROWS(C$2:C6191)-1,24))</f>
        <v>22.00</v>
      </c>
      <c r="D6191" s="8">
        <f t="shared" ca="1" si="290"/>
        <v>8</v>
      </c>
      <c r="E6191" s="16">
        <f t="shared" ca="1" si="291"/>
        <v>0</v>
      </c>
    </row>
    <row r="6192" spans="1:5" x14ac:dyDescent="0.25">
      <c r="A6192" s="3">
        <f t="shared" si="289"/>
        <v>78989</v>
      </c>
      <c r="B6192" t="str">
        <f ca="1">TEXT(DATE(YEAR(Invoer!$A$5),1,1)+INT((ROWS(B$2:B6192)-1)/24),"""18""jjmmdd")</f>
        <v>18980915</v>
      </c>
      <c r="C6192" s="11" t="str">
        <f>INDEX(Data,2,2+MOD(ROWS(C$2:C6192)-1,24))</f>
        <v>23.00</v>
      </c>
      <c r="D6192" s="8">
        <f t="shared" ca="1" si="290"/>
        <v>6</v>
      </c>
      <c r="E6192" s="16">
        <f t="shared" ca="1" si="291"/>
        <v>0</v>
      </c>
    </row>
    <row r="6193" spans="1:5" x14ac:dyDescent="0.25">
      <c r="A6193" s="3">
        <f t="shared" si="289"/>
        <v>78989</v>
      </c>
      <c r="B6193" t="str">
        <f ca="1">TEXT(DATE(YEAR(Invoer!$A$5),1,1)+INT((ROWS(B$2:B6193)-1)/24),"""18""jjmmdd")</f>
        <v>18980915</v>
      </c>
      <c r="C6193" s="11" t="str">
        <f>INDEX(Data,2,2+MOD(ROWS(C$2:C6193)-1,24))</f>
        <v>24.00</v>
      </c>
      <c r="D6193" s="8">
        <f t="shared" ca="1" si="290"/>
        <v>8</v>
      </c>
      <c r="E6193" s="16">
        <f t="shared" ca="1" si="291"/>
        <v>0</v>
      </c>
    </row>
    <row r="6194" spans="1:5" x14ac:dyDescent="0.25">
      <c r="A6194" s="3">
        <f t="shared" si="289"/>
        <v>78989</v>
      </c>
      <c r="B6194" t="str">
        <f ca="1">TEXT(DATE(YEAR(Invoer!$A$5),1,1)+INT((ROWS(B$2:B6194)-1)/24),"""18""jjmmdd")</f>
        <v>18980916</v>
      </c>
      <c r="C6194" s="11" t="str">
        <f>INDEX(Data,2,2+MOD(ROWS(C$2:C6194)-1,24))</f>
        <v>01.00</v>
      </c>
      <c r="D6194" s="8">
        <f t="shared" ca="1" si="290"/>
        <v>8</v>
      </c>
      <c r="E6194" s="16">
        <f t="shared" ca="1" si="291"/>
        <v>0</v>
      </c>
    </row>
    <row r="6195" spans="1:5" x14ac:dyDescent="0.25">
      <c r="A6195" s="3">
        <f t="shared" si="289"/>
        <v>78989</v>
      </c>
      <c r="B6195" t="str">
        <f ca="1">TEXT(DATE(YEAR(Invoer!$A$5),1,1)+INT((ROWS(B$2:B6195)-1)/24),"""18""jjmmdd")</f>
        <v>18980916</v>
      </c>
      <c r="C6195" s="11" t="str">
        <f>INDEX(Data,2,2+MOD(ROWS(C$2:C6195)-1,24))</f>
        <v>02.00</v>
      </c>
      <c r="D6195" s="8">
        <f t="shared" ca="1" si="290"/>
        <v>7</v>
      </c>
      <c r="E6195" s="16">
        <f t="shared" ca="1" si="291"/>
        <v>0</v>
      </c>
    </row>
    <row r="6196" spans="1:5" x14ac:dyDescent="0.25">
      <c r="A6196" s="3">
        <f t="shared" si="289"/>
        <v>78989</v>
      </c>
      <c r="B6196" t="str">
        <f ca="1">TEXT(DATE(YEAR(Invoer!$A$5),1,1)+INT((ROWS(B$2:B6196)-1)/24),"""18""jjmmdd")</f>
        <v>18980916</v>
      </c>
      <c r="C6196" s="11" t="str">
        <f>INDEX(Data,2,2+MOD(ROWS(C$2:C6196)-1,24))</f>
        <v>03.00</v>
      </c>
      <c r="D6196" s="8">
        <f t="shared" ca="1" si="290"/>
        <v>8</v>
      </c>
      <c r="E6196" s="16">
        <f t="shared" ca="1" si="291"/>
        <v>0</v>
      </c>
    </row>
    <row r="6197" spans="1:5" x14ac:dyDescent="0.25">
      <c r="A6197" s="3">
        <f t="shared" si="289"/>
        <v>78989</v>
      </c>
      <c r="B6197" t="str">
        <f ca="1">TEXT(DATE(YEAR(Invoer!$A$5),1,1)+INT((ROWS(B$2:B6197)-1)/24),"""18""jjmmdd")</f>
        <v>18980916</v>
      </c>
      <c r="C6197" s="11" t="str">
        <f>INDEX(Data,2,2+MOD(ROWS(C$2:C6197)-1,24))</f>
        <v>04.00</v>
      </c>
      <c r="D6197" s="8">
        <f t="shared" ca="1" si="290"/>
        <v>8</v>
      </c>
      <c r="E6197" s="16">
        <f t="shared" ca="1" si="291"/>
        <v>0</v>
      </c>
    </row>
    <row r="6198" spans="1:5" x14ac:dyDescent="0.25">
      <c r="A6198" s="3">
        <f t="shared" si="289"/>
        <v>78989</v>
      </c>
      <c r="B6198" t="str">
        <f ca="1">TEXT(DATE(YEAR(Invoer!$A$5),1,1)+INT((ROWS(B$2:B6198)-1)/24),"""18""jjmmdd")</f>
        <v>18980916</v>
      </c>
      <c r="C6198" s="11" t="str">
        <f>INDEX(Data,2,2+MOD(ROWS(C$2:C6198)-1,24))</f>
        <v>05.00</v>
      </c>
      <c r="D6198" s="8">
        <f t="shared" ca="1" si="290"/>
        <v>7</v>
      </c>
      <c r="E6198" s="16">
        <f t="shared" ca="1" si="291"/>
        <v>0</v>
      </c>
    </row>
    <row r="6199" spans="1:5" x14ac:dyDescent="0.25">
      <c r="A6199" s="3">
        <f t="shared" si="289"/>
        <v>78989</v>
      </c>
      <c r="B6199" t="str">
        <f ca="1">TEXT(DATE(YEAR(Invoer!$A$5),1,1)+INT((ROWS(B$2:B6199)-1)/24),"""18""jjmmdd")</f>
        <v>18980916</v>
      </c>
      <c r="C6199" s="11" t="str">
        <f>INDEX(Data,2,2+MOD(ROWS(C$2:C6199)-1,24))</f>
        <v>06.00</v>
      </c>
      <c r="D6199" s="8">
        <f t="shared" ca="1" si="290"/>
        <v>6</v>
      </c>
      <c r="E6199" s="16">
        <f t="shared" ca="1" si="291"/>
        <v>0</v>
      </c>
    </row>
    <row r="6200" spans="1:5" x14ac:dyDescent="0.25">
      <c r="A6200" s="3">
        <f t="shared" si="289"/>
        <v>78989</v>
      </c>
      <c r="B6200" t="str">
        <f ca="1">TEXT(DATE(YEAR(Invoer!$A$5),1,1)+INT((ROWS(B$2:B6200)-1)/24),"""18""jjmmdd")</f>
        <v>18980916</v>
      </c>
      <c r="C6200" s="11" t="str">
        <f>INDEX(Data,2,2+MOD(ROWS(C$2:C6200)-1,24))</f>
        <v>07.00</v>
      </c>
      <c r="D6200" s="8">
        <f t="shared" ca="1" si="290"/>
        <v>8</v>
      </c>
      <c r="E6200" s="16">
        <f t="shared" ca="1" si="291"/>
        <v>0</v>
      </c>
    </row>
    <row r="6201" spans="1:5" x14ac:dyDescent="0.25">
      <c r="A6201" s="3">
        <f t="shared" si="289"/>
        <v>78989</v>
      </c>
      <c r="B6201" t="str">
        <f ca="1">TEXT(DATE(YEAR(Invoer!$A$5),1,1)+INT((ROWS(B$2:B6201)-1)/24),"""18""jjmmdd")</f>
        <v>18980916</v>
      </c>
      <c r="C6201" s="11" t="str">
        <f>INDEX(Data,2,2+MOD(ROWS(C$2:C6201)-1,24))</f>
        <v>08.00</v>
      </c>
      <c r="D6201" s="8">
        <f t="shared" ca="1" si="290"/>
        <v>11</v>
      </c>
      <c r="E6201" s="16">
        <f t="shared" ca="1" si="291"/>
        <v>0</v>
      </c>
    </row>
    <row r="6202" spans="1:5" x14ac:dyDescent="0.25">
      <c r="A6202" s="3">
        <f t="shared" si="289"/>
        <v>78989</v>
      </c>
      <c r="B6202" t="str">
        <f ca="1">TEXT(DATE(YEAR(Invoer!$A$5),1,1)+INT((ROWS(B$2:B6202)-1)/24),"""18""jjmmdd")</f>
        <v>18980916</v>
      </c>
      <c r="C6202" s="11" t="str">
        <f>INDEX(Data,2,2+MOD(ROWS(C$2:C6202)-1,24))</f>
        <v>09.00</v>
      </c>
      <c r="D6202" s="8">
        <f t="shared" ca="1" si="290"/>
        <v>12</v>
      </c>
      <c r="E6202" s="16">
        <f t="shared" ca="1" si="291"/>
        <v>0</v>
      </c>
    </row>
    <row r="6203" spans="1:5" x14ac:dyDescent="0.25">
      <c r="A6203" s="3">
        <f t="shared" si="289"/>
        <v>78989</v>
      </c>
      <c r="B6203" t="str">
        <f ca="1">TEXT(DATE(YEAR(Invoer!$A$5),1,1)+INT((ROWS(B$2:B6203)-1)/24),"""18""jjmmdd")</f>
        <v>18980916</v>
      </c>
      <c r="C6203" s="11" t="str">
        <f>INDEX(Data,2,2+MOD(ROWS(C$2:C6203)-1,24))</f>
        <v>10.00</v>
      </c>
      <c r="D6203" s="8">
        <f t="shared" ca="1" si="290"/>
        <v>15</v>
      </c>
      <c r="E6203" s="16">
        <f t="shared" ca="1" si="291"/>
        <v>0</v>
      </c>
    </row>
    <row r="6204" spans="1:5" x14ac:dyDescent="0.25">
      <c r="A6204" s="3">
        <f t="shared" si="289"/>
        <v>78989</v>
      </c>
      <c r="B6204" t="str">
        <f ca="1">TEXT(DATE(YEAR(Invoer!$A$5),1,1)+INT((ROWS(B$2:B6204)-1)/24),"""18""jjmmdd")</f>
        <v>18980916</v>
      </c>
      <c r="C6204" s="11" t="str">
        <f>INDEX(Data,2,2+MOD(ROWS(C$2:C6204)-1,24))</f>
        <v>11.00</v>
      </c>
      <c r="D6204" s="8">
        <f t="shared" ca="1" si="290"/>
        <v>16</v>
      </c>
      <c r="E6204" s="16">
        <f t="shared" ca="1" si="291"/>
        <v>0</v>
      </c>
    </row>
    <row r="6205" spans="1:5" x14ac:dyDescent="0.25">
      <c r="A6205" s="3">
        <f t="shared" si="289"/>
        <v>78989</v>
      </c>
      <c r="B6205" t="str">
        <f ca="1">TEXT(DATE(YEAR(Invoer!$A$5),1,1)+INT((ROWS(B$2:B6205)-1)/24),"""18""jjmmdd")</f>
        <v>18980916</v>
      </c>
      <c r="C6205" s="11" t="str">
        <f>INDEX(Data,2,2+MOD(ROWS(C$2:C6205)-1,24))</f>
        <v>12.00</v>
      </c>
      <c r="D6205" s="8">
        <f t="shared" ca="1" si="290"/>
        <v>14</v>
      </c>
      <c r="E6205" s="16">
        <f t="shared" ca="1" si="291"/>
        <v>0</v>
      </c>
    </row>
    <row r="6206" spans="1:5" x14ac:dyDescent="0.25">
      <c r="A6206" s="3">
        <f t="shared" si="289"/>
        <v>78989</v>
      </c>
      <c r="B6206" t="str">
        <f ca="1">TEXT(DATE(YEAR(Invoer!$A$5),1,1)+INT((ROWS(B$2:B6206)-1)/24),"""18""jjmmdd")</f>
        <v>18980916</v>
      </c>
      <c r="C6206" s="11" t="str">
        <f>INDEX(Data,2,2+MOD(ROWS(C$2:C6206)-1,24))</f>
        <v>13.00</v>
      </c>
      <c r="D6206" s="8">
        <f t="shared" ca="1" si="290"/>
        <v>13</v>
      </c>
      <c r="E6206" s="16">
        <f t="shared" ca="1" si="291"/>
        <v>0</v>
      </c>
    </row>
    <row r="6207" spans="1:5" x14ac:dyDescent="0.25">
      <c r="A6207" s="3">
        <f t="shared" si="289"/>
        <v>78989</v>
      </c>
      <c r="B6207" t="str">
        <f ca="1">TEXT(DATE(YEAR(Invoer!$A$5),1,1)+INT((ROWS(B$2:B6207)-1)/24),"""18""jjmmdd")</f>
        <v>18980916</v>
      </c>
      <c r="C6207" s="11" t="str">
        <f>INDEX(Data,2,2+MOD(ROWS(C$2:C6207)-1,24))</f>
        <v>14.00</v>
      </c>
      <c r="D6207" s="8">
        <f t="shared" ca="1" si="290"/>
        <v>12</v>
      </c>
      <c r="E6207" s="16">
        <f t="shared" ca="1" si="291"/>
        <v>0</v>
      </c>
    </row>
    <row r="6208" spans="1:5" x14ac:dyDescent="0.25">
      <c r="A6208" s="3">
        <f t="shared" si="289"/>
        <v>78989</v>
      </c>
      <c r="B6208" t="str">
        <f ca="1">TEXT(DATE(YEAR(Invoer!$A$5),1,1)+INT((ROWS(B$2:B6208)-1)/24),"""18""jjmmdd")</f>
        <v>18980916</v>
      </c>
      <c r="C6208" s="11" t="str">
        <f>INDEX(Data,2,2+MOD(ROWS(C$2:C6208)-1,24))</f>
        <v>15.00</v>
      </c>
      <c r="D6208" s="8">
        <f t="shared" ca="1" si="290"/>
        <v>11</v>
      </c>
      <c r="E6208" s="16">
        <f t="shared" ca="1" si="291"/>
        <v>0</v>
      </c>
    </row>
    <row r="6209" spans="1:5" x14ac:dyDescent="0.25">
      <c r="A6209" s="3">
        <f t="shared" si="289"/>
        <v>78989</v>
      </c>
      <c r="B6209" t="str">
        <f ca="1">TEXT(DATE(YEAR(Invoer!$A$5),1,1)+INT((ROWS(B$2:B6209)-1)/24),"""18""jjmmdd")</f>
        <v>18980916</v>
      </c>
      <c r="C6209" s="11" t="str">
        <f>INDEX(Data,2,2+MOD(ROWS(C$2:C6209)-1,24))</f>
        <v>16.00</v>
      </c>
      <c r="D6209" s="8">
        <f t="shared" ca="1" si="290"/>
        <v>12</v>
      </c>
      <c r="E6209" s="16">
        <f t="shared" ca="1" si="291"/>
        <v>0</v>
      </c>
    </row>
    <row r="6210" spans="1:5" x14ac:dyDescent="0.25">
      <c r="A6210" s="3">
        <f t="shared" ref="A6210:A6273" si="292">INDEX(Stations,2,1)</f>
        <v>78989</v>
      </c>
      <c r="B6210" t="str">
        <f ca="1">TEXT(DATE(YEAR(Invoer!$A$5),1,1)+INT((ROWS(B$2:B6210)-1)/24),"""18""jjmmdd")</f>
        <v>18980916</v>
      </c>
      <c r="C6210" s="11" t="str">
        <f>INDEX(Data,2,2+MOD(ROWS(C$2:C6210)-1,24))</f>
        <v>17.00</v>
      </c>
      <c r="D6210" s="8">
        <f t="shared" ref="D6210:D6273" ca="1" si="293">IF(OR(ISBLANK(VLOOKUP(DATEVALUE("37"&amp;MID($B6210,3,2)&amp;"-"&amp;MID($B6210,5,2)&amp;"-"&amp;RIGHT($B6210,2)),Data,MATCH(LEFT(VLOOKUP(D$1,Parameters,2,FALSE()),4)&amp;"*",OFFSET(Data,0,0,1),0)+MATCH($C6210,OFFSET(Data,1,0,1),0)-2,FALSE())),ISTEXT(VLOOKUP(DATEVALUE("37"&amp;MID($B6210,3,2)&amp;"-"&amp;MID($B6210,5,2)&amp;"-"&amp;RIGHT($B6210,2)),Data,MATCH(LEFT(VLOOKUP(D$1,Parameters,2,FALSE()),4)&amp;"*",OFFSET(Data,0,0,1),0)+MATCH($C6210,OFFSET(Data,1,0,1),0)-2,FALSE()))),"—",VLOOKUP(DATEVALUE("37"&amp;MID($B6210,3,2)&amp;"-"&amp;MID($B6210,5,2)&amp;"-"&amp;RIGHT($B6210,2)),Data,MATCH(LEFT(VLOOKUP(D$1,Parameters,2,FALSE()),4)&amp;"*",OFFSET(Data,0,0,1),0)+MATCH($C6210,OFFSET(Data,1,0,1),0)-2,FALSE()))</f>
        <v>13</v>
      </c>
      <c r="E6210" s="16">
        <f t="shared" ca="1" si="291"/>
        <v>0</v>
      </c>
    </row>
    <row r="6211" spans="1:5" x14ac:dyDescent="0.25">
      <c r="A6211" s="3">
        <f t="shared" si="292"/>
        <v>78989</v>
      </c>
      <c r="B6211" t="str">
        <f ca="1">TEXT(DATE(YEAR(Invoer!$A$5),1,1)+INT((ROWS(B$2:B6211)-1)/24),"""18""jjmmdd")</f>
        <v>18980916</v>
      </c>
      <c r="C6211" s="11" t="str">
        <f>INDEX(Data,2,2+MOD(ROWS(C$2:C6211)-1,24))</f>
        <v>18.00</v>
      </c>
      <c r="D6211" s="8">
        <f t="shared" ca="1" si="293"/>
        <v>12</v>
      </c>
      <c r="E6211" s="16">
        <f t="shared" ref="E6211:E6274" ca="1" si="294">IF(OR(ISBLANK(VLOOKUP(DATEVALUE("37"&amp;MID($B6211,3,2)&amp;"-"&amp;MID($B6211,5,2)&amp;"-"&amp;RIGHT($B6211,2)),Data,MATCH(LEFT(VLOOKUP(D$1,Parameters,2,FALSE()),4)&amp;"*",OFFSET(Data,0,0,1),0)+MATCH($C6211,OFFSET(Data,1,0,1),0)-2,FALSE())),ISTEXT(VLOOKUP(DATEVALUE("37"&amp;MID($B6211,3,2)&amp;"-"&amp;MID($B6211,5,2)&amp;"-"&amp;RIGHT($B6211,2)),Data,MATCH(LEFT(VLOOKUP(D$1,Parameters,2,FALSE()),4)&amp;"*",OFFSET(Data,0,0,1),0)+MATCH($C6211,OFFSET(Data,1,0,1),0)-2,FALSE()))),Lacking,IF(ISNA(MATCH(DATEVALUE("37"&amp;MID($B6211,3,2)&amp;"-"&amp;MID($B6211,5,2)&amp;"-"&amp;RIGHT($B6211,2)),OFFSET(Catalogus,0,0,,1),0)),Ok,VLOOKUP(DATEVALUE("37"&amp;MID($B6211,3,2)&amp;"-"&amp;MID($B6211,5,2)&amp;"-"&amp;RIGHT($B6211,2)),Catalogus,MATCH(LEFT(VLOOKUP(MID(E$1,2,LEN(E$1)-1),Parameters,2,FALSE()),4)&amp;"*",OFFSET(Catalogus,0,0,1),0)+MATCH($C6211,OFFSET(Catalogus,1,0,1),0)-2,FALSE())))</f>
        <v>0</v>
      </c>
    </row>
    <row r="6212" spans="1:5" x14ac:dyDescent="0.25">
      <c r="A6212" s="3">
        <f t="shared" si="292"/>
        <v>78989</v>
      </c>
      <c r="B6212" t="str">
        <f ca="1">TEXT(DATE(YEAR(Invoer!$A$5),1,1)+INT((ROWS(B$2:B6212)-1)/24),"""18""jjmmdd")</f>
        <v>18980916</v>
      </c>
      <c r="C6212" s="11" t="str">
        <f>INDEX(Data,2,2+MOD(ROWS(C$2:C6212)-1,24))</f>
        <v>19.00</v>
      </c>
      <c r="D6212" s="8">
        <f t="shared" ca="1" si="293"/>
        <v>12</v>
      </c>
      <c r="E6212" s="16">
        <f t="shared" ca="1" si="294"/>
        <v>0</v>
      </c>
    </row>
    <row r="6213" spans="1:5" x14ac:dyDescent="0.25">
      <c r="A6213" s="3">
        <f t="shared" si="292"/>
        <v>78989</v>
      </c>
      <c r="B6213" t="str">
        <f ca="1">TEXT(DATE(YEAR(Invoer!$A$5),1,1)+INT((ROWS(B$2:B6213)-1)/24),"""18""jjmmdd")</f>
        <v>18980916</v>
      </c>
      <c r="C6213" s="11" t="str">
        <f>INDEX(Data,2,2+MOD(ROWS(C$2:C6213)-1,24))</f>
        <v>20.00</v>
      </c>
      <c r="D6213" s="8">
        <f t="shared" ca="1" si="293"/>
        <v>11</v>
      </c>
      <c r="E6213" s="16">
        <f t="shared" ca="1" si="294"/>
        <v>0</v>
      </c>
    </row>
    <row r="6214" spans="1:5" x14ac:dyDescent="0.25">
      <c r="A6214" s="3">
        <f t="shared" si="292"/>
        <v>78989</v>
      </c>
      <c r="B6214" t="str">
        <f ca="1">TEXT(DATE(YEAR(Invoer!$A$5),1,1)+INT((ROWS(B$2:B6214)-1)/24),"""18""jjmmdd")</f>
        <v>18980916</v>
      </c>
      <c r="C6214" s="11" t="str">
        <f>INDEX(Data,2,2+MOD(ROWS(C$2:C6214)-1,24))</f>
        <v>21.00</v>
      </c>
      <c r="D6214" s="8">
        <f t="shared" ca="1" si="293"/>
        <v>13</v>
      </c>
      <c r="E6214" s="16">
        <f t="shared" ca="1" si="294"/>
        <v>0</v>
      </c>
    </row>
    <row r="6215" spans="1:5" x14ac:dyDescent="0.25">
      <c r="A6215" s="3">
        <f t="shared" si="292"/>
        <v>78989</v>
      </c>
      <c r="B6215" t="str">
        <f ca="1">TEXT(DATE(YEAR(Invoer!$A$5),1,1)+INT((ROWS(B$2:B6215)-1)/24),"""18""jjmmdd")</f>
        <v>18980916</v>
      </c>
      <c r="C6215" s="11" t="str">
        <f>INDEX(Data,2,2+MOD(ROWS(C$2:C6215)-1,24))</f>
        <v>22.00</v>
      </c>
      <c r="D6215" s="8">
        <f t="shared" ca="1" si="293"/>
        <v>11</v>
      </c>
      <c r="E6215" s="16">
        <f t="shared" ca="1" si="294"/>
        <v>0</v>
      </c>
    </row>
    <row r="6216" spans="1:5" x14ac:dyDescent="0.25">
      <c r="A6216" s="3">
        <f t="shared" si="292"/>
        <v>78989</v>
      </c>
      <c r="B6216" t="str">
        <f ca="1">TEXT(DATE(YEAR(Invoer!$A$5),1,1)+INT((ROWS(B$2:B6216)-1)/24),"""18""jjmmdd")</f>
        <v>18980916</v>
      </c>
      <c r="C6216" s="11" t="str">
        <f>INDEX(Data,2,2+MOD(ROWS(C$2:C6216)-1,24))</f>
        <v>23.00</v>
      </c>
      <c r="D6216" s="8">
        <f t="shared" ca="1" si="293"/>
        <v>12</v>
      </c>
      <c r="E6216" s="16">
        <f t="shared" ca="1" si="294"/>
        <v>0</v>
      </c>
    </row>
    <row r="6217" spans="1:5" x14ac:dyDescent="0.25">
      <c r="A6217" s="3">
        <f t="shared" si="292"/>
        <v>78989</v>
      </c>
      <c r="B6217" t="str">
        <f ca="1">TEXT(DATE(YEAR(Invoer!$A$5),1,1)+INT((ROWS(B$2:B6217)-1)/24),"""18""jjmmdd")</f>
        <v>18980916</v>
      </c>
      <c r="C6217" s="11" t="str">
        <f>INDEX(Data,2,2+MOD(ROWS(C$2:C6217)-1,24))</f>
        <v>24.00</v>
      </c>
      <c r="D6217" s="8">
        <f t="shared" ca="1" si="293"/>
        <v>11</v>
      </c>
      <c r="E6217" s="16">
        <f t="shared" ca="1" si="294"/>
        <v>0</v>
      </c>
    </row>
    <row r="6218" spans="1:5" x14ac:dyDescent="0.25">
      <c r="A6218" s="3">
        <f t="shared" si="292"/>
        <v>78989</v>
      </c>
      <c r="B6218" t="str">
        <f ca="1">TEXT(DATE(YEAR(Invoer!$A$5),1,1)+INT((ROWS(B$2:B6218)-1)/24),"""18""jjmmdd")</f>
        <v>18980917</v>
      </c>
      <c r="C6218" s="11" t="str">
        <f>INDEX(Data,2,2+MOD(ROWS(C$2:C6218)-1,24))</f>
        <v>01.00</v>
      </c>
      <c r="D6218" s="8">
        <f t="shared" ca="1" si="293"/>
        <v>11</v>
      </c>
      <c r="E6218" s="16">
        <f t="shared" ca="1" si="294"/>
        <v>0</v>
      </c>
    </row>
    <row r="6219" spans="1:5" x14ac:dyDescent="0.25">
      <c r="A6219" s="3">
        <f t="shared" si="292"/>
        <v>78989</v>
      </c>
      <c r="B6219" t="str">
        <f ca="1">TEXT(DATE(YEAR(Invoer!$A$5),1,1)+INT((ROWS(B$2:B6219)-1)/24),"""18""jjmmdd")</f>
        <v>18980917</v>
      </c>
      <c r="C6219" s="11" t="str">
        <f>INDEX(Data,2,2+MOD(ROWS(C$2:C6219)-1,24))</f>
        <v>02.00</v>
      </c>
      <c r="D6219" s="8">
        <f t="shared" ca="1" si="293"/>
        <v>10</v>
      </c>
      <c r="E6219" s="16">
        <f t="shared" ca="1" si="294"/>
        <v>0</v>
      </c>
    </row>
    <row r="6220" spans="1:5" x14ac:dyDescent="0.25">
      <c r="A6220" s="3">
        <f t="shared" si="292"/>
        <v>78989</v>
      </c>
      <c r="B6220" t="str">
        <f ca="1">TEXT(DATE(YEAR(Invoer!$A$5),1,1)+INT((ROWS(B$2:B6220)-1)/24),"""18""jjmmdd")</f>
        <v>18980917</v>
      </c>
      <c r="C6220" s="11" t="str">
        <f>INDEX(Data,2,2+MOD(ROWS(C$2:C6220)-1,24))</f>
        <v>03.00</v>
      </c>
      <c r="D6220" s="8">
        <f t="shared" ca="1" si="293"/>
        <v>10</v>
      </c>
      <c r="E6220" s="16">
        <f t="shared" ca="1" si="294"/>
        <v>0</v>
      </c>
    </row>
    <row r="6221" spans="1:5" x14ac:dyDescent="0.25">
      <c r="A6221" s="3">
        <f t="shared" si="292"/>
        <v>78989</v>
      </c>
      <c r="B6221" t="str">
        <f ca="1">TEXT(DATE(YEAR(Invoer!$A$5),1,1)+INT((ROWS(B$2:B6221)-1)/24),"""18""jjmmdd")</f>
        <v>18980917</v>
      </c>
      <c r="C6221" s="11" t="str">
        <f>INDEX(Data,2,2+MOD(ROWS(C$2:C6221)-1,24))</f>
        <v>04.00</v>
      </c>
      <c r="D6221" s="8">
        <f t="shared" ca="1" si="293"/>
        <v>10</v>
      </c>
      <c r="E6221" s="16">
        <f t="shared" ca="1" si="294"/>
        <v>0</v>
      </c>
    </row>
    <row r="6222" spans="1:5" x14ac:dyDescent="0.25">
      <c r="A6222" s="3">
        <f t="shared" si="292"/>
        <v>78989</v>
      </c>
      <c r="B6222" t="str">
        <f ca="1">TEXT(DATE(YEAR(Invoer!$A$5),1,1)+INT((ROWS(B$2:B6222)-1)/24),"""18""jjmmdd")</f>
        <v>18980917</v>
      </c>
      <c r="C6222" s="11" t="str">
        <f>INDEX(Data,2,2+MOD(ROWS(C$2:C6222)-1,24))</f>
        <v>05.00</v>
      </c>
      <c r="D6222" s="8">
        <f t="shared" ca="1" si="293"/>
        <v>10</v>
      </c>
      <c r="E6222" s="16">
        <f t="shared" ca="1" si="294"/>
        <v>0</v>
      </c>
    </row>
    <row r="6223" spans="1:5" x14ac:dyDescent="0.25">
      <c r="A6223" s="3">
        <f t="shared" si="292"/>
        <v>78989</v>
      </c>
      <c r="B6223" t="str">
        <f ca="1">TEXT(DATE(YEAR(Invoer!$A$5),1,1)+INT((ROWS(B$2:B6223)-1)/24),"""18""jjmmdd")</f>
        <v>18980917</v>
      </c>
      <c r="C6223" s="11" t="str">
        <f>INDEX(Data,2,2+MOD(ROWS(C$2:C6223)-1,24))</f>
        <v>06.00</v>
      </c>
      <c r="D6223" s="8">
        <f t="shared" ca="1" si="293"/>
        <v>8</v>
      </c>
      <c r="E6223" s="16">
        <f t="shared" ca="1" si="294"/>
        <v>0</v>
      </c>
    </row>
    <row r="6224" spans="1:5" x14ac:dyDescent="0.25">
      <c r="A6224" s="3">
        <f t="shared" si="292"/>
        <v>78989</v>
      </c>
      <c r="B6224" t="str">
        <f ca="1">TEXT(DATE(YEAR(Invoer!$A$5),1,1)+INT((ROWS(B$2:B6224)-1)/24),"""18""jjmmdd")</f>
        <v>18980917</v>
      </c>
      <c r="C6224" s="11" t="str">
        <f>INDEX(Data,2,2+MOD(ROWS(C$2:C6224)-1,24))</f>
        <v>07.00</v>
      </c>
      <c r="D6224" s="8">
        <f t="shared" ca="1" si="293"/>
        <v>9</v>
      </c>
      <c r="E6224" s="16">
        <f t="shared" ca="1" si="294"/>
        <v>0</v>
      </c>
    </row>
    <row r="6225" spans="1:5" x14ac:dyDescent="0.25">
      <c r="A6225" s="3">
        <f t="shared" si="292"/>
        <v>78989</v>
      </c>
      <c r="B6225" t="str">
        <f ca="1">TEXT(DATE(YEAR(Invoer!$A$5),1,1)+INT((ROWS(B$2:B6225)-1)/24),"""18""jjmmdd")</f>
        <v>18980917</v>
      </c>
      <c r="C6225" s="11" t="str">
        <f>INDEX(Data,2,2+MOD(ROWS(C$2:C6225)-1,24))</f>
        <v>08.00</v>
      </c>
      <c r="D6225" s="8">
        <f t="shared" ca="1" si="293"/>
        <v>12</v>
      </c>
      <c r="E6225" s="16">
        <f t="shared" ca="1" si="294"/>
        <v>0</v>
      </c>
    </row>
    <row r="6226" spans="1:5" x14ac:dyDescent="0.25">
      <c r="A6226" s="3">
        <f t="shared" si="292"/>
        <v>78989</v>
      </c>
      <c r="B6226" t="str">
        <f ca="1">TEXT(DATE(YEAR(Invoer!$A$5),1,1)+INT((ROWS(B$2:B6226)-1)/24),"""18""jjmmdd")</f>
        <v>18980917</v>
      </c>
      <c r="C6226" s="11" t="str">
        <f>INDEX(Data,2,2+MOD(ROWS(C$2:C6226)-1,24))</f>
        <v>09.00</v>
      </c>
      <c r="D6226" s="8">
        <f t="shared" ca="1" si="293"/>
        <v>11</v>
      </c>
      <c r="E6226" s="16">
        <f t="shared" ca="1" si="294"/>
        <v>0</v>
      </c>
    </row>
    <row r="6227" spans="1:5" x14ac:dyDescent="0.25">
      <c r="A6227" s="3">
        <f t="shared" si="292"/>
        <v>78989</v>
      </c>
      <c r="B6227" t="str">
        <f ca="1">TEXT(DATE(YEAR(Invoer!$A$5),1,1)+INT((ROWS(B$2:B6227)-1)/24),"""18""jjmmdd")</f>
        <v>18980917</v>
      </c>
      <c r="C6227" s="11" t="str">
        <f>INDEX(Data,2,2+MOD(ROWS(C$2:C6227)-1,24))</f>
        <v>10.00</v>
      </c>
      <c r="D6227" s="8">
        <f t="shared" ca="1" si="293"/>
        <v>13</v>
      </c>
      <c r="E6227" s="16">
        <f t="shared" ca="1" si="294"/>
        <v>0</v>
      </c>
    </row>
    <row r="6228" spans="1:5" x14ac:dyDescent="0.25">
      <c r="A6228" s="3">
        <f t="shared" si="292"/>
        <v>78989</v>
      </c>
      <c r="B6228" t="str">
        <f ca="1">TEXT(DATE(YEAR(Invoer!$A$5),1,1)+INT((ROWS(B$2:B6228)-1)/24),"""18""jjmmdd")</f>
        <v>18980917</v>
      </c>
      <c r="C6228" s="11" t="str">
        <f>INDEX(Data,2,2+MOD(ROWS(C$2:C6228)-1,24))</f>
        <v>11.00</v>
      </c>
      <c r="D6228" s="8">
        <f t="shared" ca="1" si="293"/>
        <v>13</v>
      </c>
      <c r="E6228" s="16">
        <f t="shared" ca="1" si="294"/>
        <v>0</v>
      </c>
    </row>
    <row r="6229" spans="1:5" x14ac:dyDescent="0.25">
      <c r="A6229" s="3">
        <f t="shared" si="292"/>
        <v>78989</v>
      </c>
      <c r="B6229" t="str">
        <f ca="1">TEXT(DATE(YEAR(Invoer!$A$5),1,1)+INT((ROWS(B$2:B6229)-1)/24),"""18""jjmmdd")</f>
        <v>18980917</v>
      </c>
      <c r="C6229" s="11" t="str">
        <f>INDEX(Data,2,2+MOD(ROWS(C$2:C6229)-1,24))</f>
        <v>12.00</v>
      </c>
      <c r="D6229" s="8">
        <f t="shared" ca="1" si="293"/>
        <v>15</v>
      </c>
      <c r="E6229" s="16">
        <f t="shared" ca="1" si="294"/>
        <v>0</v>
      </c>
    </row>
    <row r="6230" spans="1:5" x14ac:dyDescent="0.25">
      <c r="A6230" s="3">
        <f t="shared" si="292"/>
        <v>78989</v>
      </c>
      <c r="B6230" t="str">
        <f ca="1">TEXT(DATE(YEAR(Invoer!$A$5),1,1)+INT((ROWS(B$2:B6230)-1)/24),"""18""jjmmdd")</f>
        <v>18980917</v>
      </c>
      <c r="C6230" s="11" t="str">
        <f>INDEX(Data,2,2+MOD(ROWS(C$2:C6230)-1,24))</f>
        <v>13.00</v>
      </c>
      <c r="D6230" s="8">
        <f t="shared" ca="1" si="293"/>
        <v>13</v>
      </c>
      <c r="E6230" s="16">
        <f t="shared" ca="1" si="294"/>
        <v>0</v>
      </c>
    </row>
    <row r="6231" spans="1:5" x14ac:dyDescent="0.25">
      <c r="A6231" s="3">
        <f t="shared" si="292"/>
        <v>78989</v>
      </c>
      <c r="B6231" t="str">
        <f ca="1">TEXT(DATE(YEAR(Invoer!$A$5),1,1)+INT((ROWS(B$2:B6231)-1)/24),"""18""jjmmdd")</f>
        <v>18980917</v>
      </c>
      <c r="C6231" s="11" t="str">
        <f>INDEX(Data,2,2+MOD(ROWS(C$2:C6231)-1,24))</f>
        <v>14.00</v>
      </c>
      <c r="D6231" s="8">
        <f t="shared" ca="1" si="293"/>
        <v>17</v>
      </c>
      <c r="E6231" s="16">
        <f t="shared" ca="1" si="294"/>
        <v>0</v>
      </c>
    </row>
    <row r="6232" spans="1:5" x14ac:dyDescent="0.25">
      <c r="A6232" s="3">
        <f t="shared" si="292"/>
        <v>78989</v>
      </c>
      <c r="B6232" t="str">
        <f ca="1">TEXT(DATE(YEAR(Invoer!$A$5),1,1)+INT((ROWS(B$2:B6232)-1)/24),"""18""jjmmdd")</f>
        <v>18980917</v>
      </c>
      <c r="C6232" s="11" t="str">
        <f>INDEX(Data,2,2+MOD(ROWS(C$2:C6232)-1,24))</f>
        <v>15.00</v>
      </c>
      <c r="D6232" s="8">
        <f t="shared" ca="1" si="293"/>
        <v>16</v>
      </c>
      <c r="E6232" s="16">
        <f t="shared" ca="1" si="294"/>
        <v>0</v>
      </c>
    </row>
    <row r="6233" spans="1:5" x14ac:dyDescent="0.25">
      <c r="A6233" s="3">
        <f t="shared" si="292"/>
        <v>78989</v>
      </c>
      <c r="B6233" t="str">
        <f ca="1">TEXT(DATE(YEAR(Invoer!$A$5),1,1)+INT((ROWS(B$2:B6233)-1)/24),"""18""jjmmdd")</f>
        <v>18980917</v>
      </c>
      <c r="C6233" s="11" t="str">
        <f>INDEX(Data,2,2+MOD(ROWS(C$2:C6233)-1,24))</f>
        <v>16.00</v>
      </c>
      <c r="D6233" s="8">
        <f t="shared" ca="1" si="293"/>
        <v>16</v>
      </c>
      <c r="E6233" s="16">
        <f t="shared" ca="1" si="294"/>
        <v>0</v>
      </c>
    </row>
    <row r="6234" spans="1:5" x14ac:dyDescent="0.25">
      <c r="A6234" s="3">
        <f t="shared" si="292"/>
        <v>78989</v>
      </c>
      <c r="B6234" t="str">
        <f ca="1">TEXT(DATE(YEAR(Invoer!$A$5),1,1)+INT((ROWS(B$2:B6234)-1)/24),"""18""jjmmdd")</f>
        <v>18980917</v>
      </c>
      <c r="C6234" s="11" t="str">
        <f>INDEX(Data,2,2+MOD(ROWS(C$2:C6234)-1,24))</f>
        <v>17.00</v>
      </c>
      <c r="D6234" s="8">
        <f t="shared" ca="1" si="293"/>
        <v>19</v>
      </c>
      <c r="E6234" s="16">
        <f t="shared" ca="1" si="294"/>
        <v>0</v>
      </c>
    </row>
    <row r="6235" spans="1:5" x14ac:dyDescent="0.25">
      <c r="A6235" s="3">
        <f t="shared" si="292"/>
        <v>78989</v>
      </c>
      <c r="B6235" t="str">
        <f ca="1">TEXT(DATE(YEAR(Invoer!$A$5),1,1)+INT((ROWS(B$2:B6235)-1)/24),"""18""jjmmdd")</f>
        <v>18980917</v>
      </c>
      <c r="C6235" s="11" t="str">
        <f>INDEX(Data,2,2+MOD(ROWS(C$2:C6235)-1,24))</f>
        <v>18.00</v>
      </c>
      <c r="D6235" s="8">
        <f t="shared" ca="1" si="293"/>
        <v>16</v>
      </c>
      <c r="E6235" s="16">
        <f t="shared" ca="1" si="294"/>
        <v>0</v>
      </c>
    </row>
    <row r="6236" spans="1:5" x14ac:dyDescent="0.25">
      <c r="A6236" s="3">
        <f t="shared" si="292"/>
        <v>78989</v>
      </c>
      <c r="B6236" t="str">
        <f ca="1">TEXT(DATE(YEAR(Invoer!$A$5),1,1)+INT((ROWS(B$2:B6236)-1)/24),"""18""jjmmdd")</f>
        <v>18980917</v>
      </c>
      <c r="C6236" s="11" t="str">
        <f>INDEX(Data,2,2+MOD(ROWS(C$2:C6236)-1,24))</f>
        <v>19.00</v>
      </c>
      <c r="D6236" s="8">
        <f t="shared" ca="1" si="293"/>
        <v>15</v>
      </c>
      <c r="E6236" s="16">
        <f t="shared" ca="1" si="294"/>
        <v>0</v>
      </c>
    </row>
    <row r="6237" spans="1:5" x14ac:dyDescent="0.25">
      <c r="A6237" s="3">
        <f t="shared" si="292"/>
        <v>78989</v>
      </c>
      <c r="B6237" t="str">
        <f ca="1">TEXT(DATE(YEAR(Invoer!$A$5),1,1)+INT((ROWS(B$2:B6237)-1)/24),"""18""jjmmdd")</f>
        <v>18980917</v>
      </c>
      <c r="C6237" s="11" t="str">
        <f>INDEX(Data,2,2+MOD(ROWS(C$2:C6237)-1,24))</f>
        <v>20.00</v>
      </c>
      <c r="D6237" s="8">
        <f t="shared" ca="1" si="293"/>
        <v>14</v>
      </c>
      <c r="E6237" s="16">
        <f t="shared" ca="1" si="294"/>
        <v>0</v>
      </c>
    </row>
    <row r="6238" spans="1:5" x14ac:dyDescent="0.25">
      <c r="A6238" s="3">
        <f t="shared" si="292"/>
        <v>78989</v>
      </c>
      <c r="B6238" t="str">
        <f ca="1">TEXT(DATE(YEAR(Invoer!$A$5),1,1)+INT((ROWS(B$2:B6238)-1)/24),"""18""jjmmdd")</f>
        <v>18980917</v>
      </c>
      <c r="C6238" s="11" t="str">
        <f>INDEX(Data,2,2+MOD(ROWS(C$2:C6238)-1,24))</f>
        <v>21.00</v>
      </c>
      <c r="D6238" s="8">
        <f t="shared" ca="1" si="293"/>
        <v>12</v>
      </c>
      <c r="E6238" s="16">
        <f t="shared" ca="1" si="294"/>
        <v>0</v>
      </c>
    </row>
    <row r="6239" spans="1:5" x14ac:dyDescent="0.25">
      <c r="A6239" s="3">
        <f t="shared" si="292"/>
        <v>78989</v>
      </c>
      <c r="B6239" t="str">
        <f ca="1">TEXT(DATE(YEAR(Invoer!$A$5),1,1)+INT((ROWS(B$2:B6239)-1)/24),"""18""jjmmdd")</f>
        <v>18980917</v>
      </c>
      <c r="C6239" s="11" t="str">
        <f>INDEX(Data,2,2+MOD(ROWS(C$2:C6239)-1,24))</f>
        <v>22.00</v>
      </c>
      <c r="D6239" s="8">
        <f t="shared" ca="1" si="293"/>
        <v>12</v>
      </c>
      <c r="E6239" s="16">
        <f t="shared" ca="1" si="294"/>
        <v>0</v>
      </c>
    </row>
    <row r="6240" spans="1:5" x14ac:dyDescent="0.25">
      <c r="A6240" s="3">
        <f t="shared" si="292"/>
        <v>78989</v>
      </c>
      <c r="B6240" t="str">
        <f ca="1">TEXT(DATE(YEAR(Invoer!$A$5),1,1)+INT((ROWS(B$2:B6240)-1)/24),"""18""jjmmdd")</f>
        <v>18980917</v>
      </c>
      <c r="C6240" s="11" t="str">
        <f>INDEX(Data,2,2+MOD(ROWS(C$2:C6240)-1,24))</f>
        <v>23.00</v>
      </c>
      <c r="D6240" s="8">
        <f t="shared" ca="1" si="293"/>
        <v>11</v>
      </c>
      <c r="E6240" s="16">
        <f t="shared" ca="1" si="294"/>
        <v>0</v>
      </c>
    </row>
    <row r="6241" spans="1:5" x14ac:dyDescent="0.25">
      <c r="A6241" s="3">
        <f t="shared" si="292"/>
        <v>78989</v>
      </c>
      <c r="B6241" t="str">
        <f ca="1">TEXT(DATE(YEAR(Invoer!$A$5),1,1)+INT((ROWS(B$2:B6241)-1)/24),"""18""jjmmdd")</f>
        <v>18980917</v>
      </c>
      <c r="C6241" s="11" t="str">
        <f>INDEX(Data,2,2+MOD(ROWS(C$2:C6241)-1,24))</f>
        <v>24.00</v>
      </c>
      <c r="D6241" s="8">
        <f t="shared" ca="1" si="293"/>
        <v>12</v>
      </c>
      <c r="E6241" s="16">
        <f t="shared" ca="1" si="294"/>
        <v>0</v>
      </c>
    </row>
    <row r="6242" spans="1:5" x14ac:dyDescent="0.25">
      <c r="A6242" s="3">
        <f t="shared" si="292"/>
        <v>78989</v>
      </c>
      <c r="B6242" t="str">
        <f ca="1">TEXT(DATE(YEAR(Invoer!$A$5),1,1)+INT((ROWS(B$2:B6242)-1)/24),"""18""jjmmdd")</f>
        <v>18980918</v>
      </c>
      <c r="C6242" s="11" t="str">
        <f>INDEX(Data,2,2+MOD(ROWS(C$2:C6242)-1,24))</f>
        <v>01.00</v>
      </c>
      <c r="D6242" s="8">
        <f t="shared" ca="1" si="293"/>
        <v>12</v>
      </c>
      <c r="E6242" s="16">
        <f t="shared" ca="1" si="294"/>
        <v>0</v>
      </c>
    </row>
    <row r="6243" spans="1:5" x14ac:dyDescent="0.25">
      <c r="A6243" s="3">
        <f t="shared" si="292"/>
        <v>78989</v>
      </c>
      <c r="B6243" t="str">
        <f ca="1">TEXT(DATE(YEAR(Invoer!$A$5),1,1)+INT((ROWS(B$2:B6243)-1)/24),"""18""jjmmdd")</f>
        <v>18980918</v>
      </c>
      <c r="C6243" s="11" t="str">
        <f>INDEX(Data,2,2+MOD(ROWS(C$2:C6243)-1,24))</f>
        <v>02.00</v>
      </c>
      <c r="D6243" s="8">
        <f t="shared" ca="1" si="293"/>
        <v>11</v>
      </c>
      <c r="E6243" s="16">
        <f t="shared" ca="1" si="294"/>
        <v>0</v>
      </c>
    </row>
    <row r="6244" spans="1:5" x14ac:dyDescent="0.25">
      <c r="A6244" s="3">
        <f t="shared" si="292"/>
        <v>78989</v>
      </c>
      <c r="B6244" t="str">
        <f ca="1">TEXT(DATE(YEAR(Invoer!$A$5),1,1)+INT((ROWS(B$2:B6244)-1)/24),"""18""jjmmdd")</f>
        <v>18980918</v>
      </c>
      <c r="C6244" s="11" t="str">
        <f>INDEX(Data,2,2+MOD(ROWS(C$2:C6244)-1,24))</f>
        <v>03.00</v>
      </c>
      <c r="D6244" s="8">
        <f t="shared" ca="1" si="293"/>
        <v>10</v>
      </c>
      <c r="E6244" s="16">
        <f t="shared" ca="1" si="294"/>
        <v>0</v>
      </c>
    </row>
    <row r="6245" spans="1:5" x14ac:dyDescent="0.25">
      <c r="A6245" s="3">
        <f t="shared" si="292"/>
        <v>78989</v>
      </c>
      <c r="B6245" t="str">
        <f ca="1">TEXT(DATE(YEAR(Invoer!$A$5),1,1)+INT((ROWS(B$2:B6245)-1)/24),"""18""jjmmdd")</f>
        <v>18980918</v>
      </c>
      <c r="C6245" s="11" t="str">
        <f>INDEX(Data,2,2+MOD(ROWS(C$2:C6245)-1,24))</f>
        <v>04.00</v>
      </c>
      <c r="D6245" s="8">
        <f t="shared" ca="1" si="293"/>
        <v>10</v>
      </c>
      <c r="E6245" s="16">
        <f t="shared" ca="1" si="294"/>
        <v>0</v>
      </c>
    </row>
    <row r="6246" spans="1:5" x14ac:dyDescent="0.25">
      <c r="A6246" s="3">
        <f t="shared" si="292"/>
        <v>78989</v>
      </c>
      <c r="B6246" t="str">
        <f ca="1">TEXT(DATE(YEAR(Invoer!$A$5),1,1)+INT((ROWS(B$2:B6246)-1)/24),"""18""jjmmdd")</f>
        <v>18980918</v>
      </c>
      <c r="C6246" s="11" t="str">
        <f>INDEX(Data,2,2+MOD(ROWS(C$2:C6246)-1,24))</f>
        <v>05.00</v>
      </c>
      <c r="D6246" s="8">
        <f t="shared" ca="1" si="293"/>
        <v>9</v>
      </c>
      <c r="E6246" s="16">
        <f t="shared" ca="1" si="294"/>
        <v>0</v>
      </c>
    </row>
    <row r="6247" spans="1:5" x14ac:dyDescent="0.25">
      <c r="A6247" s="3">
        <f t="shared" si="292"/>
        <v>78989</v>
      </c>
      <c r="B6247" t="str">
        <f ca="1">TEXT(DATE(YEAR(Invoer!$A$5),1,1)+INT((ROWS(B$2:B6247)-1)/24),"""18""jjmmdd")</f>
        <v>18980918</v>
      </c>
      <c r="C6247" s="11" t="str">
        <f>INDEX(Data,2,2+MOD(ROWS(C$2:C6247)-1,24))</f>
        <v>06.00</v>
      </c>
      <c r="D6247" s="8">
        <f t="shared" ca="1" si="293"/>
        <v>9</v>
      </c>
      <c r="E6247" s="16">
        <f t="shared" ca="1" si="294"/>
        <v>0</v>
      </c>
    </row>
    <row r="6248" spans="1:5" x14ac:dyDescent="0.25">
      <c r="A6248" s="3">
        <f t="shared" si="292"/>
        <v>78989</v>
      </c>
      <c r="B6248" t="str">
        <f ca="1">TEXT(DATE(YEAR(Invoer!$A$5),1,1)+INT((ROWS(B$2:B6248)-1)/24),"""18""jjmmdd")</f>
        <v>18980918</v>
      </c>
      <c r="C6248" s="11" t="str">
        <f>INDEX(Data,2,2+MOD(ROWS(C$2:C6248)-1,24))</f>
        <v>07.00</v>
      </c>
      <c r="D6248" s="8">
        <f t="shared" ca="1" si="293"/>
        <v>10</v>
      </c>
      <c r="E6248" s="16">
        <f t="shared" ca="1" si="294"/>
        <v>0</v>
      </c>
    </row>
    <row r="6249" spans="1:5" x14ac:dyDescent="0.25">
      <c r="A6249" s="3">
        <f t="shared" si="292"/>
        <v>78989</v>
      </c>
      <c r="B6249" t="str">
        <f ca="1">TEXT(DATE(YEAR(Invoer!$A$5),1,1)+INT((ROWS(B$2:B6249)-1)/24),"""18""jjmmdd")</f>
        <v>18980918</v>
      </c>
      <c r="C6249" s="11" t="str">
        <f>INDEX(Data,2,2+MOD(ROWS(C$2:C6249)-1,24))</f>
        <v>08.00</v>
      </c>
      <c r="D6249" s="8">
        <f t="shared" ca="1" si="293"/>
        <v>12</v>
      </c>
      <c r="E6249" s="16">
        <f t="shared" ca="1" si="294"/>
        <v>0</v>
      </c>
    </row>
    <row r="6250" spans="1:5" x14ac:dyDescent="0.25">
      <c r="A6250" s="3">
        <f t="shared" si="292"/>
        <v>78989</v>
      </c>
      <c r="B6250" t="str">
        <f ca="1">TEXT(DATE(YEAR(Invoer!$A$5),1,1)+INT((ROWS(B$2:B6250)-1)/24),"""18""jjmmdd")</f>
        <v>18980918</v>
      </c>
      <c r="C6250" s="11" t="str">
        <f>INDEX(Data,2,2+MOD(ROWS(C$2:C6250)-1,24))</f>
        <v>09.00</v>
      </c>
      <c r="D6250" s="8">
        <f t="shared" ca="1" si="293"/>
        <v>12</v>
      </c>
      <c r="E6250" s="16">
        <f t="shared" ca="1" si="294"/>
        <v>0</v>
      </c>
    </row>
    <row r="6251" spans="1:5" x14ac:dyDescent="0.25">
      <c r="A6251" s="3">
        <f t="shared" si="292"/>
        <v>78989</v>
      </c>
      <c r="B6251" t="str">
        <f ca="1">TEXT(DATE(YEAR(Invoer!$A$5),1,1)+INT((ROWS(B$2:B6251)-1)/24),"""18""jjmmdd")</f>
        <v>18980918</v>
      </c>
      <c r="C6251" s="11" t="str">
        <f>INDEX(Data,2,2+MOD(ROWS(C$2:C6251)-1,24))</f>
        <v>10.00</v>
      </c>
      <c r="D6251" s="8">
        <f t="shared" ca="1" si="293"/>
        <v>13</v>
      </c>
      <c r="E6251" s="16">
        <f t="shared" ca="1" si="294"/>
        <v>0</v>
      </c>
    </row>
    <row r="6252" spans="1:5" x14ac:dyDescent="0.25">
      <c r="A6252" s="3">
        <f t="shared" si="292"/>
        <v>78989</v>
      </c>
      <c r="B6252" t="str">
        <f ca="1">TEXT(DATE(YEAR(Invoer!$A$5),1,1)+INT((ROWS(B$2:B6252)-1)/24),"""18""jjmmdd")</f>
        <v>18980918</v>
      </c>
      <c r="C6252" s="11" t="str">
        <f>INDEX(Data,2,2+MOD(ROWS(C$2:C6252)-1,24))</f>
        <v>11.00</v>
      </c>
      <c r="D6252" s="8">
        <f t="shared" ca="1" si="293"/>
        <v>14</v>
      </c>
      <c r="E6252" s="16">
        <f t="shared" ca="1" si="294"/>
        <v>0</v>
      </c>
    </row>
    <row r="6253" spans="1:5" x14ac:dyDescent="0.25">
      <c r="A6253" s="3">
        <f t="shared" si="292"/>
        <v>78989</v>
      </c>
      <c r="B6253" t="str">
        <f ca="1">TEXT(DATE(YEAR(Invoer!$A$5),1,1)+INT((ROWS(B$2:B6253)-1)/24),"""18""jjmmdd")</f>
        <v>18980918</v>
      </c>
      <c r="C6253" s="11" t="str">
        <f>INDEX(Data,2,2+MOD(ROWS(C$2:C6253)-1,24))</f>
        <v>12.00</v>
      </c>
      <c r="D6253" s="8">
        <f t="shared" ca="1" si="293"/>
        <v>13</v>
      </c>
      <c r="E6253" s="16">
        <f t="shared" ca="1" si="294"/>
        <v>0</v>
      </c>
    </row>
    <row r="6254" spans="1:5" x14ac:dyDescent="0.25">
      <c r="A6254" s="3">
        <f t="shared" si="292"/>
        <v>78989</v>
      </c>
      <c r="B6254" t="str">
        <f ca="1">TEXT(DATE(YEAR(Invoer!$A$5),1,1)+INT((ROWS(B$2:B6254)-1)/24),"""18""jjmmdd")</f>
        <v>18980918</v>
      </c>
      <c r="C6254" s="11" t="str">
        <f>INDEX(Data,2,2+MOD(ROWS(C$2:C6254)-1,24))</f>
        <v>13.00</v>
      </c>
      <c r="D6254" s="8">
        <f t="shared" ca="1" si="293"/>
        <v>14</v>
      </c>
      <c r="E6254" s="16">
        <f t="shared" ca="1" si="294"/>
        <v>0</v>
      </c>
    </row>
    <row r="6255" spans="1:5" x14ac:dyDescent="0.25">
      <c r="A6255" s="3">
        <f t="shared" si="292"/>
        <v>78989</v>
      </c>
      <c r="B6255" t="str">
        <f ca="1">TEXT(DATE(YEAR(Invoer!$A$5),1,1)+INT((ROWS(B$2:B6255)-1)/24),"""18""jjmmdd")</f>
        <v>18980918</v>
      </c>
      <c r="C6255" s="11" t="str">
        <f>INDEX(Data,2,2+MOD(ROWS(C$2:C6255)-1,24))</f>
        <v>14.00</v>
      </c>
      <c r="D6255" s="8">
        <f t="shared" ca="1" si="293"/>
        <v>12</v>
      </c>
      <c r="E6255" s="16">
        <f t="shared" ca="1" si="294"/>
        <v>0</v>
      </c>
    </row>
    <row r="6256" spans="1:5" x14ac:dyDescent="0.25">
      <c r="A6256" s="3">
        <f t="shared" si="292"/>
        <v>78989</v>
      </c>
      <c r="B6256" t="str">
        <f ca="1">TEXT(DATE(YEAR(Invoer!$A$5),1,1)+INT((ROWS(B$2:B6256)-1)/24),"""18""jjmmdd")</f>
        <v>18980918</v>
      </c>
      <c r="C6256" s="11" t="str">
        <f>INDEX(Data,2,2+MOD(ROWS(C$2:C6256)-1,24))</f>
        <v>15.00</v>
      </c>
      <c r="D6256" s="8">
        <f t="shared" ca="1" si="293"/>
        <v>15</v>
      </c>
      <c r="E6256" s="16">
        <f t="shared" ca="1" si="294"/>
        <v>0</v>
      </c>
    </row>
    <row r="6257" spans="1:5" x14ac:dyDescent="0.25">
      <c r="A6257" s="3">
        <f t="shared" si="292"/>
        <v>78989</v>
      </c>
      <c r="B6257" t="str">
        <f ca="1">TEXT(DATE(YEAR(Invoer!$A$5),1,1)+INT((ROWS(B$2:B6257)-1)/24),"""18""jjmmdd")</f>
        <v>18980918</v>
      </c>
      <c r="C6257" s="11" t="str">
        <f>INDEX(Data,2,2+MOD(ROWS(C$2:C6257)-1,24))</f>
        <v>16.00</v>
      </c>
      <c r="D6257" s="8">
        <f t="shared" ca="1" si="293"/>
        <v>16</v>
      </c>
      <c r="E6257" s="16">
        <f t="shared" ca="1" si="294"/>
        <v>0</v>
      </c>
    </row>
    <row r="6258" spans="1:5" x14ac:dyDescent="0.25">
      <c r="A6258" s="3">
        <f t="shared" si="292"/>
        <v>78989</v>
      </c>
      <c r="B6258" t="str">
        <f ca="1">TEXT(DATE(YEAR(Invoer!$A$5),1,1)+INT((ROWS(B$2:B6258)-1)/24),"""18""jjmmdd")</f>
        <v>18980918</v>
      </c>
      <c r="C6258" s="11" t="str">
        <f>INDEX(Data,2,2+MOD(ROWS(C$2:C6258)-1,24))</f>
        <v>17.00</v>
      </c>
      <c r="D6258" s="8">
        <f t="shared" ca="1" si="293"/>
        <v>15</v>
      </c>
      <c r="E6258" s="16">
        <f t="shared" ca="1" si="294"/>
        <v>0</v>
      </c>
    </row>
    <row r="6259" spans="1:5" x14ac:dyDescent="0.25">
      <c r="A6259" s="3">
        <f t="shared" si="292"/>
        <v>78989</v>
      </c>
      <c r="B6259" t="str">
        <f ca="1">TEXT(DATE(YEAR(Invoer!$A$5),1,1)+INT((ROWS(B$2:B6259)-1)/24),"""18""jjmmdd")</f>
        <v>18980918</v>
      </c>
      <c r="C6259" s="11" t="str">
        <f>INDEX(Data,2,2+MOD(ROWS(C$2:C6259)-1,24))</f>
        <v>18.00</v>
      </c>
      <c r="D6259" s="8">
        <f t="shared" ca="1" si="293"/>
        <v>14</v>
      </c>
      <c r="E6259" s="16">
        <f t="shared" ca="1" si="294"/>
        <v>0</v>
      </c>
    </row>
    <row r="6260" spans="1:5" x14ac:dyDescent="0.25">
      <c r="A6260" s="3">
        <f t="shared" si="292"/>
        <v>78989</v>
      </c>
      <c r="B6260" t="str">
        <f ca="1">TEXT(DATE(YEAR(Invoer!$A$5),1,1)+INT((ROWS(B$2:B6260)-1)/24),"""18""jjmmdd")</f>
        <v>18980918</v>
      </c>
      <c r="C6260" s="11" t="str">
        <f>INDEX(Data,2,2+MOD(ROWS(C$2:C6260)-1,24))</f>
        <v>19.00</v>
      </c>
      <c r="D6260" s="8">
        <f t="shared" ca="1" si="293"/>
        <v>14</v>
      </c>
      <c r="E6260" s="16">
        <f t="shared" ca="1" si="294"/>
        <v>0</v>
      </c>
    </row>
    <row r="6261" spans="1:5" x14ac:dyDescent="0.25">
      <c r="A6261" s="3">
        <f t="shared" si="292"/>
        <v>78989</v>
      </c>
      <c r="B6261" t="str">
        <f ca="1">TEXT(DATE(YEAR(Invoer!$A$5),1,1)+INT((ROWS(B$2:B6261)-1)/24),"""18""jjmmdd")</f>
        <v>18980918</v>
      </c>
      <c r="C6261" s="11" t="str">
        <f>INDEX(Data,2,2+MOD(ROWS(C$2:C6261)-1,24))</f>
        <v>20.00</v>
      </c>
      <c r="D6261" s="8">
        <f t="shared" ca="1" si="293"/>
        <v>13</v>
      </c>
      <c r="E6261" s="16">
        <f t="shared" ca="1" si="294"/>
        <v>0</v>
      </c>
    </row>
    <row r="6262" spans="1:5" x14ac:dyDescent="0.25">
      <c r="A6262" s="3">
        <f t="shared" si="292"/>
        <v>78989</v>
      </c>
      <c r="B6262" t="str">
        <f ca="1">TEXT(DATE(YEAR(Invoer!$A$5),1,1)+INT((ROWS(B$2:B6262)-1)/24),"""18""jjmmdd")</f>
        <v>18980918</v>
      </c>
      <c r="C6262" s="11" t="str">
        <f>INDEX(Data,2,2+MOD(ROWS(C$2:C6262)-1,24))</f>
        <v>21.00</v>
      </c>
      <c r="D6262" s="8">
        <f t="shared" ca="1" si="293"/>
        <v>12</v>
      </c>
      <c r="E6262" s="16">
        <f t="shared" ca="1" si="294"/>
        <v>0</v>
      </c>
    </row>
    <row r="6263" spans="1:5" x14ac:dyDescent="0.25">
      <c r="A6263" s="3">
        <f t="shared" si="292"/>
        <v>78989</v>
      </c>
      <c r="B6263" t="str">
        <f ca="1">TEXT(DATE(YEAR(Invoer!$A$5),1,1)+INT((ROWS(B$2:B6263)-1)/24),"""18""jjmmdd")</f>
        <v>18980918</v>
      </c>
      <c r="C6263" s="11" t="str">
        <f>INDEX(Data,2,2+MOD(ROWS(C$2:C6263)-1,24))</f>
        <v>22.00</v>
      </c>
      <c r="D6263" s="8">
        <f t="shared" ca="1" si="293"/>
        <v>14</v>
      </c>
      <c r="E6263" s="16">
        <f t="shared" ca="1" si="294"/>
        <v>0</v>
      </c>
    </row>
    <row r="6264" spans="1:5" x14ac:dyDescent="0.25">
      <c r="A6264" s="3">
        <f t="shared" si="292"/>
        <v>78989</v>
      </c>
      <c r="B6264" t="str">
        <f ca="1">TEXT(DATE(YEAR(Invoer!$A$5),1,1)+INT((ROWS(B$2:B6264)-1)/24),"""18""jjmmdd")</f>
        <v>18980918</v>
      </c>
      <c r="C6264" s="11" t="str">
        <f>INDEX(Data,2,2+MOD(ROWS(C$2:C6264)-1,24))</f>
        <v>23.00</v>
      </c>
      <c r="D6264" s="8">
        <f t="shared" ca="1" si="293"/>
        <v>12</v>
      </c>
      <c r="E6264" s="16">
        <f t="shared" ca="1" si="294"/>
        <v>0</v>
      </c>
    </row>
    <row r="6265" spans="1:5" x14ac:dyDescent="0.25">
      <c r="A6265" s="3">
        <f t="shared" si="292"/>
        <v>78989</v>
      </c>
      <c r="B6265" t="str">
        <f ca="1">TEXT(DATE(YEAR(Invoer!$A$5),1,1)+INT((ROWS(B$2:B6265)-1)/24),"""18""jjmmdd")</f>
        <v>18980918</v>
      </c>
      <c r="C6265" s="11" t="str">
        <f>INDEX(Data,2,2+MOD(ROWS(C$2:C6265)-1,24))</f>
        <v>24.00</v>
      </c>
      <c r="D6265" s="8">
        <f t="shared" ca="1" si="293"/>
        <v>10</v>
      </c>
      <c r="E6265" s="16">
        <f t="shared" ca="1" si="294"/>
        <v>0</v>
      </c>
    </row>
    <row r="6266" spans="1:5" x14ac:dyDescent="0.25">
      <c r="A6266" s="3">
        <f t="shared" si="292"/>
        <v>78989</v>
      </c>
      <c r="B6266" t="str">
        <f ca="1">TEXT(DATE(YEAR(Invoer!$A$5),1,1)+INT((ROWS(B$2:B6266)-1)/24),"""18""jjmmdd")</f>
        <v>18980919</v>
      </c>
      <c r="C6266" s="11" t="str">
        <f>INDEX(Data,2,2+MOD(ROWS(C$2:C6266)-1,24))</f>
        <v>01.00</v>
      </c>
      <c r="D6266" s="8">
        <f t="shared" ca="1" si="293"/>
        <v>10</v>
      </c>
      <c r="E6266" s="16">
        <f t="shared" ca="1" si="294"/>
        <v>0</v>
      </c>
    </row>
    <row r="6267" spans="1:5" x14ac:dyDescent="0.25">
      <c r="A6267" s="3">
        <f t="shared" si="292"/>
        <v>78989</v>
      </c>
      <c r="B6267" t="str">
        <f ca="1">TEXT(DATE(YEAR(Invoer!$A$5),1,1)+INT((ROWS(B$2:B6267)-1)/24),"""18""jjmmdd")</f>
        <v>18980919</v>
      </c>
      <c r="C6267" s="11" t="str">
        <f>INDEX(Data,2,2+MOD(ROWS(C$2:C6267)-1,24))</f>
        <v>02.00</v>
      </c>
      <c r="D6267" s="8">
        <f t="shared" ca="1" si="293"/>
        <v>12</v>
      </c>
      <c r="E6267" s="16">
        <f t="shared" ca="1" si="294"/>
        <v>0</v>
      </c>
    </row>
    <row r="6268" spans="1:5" x14ac:dyDescent="0.25">
      <c r="A6268" s="3">
        <f t="shared" si="292"/>
        <v>78989</v>
      </c>
      <c r="B6268" t="str">
        <f ca="1">TEXT(DATE(YEAR(Invoer!$A$5),1,1)+INT((ROWS(B$2:B6268)-1)/24),"""18""jjmmdd")</f>
        <v>18980919</v>
      </c>
      <c r="C6268" s="11" t="str">
        <f>INDEX(Data,2,2+MOD(ROWS(C$2:C6268)-1,24))</f>
        <v>03.00</v>
      </c>
      <c r="D6268" s="8">
        <f t="shared" ca="1" si="293"/>
        <v>17</v>
      </c>
      <c r="E6268" s="16">
        <f t="shared" ca="1" si="294"/>
        <v>0</v>
      </c>
    </row>
    <row r="6269" spans="1:5" x14ac:dyDescent="0.25">
      <c r="A6269" s="3">
        <f t="shared" si="292"/>
        <v>78989</v>
      </c>
      <c r="B6269" t="str">
        <f ca="1">TEXT(DATE(YEAR(Invoer!$A$5),1,1)+INT((ROWS(B$2:B6269)-1)/24),"""18""jjmmdd")</f>
        <v>18980919</v>
      </c>
      <c r="C6269" s="11" t="str">
        <f>INDEX(Data,2,2+MOD(ROWS(C$2:C6269)-1,24))</f>
        <v>04.00</v>
      </c>
      <c r="D6269" s="8">
        <f t="shared" ca="1" si="293"/>
        <v>4</v>
      </c>
      <c r="E6269" s="16">
        <f t="shared" ca="1" si="294"/>
        <v>0</v>
      </c>
    </row>
    <row r="6270" spans="1:5" x14ac:dyDescent="0.25">
      <c r="A6270" s="3">
        <f t="shared" si="292"/>
        <v>78989</v>
      </c>
      <c r="B6270" t="str">
        <f ca="1">TEXT(DATE(YEAR(Invoer!$A$5),1,1)+INT((ROWS(B$2:B6270)-1)/24),"""18""jjmmdd")</f>
        <v>18980919</v>
      </c>
      <c r="C6270" s="11" t="str">
        <f>INDEX(Data,2,2+MOD(ROWS(C$2:C6270)-1,24))</f>
        <v>05.00</v>
      </c>
      <c r="D6270" s="8">
        <f t="shared" ca="1" si="293"/>
        <v>5</v>
      </c>
      <c r="E6270" s="16">
        <f t="shared" ca="1" si="294"/>
        <v>0</v>
      </c>
    </row>
    <row r="6271" spans="1:5" x14ac:dyDescent="0.25">
      <c r="A6271" s="3">
        <f t="shared" si="292"/>
        <v>78989</v>
      </c>
      <c r="B6271" t="str">
        <f ca="1">TEXT(DATE(YEAR(Invoer!$A$5),1,1)+INT((ROWS(B$2:B6271)-1)/24),"""18""jjmmdd")</f>
        <v>18980919</v>
      </c>
      <c r="C6271" s="11" t="str">
        <f>INDEX(Data,2,2+MOD(ROWS(C$2:C6271)-1,24))</f>
        <v>06.00</v>
      </c>
      <c r="D6271" s="8">
        <f t="shared" ca="1" si="293"/>
        <v>6</v>
      </c>
      <c r="E6271" s="16">
        <f t="shared" ca="1" si="294"/>
        <v>0</v>
      </c>
    </row>
    <row r="6272" spans="1:5" x14ac:dyDescent="0.25">
      <c r="A6272" s="3">
        <f t="shared" si="292"/>
        <v>78989</v>
      </c>
      <c r="B6272" t="str">
        <f ca="1">TEXT(DATE(YEAR(Invoer!$A$5),1,1)+INT((ROWS(B$2:B6272)-1)/24),"""18""jjmmdd")</f>
        <v>18980919</v>
      </c>
      <c r="C6272" s="11" t="str">
        <f>INDEX(Data,2,2+MOD(ROWS(C$2:C6272)-1,24))</f>
        <v>07.00</v>
      </c>
      <c r="D6272" s="8">
        <f t="shared" ca="1" si="293"/>
        <v>9</v>
      </c>
      <c r="E6272" s="16">
        <f t="shared" ca="1" si="294"/>
        <v>0</v>
      </c>
    </row>
    <row r="6273" spans="1:5" x14ac:dyDescent="0.25">
      <c r="A6273" s="3">
        <f t="shared" si="292"/>
        <v>78989</v>
      </c>
      <c r="B6273" t="str">
        <f ca="1">TEXT(DATE(YEAR(Invoer!$A$5),1,1)+INT((ROWS(B$2:B6273)-1)/24),"""18""jjmmdd")</f>
        <v>18980919</v>
      </c>
      <c r="C6273" s="11" t="str">
        <f>INDEX(Data,2,2+MOD(ROWS(C$2:C6273)-1,24))</f>
        <v>08.00</v>
      </c>
      <c r="D6273" s="8">
        <f t="shared" ca="1" si="293"/>
        <v>11</v>
      </c>
      <c r="E6273" s="16">
        <f t="shared" ca="1" si="294"/>
        <v>0</v>
      </c>
    </row>
    <row r="6274" spans="1:5" x14ac:dyDescent="0.25">
      <c r="A6274" s="3">
        <f t="shared" ref="A6274:A6337" si="295">INDEX(Stations,2,1)</f>
        <v>78989</v>
      </c>
      <c r="B6274" t="str">
        <f ca="1">TEXT(DATE(YEAR(Invoer!$A$5),1,1)+INT((ROWS(B$2:B6274)-1)/24),"""18""jjmmdd")</f>
        <v>18980919</v>
      </c>
      <c r="C6274" s="11" t="str">
        <f>INDEX(Data,2,2+MOD(ROWS(C$2:C6274)-1,24))</f>
        <v>09.00</v>
      </c>
      <c r="D6274" s="8">
        <f t="shared" ref="D6274:D6337" ca="1" si="296">IF(OR(ISBLANK(VLOOKUP(DATEVALUE("37"&amp;MID($B6274,3,2)&amp;"-"&amp;MID($B6274,5,2)&amp;"-"&amp;RIGHT($B6274,2)),Data,MATCH(LEFT(VLOOKUP(D$1,Parameters,2,FALSE()),4)&amp;"*",OFFSET(Data,0,0,1),0)+MATCH($C6274,OFFSET(Data,1,0,1),0)-2,FALSE())),ISTEXT(VLOOKUP(DATEVALUE("37"&amp;MID($B6274,3,2)&amp;"-"&amp;MID($B6274,5,2)&amp;"-"&amp;RIGHT($B6274,2)),Data,MATCH(LEFT(VLOOKUP(D$1,Parameters,2,FALSE()),4)&amp;"*",OFFSET(Data,0,0,1),0)+MATCH($C6274,OFFSET(Data,1,0,1),0)-2,FALSE()))),"—",VLOOKUP(DATEVALUE("37"&amp;MID($B6274,3,2)&amp;"-"&amp;MID($B6274,5,2)&amp;"-"&amp;RIGHT($B6274,2)),Data,MATCH(LEFT(VLOOKUP(D$1,Parameters,2,FALSE()),4)&amp;"*",OFFSET(Data,0,0,1),0)+MATCH($C6274,OFFSET(Data,1,0,1),0)-2,FALSE()))</f>
        <v>10</v>
      </c>
      <c r="E6274" s="16">
        <f t="shared" ca="1" si="294"/>
        <v>0</v>
      </c>
    </row>
    <row r="6275" spans="1:5" x14ac:dyDescent="0.25">
      <c r="A6275" s="3">
        <f t="shared" si="295"/>
        <v>78989</v>
      </c>
      <c r="B6275" t="str">
        <f ca="1">TEXT(DATE(YEAR(Invoer!$A$5),1,1)+INT((ROWS(B$2:B6275)-1)/24),"""18""jjmmdd")</f>
        <v>18980919</v>
      </c>
      <c r="C6275" s="11" t="str">
        <f>INDEX(Data,2,2+MOD(ROWS(C$2:C6275)-1,24))</f>
        <v>10.00</v>
      </c>
      <c r="D6275" s="8">
        <f t="shared" ca="1" si="296"/>
        <v>10</v>
      </c>
      <c r="E6275" s="16">
        <f t="shared" ref="E6275:E6338" ca="1" si="297">IF(OR(ISBLANK(VLOOKUP(DATEVALUE("37"&amp;MID($B6275,3,2)&amp;"-"&amp;MID($B6275,5,2)&amp;"-"&amp;RIGHT($B6275,2)),Data,MATCH(LEFT(VLOOKUP(D$1,Parameters,2,FALSE()),4)&amp;"*",OFFSET(Data,0,0,1),0)+MATCH($C6275,OFFSET(Data,1,0,1),0)-2,FALSE())),ISTEXT(VLOOKUP(DATEVALUE("37"&amp;MID($B6275,3,2)&amp;"-"&amp;MID($B6275,5,2)&amp;"-"&amp;RIGHT($B6275,2)),Data,MATCH(LEFT(VLOOKUP(D$1,Parameters,2,FALSE()),4)&amp;"*",OFFSET(Data,0,0,1),0)+MATCH($C6275,OFFSET(Data,1,0,1),0)-2,FALSE()))),Lacking,IF(ISNA(MATCH(DATEVALUE("37"&amp;MID($B6275,3,2)&amp;"-"&amp;MID($B6275,5,2)&amp;"-"&amp;RIGHT($B6275,2)),OFFSET(Catalogus,0,0,,1),0)),Ok,VLOOKUP(DATEVALUE("37"&amp;MID($B6275,3,2)&amp;"-"&amp;MID($B6275,5,2)&amp;"-"&amp;RIGHT($B6275,2)),Catalogus,MATCH(LEFT(VLOOKUP(MID(E$1,2,LEN(E$1)-1),Parameters,2,FALSE()),4)&amp;"*",OFFSET(Catalogus,0,0,1),0)+MATCH($C6275,OFFSET(Catalogus,1,0,1),0)-2,FALSE())))</f>
        <v>0</v>
      </c>
    </row>
    <row r="6276" spans="1:5" x14ac:dyDescent="0.25">
      <c r="A6276" s="3">
        <f t="shared" si="295"/>
        <v>78989</v>
      </c>
      <c r="B6276" t="str">
        <f ca="1">TEXT(DATE(YEAR(Invoer!$A$5),1,1)+INT((ROWS(B$2:B6276)-1)/24),"""18""jjmmdd")</f>
        <v>18980919</v>
      </c>
      <c r="C6276" s="11" t="str">
        <f>INDEX(Data,2,2+MOD(ROWS(C$2:C6276)-1,24))</f>
        <v>11.00</v>
      </c>
      <c r="D6276" s="8">
        <f t="shared" ca="1" si="296"/>
        <v>11</v>
      </c>
      <c r="E6276" s="16">
        <f t="shared" ca="1" si="297"/>
        <v>0</v>
      </c>
    </row>
    <row r="6277" spans="1:5" x14ac:dyDescent="0.25">
      <c r="A6277" s="3">
        <f t="shared" si="295"/>
        <v>78989</v>
      </c>
      <c r="B6277" t="str">
        <f ca="1">TEXT(DATE(YEAR(Invoer!$A$5),1,1)+INT((ROWS(B$2:B6277)-1)/24),"""18""jjmmdd")</f>
        <v>18980919</v>
      </c>
      <c r="C6277" s="11" t="str">
        <f>INDEX(Data,2,2+MOD(ROWS(C$2:C6277)-1,24))</f>
        <v>12.00</v>
      </c>
      <c r="D6277" s="8">
        <f t="shared" ca="1" si="296"/>
        <v>10</v>
      </c>
      <c r="E6277" s="16">
        <f t="shared" ca="1" si="297"/>
        <v>0</v>
      </c>
    </row>
    <row r="6278" spans="1:5" x14ac:dyDescent="0.25">
      <c r="A6278" s="3">
        <f t="shared" si="295"/>
        <v>78989</v>
      </c>
      <c r="B6278" t="str">
        <f ca="1">TEXT(DATE(YEAR(Invoer!$A$5),1,1)+INT((ROWS(B$2:B6278)-1)/24),"""18""jjmmdd")</f>
        <v>18980919</v>
      </c>
      <c r="C6278" s="11" t="str">
        <f>INDEX(Data,2,2+MOD(ROWS(C$2:C6278)-1,24))</f>
        <v>13.00</v>
      </c>
      <c r="D6278" s="8">
        <f t="shared" ca="1" si="296"/>
        <v>10</v>
      </c>
      <c r="E6278" s="16">
        <f t="shared" ca="1" si="297"/>
        <v>0</v>
      </c>
    </row>
    <row r="6279" spans="1:5" x14ac:dyDescent="0.25">
      <c r="A6279" s="3">
        <f t="shared" si="295"/>
        <v>78989</v>
      </c>
      <c r="B6279" t="str">
        <f ca="1">TEXT(DATE(YEAR(Invoer!$A$5),1,1)+INT((ROWS(B$2:B6279)-1)/24),"""18""jjmmdd")</f>
        <v>18980919</v>
      </c>
      <c r="C6279" s="11" t="str">
        <f>INDEX(Data,2,2+MOD(ROWS(C$2:C6279)-1,24))</f>
        <v>14.00</v>
      </c>
      <c r="D6279" s="8">
        <f t="shared" ca="1" si="296"/>
        <v>10</v>
      </c>
      <c r="E6279" s="16">
        <f t="shared" ca="1" si="297"/>
        <v>0</v>
      </c>
    </row>
    <row r="6280" spans="1:5" x14ac:dyDescent="0.25">
      <c r="A6280" s="3">
        <f t="shared" si="295"/>
        <v>78989</v>
      </c>
      <c r="B6280" t="str">
        <f ca="1">TEXT(DATE(YEAR(Invoer!$A$5),1,1)+INT((ROWS(B$2:B6280)-1)/24),"""18""jjmmdd")</f>
        <v>18980919</v>
      </c>
      <c r="C6280" s="11" t="str">
        <f>INDEX(Data,2,2+MOD(ROWS(C$2:C6280)-1,24))</f>
        <v>15.00</v>
      </c>
      <c r="D6280" s="8">
        <f t="shared" ca="1" si="296"/>
        <v>12</v>
      </c>
      <c r="E6280" s="16">
        <f t="shared" ca="1" si="297"/>
        <v>0</v>
      </c>
    </row>
    <row r="6281" spans="1:5" x14ac:dyDescent="0.25">
      <c r="A6281" s="3">
        <f t="shared" si="295"/>
        <v>78989</v>
      </c>
      <c r="B6281" t="str">
        <f ca="1">TEXT(DATE(YEAR(Invoer!$A$5),1,1)+INT((ROWS(B$2:B6281)-1)/24),"""18""jjmmdd")</f>
        <v>18980919</v>
      </c>
      <c r="C6281" s="11" t="str">
        <f>INDEX(Data,2,2+MOD(ROWS(C$2:C6281)-1,24))</f>
        <v>16.00</v>
      </c>
      <c r="D6281" s="8">
        <f t="shared" ca="1" si="296"/>
        <v>11</v>
      </c>
      <c r="E6281" s="16">
        <f t="shared" ca="1" si="297"/>
        <v>0</v>
      </c>
    </row>
    <row r="6282" spans="1:5" x14ac:dyDescent="0.25">
      <c r="A6282" s="3">
        <f t="shared" si="295"/>
        <v>78989</v>
      </c>
      <c r="B6282" t="str">
        <f ca="1">TEXT(DATE(YEAR(Invoer!$A$5),1,1)+INT((ROWS(B$2:B6282)-1)/24),"""18""jjmmdd")</f>
        <v>18980919</v>
      </c>
      <c r="C6282" s="11" t="str">
        <f>INDEX(Data,2,2+MOD(ROWS(C$2:C6282)-1,24))</f>
        <v>17.00</v>
      </c>
      <c r="D6282" s="8">
        <f t="shared" ca="1" si="296"/>
        <v>13</v>
      </c>
      <c r="E6282" s="16">
        <f t="shared" ca="1" si="297"/>
        <v>0</v>
      </c>
    </row>
    <row r="6283" spans="1:5" x14ac:dyDescent="0.25">
      <c r="A6283" s="3">
        <f t="shared" si="295"/>
        <v>78989</v>
      </c>
      <c r="B6283" t="str">
        <f ca="1">TEXT(DATE(YEAR(Invoer!$A$5),1,1)+INT((ROWS(B$2:B6283)-1)/24),"""18""jjmmdd")</f>
        <v>18980919</v>
      </c>
      <c r="C6283" s="11" t="str">
        <f>INDEX(Data,2,2+MOD(ROWS(C$2:C6283)-1,24))</f>
        <v>18.00</v>
      </c>
      <c r="D6283" s="8">
        <f t="shared" ca="1" si="296"/>
        <v>13</v>
      </c>
      <c r="E6283" s="16">
        <f t="shared" ca="1" si="297"/>
        <v>0</v>
      </c>
    </row>
    <row r="6284" spans="1:5" x14ac:dyDescent="0.25">
      <c r="A6284" s="3">
        <f t="shared" si="295"/>
        <v>78989</v>
      </c>
      <c r="B6284" t="str">
        <f ca="1">TEXT(DATE(YEAR(Invoer!$A$5),1,1)+INT((ROWS(B$2:B6284)-1)/24),"""18""jjmmdd")</f>
        <v>18980919</v>
      </c>
      <c r="C6284" s="11" t="str">
        <f>INDEX(Data,2,2+MOD(ROWS(C$2:C6284)-1,24))</f>
        <v>19.00</v>
      </c>
      <c r="D6284" s="8">
        <f t="shared" ca="1" si="296"/>
        <v>9</v>
      </c>
      <c r="E6284" s="16">
        <f t="shared" ca="1" si="297"/>
        <v>0</v>
      </c>
    </row>
    <row r="6285" spans="1:5" x14ac:dyDescent="0.25">
      <c r="A6285" s="3">
        <f t="shared" si="295"/>
        <v>78989</v>
      </c>
      <c r="B6285" t="str">
        <f ca="1">TEXT(DATE(YEAR(Invoer!$A$5),1,1)+INT((ROWS(B$2:B6285)-1)/24),"""18""jjmmdd")</f>
        <v>18980919</v>
      </c>
      <c r="C6285" s="11" t="str">
        <f>INDEX(Data,2,2+MOD(ROWS(C$2:C6285)-1,24))</f>
        <v>20.00</v>
      </c>
      <c r="D6285" s="8">
        <f t="shared" ca="1" si="296"/>
        <v>9</v>
      </c>
      <c r="E6285" s="16">
        <f t="shared" ca="1" si="297"/>
        <v>0</v>
      </c>
    </row>
    <row r="6286" spans="1:5" x14ac:dyDescent="0.25">
      <c r="A6286" s="3">
        <f t="shared" si="295"/>
        <v>78989</v>
      </c>
      <c r="B6286" t="str">
        <f ca="1">TEXT(DATE(YEAR(Invoer!$A$5),1,1)+INT((ROWS(B$2:B6286)-1)/24),"""18""jjmmdd")</f>
        <v>18980919</v>
      </c>
      <c r="C6286" s="11" t="str">
        <f>INDEX(Data,2,2+MOD(ROWS(C$2:C6286)-1,24))</f>
        <v>21.00</v>
      </c>
      <c r="D6286" s="8">
        <f t="shared" ca="1" si="296"/>
        <v>8</v>
      </c>
      <c r="E6286" s="16">
        <f t="shared" ca="1" si="297"/>
        <v>0</v>
      </c>
    </row>
    <row r="6287" spans="1:5" x14ac:dyDescent="0.25">
      <c r="A6287" s="3">
        <f t="shared" si="295"/>
        <v>78989</v>
      </c>
      <c r="B6287" t="str">
        <f ca="1">TEXT(DATE(YEAR(Invoer!$A$5),1,1)+INT((ROWS(B$2:B6287)-1)/24),"""18""jjmmdd")</f>
        <v>18980919</v>
      </c>
      <c r="C6287" s="11" t="str">
        <f>INDEX(Data,2,2+MOD(ROWS(C$2:C6287)-1,24))</f>
        <v>22.00</v>
      </c>
      <c r="D6287" s="8">
        <f t="shared" ca="1" si="296"/>
        <v>7</v>
      </c>
      <c r="E6287" s="16">
        <f t="shared" ca="1" si="297"/>
        <v>0</v>
      </c>
    </row>
    <row r="6288" spans="1:5" x14ac:dyDescent="0.25">
      <c r="A6288" s="3">
        <f t="shared" si="295"/>
        <v>78989</v>
      </c>
      <c r="B6288" t="str">
        <f ca="1">TEXT(DATE(YEAR(Invoer!$A$5),1,1)+INT((ROWS(B$2:B6288)-1)/24),"""18""jjmmdd")</f>
        <v>18980919</v>
      </c>
      <c r="C6288" s="11" t="str">
        <f>INDEX(Data,2,2+MOD(ROWS(C$2:C6288)-1,24))</f>
        <v>23.00</v>
      </c>
      <c r="D6288" s="8">
        <f t="shared" ca="1" si="296"/>
        <v>6</v>
      </c>
      <c r="E6288" s="16">
        <f t="shared" ca="1" si="297"/>
        <v>0</v>
      </c>
    </row>
    <row r="6289" spans="1:5" x14ac:dyDescent="0.25">
      <c r="A6289" s="3">
        <f t="shared" si="295"/>
        <v>78989</v>
      </c>
      <c r="B6289" t="str">
        <f ca="1">TEXT(DATE(YEAR(Invoer!$A$5),1,1)+INT((ROWS(B$2:B6289)-1)/24),"""18""jjmmdd")</f>
        <v>18980919</v>
      </c>
      <c r="C6289" s="11" t="str">
        <f>INDEX(Data,2,2+MOD(ROWS(C$2:C6289)-1,24))</f>
        <v>24.00</v>
      </c>
      <c r="D6289" s="8">
        <f t="shared" ca="1" si="296"/>
        <v>7</v>
      </c>
      <c r="E6289" s="16">
        <f t="shared" ca="1" si="297"/>
        <v>0</v>
      </c>
    </row>
    <row r="6290" spans="1:5" x14ac:dyDescent="0.25">
      <c r="A6290" s="3">
        <f t="shared" si="295"/>
        <v>78989</v>
      </c>
      <c r="B6290" t="str">
        <f ca="1">TEXT(DATE(YEAR(Invoer!$A$5),1,1)+INT((ROWS(B$2:B6290)-1)/24),"""18""jjmmdd")</f>
        <v>18980920</v>
      </c>
      <c r="C6290" s="11" t="str">
        <f>INDEX(Data,2,2+MOD(ROWS(C$2:C6290)-1,24))</f>
        <v>01.00</v>
      </c>
      <c r="D6290" s="8">
        <f t="shared" ca="1" si="296"/>
        <v>9</v>
      </c>
      <c r="E6290" s="16">
        <f t="shared" ca="1" si="297"/>
        <v>0</v>
      </c>
    </row>
    <row r="6291" spans="1:5" x14ac:dyDescent="0.25">
      <c r="A6291" s="3">
        <f t="shared" si="295"/>
        <v>78989</v>
      </c>
      <c r="B6291" t="str">
        <f ca="1">TEXT(DATE(YEAR(Invoer!$A$5),1,1)+INT((ROWS(B$2:B6291)-1)/24),"""18""jjmmdd")</f>
        <v>18980920</v>
      </c>
      <c r="C6291" s="11" t="str">
        <f>INDEX(Data,2,2+MOD(ROWS(C$2:C6291)-1,24))</f>
        <v>02.00</v>
      </c>
      <c r="D6291" s="8">
        <f t="shared" ca="1" si="296"/>
        <v>7</v>
      </c>
      <c r="E6291" s="16">
        <f t="shared" ca="1" si="297"/>
        <v>0</v>
      </c>
    </row>
    <row r="6292" spans="1:5" x14ac:dyDescent="0.25">
      <c r="A6292" s="3">
        <f t="shared" si="295"/>
        <v>78989</v>
      </c>
      <c r="B6292" t="str">
        <f ca="1">TEXT(DATE(YEAR(Invoer!$A$5),1,1)+INT((ROWS(B$2:B6292)-1)/24),"""18""jjmmdd")</f>
        <v>18980920</v>
      </c>
      <c r="C6292" s="11" t="str">
        <f>INDEX(Data,2,2+MOD(ROWS(C$2:C6292)-1,24))</f>
        <v>03.00</v>
      </c>
      <c r="D6292" s="8">
        <f t="shared" ca="1" si="296"/>
        <v>8</v>
      </c>
      <c r="E6292" s="16">
        <f t="shared" ca="1" si="297"/>
        <v>0</v>
      </c>
    </row>
    <row r="6293" spans="1:5" x14ac:dyDescent="0.25">
      <c r="A6293" s="3">
        <f t="shared" si="295"/>
        <v>78989</v>
      </c>
      <c r="B6293" t="str">
        <f ca="1">TEXT(DATE(YEAR(Invoer!$A$5),1,1)+INT((ROWS(B$2:B6293)-1)/24),"""18""jjmmdd")</f>
        <v>18980920</v>
      </c>
      <c r="C6293" s="11" t="str">
        <f>INDEX(Data,2,2+MOD(ROWS(C$2:C6293)-1,24))</f>
        <v>04.00</v>
      </c>
      <c r="D6293" s="8">
        <f t="shared" ca="1" si="296"/>
        <v>8</v>
      </c>
      <c r="E6293" s="16">
        <f t="shared" ca="1" si="297"/>
        <v>0</v>
      </c>
    </row>
    <row r="6294" spans="1:5" x14ac:dyDescent="0.25">
      <c r="A6294" s="3">
        <f t="shared" si="295"/>
        <v>78989</v>
      </c>
      <c r="B6294" t="str">
        <f ca="1">TEXT(DATE(YEAR(Invoer!$A$5),1,1)+INT((ROWS(B$2:B6294)-1)/24),"""18""jjmmdd")</f>
        <v>18980920</v>
      </c>
      <c r="C6294" s="11" t="str">
        <f>INDEX(Data,2,2+MOD(ROWS(C$2:C6294)-1,24))</f>
        <v>05.00</v>
      </c>
      <c r="D6294" s="8">
        <f t="shared" ca="1" si="296"/>
        <v>10</v>
      </c>
      <c r="E6294" s="16">
        <f t="shared" ca="1" si="297"/>
        <v>0</v>
      </c>
    </row>
    <row r="6295" spans="1:5" x14ac:dyDescent="0.25">
      <c r="A6295" s="3">
        <f t="shared" si="295"/>
        <v>78989</v>
      </c>
      <c r="B6295" t="str">
        <f ca="1">TEXT(DATE(YEAR(Invoer!$A$5),1,1)+INT((ROWS(B$2:B6295)-1)/24),"""18""jjmmdd")</f>
        <v>18980920</v>
      </c>
      <c r="C6295" s="11" t="str">
        <f>INDEX(Data,2,2+MOD(ROWS(C$2:C6295)-1,24))</f>
        <v>06.00</v>
      </c>
      <c r="D6295" s="8">
        <f t="shared" ca="1" si="296"/>
        <v>9</v>
      </c>
      <c r="E6295" s="16">
        <f t="shared" ca="1" si="297"/>
        <v>0</v>
      </c>
    </row>
    <row r="6296" spans="1:5" x14ac:dyDescent="0.25">
      <c r="A6296" s="3">
        <f t="shared" si="295"/>
        <v>78989</v>
      </c>
      <c r="B6296" t="str">
        <f ca="1">TEXT(DATE(YEAR(Invoer!$A$5),1,1)+INT((ROWS(B$2:B6296)-1)/24),"""18""jjmmdd")</f>
        <v>18980920</v>
      </c>
      <c r="C6296" s="11" t="str">
        <f>INDEX(Data,2,2+MOD(ROWS(C$2:C6296)-1,24))</f>
        <v>07.00</v>
      </c>
      <c r="D6296" s="8">
        <f t="shared" ca="1" si="296"/>
        <v>9</v>
      </c>
      <c r="E6296" s="16">
        <f t="shared" ca="1" si="297"/>
        <v>0</v>
      </c>
    </row>
    <row r="6297" spans="1:5" x14ac:dyDescent="0.25">
      <c r="A6297" s="3">
        <f t="shared" si="295"/>
        <v>78989</v>
      </c>
      <c r="B6297" t="str">
        <f ca="1">TEXT(DATE(YEAR(Invoer!$A$5),1,1)+INT((ROWS(B$2:B6297)-1)/24),"""18""jjmmdd")</f>
        <v>18980920</v>
      </c>
      <c r="C6297" s="11" t="str">
        <f>INDEX(Data,2,2+MOD(ROWS(C$2:C6297)-1,24))</f>
        <v>08.00</v>
      </c>
      <c r="D6297" s="8">
        <f t="shared" ca="1" si="296"/>
        <v>11</v>
      </c>
      <c r="E6297" s="16">
        <f t="shared" ca="1" si="297"/>
        <v>0</v>
      </c>
    </row>
    <row r="6298" spans="1:5" x14ac:dyDescent="0.25">
      <c r="A6298" s="3">
        <f t="shared" si="295"/>
        <v>78989</v>
      </c>
      <c r="B6298" t="str">
        <f ca="1">TEXT(DATE(YEAR(Invoer!$A$5),1,1)+INT((ROWS(B$2:B6298)-1)/24),"""18""jjmmdd")</f>
        <v>18980920</v>
      </c>
      <c r="C6298" s="11" t="str">
        <f>INDEX(Data,2,2+MOD(ROWS(C$2:C6298)-1,24))</f>
        <v>09.00</v>
      </c>
      <c r="D6298" s="8">
        <f t="shared" ca="1" si="296"/>
        <v>12</v>
      </c>
      <c r="E6298" s="16">
        <f t="shared" ca="1" si="297"/>
        <v>0</v>
      </c>
    </row>
    <row r="6299" spans="1:5" x14ac:dyDescent="0.25">
      <c r="A6299" s="3">
        <f t="shared" si="295"/>
        <v>78989</v>
      </c>
      <c r="B6299" t="str">
        <f ca="1">TEXT(DATE(YEAR(Invoer!$A$5),1,1)+INT((ROWS(B$2:B6299)-1)/24),"""18""jjmmdd")</f>
        <v>18980920</v>
      </c>
      <c r="C6299" s="11" t="str">
        <f>INDEX(Data,2,2+MOD(ROWS(C$2:C6299)-1,24))</f>
        <v>10.00</v>
      </c>
      <c r="D6299" s="8">
        <f t="shared" ca="1" si="296"/>
        <v>13</v>
      </c>
      <c r="E6299" s="16">
        <f t="shared" ca="1" si="297"/>
        <v>0</v>
      </c>
    </row>
    <row r="6300" spans="1:5" x14ac:dyDescent="0.25">
      <c r="A6300" s="3">
        <f t="shared" si="295"/>
        <v>78989</v>
      </c>
      <c r="B6300" t="str">
        <f ca="1">TEXT(DATE(YEAR(Invoer!$A$5),1,1)+INT((ROWS(B$2:B6300)-1)/24),"""18""jjmmdd")</f>
        <v>18980920</v>
      </c>
      <c r="C6300" s="11" t="str">
        <f>INDEX(Data,2,2+MOD(ROWS(C$2:C6300)-1,24))</f>
        <v>11.00</v>
      </c>
      <c r="D6300" s="8">
        <f t="shared" ca="1" si="296"/>
        <v>14</v>
      </c>
      <c r="E6300" s="16">
        <f t="shared" ca="1" si="297"/>
        <v>0</v>
      </c>
    </row>
    <row r="6301" spans="1:5" x14ac:dyDescent="0.25">
      <c r="A6301" s="3">
        <f t="shared" si="295"/>
        <v>78989</v>
      </c>
      <c r="B6301" t="str">
        <f ca="1">TEXT(DATE(YEAR(Invoer!$A$5),1,1)+INT((ROWS(B$2:B6301)-1)/24),"""18""jjmmdd")</f>
        <v>18980920</v>
      </c>
      <c r="C6301" s="11" t="str">
        <f>INDEX(Data,2,2+MOD(ROWS(C$2:C6301)-1,24))</f>
        <v>12.00</v>
      </c>
      <c r="D6301" s="8">
        <f t="shared" ca="1" si="296"/>
        <v>13</v>
      </c>
      <c r="E6301" s="16">
        <f t="shared" ca="1" si="297"/>
        <v>0</v>
      </c>
    </row>
    <row r="6302" spans="1:5" x14ac:dyDescent="0.25">
      <c r="A6302" s="3">
        <f t="shared" si="295"/>
        <v>78989</v>
      </c>
      <c r="B6302" t="str">
        <f ca="1">TEXT(DATE(YEAR(Invoer!$A$5),1,1)+INT((ROWS(B$2:B6302)-1)/24),"""18""jjmmdd")</f>
        <v>18980920</v>
      </c>
      <c r="C6302" s="11" t="str">
        <f>INDEX(Data,2,2+MOD(ROWS(C$2:C6302)-1,24))</f>
        <v>13.00</v>
      </c>
      <c r="D6302" s="8">
        <f t="shared" ca="1" si="296"/>
        <v>13</v>
      </c>
      <c r="E6302" s="16">
        <f t="shared" ca="1" si="297"/>
        <v>0</v>
      </c>
    </row>
    <row r="6303" spans="1:5" x14ac:dyDescent="0.25">
      <c r="A6303" s="3">
        <f t="shared" si="295"/>
        <v>78989</v>
      </c>
      <c r="B6303" t="str">
        <f ca="1">TEXT(DATE(YEAR(Invoer!$A$5),1,1)+INT((ROWS(B$2:B6303)-1)/24),"""18""jjmmdd")</f>
        <v>18980920</v>
      </c>
      <c r="C6303" s="11" t="str">
        <f>INDEX(Data,2,2+MOD(ROWS(C$2:C6303)-1,24))</f>
        <v>14.00</v>
      </c>
      <c r="D6303" s="8">
        <f t="shared" ca="1" si="296"/>
        <v>12</v>
      </c>
      <c r="E6303" s="16">
        <f t="shared" ca="1" si="297"/>
        <v>0</v>
      </c>
    </row>
    <row r="6304" spans="1:5" x14ac:dyDescent="0.25">
      <c r="A6304" s="3">
        <f t="shared" si="295"/>
        <v>78989</v>
      </c>
      <c r="B6304" t="str">
        <f ca="1">TEXT(DATE(YEAR(Invoer!$A$5),1,1)+INT((ROWS(B$2:B6304)-1)/24),"""18""jjmmdd")</f>
        <v>18980920</v>
      </c>
      <c r="C6304" s="11" t="str">
        <f>INDEX(Data,2,2+MOD(ROWS(C$2:C6304)-1,24))</f>
        <v>15.00</v>
      </c>
      <c r="D6304" s="8">
        <f t="shared" ca="1" si="296"/>
        <v>10</v>
      </c>
      <c r="E6304" s="16">
        <f t="shared" ca="1" si="297"/>
        <v>0</v>
      </c>
    </row>
    <row r="6305" spans="1:5" x14ac:dyDescent="0.25">
      <c r="A6305" s="3">
        <f t="shared" si="295"/>
        <v>78989</v>
      </c>
      <c r="B6305" t="str">
        <f ca="1">TEXT(DATE(YEAR(Invoer!$A$5),1,1)+INT((ROWS(B$2:B6305)-1)/24),"""18""jjmmdd")</f>
        <v>18980920</v>
      </c>
      <c r="C6305" s="11" t="str">
        <f>INDEX(Data,2,2+MOD(ROWS(C$2:C6305)-1,24))</f>
        <v>16.00</v>
      </c>
      <c r="D6305" s="8">
        <f t="shared" ca="1" si="296"/>
        <v>11</v>
      </c>
      <c r="E6305" s="16">
        <f t="shared" ca="1" si="297"/>
        <v>0</v>
      </c>
    </row>
    <row r="6306" spans="1:5" x14ac:dyDescent="0.25">
      <c r="A6306" s="3">
        <f t="shared" si="295"/>
        <v>78989</v>
      </c>
      <c r="B6306" t="str">
        <f ca="1">TEXT(DATE(YEAR(Invoer!$A$5),1,1)+INT((ROWS(B$2:B6306)-1)/24),"""18""jjmmdd")</f>
        <v>18980920</v>
      </c>
      <c r="C6306" s="11" t="str">
        <f>INDEX(Data,2,2+MOD(ROWS(C$2:C6306)-1,24))</f>
        <v>17.00</v>
      </c>
      <c r="D6306" s="8">
        <f t="shared" ca="1" si="296"/>
        <v>13</v>
      </c>
      <c r="E6306" s="16">
        <f t="shared" ca="1" si="297"/>
        <v>0</v>
      </c>
    </row>
    <row r="6307" spans="1:5" x14ac:dyDescent="0.25">
      <c r="A6307" s="3">
        <f t="shared" si="295"/>
        <v>78989</v>
      </c>
      <c r="B6307" t="str">
        <f ca="1">TEXT(DATE(YEAR(Invoer!$A$5),1,1)+INT((ROWS(B$2:B6307)-1)/24),"""18""jjmmdd")</f>
        <v>18980920</v>
      </c>
      <c r="C6307" s="11" t="str">
        <f>INDEX(Data,2,2+MOD(ROWS(C$2:C6307)-1,24))</f>
        <v>18.00</v>
      </c>
      <c r="D6307" s="8">
        <f t="shared" ca="1" si="296"/>
        <v>12</v>
      </c>
      <c r="E6307" s="16">
        <f t="shared" ca="1" si="297"/>
        <v>0</v>
      </c>
    </row>
    <row r="6308" spans="1:5" x14ac:dyDescent="0.25">
      <c r="A6308" s="3">
        <f t="shared" si="295"/>
        <v>78989</v>
      </c>
      <c r="B6308" t="str">
        <f ca="1">TEXT(DATE(YEAR(Invoer!$A$5),1,1)+INT((ROWS(B$2:B6308)-1)/24),"""18""jjmmdd")</f>
        <v>18980920</v>
      </c>
      <c r="C6308" s="11" t="str">
        <f>INDEX(Data,2,2+MOD(ROWS(C$2:C6308)-1,24))</f>
        <v>19.00</v>
      </c>
      <c r="D6308" s="8">
        <f t="shared" ca="1" si="296"/>
        <v>13</v>
      </c>
      <c r="E6308" s="16">
        <f t="shared" ca="1" si="297"/>
        <v>0</v>
      </c>
    </row>
    <row r="6309" spans="1:5" x14ac:dyDescent="0.25">
      <c r="A6309" s="3">
        <f t="shared" si="295"/>
        <v>78989</v>
      </c>
      <c r="B6309" t="str">
        <f ca="1">TEXT(DATE(YEAR(Invoer!$A$5),1,1)+INT((ROWS(B$2:B6309)-1)/24),"""18""jjmmdd")</f>
        <v>18980920</v>
      </c>
      <c r="C6309" s="11" t="str">
        <f>INDEX(Data,2,2+MOD(ROWS(C$2:C6309)-1,24))</f>
        <v>20.00</v>
      </c>
      <c r="D6309" s="8">
        <f t="shared" ca="1" si="296"/>
        <v>14</v>
      </c>
      <c r="E6309" s="16">
        <f t="shared" ca="1" si="297"/>
        <v>0</v>
      </c>
    </row>
    <row r="6310" spans="1:5" x14ac:dyDescent="0.25">
      <c r="A6310" s="3">
        <f t="shared" si="295"/>
        <v>78989</v>
      </c>
      <c r="B6310" t="str">
        <f ca="1">TEXT(DATE(YEAR(Invoer!$A$5),1,1)+INT((ROWS(B$2:B6310)-1)/24),"""18""jjmmdd")</f>
        <v>18980920</v>
      </c>
      <c r="C6310" s="11" t="str">
        <f>INDEX(Data,2,2+MOD(ROWS(C$2:C6310)-1,24))</f>
        <v>21.00</v>
      </c>
      <c r="D6310" s="8">
        <f t="shared" ca="1" si="296"/>
        <v>12</v>
      </c>
      <c r="E6310" s="16">
        <f t="shared" ca="1" si="297"/>
        <v>0</v>
      </c>
    </row>
    <row r="6311" spans="1:5" x14ac:dyDescent="0.25">
      <c r="A6311" s="3">
        <f t="shared" si="295"/>
        <v>78989</v>
      </c>
      <c r="B6311" t="str">
        <f ca="1">TEXT(DATE(YEAR(Invoer!$A$5),1,1)+INT((ROWS(B$2:B6311)-1)/24),"""18""jjmmdd")</f>
        <v>18980920</v>
      </c>
      <c r="C6311" s="11" t="str">
        <f>INDEX(Data,2,2+MOD(ROWS(C$2:C6311)-1,24))</f>
        <v>22.00</v>
      </c>
      <c r="D6311" s="8">
        <f t="shared" ca="1" si="296"/>
        <v>10</v>
      </c>
      <c r="E6311" s="16">
        <f t="shared" ca="1" si="297"/>
        <v>0</v>
      </c>
    </row>
    <row r="6312" spans="1:5" x14ac:dyDescent="0.25">
      <c r="A6312" s="3">
        <f t="shared" si="295"/>
        <v>78989</v>
      </c>
      <c r="B6312" t="str">
        <f ca="1">TEXT(DATE(YEAR(Invoer!$A$5),1,1)+INT((ROWS(B$2:B6312)-1)/24),"""18""jjmmdd")</f>
        <v>18980920</v>
      </c>
      <c r="C6312" s="11" t="str">
        <f>INDEX(Data,2,2+MOD(ROWS(C$2:C6312)-1,24))</f>
        <v>23.00</v>
      </c>
      <c r="D6312" s="8">
        <f t="shared" ca="1" si="296"/>
        <v>9</v>
      </c>
      <c r="E6312" s="16">
        <f t="shared" ca="1" si="297"/>
        <v>0</v>
      </c>
    </row>
    <row r="6313" spans="1:5" x14ac:dyDescent="0.25">
      <c r="A6313" s="3">
        <f t="shared" si="295"/>
        <v>78989</v>
      </c>
      <c r="B6313" t="str">
        <f ca="1">TEXT(DATE(YEAR(Invoer!$A$5),1,1)+INT((ROWS(B$2:B6313)-1)/24),"""18""jjmmdd")</f>
        <v>18980920</v>
      </c>
      <c r="C6313" s="11" t="str">
        <f>INDEX(Data,2,2+MOD(ROWS(C$2:C6313)-1,24))</f>
        <v>24.00</v>
      </c>
      <c r="D6313" s="8">
        <f t="shared" ca="1" si="296"/>
        <v>10</v>
      </c>
      <c r="E6313" s="16">
        <f t="shared" ca="1" si="297"/>
        <v>0</v>
      </c>
    </row>
    <row r="6314" spans="1:5" x14ac:dyDescent="0.25">
      <c r="A6314" s="3">
        <f t="shared" si="295"/>
        <v>78989</v>
      </c>
      <c r="B6314" t="str">
        <f ca="1">TEXT(DATE(YEAR(Invoer!$A$5),1,1)+INT((ROWS(B$2:B6314)-1)/24),"""18""jjmmdd")</f>
        <v>18980921</v>
      </c>
      <c r="C6314" s="11" t="str">
        <f>INDEX(Data,2,2+MOD(ROWS(C$2:C6314)-1,24))</f>
        <v>01.00</v>
      </c>
      <c r="D6314" s="8">
        <f t="shared" ca="1" si="296"/>
        <v>9</v>
      </c>
      <c r="E6314" s="16">
        <f t="shared" ca="1" si="297"/>
        <v>0</v>
      </c>
    </row>
    <row r="6315" spans="1:5" x14ac:dyDescent="0.25">
      <c r="A6315" s="3">
        <f t="shared" si="295"/>
        <v>78989</v>
      </c>
      <c r="B6315" t="str">
        <f ca="1">TEXT(DATE(YEAR(Invoer!$A$5),1,1)+INT((ROWS(B$2:B6315)-1)/24),"""18""jjmmdd")</f>
        <v>18980921</v>
      </c>
      <c r="C6315" s="11" t="str">
        <f>INDEX(Data,2,2+MOD(ROWS(C$2:C6315)-1,24))</f>
        <v>02.00</v>
      </c>
      <c r="D6315" s="8">
        <f t="shared" ca="1" si="296"/>
        <v>8</v>
      </c>
      <c r="E6315" s="16">
        <f t="shared" ca="1" si="297"/>
        <v>0</v>
      </c>
    </row>
    <row r="6316" spans="1:5" x14ac:dyDescent="0.25">
      <c r="A6316" s="3">
        <f t="shared" si="295"/>
        <v>78989</v>
      </c>
      <c r="B6316" t="str">
        <f ca="1">TEXT(DATE(YEAR(Invoer!$A$5),1,1)+INT((ROWS(B$2:B6316)-1)/24),"""18""jjmmdd")</f>
        <v>18980921</v>
      </c>
      <c r="C6316" s="11" t="str">
        <f>INDEX(Data,2,2+MOD(ROWS(C$2:C6316)-1,24))</f>
        <v>03.00</v>
      </c>
      <c r="D6316" s="8">
        <f t="shared" ca="1" si="296"/>
        <v>7</v>
      </c>
      <c r="E6316" s="16">
        <f t="shared" ca="1" si="297"/>
        <v>0</v>
      </c>
    </row>
    <row r="6317" spans="1:5" x14ac:dyDescent="0.25">
      <c r="A6317" s="3">
        <f t="shared" si="295"/>
        <v>78989</v>
      </c>
      <c r="B6317" t="str">
        <f ca="1">TEXT(DATE(YEAR(Invoer!$A$5),1,1)+INT((ROWS(B$2:B6317)-1)/24),"""18""jjmmdd")</f>
        <v>18980921</v>
      </c>
      <c r="C6317" s="11" t="str">
        <f>INDEX(Data,2,2+MOD(ROWS(C$2:C6317)-1,24))</f>
        <v>04.00</v>
      </c>
      <c r="D6317" s="8">
        <f t="shared" ca="1" si="296"/>
        <v>9</v>
      </c>
      <c r="E6317" s="16">
        <f t="shared" ca="1" si="297"/>
        <v>0</v>
      </c>
    </row>
    <row r="6318" spans="1:5" x14ac:dyDescent="0.25">
      <c r="A6318" s="3">
        <f t="shared" si="295"/>
        <v>78989</v>
      </c>
      <c r="B6318" t="str">
        <f ca="1">TEXT(DATE(YEAR(Invoer!$A$5),1,1)+INT((ROWS(B$2:B6318)-1)/24),"""18""jjmmdd")</f>
        <v>18980921</v>
      </c>
      <c r="C6318" s="11" t="str">
        <f>INDEX(Data,2,2+MOD(ROWS(C$2:C6318)-1,24))</f>
        <v>05.00</v>
      </c>
      <c r="D6318" s="8">
        <f t="shared" ca="1" si="296"/>
        <v>7</v>
      </c>
      <c r="E6318" s="16">
        <f t="shared" ca="1" si="297"/>
        <v>0</v>
      </c>
    </row>
    <row r="6319" spans="1:5" x14ac:dyDescent="0.25">
      <c r="A6319" s="3">
        <f t="shared" si="295"/>
        <v>78989</v>
      </c>
      <c r="B6319" t="str">
        <f ca="1">TEXT(DATE(YEAR(Invoer!$A$5),1,1)+INT((ROWS(B$2:B6319)-1)/24),"""18""jjmmdd")</f>
        <v>18980921</v>
      </c>
      <c r="C6319" s="11" t="str">
        <f>INDEX(Data,2,2+MOD(ROWS(C$2:C6319)-1,24))</f>
        <v>06.00</v>
      </c>
      <c r="D6319" s="8">
        <f t="shared" ca="1" si="296"/>
        <v>7</v>
      </c>
      <c r="E6319" s="16">
        <f t="shared" ca="1" si="297"/>
        <v>0</v>
      </c>
    </row>
    <row r="6320" spans="1:5" x14ac:dyDescent="0.25">
      <c r="A6320" s="3">
        <f t="shared" si="295"/>
        <v>78989</v>
      </c>
      <c r="B6320" t="str">
        <f ca="1">TEXT(DATE(YEAR(Invoer!$A$5),1,1)+INT((ROWS(B$2:B6320)-1)/24),"""18""jjmmdd")</f>
        <v>18980921</v>
      </c>
      <c r="C6320" s="11" t="str">
        <f>INDEX(Data,2,2+MOD(ROWS(C$2:C6320)-1,24))</f>
        <v>07.00</v>
      </c>
      <c r="D6320" s="8">
        <f t="shared" ca="1" si="296"/>
        <v>9</v>
      </c>
      <c r="E6320" s="16">
        <f t="shared" ca="1" si="297"/>
        <v>0</v>
      </c>
    </row>
    <row r="6321" spans="1:5" x14ac:dyDescent="0.25">
      <c r="A6321" s="3">
        <f t="shared" si="295"/>
        <v>78989</v>
      </c>
      <c r="B6321" t="str">
        <f ca="1">TEXT(DATE(YEAR(Invoer!$A$5),1,1)+INT((ROWS(B$2:B6321)-1)/24),"""18""jjmmdd")</f>
        <v>18980921</v>
      </c>
      <c r="C6321" s="11" t="str">
        <f>INDEX(Data,2,2+MOD(ROWS(C$2:C6321)-1,24))</f>
        <v>08.00</v>
      </c>
      <c r="D6321" s="8">
        <f t="shared" ca="1" si="296"/>
        <v>11</v>
      </c>
      <c r="E6321" s="16">
        <f t="shared" ca="1" si="297"/>
        <v>0</v>
      </c>
    </row>
    <row r="6322" spans="1:5" x14ac:dyDescent="0.25">
      <c r="A6322" s="3">
        <f t="shared" si="295"/>
        <v>78989</v>
      </c>
      <c r="B6322" t="str">
        <f ca="1">TEXT(DATE(YEAR(Invoer!$A$5),1,1)+INT((ROWS(B$2:B6322)-1)/24),"""18""jjmmdd")</f>
        <v>18980921</v>
      </c>
      <c r="C6322" s="11" t="str">
        <f>INDEX(Data,2,2+MOD(ROWS(C$2:C6322)-1,24))</f>
        <v>09.00</v>
      </c>
      <c r="D6322" s="8">
        <f t="shared" ca="1" si="296"/>
        <v>11</v>
      </c>
      <c r="E6322" s="16">
        <f t="shared" ca="1" si="297"/>
        <v>0</v>
      </c>
    </row>
    <row r="6323" spans="1:5" x14ac:dyDescent="0.25">
      <c r="A6323" s="3">
        <f t="shared" si="295"/>
        <v>78989</v>
      </c>
      <c r="B6323" t="str">
        <f ca="1">TEXT(DATE(YEAR(Invoer!$A$5),1,1)+INT((ROWS(B$2:B6323)-1)/24),"""18""jjmmdd")</f>
        <v>18980921</v>
      </c>
      <c r="C6323" s="11" t="str">
        <f>INDEX(Data,2,2+MOD(ROWS(C$2:C6323)-1,24))</f>
        <v>10.00</v>
      </c>
      <c r="D6323" s="8">
        <f t="shared" ca="1" si="296"/>
        <v>11</v>
      </c>
      <c r="E6323" s="16">
        <f t="shared" ca="1" si="297"/>
        <v>0</v>
      </c>
    </row>
    <row r="6324" spans="1:5" x14ac:dyDescent="0.25">
      <c r="A6324" s="3">
        <f t="shared" si="295"/>
        <v>78989</v>
      </c>
      <c r="B6324" t="str">
        <f ca="1">TEXT(DATE(YEAR(Invoer!$A$5),1,1)+INT((ROWS(B$2:B6324)-1)/24),"""18""jjmmdd")</f>
        <v>18980921</v>
      </c>
      <c r="C6324" s="11" t="str">
        <f>INDEX(Data,2,2+MOD(ROWS(C$2:C6324)-1,24))</f>
        <v>11.00</v>
      </c>
      <c r="D6324" s="8">
        <f t="shared" ca="1" si="296"/>
        <v>14</v>
      </c>
      <c r="E6324" s="16">
        <f t="shared" ca="1" si="297"/>
        <v>0</v>
      </c>
    </row>
    <row r="6325" spans="1:5" x14ac:dyDescent="0.25">
      <c r="A6325" s="3">
        <f t="shared" si="295"/>
        <v>78989</v>
      </c>
      <c r="B6325" t="str">
        <f ca="1">TEXT(DATE(YEAR(Invoer!$A$5),1,1)+INT((ROWS(B$2:B6325)-1)/24),"""18""jjmmdd")</f>
        <v>18980921</v>
      </c>
      <c r="C6325" s="11" t="str">
        <f>INDEX(Data,2,2+MOD(ROWS(C$2:C6325)-1,24))</f>
        <v>12.00</v>
      </c>
      <c r="D6325" s="8">
        <f t="shared" ca="1" si="296"/>
        <v>12</v>
      </c>
      <c r="E6325" s="16">
        <f t="shared" ca="1" si="297"/>
        <v>0</v>
      </c>
    </row>
    <row r="6326" spans="1:5" x14ac:dyDescent="0.25">
      <c r="A6326" s="3">
        <f t="shared" si="295"/>
        <v>78989</v>
      </c>
      <c r="B6326" t="str">
        <f ca="1">TEXT(DATE(YEAR(Invoer!$A$5),1,1)+INT((ROWS(B$2:B6326)-1)/24),"""18""jjmmdd")</f>
        <v>18980921</v>
      </c>
      <c r="C6326" s="11" t="str">
        <f>INDEX(Data,2,2+MOD(ROWS(C$2:C6326)-1,24))</f>
        <v>13.00</v>
      </c>
      <c r="D6326" s="8">
        <f t="shared" ca="1" si="296"/>
        <v>12</v>
      </c>
      <c r="E6326" s="16">
        <f t="shared" ca="1" si="297"/>
        <v>0</v>
      </c>
    </row>
    <row r="6327" spans="1:5" x14ac:dyDescent="0.25">
      <c r="A6327" s="3">
        <f t="shared" si="295"/>
        <v>78989</v>
      </c>
      <c r="B6327" t="str">
        <f ca="1">TEXT(DATE(YEAR(Invoer!$A$5),1,1)+INT((ROWS(B$2:B6327)-1)/24),"""18""jjmmdd")</f>
        <v>18980921</v>
      </c>
      <c r="C6327" s="11" t="str">
        <f>INDEX(Data,2,2+MOD(ROWS(C$2:C6327)-1,24))</f>
        <v>14.00</v>
      </c>
      <c r="D6327" s="8">
        <f t="shared" ca="1" si="296"/>
        <v>10</v>
      </c>
      <c r="E6327" s="16">
        <f t="shared" ca="1" si="297"/>
        <v>0</v>
      </c>
    </row>
    <row r="6328" spans="1:5" x14ac:dyDescent="0.25">
      <c r="A6328" s="3">
        <f t="shared" si="295"/>
        <v>78989</v>
      </c>
      <c r="B6328" t="str">
        <f ca="1">TEXT(DATE(YEAR(Invoer!$A$5),1,1)+INT((ROWS(B$2:B6328)-1)/24),"""18""jjmmdd")</f>
        <v>18980921</v>
      </c>
      <c r="C6328" s="11" t="str">
        <f>INDEX(Data,2,2+MOD(ROWS(C$2:C6328)-1,24))</f>
        <v>15.00</v>
      </c>
      <c r="D6328" s="8">
        <f t="shared" ca="1" si="296"/>
        <v>10</v>
      </c>
      <c r="E6328" s="16">
        <f t="shared" ca="1" si="297"/>
        <v>0</v>
      </c>
    </row>
    <row r="6329" spans="1:5" x14ac:dyDescent="0.25">
      <c r="A6329" s="3">
        <f t="shared" si="295"/>
        <v>78989</v>
      </c>
      <c r="B6329" t="str">
        <f ca="1">TEXT(DATE(YEAR(Invoer!$A$5),1,1)+INT((ROWS(B$2:B6329)-1)/24),"""18""jjmmdd")</f>
        <v>18980921</v>
      </c>
      <c r="C6329" s="11" t="str">
        <f>INDEX(Data,2,2+MOD(ROWS(C$2:C6329)-1,24))</f>
        <v>16.00</v>
      </c>
      <c r="D6329" s="8">
        <f t="shared" ca="1" si="296"/>
        <v>10</v>
      </c>
      <c r="E6329" s="16">
        <f t="shared" ca="1" si="297"/>
        <v>0</v>
      </c>
    </row>
    <row r="6330" spans="1:5" x14ac:dyDescent="0.25">
      <c r="A6330" s="3">
        <f t="shared" si="295"/>
        <v>78989</v>
      </c>
      <c r="B6330" t="str">
        <f ca="1">TEXT(DATE(YEAR(Invoer!$A$5),1,1)+INT((ROWS(B$2:B6330)-1)/24),"""18""jjmmdd")</f>
        <v>18980921</v>
      </c>
      <c r="C6330" s="11" t="str">
        <f>INDEX(Data,2,2+MOD(ROWS(C$2:C6330)-1,24))</f>
        <v>17.00</v>
      </c>
      <c r="D6330" s="8">
        <f t="shared" ca="1" si="296"/>
        <v>10</v>
      </c>
      <c r="E6330" s="16">
        <f t="shared" ca="1" si="297"/>
        <v>0</v>
      </c>
    </row>
    <row r="6331" spans="1:5" x14ac:dyDescent="0.25">
      <c r="A6331" s="3">
        <f t="shared" si="295"/>
        <v>78989</v>
      </c>
      <c r="B6331" t="str">
        <f ca="1">TEXT(DATE(YEAR(Invoer!$A$5),1,1)+INT((ROWS(B$2:B6331)-1)/24),"""18""jjmmdd")</f>
        <v>18980921</v>
      </c>
      <c r="C6331" s="11" t="str">
        <f>INDEX(Data,2,2+MOD(ROWS(C$2:C6331)-1,24))</f>
        <v>18.00</v>
      </c>
      <c r="D6331" s="8">
        <f t="shared" ca="1" si="296"/>
        <v>11</v>
      </c>
      <c r="E6331" s="16">
        <f t="shared" ca="1" si="297"/>
        <v>0</v>
      </c>
    </row>
    <row r="6332" spans="1:5" x14ac:dyDescent="0.25">
      <c r="A6332" s="3">
        <f t="shared" si="295"/>
        <v>78989</v>
      </c>
      <c r="B6332" t="str">
        <f ca="1">TEXT(DATE(YEAR(Invoer!$A$5),1,1)+INT((ROWS(B$2:B6332)-1)/24),"""18""jjmmdd")</f>
        <v>18980921</v>
      </c>
      <c r="C6332" s="11" t="str">
        <f>INDEX(Data,2,2+MOD(ROWS(C$2:C6332)-1,24))</f>
        <v>19.00</v>
      </c>
      <c r="D6332" s="8">
        <f t="shared" ca="1" si="296"/>
        <v>11</v>
      </c>
      <c r="E6332" s="16">
        <f t="shared" ca="1" si="297"/>
        <v>0</v>
      </c>
    </row>
    <row r="6333" spans="1:5" x14ac:dyDescent="0.25">
      <c r="A6333" s="3">
        <f t="shared" si="295"/>
        <v>78989</v>
      </c>
      <c r="B6333" t="str">
        <f ca="1">TEXT(DATE(YEAR(Invoer!$A$5),1,1)+INT((ROWS(B$2:B6333)-1)/24),"""18""jjmmdd")</f>
        <v>18980921</v>
      </c>
      <c r="C6333" s="11" t="str">
        <f>INDEX(Data,2,2+MOD(ROWS(C$2:C6333)-1,24))</f>
        <v>20.00</v>
      </c>
      <c r="D6333" s="8">
        <f t="shared" ca="1" si="296"/>
        <v>10</v>
      </c>
      <c r="E6333" s="16">
        <f t="shared" ca="1" si="297"/>
        <v>0</v>
      </c>
    </row>
    <row r="6334" spans="1:5" x14ac:dyDescent="0.25">
      <c r="A6334" s="3">
        <f t="shared" si="295"/>
        <v>78989</v>
      </c>
      <c r="B6334" t="str">
        <f ca="1">TEXT(DATE(YEAR(Invoer!$A$5),1,1)+INT((ROWS(B$2:B6334)-1)/24),"""18""jjmmdd")</f>
        <v>18980921</v>
      </c>
      <c r="C6334" s="11" t="str">
        <f>INDEX(Data,2,2+MOD(ROWS(C$2:C6334)-1,24))</f>
        <v>21.00</v>
      </c>
      <c r="D6334" s="8">
        <f t="shared" ca="1" si="296"/>
        <v>10</v>
      </c>
      <c r="E6334" s="16">
        <f t="shared" ca="1" si="297"/>
        <v>0</v>
      </c>
    </row>
    <row r="6335" spans="1:5" x14ac:dyDescent="0.25">
      <c r="A6335" s="3">
        <f t="shared" si="295"/>
        <v>78989</v>
      </c>
      <c r="B6335" t="str">
        <f ca="1">TEXT(DATE(YEAR(Invoer!$A$5),1,1)+INT((ROWS(B$2:B6335)-1)/24),"""18""jjmmdd")</f>
        <v>18980921</v>
      </c>
      <c r="C6335" s="11" t="str">
        <f>INDEX(Data,2,2+MOD(ROWS(C$2:C6335)-1,24))</f>
        <v>22.00</v>
      </c>
      <c r="D6335" s="8">
        <f t="shared" ca="1" si="296"/>
        <v>7</v>
      </c>
      <c r="E6335" s="16">
        <f t="shared" ca="1" si="297"/>
        <v>0</v>
      </c>
    </row>
    <row r="6336" spans="1:5" x14ac:dyDescent="0.25">
      <c r="A6336" s="3">
        <f t="shared" si="295"/>
        <v>78989</v>
      </c>
      <c r="B6336" t="str">
        <f ca="1">TEXT(DATE(YEAR(Invoer!$A$5),1,1)+INT((ROWS(B$2:B6336)-1)/24),"""18""jjmmdd")</f>
        <v>18980921</v>
      </c>
      <c r="C6336" s="11" t="str">
        <f>INDEX(Data,2,2+MOD(ROWS(C$2:C6336)-1,24))</f>
        <v>23.00</v>
      </c>
      <c r="D6336" s="8">
        <f t="shared" ca="1" si="296"/>
        <v>7</v>
      </c>
      <c r="E6336" s="16">
        <f t="shared" ca="1" si="297"/>
        <v>0</v>
      </c>
    </row>
    <row r="6337" spans="1:5" x14ac:dyDescent="0.25">
      <c r="A6337" s="3">
        <f t="shared" si="295"/>
        <v>78989</v>
      </c>
      <c r="B6337" t="str">
        <f ca="1">TEXT(DATE(YEAR(Invoer!$A$5),1,1)+INT((ROWS(B$2:B6337)-1)/24),"""18""jjmmdd")</f>
        <v>18980921</v>
      </c>
      <c r="C6337" s="11" t="str">
        <f>INDEX(Data,2,2+MOD(ROWS(C$2:C6337)-1,24))</f>
        <v>24.00</v>
      </c>
      <c r="D6337" s="8">
        <f t="shared" ca="1" si="296"/>
        <v>5</v>
      </c>
      <c r="E6337" s="16">
        <f t="shared" ca="1" si="297"/>
        <v>0</v>
      </c>
    </row>
    <row r="6338" spans="1:5" x14ac:dyDescent="0.25">
      <c r="A6338" s="3">
        <f t="shared" ref="A6338:A6401" si="298">INDEX(Stations,2,1)</f>
        <v>78989</v>
      </c>
      <c r="B6338" t="str">
        <f ca="1">TEXT(DATE(YEAR(Invoer!$A$5),1,1)+INT((ROWS(B$2:B6338)-1)/24),"""18""jjmmdd")</f>
        <v>18980922</v>
      </c>
      <c r="C6338" s="11" t="str">
        <f>INDEX(Data,2,2+MOD(ROWS(C$2:C6338)-1,24))</f>
        <v>01.00</v>
      </c>
      <c r="D6338" s="8">
        <f t="shared" ref="D6338:D6401" ca="1" si="299">IF(OR(ISBLANK(VLOOKUP(DATEVALUE("37"&amp;MID($B6338,3,2)&amp;"-"&amp;MID($B6338,5,2)&amp;"-"&amp;RIGHT($B6338,2)),Data,MATCH(LEFT(VLOOKUP(D$1,Parameters,2,FALSE()),4)&amp;"*",OFFSET(Data,0,0,1),0)+MATCH($C6338,OFFSET(Data,1,0,1),0)-2,FALSE())),ISTEXT(VLOOKUP(DATEVALUE("37"&amp;MID($B6338,3,2)&amp;"-"&amp;MID($B6338,5,2)&amp;"-"&amp;RIGHT($B6338,2)),Data,MATCH(LEFT(VLOOKUP(D$1,Parameters,2,FALSE()),4)&amp;"*",OFFSET(Data,0,0,1),0)+MATCH($C6338,OFFSET(Data,1,0,1),0)-2,FALSE()))),"—",VLOOKUP(DATEVALUE("37"&amp;MID($B6338,3,2)&amp;"-"&amp;MID($B6338,5,2)&amp;"-"&amp;RIGHT($B6338,2)),Data,MATCH(LEFT(VLOOKUP(D$1,Parameters,2,FALSE()),4)&amp;"*",OFFSET(Data,0,0,1),0)+MATCH($C6338,OFFSET(Data,1,0,1),0)-2,FALSE()))</f>
        <v>4</v>
      </c>
      <c r="E6338" s="16">
        <f t="shared" ca="1" si="297"/>
        <v>0</v>
      </c>
    </row>
    <row r="6339" spans="1:5" x14ac:dyDescent="0.25">
      <c r="A6339" s="3">
        <f t="shared" si="298"/>
        <v>78989</v>
      </c>
      <c r="B6339" t="str">
        <f ca="1">TEXT(DATE(YEAR(Invoer!$A$5),1,1)+INT((ROWS(B$2:B6339)-1)/24),"""18""jjmmdd")</f>
        <v>18980922</v>
      </c>
      <c r="C6339" s="11" t="str">
        <f>INDEX(Data,2,2+MOD(ROWS(C$2:C6339)-1,24))</f>
        <v>02.00</v>
      </c>
      <c r="D6339" s="8">
        <f t="shared" ca="1" si="299"/>
        <v>5</v>
      </c>
      <c r="E6339" s="16">
        <f t="shared" ref="E6339:E6402" ca="1" si="300">IF(OR(ISBLANK(VLOOKUP(DATEVALUE("37"&amp;MID($B6339,3,2)&amp;"-"&amp;MID($B6339,5,2)&amp;"-"&amp;RIGHT($B6339,2)),Data,MATCH(LEFT(VLOOKUP(D$1,Parameters,2,FALSE()),4)&amp;"*",OFFSET(Data,0,0,1),0)+MATCH($C6339,OFFSET(Data,1,0,1),0)-2,FALSE())),ISTEXT(VLOOKUP(DATEVALUE("37"&amp;MID($B6339,3,2)&amp;"-"&amp;MID($B6339,5,2)&amp;"-"&amp;RIGHT($B6339,2)),Data,MATCH(LEFT(VLOOKUP(D$1,Parameters,2,FALSE()),4)&amp;"*",OFFSET(Data,0,0,1),0)+MATCH($C6339,OFFSET(Data,1,0,1),0)-2,FALSE()))),Lacking,IF(ISNA(MATCH(DATEVALUE("37"&amp;MID($B6339,3,2)&amp;"-"&amp;MID($B6339,5,2)&amp;"-"&amp;RIGHT($B6339,2)),OFFSET(Catalogus,0,0,,1),0)),Ok,VLOOKUP(DATEVALUE("37"&amp;MID($B6339,3,2)&amp;"-"&amp;MID($B6339,5,2)&amp;"-"&amp;RIGHT($B6339,2)),Catalogus,MATCH(LEFT(VLOOKUP(MID(E$1,2,LEN(E$1)-1),Parameters,2,FALSE()),4)&amp;"*",OFFSET(Catalogus,0,0,1),0)+MATCH($C6339,OFFSET(Catalogus,1,0,1),0)-2,FALSE())))</f>
        <v>0</v>
      </c>
    </row>
    <row r="6340" spans="1:5" x14ac:dyDescent="0.25">
      <c r="A6340" s="3">
        <f t="shared" si="298"/>
        <v>78989</v>
      </c>
      <c r="B6340" t="str">
        <f ca="1">TEXT(DATE(YEAR(Invoer!$A$5),1,1)+INT((ROWS(B$2:B6340)-1)/24),"""18""jjmmdd")</f>
        <v>18980922</v>
      </c>
      <c r="C6340" s="11" t="str">
        <f>INDEX(Data,2,2+MOD(ROWS(C$2:C6340)-1,24))</f>
        <v>03.00</v>
      </c>
      <c r="D6340" s="8">
        <f t="shared" ca="1" si="299"/>
        <v>5</v>
      </c>
      <c r="E6340" s="16">
        <f t="shared" ca="1" si="300"/>
        <v>0</v>
      </c>
    </row>
    <row r="6341" spans="1:5" x14ac:dyDescent="0.25">
      <c r="A6341" s="3">
        <f t="shared" si="298"/>
        <v>78989</v>
      </c>
      <c r="B6341" t="str">
        <f ca="1">TEXT(DATE(YEAR(Invoer!$A$5),1,1)+INT((ROWS(B$2:B6341)-1)/24),"""18""jjmmdd")</f>
        <v>18980922</v>
      </c>
      <c r="C6341" s="11" t="str">
        <f>INDEX(Data,2,2+MOD(ROWS(C$2:C6341)-1,24))</f>
        <v>04.00</v>
      </c>
      <c r="D6341" s="8">
        <f t="shared" ca="1" si="299"/>
        <v>6</v>
      </c>
      <c r="E6341" s="16">
        <f t="shared" ca="1" si="300"/>
        <v>0</v>
      </c>
    </row>
    <row r="6342" spans="1:5" x14ac:dyDescent="0.25">
      <c r="A6342" s="3">
        <f t="shared" si="298"/>
        <v>78989</v>
      </c>
      <c r="B6342" t="str">
        <f ca="1">TEXT(DATE(YEAR(Invoer!$A$5),1,1)+INT((ROWS(B$2:B6342)-1)/24),"""18""jjmmdd")</f>
        <v>18980922</v>
      </c>
      <c r="C6342" s="11" t="str">
        <f>INDEX(Data,2,2+MOD(ROWS(C$2:C6342)-1,24))</f>
        <v>05.00</v>
      </c>
      <c r="D6342" s="8">
        <f t="shared" ca="1" si="299"/>
        <v>6</v>
      </c>
      <c r="E6342" s="16">
        <f t="shared" ca="1" si="300"/>
        <v>0</v>
      </c>
    </row>
    <row r="6343" spans="1:5" x14ac:dyDescent="0.25">
      <c r="A6343" s="3">
        <f t="shared" si="298"/>
        <v>78989</v>
      </c>
      <c r="B6343" t="str">
        <f ca="1">TEXT(DATE(YEAR(Invoer!$A$5),1,1)+INT((ROWS(B$2:B6343)-1)/24),"""18""jjmmdd")</f>
        <v>18980922</v>
      </c>
      <c r="C6343" s="11" t="str">
        <f>INDEX(Data,2,2+MOD(ROWS(C$2:C6343)-1,24))</f>
        <v>06.00</v>
      </c>
      <c r="D6343" s="8">
        <f t="shared" ca="1" si="299"/>
        <v>4</v>
      </c>
      <c r="E6343" s="16">
        <f t="shared" ca="1" si="300"/>
        <v>0</v>
      </c>
    </row>
    <row r="6344" spans="1:5" x14ac:dyDescent="0.25">
      <c r="A6344" s="3">
        <f t="shared" si="298"/>
        <v>78989</v>
      </c>
      <c r="B6344" t="str">
        <f ca="1">TEXT(DATE(YEAR(Invoer!$A$5),1,1)+INT((ROWS(B$2:B6344)-1)/24),"""18""jjmmdd")</f>
        <v>18980922</v>
      </c>
      <c r="C6344" s="11" t="str">
        <f>INDEX(Data,2,2+MOD(ROWS(C$2:C6344)-1,24))</f>
        <v>07.00</v>
      </c>
      <c r="D6344" s="8">
        <f t="shared" ca="1" si="299"/>
        <v>5</v>
      </c>
      <c r="E6344" s="16">
        <f t="shared" ca="1" si="300"/>
        <v>0</v>
      </c>
    </row>
    <row r="6345" spans="1:5" x14ac:dyDescent="0.25">
      <c r="A6345" s="3">
        <f t="shared" si="298"/>
        <v>78989</v>
      </c>
      <c r="B6345" t="str">
        <f ca="1">TEXT(DATE(YEAR(Invoer!$A$5),1,1)+INT((ROWS(B$2:B6345)-1)/24),"""18""jjmmdd")</f>
        <v>18980922</v>
      </c>
      <c r="C6345" s="11" t="str">
        <f>INDEX(Data,2,2+MOD(ROWS(C$2:C6345)-1,24))</f>
        <v>08.00</v>
      </c>
      <c r="D6345" s="8">
        <f t="shared" ca="1" si="299"/>
        <v>8</v>
      </c>
      <c r="E6345" s="16">
        <f t="shared" ca="1" si="300"/>
        <v>0</v>
      </c>
    </row>
    <row r="6346" spans="1:5" x14ac:dyDescent="0.25">
      <c r="A6346" s="3">
        <f t="shared" si="298"/>
        <v>78989</v>
      </c>
      <c r="B6346" t="str">
        <f ca="1">TEXT(DATE(YEAR(Invoer!$A$5),1,1)+INT((ROWS(B$2:B6346)-1)/24),"""18""jjmmdd")</f>
        <v>18980922</v>
      </c>
      <c r="C6346" s="11" t="str">
        <f>INDEX(Data,2,2+MOD(ROWS(C$2:C6346)-1,24))</f>
        <v>09.00</v>
      </c>
      <c r="D6346" s="8">
        <f t="shared" ca="1" si="299"/>
        <v>9</v>
      </c>
      <c r="E6346" s="16">
        <f t="shared" ca="1" si="300"/>
        <v>0</v>
      </c>
    </row>
    <row r="6347" spans="1:5" x14ac:dyDescent="0.25">
      <c r="A6347" s="3">
        <f t="shared" si="298"/>
        <v>78989</v>
      </c>
      <c r="B6347" t="str">
        <f ca="1">TEXT(DATE(YEAR(Invoer!$A$5),1,1)+INT((ROWS(B$2:B6347)-1)/24),"""18""jjmmdd")</f>
        <v>18980922</v>
      </c>
      <c r="C6347" s="11" t="str">
        <f>INDEX(Data,2,2+MOD(ROWS(C$2:C6347)-1,24))</f>
        <v>10.00</v>
      </c>
      <c r="D6347" s="8">
        <f t="shared" ca="1" si="299"/>
        <v>9</v>
      </c>
      <c r="E6347" s="16">
        <f t="shared" ca="1" si="300"/>
        <v>0</v>
      </c>
    </row>
    <row r="6348" spans="1:5" x14ac:dyDescent="0.25">
      <c r="A6348" s="3">
        <f t="shared" si="298"/>
        <v>78989</v>
      </c>
      <c r="B6348" t="str">
        <f ca="1">TEXT(DATE(YEAR(Invoer!$A$5),1,1)+INT((ROWS(B$2:B6348)-1)/24),"""18""jjmmdd")</f>
        <v>18980922</v>
      </c>
      <c r="C6348" s="11" t="str">
        <f>INDEX(Data,2,2+MOD(ROWS(C$2:C6348)-1,24))</f>
        <v>11.00</v>
      </c>
      <c r="D6348" s="8">
        <f t="shared" ca="1" si="299"/>
        <v>9</v>
      </c>
      <c r="E6348" s="16">
        <f t="shared" ca="1" si="300"/>
        <v>0</v>
      </c>
    </row>
    <row r="6349" spans="1:5" x14ac:dyDescent="0.25">
      <c r="A6349" s="3">
        <f t="shared" si="298"/>
        <v>78989</v>
      </c>
      <c r="B6349" t="str">
        <f ca="1">TEXT(DATE(YEAR(Invoer!$A$5),1,1)+INT((ROWS(B$2:B6349)-1)/24),"""18""jjmmdd")</f>
        <v>18980922</v>
      </c>
      <c r="C6349" s="11" t="str">
        <f>INDEX(Data,2,2+MOD(ROWS(C$2:C6349)-1,24))</f>
        <v>12.00</v>
      </c>
      <c r="D6349" s="8">
        <f t="shared" ca="1" si="299"/>
        <v>7</v>
      </c>
      <c r="E6349" s="16">
        <f t="shared" ca="1" si="300"/>
        <v>0</v>
      </c>
    </row>
    <row r="6350" spans="1:5" x14ac:dyDescent="0.25">
      <c r="A6350" s="3">
        <f t="shared" si="298"/>
        <v>78989</v>
      </c>
      <c r="B6350" t="str">
        <f ca="1">TEXT(DATE(YEAR(Invoer!$A$5),1,1)+INT((ROWS(B$2:B6350)-1)/24),"""18""jjmmdd")</f>
        <v>18980922</v>
      </c>
      <c r="C6350" s="11" t="str">
        <f>INDEX(Data,2,2+MOD(ROWS(C$2:C6350)-1,24))</f>
        <v>13.00</v>
      </c>
      <c r="D6350" s="8">
        <f t="shared" ca="1" si="299"/>
        <v>8</v>
      </c>
      <c r="E6350" s="16">
        <f t="shared" ca="1" si="300"/>
        <v>0</v>
      </c>
    </row>
    <row r="6351" spans="1:5" x14ac:dyDescent="0.25">
      <c r="A6351" s="3">
        <f t="shared" si="298"/>
        <v>78989</v>
      </c>
      <c r="B6351" t="str">
        <f ca="1">TEXT(DATE(YEAR(Invoer!$A$5),1,1)+INT((ROWS(B$2:B6351)-1)/24),"""18""jjmmdd")</f>
        <v>18980922</v>
      </c>
      <c r="C6351" s="11" t="str">
        <f>INDEX(Data,2,2+MOD(ROWS(C$2:C6351)-1,24))</f>
        <v>14.00</v>
      </c>
      <c r="D6351" s="8">
        <f t="shared" ca="1" si="299"/>
        <v>6</v>
      </c>
      <c r="E6351" s="16">
        <f t="shared" ca="1" si="300"/>
        <v>0</v>
      </c>
    </row>
    <row r="6352" spans="1:5" x14ac:dyDescent="0.25">
      <c r="A6352" s="3">
        <f t="shared" si="298"/>
        <v>78989</v>
      </c>
      <c r="B6352" t="str">
        <f ca="1">TEXT(DATE(YEAR(Invoer!$A$5),1,1)+INT((ROWS(B$2:B6352)-1)/24),"""18""jjmmdd")</f>
        <v>18980922</v>
      </c>
      <c r="C6352" s="11" t="str">
        <f>INDEX(Data,2,2+MOD(ROWS(C$2:C6352)-1,24))</f>
        <v>15.00</v>
      </c>
      <c r="D6352" s="8">
        <f t="shared" ca="1" si="299"/>
        <v>5</v>
      </c>
      <c r="E6352" s="16">
        <f t="shared" ca="1" si="300"/>
        <v>0</v>
      </c>
    </row>
    <row r="6353" spans="1:5" x14ac:dyDescent="0.25">
      <c r="A6353" s="3">
        <f t="shared" si="298"/>
        <v>78989</v>
      </c>
      <c r="B6353" t="str">
        <f ca="1">TEXT(DATE(YEAR(Invoer!$A$5),1,1)+INT((ROWS(B$2:B6353)-1)/24),"""18""jjmmdd")</f>
        <v>18980922</v>
      </c>
      <c r="C6353" s="11" t="str">
        <f>INDEX(Data,2,2+MOD(ROWS(C$2:C6353)-1,24))</f>
        <v>16.00</v>
      </c>
      <c r="D6353" s="8">
        <f t="shared" ca="1" si="299"/>
        <v>6</v>
      </c>
      <c r="E6353" s="16">
        <f t="shared" ca="1" si="300"/>
        <v>0</v>
      </c>
    </row>
    <row r="6354" spans="1:5" x14ac:dyDescent="0.25">
      <c r="A6354" s="3">
        <f t="shared" si="298"/>
        <v>78989</v>
      </c>
      <c r="B6354" t="str">
        <f ca="1">TEXT(DATE(YEAR(Invoer!$A$5),1,1)+INT((ROWS(B$2:B6354)-1)/24),"""18""jjmmdd")</f>
        <v>18980922</v>
      </c>
      <c r="C6354" s="11" t="str">
        <f>INDEX(Data,2,2+MOD(ROWS(C$2:C6354)-1,24))</f>
        <v>17.00</v>
      </c>
      <c r="D6354" s="8">
        <f t="shared" ca="1" si="299"/>
        <v>5</v>
      </c>
      <c r="E6354" s="16">
        <f t="shared" ca="1" si="300"/>
        <v>0</v>
      </c>
    </row>
    <row r="6355" spans="1:5" x14ac:dyDescent="0.25">
      <c r="A6355" s="3">
        <f t="shared" si="298"/>
        <v>78989</v>
      </c>
      <c r="B6355" t="str">
        <f ca="1">TEXT(DATE(YEAR(Invoer!$A$5),1,1)+INT((ROWS(B$2:B6355)-1)/24),"""18""jjmmdd")</f>
        <v>18980922</v>
      </c>
      <c r="C6355" s="11" t="str">
        <f>INDEX(Data,2,2+MOD(ROWS(C$2:C6355)-1,24))</f>
        <v>18.00</v>
      </c>
      <c r="D6355" s="8">
        <f t="shared" ca="1" si="299"/>
        <v>7</v>
      </c>
      <c r="E6355" s="16">
        <f t="shared" ca="1" si="300"/>
        <v>0</v>
      </c>
    </row>
    <row r="6356" spans="1:5" x14ac:dyDescent="0.25">
      <c r="A6356" s="3">
        <f t="shared" si="298"/>
        <v>78989</v>
      </c>
      <c r="B6356" t="str">
        <f ca="1">TEXT(DATE(YEAR(Invoer!$A$5),1,1)+INT((ROWS(B$2:B6356)-1)/24),"""18""jjmmdd")</f>
        <v>18980922</v>
      </c>
      <c r="C6356" s="11" t="str">
        <f>INDEX(Data,2,2+MOD(ROWS(C$2:C6356)-1,24))</f>
        <v>19.00</v>
      </c>
      <c r="D6356" s="8">
        <f t="shared" ca="1" si="299"/>
        <v>7</v>
      </c>
      <c r="E6356" s="16">
        <f t="shared" ca="1" si="300"/>
        <v>0</v>
      </c>
    </row>
    <row r="6357" spans="1:5" x14ac:dyDescent="0.25">
      <c r="A6357" s="3">
        <f t="shared" si="298"/>
        <v>78989</v>
      </c>
      <c r="B6357" t="str">
        <f ca="1">TEXT(DATE(YEAR(Invoer!$A$5),1,1)+INT((ROWS(B$2:B6357)-1)/24),"""18""jjmmdd")</f>
        <v>18980922</v>
      </c>
      <c r="C6357" s="11" t="str">
        <f>INDEX(Data,2,2+MOD(ROWS(C$2:C6357)-1,24))</f>
        <v>20.00</v>
      </c>
      <c r="D6357" s="8">
        <f t="shared" ca="1" si="299"/>
        <v>5</v>
      </c>
      <c r="E6357" s="16">
        <f t="shared" ca="1" si="300"/>
        <v>0</v>
      </c>
    </row>
    <row r="6358" spans="1:5" x14ac:dyDescent="0.25">
      <c r="A6358" s="3">
        <f t="shared" si="298"/>
        <v>78989</v>
      </c>
      <c r="B6358" t="str">
        <f ca="1">TEXT(DATE(YEAR(Invoer!$A$5),1,1)+INT((ROWS(B$2:B6358)-1)/24),"""18""jjmmdd")</f>
        <v>18980922</v>
      </c>
      <c r="C6358" s="11" t="str">
        <f>INDEX(Data,2,2+MOD(ROWS(C$2:C6358)-1,24))</f>
        <v>21.00</v>
      </c>
      <c r="D6358" s="8">
        <f t="shared" ca="1" si="299"/>
        <v>5</v>
      </c>
      <c r="E6358" s="16">
        <f t="shared" ca="1" si="300"/>
        <v>0</v>
      </c>
    </row>
    <row r="6359" spans="1:5" x14ac:dyDescent="0.25">
      <c r="A6359" s="3">
        <f t="shared" si="298"/>
        <v>78989</v>
      </c>
      <c r="B6359" t="str">
        <f ca="1">TEXT(DATE(YEAR(Invoer!$A$5),1,1)+INT((ROWS(B$2:B6359)-1)/24),"""18""jjmmdd")</f>
        <v>18980922</v>
      </c>
      <c r="C6359" s="11" t="str">
        <f>INDEX(Data,2,2+MOD(ROWS(C$2:C6359)-1,24))</f>
        <v>22.00</v>
      </c>
      <c r="D6359" s="8">
        <f t="shared" ca="1" si="299"/>
        <v>2</v>
      </c>
      <c r="E6359" s="16">
        <f t="shared" ca="1" si="300"/>
        <v>0</v>
      </c>
    </row>
    <row r="6360" spans="1:5" x14ac:dyDescent="0.25">
      <c r="A6360" s="3">
        <f t="shared" si="298"/>
        <v>78989</v>
      </c>
      <c r="B6360" t="str">
        <f ca="1">TEXT(DATE(YEAR(Invoer!$A$5),1,1)+INT((ROWS(B$2:B6360)-1)/24),"""18""jjmmdd")</f>
        <v>18980922</v>
      </c>
      <c r="C6360" s="11" t="str">
        <f>INDEX(Data,2,2+MOD(ROWS(C$2:C6360)-1,24))</f>
        <v>23.00</v>
      </c>
      <c r="D6360" s="8">
        <f t="shared" ca="1" si="299"/>
        <v>2</v>
      </c>
      <c r="E6360" s="16">
        <f t="shared" ca="1" si="300"/>
        <v>0</v>
      </c>
    </row>
    <row r="6361" spans="1:5" x14ac:dyDescent="0.25">
      <c r="A6361" s="3">
        <f t="shared" si="298"/>
        <v>78989</v>
      </c>
      <c r="B6361" t="str">
        <f ca="1">TEXT(DATE(YEAR(Invoer!$A$5),1,1)+INT((ROWS(B$2:B6361)-1)/24),"""18""jjmmdd")</f>
        <v>18980922</v>
      </c>
      <c r="C6361" s="11" t="str">
        <f>INDEX(Data,2,2+MOD(ROWS(C$2:C6361)-1,24))</f>
        <v>24.00</v>
      </c>
      <c r="D6361" s="8">
        <f t="shared" ca="1" si="299"/>
        <v>2</v>
      </c>
      <c r="E6361" s="16">
        <f t="shared" ca="1" si="300"/>
        <v>0</v>
      </c>
    </row>
    <row r="6362" spans="1:5" x14ac:dyDescent="0.25">
      <c r="A6362" s="3">
        <f t="shared" si="298"/>
        <v>78989</v>
      </c>
      <c r="B6362" t="str">
        <f ca="1">TEXT(DATE(YEAR(Invoer!$A$5),1,1)+INT((ROWS(B$2:B6362)-1)/24),"""18""jjmmdd")</f>
        <v>18980923</v>
      </c>
      <c r="C6362" s="11" t="str">
        <f>INDEX(Data,2,2+MOD(ROWS(C$2:C6362)-1,24))</f>
        <v>01.00</v>
      </c>
      <c r="D6362" s="8">
        <f t="shared" ca="1" si="299"/>
        <v>5</v>
      </c>
      <c r="E6362" s="16">
        <f t="shared" ca="1" si="300"/>
        <v>0</v>
      </c>
    </row>
    <row r="6363" spans="1:5" x14ac:dyDescent="0.25">
      <c r="A6363" s="3">
        <f t="shared" si="298"/>
        <v>78989</v>
      </c>
      <c r="B6363" t="str">
        <f ca="1">TEXT(DATE(YEAR(Invoer!$A$5),1,1)+INT((ROWS(B$2:B6363)-1)/24),"""18""jjmmdd")</f>
        <v>18980923</v>
      </c>
      <c r="C6363" s="11" t="str">
        <f>INDEX(Data,2,2+MOD(ROWS(C$2:C6363)-1,24))</f>
        <v>02.00</v>
      </c>
      <c r="D6363" s="8">
        <f t="shared" ca="1" si="299"/>
        <v>7</v>
      </c>
      <c r="E6363" s="16">
        <f t="shared" ca="1" si="300"/>
        <v>0</v>
      </c>
    </row>
    <row r="6364" spans="1:5" x14ac:dyDescent="0.25">
      <c r="A6364" s="3">
        <f t="shared" si="298"/>
        <v>78989</v>
      </c>
      <c r="B6364" t="str">
        <f ca="1">TEXT(DATE(YEAR(Invoer!$A$5),1,1)+INT((ROWS(B$2:B6364)-1)/24),"""18""jjmmdd")</f>
        <v>18980923</v>
      </c>
      <c r="C6364" s="11" t="str">
        <f>INDEX(Data,2,2+MOD(ROWS(C$2:C6364)-1,24))</f>
        <v>03.00</v>
      </c>
      <c r="D6364" s="8">
        <f t="shared" ca="1" si="299"/>
        <v>6</v>
      </c>
      <c r="E6364" s="16">
        <f t="shared" ca="1" si="300"/>
        <v>0</v>
      </c>
    </row>
    <row r="6365" spans="1:5" x14ac:dyDescent="0.25">
      <c r="A6365" s="3">
        <f t="shared" si="298"/>
        <v>78989</v>
      </c>
      <c r="B6365" t="str">
        <f ca="1">TEXT(DATE(YEAR(Invoer!$A$5),1,1)+INT((ROWS(B$2:B6365)-1)/24),"""18""jjmmdd")</f>
        <v>18980923</v>
      </c>
      <c r="C6365" s="11" t="str">
        <f>INDEX(Data,2,2+MOD(ROWS(C$2:C6365)-1,24))</f>
        <v>04.00</v>
      </c>
      <c r="D6365" s="8">
        <f t="shared" ca="1" si="299"/>
        <v>3</v>
      </c>
      <c r="E6365" s="16">
        <f t="shared" ca="1" si="300"/>
        <v>0</v>
      </c>
    </row>
    <row r="6366" spans="1:5" x14ac:dyDescent="0.25">
      <c r="A6366" s="3">
        <f t="shared" si="298"/>
        <v>78989</v>
      </c>
      <c r="B6366" t="str">
        <f ca="1">TEXT(DATE(YEAR(Invoer!$A$5),1,1)+INT((ROWS(B$2:B6366)-1)/24),"""18""jjmmdd")</f>
        <v>18980923</v>
      </c>
      <c r="C6366" s="11" t="str">
        <f>INDEX(Data,2,2+MOD(ROWS(C$2:C6366)-1,24))</f>
        <v>05.00</v>
      </c>
      <c r="D6366" s="8">
        <f t="shared" ca="1" si="299"/>
        <v>4</v>
      </c>
      <c r="E6366" s="16">
        <f t="shared" ca="1" si="300"/>
        <v>0</v>
      </c>
    </row>
    <row r="6367" spans="1:5" x14ac:dyDescent="0.25">
      <c r="A6367" s="3">
        <f t="shared" si="298"/>
        <v>78989</v>
      </c>
      <c r="B6367" t="str">
        <f ca="1">TEXT(DATE(YEAR(Invoer!$A$5),1,1)+INT((ROWS(B$2:B6367)-1)/24),"""18""jjmmdd")</f>
        <v>18980923</v>
      </c>
      <c r="C6367" s="11" t="str">
        <f>INDEX(Data,2,2+MOD(ROWS(C$2:C6367)-1,24))</f>
        <v>06.00</v>
      </c>
      <c r="D6367" s="8">
        <f t="shared" ca="1" si="299"/>
        <v>4</v>
      </c>
      <c r="E6367" s="16">
        <f t="shared" ca="1" si="300"/>
        <v>0</v>
      </c>
    </row>
    <row r="6368" spans="1:5" x14ac:dyDescent="0.25">
      <c r="A6368" s="3">
        <f t="shared" si="298"/>
        <v>78989</v>
      </c>
      <c r="B6368" t="str">
        <f ca="1">TEXT(DATE(YEAR(Invoer!$A$5),1,1)+INT((ROWS(B$2:B6368)-1)/24),"""18""jjmmdd")</f>
        <v>18980923</v>
      </c>
      <c r="C6368" s="11" t="str">
        <f>INDEX(Data,2,2+MOD(ROWS(C$2:C6368)-1,24))</f>
        <v>07.00</v>
      </c>
      <c r="D6368" s="8">
        <f t="shared" ca="1" si="299"/>
        <v>2</v>
      </c>
      <c r="E6368" s="16">
        <f t="shared" ca="1" si="300"/>
        <v>0</v>
      </c>
    </row>
    <row r="6369" spans="1:5" x14ac:dyDescent="0.25">
      <c r="A6369" s="3">
        <f t="shared" si="298"/>
        <v>78989</v>
      </c>
      <c r="B6369" t="str">
        <f ca="1">TEXT(DATE(YEAR(Invoer!$A$5),1,1)+INT((ROWS(B$2:B6369)-1)/24),"""18""jjmmdd")</f>
        <v>18980923</v>
      </c>
      <c r="C6369" s="11" t="str">
        <f>INDEX(Data,2,2+MOD(ROWS(C$2:C6369)-1,24))</f>
        <v>08.00</v>
      </c>
      <c r="D6369" s="8">
        <f t="shared" ca="1" si="299"/>
        <v>8</v>
      </c>
      <c r="E6369" s="16">
        <f t="shared" ca="1" si="300"/>
        <v>0</v>
      </c>
    </row>
    <row r="6370" spans="1:5" x14ac:dyDescent="0.25">
      <c r="A6370" s="3">
        <f t="shared" si="298"/>
        <v>78989</v>
      </c>
      <c r="B6370" t="str">
        <f ca="1">TEXT(DATE(YEAR(Invoer!$A$5),1,1)+INT((ROWS(B$2:B6370)-1)/24),"""18""jjmmdd")</f>
        <v>18980923</v>
      </c>
      <c r="C6370" s="11" t="str">
        <f>INDEX(Data,2,2+MOD(ROWS(C$2:C6370)-1,24))</f>
        <v>09.00</v>
      </c>
      <c r="D6370" s="8">
        <f t="shared" ca="1" si="299"/>
        <v>7</v>
      </c>
      <c r="E6370" s="16">
        <f t="shared" ca="1" si="300"/>
        <v>0</v>
      </c>
    </row>
    <row r="6371" spans="1:5" x14ac:dyDescent="0.25">
      <c r="A6371" s="3">
        <f t="shared" si="298"/>
        <v>78989</v>
      </c>
      <c r="B6371" t="str">
        <f ca="1">TEXT(DATE(YEAR(Invoer!$A$5),1,1)+INT((ROWS(B$2:B6371)-1)/24),"""18""jjmmdd")</f>
        <v>18980923</v>
      </c>
      <c r="C6371" s="11" t="str">
        <f>INDEX(Data,2,2+MOD(ROWS(C$2:C6371)-1,24))</f>
        <v>10.00</v>
      </c>
      <c r="D6371" s="8">
        <f t="shared" ca="1" si="299"/>
        <v>9</v>
      </c>
      <c r="E6371" s="16">
        <f t="shared" ca="1" si="300"/>
        <v>0</v>
      </c>
    </row>
    <row r="6372" spans="1:5" x14ac:dyDescent="0.25">
      <c r="A6372" s="3">
        <f t="shared" si="298"/>
        <v>78989</v>
      </c>
      <c r="B6372" t="str">
        <f ca="1">TEXT(DATE(YEAR(Invoer!$A$5),1,1)+INT((ROWS(B$2:B6372)-1)/24),"""18""jjmmdd")</f>
        <v>18980923</v>
      </c>
      <c r="C6372" s="11" t="str">
        <f>INDEX(Data,2,2+MOD(ROWS(C$2:C6372)-1,24))</f>
        <v>11.00</v>
      </c>
      <c r="D6372" s="8">
        <f t="shared" ca="1" si="299"/>
        <v>7</v>
      </c>
      <c r="E6372" s="16">
        <f t="shared" ca="1" si="300"/>
        <v>0</v>
      </c>
    </row>
    <row r="6373" spans="1:5" x14ac:dyDescent="0.25">
      <c r="A6373" s="3">
        <f t="shared" si="298"/>
        <v>78989</v>
      </c>
      <c r="B6373" t="str">
        <f ca="1">TEXT(DATE(YEAR(Invoer!$A$5),1,1)+INT((ROWS(B$2:B6373)-1)/24),"""18""jjmmdd")</f>
        <v>18980923</v>
      </c>
      <c r="C6373" s="11" t="str">
        <f>INDEX(Data,2,2+MOD(ROWS(C$2:C6373)-1,24))</f>
        <v>12.00</v>
      </c>
      <c r="D6373" s="8">
        <f t="shared" ca="1" si="299"/>
        <v>5</v>
      </c>
      <c r="E6373" s="16">
        <f t="shared" ca="1" si="300"/>
        <v>0</v>
      </c>
    </row>
    <row r="6374" spans="1:5" x14ac:dyDescent="0.25">
      <c r="A6374" s="3">
        <f t="shared" si="298"/>
        <v>78989</v>
      </c>
      <c r="B6374" t="str">
        <f ca="1">TEXT(DATE(YEAR(Invoer!$A$5),1,1)+INT((ROWS(B$2:B6374)-1)/24),"""18""jjmmdd")</f>
        <v>18980923</v>
      </c>
      <c r="C6374" s="11" t="str">
        <f>INDEX(Data,2,2+MOD(ROWS(C$2:C6374)-1,24))</f>
        <v>13.00</v>
      </c>
      <c r="D6374" s="8">
        <f t="shared" ca="1" si="299"/>
        <v>5</v>
      </c>
      <c r="E6374" s="16">
        <f t="shared" ca="1" si="300"/>
        <v>0</v>
      </c>
    </row>
    <row r="6375" spans="1:5" x14ac:dyDescent="0.25">
      <c r="A6375" s="3">
        <f t="shared" si="298"/>
        <v>78989</v>
      </c>
      <c r="B6375" t="str">
        <f ca="1">TEXT(DATE(YEAR(Invoer!$A$5),1,1)+INT((ROWS(B$2:B6375)-1)/24),"""18""jjmmdd")</f>
        <v>18980923</v>
      </c>
      <c r="C6375" s="11" t="str">
        <f>INDEX(Data,2,2+MOD(ROWS(C$2:C6375)-1,24))</f>
        <v>14.00</v>
      </c>
      <c r="D6375" s="8">
        <f t="shared" ca="1" si="299"/>
        <v>4</v>
      </c>
      <c r="E6375" s="16">
        <f t="shared" ca="1" si="300"/>
        <v>0</v>
      </c>
    </row>
    <row r="6376" spans="1:5" x14ac:dyDescent="0.25">
      <c r="A6376" s="3">
        <f t="shared" si="298"/>
        <v>78989</v>
      </c>
      <c r="B6376" t="str">
        <f ca="1">TEXT(DATE(YEAR(Invoer!$A$5),1,1)+INT((ROWS(B$2:B6376)-1)/24),"""18""jjmmdd")</f>
        <v>18980923</v>
      </c>
      <c r="C6376" s="11" t="str">
        <f>INDEX(Data,2,2+MOD(ROWS(C$2:C6376)-1,24))</f>
        <v>15.00</v>
      </c>
      <c r="D6376" s="8">
        <f t="shared" ca="1" si="299"/>
        <v>5</v>
      </c>
      <c r="E6376" s="16">
        <f t="shared" ca="1" si="300"/>
        <v>0</v>
      </c>
    </row>
    <row r="6377" spans="1:5" x14ac:dyDescent="0.25">
      <c r="A6377" s="3">
        <f t="shared" si="298"/>
        <v>78989</v>
      </c>
      <c r="B6377" t="str">
        <f ca="1">TEXT(DATE(YEAR(Invoer!$A$5),1,1)+INT((ROWS(B$2:B6377)-1)/24),"""18""jjmmdd")</f>
        <v>18980923</v>
      </c>
      <c r="C6377" s="11" t="str">
        <f>INDEX(Data,2,2+MOD(ROWS(C$2:C6377)-1,24))</f>
        <v>16.00</v>
      </c>
      <c r="D6377" s="8">
        <f t="shared" ca="1" si="299"/>
        <v>5</v>
      </c>
      <c r="E6377" s="16">
        <f t="shared" ca="1" si="300"/>
        <v>0</v>
      </c>
    </row>
    <row r="6378" spans="1:5" x14ac:dyDescent="0.25">
      <c r="A6378" s="3">
        <f t="shared" si="298"/>
        <v>78989</v>
      </c>
      <c r="B6378" t="str">
        <f ca="1">TEXT(DATE(YEAR(Invoer!$A$5),1,1)+INT((ROWS(B$2:B6378)-1)/24),"""18""jjmmdd")</f>
        <v>18980923</v>
      </c>
      <c r="C6378" s="11" t="str">
        <f>INDEX(Data,2,2+MOD(ROWS(C$2:C6378)-1,24))</f>
        <v>17.00</v>
      </c>
      <c r="D6378" s="8">
        <f t="shared" ca="1" si="299"/>
        <v>4</v>
      </c>
      <c r="E6378" s="16">
        <f t="shared" ca="1" si="300"/>
        <v>0</v>
      </c>
    </row>
    <row r="6379" spans="1:5" x14ac:dyDescent="0.25">
      <c r="A6379" s="3">
        <f t="shared" si="298"/>
        <v>78989</v>
      </c>
      <c r="B6379" t="str">
        <f ca="1">TEXT(DATE(YEAR(Invoer!$A$5),1,1)+INT((ROWS(B$2:B6379)-1)/24),"""18""jjmmdd")</f>
        <v>18980923</v>
      </c>
      <c r="C6379" s="11" t="str">
        <f>INDEX(Data,2,2+MOD(ROWS(C$2:C6379)-1,24))</f>
        <v>18.00</v>
      </c>
      <c r="D6379" s="8">
        <f t="shared" ca="1" si="299"/>
        <v>5</v>
      </c>
      <c r="E6379" s="16">
        <f t="shared" ca="1" si="300"/>
        <v>0</v>
      </c>
    </row>
    <row r="6380" spans="1:5" x14ac:dyDescent="0.25">
      <c r="A6380" s="3">
        <f t="shared" si="298"/>
        <v>78989</v>
      </c>
      <c r="B6380" t="str">
        <f ca="1">TEXT(DATE(YEAR(Invoer!$A$5),1,1)+INT((ROWS(B$2:B6380)-1)/24),"""18""jjmmdd")</f>
        <v>18980923</v>
      </c>
      <c r="C6380" s="11" t="str">
        <f>INDEX(Data,2,2+MOD(ROWS(C$2:C6380)-1,24))</f>
        <v>19.00</v>
      </c>
      <c r="D6380" s="8">
        <f t="shared" ca="1" si="299"/>
        <v>5</v>
      </c>
      <c r="E6380" s="16">
        <f t="shared" ca="1" si="300"/>
        <v>0</v>
      </c>
    </row>
    <row r="6381" spans="1:5" x14ac:dyDescent="0.25">
      <c r="A6381" s="3">
        <f t="shared" si="298"/>
        <v>78989</v>
      </c>
      <c r="B6381" t="str">
        <f ca="1">TEXT(DATE(YEAR(Invoer!$A$5),1,1)+INT((ROWS(B$2:B6381)-1)/24),"""18""jjmmdd")</f>
        <v>18980923</v>
      </c>
      <c r="C6381" s="11" t="str">
        <f>INDEX(Data,2,2+MOD(ROWS(C$2:C6381)-1,24))</f>
        <v>20.00</v>
      </c>
      <c r="D6381" s="8">
        <f t="shared" ca="1" si="299"/>
        <v>6</v>
      </c>
      <c r="E6381" s="16">
        <f t="shared" ca="1" si="300"/>
        <v>0</v>
      </c>
    </row>
    <row r="6382" spans="1:5" x14ac:dyDescent="0.25">
      <c r="A6382" s="3">
        <f t="shared" si="298"/>
        <v>78989</v>
      </c>
      <c r="B6382" t="str">
        <f ca="1">TEXT(DATE(YEAR(Invoer!$A$5),1,1)+INT((ROWS(B$2:B6382)-1)/24),"""18""jjmmdd")</f>
        <v>18980923</v>
      </c>
      <c r="C6382" s="11" t="str">
        <f>INDEX(Data,2,2+MOD(ROWS(C$2:C6382)-1,24))</f>
        <v>21.00</v>
      </c>
      <c r="D6382" s="8">
        <f t="shared" ca="1" si="299"/>
        <v>6</v>
      </c>
      <c r="E6382" s="16">
        <f t="shared" ca="1" si="300"/>
        <v>0</v>
      </c>
    </row>
    <row r="6383" spans="1:5" x14ac:dyDescent="0.25">
      <c r="A6383" s="3">
        <f t="shared" si="298"/>
        <v>78989</v>
      </c>
      <c r="B6383" t="str">
        <f ca="1">TEXT(DATE(YEAR(Invoer!$A$5),1,1)+INT((ROWS(B$2:B6383)-1)/24),"""18""jjmmdd")</f>
        <v>18980923</v>
      </c>
      <c r="C6383" s="11" t="str">
        <f>INDEX(Data,2,2+MOD(ROWS(C$2:C6383)-1,24))</f>
        <v>22.00</v>
      </c>
      <c r="D6383" s="8">
        <f t="shared" ca="1" si="299"/>
        <v>7</v>
      </c>
      <c r="E6383" s="16">
        <f t="shared" ca="1" si="300"/>
        <v>0</v>
      </c>
    </row>
    <row r="6384" spans="1:5" x14ac:dyDescent="0.25">
      <c r="A6384" s="3">
        <f t="shared" si="298"/>
        <v>78989</v>
      </c>
      <c r="B6384" t="str">
        <f ca="1">TEXT(DATE(YEAR(Invoer!$A$5),1,1)+INT((ROWS(B$2:B6384)-1)/24),"""18""jjmmdd")</f>
        <v>18980923</v>
      </c>
      <c r="C6384" s="11" t="str">
        <f>INDEX(Data,2,2+MOD(ROWS(C$2:C6384)-1,24))</f>
        <v>23.00</v>
      </c>
      <c r="D6384" s="8">
        <f t="shared" ca="1" si="299"/>
        <v>6</v>
      </c>
      <c r="E6384" s="16">
        <f t="shared" ca="1" si="300"/>
        <v>0</v>
      </c>
    </row>
    <row r="6385" spans="1:5" x14ac:dyDescent="0.25">
      <c r="A6385" s="3">
        <f t="shared" si="298"/>
        <v>78989</v>
      </c>
      <c r="B6385" t="str">
        <f ca="1">TEXT(DATE(YEAR(Invoer!$A$5),1,1)+INT((ROWS(B$2:B6385)-1)/24),"""18""jjmmdd")</f>
        <v>18980923</v>
      </c>
      <c r="C6385" s="11" t="str">
        <f>INDEX(Data,2,2+MOD(ROWS(C$2:C6385)-1,24))</f>
        <v>24.00</v>
      </c>
      <c r="D6385" s="8">
        <f t="shared" ca="1" si="299"/>
        <v>7</v>
      </c>
      <c r="E6385" s="16">
        <f t="shared" ca="1" si="300"/>
        <v>0</v>
      </c>
    </row>
    <row r="6386" spans="1:5" x14ac:dyDescent="0.25">
      <c r="A6386" s="3">
        <f t="shared" si="298"/>
        <v>78989</v>
      </c>
      <c r="B6386" t="str">
        <f ca="1">TEXT(DATE(YEAR(Invoer!$A$5),1,1)+INT((ROWS(B$2:B6386)-1)/24),"""18""jjmmdd")</f>
        <v>18980924</v>
      </c>
      <c r="C6386" s="11" t="str">
        <f>INDEX(Data,2,2+MOD(ROWS(C$2:C6386)-1,24))</f>
        <v>01.00</v>
      </c>
      <c r="D6386" s="8">
        <f t="shared" ca="1" si="299"/>
        <v>5</v>
      </c>
      <c r="E6386" s="16">
        <f t="shared" ca="1" si="300"/>
        <v>0</v>
      </c>
    </row>
    <row r="6387" spans="1:5" x14ac:dyDescent="0.25">
      <c r="A6387" s="3">
        <f t="shared" si="298"/>
        <v>78989</v>
      </c>
      <c r="B6387" t="str">
        <f ca="1">TEXT(DATE(YEAR(Invoer!$A$5),1,1)+INT((ROWS(B$2:B6387)-1)/24),"""18""jjmmdd")</f>
        <v>18980924</v>
      </c>
      <c r="C6387" s="11" t="str">
        <f>INDEX(Data,2,2+MOD(ROWS(C$2:C6387)-1,24))</f>
        <v>02.00</v>
      </c>
      <c r="D6387" s="8">
        <f t="shared" ca="1" si="299"/>
        <v>4</v>
      </c>
      <c r="E6387" s="16">
        <f t="shared" ca="1" si="300"/>
        <v>0</v>
      </c>
    </row>
    <row r="6388" spans="1:5" x14ac:dyDescent="0.25">
      <c r="A6388" s="3">
        <f t="shared" si="298"/>
        <v>78989</v>
      </c>
      <c r="B6388" t="str">
        <f ca="1">TEXT(DATE(YEAR(Invoer!$A$5),1,1)+INT((ROWS(B$2:B6388)-1)/24),"""18""jjmmdd")</f>
        <v>18980924</v>
      </c>
      <c r="C6388" s="11" t="str">
        <f>INDEX(Data,2,2+MOD(ROWS(C$2:C6388)-1,24))</f>
        <v>03.00</v>
      </c>
      <c r="D6388" s="8">
        <f t="shared" ca="1" si="299"/>
        <v>4</v>
      </c>
      <c r="E6388" s="16">
        <f t="shared" ca="1" si="300"/>
        <v>0</v>
      </c>
    </row>
    <row r="6389" spans="1:5" x14ac:dyDescent="0.25">
      <c r="A6389" s="3">
        <f t="shared" si="298"/>
        <v>78989</v>
      </c>
      <c r="B6389" t="str">
        <f ca="1">TEXT(DATE(YEAR(Invoer!$A$5),1,1)+INT((ROWS(B$2:B6389)-1)/24),"""18""jjmmdd")</f>
        <v>18980924</v>
      </c>
      <c r="C6389" s="11" t="str">
        <f>INDEX(Data,2,2+MOD(ROWS(C$2:C6389)-1,24))</f>
        <v>04.00</v>
      </c>
      <c r="D6389" s="8">
        <f t="shared" ca="1" si="299"/>
        <v>4</v>
      </c>
      <c r="E6389" s="16">
        <f t="shared" ca="1" si="300"/>
        <v>0</v>
      </c>
    </row>
    <row r="6390" spans="1:5" x14ac:dyDescent="0.25">
      <c r="A6390" s="3">
        <f t="shared" si="298"/>
        <v>78989</v>
      </c>
      <c r="B6390" t="str">
        <f ca="1">TEXT(DATE(YEAR(Invoer!$A$5),1,1)+INT((ROWS(B$2:B6390)-1)/24),"""18""jjmmdd")</f>
        <v>18980924</v>
      </c>
      <c r="C6390" s="11" t="str">
        <f>INDEX(Data,2,2+MOD(ROWS(C$2:C6390)-1,24))</f>
        <v>05.00</v>
      </c>
      <c r="D6390" s="8">
        <f t="shared" ca="1" si="299"/>
        <v>4</v>
      </c>
      <c r="E6390" s="16">
        <f t="shared" ca="1" si="300"/>
        <v>0</v>
      </c>
    </row>
    <row r="6391" spans="1:5" x14ac:dyDescent="0.25">
      <c r="A6391" s="3">
        <f t="shared" si="298"/>
        <v>78989</v>
      </c>
      <c r="B6391" t="str">
        <f ca="1">TEXT(DATE(YEAR(Invoer!$A$5),1,1)+INT((ROWS(B$2:B6391)-1)/24),"""18""jjmmdd")</f>
        <v>18980924</v>
      </c>
      <c r="C6391" s="11" t="str">
        <f>INDEX(Data,2,2+MOD(ROWS(C$2:C6391)-1,24))</f>
        <v>06.00</v>
      </c>
      <c r="D6391" s="8">
        <f t="shared" ca="1" si="299"/>
        <v>6</v>
      </c>
      <c r="E6391" s="16">
        <f t="shared" ca="1" si="300"/>
        <v>0</v>
      </c>
    </row>
    <row r="6392" spans="1:5" x14ac:dyDescent="0.25">
      <c r="A6392" s="3">
        <f t="shared" si="298"/>
        <v>78989</v>
      </c>
      <c r="B6392" t="str">
        <f ca="1">TEXT(DATE(YEAR(Invoer!$A$5),1,1)+INT((ROWS(B$2:B6392)-1)/24),"""18""jjmmdd")</f>
        <v>18980924</v>
      </c>
      <c r="C6392" s="11" t="str">
        <f>INDEX(Data,2,2+MOD(ROWS(C$2:C6392)-1,24))</f>
        <v>07.00</v>
      </c>
      <c r="D6392" s="8">
        <f t="shared" ca="1" si="299"/>
        <v>7</v>
      </c>
      <c r="E6392" s="16">
        <f t="shared" ca="1" si="300"/>
        <v>0</v>
      </c>
    </row>
    <row r="6393" spans="1:5" x14ac:dyDescent="0.25">
      <c r="A6393" s="3">
        <f t="shared" si="298"/>
        <v>78989</v>
      </c>
      <c r="B6393" t="str">
        <f ca="1">TEXT(DATE(YEAR(Invoer!$A$5),1,1)+INT((ROWS(B$2:B6393)-1)/24),"""18""jjmmdd")</f>
        <v>18980924</v>
      </c>
      <c r="C6393" s="11" t="str">
        <f>INDEX(Data,2,2+MOD(ROWS(C$2:C6393)-1,24))</f>
        <v>08.00</v>
      </c>
      <c r="D6393" s="8">
        <f t="shared" ca="1" si="299"/>
        <v>9</v>
      </c>
      <c r="E6393" s="16">
        <f t="shared" ca="1" si="300"/>
        <v>0</v>
      </c>
    </row>
    <row r="6394" spans="1:5" x14ac:dyDescent="0.25">
      <c r="A6394" s="3">
        <f t="shared" si="298"/>
        <v>78989</v>
      </c>
      <c r="B6394" t="str">
        <f ca="1">TEXT(DATE(YEAR(Invoer!$A$5),1,1)+INT((ROWS(B$2:B6394)-1)/24),"""18""jjmmdd")</f>
        <v>18980924</v>
      </c>
      <c r="C6394" s="11" t="str">
        <f>INDEX(Data,2,2+MOD(ROWS(C$2:C6394)-1,24))</f>
        <v>09.00</v>
      </c>
      <c r="D6394" s="8">
        <f t="shared" ca="1" si="299"/>
        <v>10</v>
      </c>
      <c r="E6394" s="16">
        <f t="shared" ca="1" si="300"/>
        <v>0</v>
      </c>
    </row>
    <row r="6395" spans="1:5" x14ac:dyDescent="0.25">
      <c r="A6395" s="3">
        <f t="shared" si="298"/>
        <v>78989</v>
      </c>
      <c r="B6395" t="str">
        <f ca="1">TEXT(DATE(YEAR(Invoer!$A$5),1,1)+INT((ROWS(B$2:B6395)-1)/24),"""18""jjmmdd")</f>
        <v>18980924</v>
      </c>
      <c r="C6395" s="11" t="str">
        <f>INDEX(Data,2,2+MOD(ROWS(C$2:C6395)-1,24))</f>
        <v>10.00</v>
      </c>
      <c r="D6395" s="8">
        <f t="shared" ca="1" si="299"/>
        <v>12</v>
      </c>
      <c r="E6395" s="16">
        <f t="shared" ca="1" si="300"/>
        <v>0</v>
      </c>
    </row>
    <row r="6396" spans="1:5" x14ac:dyDescent="0.25">
      <c r="A6396" s="3">
        <f t="shared" si="298"/>
        <v>78989</v>
      </c>
      <c r="B6396" t="str">
        <f ca="1">TEXT(DATE(YEAR(Invoer!$A$5),1,1)+INT((ROWS(B$2:B6396)-1)/24),"""18""jjmmdd")</f>
        <v>18980924</v>
      </c>
      <c r="C6396" s="11" t="str">
        <f>INDEX(Data,2,2+MOD(ROWS(C$2:C6396)-1,24))</f>
        <v>11.00</v>
      </c>
      <c r="D6396" s="8">
        <f t="shared" ca="1" si="299"/>
        <v>12</v>
      </c>
      <c r="E6396" s="16">
        <f t="shared" ca="1" si="300"/>
        <v>0</v>
      </c>
    </row>
    <row r="6397" spans="1:5" x14ac:dyDescent="0.25">
      <c r="A6397" s="3">
        <f t="shared" si="298"/>
        <v>78989</v>
      </c>
      <c r="B6397" t="str">
        <f ca="1">TEXT(DATE(YEAR(Invoer!$A$5),1,1)+INT((ROWS(B$2:B6397)-1)/24),"""18""jjmmdd")</f>
        <v>18980924</v>
      </c>
      <c r="C6397" s="11" t="str">
        <f>INDEX(Data,2,2+MOD(ROWS(C$2:C6397)-1,24))</f>
        <v>12.00</v>
      </c>
      <c r="D6397" s="8">
        <f t="shared" ca="1" si="299"/>
        <v>12</v>
      </c>
      <c r="E6397" s="16">
        <f t="shared" ca="1" si="300"/>
        <v>0</v>
      </c>
    </row>
    <row r="6398" spans="1:5" x14ac:dyDescent="0.25">
      <c r="A6398" s="3">
        <f t="shared" si="298"/>
        <v>78989</v>
      </c>
      <c r="B6398" t="str">
        <f ca="1">TEXT(DATE(YEAR(Invoer!$A$5),1,1)+INT((ROWS(B$2:B6398)-1)/24),"""18""jjmmdd")</f>
        <v>18980924</v>
      </c>
      <c r="C6398" s="11" t="str">
        <f>INDEX(Data,2,2+MOD(ROWS(C$2:C6398)-1,24))</f>
        <v>13.00</v>
      </c>
      <c r="D6398" s="8">
        <f t="shared" ca="1" si="299"/>
        <v>12</v>
      </c>
      <c r="E6398" s="16">
        <f t="shared" ca="1" si="300"/>
        <v>0</v>
      </c>
    </row>
    <row r="6399" spans="1:5" x14ac:dyDescent="0.25">
      <c r="A6399" s="3">
        <f t="shared" si="298"/>
        <v>78989</v>
      </c>
      <c r="B6399" t="str">
        <f ca="1">TEXT(DATE(YEAR(Invoer!$A$5),1,1)+INT((ROWS(B$2:B6399)-1)/24),"""18""jjmmdd")</f>
        <v>18980924</v>
      </c>
      <c r="C6399" s="11" t="str">
        <f>INDEX(Data,2,2+MOD(ROWS(C$2:C6399)-1,24))</f>
        <v>14.00</v>
      </c>
      <c r="D6399" s="8">
        <f t="shared" ca="1" si="299"/>
        <v>13</v>
      </c>
      <c r="E6399" s="16">
        <f t="shared" ca="1" si="300"/>
        <v>0</v>
      </c>
    </row>
    <row r="6400" spans="1:5" x14ac:dyDescent="0.25">
      <c r="A6400" s="3">
        <f t="shared" si="298"/>
        <v>78989</v>
      </c>
      <c r="B6400" t="str">
        <f ca="1">TEXT(DATE(YEAR(Invoer!$A$5),1,1)+INT((ROWS(B$2:B6400)-1)/24),"""18""jjmmdd")</f>
        <v>18980924</v>
      </c>
      <c r="C6400" s="11" t="str">
        <f>INDEX(Data,2,2+MOD(ROWS(C$2:C6400)-1,24))</f>
        <v>15.00</v>
      </c>
      <c r="D6400" s="8">
        <f t="shared" ca="1" si="299"/>
        <v>12</v>
      </c>
      <c r="E6400" s="16">
        <f t="shared" ca="1" si="300"/>
        <v>0</v>
      </c>
    </row>
    <row r="6401" spans="1:5" x14ac:dyDescent="0.25">
      <c r="A6401" s="3">
        <f t="shared" si="298"/>
        <v>78989</v>
      </c>
      <c r="B6401" t="str">
        <f ca="1">TEXT(DATE(YEAR(Invoer!$A$5),1,1)+INT((ROWS(B$2:B6401)-1)/24),"""18""jjmmdd")</f>
        <v>18980924</v>
      </c>
      <c r="C6401" s="11" t="str">
        <f>INDEX(Data,2,2+MOD(ROWS(C$2:C6401)-1,24))</f>
        <v>16.00</v>
      </c>
      <c r="D6401" s="8">
        <f t="shared" ca="1" si="299"/>
        <v>8</v>
      </c>
      <c r="E6401" s="16">
        <f t="shared" ca="1" si="300"/>
        <v>0</v>
      </c>
    </row>
    <row r="6402" spans="1:5" x14ac:dyDescent="0.25">
      <c r="A6402" s="3">
        <f t="shared" ref="A6402:A6465" si="301">INDEX(Stations,2,1)</f>
        <v>78989</v>
      </c>
      <c r="B6402" t="str">
        <f ca="1">TEXT(DATE(YEAR(Invoer!$A$5),1,1)+INT((ROWS(B$2:B6402)-1)/24),"""18""jjmmdd")</f>
        <v>18980924</v>
      </c>
      <c r="C6402" s="11" t="str">
        <f>INDEX(Data,2,2+MOD(ROWS(C$2:C6402)-1,24))</f>
        <v>17.00</v>
      </c>
      <c r="D6402" s="8">
        <f t="shared" ref="D6402:D6465" ca="1" si="302">IF(OR(ISBLANK(VLOOKUP(DATEVALUE("37"&amp;MID($B6402,3,2)&amp;"-"&amp;MID($B6402,5,2)&amp;"-"&amp;RIGHT($B6402,2)),Data,MATCH(LEFT(VLOOKUP(D$1,Parameters,2,FALSE()),4)&amp;"*",OFFSET(Data,0,0,1),0)+MATCH($C6402,OFFSET(Data,1,0,1),0)-2,FALSE())),ISTEXT(VLOOKUP(DATEVALUE("37"&amp;MID($B6402,3,2)&amp;"-"&amp;MID($B6402,5,2)&amp;"-"&amp;RIGHT($B6402,2)),Data,MATCH(LEFT(VLOOKUP(D$1,Parameters,2,FALSE()),4)&amp;"*",OFFSET(Data,0,0,1),0)+MATCH($C6402,OFFSET(Data,1,0,1),0)-2,FALSE()))),"—",VLOOKUP(DATEVALUE("37"&amp;MID($B6402,3,2)&amp;"-"&amp;MID($B6402,5,2)&amp;"-"&amp;RIGHT($B6402,2)),Data,MATCH(LEFT(VLOOKUP(D$1,Parameters,2,FALSE()),4)&amp;"*",OFFSET(Data,0,0,1),0)+MATCH($C6402,OFFSET(Data,1,0,1),0)-2,FALSE()))</f>
        <v>9</v>
      </c>
      <c r="E6402" s="16">
        <f t="shared" ca="1" si="300"/>
        <v>0</v>
      </c>
    </row>
    <row r="6403" spans="1:5" x14ac:dyDescent="0.25">
      <c r="A6403" s="3">
        <f t="shared" si="301"/>
        <v>78989</v>
      </c>
      <c r="B6403" t="str">
        <f ca="1">TEXT(DATE(YEAR(Invoer!$A$5),1,1)+INT((ROWS(B$2:B6403)-1)/24),"""18""jjmmdd")</f>
        <v>18980924</v>
      </c>
      <c r="C6403" s="11" t="str">
        <f>INDEX(Data,2,2+MOD(ROWS(C$2:C6403)-1,24))</f>
        <v>18.00</v>
      </c>
      <c r="D6403" s="8">
        <f t="shared" ca="1" si="302"/>
        <v>9</v>
      </c>
      <c r="E6403" s="16">
        <f t="shared" ref="E6403:E6466" ca="1" si="303">IF(OR(ISBLANK(VLOOKUP(DATEVALUE("37"&amp;MID($B6403,3,2)&amp;"-"&amp;MID($B6403,5,2)&amp;"-"&amp;RIGHT($B6403,2)),Data,MATCH(LEFT(VLOOKUP(D$1,Parameters,2,FALSE()),4)&amp;"*",OFFSET(Data,0,0,1),0)+MATCH($C6403,OFFSET(Data,1,0,1),0)-2,FALSE())),ISTEXT(VLOOKUP(DATEVALUE("37"&amp;MID($B6403,3,2)&amp;"-"&amp;MID($B6403,5,2)&amp;"-"&amp;RIGHT($B6403,2)),Data,MATCH(LEFT(VLOOKUP(D$1,Parameters,2,FALSE()),4)&amp;"*",OFFSET(Data,0,0,1),0)+MATCH($C6403,OFFSET(Data,1,0,1),0)-2,FALSE()))),Lacking,IF(ISNA(MATCH(DATEVALUE("37"&amp;MID($B6403,3,2)&amp;"-"&amp;MID($B6403,5,2)&amp;"-"&amp;RIGHT($B6403,2)),OFFSET(Catalogus,0,0,,1),0)),Ok,VLOOKUP(DATEVALUE("37"&amp;MID($B6403,3,2)&amp;"-"&amp;MID($B6403,5,2)&amp;"-"&amp;RIGHT($B6403,2)),Catalogus,MATCH(LEFT(VLOOKUP(MID(E$1,2,LEN(E$1)-1),Parameters,2,FALSE()),4)&amp;"*",OFFSET(Catalogus,0,0,1),0)+MATCH($C6403,OFFSET(Catalogus,1,0,1),0)-2,FALSE())))</f>
        <v>0</v>
      </c>
    </row>
    <row r="6404" spans="1:5" x14ac:dyDescent="0.25">
      <c r="A6404" s="3">
        <f t="shared" si="301"/>
        <v>78989</v>
      </c>
      <c r="B6404" t="str">
        <f ca="1">TEXT(DATE(YEAR(Invoer!$A$5),1,1)+INT((ROWS(B$2:B6404)-1)/24),"""18""jjmmdd")</f>
        <v>18980924</v>
      </c>
      <c r="C6404" s="11" t="str">
        <f>INDEX(Data,2,2+MOD(ROWS(C$2:C6404)-1,24))</f>
        <v>19.00</v>
      </c>
      <c r="D6404" s="8">
        <f t="shared" ca="1" si="302"/>
        <v>9</v>
      </c>
      <c r="E6404" s="16">
        <f t="shared" ca="1" si="303"/>
        <v>0</v>
      </c>
    </row>
    <row r="6405" spans="1:5" x14ac:dyDescent="0.25">
      <c r="A6405" s="3">
        <f t="shared" si="301"/>
        <v>78989</v>
      </c>
      <c r="B6405" t="str">
        <f ca="1">TEXT(DATE(YEAR(Invoer!$A$5),1,1)+INT((ROWS(B$2:B6405)-1)/24),"""18""jjmmdd")</f>
        <v>18980924</v>
      </c>
      <c r="C6405" s="11" t="str">
        <f>INDEX(Data,2,2+MOD(ROWS(C$2:C6405)-1,24))</f>
        <v>20.00</v>
      </c>
      <c r="D6405" s="8">
        <f t="shared" ca="1" si="302"/>
        <v>8</v>
      </c>
      <c r="E6405" s="16">
        <f t="shared" ca="1" si="303"/>
        <v>0</v>
      </c>
    </row>
    <row r="6406" spans="1:5" x14ac:dyDescent="0.25">
      <c r="A6406" s="3">
        <f t="shared" si="301"/>
        <v>78989</v>
      </c>
      <c r="B6406" t="str">
        <f ca="1">TEXT(DATE(YEAR(Invoer!$A$5),1,1)+INT((ROWS(B$2:B6406)-1)/24),"""18""jjmmdd")</f>
        <v>18980924</v>
      </c>
      <c r="C6406" s="11" t="str">
        <f>INDEX(Data,2,2+MOD(ROWS(C$2:C6406)-1,24))</f>
        <v>21.00</v>
      </c>
      <c r="D6406" s="8">
        <f t="shared" ca="1" si="302"/>
        <v>8</v>
      </c>
      <c r="E6406" s="16">
        <f t="shared" ca="1" si="303"/>
        <v>0</v>
      </c>
    </row>
    <row r="6407" spans="1:5" x14ac:dyDescent="0.25">
      <c r="A6407" s="3">
        <f t="shared" si="301"/>
        <v>78989</v>
      </c>
      <c r="B6407" t="str">
        <f ca="1">TEXT(DATE(YEAR(Invoer!$A$5),1,1)+INT((ROWS(B$2:B6407)-1)/24),"""18""jjmmdd")</f>
        <v>18980924</v>
      </c>
      <c r="C6407" s="11" t="str">
        <f>INDEX(Data,2,2+MOD(ROWS(C$2:C6407)-1,24))</f>
        <v>22.00</v>
      </c>
      <c r="D6407" s="8">
        <f t="shared" ca="1" si="302"/>
        <v>8</v>
      </c>
      <c r="E6407" s="16">
        <f t="shared" ca="1" si="303"/>
        <v>0</v>
      </c>
    </row>
    <row r="6408" spans="1:5" x14ac:dyDescent="0.25">
      <c r="A6408" s="3">
        <f t="shared" si="301"/>
        <v>78989</v>
      </c>
      <c r="B6408" t="str">
        <f ca="1">TEXT(DATE(YEAR(Invoer!$A$5),1,1)+INT((ROWS(B$2:B6408)-1)/24),"""18""jjmmdd")</f>
        <v>18980924</v>
      </c>
      <c r="C6408" s="11" t="str">
        <f>INDEX(Data,2,2+MOD(ROWS(C$2:C6408)-1,24))</f>
        <v>23.00</v>
      </c>
      <c r="D6408" s="8">
        <f t="shared" ca="1" si="302"/>
        <v>8</v>
      </c>
      <c r="E6408" s="16">
        <f t="shared" ca="1" si="303"/>
        <v>0</v>
      </c>
    </row>
    <row r="6409" spans="1:5" x14ac:dyDescent="0.25">
      <c r="A6409" s="3">
        <f t="shared" si="301"/>
        <v>78989</v>
      </c>
      <c r="B6409" t="str">
        <f ca="1">TEXT(DATE(YEAR(Invoer!$A$5),1,1)+INT((ROWS(B$2:B6409)-1)/24),"""18""jjmmdd")</f>
        <v>18980924</v>
      </c>
      <c r="C6409" s="11" t="str">
        <f>INDEX(Data,2,2+MOD(ROWS(C$2:C6409)-1,24))</f>
        <v>24.00</v>
      </c>
      <c r="D6409" s="8">
        <f t="shared" ca="1" si="302"/>
        <v>7</v>
      </c>
      <c r="E6409" s="16">
        <f t="shared" ca="1" si="303"/>
        <v>0</v>
      </c>
    </row>
    <row r="6410" spans="1:5" x14ac:dyDescent="0.25">
      <c r="A6410" s="3">
        <f t="shared" si="301"/>
        <v>78989</v>
      </c>
      <c r="B6410" t="str">
        <f ca="1">TEXT(DATE(YEAR(Invoer!$A$5),1,1)+INT((ROWS(B$2:B6410)-1)/24),"""18""jjmmdd")</f>
        <v>18980925</v>
      </c>
      <c r="C6410" s="11" t="str">
        <f>INDEX(Data,2,2+MOD(ROWS(C$2:C6410)-1,24))</f>
        <v>01.00</v>
      </c>
      <c r="D6410" s="8">
        <f t="shared" ca="1" si="302"/>
        <v>6</v>
      </c>
      <c r="E6410" s="16">
        <f t="shared" ca="1" si="303"/>
        <v>0</v>
      </c>
    </row>
    <row r="6411" spans="1:5" x14ac:dyDescent="0.25">
      <c r="A6411" s="3">
        <f t="shared" si="301"/>
        <v>78989</v>
      </c>
      <c r="B6411" t="str">
        <f ca="1">TEXT(DATE(YEAR(Invoer!$A$5),1,1)+INT((ROWS(B$2:B6411)-1)/24),"""18""jjmmdd")</f>
        <v>18980925</v>
      </c>
      <c r="C6411" s="11" t="str">
        <f>INDEX(Data,2,2+MOD(ROWS(C$2:C6411)-1,24))</f>
        <v>02.00</v>
      </c>
      <c r="D6411" s="8">
        <f t="shared" ca="1" si="302"/>
        <v>6</v>
      </c>
      <c r="E6411" s="16">
        <f t="shared" ca="1" si="303"/>
        <v>0</v>
      </c>
    </row>
    <row r="6412" spans="1:5" x14ac:dyDescent="0.25">
      <c r="A6412" s="3">
        <f t="shared" si="301"/>
        <v>78989</v>
      </c>
      <c r="B6412" t="str">
        <f ca="1">TEXT(DATE(YEAR(Invoer!$A$5),1,1)+INT((ROWS(B$2:B6412)-1)/24),"""18""jjmmdd")</f>
        <v>18980925</v>
      </c>
      <c r="C6412" s="11" t="str">
        <f>INDEX(Data,2,2+MOD(ROWS(C$2:C6412)-1,24))</f>
        <v>03.00</v>
      </c>
      <c r="D6412" s="8">
        <f t="shared" ca="1" si="302"/>
        <v>6</v>
      </c>
      <c r="E6412" s="16">
        <f t="shared" ca="1" si="303"/>
        <v>0</v>
      </c>
    </row>
    <row r="6413" spans="1:5" x14ac:dyDescent="0.25">
      <c r="A6413" s="3">
        <f t="shared" si="301"/>
        <v>78989</v>
      </c>
      <c r="B6413" t="str">
        <f ca="1">TEXT(DATE(YEAR(Invoer!$A$5),1,1)+INT((ROWS(B$2:B6413)-1)/24),"""18""jjmmdd")</f>
        <v>18980925</v>
      </c>
      <c r="C6413" s="11" t="str">
        <f>INDEX(Data,2,2+MOD(ROWS(C$2:C6413)-1,24))</f>
        <v>04.00</v>
      </c>
      <c r="D6413" s="8">
        <f t="shared" ca="1" si="302"/>
        <v>7</v>
      </c>
      <c r="E6413" s="16">
        <f t="shared" ca="1" si="303"/>
        <v>0</v>
      </c>
    </row>
    <row r="6414" spans="1:5" x14ac:dyDescent="0.25">
      <c r="A6414" s="3">
        <f t="shared" si="301"/>
        <v>78989</v>
      </c>
      <c r="B6414" t="str">
        <f ca="1">TEXT(DATE(YEAR(Invoer!$A$5),1,1)+INT((ROWS(B$2:B6414)-1)/24),"""18""jjmmdd")</f>
        <v>18980925</v>
      </c>
      <c r="C6414" s="11" t="str">
        <f>INDEX(Data,2,2+MOD(ROWS(C$2:C6414)-1,24))</f>
        <v>05.00</v>
      </c>
      <c r="D6414" s="8">
        <f t="shared" ca="1" si="302"/>
        <v>6</v>
      </c>
      <c r="E6414" s="16">
        <f t="shared" ca="1" si="303"/>
        <v>0</v>
      </c>
    </row>
    <row r="6415" spans="1:5" x14ac:dyDescent="0.25">
      <c r="A6415" s="3">
        <f t="shared" si="301"/>
        <v>78989</v>
      </c>
      <c r="B6415" t="str">
        <f ca="1">TEXT(DATE(YEAR(Invoer!$A$5),1,1)+INT((ROWS(B$2:B6415)-1)/24),"""18""jjmmdd")</f>
        <v>18980925</v>
      </c>
      <c r="C6415" s="11" t="str">
        <f>INDEX(Data,2,2+MOD(ROWS(C$2:C6415)-1,24))</f>
        <v>06.00</v>
      </c>
      <c r="D6415" s="8">
        <f t="shared" ca="1" si="302"/>
        <v>6</v>
      </c>
      <c r="E6415" s="16">
        <f t="shared" ca="1" si="303"/>
        <v>0</v>
      </c>
    </row>
    <row r="6416" spans="1:5" x14ac:dyDescent="0.25">
      <c r="A6416" s="3">
        <f t="shared" si="301"/>
        <v>78989</v>
      </c>
      <c r="B6416" t="str">
        <f ca="1">TEXT(DATE(YEAR(Invoer!$A$5),1,1)+INT((ROWS(B$2:B6416)-1)/24),"""18""jjmmdd")</f>
        <v>18980925</v>
      </c>
      <c r="C6416" s="11" t="str">
        <f>INDEX(Data,2,2+MOD(ROWS(C$2:C6416)-1,24))</f>
        <v>07.00</v>
      </c>
      <c r="D6416" s="8">
        <f t="shared" ca="1" si="302"/>
        <v>8</v>
      </c>
      <c r="E6416" s="16">
        <f t="shared" ca="1" si="303"/>
        <v>0</v>
      </c>
    </row>
    <row r="6417" spans="1:5" x14ac:dyDescent="0.25">
      <c r="A6417" s="3">
        <f t="shared" si="301"/>
        <v>78989</v>
      </c>
      <c r="B6417" t="str">
        <f ca="1">TEXT(DATE(YEAR(Invoer!$A$5),1,1)+INT((ROWS(B$2:B6417)-1)/24),"""18""jjmmdd")</f>
        <v>18980925</v>
      </c>
      <c r="C6417" s="11" t="str">
        <f>INDEX(Data,2,2+MOD(ROWS(C$2:C6417)-1,24))</f>
        <v>08.00</v>
      </c>
      <c r="D6417" s="8">
        <f t="shared" ca="1" si="302"/>
        <v>12</v>
      </c>
      <c r="E6417" s="16">
        <f t="shared" ca="1" si="303"/>
        <v>0</v>
      </c>
    </row>
    <row r="6418" spans="1:5" x14ac:dyDescent="0.25">
      <c r="A6418" s="3">
        <f t="shared" si="301"/>
        <v>78989</v>
      </c>
      <c r="B6418" t="str">
        <f ca="1">TEXT(DATE(YEAR(Invoer!$A$5),1,1)+INT((ROWS(B$2:B6418)-1)/24),"""18""jjmmdd")</f>
        <v>18980925</v>
      </c>
      <c r="C6418" s="11" t="str">
        <f>INDEX(Data,2,2+MOD(ROWS(C$2:C6418)-1,24))</f>
        <v>09.00</v>
      </c>
      <c r="D6418" s="8">
        <f t="shared" ca="1" si="302"/>
        <v>11</v>
      </c>
      <c r="E6418" s="16">
        <f t="shared" ca="1" si="303"/>
        <v>0</v>
      </c>
    </row>
    <row r="6419" spans="1:5" x14ac:dyDescent="0.25">
      <c r="A6419" s="3">
        <f t="shared" si="301"/>
        <v>78989</v>
      </c>
      <c r="B6419" t="str">
        <f ca="1">TEXT(DATE(YEAR(Invoer!$A$5),1,1)+INT((ROWS(B$2:B6419)-1)/24),"""18""jjmmdd")</f>
        <v>18980925</v>
      </c>
      <c r="C6419" s="11" t="str">
        <f>INDEX(Data,2,2+MOD(ROWS(C$2:C6419)-1,24))</f>
        <v>10.00</v>
      </c>
      <c r="D6419" s="8">
        <f t="shared" ca="1" si="302"/>
        <v>13</v>
      </c>
      <c r="E6419" s="16">
        <f t="shared" ca="1" si="303"/>
        <v>0</v>
      </c>
    </row>
    <row r="6420" spans="1:5" x14ac:dyDescent="0.25">
      <c r="A6420" s="3">
        <f t="shared" si="301"/>
        <v>78989</v>
      </c>
      <c r="B6420" t="str">
        <f ca="1">TEXT(DATE(YEAR(Invoer!$A$5),1,1)+INT((ROWS(B$2:B6420)-1)/24),"""18""jjmmdd")</f>
        <v>18980925</v>
      </c>
      <c r="C6420" s="11" t="str">
        <f>INDEX(Data,2,2+MOD(ROWS(C$2:C6420)-1,24))</f>
        <v>11.00</v>
      </c>
      <c r="D6420" s="8">
        <f t="shared" ca="1" si="302"/>
        <v>16</v>
      </c>
      <c r="E6420" s="16">
        <f t="shared" ca="1" si="303"/>
        <v>0</v>
      </c>
    </row>
    <row r="6421" spans="1:5" x14ac:dyDescent="0.25">
      <c r="A6421" s="3">
        <f t="shared" si="301"/>
        <v>78989</v>
      </c>
      <c r="B6421" t="str">
        <f ca="1">TEXT(DATE(YEAR(Invoer!$A$5),1,1)+INT((ROWS(B$2:B6421)-1)/24),"""18""jjmmdd")</f>
        <v>18980925</v>
      </c>
      <c r="C6421" s="11" t="str">
        <f>INDEX(Data,2,2+MOD(ROWS(C$2:C6421)-1,24))</f>
        <v>12.00</v>
      </c>
      <c r="D6421" s="8">
        <f t="shared" ca="1" si="302"/>
        <v>15</v>
      </c>
      <c r="E6421" s="16">
        <f t="shared" ca="1" si="303"/>
        <v>0</v>
      </c>
    </row>
    <row r="6422" spans="1:5" x14ac:dyDescent="0.25">
      <c r="A6422" s="3">
        <f t="shared" si="301"/>
        <v>78989</v>
      </c>
      <c r="B6422" t="str">
        <f ca="1">TEXT(DATE(YEAR(Invoer!$A$5),1,1)+INT((ROWS(B$2:B6422)-1)/24),"""18""jjmmdd")</f>
        <v>18980925</v>
      </c>
      <c r="C6422" s="11" t="str">
        <f>INDEX(Data,2,2+MOD(ROWS(C$2:C6422)-1,24))</f>
        <v>13.00</v>
      </c>
      <c r="D6422" s="8">
        <f t="shared" ca="1" si="302"/>
        <v>15</v>
      </c>
      <c r="E6422" s="16">
        <f t="shared" ca="1" si="303"/>
        <v>0</v>
      </c>
    </row>
    <row r="6423" spans="1:5" x14ac:dyDescent="0.25">
      <c r="A6423" s="3">
        <f t="shared" si="301"/>
        <v>78989</v>
      </c>
      <c r="B6423" t="str">
        <f ca="1">TEXT(DATE(YEAR(Invoer!$A$5),1,1)+INT((ROWS(B$2:B6423)-1)/24),"""18""jjmmdd")</f>
        <v>18980925</v>
      </c>
      <c r="C6423" s="11" t="str">
        <f>INDEX(Data,2,2+MOD(ROWS(C$2:C6423)-1,24))</f>
        <v>14.00</v>
      </c>
      <c r="D6423" s="8">
        <f t="shared" ca="1" si="302"/>
        <v>14</v>
      </c>
      <c r="E6423" s="16">
        <f t="shared" ca="1" si="303"/>
        <v>0</v>
      </c>
    </row>
    <row r="6424" spans="1:5" x14ac:dyDescent="0.25">
      <c r="A6424" s="3">
        <f t="shared" si="301"/>
        <v>78989</v>
      </c>
      <c r="B6424" t="str">
        <f ca="1">TEXT(DATE(YEAR(Invoer!$A$5),1,1)+INT((ROWS(B$2:B6424)-1)/24),"""18""jjmmdd")</f>
        <v>18980925</v>
      </c>
      <c r="C6424" s="11" t="str">
        <f>INDEX(Data,2,2+MOD(ROWS(C$2:C6424)-1,24))</f>
        <v>15.00</v>
      </c>
      <c r="D6424" s="8">
        <f t="shared" ca="1" si="302"/>
        <v>11</v>
      </c>
      <c r="E6424" s="16">
        <f t="shared" ca="1" si="303"/>
        <v>0</v>
      </c>
    </row>
    <row r="6425" spans="1:5" x14ac:dyDescent="0.25">
      <c r="A6425" s="3">
        <f t="shared" si="301"/>
        <v>78989</v>
      </c>
      <c r="B6425" t="str">
        <f ca="1">TEXT(DATE(YEAR(Invoer!$A$5),1,1)+INT((ROWS(B$2:B6425)-1)/24),"""18""jjmmdd")</f>
        <v>18980925</v>
      </c>
      <c r="C6425" s="11" t="str">
        <f>INDEX(Data,2,2+MOD(ROWS(C$2:C6425)-1,24))</f>
        <v>16.00</v>
      </c>
      <c r="D6425" s="8">
        <f t="shared" ca="1" si="302"/>
        <v>12</v>
      </c>
      <c r="E6425" s="16">
        <f t="shared" ca="1" si="303"/>
        <v>0</v>
      </c>
    </row>
    <row r="6426" spans="1:5" x14ac:dyDescent="0.25">
      <c r="A6426" s="3">
        <f t="shared" si="301"/>
        <v>78989</v>
      </c>
      <c r="B6426" t="str">
        <f ca="1">TEXT(DATE(YEAR(Invoer!$A$5),1,1)+INT((ROWS(B$2:B6426)-1)/24),"""18""jjmmdd")</f>
        <v>18980925</v>
      </c>
      <c r="C6426" s="11" t="str">
        <f>INDEX(Data,2,2+MOD(ROWS(C$2:C6426)-1,24))</f>
        <v>17.00</v>
      </c>
      <c r="D6426" s="8">
        <f t="shared" ca="1" si="302"/>
        <v>11</v>
      </c>
      <c r="E6426" s="16">
        <f t="shared" ca="1" si="303"/>
        <v>0</v>
      </c>
    </row>
    <row r="6427" spans="1:5" x14ac:dyDescent="0.25">
      <c r="A6427" s="3">
        <f t="shared" si="301"/>
        <v>78989</v>
      </c>
      <c r="B6427" t="str">
        <f ca="1">TEXT(DATE(YEAR(Invoer!$A$5),1,1)+INT((ROWS(B$2:B6427)-1)/24),"""18""jjmmdd")</f>
        <v>18980925</v>
      </c>
      <c r="C6427" s="11" t="str">
        <f>INDEX(Data,2,2+MOD(ROWS(C$2:C6427)-1,24))</f>
        <v>18.00</v>
      </c>
      <c r="D6427" s="8">
        <f t="shared" ca="1" si="302"/>
        <v>11</v>
      </c>
      <c r="E6427" s="16">
        <f t="shared" ca="1" si="303"/>
        <v>0</v>
      </c>
    </row>
    <row r="6428" spans="1:5" x14ac:dyDescent="0.25">
      <c r="A6428" s="3">
        <f t="shared" si="301"/>
        <v>78989</v>
      </c>
      <c r="B6428" t="str">
        <f ca="1">TEXT(DATE(YEAR(Invoer!$A$5),1,1)+INT((ROWS(B$2:B6428)-1)/24),"""18""jjmmdd")</f>
        <v>18980925</v>
      </c>
      <c r="C6428" s="11" t="str">
        <f>INDEX(Data,2,2+MOD(ROWS(C$2:C6428)-1,24))</f>
        <v>19.00</v>
      </c>
      <c r="D6428" s="8">
        <f t="shared" ca="1" si="302"/>
        <v>10</v>
      </c>
      <c r="E6428" s="16">
        <f t="shared" ca="1" si="303"/>
        <v>0</v>
      </c>
    </row>
    <row r="6429" spans="1:5" x14ac:dyDescent="0.25">
      <c r="A6429" s="3">
        <f t="shared" si="301"/>
        <v>78989</v>
      </c>
      <c r="B6429" t="str">
        <f ca="1">TEXT(DATE(YEAR(Invoer!$A$5),1,1)+INT((ROWS(B$2:B6429)-1)/24),"""18""jjmmdd")</f>
        <v>18980925</v>
      </c>
      <c r="C6429" s="11" t="str">
        <f>INDEX(Data,2,2+MOD(ROWS(C$2:C6429)-1,24))</f>
        <v>20.00</v>
      </c>
      <c r="D6429" s="8">
        <f t="shared" ca="1" si="302"/>
        <v>10</v>
      </c>
      <c r="E6429" s="16">
        <f t="shared" ca="1" si="303"/>
        <v>0</v>
      </c>
    </row>
    <row r="6430" spans="1:5" x14ac:dyDescent="0.25">
      <c r="A6430" s="3">
        <f t="shared" si="301"/>
        <v>78989</v>
      </c>
      <c r="B6430" t="str">
        <f ca="1">TEXT(DATE(YEAR(Invoer!$A$5),1,1)+INT((ROWS(B$2:B6430)-1)/24),"""18""jjmmdd")</f>
        <v>18980925</v>
      </c>
      <c r="C6430" s="11" t="str">
        <f>INDEX(Data,2,2+MOD(ROWS(C$2:C6430)-1,24))</f>
        <v>21.00</v>
      </c>
      <c r="D6430" s="8">
        <f t="shared" ca="1" si="302"/>
        <v>10</v>
      </c>
      <c r="E6430" s="16">
        <f t="shared" ca="1" si="303"/>
        <v>0</v>
      </c>
    </row>
    <row r="6431" spans="1:5" x14ac:dyDescent="0.25">
      <c r="A6431" s="3">
        <f t="shared" si="301"/>
        <v>78989</v>
      </c>
      <c r="B6431" t="str">
        <f ca="1">TEXT(DATE(YEAR(Invoer!$A$5),1,1)+INT((ROWS(B$2:B6431)-1)/24),"""18""jjmmdd")</f>
        <v>18980925</v>
      </c>
      <c r="C6431" s="11" t="str">
        <f>INDEX(Data,2,2+MOD(ROWS(C$2:C6431)-1,24))</f>
        <v>22.00</v>
      </c>
      <c r="D6431" s="8">
        <f t="shared" ca="1" si="302"/>
        <v>9</v>
      </c>
      <c r="E6431" s="16">
        <f t="shared" ca="1" si="303"/>
        <v>0</v>
      </c>
    </row>
    <row r="6432" spans="1:5" x14ac:dyDescent="0.25">
      <c r="A6432" s="3">
        <f t="shared" si="301"/>
        <v>78989</v>
      </c>
      <c r="B6432" t="str">
        <f ca="1">TEXT(DATE(YEAR(Invoer!$A$5),1,1)+INT((ROWS(B$2:B6432)-1)/24),"""18""jjmmdd")</f>
        <v>18980925</v>
      </c>
      <c r="C6432" s="11" t="str">
        <f>INDEX(Data,2,2+MOD(ROWS(C$2:C6432)-1,24))</f>
        <v>23.00</v>
      </c>
      <c r="D6432" s="8">
        <f t="shared" ca="1" si="302"/>
        <v>10</v>
      </c>
      <c r="E6432" s="16">
        <f t="shared" ca="1" si="303"/>
        <v>0</v>
      </c>
    </row>
    <row r="6433" spans="1:5" x14ac:dyDescent="0.25">
      <c r="A6433" s="3">
        <f t="shared" si="301"/>
        <v>78989</v>
      </c>
      <c r="B6433" t="str">
        <f ca="1">TEXT(DATE(YEAR(Invoer!$A$5),1,1)+INT((ROWS(B$2:B6433)-1)/24),"""18""jjmmdd")</f>
        <v>18980925</v>
      </c>
      <c r="C6433" s="11" t="str">
        <f>INDEX(Data,2,2+MOD(ROWS(C$2:C6433)-1,24))</f>
        <v>24.00</v>
      </c>
      <c r="D6433" s="8">
        <f t="shared" ca="1" si="302"/>
        <v>9</v>
      </c>
      <c r="E6433" s="16">
        <f t="shared" ca="1" si="303"/>
        <v>0</v>
      </c>
    </row>
    <row r="6434" spans="1:5" x14ac:dyDescent="0.25">
      <c r="A6434" s="3">
        <f t="shared" si="301"/>
        <v>78989</v>
      </c>
      <c r="B6434" t="str">
        <f ca="1">TEXT(DATE(YEAR(Invoer!$A$5),1,1)+INT((ROWS(B$2:B6434)-1)/24),"""18""jjmmdd")</f>
        <v>18980926</v>
      </c>
      <c r="C6434" s="11" t="str">
        <f>INDEX(Data,2,2+MOD(ROWS(C$2:C6434)-1,24))</f>
        <v>01.00</v>
      </c>
      <c r="D6434" s="8">
        <f t="shared" ca="1" si="302"/>
        <v>8</v>
      </c>
      <c r="E6434" s="16">
        <f t="shared" ca="1" si="303"/>
        <v>0</v>
      </c>
    </row>
    <row r="6435" spans="1:5" x14ac:dyDescent="0.25">
      <c r="A6435" s="3">
        <f t="shared" si="301"/>
        <v>78989</v>
      </c>
      <c r="B6435" t="str">
        <f ca="1">TEXT(DATE(YEAR(Invoer!$A$5),1,1)+INT((ROWS(B$2:B6435)-1)/24),"""18""jjmmdd")</f>
        <v>18980926</v>
      </c>
      <c r="C6435" s="11" t="str">
        <f>INDEX(Data,2,2+MOD(ROWS(C$2:C6435)-1,24))</f>
        <v>02.00</v>
      </c>
      <c r="D6435" s="8">
        <f t="shared" ca="1" si="302"/>
        <v>9</v>
      </c>
      <c r="E6435" s="16">
        <f t="shared" ca="1" si="303"/>
        <v>0</v>
      </c>
    </row>
    <row r="6436" spans="1:5" x14ac:dyDescent="0.25">
      <c r="A6436" s="3">
        <f t="shared" si="301"/>
        <v>78989</v>
      </c>
      <c r="B6436" t="str">
        <f ca="1">TEXT(DATE(YEAR(Invoer!$A$5),1,1)+INT((ROWS(B$2:B6436)-1)/24),"""18""jjmmdd")</f>
        <v>18980926</v>
      </c>
      <c r="C6436" s="11" t="str">
        <f>INDEX(Data,2,2+MOD(ROWS(C$2:C6436)-1,24))</f>
        <v>03.00</v>
      </c>
      <c r="D6436" s="8">
        <f t="shared" ca="1" si="302"/>
        <v>7</v>
      </c>
      <c r="E6436" s="16">
        <f t="shared" ca="1" si="303"/>
        <v>0</v>
      </c>
    </row>
    <row r="6437" spans="1:5" x14ac:dyDescent="0.25">
      <c r="A6437" s="3">
        <f t="shared" si="301"/>
        <v>78989</v>
      </c>
      <c r="B6437" t="str">
        <f ca="1">TEXT(DATE(YEAR(Invoer!$A$5),1,1)+INT((ROWS(B$2:B6437)-1)/24),"""18""jjmmdd")</f>
        <v>18980926</v>
      </c>
      <c r="C6437" s="11" t="str">
        <f>INDEX(Data,2,2+MOD(ROWS(C$2:C6437)-1,24))</f>
        <v>04.00</v>
      </c>
      <c r="D6437" s="8">
        <f t="shared" ca="1" si="302"/>
        <v>5</v>
      </c>
      <c r="E6437" s="16">
        <f t="shared" ca="1" si="303"/>
        <v>0</v>
      </c>
    </row>
    <row r="6438" spans="1:5" x14ac:dyDescent="0.25">
      <c r="A6438" s="3">
        <f t="shared" si="301"/>
        <v>78989</v>
      </c>
      <c r="B6438" t="str">
        <f ca="1">TEXT(DATE(YEAR(Invoer!$A$5),1,1)+INT((ROWS(B$2:B6438)-1)/24),"""18""jjmmdd")</f>
        <v>18980926</v>
      </c>
      <c r="C6438" s="11" t="str">
        <f>INDEX(Data,2,2+MOD(ROWS(C$2:C6438)-1,24))</f>
        <v>05.00</v>
      </c>
      <c r="D6438" s="8">
        <f t="shared" ca="1" si="302"/>
        <v>6</v>
      </c>
      <c r="E6438" s="16">
        <f t="shared" ca="1" si="303"/>
        <v>0</v>
      </c>
    </row>
    <row r="6439" spans="1:5" x14ac:dyDescent="0.25">
      <c r="A6439" s="3">
        <f t="shared" si="301"/>
        <v>78989</v>
      </c>
      <c r="B6439" t="str">
        <f ca="1">TEXT(DATE(YEAR(Invoer!$A$5),1,1)+INT((ROWS(B$2:B6439)-1)/24),"""18""jjmmdd")</f>
        <v>18980926</v>
      </c>
      <c r="C6439" s="11" t="str">
        <f>INDEX(Data,2,2+MOD(ROWS(C$2:C6439)-1,24))</f>
        <v>06.00</v>
      </c>
      <c r="D6439" s="8">
        <f t="shared" ca="1" si="302"/>
        <v>6</v>
      </c>
      <c r="E6439" s="16">
        <f t="shared" ca="1" si="303"/>
        <v>0</v>
      </c>
    </row>
    <row r="6440" spans="1:5" x14ac:dyDescent="0.25">
      <c r="A6440" s="3">
        <f t="shared" si="301"/>
        <v>78989</v>
      </c>
      <c r="B6440" t="str">
        <f ca="1">TEXT(DATE(YEAR(Invoer!$A$5),1,1)+INT((ROWS(B$2:B6440)-1)/24),"""18""jjmmdd")</f>
        <v>18980926</v>
      </c>
      <c r="C6440" s="11" t="str">
        <f>INDEX(Data,2,2+MOD(ROWS(C$2:C6440)-1,24))</f>
        <v>07.00</v>
      </c>
      <c r="D6440" s="8">
        <f t="shared" ca="1" si="302"/>
        <v>7</v>
      </c>
      <c r="E6440" s="16">
        <f t="shared" ca="1" si="303"/>
        <v>0</v>
      </c>
    </row>
    <row r="6441" spans="1:5" x14ac:dyDescent="0.25">
      <c r="A6441" s="3">
        <f t="shared" si="301"/>
        <v>78989</v>
      </c>
      <c r="B6441" t="str">
        <f ca="1">TEXT(DATE(YEAR(Invoer!$A$5),1,1)+INT((ROWS(B$2:B6441)-1)/24),"""18""jjmmdd")</f>
        <v>18980926</v>
      </c>
      <c r="C6441" s="11" t="str">
        <f>INDEX(Data,2,2+MOD(ROWS(C$2:C6441)-1,24))</f>
        <v>08.00</v>
      </c>
      <c r="D6441" s="8">
        <f t="shared" ca="1" si="302"/>
        <v>9</v>
      </c>
      <c r="E6441" s="16">
        <f t="shared" ca="1" si="303"/>
        <v>0</v>
      </c>
    </row>
    <row r="6442" spans="1:5" x14ac:dyDescent="0.25">
      <c r="A6442" s="3">
        <f t="shared" si="301"/>
        <v>78989</v>
      </c>
      <c r="B6442" t="str">
        <f ca="1">TEXT(DATE(YEAR(Invoer!$A$5),1,1)+INT((ROWS(B$2:B6442)-1)/24),"""18""jjmmdd")</f>
        <v>18980926</v>
      </c>
      <c r="C6442" s="11" t="str">
        <f>INDEX(Data,2,2+MOD(ROWS(C$2:C6442)-1,24))</f>
        <v>09.00</v>
      </c>
      <c r="D6442" s="8">
        <f t="shared" ca="1" si="302"/>
        <v>10</v>
      </c>
      <c r="E6442" s="16">
        <f t="shared" ca="1" si="303"/>
        <v>0</v>
      </c>
    </row>
    <row r="6443" spans="1:5" x14ac:dyDescent="0.25">
      <c r="A6443" s="3">
        <f t="shared" si="301"/>
        <v>78989</v>
      </c>
      <c r="B6443" t="str">
        <f ca="1">TEXT(DATE(YEAR(Invoer!$A$5),1,1)+INT((ROWS(B$2:B6443)-1)/24),"""18""jjmmdd")</f>
        <v>18980926</v>
      </c>
      <c r="C6443" s="11" t="str">
        <f>INDEX(Data,2,2+MOD(ROWS(C$2:C6443)-1,24))</f>
        <v>10.00</v>
      </c>
      <c r="D6443" s="8">
        <f t="shared" ca="1" si="302"/>
        <v>11</v>
      </c>
      <c r="E6443" s="16">
        <f t="shared" ca="1" si="303"/>
        <v>0</v>
      </c>
    </row>
    <row r="6444" spans="1:5" x14ac:dyDescent="0.25">
      <c r="A6444" s="3">
        <f t="shared" si="301"/>
        <v>78989</v>
      </c>
      <c r="B6444" t="str">
        <f ca="1">TEXT(DATE(YEAR(Invoer!$A$5),1,1)+INT((ROWS(B$2:B6444)-1)/24),"""18""jjmmdd")</f>
        <v>18980926</v>
      </c>
      <c r="C6444" s="11" t="str">
        <f>INDEX(Data,2,2+MOD(ROWS(C$2:C6444)-1,24))</f>
        <v>11.00</v>
      </c>
      <c r="D6444" s="8">
        <f t="shared" ca="1" si="302"/>
        <v>14</v>
      </c>
      <c r="E6444" s="16">
        <f t="shared" ca="1" si="303"/>
        <v>0</v>
      </c>
    </row>
    <row r="6445" spans="1:5" x14ac:dyDescent="0.25">
      <c r="A6445" s="3">
        <f t="shared" si="301"/>
        <v>78989</v>
      </c>
      <c r="B6445" t="str">
        <f ca="1">TEXT(DATE(YEAR(Invoer!$A$5),1,1)+INT((ROWS(B$2:B6445)-1)/24),"""18""jjmmdd")</f>
        <v>18980926</v>
      </c>
      <c r="C6445" s="11" t="str">
        <f>INDEX(Data,2,2+MOD(ROWS(C$2:C6445)-1,24))</f>
        <v>12.00</v>
      </c>
      <c r="D6445" s="8">
        <f t="shared" ca="1" si="302"/>
        <v>13</v>
      </c>
      <c r="E6445" s="16">
        <f t="shared" ca="1" si="303"/>
        <v>0</v>
      </c>
    </row>
    <row r="6446" spans="1:5" x14ac:dyDescent="0.25">
      <c r="A6446" s="3">
        <f t="shared" si="301"/>
        <v>78989</v>
      </c>
      <c r="B6446" t="str">
        <f ca="1">TEXT(DATE(YEAR(Invoer!$A$5),1,1)+INT((ROWS(B$2:B6446)-1)/24),"""18""jjmmdd")</f>
        <v>18980926</v>
      </c>
      <c r="C6446" s="11" t="str">
        <f>INDEX(Data,2,2+MOD(ROWS(C$2:C6446)-1,24))</f>
        <v>13.00</v>
      </c>
      <c r="D6446" s="8">
        <f t="shared" ca="1" si="302"/>
        <v>12</v>
      </c>
      <c r="E6446" s="16">
        <f t="shared" ca="1" si="303"/>
        <v>0</v>
      </c>
    </row>
    <row r="6447" spans="1:5" x14ac:dyDescent="0.25">
      <c r="A6447" s="3">
        <f t="shared" si="301"/>
        <v>78989</v>
      </c>
      <c r="B6447" t="str">
        <f ca="1">TEXT(DATE(YEAR(Invoer!$A$5),1,1)+INT((ROWS(B$2:B6447)-1)/24),"""18""jjmmdd")</f>
        <v>18980926</v>
      </c>
      <c r="C6447" s="11" t="str">
        <f>INDEX(Data,2,2+MOD(ROWS(C$2:C6447)-1,24))</f>
        <v>14.00</v>
      </c>
      <c r="D6447" s="8">
        <f t="shared" ca="1" si="302"/>
        <v>12</v>
      </c>
      <c r="E6447" s="16">
        <f t="shared" ca="1" si="303"/>
        <v>0</v>
      </c>
    </row>
    <row r="6448" spans="1:5" x14ac:dyDescent="0.25">
      <c r="A6448" s="3">
        <f t="shared" si="301"/>
        <v>78989</v>
      </c>
      <c r="B6448" t="str">
        <f ca="1">TEXT(DATE(YEAR(Invoer!$A$5),1,1)+INT((ROWS(B$2:B6448)-1)/24),"""18""jjmmdd")</f>
        <v>18980926</v>
      </c>
      <c r="C6448" s="11" t="str">
        <f>INDEX(Data,2,2+MOD(ROWS(C$2:C6448)-1,24))</f>
        <v>15.00</v>
      </c>
      <c r="D6448" s="8">
        <f t="shared" ca="1" si="302"/>
        <v>12</v>
      </c>
      <c r="E6448" s="16">
        <f t="shared" ca="1" si="303"/>
        <v>0</v>
      </c>
    </row>
    <row r="6449" spans="1:5" x14ac:dyDescent="0.25">
      <c r="A6449" s="3">
        <f t="shared" si="301"/>
        <v>78989</v>
      </c>
      <c r="B6449" t="str">
        <f ca="1">TEXT(DATE(YEAR(Invoer!$A$5),1,1)+INT((ROWS(B$2:B6449)-1)/24),"""18""jjmmdd")</f>
        <v>18980926</v>
      </c>
      <c r="C6449" s="11" t="str">
        <f>INDEX(Data,2,2+MOD(ROWS(C$2:C6449)-1,24))</f>
        <v>16.00</v>
      </c>
      <c r="D6449" s="8">
        <f t="shared" ca="1" si="302"/>
        <v>11</v>
      </c>
      <c r="E6449" s="16">
        <f t="shared" ca="1" si="303"/>
        <v>0</v>
      </c>
    </row>
    <row r="6450" spans="1:5" x14ac:dyDescent="0.25">
      <c r="A6450" s="3">
        <f t="shared" si="301"/>
        <v>78989</v>
      </c>
      <c r="B6450" t="str">
        <f ca="1">TEXT(DATE(YEAR(Invoer!$A$5),1,1)+INT((ROWS(B$2:B6450)-1)/24),"""18""jjmmdd")</f>
        <v>18980926</v>
      </c>
      <c r="C6450" s="11" t="str">
        <f>INDEX(Data,2,2+MOD(ROWS(C$2:C6450)-1,24))</f>
        <v>17.00</v>
      </c>
      <c r="D6450" s="8">
        <f t="shared" ca="1" si="302"/>
        <v>13</v>
      </c>
      <c r="E6450" s="16">
        <f t="shared" ca="1" si="303"/>
        <v>0</v>
      </c>
    </row>
    <row r="6451" spans="1:5" x14ac:dyDescent="0.25">
      <c r="A6451" s="3">
        <f t="shared" si="301"/>
        <v>78989</v>
      </c>
      <c r="B6451" t="str">
        <f ca="1">TEXT(DATE(YEAR(Invoer!$A$5),1,1)+INT((ROWS(B$2:B6451)-1)/24),"""18""jjmmdd")</f>
        <v>18980926</v>
      </c>
      <c r="C6451" s="11" t="str">
        <f>INDEX(Data,2,2+MOD(ROWS(C$2:C6451)-1,24))</f>
        <v>18.00</v>
      </c>
      <c r="D6451" s="8">
        <f t="shared" ca="1" si="302"/>
        <v>12</v>
      </c>
      <c r="E6451" s="16">
        <f t="shared" ca="1" si="303"/>
        <v>0</v>
      </c>
    </row>
    <row r="6452" spans="1:5" x14ac:dyDescent="0.25">
      <c r="A6452" s="3">
        <f t="shared" si="301"/>
        <v>78989</v>
      </c>
      <c r="B6452" t="str">
        <f ca="1">TEXT(DATE(YEAR(Invoer!$A$5),1,1)+INT((ROWS(B$2:B6452)-1)/24),"""18""jjmmdd")</f>
        <v>18980926</v>
      </c>
      <c r="C6452" s="11" t="str">
        <f>INDEX(Data,2,2+MOD(ROWS(C$2:C6452)-1,24))</f>
        <v>19.00</v>
      </c>
      <c r="D6452" s="8">
        <f t="shared" ca="1" si="302"/>
        <v>13</v>
      </c>
      <c r="E6452" s="16">
        <f t="shared" ca="1" si="303"/>
        <v>0</v>
      </c>
    </row>
    <row r="6453" spans="1:5" x14ac:dyDescent="0.25">
      <c r="A6453" s="3">
        <f t="shared" si="301"/>
        <v>78989</v>
      </c>
      <c r="B6453" t="str">
        <f ca="1">TEXT(DATE(YEAR(Invoer!$A$5),1,1)+INT((ROWS(B$2:B6453)-1)/24),"""18""jjmmdd")</f>
        <v>18980926</v>
      </c>
      <c r="C6453" s="11" t="str">
        <f>INDEX(Data,2,2+MOD(ROWS(C$2:C6453)-1,24))</f>
        <v>20.00</v>
      </c>
      <c r="D6453" s="8">
        <f t="shared" ca="1" si="302"/>
        <v>13</v>
      </c>
      <c r="E6453" s="16">
        <f t="shared" ca="1" si="303"/>
        <v>0</v>
      </c>
    </row>
    <row r="6454" spans="1:5" x14ac:dyDescent="0.25">
      <c r="A6454" s="3">
        <f t="shared" si="301"/>
        <v>78989</v>
      </c>
      <c r="B6454" t="str">
        <f ca="1">TEXT(DATE(YEAR(Invoer!$A$5),1,1)+INT((ROWS(B$2:B6454)-1)/24),"""18""jjmmdd")</f>
        <v>18980926</v>
      </c>
      <c r="C6454" s="11" t="str">
        <f>INDEX(Data,2,2+MOD(ROWS(C$2:C6454)-1,24))</f>
        <v>21.00</v>
      </c>
      <c r="D6454" s="8">
        <f t="shared" ca="1" si="302"/>
        <v>9</v>
      </c>
      <c r="E6454" s="16">
        <f t="shared" ca="1" si="303"/>
        <v>0</v>
      </c>
    </row>
    <row r="6455" spans="1:5" x14ac:dyDescent="0.25">
      <c r="A6455" s="3">
        <f t="shared" si="301"/>
        <v>78989</v>
      </c>
      <c r="B6455" t="str">
        <f ca="1">TEXT(DATE(YEAR(Invoer!$A$5),1,1)+INT((ROWS(B$2:B6455)-1)/24),"""18""jjmmdd")</f>
        <v>18980926</v>
      </c>
      <c r="C6455" s="11" t="str">
        <f>INDEX(Data,2,2+MOD(ROWS(C$2:C6455)-1,24))</f>
        <v>22.00</v>
      </c>
      <c r="D6455" s="8">
        <f t="shared" ca="1" si="302"/>
        <v>8</v>
      </c>
      <c r="E6455" s="16">
        <f t="shared" ca="1" si="303"/>
        <v>0</v>
      </c>
    </row>
    <row r="6456" spans="1:5" x14ac:dyDescent="0.25">
      <c r="A6456" s="3">
        <f t="shared" si="301"/>
        <v>78989</v>
      </c>
      <c r="B6456" t="str">
        <f ca="1">TEXT(DATE(YEAR(Invoer!$A$5),1,1)+INT((ROWS(B$2:B6456)-1)/24),"""18""jjmmdd")</f>
        <v>18980926</v>
      </c>
      <c r="C6456" s="11" t="str">
        <f>INDEX(Data,2,2+MOD(ROWS(C$2:C6456)-1,24))</f>
        <v>23.00</v>
      </c>
      <c r="D6456" s="8">
        <f t="shared" ca="1" si="302"/>
        <v>7</v>
      </c>
      <c r="E6456" s="16">
        <f t="shared" ca="1" si="303"/>
        <v>0</v>
      </c>
    </row>
    <row r="6457" spans="1:5" x14ac:dyDescent="0.25">
      <c r="A6457" s="3">
        <f t="shared" si="301"/>
        <v>78989</v>
      </c>
      <c r="B6457" t="str">
        <f ca="1">TEXT(DATE(YEAR(Invoer!$A$5),1,1)+INT((ROWS(B$2:B6457)-1)/24),"""18""jjmmdd")</f>
        <v>18980926</v>
      </c>
      <c r="C6457" s="11" t="str">
        <f>INDEX(Data,2,2+MOD(ROWS(C$2:C6457)-1,24))</f>
        <v>24.00</v>
      </c>
      <c r="D6457" s="8">
        <f t="shared" ca="1" si="302"/>
        <v>8</v>
      </c>
      <c r="E6457" s="16">
        <f t="shared" ca="1" si="303"/>
        <v>0</v>
      </c>
    </row>
    <row r="6458" spans="1:5" x14ac:dyDescent="0.25">
      <c r="A6458" s="3">
        <f t="shared" si="301"/>
        <v>78989</v>
      </c>
      <c r="B6458" t="str">
        <f ca="1">TEXT(DATE(YEAR(Invoer!$A$5),1,1)+INT((ROWS(B$2:B6458)-1)/24),"""18""jjmmdd")</f>
        <v>18980927</v>
      </c>
      <c r="C6458" s="11" t="str">
        <f>INDEX(Data,2,2+MOD(ROWS(C$2:C6458)-1,24))</f>
        <v>01.00</v>
      </c>
      <c r="D6458" s="8">
        <f t="shared" ca="1" si="302"/>
        <v>7</v>
      </c>
      <c r="E6458" s="16">
        <f t="shared" ca="1" si="303"/>
        <v>0</v>
      </c>
    </row>
    <row r="6459" spans="1:5" x14ac:dyDescent="0.25">
      <c r="A6459" s="3">
        <f t="shared" si="301"/>
        <v>78989</v>
      </c>
      <c r="B6459" t="str">
        <f ca="1">TEXT(DATE(YEAR(Invoer!$A$5),1,1)+INT((ROWS(B$2:B6459)-1)/24),"""18""jjmmdd")</f>
        <v>18980927</v>
      </c>
      <c r="C6459" s="11" t="str">
        <f>INDEX(Data,2,2+MOD(ROWS(C$2:C6459)-1,24))</f>
        <v>02.00</v>
      </c>
      <c r="D6459" s="8">
        <f t="shared" ca="1" si="302"/>
        <v>7</v>
      </c>
      <c r="E6459" s="16">
        <f t="shared" ca="1" si="303"/>
        <v>0</v>
      </c>
    </row>
    <row r="6460" spans="1:5" x14ac:dyDescent="0.25">
      <c r="A6460" s="3">
        <f t="shared" si="301"/>
        <v>78989</v>
      </c>
      <c r="B6460" t="str">
        <f ca="1">TEXT(DATE(YEAR(Invoer!$A$5),1,1)+INT((ROWS(B$2:B6460)-1)/24),"""18""jjmmdd")</f>
        <v>18980927</v>
      </c>
      <c r="C6460" s="11" t="str">
        <f>INDEX(Data,2,2+MOD(ROWS(C$2:C6460)-1,24))</f>
        <v>03.00</v>
      </c>
      <c r="D6460" s="8">
        <f t="shared" ca="1" si="302"/>
        <v>8</v>
      </c>
      <c r="E6460" s="16">
        <f t="shared" ca="1" si="303"/>
        <v>0</v>
      </c>
    </row>
    <row r="6461" spans="1:5" x14ac:dyDescent="0.25">
      <c r="A6461" s="3">
        <f t="shared" si="301"/>
        <v>78989</v>
      </c>
      <c r="B6461" t="str">
        <f ca="1">TEXT(DATE(YEAR(Invoer!$A$5),1,1)+INT((ROWS(B$2:B6461)-1)/24),"""18""jjmmdd")</f>
        <v>18980927</v>
      </c>
      <c r="C6461" s="11" t="str">
        <f>INDEX(Data,2,2+MOD(ROWS(C$2:C6461)-1,24))</f>
        <v>04.00</v>
      </c>
      <c r="D6461" s="8">
        <f t="shared" ca="1" si="302"/>
        <v>7</v>
      </c>
      <c r="E6461" s="16">
        <f t="shared" ca="1" si="303"/>
        <v>0</v>
      </c>
    </row>
    <row r="6462" spans="1:5" x14ac:dyDescent="0.25">
      <c r="A6462" s="3">
        <f t="shared" si="301"/>
        <v>78989</v>
      </c>
      <c r="B6462" t="str">
        <f ca="1">TEXT(DATE(YEAR(Invoer!$A$5),1,1)+INT((ROWS(B$2:B6462)-1)/24),"""18""jjmmdd")</f>
        <v>18980927</v>
      </c>
      <c r="C6462" s="11" t="str">
        <f>INDEX(Data,2,2+MOD(ROWS(C$2:C6462)-1,24))</f>
        <v>05.00</v>
      </c>
      <c r="D6462" s="8">
        <f t="shared" ca="1" si="302"/>
        <v>6</v>
      </c>
      <c r="E6462" s="16">
        <f t="shared" ca="1" si="303"/>
        <v>0</v>
      </c>
    </row>
    <row r="6463" spans="1:5" x14ac:dyDescent="0.25">
      <c r="A6463" s="3">
        <f t="shared" si="301"/>
        <v>78989</v>
      </c>
      <c r="B6463" t="str">
        <f ca="1">TEXT(DATE(YEAR(Invoer!$A$5),1,1)+INT((ROWS(B$2:B6463)-1)/24),"""18""jjmmdd")</f>
        <v>18980927</v>
      </c>
      <c r="C6463" s="11" t="str">
        <f>INDEX(Data,2,2+MOD(ROWS(C$2:C6463)-1,24))</f>
        <v>06.00</v>
      </c>
      <c r="D6463" s="8">
        <f t="shared" ca="1" si="302"/>
        <v>4</v>
      </c>
      <c r="E6463" s="16">
        <f t="shared" ca="1" si="303"/>
        <v>0</v>
      </c>
    </row>
    <row r="6464" spans="1:5" x14ac:dyDescent="0.25">
      <c r="A6464" s="3">
        <f t="shared" si="301"/>
        <v>78989</v>
      </c>
      <c r="B6464" t="str">
        <f ca="1">TEXT(DATE(YEAR(Invoer!$A$5),1,1)+INT((ROWS(B$2:B6464)-1)/24),"""18""jjmmdd")</f>
        <v>18980927</v>
      </c>
      <c r="C6464" s="11" t="str">
        <f>INDEX(Data,2,2+MOD(ROWS(C$2:C6464)-1,24))</f>
        <v>07.00</v>
      </c>
      <c r="D6464" s="8">
        <f t="shared" ca="1" si="302"/>
        <v>8</v>
      </c>
      <c r="E6464" s="16">
        <f t="shared" ca="1" si="303"/>
        <v>0</v>
      </c>
    </row>
    <row r="6465" spans="1:5" x14ac:dyDescent="0.25">
      <c r="A6465" s="3">
        <f t="shared" si="301"/>
        <v>78989</v>
      </c>
      <c r="B6465" t="str">
        <f ca="1">TEXT(DATE(YEAR(Invoer!$A$5),1,1)+INT((ROWS(B$2:B6465)-1)/24),"""18""jjmmdd")</f>
        <v>18980927</v>
      </c>
      <c r="C6465" s="11" t="str">
        <f>INDEX(Data,2,2+MOD(ROWS(C$2:C6465)-1,24))</f>
        <v>08.00</v>
      </c>
      <c r="D6465" s="8">
        <f t="shared" ca="1" si="302"/>
        <v>8</v>
      </c>
      <c r="E6465" s="16">
        <f t="shared" ca="1" si="303"/>
        <v>0</v>
      </c>
    </row>
    <row r="6466" spans="1:5" x14ac:dyDescent="0.25">
      <c r="A6466" s="3">
        <f t="shared" ref="A6466:A6529" si="304">INDEX(Stations,2,1)</f>
        <v>78989</v>
      </c>
      <c r="B6466" t="str">
        <f ca="1">TEXT(DATE(YEAR(Invoer!$A$5),1,1)+INT((ROWS(B$2:B6466)-1)/24),"""18""jjmmdd")</f>
        <v>18980927</v>
      </c>
      <c r="C6466" s="11" t="str">
        <f>INDEX(Data,2,2+MOD(ROWS(C$2:C6466)-1,24))</f>
        <v>09.00</v>
      </c>
      <c r="D6466" s="8">
        <f t="shared" ref="D6466:D6529" ca="1" si="305">IF(OR(ISBLANK(VLOOKUP(DATEVALUE("37"&amp;MID($B6466,3,2)&amp;"-"&amp;MID($B6466,5,2)&amp;"-"&amp;RIGHT($B6466,2)),Data,MATCH(LEFT(VLOOKUP(D$1,Parameters,2,FALSE()),4)&amp;"*",OFFSET(Data,0,0,1),0)+MATCH($C6466,OFFSET(Data,1,0,1),0)-2,FALSE())),ISTEXT(VLOOKUP(DATEVALUE("37"&amp;MID($B6466,3,2)&amp;"-"&amp;MID($B6466,5,2)&amp;"-"&amp;RIGHT($B6466,2)),Data,MATCH(LEFT(VLOOKUP(D$1,Parameters,2,FALSE()),4)&amp;"*",OFFSET(Data,0,0,1),0)+MATCH($C6466,OFFSET(Data,1,0,1),0)-2,FALSE()))),"—",VLOOKUP(DATEVALUE("37"&amp;MID($B6466,3,2)&amp;"-"&amp;MID($B6466,5,2)&amp;"-"&amp;RIGHT($B6466,2)),Data,MATCH(LEFT(VLOOKUP(D$1,Parameters,2,FALSE()),4)&amp;"*",OFFSET(Data,0,0,1),0)+MATCH($C6466,OFFSET(Data,1,0,1),0)-2,FALSE()))</f>
        <v>11</v>
      </c>
      <c r="E6466" s="16">
        <f t="shared" ca="1" si="303"/>
        <v>0</v>
      </c>
    </row>
    <row r="6467" spans="1:5" x14ac:dyDescent="0.25">
      <c r="A6467" s="3">
        <f t="shared" si="304"/>
        <v>78989</v>
      </c>
      <c r="B6467" t="str">
        <f ca="1">TEXT(DATE(YEAR(Invoer!$A$5),1,1)+INT((ROWS(B$2:B6467)-1)/24),"""18""jjmmdd")</f>
        <v>18980927</v>
      </c>
      <c r="C6467" s="11" t="str">
        <f>INDEX(Data,2,2+MOD(ROWS(C$2:C6467)-1,24))</f>
        <v>10.00</v>
      </c>
      <c r="D6467" s="8">
        <f t="shared" ca="1" si="305"/>
        <v>12</v>
      </c>
      <c r="E6467" s="16">
        <f t="shared" ref="E6467:E6530" ca="1" si="306">IF(OR(ISBLANK(VLOOKUP(DATEVALUE("37"&amp;MID($B6467,3,2)&amp;"-"&amp;MID($B6467,5,2)&amp;"-"&amp;RIGHT($B6467,2)),Data,MATCH(LEFT(VLOOKUP(D$1,Parameters,2,FALSE()),4)&amp;"*",OFFSET(Data,0,0,1),0)+MATCH($C6467,OFFSET(Data,1,0,1),0)-2,FALSE())),ISTEXT(VLOOKUP(DATEVALUE("37"&amp;MID($B6467,3,2)&amp;"-"&amp;MID($B6467,5,2)&amp;"-"&amp;RIGHT($B6467,2)),Data,MATCH(LEFT(VLOOKUP(D$1,Parameters,2,FALSE()),4)&amp;"*",OFFSET(Data,0,0,1),0)+MATCH($C6467,OFFSET(Data,1,0,1),0)-2,FALSE()))),Lacking,IF(ISNA(MATCH(DATEVALUE("37"&amp;MID($B6467,3,2)&amp;"-"&amp;MID($B6467,5,2)&amp;"-"&amp;RIGHT($B6467,2)),OFFSET(Catalogus,0,0,,1),0)),Ok,VLOOKUP(DATEVALUE("37"&amp;MID($B6467,3,2)&amp;"-"&amp;MID($B6467,5,2)&amp;"-"&amp;RIGHT($B6467,2)),Catalogus,MATCH(LEFT(VLOOKUP(MID(E$1,2,LEN(E$1)-1),Parameters,2,FALSE()),4)&amp;"*",OFFSET(Catalogus,0,0,1),0)+MATCH($C6467,OFFSET(Catalogus,1,0,1),0)-2,FALSE())))</f>
        <v>0</v>
      </c>
    </row>
    <row r="6468" spans="1:5" x14ac:dyDescent="0.25">
      <c r="A6468" s="3">
        <f t="shared" si="304"/>
        <v>78989</v>
      </c>
      <c r="B6468" t="str">
        <f ca="1">TEXT(DATE(YEAR(Invoer!$A$5),1,1)+INT((ROWS(B$2:B6468)-1)/24),"""18""jjmmdd")</f>
        <v>18980927</v>
      </c>
      <c r="C6468" s="11" t="str">
        <f>INDEX(Data,2,2+MOD(ROWS(C$2:C6468)-1,24))</f>
        <v>11.00</v>
      </c>
      <c r="D6468" s="8">
        <f t="shared" ca="1" si="305"/>
        <v>13</v>
      </c>
      <c r="E6468" s="16">
        <f t="shared" ca="1" si="306"/>
        <v>0</v>
      </c>
    </row>
    <row r="6469" spans="1:5" x14ac:dyDescent="0.25">
      <c r="A6469" s="3">
        <f t="shared" si="304"/>
        <v>78989</v>
      </c>
      <c r="B6469" t="str">
        <f ca="1">TEXT(DATE(YEAR(Invoer!$A$5),1,1)+INT((ROWS(B$2:B6469)-1)/24),"""18""jjmmdd")</f>
        <v>18980927</v>
      </c>
      <c r="C6469" s="11" t="str">
        <f>INDEX(Data,2,2+MOD(ROWS(C$2:C6469)-1,24))</f>
        <v>12.00</v>
      </c>
      <c r="D6469" s="8">
        <f t="shared" ca="1" si="305"/>
        <v>12</v>
      </c>
      <c r="E6469" s="16">
        <f t="shared" ca="1" si="306"/>
        <v>0</v>
      </c>
    </row>
    <row r="6470" spans="1:5" x14ac:dyDescent="0.25">
      <c r="A6470" s="3">
        <f t="shared" si="304"/>
        <v>78989</v>
      </c>
      <c r="B6470" t="str">
        <f ca="1">TEXT(DATE(YEAR(Invoer!$A$5),1,1)+INT((ROWS(B$2:B6470)-1)/24),"""18""jjmmdd")</f>
        <v>18980927</v>
      </c>
      <c r="C6470" s="11" t="str">
        <f>INDEX(Data,2,2+MOD(ROWS(C$2:C6470)-1,24))</f>
        <v>13.00</v>
      </c>
      <c r="D6470" s="8">
        <f t="shared" ca="1" si="305"/>
        <v>12</v>
      </c>
      <c r="E6470" s="16">
        <f t="shared" ca="1" si="306"/>
        <v>0</v>
      </c>
    </row>
    <row r="6471" spans="1:5" x14ac:dyDescent="0.25">
      <c r="A6471" s="3">
        <f t="shared" si="304"/>
        <v>78989</v>
      </c>
      <c r="B6471" t="str">
        <f ca="1">TEXT(DATE(YEAR(Invoer!$A$5),1,1)+INT((ROWS(B$2:B6471)-1)/24),"""18""jjmmdd")</f>
        <v>18980927</v>
      </c>
      <c r="C6471" s="11" t="str">
        <f>INDEX(Data,2,2+MOD(ROWS(C$2:C6471)-1,24))</f>
        <v>14.00</v>
      </c>
      <c r="D6471" s="8">
        <f t="shared" ca="1" si="305"/>
        <v>11</v>
      </c>
      <c r="E6471" s="16">
        <f t="shared" ca="1" si="306"/>
        <v>0</v>
      </c>
    </row>
    <row r="6472" spans="1:5" x14ac:dyDescent="0.25">
      <c r="A6472" s="3">
        <f t="shared" si="304"/>
        <v>78989</v>
      </c>
      <c r="B6472" t="str">
        <f ca="1">TEXT(DATE(YEAR(Invoer!$A$5),1,1)+INT((ROWS(B$2:B6472)-1)/24),"""18""jjmmdd")</f>
        <v>18980927</v>
      </c>
      <c r="C6472" s="11" t="str">
        <f>INDEX(Data,2,2+MOD(ROWS(C$2:C6472)-1,24))</f>
        <v>15.00</v>
      </c>
      <c r="D6472" s="8">
        <f t="shared" ca="1" si="305"/>
        <v>11</v>
      </c>
      <c r="E6472" s="16">
        <f t="shared" ca="1" si="306"/>
        <v>0</v>
      </c>
    </row>
    <row r="6473" spans="1:5" x14ac:dyDescent="0.25">
      <c r="A6473" s="3">
        <f t="shared" si="304"/>
        <v>78989</v>
      </c>
      <c r="B6473" t="str">
        <f ca="1">TEXT(DATE(YEAR(Invoer!$A$5),1,1)+INT((ROWS(B$2:B6473)-1)/24),"""18""jjmmdd")</f>
        <v>18980927</v>
      </c>
      <c r="C6473" s="11" t="str">
        <f>INDEX(Data,2,2+MOD(ROWS(C$2:C6473)-1,24))</f>
        <v>16.00</v>
      </c>
      <c r="D6473" s="8">
        <f t="shared" ca="1" si="305"/>
        <v>11</v>
      </c>
      <c r="E6473" s="16">
        <f t="shared" ca="1" si="306"/>
        <v>0</v>
      </c>
    </row>
    <row r="6474" spans="1:5" x14ac:dyDescent="0.25">
      <c r="A6474" s="3">
        <f t="shared" si="304"/>
        <v>78989</v>
      </c>
      <c r="B6474" t="str">
        <f ca="1">TEXT(DATE(YEAR(Invoer!$A$5),1,1)+INT((ROWS(B$2:B6474)-1)/24),"""18""jjmmdd")</f>
        <v>18980927</v>
      </c>
      <c r="C6474" s="11" t="str">
        <f>INDEX(Data,2,2+MOD(ROWS(C$2:C6474)-1,24))</f>
        <v>17.00</v>
      </c>
      <c r="D6474" s="8">
        <f t="shared" ca="1" si="305"/>
        <v>12</v>
      </c>
      <c r="E6474" s="16">
        <f t="shared" ca="1" si="306"/>
        <v>0</v>
      </c>
    </row>
    <row r="6475" spans="1:5" x14ac:dyDescent="0.25">
      <c r="A6475" s="3">
        <f t="shared" si="304"/>
        <v>78989</v>
      </c>
      <c r="B6475" t="str">
        <f ca="1">TEXT(DATE(YEAR(Invoer!$A$5),1,1)+INT((ROWS(B$2:B6475)-1)/24),"""18""jjmmdd")</f>
        <v>18980927</v>
      </c>
      <c r="C6475" s="11" t="str">
        <f>INDEX(Data,2,2+MOD(ROWS(C$2:C6475)-1,24))</f>
        <v>18.00</v>
      </c>
      <c r="D6475" s="8">
        <f t="shared" ca="1" si="305"/>
        <v>12</v>
      </c>
      <c r="E6475" s="16">
        <f t="shared" ca="1" si="306"/>
        <v>0</v>
      </c>
    </row>
    <row r="6476" spans="1:5" x14ac:dyDescent="0.25">
      <c r="A6476" s="3">
        <f t="shared" si="304"/>
        <v>78989</v>
      </c>
      <c r="B6476" t="str">
        <f ca="1">TEXT(DATE(YEAR(Invoer!$A$5),1,1)+INT((ROWS(B$2:B6476)-1)/24),"""18""jjmmdd")</f>
        <v>18980927</v>
      </c>
      <c r="C6476" s="11" t="str">
        <f>INDEX(Data,2,2+MOD(ROWS(C$2:C6476)-1,24))</f>
        <v>19.00</v>
      </c>
      <c r="D6476" s="8">
        <f t="shared" ca="1" si="305"/>
        <v>11</v>
      </c>
      <c r="E6476" s="16">
        <f t="shared" ca="1" si="306"/>
        <v>0</v>
      </c>
    </row>
    <row r="6477" spans="1:5" x14ac:dyDescent="0.25">
      <c r="A6477" s="3">
        <f t="shared" si="304"/>
        <v>78989</v>
      </c>
      <c r="B6477" t="str">
        <f ca="1">TEXT(DATE(YEAR(Invoer!$A$5),1,1)+INT((ROWS(B$2:B6477)-1)/24),"""18""jjmmdd")</f>
        <v>18980927</v>
      </c>
      <c r="C6477" s="11" t="str">
        <f>INDEX(Data,2,2+MOD(ROWS(C$2:C6477)-1,24))</f>
        <v>20.00</v>
      </c>
      <c r="D6477" s="8">
        <f t="shared" ca="1" si="305"/>
        <v>10</v>
      </c>
      <c r="E6477" s="16">
        <f t="shared" ca="1" si="306"/>
        <v>0</v>
      </c>
    </row>
    <row r="6478" spans="1:5" x14ac:dyDescent="0.25">
      <c r="A6478" s="3">
        <f t="shared" si="304"/>
        <v>78989</v>
      </c>
      <c r="B6478" t="str">
        <f ca="1">TEXT(DATE(YEAR(Invoer!$A$5),1,1)+INT((ROWS(B$2:B6478)-1)/24),"""18""jjmmdd")</f>
        <v>18980927</v>
      </c>
      <c r="C6478" s="11" t="str">
        <f>INDEX(Data,2,2+MOD(ROWS(C$2:C6478)-1,24))</f>
        <v>21.00</v>
      </c>
      <c r="D6478" s="8">
        <f t="shared" ca="1" si="305"/>
        <v>10</v>
      </c>
      <c r="E6478" s="16">
        <f t="shared" ca="1" si="306"/>
        <v>0</v>
      </c>
    </row>
    <row r="6479" spans="1:5" x14ac:dyDescent="0.25">
      <c r="A6479" s="3">
        <f t="shared" si="304"/>
        <v>78989</v>
      </c>
      <c r="B6479" t="str">
        <f ca="1">TEXT(DATE(YEAR(Invoer!$A$5),1,1)+INT((ROWS(B$2:B6479)-1)/24),"""18""jjmmdd")</f>
        <v>18980927</v>
      </c>
      <c r="C6479" s="11" t="str">
        <f>INDEX(Data,2,2+MOD(ROWS(C$2:C6479)-1,24))</f>
        <v>22.00</v>
      </c>
      <c r="D6479" s="8">
        <f t="shared" ca="1" si="305"/>
        <v>8</v>
      </c>
      <c r="E6479" s="16">
        <f t="shared" ca="1" si="306"/>
        <v>0</v>
      </c>
    </row>
    <row r="6480" spans="1:5" x14ac:dyDescent="0.25">
      <c r="A6480" s="3">
        <f t="shared" si="304"/>
        <v>78989</v>
      </c>
      <c r="B6480" t="str">
        <f ca="1">TEXT(DATE(YEAR(Invoer!$A$5),1,1)+INT((ROWS(B$2:B6480)-1)/24),"""18""jjmmdd")</f>
        <v>18980927</v>
      </c>
      <c r="C6480" s="11" t="str">
        <f>INDEX(Data,2,2+MOD(ROWS(C$2:C6480)-1,24))</f>
        <v>23.00</v>
      </c>
      <c r="D6480" s="8">
        <f t="shared" ca="1" si="305"/>
        <v>7</v>
      </c>
      <c r="E6480" s="16">
        <f t="shared" ca="1" si="306"/>
        <v>0</v>
      </c>
    </row>
    <row r="6481" spans="1:5" x14ac:dyDescent="0.25">
      <c r="A6481" s="3">
        <f t="shared" si="304"/>
        <v>78989</v>
      </c>
      <c r="B6481" t="str">
        <f ca="1">TEXT(DATE(YEAR(Invoer!$A$5),1,1)+INT((ROWS(B$2:B6481)-1)/24),"""18""jjmmdd")</f>
        <v>18980927</v>
      </c>
      <c r="C6481" s="11" t="str">
        <f>INDEX(Data,2,2+MOD(ROWS(C$2:C6481)-1,24))</f>
        <v>24.00</v>
      </c>
      <c r="D6481" s="8">
        <f t="shared" ca="1" si="305"/>
        <v>6</v>
      </c>
      <c r="E6481" s="16">
        <f t="shared" ca="1" si="306"/>
        <v>0</v>
      </c>
    </row>
    <row r="6482" spans="1:5" x14ac:dyDescent="0.25">
      <c r="A6482" s="3">
        <f t="shared" si="304"/>
        <v>78989</v>
      </c>
      <c r="B6482" t="str">
        <f ca="1">TEXT(DATE(YEAR(Invoer!$A$5),1,1)+INT((ROWS(B$2:B6482)-1)/24),"""18""jjmmdd")</f>
        <v>18980928</v>
      </c>
      <c r="C6482" s="11" t="str">
        <f>INDEX(Data,2,2+MOD(ROWS(C$2:C6482)-1,24))</f>
        <v>01.00</v>
      </c>
      <c r="D6482" s="8">
        <f t="shared" ca="1" si="305"/>
        <v>6</v>
      </c>
      <c r="E6482" s="16">
        <f t="shared" ca="1" si="306"/>
        <v>0</v>
      </c>
    </row>
    <row r="6483" spans="1:5" x14ac:dyDescent="0.25">
      <c r="A6483" s="3">
        <f t="shared" si="304"/>
        <v>78989</v>
      </c>
      <c r="B6483" t="str">
        <f ca="1">TEXT(DATE(YEAR(Invoer!$A$5),1,1)+INT((ROWS(B$2:B6483)-1)/24),"""18""jjmmdd")</f>
        <v>18980928</v>
      </c>
      <c r="C6483" s="11" t="str">
        <f>INDEX(Data,2,2+MOD(ROWS(C$2:C6483)-1,24))</f>
        <v>02.00</v>
      </c>
      <c r="D6483" s="8">
        <f t="shared" ca="1" si="305"/>
        <v>6</v>
      </c>
      <c r="E6483" s="16">
        <f t="shared" ca="1" si="306"/>
        <v>0</v>
      </c>
    </row>
    <row r="6484" spans="1:5" x14ac:dyDescent="0.25">
      <c r="A6484" s="3">
        <f t="shared" si="304"/>
        <v>78989</v>
      </c>
      <c r="B6484" t="str">
        <f ca="1">TEXT(DATE(YEAR(Invoer!$A$5),1,1)+INT((ROWS(B$2:B6484)-1)/24),"""18""jjmmdd")</f>
        <v>18980928</v>
      </c>
      <c r="C6484" s="11" t="str">
        <f>INDEX(Data,2,2+MOD(ROWS(C$2:C6484)-1,24))</f>
        <v>03.00</v>
      </c>
      <c r="D6484" s="8">
        <f t="shared" ca="1" si="305"/>
        <v>5</v>
      </c>
      <c r="E6484" s="16">
        <f t="shared" ca="1" si="306"/>
        <v>0</v>
      </c>
    </row>
    <row r="6485" spans="1:5" x14ac:dyDescent="0.25">
      <c r="A6485" s="3">
        <f t="shared" si="304"/>
        <v>78989</v>
      </c>
      <c r="B6485" t="str">
        <f ca="1">TEXT(DATE(YEAR(Invoer!$A$5),1,1)+INT((ROWS(B$2:B6485)-1)/24),"""18""jjmmdd")</f>
        <v>18980928</v>
      </c>
      <c r="C6485" s="11" t="str">
        <f>INDEX(Data,2,2+MOD(ROWS(C$2:C6485)-1,24))</f>
        <v>04.00</v>
      </c>
      <c r="D6485" s="8">
        <f t="shared" ca="1" si="305"/>
        <v>6</v>
      </c>
      <c r="E6485" s="16">
        <f t="shared" ca="1" si="306"/>
        <v>0</v>
      </c>
    </row>
    <row r="6486" spans="1:5" x14ac:dyDescent="0.25">
      <c r="A6486" s="3">
        <f t="shared" si="304"/>
        <v>78989</v>
      </c>
      <c r="B6486" t="str">
        <f ca="1">TEXT(DATE(YEAR(Invoer!$A$5),1,1)+INT((ROWS(B$2:B6486)-1)/24),"""18""jjmmdd")</f>
        <v>18980928</v>
      </c>
      <c r="C6486" s="11" t="str">
        <f>INDEX(Data,2,2+MOD(ROWS(C$2:C6486)-1,24))</f>
        <v>05.00</v>
      </c>
      <c r="D6486" s="8">
        <f t="shared" ca="1" si="305"/>
        <v>5</v>
      </c>
      <c r="E6486" s="16">
        <f t="shared" ca="1" si="306"/>
        <v>0</v>
      </c>
    </row>
    <row r="6487" spans="1:5" x14ac:dyDescent="0.25">
      <c r="A6487" s="3">
        <f t="shared" si="304"/>
        <v>78989</v>
      </c>
      <c r="B6487" t="str">
        <f ca="1">TEXT(DATE(YEAR(Invoer!$A$5),1,1)+INT((ROWS(B$2:B6487)-1)/24),"""18""jjmmdd")</f>
        <v>18980928</v>
      </c>
      <c r="C6487" s="11" t="str">
        <f>INDEX(Data,2,2+MOD(ROWS(C$2:C6487)-1,24))</f>
        <v>06.00</v>
      </c>
      <c r="D6487" s="8">
        <f t="shared" ca="1" si="305"/>
        <v>5</v>
      </c>
      <c r="E6487" s="16">
        <f t="shared" ca="1" si="306"/>
        <v>0</v>
      </c>
    </row>
    <row r="6488" spans="1:5" x14ac:dyDescent="0.25">
      <c r="A6488" s="3">
        <f t="shared" si="304"/>
        <v>78989</v>
      </c>
      <c r="B6488" t="str">
        <f ca="1">TEXT(DATE(YEAR(Invoer!$A$5),1,1)+INT((ROWS(B$2:B6488)-1)/24),"""18""jjmmdd")</f>
        <v>18980928</v>
      </c>
      <c r="C6488" s="11" t="str">
        <f>INDEX(Data,2,2+MOD(ROWS(C$2:C6488)-1,24))</f>
        <v>07.00</v>
      </c>
      <c r="D6488" s="8">
        <f t="shared" ca="1" si="305"/>
        <v>7</v>
      </c>
      <c r="E6488" s="16">
        <f t="shared" ca="1" si="306"/>
        <v>0</v>
      </c>
    </row>
    <row r="6489" spans="1:5" x14ac:dyDescent="0.25">
      <c r="A6489" s="3">
        <f t="shared" si="304"/>
        <v>78989</v>
      </c>
      <c r="B6489" t="str">
        <f ca="1">TEXT(DATE(YEAR(Invoer!$A$5),1,1)+INT((ROWS(B$2:B6489)-1)/24),"""18""jjmmdd")</f>
        <v>18980928</v>
      </c>
      <c r="C6489" s="11" t="str">
        <f>INDEX(Data,2,2+MOD(ROWS(C$2:C6489)-1,24))</f>
        <v>08.00</v>
      </c>
      <c r="D6489" s="8">
        <f t="shared" ca="1" si="305"/>
        <v>7</v>
      </c>
      <c r="E6489" s="16">
        <f t="shared" ca="1" si="306"/>
        <v>0</v>
      </c>
    </row>
    <row r="6490" spans="1:5" x14ac:dyDescent="0.25">
      <c r="A6490" s="3">
        <f t="shared" si="304"/>
        <v>78989</v>
      </c>
      <c r="B6490" t="str">
        <f ca="1">TEXT(DATE(YEAR(Invoer!$A$5),1,1)+INT((ROWS(B$2:B6490)-1)/24),"""18""jjmmdd")</f>
        <v>18980928</v>
      </c>
      <c r="C6490" s="11" t="str">
        <f>INDEX(Data,2,2+MOD(ROWS(C$2:C6490)-1,24))</f>
        <v>09.00</v>
      </c>
      <c r="D6490" s="8">
        <f t="shared" ca="1" si="305"/>
        <v>10</v>
      </c>
      <c r="E6490" s="16">
        <f t="shared" ca="1" si="306"/>
        <v>0</v>
      </c>
    </row>
    <row r="6491" spans="1:5" x14ac:dyDescent="0.25">
      <c r="A6491" s="3">
        <f t="shared" si="304"/>
        <v>78989</v>
      </c>
      <c r="B6491" t="str">
        <f ca="1">TEXT(DATE(YEAR(Invoer!$A$5),1,1)+INT((ROWS(B$2:B6491)-1)/24),"""18""jjmmdd")</f>
        <v>18980928</v>
      </c>
      <c r="C6491" s="11" t="str">
        <f>INDEX(Data,2,2+MOD(ROWS(C$2:C6491)-1,24))</f>
        <v>10.00</v>
      </c>
      <c r="D6491" s="8">
        <f t="shared" ca="1" si="305"/>
        <v>12</v>
      </c>
      <c r="E6491" s="16">
        <f t="shared" ca="1" si="306"/>
        <v>0</v>
      </c>
    </row>
    <row r="6492" spans="1:5" x14ac:dyDescent="0.25">
      <c r="A6492" s="3">
        <f t="shared" si="304"/>
        <v>78989</v>
      </c>
      <c r="B6492" t="str">
        <f ca="1">TEXT(DATE(YEAR(Invoer!$A$5),1,1)+INT((ROWS(B$2:B6492)-1)/24),"""18""jjmmdd")</f>
        <v>18980928</v>
      </c>
      <c r="C6492" s="11" t="str">
        <f>INDEX(Data,2,2+MOD(ROWS(C$2:C6492)-1,24))</f>
        <v>11.00</v>
      </c>
      <c r="D6492" s="8">
        <f t="shared" ca="1" si="305"/>
        <v>11</v>
      </c>
      <c r="E6492" s="16">
        <f t="shared" ca="1" si="306"/>
        <v>0</v>
      </c>
    </row>
    <row r="6493" spans="1:5" x14ac:dyDescent="0.25">
      <c r="A6493" s="3">
        <f t="shared" si="304"/>
        <v>78989</v>
      </c>
      <c r="B6493" t="str">
        <f ca="1">TEXT(DATE(YEAR(Invoer!$A$5),1,1)+INT((ROWS(B$2:B6493)-1)/24),"""18""jjmmdd")</f>
        <v>18980928</v>
      </c>
      <c r="C6493" s="11" t="str">
        <f>INDEX(Data,2,2+MOD(ROWS(C$2:C6493)-1,24))</f>
        <v>12.00</v>
      </c>
      <c r="D6493" s="8">
        <f t="shared" ca="1" si="305"/>
        <v>13</v>
      </c>
      <c r="E6493" s="16">
        <f t="shared" ca="1" si="306"/>
        <v>0</v>
      </c>
    </row>
    <row r="6494" spans="1:5" x14ac:dyDescent="0.25">
      <c r="A6494" s="3">
        <f t="shared" si="304"/>
        <v>78989</v>
      </c>
      <c r="B6494" t="str">
        <f ca="1">TEXT(DATE(YEAR(Invoer!$A$5),1,1)+INT((ROWS(B$2:B6494)-1)/24),"""18""jjmmdd")</f>
        <v>18980928</v>
      </c>
      <c r="C6494" s="11" t="str">
        <f>INDEX(Data,2,2+MOD(ROWS(C$2:C6494)-1,24))</f>
        <v>13.00</v>
      </c>
      <c r="D6494" s="8">
        <f t="shared" ca="1" si="305"/>
        <v>13</v>
      </c>
      <c r="E6494" s="16">
        <f t="shared" ca="1" si="306"/>
        <v>0</v>
      </c>
    </row>
    <row r="6495" spans="1:5" x14ac:dyDescent="0.25">
      <c r="A6495" s="3">
        <f t="shared" si="304"/>
        <v>78989</v>
      </c>
      <c r="B6495" t="str">
        <f ca="1">TEXT(DATE(YEAR(Invoer!$A$5),1,1)+INT((ROWS(B$2:B6495)-1)/24),"""18""jjmmdd")</f>
        <v>18980928</v>
      </c>
      <c r="C6495" s="11" t="str">
        <f>INDEX(Data,2,2+MOD(ROWS(C$2:C6495)-1,24))</f>
        <v>14.00</v>
      </c>
      <c r="D6495" s="8">
        <f t="shared" ca="1" si="305"/>
        <v>10</v>
      </c>
      <c r="E6495" s="16">
        <f t="shared" ca="1" si="306"/>
        <v>0</v>
      </c>
    </row>
    <row r="6496" spans="1:5" x14ac:dyDescent="0.25">
      <c r="A6496" s="3">
        <f t="shared" si="304"/>
        <v>78989</v>
      </c>
      <c r="B6496" t="str">
        <f ca="1">TEXT(DATE(YEAR(Invoer!$A$5),1,1)+INT((ROWS(B$2:B6496)-1)/24),"""18""jjmmdd")</f>
        <v>18980928</v>
      </c>
      <c r="C6496" s="11" t="str">
        <f>INDEX(Data,2,2+MOD(ROWS(C$2:C6496)-1,24))</f>
        <v>15.00</v>
      </c>
      <c r="D6496" s="8">
        <f t="shared" ca="1" si="305"/>
        <v>10</v>
      </c>
      <c r="E6496" s="16">
        <f t="shared" ca="1" si="306"/>
        <v>0</v>
      </c>
    </row>
    <row r="6497" spans="1:5" x14ac:dyDescent="0.25">
      <c r="A6497" s="3">
        <f t="shared" si="304"/>
        <v>78989</v>
      </c>
      <c r="B6497" t="str">
        <f ca="1">TEXT(DATE(YEAR(Invoer!$A$5),1,1)+INT((ROWS(B$2:B6497)-1)/24),"""18""jjmmdd")</f>
        <v>18980928</v>
      </c>
      <c r="C6497" s="11" t="str">
        <f>INDEX(Data,2,2+MOD(ROWS(C$2:C6497)-1,24))</f>
        <v>16.00</v>
      </c>
      <c r="D6497" s="8">
        <f t="shared" ca="1" si="305"/>
        <v>9</v>
      </c>
      <c r="E6497" s="16">
        <f t="shared" ca="1" si="306"/>
        <v>0</v>
      </c>
    </row>
    <row r="6498" spans="1:5" x14ac:dyDescent="0.25">
      <c r="A6498" s="3">
        <f t="shared" si="304"/>
        <v>78989</v>
      </c>
      <c r="B6498" t="str">
        <f ca="1">TEXT(DATE(YEAR(Invoer!$A$5),1,1)+INT((ROWS(B$2:B6498)-1)/24),"""18""jjmmdd")</f>
        <v>18980928</v>
      </c>
      <c r="C6498" s="11" t="str">
        <f>INDEX(Data,2,2+MOD(ROWS(C$2:C6498)-1,24))</f>
        <v>17.00</v>
      </c>
      <c r="D6498" s="8">
        <f t="shared" ca="1" si="305"/>
        <v>12</v>
      </c>
      <c r="E6498" s="16">
        <f t="shared" ca="1" si="306"/>
        <v>0</v>
      </c>
    </row>
    <row r="6499" spans="1:5" x14ac:dyDescent="0.25">
      <c r="A6499" s="3">
        <f t="shared" si="304"/>
        <v>78989</v>
      </c>
      <c r="B6499" t="str">
        <f ca="1">TEXT(DATE(YEAR(Invoer!$A$5),1,1)+INT((ROWS(B$2:B6499)-1)/24),"""18""jjmmdd")</f>
        <v>18980928</v>
      </c>
      <c r="C6499" s="11" t="str">
        <f>INDEX(Data,2,2+MOD(ROWS(C$2:C6499)-1,24))</f>
        <v>18.00</v>
      </c>
      <c r="D6499" s="8">
        <f t="shared" ca="1" si="305"/>
        <v>11</v>
      </c>
      <c r="E6499" s="16">
        <f t="shared" ca="1" si="306"/>
        <v>0</v>
      </c>
    </row>
    <row r="6500" spans="1:5" x14ac:dyDescent="0.25">
      <c r="A6500" s="3">
        <f t="shared" si="304"/>
        <v>78989</v>
      </c>
      <c r="B6500" t="str">
        <f ca="1">TEXT(DATE(YEAR(Invoer!$A$5),1,1)+INT((ROWS(B$2:B6500)-1)/24),"""18""jjmmdd")</f>
        <v>18980928</v>
      </c>
      <c r="C6500" s="11" t="str">
        <f>INDEX(Data,2,2+MOD(ROWS(C$2:C6500)-1,24))</f>
        <v>19.00</v>
      </c>
      <c r="D6500" s="8">
        <f t="shared" ca="1" si="305"/>
        <v>11</v>
      </c>
      <c r="E6500" s="16">
        <f t="shared" ca="1" si="306"/>
        <v>0</v>
      </c>
    </row>
    <row r="6501" spans="1:5" x14ac:dyDescent="0.25">
      <c r="A6501" s="3">
        <f t="shared" si="304"/>
        <v>78989</v>
      </c>
      <c r="B6501" t="str">
        <f ca="1">TEXT(DATE(YEAR(Invoer!$A$5),1,1)+INT((ROWS(B$2:B6501)-1)/24),"""18""jjmmdd")</f>
        <v>18980928</v>
      </c>
      <c r="C6501" s="11" t="str">
        <f>INDEX(Data,2,2+MOD(ROWS(C$2:C6501)-1,24))</f>
        <v>20.00</v>
      </c>
      <c r="D6501" s="8">
        <f t="shared" ca="1" si="305"/>
        <v>10</v>
      </c>
      <c r="E6501" s="16">
        <f t="shared" ca="1" si="306"/>
        <v>0</v>
      </c>
    </row>
    <row r="6502" spans="1:5" x14ac:dyDescent="0.25">
      <c r="A6502" s="3">
        <f t="shared" si="304"/>
        <v>78989</v>
      </c>
      <c r="B6502" t="str">
        <f ca="1">TEXT(DATE(YEAR(Invoer!$A$5),1,1)+INT((ROWS(B$2:B6502)-1)/24),"""18""jjmmdd")</f>
        <v>18980928</v>
      </c>
      <c r="C6502" s="11" t="str">
        <f>INDEX(Data,2,2+MOD(ROWS(C$2:C6502)-1,24))</f>
        <v>21.00</v>
      </c>
      <c r="D6502" s="8">
        <f t="shared" ca="1" si="305"/>
        <v>7</v>
      </c>
      <c r="E6502" s="16">
        <f t="shared" ca="1" si="306"/>
        <v>0</v>
      </c>
    </row>
    <row r="6503" spans="1:5" x14ac:dyDescent="0.25">
      <c r="A6503" s="3">
        <f t="shared" si="304"/>
        <v>78989</v>
      </c>
      <c r="B6503" t="str">
        <f ca="1">TEXT(DATE(YEAR(Invoer!$A$5),1,1)+INT((ROWS(B$2:B6503)-1)/24),"""18""jjmmdd")</f>
        <v>18980928</v>
      </c>
      <c r="C6503" s="11" t="str">
        <f>INDEX(Data,2,2+MOD(ROWS(C$2:C6503)-1,24))</f>
        <v>22.00</v>
      </c>
      <c r="D6503" s="8">
        <f t="shared" ca="1" si="305"/>
        <v>5</v>
      </c>
      <c r="E6503" s="16">
        <f t="shared" ca="1" si="306"/>
        <v>0</v>
      </c>
    </row>
    <row r="6504" spans="1:5" x14ac:dyDescent="0.25">
      <c r="A6504" s="3">
        <f t="shared" si="304"/>
        <v>78989</v>
      </c>
      <c r="B6504" t="str">
        <f ca="1">TEXT(DATE(YEAR(Invoer!$A$5),1,1)+INT((ROWS(B$2:B6504)-1)/24),"""18""jjmmdd")</f>
        <v>18980928</v>
      </c>
      <c r="C6504" s="11" t="str">
        <f>INDEX(Data,2,2+MOD(ROWS(C$2:C6504)-1,24))</f>
        <v>23.00</v>
      </c>
      <c r="D6504" s="8">
        <f t="shared" ca="1" si="305"/>
        <v>6</v>
      </c>
      <c r="E6504" s="16">
        <f t="shared" ca="1" si="306"/>
        <v>0</v>
      </c>
    </row>
    <row r="6505" spans="1:5" x14ac:dyDescent="0.25">
      <c r="A6505" s="3">
        <f t="shared" si="304"/>
        <v>78989</v>
      </c>
      <c r="B6505" t="str">
        <f ca="1">TEXT(DATE(YEAR(Invoer!$A$5),1,1)+INT((ROWS(B$2:B6505)-1)/24),"""18""jjmmdd")</f>
        <v>18980928</v>
      </c>
      <c r="C6505" s="11" t="str">
        <f>INDEX(Data,2,2+MOD(ROWS(C$2:C6505)-1,24))</f>
        <v>24.00</v>
      </c>
      <c r="D6505" s="8">
        <f t="shared" ca="1" si="305"/>
        <v>5</v>
      </c>
      <c r="E6505" s="16">
        <f t="shared" ca="1" si="306"/>
        <v>0</v>
      </c>
    </row>
    <row r="6506" spans="1:5" x14ac:dyDescent="0.25">
      <c r="A6506" s="3">
        <f t="shared" si="304"/>
        <v>78989</v>
      </c>
      <c r="B6506" t="str">
        <f ca="1">TEXT(DATE(YEAR(Invoer!$A$5),1,1)+INT((ROWS(B$2:B6506)-1)/24),"""18""jjmmdd")</f>
        <v>18980929</v>
      </c>
      <c r="C6506" s="11" t="str">
        <f>INDEX(Data,2,2+MOD(ROWS(C$2:C6506)-1,24))</f>
        <v>01.00</v>
      </c>
      <c r="D6506" s="8">
        <f t="shared" ca="1" si="305"/>
        <v>5</v>
      </c>
      <c r="E6506" s="16">
        <f t="shared" ca="1" si="306"/>
        <v>0</v>
      </c>
    </row>
    <row r="6507" spans="1:5" x14ac:dyDescent="0.25">
      <c r="A6507" s="3">
        <f t="shared" si="304"/>
        <v>78989</v>
      </c>
      <c r="B6507" t="str">
        <f ca="1">TEXT(DATE(YEAR(Invoer!$A$5),1,1)+INT((ROWS(B$2:B6507)-1)/24),"""18""jjmmdd")</f>
        <v>18980929</v>
      </c>
      <c r="C6507" s="11" t="str">
        <f>INDEX(Data,2,2+MOD(ROWS(C$2:C6507)-1,24))</f>
        <v>02.00</v>
      </c>
      <c r="D6507" s="8">
        <f t="shared" ca="1" si="305"/>
        <v>4</v>
      </c>
      <c r="E6507" s="16">
        <f t="shared" ca="1" si="306"/>
        <v>0</v>
      </c>
    </row>
    <row r="6508" spans="1:5" x14ac:dyDescent="0.25">
      <c r="A6508" s="3">
        <f t="shared" si="304"/>
        <v>78989</v>
      </c>
      <c r="B6508" t="str">
        <f ca="1">TEXT(DATE(YEAR(Invoer!$A$5),1,1)+INT((ROWS(B$2:B6508)-1)/24),"""18""jjmmdd")</f>
        <v>18980929</v>
      </c>
      <c r="C6508" s="11" t="str">
        <f>INDEX(Data,2,2+MOD(ROWS(C$2:C6508)-1,24))</f>
        <v>03.00</v>
      </c>
      <c r="D6508" s="8">
        <f t="shared" ca="1" si="305"/>
        <v>4</v>
      </c>
      <c r="E6508" s="16">
        <f t="shared" ca="1" si="306"/>
        <v>0</v>
      </c>
    </row>
    <row r="6509" spans="1:5" x14ac:dyDescent="0.25">
      <c r="A6509" s="3">
        <f t="shared" si="304"/>
        <v>78989</v>
      </c>
      <c r="B6509" t="str">
        <f ca="1">TEXT(DATE(YEAR(Invoer!$A$5),1,1)+INT((ROWS(B$2:B6509)-1)/24),"""18""jjmmdd")</f>
        <v>18980929</v>
      </c>
      <c r="C6509" s="11" t="str">
        <f>INDEX(Data,2,2+MOD(ROWS(C$2:C6509)-1,24))</f>
        <v>04.00</v>
      </c>
      <c r="D6509" s="8">
        <f t="shared" ca="1" si="305"/>
        <v>5</v>
      </c>
      <c r="E6509" s="16">
        <f t="shared" ca="1" si="306"/>
        <v>0</v>
      </c>
    </row>
    <row r="6510" spans="1:5" x14ac:dyDescent="0.25">
      <c r="A6510" s="3">
        <f t="shared" si="304"/>
        <v>78989</v>
      </c>
      <c r="B6510" t="str">
        <f ca="1">TEXT(DATE(YEAR(Invoer!$A$5),1,1)+INT((ROWS(B$2:B6510)-1)/24),"""18""jjmmdd")</f>
        <v>18980929</v>
      </c>
      <c r="C6510" s="11" t="str">
        <f>INDEX(Data,2,2+MOD(ROWS(C$2:C6510)-1,24))</f>
        <v>05.00</v>
      </c>
      <c r="D6510" s="8">
        <f t="shared" ca="1" si="305"/>
        <v>5</v>
      </c>
      <c r="E6510" s="16">
        <f t="shared" ca="1" si="306"/>
        <v>0</v>
      </c>
    </row>
    <row r="6511" spans="1:5" x14ac:dyDescent="0.25">
      <c r="A6511" s="3">
        <f t="shared" si="304"/>
        <v>78989</v>
      </c>
      <c r="B6511" t="str">
        <f ca="1">TEXT(DATE(YEAR(Invoer!$A$5),1,1)+INT((ROWS(B$2:B6511)-1)/24),"""18""jjmmdd")</f>
        <v>18980929</v>
      </c>
      <c r="C6511" s="11" t="str">
        <f>INDEX(Data,2,2+MOD(ROWS(C$2:C6511)-1,24))</f>
        <v>06.00</v>
      </c>
      <c r="D6511" s="8">
        <f t="shared" ca="1" si="305"/>
        <v>3</v>
      </c>
      <c r="E6511" s="16">
        <f t="shared" ca="1" si="306"/>
        <v>0</v>
      </c>
    </row>
    <row r="6512" spans="1:5" x14ac:dyDescent="0.25">
      <c r="A6512" s="3">
        <f t="shared" si="304"/>
        <v>78989</v>
      </c>
      <c r="B6512" t="str">
        <f ca="1">TEXT(DATE(YEAR(Invoer!$A$5),1,1)+INT((ROWS(B$2:B6512)-1)/24),"""18""jjmmdd")</f>
        <v>18980929</v>
      </c>
      <c r="C6512" s="11" t="str">
        <f>INDEX(Data,2,2+MOD(ROWS(C$2:C6512)-1,24))</f>
        <v>07.00</v>
      </c>
      <c r="D6512" s="8">
        <f t="shared" ca="1" si="305"/>
        <v>4</v>
      </c>
      <c r="E6512" s="16">
        <f t="shared" ca="1" si="306"/>
        <v>0</v>
      </c>
    </row>
    <row r="6513" spans="1:5" x14ac:dyDescent="0.25">
      <c r="A6513" s="3">
        <f t="shared" si="304"/>
        <v>78989</v>
      </c>
      <c r="B6513" t="str">
        <f ca="1">TEXT(DATE(YEAR(Invoer!$A$5),1,1)+INT((ROWS(B$2:B6513)-1)/24),"""18""jjmmdd")</f>
        <v>18980929</v>
      </c>
      <c r="C6513" s="11" t="str">
        <f>INDEX(Data,2,2+MOD(ROWS(C$2:C6513)-1,24))</f>
        <v>08.00</v>
      </c>
      <c r="D6513" s="8">
        <f t="shared" ca="1" si="305"/>
        <v>6</v>
      </c>
      <c r="E6513" s="16">
        <f t="shared" ca="1" si="306"/>
        <v>0</v>
      </c>
    </row>
    <row r="6514" spans="1:5" x14ac:dyDescent="0.25">
      <c r="A6514" s="3">
        <f t="shared" si="304"/>
        <v>78989</v>
      </c>
      <c r="B6514" t="str">
        <f ca="1">TEXT(DATE(YEAR(Invoer!$A$5),1,1)+INT((ROWS(B$2:B6514)-1)/24),"""18""jjmmdd")</f>
        <v>18980929</v>
      </c>
      <c r="C6514" s="11" t="str">
        <f>INDEX(Data,2,2+MOD(ROWS(C$2:C6514)-1,24))</f>
        <v>09.00</v>
      </c>
      <c r="D6514" s="8">
        <f t="shared" ca="1" si="305"/>
        <v>6</v>
      </c>
      <c r="E6514" s="16">
        <f t="shared" ca="1" si="306"/>
        <v>0</v>
      </c>
    </row>
    <row r="6515" spans="1:5" x14ac:dyDescent="0.25">
      <c r="A6515" s="3">
        <f t="shared" si="304"/>
        <v>78989</v>
      </c>
      <c r="B6515" t="str">
        <f ca="1">TEXT(DATE(YEAR(Invoer!$A$5),1,1)+INT((ROWS(B$2:B6515)-1)/24),"""18""jjmmdd")</f>
        <v>18980929</v>
      </c>
      <c r="C6515" s="11" t="str">
        <f>INDEX(Data,2,2+MOD(ROWS(C$2:C6515)-1,24))</f>
        <v>10.00</v>
      </c>
      <c r="D6515" s="8">
        <f t="shared" ca="1" si="305"/>
        <v>9</v>
      </c>
      <c r="E6515" s="16">
        <f t="shared" ca="1" si="306"/>
        <v>0</v>
      </c>
    </row>
    <row r="6516" spans="1:5" x14ac:dyDescent="0.25">
      <c r="A6516" s="3">
        <f t="shared" si="304"/>
        <v>78989</v>
      </c>
      <c r="B6516" t="str">
        <f ca="1">TEXT(DATE(YEAR(Invoer!$A$5),1,1)+INT((ROWS(B$2:B6516)-1)/24),"""18""jjmmdd")</f>
        <v>18980929</v>
      </c>
      <c r="C6516" s="11" t="str">
        <f>INDEX(Data,2,2+MOD(ROWS(C$2:C6516)-1,24))</f>
        <v>11.00</v>
      </c>
      <c r="D6516" s="8">
        <f t="shared" ca="1" si="305"/>
        <v>10</v>
      </c>
      <c r="E6516" s="16">
        <f t="shared" ca="1" si="306"/>
        <v>0</v>
      </c>
    </row>
    <row r="6517" spans="1:5" x14ac:dyDescent="0.25">
      <c r="A6517" s="3">
        <f t="shared" si="304"/>
        <v>78989</v>
      </c>
      <c r="B6517" t="str">
        <f ca="1">TEXT(DATE(YEAR(Invoer!$A$5),1,1)+INT((ROWS(B$2:B6517)-1)/24),"""18""jjmmdd")</f>
        <v>18980929</v>
      </c>
      <c r="C6517" s="11" t="str">
        <f>INDEX(Data,2,2+MOD(ROWS(C$2:C6517)-1,24))</f>
        <v>12.00</v>
      </c>
      <c r="D6517" s="8">
        <f t="shared" ca="1" si="305"/>
        <v>8</v>
      </c>
      <c r="E6517" s="16">
        <f t="shared" ca="1" si="306"/>
        <v>0</v>
      </c>
    </row>
    <row r="6518" spans="1:5" x14ac:dyDescent="0.25">
      <c r="A6518" s="3">
        <f t="shared" si="304"/>
        <v>78989</v>
      </c>
      <c r="B6518" t="str">
        <f ca="1">TEXT(DATE(YEAR(Invoer!$A$5),1,1)+INT((ROWS(B$2:B6518)-1)/24),"""18""jjmmdd")</f>
        <v>18980929</v>
      </c>
      <c r="C6518" s="11" t="str">
        <f>INDEX(Data,2,2+MOD(ROWS(C$2:C6518)-1,24))</f>
        <v>13.00</v>
      </c>
      <c r="D6518" s="8">
        <f t="shared" ca="1" si="305"/>
        <v>6</v>
      </c>
      <c r="E6518" s="16">
        <f t="shared" ca="1" si="306"/>
        <v>0</v>
      </c>
    </row>
    <row r="6519" spans="1:5" x14ac:dyDescent="0.25">
      <c r="A6519" s="3">
        <f t="shared" si="304"/>
        <v>78989</v>
      </c>
      <c r="B6519" t="str">
        <f ca="1">TEXT(DATE(YEAR(Invoer!$A$5),1,1)+INT((ROWS(B$2:B6519)-1)/24),"""18""jjmmdd")</f>
        <v>18980929</v>
      </c>
      <c r="C6519" s="11" t="str">
        <f>INDEX(Data,2,2+MOD(ROWS(C$2:C6519)-1,24))</f>
        <v>14.00</v>
      </c>
      <c r="D6519" s="8">
        <f t="shared" ca="1" si="305"/>
        <v>7</v>
      </c>
      <c r="E6519" s="16">
        <f t="shared" ca="1" si="306"/>
        <v>0</v>
      </c>
    </row>
    <row r="6520" spans="1:5" x14ac:dyDescent="0.25">
      <c r="A6520" s="3">
        <f t="shared" si="304"/>
        <v>78989</v>
      </c>
      <c r="B6520" t="str">
        <f ca="1">TEXT(DATE(YEAR(Invoer!$A$5),1,1)+INT((ROWS(B$2:B6520)-1)/24),"""18""jjmmdd")</f>
        <v>18980929</v>
      </c>
      <c r="C6520" s="11" t="str">
        <f>INDEX(Data,2,2+MOD(ROWS(C$2:C6520)-1,24))</f>
        <v>15.00</v>
      </c>
      <c r="D6520" s="8">
        <f t="shared" ca="1" si="305"/>
        <v>5</v>
      </c>
      <c r="E6520" s="16">
        <f t="shared" ca="1" si="306"/>
        <v>0</v>
      </c>
    </row>
    <row r="6521" spans="1:5" x14ac:dyDescent="0.25">
      <c r="A6521" s="3">
        <f t="shared" si="304"/>
        <v>78989</v>
      </c>
      <c r="B6521" t="str">
        <f ca="1">TEXT(DATE(YEAR(Invoer!$A$5),1,1)+INT((ROWS(B$2:B6521)-1)/24),"""18""jjmmdd")</f>
        <v>18980929</v>
      </c>
      <c r="C6521" s="11" t="str">
        <f>INDEX(Data,2,2+MOD(ROWS(C$2:C6521)-1,24))</f>
        <v>16.00</v>
      </c>
      <c r="D6521" s="8">
        <f t="shared" ca="1" si="305"/>
        <v>9</v>
      </c>
      <c r="E6521" s="16">
        <f t="shared" ca="1" si="306"/>
        <v>0</v>
      </c>
    </row>
    <row r="6522" spans="1:5" x14ac:dyDescent="0.25">
      <c r="A6522" s="3">
        <f t="shared" si="304"/>
        <v>78989</v>
      </c>
      <c r="B6522" t="str">
        <f ca="1">TEXT(DATE(YEAR(Invoer!$A$5),1,1)+INT((ROWS(B$2:B6522)-1)/24),"""18""jjmmdd")</f>
        <v>18980929</v>
      </c>
      <c r="C6522" s="11" t="str">
        <f>INDEX(Data,2,2+MOD(ROWS(C$2:C6522)-1,24))</f>
        <v>17.00</v>
      </c>
      <c r="D6522" s="8">
        <f t="shared" ca="1" si="305"/>
        <v>10</v>
      </c>
      <c r="E6522" s="16">
        <f t="shared" ca="1" si="306"/>
        <v>0</v>
      </c>
    </row>
    <row r="6523" spans="1:5" x14ac:dyDescent="0.25">
      <c r="A6523" s="3">
        <f t="shared" si="304"/>
        <v>78989</v>
      </c>
      <c r="B6523" t="str">
        <f ca="1">TEXT(DATE(YEAR(Invoer!$A$5),1,1)+INT((ROWS(B$2:B6523)-1)/24),"""18""jjmmdd")</f>
        <v>18980929</v>
      </c>
      <c r="C6523" s="11" t="str">
        <f>INDEX(Data,2,2+MOD(ROWS(C$2:C6523)-1,24))</f>
        <v>18.00</v>
      </c>
      <c r="D6523" s="8">
        <f t="shared" ca="1" si="305"/>
        <v>6</v>
      </c>
      <c r="E6523" s="16">
        <f t="shared" ca="1" si="306"/>
        <v>0</v>
      </c>
    </row>
    <row r="6524" spans="1:5" x14ac:dyDescent="0.25">
      <c r="A6524" s="3">
        <f t="shared" si="304"/>
        <v>78989</v>
      </c>
      <c r="B6524" t="str">
        <f ca="1">TEXT(DATE(YEAR(Invoer!$A$5),1,1)+INT((ROWS(B$2:B6524)-1)/24),"""18""jjmmdd")</f>
        <v>18980929</v>
      </c>
      <c r="C6524" s="11" t="str">
        <f>INDEX(Data,2,2+MOD(ROWS(C$2:C6524)-1,24))</f>
        <v>19.00</v>
      </c>
      <c r="D6524" s="8">
        <f t="shared" ca="1" si="305"/>
        <v>4</v>
      </c>
      <c r="E6524" s="16">
        <f t="shared" ca="1" si="306"/>
        <v>0</v>
      </c>
    </row>
    <row r="6525" spans="1:5" x14ac:dyDescent="0.25">
      <c r="A6525" s="3">
        <f t="shared" si="304"/>
        <v>78989</v>
      </c>
      <c r="B6525" t="str">
        <f ca="1">TEXT(DATE(YEAR(Invoer!$A$5),1,1)+INT((ROWS(B$2:B6525)-1)/24),"""18""jjmmdd")</f>
        <v>18980929</v>
      </c>
      <c r="C6525" s="11" t="str">
        <f>INDEX(Data,2,2+MOD(ROWS(C$2:C6525)-1,24))</f>
        <v>20.00</v>
      </c>
      <c r="D6525" s="8">
        <f t="shared" ca="1" si="305"/>
        <v>4</v>
      </c>
      <c r="E6525" s="16">
        <f t="shared" ca="1" si="306"/>
        <v>0</v>
      </c>
    </row>
    <row r="6526" spans="1:5" x14ac:dyDescent="0.25">
      <c r="A6526" s="3">
        <f t="shared" si="304"/>
        <v>78989</v>
      </c>
      <c r="B6526" t="str">
        <f ca="1">TEXT(DATE(YEAR(Invoer!$A$5),1,1)+INT((ROWS(B$2:B6526)-1)/24),"""18""jjmmdd")</f>
        <v>18980929</v>
      </c>
      <c r="C6526" s="11" t="str">
        <f>INDEX(Data,2,2+MOD(ROWS(C$2:C6526)-1,24))</f>
        <v>21.00</v>
      </c>
      <c r="D6526" s="8">
        <f t="shared" ca="1" si="305"/>
        <v>4</v>
      </c>
      <c r="E6526" s="16">
        <f t="shared" ca="1" si="306"/>
        <v>0</v>
      </c>
    </row>
    <row r="6527" spans="1:5" x14ac:dyDescent="0.25">
      <c r="A6527" s="3">
        <f t="shared" si="304"/>
        <v>78989</v>
      </c>
      <c r="B6527" t="str">
        <f ca="1">TEXT(DATE(YEAR(Invoer!$A$5),1,1)+INT((ROWS(B$2:B6527)-1)/24),"""18""jjmmdd")</f>
        <v>18980929</v>
      </c>
      <c r="C6527" s="11" t="str">
        <f>INDEX(Data,2,2+MOD(ROWS(C$2:C6527)-1,24))</f>
        <v>22.00</v>
      </c>
      <c r="D6527" s="8">
        <f t="shared" ca="1" si="305"/>
        <v>3</v>
      </c>
      <c r="E6527" s="16">
        <f t="shared" ca="1" si="306"/>
        <v>0</v>
      </c>
    </row>
    <row r="6528" spans="1:5" x14ac:dyDescent="0.25">
      <c r="A6528" s="3">
        <f t="shared" si="304"/>
        <v>78989</v>
      </c>
      <c r="B6528" t="str">
        <f ca="1">TEXT(DATE(YEAR(Invoer!$A$5),1,1)+INT((ROWS(B$2:B6528)-1)/24),"""18""jjmmdd")</f>
        <v>18980929</v>
      </c>
      <c r="C6528" s="11" t="str">
        <f>INDEX(Data,2,2+MOD(ROWS(C$2:C6528)-1,24))</f>
        <v>23.00</v>
      </c>
      <c r="D6528" s="8">
        <f t="shared" ca="1" si="305"/>
        <v>3</v>
      </c>
      <c r="E6528" s="16">
        <f t="shared" ca="1" si="306"/>
        <v>0</v>
      </c>
    </row>
    <row r="6529" spans="1:5" x14ac:dyDescent="0.25">
      <c r="A6529" s="3">
        <f t="shared" si="304"/>
        <v>78989</v>
      </c>
      <c r="B6529" t="str">
        <f ca="1">TEXT(DATE(YEAR(Invoer!$A$5),1,1)+INT((ROWS(B$2:B6529)-1)/24),"""18""jjmmdd")</f>
        <v>18980929</v>
      </c>
      <c r="C6529" s="11" t="str">
        <f>INDEX(Data,2,2+MOD(ROWS(C$2:C6529)-1,24))</f>
        <v>24.00</v>
      </c>
      <c r="D6529" s="8">
        <f t="shared" ca="1" si="305"/>
        <v>4</v>
      </c>
      <c r="E6529" s="16">
        <f t="shared" ca="1" si="306"/>
        <v>0</v>
      </c>
    </row>
    <row r="6530" spans="1:5" x14ac:dyDescent="0.25">
      <c r="A6530" s="3">
        <f t="shared" ref="A6530:A6593" si="307">INDEX(Stations,2,1)</f>
        <v>78989</v>
      </c>
      <c r="B6530" t="str">
        <f ca="1">TEXT(DATE(YEAR(Invoer!$A$5),1,1)+INT((ROWS(B$2:B6530)-1)/24),"""18""jjmmdd")</f>
        <v>18980930</v>
      </c>
      <c r="C6530" s="11" t="str">
        <f>INDEX(Data,2,2+MOD(ROWS(C$2:C6530)-1,24))</f>
        <v>01.00</v>
      </c>
      <c r="D6530" s="8">
        <f t="shared" ref="D6530:D6593" ca="1" si="308">IF(OR(ISBLANK(VLOOKUP(DATEVALUE("37"&amp;MID($B6530,3,2)&amp;"-"&amp;MID($B6530,5,2)&amp;"-"&amp;RIGHT($B6530,2)),Data,MATCH(LEFT(VLOOKUP(D$1,Parameters,2,FALSE()),4)&amp;"*",OFFSET(Data,0,0,1),0)+MATCH($C6530,OFFSET(Data,1,0,1),0)-2,FALSE())),ISTEXT(VLOOKUP(DATEVALUE("37"&amp;MID($B6530,3,2)&amp;"-"&amp;MID($B6530,5,2)&amp;"-"&amp;RIGHT($B6530,2)),Data,MATCH(LEFT(VLOOKUP(D$1,Parameters,2,FALSE()),4)&amp;"*",OFFSET(Data,0,0,1),0)+MATCH($C6530,OFFSET(Data,1,0,1),0)-2,FALSE()))),"—",VLOOKUP(DATEVALUE("37"&amp;MID($B6530,3,2)&amp;"-"&amp;MID($B6530,5,2)&amp;"-"&amp;RIGHT($B6530,2)),Data,MATCH(LEFT(VLOOKUP(D$1,Parameters,2,FALSE()),4)&amp;"*",OFFSET(Data,0,0,1),0)+MATCH($C6530,OFFSET(Data,1,0,1),0)-2,FALSE()))</f>
        <v>3</v>
      </c>
      <c r="E6530" s="16">
        <f t="shared" ca="1" si="306"/>
        <v>0</v>
      </c>
    </row>
    <row r="6531" spans="1:5" x14ac:dyDescent="0.25">
      <c r="A6531" s="3">
        <f t="shared" si="307"/>
        <v>78989</v>
      </c>
      <c r="B6531" t="str">
        <f ca="1">TEXT(DATE(YEAR(Invoer!$A$5),1,1)+INT((ROWS(B$2:B6531)-1)/24),"""18""jjmmdd")</f>
        <v>18980930</v>
      </c>
      <c r="C6531" s="11" t="str">
        <f>INDEX(Data,2,2+MOD(ROWS(C$2:C6531)-1,24))</f>
        <v>02.00</v>
      </c>
      <c r="D6531" s="8">
        <f t="shared" ca="1" si="308"/>
        <v>2</v>
      </c>
      <c r="E6531" s="16">
        <f t="shared" ref="E6531:E6594" ca="1" si="309">IF(OR(ISBLANK(VLOOKUP(DATEVALUE("37"&amp;MID($B6531,3,2)&amp;"-"&amp;MID($B6531,5,2)&amp;"-"&amp;RIGHT($B6531,2)),Data,MATCH(LEFT(VLOOKUP(D$1,Parameters,2,FALSE()),4)&amp;"*",OFFSET(Data,0,0,1),0)+MATCH($C6531,OFFSET(Data,1,0,1),0)-2,FALSE())),ISTEXT(VLOOKUP(DATEVALUE("37"&amp;MID($B6531,3,2)&amp;"-"&amp;MID($B6531,5,2)&amp;"-"&amp;RIGHT($B6531,2)),Data,MATCH(LEFT(VLOOKUP(D$1,Parameters,2,FALSE()),4)&amp;"*",OFFSET(Data,0,0,1),0)+MATCH($C6531,OFFSET(Data,1,0,1),0)-2,FALSE()))),Lacking,IF(ISNA(MATCH(DATEVALUE("37"&amp;MID($B6531,3,2)&amp;"-"&amp;MID($B6531,5,2)&amp;"-"&amp;RIGHT($B6531,2)),OFFSET(Catalogus,0,0,,1),0)),Ok,VLOOKUP(DATEVALUE("37"&amp;MID($B6531,3,2)&amp;"-"&amp;MID($B6531,5,2)&amp;"-"&amp;RIGHT($B6531,2)),Catalogus,MATCH(LEFT(VLOOKUP(MID(E$1,2,LEN(E$1)-1),Parameters,2,FALSE()),4)&amp;"*",OFFSET(Catalogus,0,0,1),0)+MATCH($C6531,OFFSET(Catalogus,1,0,1),0)-2,FALSE())))</f>
        <v>0</v>
      </c>
    </row>
    <row r="6532" spans="1:5" x14ac:dyDescent="0.25">
      <c r="A6532" s="3">
        <f t="shared" si="307"/>
        <v>78989</v>
      </c>
      <c r="B6532" t="str">
        <f ca="1">TEXT(DATE(YEAR(Invoer!$A$5),1,1)+INT((ROWS(B$2:B6532)-1)/24),"""18""jjmmdd")</f>
        <v>18980930</v>
      </c>
      <c r="C6532" s="11" t="str">
        <f>INDEX(Data,2,2+MOD(ROWS(C$2:C6532)-1,24))</f>
        <v>03.00</v>
      </c>
      <c r="D6532" s="8">
        <f t="shared" ca="1" si="308"/>
        <v>4</v>
      </c>
      <c r="E6532" s="16">
        <f t="shared" ca="1" si="309"/>
        <v>0</v>
      </c>
    </row>
    <row r="6533" spans="1:5" x14ac:dyDescent="0.25">
      <c r="A6533" s="3">
        <f t="shared" si="307"/>
        <v>78989</v>
      </c>
      <c r="B6533" t="str">
        <f ca="1">TEXT(DATE(YEAR(Invoer!$A$5),1,1)+INT((ROWS(B$2:B6533)-1)/24),"""18""jjmmdd")</f>
        <v>18980930</v>
      </c>
      <c r="C6533" s="11" t="str">
        <f>INDEX(Data,2,2+MOD(ROWS(C$2:C6533)-1,24))</f>
        <v>04.00</v>
      </c>
      <c r="D6533" s="8">
        <f t="shared" ca="1" si="308"/>
        <v>2</v>
      </c>
      <c r="E6533" s="16">
        <f t="shared" ca="1" si="309"/>
        <v>0</v>
      </c>
    </row>
    <row r="6534" spans="1:5" x14ac:dyDescent="0.25">
      <c r="A6534" s="3">
        <f t="shared" si="307"/>
        <v>78989</v>
      </c>
      <c r="B6534" t="str">
        <f ca="1">TEXT(DATE(YEAR(Invoer!$A$5),1,1)+INT((ROWS(B$2:B6534)-1)/24),"""18""jjmmdd")</f>
        <v>18980930</v>
      </c>
      <c r="C6534" s="11" t="str">
        <f>INDEX(Data,2,2+MOD(ROWS(C$2:C6534)-1,24))</f>
        <v>05.00</v>
      </c>
      <c r="D6534" s="8">
        <f t="shared" ca="1" si="308"/>
        <v>2</v>
      </c>
      <c r="E6534" s="16">
        <f t="shared" ca="1" si="309"/>
        <v>0</v>
      </c>
    </row>
    <row r="6535" spans="1:5" x14ac:dyDescent="0.25">
      <c r="A6535" s="3">
        <f t="shared" si="307"/>
        <v>78989</v>
      </c>
      <c r="B6535" t="str">
        <f ca="1">TEXT(DATE(YEAR(Invoer!$A$5),1,1)+INT((ROWS(B$2:B6535)-1)/24),"""18""jjmmdd")</f>
        <v>18980930</v>
      </c>
      <c r="C6535" s="11" t="str">
        <f>INDEX(Data,2,2+MOD(ROWS(C$2:C6535)-1,24))</f>
        <v>06.00</v>
      </c>
      <c r="D6535" s="8">
        <f t="shared" ca="1" si="308"/>
        <v>2</v>
      </c>
      <c r="E6535" s="16">
        <f t="shared" ca="1" si="309"/>
        <v>0</v>
      </c>
    </row>
    <row r="6536" spans="1:5" x14ac:dyDescent="0.25">
      <c r="A6536" s="3">
        <f t="shared" si="307"/>
        <v>78989</v>
      </c>
      <c r="B6536" t="str">
        <f ca="1">TEXT(DATE(YEAR(Invoer!$A$5),1,1)+INT((ROWS(B$2:B6536)-1)/24),"""18""jjmmdd")</f>
        <v>18980930</v>
      </c>
      <c r="C6536" s="11" t="str">
        <f>INDEX(Data,2,2+MOD(ROWS(C$2:C6536)-1,24))</f>
        <v>07.00</v>
      </c>
      <c r="D6536" s="8">
        <f t="shared" ca="1" si="308"/>
        <v>3</v>
      </c>
      <c r="E6536" s="16">
        <f t="shared" ca="1" si="309"/>
        <v>0</v>
      </c>
    </row>
    <row r="6537" spans="1:5" x14ac:dyDescent="0.25">
      <c r="A6537" s="3">
        <f t="shared" si="307"/>
        <v>78989</v>
      </c>
      <c r="B6537" t="str">
        <f ca="1">TEXT(DATE(YEAR(Invoer!$A$5),1,1)+INT((ROWS(B$2:B6537)-1)/24),"""18""jjmmdd")</f>
        <v>18980930</v>
      </c>
      <c r="C6537" s="11" t="str">
        <f>INDEX(Data,2,2+MOD(ROWS(C$2:C6537)-1,24))</f>
        <v>08.00</v>
      </c>
      <c r="D6537" s="8">
        <f t="shared" ca="1" si="308"/>
        <v>4</v>
      </c>
      <c r="E6537" s="16">
        <f t="shared" ca="1" si="309"/>
        <v>0</v>
      </c>
    </row>
    <row r="6538" spans="1:5" x14ac:dyDescent="0.25">
      <c r="A6538" s="3">
        <f t="shared" si="307"/>
        <v>78989</v>
      </c>
      <c r="B6538" t="str">
        <f ca="1">TEXT(DATE(YEAR(Invoer!$A$5),1,1)+INT((ROWS(B$2:B6538)-1)/24),"""18""jjmmdd")</f>
        <v>18980930</v>
      </c>
      <c r="C6538" s="11" t="str">
        <f>INDEX(Data,2,2+MOD(ROWS(C$2:C6538)-1,24))</f>
        <v>09.00</v>
      </c>
      <c r="D6538" s="8">
        <f t="shared" ca="1" si="308"/>
        <v>8</v>
      </c>
      <c r="E6538" s="16">
        <f t="shared" ca="1" si="309"/>
        <v>0</v>
      </c>
    </row>
    <row r="6539" spans="1:5" x14ac:dyDescent="0.25">
      <c r="A6539" s="3">
        <f t="shared" si="307"/>
        <v>78989</v>
      </c>
      <c r="B6539" t="str">
        <f ca="1">TEXT(DATE(YEAR(Invoer!$A$5),1,1)+INT((ROWS(B$2:B6539)-1)/24),"""18""jjmmdd")</f>
        <v>18980930</v>
      </c>
      <c r="C6539" s="11" t="str">
        <f>INDEX(Data,2,2+MOD(ROWS(C$2:C6539)-1,24))</f>
        <v>10.00</v>
      </c>
      <c r="D6539" s="8">
        <f t="shared" ca="1" si="308"/>
        <v>7</v>
      </c>
      <c r="E6539" s="16">
        <f t="shared" ca="1" si="309"/>
        <v>0</v>
      </c>
    </row>
    <row r="6540" spans="1:5" x14ac:dyDescent="0.25">
      <c r="A6540" s="3">
        <f t="shared" si="307"/>
        <v>78989</v>
      </c>
      <c r="B6540" t="str">
        <f ca="1">TEXT(DATE(YEAR(Invoer!$A$5),1,1)+INT((ROWS(B$2:B6540)-1)/24),"""18""jjmmdd")</f>
        <v>18980930</v>
      </c>
      <c r="C6540" s="11" t="str">
        <f>INDEX(Data,2,2+MOD(ROWS(C$2:C6540)-1,24))</f>
        <v>11.00</v>
      </c>
      <c r="D6540" s="8">
        <f t="shared" ca="1" si="308"/>
        <v>6</v>
      </c>
      <c r="E6540" s="16">
        <f t="shared" ca="1" si="309"/>
        <v>0</v>
      </c>
    </row>
    <row r="6541" spans="1:5" x14ac:dyDescent="0.25">
      <c r="A6541" s="3">
        <f t="shared" si="307"/>
        <v>78989</v>
      </c>
      <c r="B6541" t="str">
        <f ca="1">TEXT(DATE(YEAR(Invoer!$A$5),1,1)+INT((ROWS(B$2:B6541)-1)/24),"""18""jjmmdd")</f>
        <v>18980930</v>
      </c>
      <c r="C6541" s="11" t="str">
        <f>INDEX(Data,2,2+MOD(ROWS(C$2:C6541)-1,24))</f>
        <v>12.00</v>
      </c>
      <c r="D6541" s="8">
        <f t="shared" ca="1" si="308"/>
        <v>6</v>
      </c>
      <c r="E6541" s="16">
        <f t="shared" ca="1" si="309"/>
        <v>0</v>
      </c>
    </row>
    <row r="6542" spans="1:5" x14ac:dyDescent="0.25">
      <c r="A6542" s="3">
        <f t="shared" si="307"/>
        <v>78989</v>
      </c>
      <c r="B6542" t="str">
        <f ca="1">TEXT(DATE(YEAR(Invoer!$A$5),1,1)+INT((ROWS(B$2:B6542)-1)/24),"""18""jjmmdd")</f>
        <v>18980930</v>
      </c>
      <c r="C6542" s="11" t="str">
        <f>INDEX(Data,2,2+MOD(ROWS(C$2:C6542)-1,24))</f>
        <v>13.00</v>
      </c>
      <c r="D6542" s="8">
        <f t="shared" ca="1" si="308"/>
        <v>7</v>
      </c>
      <c r="E6542" s="16">
        <f t="shared" ca="1" si="309"/>
        <v>0</v>
      </c>
    </row>
    <row r="6543" spans="1:5" x14ac:dyDescent="0.25">
      <c r="A6543" s="3">
        <f t="shared" si="307"/>
        <v>78989</v>
      </c>
      <c r="B6543" t="str">
        <f ca="1">TEXT(DATE(YEAR(Invoer!$A$5),1,1)+INT((ROWS(B$2:B6543)-1)/24),"""18""jjmmdd")</f>
        <v>18980930</v>
      </c>
      <c r="C6543" s="11" t="str">
        <f>INDEX(Data,2,2+MOD(ROWS(C$2:C6543)-1,24))</f>
        <v>14.00</v>
      </c>
      <c r="D6543" s="8">
        <f t="shared" ca="1" si="308"/>
        <v>5</v>
      </c>
      <c r="E6543" s="16">
        <f t="shared" ca="1" si="309"/>
        <v>0</v>
      </c>
    </row>
    <row r="6544" spans="1:5" x14ac:dyDescent="0.25">
      <c r="A6544" s="3">
        <f t="shared" si="307"/>
        <v>78989</v>
      </c>
      <c r="B6544" t="str">
        <f ca="1">TEXT(DATE(YEAR(Invoer!$A$5),1,1)+INT((ROWS(B$2:B6544)-1)/24),"""18""jjmmdd")</f>
        <v>18980930</v>
      </c>
      <c r="C6544" s="11" t="str">
        <f>INDEX(Data,2,2+MOD(ROWS(C$2:C6544)-1,24))</f>
        <v>15.00</v>
      </c>
      <c r="D6544" s="8">
        <f t="shared" ca="1" si="308"/>
        <v>7</v>
      </c>
      <c r="E6544" s="16">
        <f t="shared" ca="1" si="309"/>
        <v>0</v>
      </c>
    </row>
    <row r="6545" spans="1:5" x14ac:dyDescent="0.25">
      <c r="A6545" s="3">
        <f t="shared" si="307"/>
        <v>78989</v>
      </c>
      <c r="B6545" t="str">
        <f ca="1">TEXT(DATE(YEAR(Invoer!$A$5),1,1)+INT((ROWS(B$2:B6545)-1)/24),"""18""jjmmdd")</f>
        <v>18980930</v>
      </c>
      <c r="C6545" s="11" t="str">
        <f>INDEX(Data,2,2+MOD(ROWS(C$2:C6545)-1,24))</f>
        <v>16.00</v>
      </c>
      <c r="D6545" s="8">
        <f t="shared" ca="1" si="308"/>
        <v>7</v>
      </c>
      <c r="E6545" s="16">
        <f t="shared" ca="1" si="309"/>
        <v>0</v>
      </c>
    </row>
    <row r="6546" spans="1:5" x14ac:dyDescent="0.25">
      <c r="A6546" s="3">
        <f t="shared" si="307"/>
        <v>78989</v>
      </c>
      <c r="B6546" t="str">
        <f ca="1">TEXT(DATE(YEAR(Invoer!$A$5),1,1)+INT((ROWS(B$2:B6546)-1)/24),"""18""jjmmdd")</f>
        <v>18980930</v>
      </c>
      <c r="C6546" s="11" t="str">
        <f>INDEX(Data,2,2+MOD(ROWS(C$2:C6546)-1,24))</f>
        <v>17.00</v>
      </c>
      <c r="D6546" s="8">
        <f t="shared" ca="1" si="308"/>
        <v>7</v>
      </c>
      <c r="E6546" s="16">
        <f t="shared" ca="1" si="309"/>
        <v>0</v>
      </c>
    </row>
    <row r="6547" spans="1:5" x14ac:dyDescent="0.25">
      <c r="A6547" s="3">
        <f t="shared" si="307"/>
        <v>78989</v>
      </c>
      <c r="B6547" t="str">
        <f ca="1">TEXT(DATE(YEAR(Invoer!$A$5),1,1)+INT((ROWS(B$2:B6547)-1)/24),"""18""jjmmdd")</f>
        <v>18980930</v>
      </c>
      <c r="C6547" s="11" t="str">
        <f>INDEX(Data,2,2+MOD(ROWS(C$2:C6547)-1,24))</f>
        <v>18.00</v>
      </c>
      <c r="D6547" s="8">
        <f t="shared" ca="1" si="308"/>
        <v>7</v>
      </c>
      <c r="E6547" s="16">
        <f t="shared" ca="1" si="309"/>
        <v>0</v>
      </c>
    </row>
    <row r="6548" spans="1:5" x14ac:dyDescent="0.25">
      <c r="A6548" s="3">
        <f t="shared" si="307"/>
        <v>78989</v>
      </c>
      <c r="B6548" t="str">
        <f ca="1">TEXT(DATE(YEAR(Invoer!$A$5),1,1)+INT((ROWS(B$2:B6548)-1)/24),"""18""jjmmdd")</f>
        <v>18980930</v>
      </c>
      <c r="C6548" s="11" t="str">
        <f>INDEX(Data,2,2+MOD(ROWS(C$2:C6548)-1,24))</f>
        <v>19.00</v>
      </c>
      <c r="D6548" s="8">
        <f t="shared" ca="1" si="308"/>
        <v>3</v>
      </c>
      <c r="E6548" s="16">
        <f t="shared" ca="1" si="309"/>
        <v>0</v>
      </c>
    </row>
    <row r="6549" spans="1:5" x14ac:dyDescent="0.25">
      <c r="A6549" s="3">
        <f t="shared" si="307"/>
        <v>78989</v>
      </c>
      <c r="B6549" t="str">
        <f ca="1">TEXT(DATE(YEAR(Invoer!$A$5),1,1)+INT((ROWS(B$2:B6549)-1)/24),"""18""jjmmdd")</f>
        <v>18980930</v>
      </c>
      <c r="C6549" s="11" t="str">
        <f>INDEX(Data,2,2+MOD(ROWS(C$2:C6549)-1,24))</f>
        <v>20.00</v>
      </c>
      <c r="D6549" s="8">
        <f t="shared" ca="1" si="308"/>
        <v>5</v>
      </c>
      <c r="E6549" s="16">
        <f t="shared" ca="1" si="309"/>
        <v>0</v>
      </c>
    </row>
    <row r="6550" spans="1:5" x14ac:dyDescent="0.25">
      <c r="A6550" s="3">
        <f t="shared" si="307"/>
        <v>78989</v>
      </c>
      <c r="B6550" t="str">
        <f ca="1">TEXT(DATE(YEAR(Invoer!$A$5),1,1)+INT((ROWS(B$2:B6550)-1)/24),"""18""jjmmdd")</f>
        <v>18980930</v>
      </c>
      <c r="C6550" s="11" t="str">
        <f>INDEX(Data,2,2+MOD(ROWS(C$2:C6550)-1,24))</f>
        <v>21.00</v>
      </c>
      <c r="D6550" s="8">
        <f t="shared" ca="1" si="308"/>
        <v>7</v>
      </c>
      <c r="E6550" s="16">
        <f t="shared" ca="1" si="309"/>
        <v>0</v>
      </c>
    </row>
    <row r="6551" spans="1:5" x14ac:dyDescent="0.25">
      <c r="A6551" s="3">
        <f t="shared" si="307"/>
        <v>78989</v>
      </c>
      <c r="B6551" t="str">
        <f ca="1">TEXT(DATE(YEAR(Invoer!$A$5),1,1)+INT((ROWS(B$2:B6551)-1)/24),"""18""jjmmdd")</f>
        <v>18980930</v>
      </c>
      <c r="C6551" s="11" t="str">
        <f>INDEX(Data,2,2+MOD(ROWS(C$2:C6551)-1,24))</f>
        <v>22.00</v>
      </c>
      <c r="D6551" s="8">
        <f t="shared" ca="1" si="308"/>
        <v>7</v>
      </c>
      <c r="E6551" s="16">
        <f t="shared" ca="1" si="309"/>
        <v>0</v>
      </c>
    </row>
    <row r="6552" spans="1:5" x14ac:dyDescent="0.25">
      <c r="A6552" s="3">
        <f t="shared" si="307"/>
        <v>78989</v>
      </c>
      <c r="B6552" t="str">
        <f ca="1">TEXT(DATE(YEAR(Invoer!$A$5),1,1)+INT((ROWS(B$2:B6552)-1)/24),"""18""jjmmdd")</f>
        <v>18980930</v>
      </c>
      <c r="C6552" s="11" t="str">
        <f>INDEX(Data,2,2+MOD(ROWS(C$2:C6552)-1,24))</f>
        <v>23.00</v>
      </c>
      <c r="D6552" s="8">
        <f t="shared" ca="1" si="308"/>
        <v>7</v>
      </c>
      <c r="E6552" s="16">
        <f t="shared" ca="1" si="309"/>
        <v>0</v>
      </c>
    </row>
    <row r="6553" spans="1:5" x14ac:dyDescent="0.25">
      <c r="A6553" s="3">
        <f t="shared" si="307"/>
        <v>78989</v>
      </c>
      <c r="B6553" t="str">
        <f ca="1">TEXT(DATE(YEAR(Invoer!$A$5),1,1)+INT((ROWS(B$2:B6553)-1)/24),"""18""jjmmdd")</f>
        <v>18980930</v>
      </c>
      <c r="C6553" s="11" t="str">
        <f>INDEX(Data,2,2+MOD(ROWS(C$2:C6553)-1,24))</f>
        <v>24.00</v>
      </c>
      <c r="D6553" s="8">
        <f t="shared" ca="1" si="308"/>
        <v>5</v>
      </c>
      <c r="E6553" s="16">
        <f t="shared" ca="1" si="309"/>
        <v>0</v>
      </c>
    </row>
    <row r="6554" spans="1:5" x14ac:dyDescent="0.25">
      <c r="A6554" s="3">
        <f t="shared" si="307"/>
        <v>78989</v>
      </c>
      <c r="B6554" t="str">
        <f ca="1">TEXT(DATE(YEAR(Invoer!$A$5),1,1)+INT((ROWS(B$2:B6554)-1)/24),"""18""jjmmdd")</f>
        <v>18981001</v>
      </c>
      <c r="C6554" s="11" t="str">
        <f>INDEX(Data,2,2+MOD(ROWS(C$2:C6554)-1,24))</f>
        <v>01.00</v>
      </c>
      <c r="D6554" s="8">
        <f t="shared" ca="1" si="308"/>
        <v>6</v>
      </c>
      <c r="E6554" s="16">
        <f t="shared" ca="1" si="309"/>
        <v>0</v>
      </c>
    </row>
    <row r="6555" spans="1:5" x14ac:dyDescent="0.25">
      <c r="A6555" s="3">
        <f t="shared" si="307"/>
        <v>78989</v>
      </c>
      <c r="B6555" t="str">
        <f ca="1">TEXT(DATE(YEAR(Invoer!$A$5),1,1)+INT((ROWS(B$2:B6555)-1)/24),"""18""jjmmdd")</f>
        <v>18981001</v>
      </c>
      <c r="C6555" s="11" t="str">
        <f>INDEX(Data,2,2+MOD(ROWS(C$2:C6555)-1,24))</f>
        <v>02.00</v>
      </c>
      <c r="D6555" s="8">
        <f t="shared" ca="1" si="308"/>
        <v>6</v>
      </c>
      <c r="E6555" s="16">
        <f t="shared" ca="1" si="309"/>
        <v>0</v>
      </c>
    </row>
    <row r="6556" spans="1:5" x14ac:dyDescent="0.25">
      <c r="A6556" s="3">
        <f t="shared" si="307"/>
        <v>78989</v>
      </c>
      <c r="B6556" t="str">
        <f ca="1">TEXT(DATE(YEAR(Invoer!$A$5),1,1)+INT((ROWS(B$2:B6556)-1)/24),"""18""jjmmdd")</f>
        <v>18981001</v>
      </c>
      <c r="C6556" s="11" t="str">
        <f>INDEX(Data,2,2+MOD(ROWS(C$2:C6556)-1,24))</f>
        <v>03.00</v>
      </c>
      <c r="D6556" s="8">
        <f t="shared" ca="1" si="308"/>
        <v>5</v>
      </c>
      <c r="E6556" s="16">
        <f t="shared" ca="1" si="309"/>
        <v>0</v>
      </c>
    </row>
    <row r="6557" spans="1:5" x14ac:dyDescent="0.25">
      <c r="A6557" s="3">
        <f t="shared" si="307"/>
        <v>78989</v>
      </c>
      <c r="B6557" t="str">
        <f ca="1">TEXT(DATE(YEAR(Invoer!$A$5),1,1)+INT((ROWS(B$2:B6557)-1)/24),"""18""jjmmdd")</f>
        <v>18981001</v>
      </c>
      <c r="C6557" s="11" t="str">
        <f>INDEX(Data,2,2+MOD(ROWS(C$2:C6557)-1,24))</f>
        <v>04.00</v>
      </c>
      <c r="D6557" s="8">
        <f t="shared" ca="1" si="308"/>
        <v>5</v>
      </c>
      <c r="E6557" s="16">
        <f t="shared" ca="1" si="309"/>
        <v>0</v>
      </c>
    </row>
    <row r="6558" spans="1:5" x14ac:dyDescent="0.25">
      <c r="A6558" s="3">
        <f t="shared" si="307"/>
        <v>78989</v>
      </c>
      <c r="B6558" t="str">
        <f ca="1">TEXT(DATE(YEAR(Invoer!$A$5),1,1)+INT((ROWS(B$2:B6558)-1)/24),"""18""jjmmdd")</f>
        <v>18981001</v>
      </c>
      <c r="C6558" s="11" t="str">
        <f>INDEX(Data,2,2+MOD(ROWS(C$2:C6558)-1,24))</f>
        <v>05.00</v>
      </c>
      <c r="D6558" s="8">
        <f t="shared" ca="1" si="308"/>
        <v>4</v>
      </c>
      <c r="E6558" s="16">
        <f t="shared" ca="1" si="309"/>
        <v>0</v>
      </c>
    </row>
    <row r="6559" spans="1:5" x14ac:dyDescent="0.25">
      <c r="A6559" s="3">
        <f t="shared" si="307"/>
        <v>78989</v>
      </c>
      <c r="B6559" t="str">
        <f ca="1">TEXT(DATE(YEAR(Invoer!$A$5),1,1)+INT((ROWS(B$2:B6559)-1)/24),"""18""jjmmdd")</f>
        <v>18981001</v>
      </c>
      <c r="C6559" s="11" t="str">
        <f>INDEX(Data,2,2+MOD(ROWS(C$2:C6559)-1,24))</f>
        <v>06.00</v>
      </c>
      <c r="D6559" s="8">
        <f t="shared" ca="1" si="308"/>
        <v>2</v>
      </c>
      <c r="E6559" s="16">
        <f t="shared" ca="1" si="309"/>
        <v>0</v>
      </c>
    </row>
    <row r="6560" spans="1:5" x14ac:dyDescent="0.25">
      <c r="A6560" s="3">
        <f t="shared" si="307"/>
        <v>78989</v>
      </c>
      <c r="B6560" t="str">
        <f ca="1">TEXT(DATE(YEAR(Invoer!$A$5),1,1)+INT((ROWS(B$2:B6560)-1)/24),"""18""jjmmdd")</f>
        <v>18981001</v>
      </c>
      <c r="C6560" s="11" t="str">
        <f>INDEX(Data,2,2+MOD(ROWS(C$2:C6560)-1,24))</f>
        <v>07.00</v>
      </c>
      <c r="D6560" s="8">
        <f t="shared" ca="1" si="308"/>
        <v>3</v>
      </c>
      <c r="E6560" s="16">
        <f t="shared" ca="1" si="309"/>
        <v>0</v>
      </c>
    </row>
    <row r="6561" spans="1:5" x14ac:dyDescent="0.25">
      <c r="A6561" s="3">
        <f t="shared" si="307"/>
        <v>78989</v>
      </c>
      <c r="B6561" t="str">
        <f ca="1">TEXT(DATE(YEAR(Invoer!$A$5),1,1)+INT((ROWS(B$2:B6561)-1)/24),"""18""jjmmdd")</f>
        <v>18981001</v>
      </c>
      <c r="C6561" s="11" t="str">
        <f>INDEX(Data,2,2+MOD(ROWS(C$2:C6561)-1,24))</f>
        <v>08.00</v>
      </c>
      <c r="D6561" s="8">
        <f t="shared" ca="1" si="308"/>
        <v>5</v>
      </c>
      <c r="E6561" s="16">
        <f t="shared" ca="1" si="309"/>
        <v>0</v>
      </c>
    </row>
    <row r="6562" spans="1:5" x14ac:dyDescent="0.25">
      <c r="A6562" s="3">
        <f t="shared" si="307"/>
        <v>78989</v>
      </c>
      <c r="B6562" t="str">
        <f ca="1">TEXT(DATE(YEAR(Invoer!$A$5),1,1)+INT((ROWS(B$2:B6562)-1)/24),"""18""jjmmdd")</f>
        <v>18981001</v>
      </c>
      <c r="C6562" s="11" t="str">
        <f>INDEX(Data,2,2+MOD(ROWS(C$2:C6562)-1,24))</f>
        <v>09.00</v>
      </c>
      <c r="D6562" s="8">
        <f t="shared" ca="1" si="308"/>
        <v>8</v>
      </c>
      <c r="E6562" s="16">
        <f t="shared" ca="1" si="309"/>
        <v>0</v>
      </c>
    </row>
    <row r="6563" spans="1:5" x14ac:dyDescent="0.25">
      <c r="A6563" s="3">
        <f t="shared" si="307"/>
        <v>78989</v>
      </c>
      <c r="B6563" t="str">
        <f ca="1">TEXT(DATE(YEAR(Invoer!$A$5),1,1)+INT((ROWS(B$2:B6563)-1)/24),"""18""jjmmdd")</f>
        <v>18981001</v>
      </c>
      <c r="C6563" s="11" t="str">
        <f>INDEX(Data,2,2+MOD(ROWS(C$2:C6563)-1,24))</f>
        <v>10.00</v>
      </c>
      <c r="D6563" s="8">
        <f t="shared" ca="1" si="308"/>
        <v>9</v>
      </c>
      <c r="E6563" s="16">
        <f t="shared" ca="1" si="309"/>
        <v>0</v>
      </c>
    </row>
    <row r="6564" spans="1:5" x14ac:dyDescent="0.25">
      <c r="A6564" s="3">
        <f t="shared" si="307"/>
        <v>78989</v>
      </c>
      <c r="B6564" t="str">
        <f ca="1">TEXT(DATE(YEAR(Invoer!$A$5),1,1)+INT((ROWS(B$2:B6564)-1)/24),"""18""jjmmdd")</f>
        <v>18981001</v>
      </c>
      <c r="C6564" s="11" t="str">
        <f>INDEX(Data,2,2+MOD(ROWS(C$2:C6564)-1,24))</f>
        <v>11.00</v>
      </c>
      <c r="D6564" s="8">
        <f t="shared" ca="1" si="308"/>
        <v>11</v>
      </c>
      <c r="E6564" s="16">
        <f t="shared" ca="1" si="309"/>
        <v>0</v>
      </c>
    </row>
    <row r="6565" spans="1:5" x14ac:dyDescent="0.25">
      <c r="A6565" s="3">
        <f t="shared" si="307"/>
        <v>78989</v>
      </c>
      <c r="B6565" t="str">
        <f ca="1">TEXT(DATE(YEAR(Invoer!$A$5),1,1)+INT((ROWS(B$2:B6565)-1)/24),"""18""jjmmdd")</f>
        <v>18981001</v>
      </c>
      <c r="C6565" s="11" t="str">
        <f>INDEX(Data,2,2+MOD(ROWS(C$2:C6565)-1,24))</f>
        <v>12.00</v>
      </c>
      <c r="D6565" s="8">
        <f t="shared" ca="1" si="308"/>
        <v>10</v>
      </c>
      <c r="E6565" s="16">
        <f t="shared" ca="1" si="309"/>
        <v>0</v>
      </c>
    </row>
    <row r="6566" spans="1:5" x14ac:dyDescent="0.25">
      <c r="A6566" s="3">
        <f t="shared" si="307"/>
        <v>78989</v>
      </c>
      <c r="B6566" t="str">
        <f ca="1">TEXT(DATE(YEAR(Invoer!$A$5),1,1)+INT((ROWS(B$2:B6566)-1)/24),"""18""jjmmdd")</f>
        <v>18981001</v>
      </c>
      <c r="C6566" s="11" t="str">
        <f>INDEX(Data,2,2+MOD(ROWS(C$2:C6566)-1,24))</f>
        <v>13.00</v>
      </c>
      <c r="D6566" s="8">
        <f t="shared" ca="1" si="308"/>
        <v>10</v>
      </c>
      <c r="E6566" s="16">
        <f t="shared" ca="1" si="309"/>
        <v>0</v>
      </c>
    </row>
    <row r="6567" spans="1:5" x14ac:dyDescent="0.25">
      <c r="A6567" s="3">
        <f t="shared" si="307"/>
        <v>78989</v>
      </c>
      <c r="B6567" t="str">
        <f ca="1">TEXT(DATE(YEAR(Invoer!$A$5),1,1)+INT((ROWS(B$2:B6567)-1)/24),"""18""jjmmdd")</f>
        <v>18981001</v>
      </c>
      <c r="C6567" s="11" t="str">
        <f>INDEX(Data,2,2+MOD(ROWS(C$2:C6567)-1,24))</f>
        <v>14.00</v>
      </c>
      <c r="D6567" s="8">
        <f t="shared" ca="1" si="308"/>
        <v>10</v>
      </c>
      <c r="E6567" s="16">
        <f t="shared" ca="1" si="309"/>
        <v>0</v>
      </c>
    </row>
    <row r="6568" spans="1:5" x14ac:dyDescent="0.25">
      <c r="A6568" s="3">
        <f t="shared" si="307"/>
        <v>78989</v>
      </c>
      <c r="B6568" t="str">
        <f ca="1">TEXT(DATE(YEAR(Invoer!$A$5),1,1)+INT((ROWS(B$2:B6568)-1)/24),"""18""jjmmdd")</f>
        <v>18981001</v>
      </c>
      <c r="C6568" s="11" t="str">
        <f>INDEX(Data,2,2+MOD(ROWS(C$2:C6568)-1,24))</f>
        <v>15.00</v>
      </c>
      <c r="D6568" s="8">
        <f t="shared" ca="1" si="308"/>
        <v>11</v>
      </c>
      <c r="E6568" s="16">
        <f t="shared" ca="1" si="309"/>
        <v>0</v>
      </c>
    </row>
    <row r="6569" spans="1:5" x14ac:dyDescent="0.25">
      <c r="A6569" s="3">
        <f t="shared" si="307"/>
        <v>78989</v>
      </c>
      <c r="B6569" t="str">
        <f ca="1">TEXT(DATE(YEAR(Invoer!$A$5),1,1)+INT((ROWS(B$2:B6569)-1)/24),"""18""jjmmdd")</f>
        <v>18981001</v>
      </c>
      <c r="C6569" s="11" t="str">
        <f>INDEX(Data,2,2+MOD(ROWS(C$2:C6569)-1,24))</f>
        <v>16.00</v>
      </c>
      <c r="D6569" s="8">
        <f t="shared" ca="1" si="308"/>
        <v>12</v>
      </c>
      <c r="E6569" s="16">
        <f t="shared" ca="1" si="309"/>
        <v>0</v>
      </c>
    </row>
    <row r="6570" spans="1:5" x14ac:dyDescent="0.25">
      <c r="A6570" s="3">
        <f t="shared" si="307"/>
        <v>78989</v>
      </c>
      <c r="B6570" t="str">
        <f ca="1">TEXT(DATE(YEAR(Invoer!$A$5),1,1)+INT((ROWS(B$2:B6570)-1)/24),"""18""jjmmdd")</f>
        <v>18981001</v>
      </c>
      <c r="C6570" s="11" t="str">
        <f>INDEX(Data,2,2+MOD(ROWS(C$2:C6570)-1,24))</f>
        <v>17.00</v>
      </c>
      <c r="D6570" s="8">
        <f t="shared" ca="1" si="308"/>
        <v>10</v>
      </c>
      <c r="E6570" s="16">
        <f t="shared" ca="1" si="309"/>
        <v>0</v>
      </c>
    </row>
    <row r="6571" spans="1:5" x14ac:dyDescent="0.25">
      <c r="A6571" s="3">
        <f t="shared" si="307"/>
        <v>78989</v>
      </c>
      <c r="B6571" t="str">
        <f ca="1">TEXT(DATE(YEAR(Invoer!$A$5),1,1)+INT((ROWS(B$2:B6571)-1)/24),"""18""jjmmdd")</f>
        <v>18981001</v>
      </c>
      <c r="C6571" s="11" t="str">
        <f>INDEX(Data,2,2+MOD(ROWS(C$2:C6571)-1,24))</f>
        <v>18.00</v>
      </c>
      <c r="D6571" s="8">
        <f t="shared" ca="1" si="308"/>
        <v>9</v>
      </c>
      <c r="E6571" s="16">
        <f t="shared" ca="1" si="309"/>
        <v>0</v>
      </c>
    </row>
    <row r="6572" spans="1:5" x14ac:dyDescent="0.25">
      <c r="A6572" s="3">
        <f t="shared" si="307"/>
        <v>78989</v>
      </c>
      <c r="B6572" t="str">
        <f ca="1">TEXT(DATE(YEAR(Invoer!$A$5),1,1)+INT((ROWS(B$2:B6572)-1)/24),"""18""jjmmdd")</f>
        <v>18981001</v>
      </c>
      <c r="C6572" s="11" t="str">
        <f>INDEX(Data,2,2+MOD(ROWS(C$2:C6572)-1,24))</f>
        <v>19.00</v>
      </c>
      <c r="D6572" s="8">
        <f t="shared" ca="1" si="308"/>
        <v>11</v>
      </c>
      <c r="E6572" s="16">
        <f t="shared" ca="1" si="309"/>
        <v>0</v>
      </c>
    </row>
    <row r="6573" spans="1:5" x14ac:dyDescent="0.25">
      <c r="A6573" s="3">
        <f t="shared" si="307"/>
        <v>78989</v>
      </c>
      <c r="B6573" t="str">
        <f ca="1">TEXT(DATE(YEAR(Invoer!$A$5),1,1)+INT((ROWS(B$2:B6573)-1)/24),"""18""jjmmdd")</f>
        <v>18981001</v>
      </c>
      <c r="C6573" s="11" t="str">
        <f>INDEX(Data,2,2+MOD(ROWS(C$2:C6573)-1,24))</f>
        <v>20.00</v>
      </c>
      <c r="D6573" s="8">
        <f t="shared" ca="1" si="308"/>
        <v>8</v>
      </c>
      <c r="E6573" s="16">
        <f t="shared" ca="1" si="309"/>
        <v>0</v>
      </c>
    </row>
    <row r="6574" spans="1:5" x14ac:dyDescent="0.25">
      <c r="A6574" s="3">
        <f t="shared" si="307"/>
        <v>78989</v>
      </c>
      <c r="B6574" t="str">
        <f ca="1">TEXT(DATE(YEAR(Invoer!$A$5),1,1)+INT((ROWS(B$2:B6574)-1)/24),"""18""jjmmdd")</f>
        <v>18981001</v>
      </c>
      <c r="C6574" s="11" t="str">
        <f>INDEX(Data,2,2+MOD(ROWS(C$2:C6574)-1,24))</f>
        <v>21.00</v>
      </c>
      <c r="D6574" s="8">
        <f t="shared" ca="1" si="308"/>
        <v>8</v>
      </c>
      <c r="E6574" s="16">
        <f t="shared" ca="1" si="309"/>
        <v>0</v>
      </c>
    </row>
    <row r="6575" spans="1:5" x14ac:dyDescent="0.25">
      <c r="A6575" s="3">
        <f t="shared" si="307"/>
        <v>78989</v>
      </c>
      <c r="B6575" t="str">
        <f ca="1">TEXT(DATE(YEAR(Invoer!$A$5),1,1)+INT((ROWS(B$2:B6575)-1)/24),"""18""jjmmdd")</f>
        <v>18981001</v>
      </c>
      <c r="C6575" s="11" t="str">
        <f>INDEX(Data,2,2+MOD(ROWS(C$2:C6575)-1,24))</f>
        <v>22.00</v>
      </c>
      <c r="D6575" s="8">
        <f t="shared" ca="1" si="308"/>
        <v>6</v>
      </c>
      <c r="E6575" s="16">
        <f t="shared" ca="1" si="309"/>
        <v>0</v>
      </c>
    </row>
    <row r="6576" spans="1:5" x14ac:dyDescent="0.25">
      <c r="A6576" s="3">
        <f t="shared" si="307"/>
        <v>78989</v>
      </c>
      <c r="B6576" t="str">
        <f ca="1">TEXT(DATE(YEAR(Invoer!$A$5),1,1)+INT((ROWS(B$2:B6576)-1)/24),"""18""jjmmdd")</f>
        <v>18981001</v>
      </c>
      <c r="C6576" s="11" t="str">
        <f>INDEX(Data,2,2+MOD(ROWS(C$2:C6576)-1,24))</f>
        <v>23.00</v>
      </c>
      <c r="D6576" s="8">
        <f t="shared" ca="1" si="308"/>
        <v>7</v>
      </c>
      <c r="E6576" s="16">
        <f t="shared" ca="1" si="309"/>
        <v>0</v>
      </c>
    </row>
    <row r="6577" spans="1:5" x14ac:dyDescent="0.25">
      <c r="A6577" s="3">
        <f t="shared" si="307"/>
        <v>78989</v>
      </c>
      <c r="B6577" t="str">
        <f ca="1">TEXT(DATE(YEAR(Invoer!$A$5),1,1)+INT((ROWS(B$2:B6577)-1)/24),"""18""jjmmdd")</f>
        <v>18981001</v>
      </c>
      <c r="C6577" s="11" t="str">
        <f>INDEX(Data,2,2+MOD(ROWS(C$2:C6577)-1,24))</f>
        <v>24.00</v>
      </c>
      <c r="D6577" s="8">
        <f t="shared" ca="1" si="308"/>
        <v>6</v>
      </c>
      <c r="E6577" s="16">
        <f t="shared" ca="1" si="309"/>
        <v>0</v>
      </c>
    </row>
    <row r="6578" spans="1:5" x14ac:dyDescent="0.25">
      <c r="A6578" s="3">
        <f t="shared" si="307"/>
        <v>78989</v>
      </c>
      <c r="B6578" t="str">
        <f ca="1">TEXT(DATE(YEAR(Invoer!$A$5),1,1)+INT((ROWS(B$2:B6578)-1)/24),"""18""jjmmdd")</f>
        <v>18981002</v>
      </c>
      <c r="C6578" s="11" t="str">
        <f>INDEX(Data,2,2+MOD(ROWS(C$2:C6578)-1,24))</f>
        <v>01.00</v>
      </c>
      <c r="D6578" s="8">
        <f t="shared" ca="1" si="308"/>
        <v>5</v>
      </c>
      <c r="E6578" s="16">
        <f t="shared" ca="1" si="309"/>
        <v>0</v>
      </c>
    </row>
    <row r="6579" spans="1:5" x14ac:dyDescent="0.25">
      <c r="A6579" s="3">
        <f t="shared" si="307"/>
        <v>78989</v>
      </c>
      <c r="B6579" t="str">
        <f ca="1">TEXT(DATE(YEAR(Invoer!$A$5),1,1)+INT((ROWS(B$2:B6579)-1)/24),"""18""jjmmdd")</f>
        <v>18981002</v>
      </c>
      <c r="C6579" s="11" t="str">
        <f>INDEX(Data,2,2+MOD(ROWS(C$2:C6579)-1,24))</f>
        <v>02.00</v>
      </c>
      <c r="D6579" s="8">
        <f t="shared" ca="1" si="308"/>
        <v>5</v>
      </c>
      <c r="E6579" s="16">
        <f t="shared" ca="1" si="309"/>
        <v>0</v>
      </c>
    </row>
    <row r="6580" spans="1:5" x14ac:dyDescent="0.25">
      <c r="A6580" s="3">
        <f t="shared" si="307"/>
        <v>78989</v>
      </c>
      <c r="B6580" t="str">
        <f ca="1">TEXT(DATE(YEAR(Invoer!$A$5),1,1)+INT((ROWS(B$2:B6580)-1)/24),"""18""jjmmdd")</f>
        <v>18981002</v>
      </c>
      <c r="C6580" s="11" t="str">
        <f>INDEX(Data,2,2+MOD(ROWS(C$2:C6580)-1,24))</f>
        <v>03.00</v>
      </c>
      <c r="D6580" s="8">
        <f t="shared" ca="1" si="308"/>
        <v>5</v>
      </c>
      <c r="E6580" s="16">
        <f t="shared" ca="1" si="309"/>
        <v>0</v>
      </c>
    </row>
    <row r="6581" spans="1:5" x14ac:dyDescent="0.25">
      <c r="A6581" s="3">
        <f t="shared" si="307"/>
        <v>78989</v>
      </c>
      <c r="B6581" t="str">
        <f ca="1">TEXT(DATE(YEAR(Invoer!$A$5),1,1)+INT((ROWS(B$2:B6581)-1)/24),"""18""jjmmdd")</f>
        <v>18981002</v>
      </c>
      <c r="C6581" s="11" t="str">
        <f>INDEX(Data,2,2+MOD(ROWS(C$2:C6581)-1,24))</f>
        <v>04.00</v>
      </c>
      <c r="D6581" s="8">
        <f t="shared" ca="1" si="308"/>
        <v>5</v>
      </c>
      <c r="E6581" s="16">
        <f t="shared" ca="1" si="309"/>
        <v>0</v>
      </c>
    </row>
    <row r="6582" spans="1:5" x14ac:dyDescent="0.25">
      <c r="A6582" s="3">
        <f t="shared" si="307"/>
        <v>78989</v>
      </c>
      <c r="B6582" t="str">
        <f ca="1">TEXT(DATE(YEAR(Invoer!$A$5),1,1)+INT((ROWS(B$2:B6582)-1)/24),"""18""jjmmdd")</f>
        <v>18981002</v>
      </c>
      <c r="C6582" s="11" t="str">
        <f>INDEX(Data,2,2+MOD(ROWS(C$2:C6582)-1,24))</f>
        <v>05.00</v>
      </c>
      <c r="D6582" s="8">
        <f t="shared" ca="1" si="308"/>
        <v>4</v>
      </c>
      <c r="E6582" s="16">
        <f t="shared" ca="1" si="309"/>
        <v>0</v>
      </c>
    </row>
    <row r="6583" spans="1:5" x14ac:dyDescent="0.25">
      <c r="A6583" s="3">
        <f t="shared" si="307"/>
        <v>78989</v>
      </c>
      <c r="B6583" t="str">
        <f ca="1">TEXT(DATE(YEAR(Invoer!$A$5),1,1)+INT((ROWS(B$2:B6583)-1)/24),"""18""jjmmdd")</f>
        <v>18981002</v>
      </c>
      <c r="C6583" s="11" t="str">
        <f>INDEX(Data,2,2+MOD(ROWS(C$2:C6583)-1,24))</f>
        <v>06.00</v>
      </c>
      <c r="D6583" s="8">
        <f t="shared" ca="1" si="308"/>
        <v>5</v>
      </c>
      <c r="E6583" s="16">
        <f t="shared" ca="1" si="309"/>
        <v>0</v>
      </c>
    </row>
    <row r="6584" spans="1:5" x14ac:dyDescent="0.25">
      <c r="A6584" s="3">
        <f t="shared" si="307"/>
        <v>78989</v>
      </c>
      <c r="B6584" t="str">
        <f ca="1">TEXT(DATE(YEAR(Invoer!$A$5),1,1)+INT((ROWS(B$2:B6584)-1)/24),"""18""jjmmdd")</f>
        <v>18981002</v>
      </c>
      <c r="C6584" s="11" t="str">
        <f>INDEX(Data,2,2+MOD(ROWS(C$2:C6584)-1,24))</f>
        <v>07.00</v>
      </c>
      <c r="D6584" s="8">
        <f t="shared" ca="1" si="308"/>
        <v>5</v>
      </c>
      <c r="E6584" s="16">
        <f t="shared" ca="1" si="309"/>
        <v>0</v>
      </c>
    </row>
    <row r="6585" spans="1:5" x14ac:dyDescent="0.25">
      <c r="A6585" s="3">
        <f t="shared" si="307"/>
        <v>78989</v>
      </c>
      <c r="B6585" t="str">
        <f ca="1">TEXT(DATE(YEAR(Invoer!$A$5),1,1)+INT((ROWS(B$2:B6585)-1)/24),"""18""jjmmdd")</f>
        <v>18981002</v>
      </c>
      <c r="C6585" s="11" t="str">
        <f>INDEX(Data,2,2+MOD(ROWS(C$2:C6585)-1,24))</f>
        <v>08.00</v>
      </c>
      <c r="D6585" s="8">
        <f t="shared" ca="1" si="308"/>
        <v>7</v>
      </c>
      <c r="E6585" s="16">
        <f t="shared" ca="1" si="309"/>
        <v>0</v>
      </c>
    </row>
    <row r="6586" spans="1:5" x14ac:dyDescent="0.25">
      <c r="A6586" s="3">
        <f t="shared" si="307"/>
        <v>78989</v>
      </c>
      <c r="B6586" t="str">
        <f ca="1">TEXT(DATE(YEAR(Invoer!$A$5),1,1)+INT((ROWS(B$2:B6586)-1)/24),"""18""jjmmdd")</f>
        <v>18981002</v>
      </c>
      <c r="C6586" s="11" t="str">
        <f>INDEX(Data,2,2+MOD(ROWS(C$2:C6586)-1,24))</f>
        <v>09.00</v>
      </c>
      <c r="D6586" s="8">
        <f t="shared" ca="1" si="308"/>
        <v>7</v>
      </c>
      <c r="E6586" s="16">
        <f t="shared" ca="1" si="309"/>
        <v>0</v>
      </c>
    </row>
    <row r="6587" spans="1:5" x14ac:dyDescent="0.25">
      <c r="A6587" s="3">
        <f t="shared" si="307"/>
        <v>78989</v>
      </c>
      <c r="B6587" t="str">
        <f ca="1">TEXT(DATE(YEAR(Invoer!$A$5),1,1)+INT((ROWS(B$2:B6587)-1)/24),"""18""jjmmdd")</f>
        <v>18981002</v>
      </c>
      <c r="C6587" s="11" t="str">
        <f>INDEX(Data,2,2+MOD(ROWS(C$2:C6587)-1,24))</f>
        <v>10.00</v>
      </c>
      <c r="D6587" s="8">
        <f t="shared" ca="1" si="308"/>
        <v>9</v>
      </c>
      <c r="E6587" s="16">
        <f t="shared" ca="1" si="309"/>
        <v>0</v>
      </c>
    </row>
    <row r="6588" spans="1:5" x14ac:dyDescent="0.25">
      <c r="A6588" s="3">
        <f t="shared" si="307"/>
        <v>78989</v>
      </c>
      <c r="B6588" t="str">
        <f ca="1">TEXT(DATE(YEAR(Invoer!$A$5),1,1)+INT((ROWS(B$2:B6588)-1)/24),"""18""jjmmdd")</f>
        <v>18981002</v>
      </c>
      <c r="C6588" s="11" t="str">
        <f>INDEX(Data,2,2+MOD(ROWS(C$2:C6588)-1,24))</f>
        <v>11.00</v>
      </c>
      <c r="D6588" s="8">
        <f t="shared" ca="1" si="308"/>
        <v>8</v>
      </c>
      <c r="E6588" s="16">
        <f t="shared" ca="1" si="309"/>
        <v>0</v>
      </c>
    </row>
    <row r="6589" spans="1:5" x14ac:dyDescent="0.25">
      <c r="A6589" s="3">
        <f t="shared" si="307"/>
        <v>78989</v>
      </c>
      <c r="B6589" t="str">
        <f ca="1">TEXT(DATE(YEAR(Invoer!$A$5),1,1)+INT((ROWS(B$2:B6589)-1)/24),"""18""jjmmdd")</f>
        <v>18981002</v>
      </c>
      <c r="C6589" s="11" t="str">
        <f>INDEX(Data,2,2+MOD(ROWS(C$2:C6589)-1,24))</f>
        <v>12.00</v>
      </c>
      <c r="D6589" s="8">
        <f t="shared" ca="1" si="308"/>
        <v>10</v>
      </c>
      <c r="E6589" s="16">
        <f t="shared" ca="1" si="309"/>
        <v>0</v>
      </c>
    </row>
    <row r="6590" spans="1:5" x14ac:dyDescent="0.25">
      <c r="A6590" s="3">
        <f t="shared" si="307"/>
        <v>78989</v>
      </c>
      <c r="B6590" t="str">
        <f ca="1">TEXT(DATE(YEAR(Invoer!$A$5),1,1)+INT((ROWS(B$2:B6590)-1)/24),"""18""jjmmdd")</f>
        <v>18981002</v>
      </c>
      <c r="C6590" s="11" t="str">
        <f>INDEX(Data,2,2+MOD(ROWS(C$2:C6590)-1,24))</f>
        <v>13.00</v>
      </c>
      <c r="D6590" s="8">
        <f t="shared" ca="1" si="308"/>
        <v>7</v>
      </c>
      <c r="E6590" s="16">
        <f t="shared" ca="1" si="309"/>
        <v>0</v>
      </c>
    </row>
    <row r="6591" spans="1:5" x14ac:dyDescent="0.25">
      <c r="A6591" s="3">
        <f t="shared" si="307"/>
        <v>78989</v>
      </c>
      <c r="B6591" t="str">
        <f ca="1">TEXT(DATE(YEAR(Invoer!$A$5),1,1)+INT((ROWS(B$2:B6591)-1)/24),"""18""jjmmdd")</f>
        <v>18981002</v>
      </c>
      <c r="C6591" s="11" t="str">
        <f>INDEX(Data,2,2+MOD(ROWS(C$2:C6591)-1,24))</f>
        <v>14.00</v>
      </c>
      <c r="D6591" s="8">
        <f t="shared" ca="1" si="308"/>
        <v>5</v>
      </c>
      <c r="E6591" s="16">
        <f t="shared" ca="1" si="309"/>
        <v>0</v>
      </c>
    </row>
    <row r="6592" spans="1:5" x14ac:dyDescent="0.25">
      <c r="A6592" s="3">
        <f t="shared" si="307"/>
        <v>78989</v>
      </c>
      <c r="B6592" t="str">
        <f ca="1">TEXT(DATE(YEAR(Invoer!$A$5),1,1)+INT((ROWS(B$2:B6592)-1)/24),"""18""jjmmdd")</f>
        <v>18981002</v>
      </c>
      <c r="C6592" s="11" t="str">
        <f>INDEX(Data,2,2+MOD(ROWS(C$2:C6592)-1,24))</f>
        <v>15.00</v>
      </c>
      <c r="D6592" s="8">
        <f t="shared" ca="1" si="308"/>
        <v>8</v>
      </c>
      <c r="E6592" s="16">
        <f t="shared" ca="1" si="309"/>
        <v>0</v>
      </c>
    </row>
    <row r="6593" spans="1:5" x14ac:dyDescent="0.25">
      <c r="A6593" s="3">
        <f t="shared" si="307"/>
        <v>78989</v>
      </c>
      <c r="B6593" t="str">
        <f ca="1">TEXT(DATE(YEAR(Invoer!$A$5),1,1)+INT((ROWS(B$2:B6593)-1)/24),"""18""jjmmdd")</f>
        <v>18981002</v>
      </c>
      <c r="C6593" s="11" t="str">
        <f>INDEX(Data,2,2+MOD(ROWS(C$2:C6593)-1,24))</f>
        <v>16.00</v>
      </c>
      <c r="D6593" s="8">
        <f t="shared" ca="1" si="308"/>
        <v>6</v>
      </c>
      <c r="E6593" s="16">
        <f t="shared" ca="1" si="309"/>
        <v>0</v>
      </c>
    </row>
    <row r="6594" spans="1:5" x14ac:dyDescent="0.25">
      <c r="A6594" s="3">
        <f t="shared" ref="A6594:A6657" si="310">INDEX(Stations,2,1)</f>
        <v>78989</v>
      </c>
      <c r="B6594" t="str">
        <f ca="1">TEXT(DATE(YEAR(Invoer!$A$5),1,1)+INT((ROWS(B$2:B6594)-1)/24),"""18""jjmmdd")</f>
        <v>18981002</v>
      </c>
      <c r="C6594" s="11" t="str">
        <f>INDEX(Data,2,2+MOD(ROWS(C$2:C6594)-1,24))</f>
        <v>17.00</v>
      </c>
      <c r="D6594" s="8">
        <f t="shared" ref="D6594:D6657" ca="1" si="311">IF(OR(ISBLANK(VLOOKUP(DATEVALUE("37"&amp;MID($B6594,3,2)&amp;"-"&amp;MID($B6594,5,2)&amp;"-"&amp;RIGHT($B6594,2)),Data,MATCH(LEFT(VLOOKUP(D$1,Parameters,2,FALSE()),4)&amp;"*",OFFSET(Data,0,0,1),0)+MATCH($C6594,OFFSET(Data,1,0,1),0)-2,FALSE())),ISTEXT(VLOOKUP(DATEVALUE("37"&amp;MID($B6594,3,2)&amp;"-"&amp;MID($B6594,5,2)&amp;"-"&amp;RIGHT($B6594,2)),Data,MATCH(LEFT(VLOOKUP(D$1,Parameters,2,FALSE()),4)&amp;"*",OFFSET(Data,0,0,1),0)+MATCH($C6594,OFFSET(Data,1,0,1),0)-2,FALSE()))),"—",VLOOKUP(DATEVALUE("37"&amp;MID($B6594,3,2)&amp;"-"&amp;MID($B6594,5,2)&amp;"-"&amp;RIGHT($B6594,2)),Data,MATCH(LEFT(VLOOKUP(D$1,Parameters,2,FALSE()),4)&amp;"*",OFFSET(Data,0,0,1),0)+MATCH($C6594,OFFSET(Data,1,0,1),0)-2,FALSE()))</f>
        <v>5</v>
      </c>
      <c r="E6594" s="16">
        <f t="shared" ca="1" si="309"/>
        <v>0</v>
      </c>
    </row>
    <row r="6595" spans="1:5" x14ac:dyDescent="0.25">
      <c r="A6595" s="3">
        <f t="shared" si="310"/>
        <v>78989</v>
      </c>
      <c r="B6595" t="str">
        <f ca="1">TEXT(DATE(YEAR(Invoer!$A$5),1,1)+INT((ROWS(B$2:B6595)-1)/24),"""18""jjmmdd")</f>
        <v>18981002</v>
      </c>
      <c r="C6595" s="11" t="str">
        <f>INDEX(Data,2,2+MOD(ROWS(C$2:C6595)-1,24))</f>
        <v>18.00</v>
      </c>
      <c r="D6595" s="8">
        <f t="shared" ca="1" si="311"/>
        <v>5</v>
      </c>
      <c r="E6595" s="16">
        <f t="shared" ref="E6595:E6658" ca="1" si="312">IF(OR(ISBLANK(VLOOKUP(DATEVALUE("37"&amp;MID($B6595,3,2)&amp;"-"&amp;MID($B6595,5,2)&amp;"-"&amp;RIGHT($B6595,2)),Data,MATCH(LEFT(VLOOKUP(D$1,Parameters,2,FALSE()),4)&amp;"*",OFFSET(Data,0,0,1),0)+MATCH($C6595,OFFSET(Data,1,0,1),0)-2,FALSE())),ISTEXT(VLOOKUP(DATEVALUE("37"&amp;MID($B6595,3,2)&amp;"-"&amp;MID($B6595,5,2)&amp;"-"&amp;RIGHT($B6595,2)),Data,MATCH(LEFT(VLOOKUP(D$1,Parameters,2,FALSE()),4)&amp;"*",OFFSET(Data,0,0,1),0)+MATCH($C6595,OFFSET(Data,1,0,1),0)-2,FALSE()))),Lacking,IF(ISNA(MATCH(DATEVALUE("37"&amp;MID($B6595,3,2)&amp;"-"&amp;MID($B6595,5,2)&amp;"-"&amp;RIGHT($B6595,2)),OFFSET(Catalogus,0,0,,1),0)),Ok,VLOOKUP(DATEVALUE("37"&amp;MID($B6595,3,2)&amp;"-"&amp;MID($B6595,5,2)&amp;"-"&amp;RIGHT($B6595,2)),Catalogus,MATCH(LEFT(VLOOKUP(MID(E$1,2,LEN(E$1)-1),Parameters,2,FALSE()),4)&amp;"*",OFFSET(Catalogus,0,0,1),0)+MATCH($C6595,OFFSET(Catalogus,1,0,1),0)-2,FALSE())))</f>
        <v>0</v>
      </c>
    </row>
    <row r="6596" spans="1:5" x14ac:dyDescent="0.25">
      <c r="A6596" s="3">
        <f t="shared" si="310"/>
        <v>78989</v>
      </c>
      <c r="B6596" t="str">
        <f ca="1">TEXT(DATE(YEAR(Invoer!$A$5),1,1)+INT((ROWS(B$2:B6596)-1)/24),"""18""jjmmdd")</f>
        <v>18981002</v>
      </c>
      <c r="C6596" s="11" t="str">
        <f>INDEX(Data,2,2+MOD(ROWS(C$2:C6596)-1,24))</f>
        <v>19.00</v>
      </c>
      <c r="D6596" s="8">
        <f t="shared" ca="1" si="311"/>
        <v>5</v>
      </c>
      <c r="E6596" s="16">
        <f t="shared" ca="1" si="312"/>
        <v>0</v>
      </c>
    </row>
    <row r="6597" spans="1:5" x14ac:dyDescent="0.25">
      <c r="A6597" s="3">
        <f t="shared" si="310"/>
        <v>78989</v>
      </c>
      <c r="B6597" t="str">
        <f ca="1">TEXT(DATE(YEAR(Invoer!$A$5),1,1)+INT((ROWS(B$2:B6597)-1)/24),"""18""jjmmdd")</f>
        <v>18981002</v>
      </c>
      <c r="C6597" s="11" t="str">
        <f>INDEX(Data,2,2+MOD(ROWS(C$2:C6597)-1,24))</f>
        <v>20.00</v>
      </c>
      <c r="D6597" s="8">
        <f t="shared" ca="1" si="311"/>
        <v>6</v>
      </c>
      <c r="E6597" s="16">
        <f t="shared" ca="1" si="312"/>
        <v>0</v>
      </c>
    </row>
    <row r="6598" spans="1:5" x14ac:dyDescent="0.25">
      <c r="A6598" s="3">
        <f t="shared" si="310"/>
        <v>78989</v>
      </c>
      <c r="B6598" t="str">
        <f ca="1">TEXT(DATE(YEAR(Invoer!$A$5),1,1)+INT((ROWS(B$2:B6598)-1)/24),"""18""jjmmdd")</f>
        <v>18981002</v>
      </c>
      <c r="C6598" s="11" t="str">
        <f>INDEX(Data,2,2+MOD(ROWS(C$2:C6598)-1,24))</f>
        <v>21.00</v>
      </c>
      <c r="D6598" s="8">
        <f t="shared" ca="1" si="311"/>
        <v>6</v>
      </c>
      <c r="E6598" s="16">
        <f t="shared" ca="1" si="312"/>
        <v>0</v>
      </c>
    </row>
    <row r="6599" spans="1:5" x14ac:dyDescent="0.25">
      <c r="A6599" s="3">
        <f t="shared" si="310"/>
        <v>78989</v>
      </c>
      <c r="B6599" t="str">
        <f ca="1">TEXT(DATE(YEAR(Invoer!$A$5),1,1)+INT((ROWS(B$2:B6599)-1)/24),"""18""jjmmdd")</f>
        <v>18981002</v>
      </c>
      <c r="C6599" s="11" t="str">
        <f>INDEX(Data,2,2+MOD(ROWS(C$2:C6599)-1,24))</f>
        <v>22.00</v>
      </c>
      <c r="D6599" s="8">
        <f t="shared" ca="1" si="311"/>
        <v>4</v>
      </c>
      <c r="E6599" s="16">
        <f t="shared" ca="1" si="312"/>
        <v>0</v>
      </c>
    </row>
    <row r="6600" spans="1:5" x14ac:dyDescent="0.25">
      <c r="A6600" s="3">
        <f t="shared" si="310"/>
        <v>78989</v>
      </c>
      <c r="B6600" t="str">
        <f ca="1">TEXT(DATE(YEAR(Invoer!$A$5),1,1)+INT((ROWS(B$2:B6600)-1)/24),"""18""jjmmdd")</f>
        <v>18981002</v>
      </c>
      <c r="C6600" s="11" t="str">
        <f>INDEX(Data,2,2+MOD(ROWS(C$2:C6600)-1,24))</f>
        <v>23.00</v>
      </c>
      <c r="D6600" s="8">
        <f t="shared" ca="1" si="311"/>
        <v>4</v>
      </c>
      <c r="E6600" s="16">
        <f t="shared" ca="1" si="312"/>
        <v>0</v>
      </c>
    </row>
    <row r="6601" spans="1:5" x14ac:dyDescent="0.25">
      <c r="A6601" s="3">
        <f t="shared" si="310"/>
        <v>78989</v>
      </c>
      <c r="B6601" t="str">
        <f ca="1">TEXT(DATE(YEAR(Invoer!$A$5),1,1)+INT((ROWS(B$2:B6601)-1)/24),"""18""jjmmdd")</f>
        <v>18981002</v>
      </c>
      <c r="C6601" s="11" t="str">
        <f>INDEX(Data,2,2+MOD(ROWS(C$2:C6601)-1,24))</f>
        <v>24.00</v>
      </c>
      <c r="D6601" s="8">
        <f t="shared" ca="1" si="311"/>
        <v>4</v>
      </c>
      <c r="E6601" s="16">
        <f t="shared" ca="1" si="312"/>
        <v>0</v>
      </c>
    </row>
    <row r="6602" spans="1:5" x14ac:dyDescent="0.25">
      <c r="A6602" s="3">
        <f t="shared" si="310"/>
        <v>78989</v>
      </c>
      <c r="B6602" t="str">
        <f ca="1">TEXT(DATE(YEAR(Invoer!$A$5),1,1)+INT((ROWS(B$2:B6602)-1)/24),"""18""jjmmdd")</f>
        <v>18981003</v>
      </c>
      <c r="C6602" s="11" t="str">
        <f>INDEX(Data,2,2+MOD(ROWS(C$2:C6602)-1,24))</f>
        <v>01.00</v>
      </c>
      <c r="D6602" s="8">
        <f t="shared" ca="1" si="311"/>
        <v>3</v>
      </c>
      <c r="E6602" s="16">
        <f t="shared" ca="1" si="312"/>
        <v>0</v>
      </c>
    </row>
    <row r="6603" spans="1:5" x14ac:dyDescent="0.25">
      <c r="A6603" s="3">
        <f t="shared" si="310"/>
        <v>78989</v>
      </c>
      <c r="B6603" t="str">
        <f ca="1">TEXT(DATE(YEAR(Invoer!$A$5),1,1)+INT((ROWS(B$2:B6603)-1)/24),"""18""jjmmdd")</f>
        <v>18981003</v>
      </c>
      <c r="C6603" s="11" t="str">
        <f>INDEX(Data,2,2+MOD(ROWS(C$2:C6603)-1,24))</f>
        <v>02.00</v>
      </c>
      <c r="D6603" s="8">
        <f t="shared" ca="1" si="311"/>
        <v>4</v>
      </c>
      <c r="E6603" s="16">
        <f t="shared" ca="1" si="312"/>
        <v>0</v>
      </c>
    </row>
    <row r="6604" spans="1:5" x14ac:dyDescent="0.25">
      <c r="A6604" s="3">
        <f t="shared" si="310"/>
        <v>78989</v>
      </c>
      <c r="B6604" t="str">
        <f ca="1">TEXT(DATE(YEAR(Invoer!$A$5),1,1)+INT((ROWS(B$2:B6604)-1)/24),"""18""jjmmdd")</f>
        <v>18981003</v>
      </c>
      <c r="C6604" s="11" t="str">
        <f>INDEX(Data,2,2+MOD(ROWS(C$2:C6604)-1,24))</f>
        <v>03.00</v>
      </c>
      <c r="D6604" s="8">
        <f t="shared" ca="1" si="311"/>
        <v>4</v>
      </c>
      <c r="E6604" s="16">
        <f t="shared" ca="1" si="312"/>
        <v>0</v>
      </c>
    </row>
    <row r="6605" spans="1:5" x14ac:dyDescent="0.25">
      <c r="A6605" s="3">
        <f t="shared" si="310"/>
        <v>78989</v>
      </c>
      <c r="B6605" t="str">
        <f ca="1">TEXT(DATE(YEAR(Invoer!$A$5),1,1)+INT((ROWS(B$2:B6605)-1)/24),"""18""jjmmdd")</f>
        <v>18981003</v>
      </c>
      <c r="C6605" s="11" t="str">
        <f>INDEX(Data,2,2+MOD(ROWS(C$2:C6605)-1,24))</f>
        <v>04.00</v>
      </c>
      <c r="D6605" s="8">
        <f t="shared" ca="1" si="311"/>
        <v>3</v>
      </c>
      <c r="E6605" s="16">
        <f t="shared" ca="1" si="312"/>
        <v>0</v>
      </c>
    </row>
    <row r="6606" spans="1:5" x14ac:dyDescent="0.25">
      <c r="A6606" s="3">
        <f t="shared" si="310"/>
        <v>78989</v>
      </c>
      <c r="B6606" t="str">
        <f ca="1">TEXT(DATE(YEAR(Invoer!$A$5),1,1)+INT((ROWS(B$2:B6606)-1)/24),"""18""jjmmdd")</f>
        <v>18981003</v>
      </c>
      <c r="C6606" s="11" t="str">
        <f>INDEX(Data,2,2+MOD(ROWS(C$2:C6606)-1,24))</f>
        <v>05.00</v>
      </c>
      <c r="D6606" s="8">
        <f t="shared" ca="1" si="311"/>
        <v>7</v>
      </c>
      <c r="E6606" s="16">
        <f t="shared" ca="1" si="312"/>
        <v>0</v>
      </c>
    </row>
    <row r="6607" spans="1:5" x14ac:dyDescent="0.25">
      <c r="A6607" s="3">
        <f t="shared" si="310"/>
        <v>78989</v>
      </c>
      <c r="B6607" t="str">
        <f ca="1">TEXT(DATE(YEAR(Invoer!$A$5),1,1)+INT((ROWS(B$2:B6607)-1)/24),"""18""jjmmdd")</f>
        <v>18981003</v>
      </c>
      <c r="C6607" s="11" t="str">
        <f>INDEX(Data,2,2+MOD(ROWS(C$2:C6607)-1,24))</f>
        <v>06.00</v>
      </c>
      <c r="D6607" s="8">
        <f t="shared" ca="1" si="311"/>
        <v>6</v>
      </c>
      <c r="E6607" s="16">
        <f t="shared" ca="1" si="312"/>
        <v>0</v>
      </c>
    </row>
    <row r="6608" spans="1:5" x14ac:dyDescent="0.25">
      <c r="A6608" s="3">
        <f t="shared" si="310"/>
        <v>78989</v>
      </c>
      <c r="B6608" t="str">
        <f ca="1">TEXT(DATE(YEAR(Invoer!$A$5),1,1)+INT((ROWS(B$2:B6608)-1)/24),"""18""jjmmdd")</f>
        <v>18981003</v>
      </c>
      <c r="C6608" s="11" t="str">
        <f>INDEX(Data,2,2+MOD(ROWS(C$2:C6608)-1,24))</f>
        <v>07.00</v>
      </c>
      <c r="D6608" s="8">
        <f t="shared" ca="1" si="311"/>
        <v>6</v>
      </c>
      <c r="E6608" s="16">
        <f t="shared" ca="1" si="312"/>
        <v>0</v>
      </c>
    </row>
    <row r="6609" spans="1:5" x14ac:dyDescent="0.25">
      <c r="A6609" s="3">
        <f t="shared" si="310"/>
        <v>78989</v>
      </c>
      <c r="B6609" t="str">
        <f ca="1">TEXT(DATE(YEAR(Invoer!$A$5),1,1)+INT((ROWS(B$2:B6609)-1)/24),"""18""jjmmdd")</f>
        <v>18981003</v>
      </c>
      <c r="C6609" s="11" t="str">
        <f>INDEX(Data,2,2+MOD(ROWS(C$2:C6609)-1,24))</f>
        <v>08.00</v>
      </c>
      <c r="D6609" s="8">
        <f t="shared" ca="1" si="311"/>
        <v>9</v>
      </c>
      <c r="E6609" s="16">
        <f t="shared" ca="1" si="312"/>
        <v>0</v>
      </c>
    </row>
    <row r="6610" spans="1:5" x14ac:dyDescent="0.25">
      <c r="A6610" s="3">
        <f t="shared" si="310"/>
        <v>78989</v>
      </c>
      <c r="B6610" t="str">
        <f ca="1">TEXT(DATE(YEAR(Invoer!$A$5),1,1)+INT((ROWS(B$2:B6610)-1)/24),"""18""jjmmdd")</f>
        <v>18981003</v>
      </c>
      <c r="C6610" s="11" t="str">
        <f>INDEX(Data,2,2+MOD(ROWS(C$2:C6610)-1,24))</f>
        <v>09.00</v>
      </c>
      <c r="D6610" s="8">
        <f t="shared" ca="1" si="311"/>
        <v>9</v>
      </c>
      <c r="E6610" s="16">
        <f t="shared" ca="1" si="312"/>
        <v>0</v>
      </c>
    </row>
    <row r="6611" spans="1:5" x14ac:dyDescent="0.25">
      <c r="A6611" s="3">
        <f t="shared" si="310"/>
        <v>78989</v>
      </c>
      <c r="B6611" t="str">
        <f ca="1">TEXT(DATE(YEAR(Invoer!$A$5),1,1)+INT((ROWS(B$2:B6611)-1)/24),"""18""jjmmdd")</f>
        <v>18981003</v>
      </c>
      <c r="C6611" s="11" t="str">
        <f>INDEX(Data,2,2+MOD(ROWS(C$2:C6611)-1,24))</f>
        <v>10.00</v>
      </c>
      <c r="D6611" s="8">
        <f t="shared" ca="1" si="311"/>
        <v>11</v>
      </c>
      <c r="E6611" s="16">
        <f t="shared" ca="1" si="312"/>
        <v>0</v>
      </c>
    </row>
    <row r="6612" spans="1:5" x14ac:dyDescent="0.25">
      <c r="A6612" s="3">
        <f t="shared" si="310"/>
        <v>78989</v>
      </c>
      <c r="B6612" t="str">
        <f ca="1">TEXT(DATE(YEAR(Invoer!$A$5),1,1)+INT((ROWS(B$2:B6612)-1)/24),"""18""jjmmdd")</f>
        <v>18981003</v>
      </c>
      <c r="C6612" s="11" t="str">
        <f>INDEX(Data,2,2+MOD(ROWS(C$2:C6612)-1,24))</f>
        <v>11.00</v>
      </c>
      <c r="D6612" s="8">
        <f t="shared" ca="1" si="311"/>
        <v>11</v>
      </c>
      <c r="E6612" s="16">
        <f t="shared" ca="1" si="312"/>
        <v>0</v>
      </c>
    </row>
    <row r="6613" spans="1:5" x14ac:dyDescent="0.25">
      <c r="A6613" s="3">
        <f t="shared" si="310"/>
        <v>78989</v>
      </c>
      <c r="B6613" t="str">
        <f ca="1">TEXT(DATE(YEAR(Invoer!$A$5),1,1)+INT((ROWS(B$2:B6613)-1)/24),"""18""jjmmdd")</f>
        <v>18981003</v>
      </c>
      <c r="C6613" s="11" t="str">
        <f>INDEX(Data,2,2+MOD(ROWS(C$2:C6613)-1,24))</f>
        <v>12.00</v>
      </c>
      <c r="D6613" s="8">
        <f t="shared" ca="1" si="311"/>
        <v>12</v>
      </c>
      <c r="E6613" s="16">
        <f t="shared" ca="1" si="312"/>
        <v>0</v>
      </c>
    </row>
    <row r="6614" spans="1:5" x14ac:dyDescent="0.25">
      <c r="A6614" s="3">
        <f t="shared" si="310"/>
        <v>78989</v>
      </c>
      <c r="B6614" t="str">
        <f ca="1">TEXT(DATE(YEAR(Invoer!$A$5),1,1)+INT((ROWS(B$2:B6614)-1)/24),"""18""jjmmdd")</f>
        <v>18981003</v>
      </c>
      <c r="C6614" s="11" t="str">
        <f>INDEX(Data,2,2+MOD(ROWS(C$2:C6614)-1,24))</f>
        <v>13.00</v>
      </c>
      <c r="D6614" s="8">
        <f t="shared" ca="1" si="311"/>
        <v>11</v>
      </c>
      <c r="E6614" s="16">
        <f t="shared" ca="1" si="312"/>
        <v>0</v>
      </c>
    </row>
    <row r="6615" spans="1:5" x14ac:dyDescent="0.25">
      <c r="A6615" s="3">
        <f t="shared" si="310"/>
        <v>78989</v>
      </c>
      <c r="B6615" t="str">
        <f ca="1">TEXT(DATE(YEAR(Invoer!$A$5),1,1)+INT((ROWS(B$2:B6615)-1)/24),"""18""jjmmdd")</f>
        <v>18981003</v>
      </c>
      <c r="C6615" s="11" t="str">
        <f>INDEX(Data,2,2+MOD(ROWS(C$2:C6615)-1,24))</f>
        <v>14.00</v>
      </c>
      <c r="D6615" s="8">
        <f t="shared" ca="1" si="311"/>
        <v>12</v>
      </c>
      <c r="E6615" s="16">
        <f t="shared" ca="1" si="312"/>
        <v>0</v>
      </c>
    </row>
    <row r="6616" spans="1:5" x14ac:dyDescent="0.25">
      <c r="A6616" s="3">
        <f t="shared" si="310"/>
        <v>78989</v>
      </c>
      <c r="B6616" t="str">
        <f ca="1">TEXT(DATE(YEAR(Invoer!$A$5),1,1)+INT((ROWS(B$2:B6616)-1)/24),"""18""jjmmdd")</f>
        <v>18981003</v>
      </c>
      <c r="C6616" s="11" t="str">
        <f>INDEX(Data,2,2+MOD(ROWS(C$2:C6616)-1,24))</f>
        <v>15.00</v>
      </c>
      <c r="D6616" s="8">
        <f t="shared" ca="1" si="311"/>
        <v>8</v>
      </c>
      <c r="E6616" s="16">
        <f t="shared" ca="1" si="312"/>
        <v>0</v>
      </c>
    </row>
    <row r="6617" spans="1:5" x14ac:dyDescent="0.25">
      <c r="A6617" s="3">
        <f t="shared" si="310"/>
        <v>78989</v>
      </c>
      <c r="B6617" t="str">
        <f ca="1">TEXT(DATE(YEAR(Invoer!$A$5),1,1)+INT((ROWS(B$2:B6617)-1)/24),"""18""jjmmdd")</f>
        <v>18981003</v>
      </c>
      <c r="C6617" s="11" t="str">
        <f>INDEX(Data,2,2+MOD(ROWS(C$2:C6617)-1,24))</f>
        <v>16.00</v>
      </c>
      <c r="D6617" s="8">
        <f t="shared" ca="1" si="311"/>
        <v>8</v>
      </c>
      <c r="E6617" s="16">
        <f t="shared" ca="1" si="312"/>
        <v>0</v>
      </c>
    </row>
    <row r="6618" spans="1:5" x14ac:dyDescent="0.25">
      <c r="A6618" s="3">
        <f t="shared" si="310"/>
        <v>78989</v>
      </c>
      <c r="B6618" t="str">
        <f ca="1">TEXT(DATE(YEAR(Invoer!$A$5),1,1)+INT((ROWS(B$2:B6618)-1)/24),"""18""jjmmdd")</f>
        <v>18981003</v>
      </c>
      <c r="C6618" s="11" t="str">
        <f>INDEX(Data,2,2+MOD(ROWS(C$2:C6618)-1,24))</f>
        <v>17.00</v>
      </c>
      <c r="D6618" s="8">
        <f t="shared" ca="1" si="311"/>
        <v>8</v>
      </c>
      <c r="E6618" s="16">
        <f t="shared" ca="1" si="312"/>
        <v>0</v>
      </c>
    </row>
    <row r="6619" spans="1:5" x14ac:dyDescent="0.25">
      <c r="A6619" s="3">
        <f t="shared" si="310"/>
        <v>78989</v>
      </c>
      <c r="B6619" t="str">
        <f ca="1">TEXT(DATE(YEAR(Invoer!$A$5),1,1)+INT((ROWS(B$2:B6619)-1)/24),"""18""jjmmdd")</f>
        <v>18981003</v>
      </c>
      <c r="C6619" s="11" t="str">
        <f>INDEX(Data,2,2+MOD(ROWS(C$2:C6619)-1,24))</f>
        <v>18.00</v>
      </c>
      <c r="D6619" s="8">
        <f t="shared" ca="1" si="311"/>
        <v>9</v>
      </c>
      <c r="E6619" s="16">
        <f t="shared" ca="1" si="312"/>
        <v>0</v>
      </c>
    </row>
    <row r="6620" spans="1:5" x14ac:dyDescent="0.25">
      <c r="A6620" s="3">
        <f t="shared" si="310"/>
        <v>78989</v>
      </c>
      <c r="B6620" t="str">
        <f ca="1">TEXT(DATE(YEAR(Invoer!$A$5),1,1)+INT((ROWS(B$2:B6620)-1)/24),"""18""jjmmdd")</f>
        <v>18981003</v>
      </c>
      <c r="C6620" s="11" t="str">
        <f>INDEX(Data,2,2+MOD(ROWS(C$2:C6620)-1,24))</f>
        <v>19.00</v>
      </c>
      <c r="D6620" s="8">
        <f t="shared" ca="1" si="311"/>
        <v>7</v>
      </c>
      <c r="E6620" s="16">
        <f t="shared" ca="1" si="312"/>
        <v>0</v>
      </c>
    </row>
    <row r="6621" spans="1:5" x14ac:dyDescent="0.25">
      <c r="A6621" s="3">
        <f t="shared" si="310"/>
        <v>78989</v>
      </c>
      <c r="B6621" t="str">
        <f ca="1">TEXT(DATE(YEAR(Invoer!$A$5),1,1)+INT((ROWS(B$2:B6621)-1)/24),"""18""jjmmdd")</f>
        <v>18981003</v>
      </c>
      <c r="C6621" s="11" t="str">
        <f>INDEX(Data,2,2+MOD(ROWS(C$2:C6621)-1,24))</f>
        <v>20.00</v>
      </c>
      <c r="D6621" s="8">
        <f t="shared" ca="1" si="311"/>
        <v>8</v>
      </c>
      <c r="E6621" s="16">
        <f t="shared" ca="1" si="312"/>
        <v>0</v>
      </c>
    </row>
    <row r="6622" spans="1:5" x14ac:dyDescent="0.25">
      <c r="A6622" s="3">
        <f t="shared" si="310"/>
        <v>78989</v>
      </c>
      <c r="B6622" t="str">
        <f ca="1">TEXT(DATE(YEAR(Invoer!$A$5),1,1)+INT((ROWS(B$2:B6622)-1)/24),"""18""jjmmdd")</f>
        <v>18981003</v>
      </c>
      <c r="C6622" s="11" t="str">
        <f>INDEX(Data,2,2+MOD(ROWS(C$2:C6622)-1,24))</f>
        <v>21.00</v>
      </c>
      <c r="D6622" s="8">
        <f t="shared" ca="1" si="311"/>
        <v>7</v>
      </c>
      <c r="E6622" s="16">
        <f t="shared" ca="1" si="312"/>
        <v>0</v>
      </c>
    </row>
    <row r="6623" spans="1:5" x14ac:dyDescent="0.25">
      <c r="A6623" s="3">
        <f t="shared" si="310"/>
        <v>78989</v>
      </c>
      <c r="B6623" t="str">
        <f ca="1">TEXT(DATE(YEAR(Invoer!$A$5),1,1)+INT((ROWS(B$2:B6623)-1)/24),"""18""jjmmdd")</f>
        <v>18981003</v>
      </c>
      <c r="C6623" s="11" t="str">
        <f>INDEX(Data,2,2+MOD(ROWS(C$2:C6623)-1,24))</f>
        <v>22.00</v>
      </c>
      <c r="D6623" s="8">
        <f t="shared" ca="1" si="311"/>
        <v>6</v>
      </c>
      <c r="E6623" s="16">
        <f t="shared" ca="1" si="312"/>
        <v>0</v>
      </c>
    </row>
    <row r="6624" spans="1:5" x14ac:dyDescent="0.25">
      <c r="A6624" s="3">
        <f t="shared" si="310"/>
        <v>78989</v>
      </c>
      <c r="B6624" t="str">
        <f ca="1">TEXT(DATE(YEAR(Invoer!$A$5),1,1)+INT((ROWS(B$2:B6624)-1)/24),"""18""jjmmdd")</f>
        <v>18981003</v>
      </c>
      <c r="C6624" s="11" t="str">
        <f>INDEX(Data,2,2+MOD(ROWS(C$2:C6624)-1,24))</f>
        <v>23.00</v>
      </c>
      <c r="D6624" s="8">
        <f t="shared" ca="1" si="311"/>
        <v>5</v>
      </c>
      <c r="E6624" s="16">
        <f t="shared" ca="1" si="312"/>
        <v>0</v>
      </c>
    </row>
    <row r="6625" spans="1:5" x14ac:dyDescent="0.25">
      <c r="A6625" s="3">
        <f t="shared" si="310"/>
        <v>78989</v>
      </c>
      <c r="B6625" t="str">
        <f ca="1">TEXT(DATE(YEAR(Invoer!$A$5),1,1)+INT((ROWS(B$2:B6625)-1)/24),"""18""jjmmdd")</f>
        <v>18981003</v>
      </c>
      <c r="C6625" s="11" t="str">
        <f>INDEX(Data,2,2+MOD(ROWS(C$2:C6625)-1,24))</f>
        <v>24.00</v>
      </c>
      <c r="D6625" s="8">
        <f t="shared" ca="1" si="311"/>
        <v>5</v>
      </c>
      <c r="E6625" s="16">
        <f t="shared" ca="1" si="312"/>
        <v>0</v>
      </c>
    </row>
    <row r="6626" spans="1:5" x14ac:dyDescent="0.25">
      <c r="A6626" s="3">
        <f t="shared" si="310"/>
        <v>78989</v>
      </c>
      <c r="B6626" t="str">
        <f ca="1">TEXT(DATE(YEAR(Invoer!$A$5),1,1)+INT((ROWS(B$2:B6626)-1)/24),"""18""jjmmdd")</f>
        <v>18981004</v>
      </c>
      <c r="C6626" s="11" t="str">
        <f>INDEX(Data,2,2+MOD(ROWS(C$2:C6626)-1,24))</f>
        <v>01.00</v>
      </c>
      <c r="D6626" s="8">
        <f t="shared" ca="1" si="311"/>
        <v>5</v>
      </c>
      <c r="E6626" s="16">
        <f t="shared" ca="1" si="312"/>
        <v>0</v>
      </c>
    </row>
    <row r="6627" spans="1:5" x14ac:dyDescent="0.25">
      <c r="A6627" s="3">
        <f t="shared" si="310"/>
        <v>78989</v>
      </c>
      <c r="B6627" t="str">
        <f ca="1">TEXT(DATE(YEAR(Invoer!$A$5),1,1)+INT((ROWS(B$2:B6627)-1)/24),"""18""jjmmdd")</f>
        <v>18981004</v>
      </c>
      <c r="C6627" s="11" t="str">
        <f>INDEX(Data,2,2+MOD(ROWS(C$2:C6627)-1,24))</f>
        <v>02.00</v>
      </c>
      <c r="D6627" s="8">
        <f t="shared" ca="1" si="311"/>
        <v>4</v>
      </c>
      <c r="E6627" s="16">
        <f t="shared" ca="1" si="312"/>
        <v>0</v>
      </c>
    </row>
    <row r="6628" spans="1:5" x14ac:dyDescent="0.25">
      <c r="A6628" s="3">
        <f t="shared" si="310"/>
        <v>78989</v>
      </c>
      <c r="B6628" t="str">
        <f ca="1">TEXT(DATE(YEAR(Invoer!$A$5),1,1)+INT((ROWS(B$2:B6628)-1)/24),"""18""jjmmdd")</f>
        <v>18981004</v>
      </c>
      <c r="C6628" s="11" t="str">
        <f>INDEX(Data,2,2+MOD(ROWS(C$2:C6628)-1,24))</f>
        <v>03.00</v>
      </c>
      <c r="D6628" s="8">
        <f t="shared" ca="1" si="311"/>
        <v>5</v>
      </c>
      <c r="E6628" s="16">
        <f t="shared" ca="1" si="312"/>
        <v>0</v>
      </c>
    </row>
    <row r="6629" spans="1:5" x14ac:dyDescent="0.25">
      <c r="A6629" s="3">
        <f t="shared" si="310"/>
        <v>78989</v>
      </c>
      <c r="B6629" t="str">
        <f ca="1">TEXT(DATE(YEAR(Invoer!$A$5),1,1)+INT((ROWS(B$2:B6629)-1)/24),"""18""jjmmdd")</f>
        <v>18981004</v>
      </c>
      <c r="C6629" s="11" t="str">
        <f>INDEX(Data,2,2+MOD(ROWS(C$2:C6629)-1,24))</f>
        <v>04.00</v>
      </c>
      <c r="D6629" s="8">
        <f t="shared" ca="1" si="311"/>
        <v>6</v>
      </c>
      <c r="E6629" s="16">
        <f t="shared" ca="1" si="312"/>
        <v>0</v>
      </c>
    </row>
    <row r="6630" spans="1:5" x14ac:dyDescent="0.25">
      <c r="A6630" s="3">
        <f t="shared" si="310"/>
        <v>78989</v>
      </c>
      <c r="B6630" t="str">
        <f ca="1">TEXT(DATE(YEAR(Invoer!$A$5),1,1)+INT((ROWS(B$2:B6630)-1)/24),"""18""jjmmdd")</f>
        <v>18981004</v>
      </c>
      <c r="C6630" s="11" t="str">
        <f>INDEX(Data,2,2+MOD(ROWS(C$2:C6630)-1,24))</f>
        <v>05.00</v>
      </c>
      <c r="D6630" s="8">
        <f t="shared" ca="1" si="311"/>
        <v>5</v>
      </c>
      <c r="E6630" s="16">
        <f t="shared" ca="1" si="312"/>
        <v>0</v>
      </c>
    </row>
    <row r="6631" spans="1:5" x14ac:dyDescent="0.25">
      <c r="A6631" s="3">
        <f t="shared" si="310"/>
        <v>78989</v>
      </c>
      <c r="B6631" t="str">
        <f ca="1">TEXT(DATE(YEAR(Invoer!$A$5),1,1)+INT((ROWS(B$2:B6631)-1)/24),"""18""jjmmdd")</f>
        <v>18981004</v>
      </c>
      <c r="C6631" s="11" t="str">
        <f>INDEX(Data,2,2+MOD(ROWS(C$2:C6631)-1,24))</f>
        <v>06.00</v>
      </c>
      <c r="D6631" s="8">
        <f t="shared" ca="1" si="311"/>
        <v>5</v>
      </c>
      <c r="E6631" s="16">
        <f t="shared" ca="1" si="312"/>
        <v>0</v>
      </c>
    </row>
    <row r="6632" spans="1:5" x14ac:dyDescent="0.25">
      <c r="A6632" s="3">
        <f t="shared" si="310"/>
        <v>78989</v>
      </c>
      <c r="B6632" t="str">
        <f ca="1">TEXT(DATE(YEAR(Invoer!$A$5),1,1)+INT((ROWS(B$2:B6632)-1)/24),"""18""jjmmdd")</f>
        <v>18981004</v>
      </c>
      <c r="C6632" s="11" t="str">
        <f>INDEX(Data,2,2+MOD(ROWS(C$2:C6632)-1,24))</f>
        <v>07.00</v>
      </c>
      <c r="D6632" s="8">
        <f t="shared" ca="1" si="311"/>
        <v>7</v>
      </c>
      <c r="E6632" s="16">
        <f t="shared" ca="1" si="312"/>
        <v>0</v>
      </c>
    </row>
    <row r="6633" spans="1:5" x14ac:dyDescent="0.25">
      <c r="A6633" s="3">
        <f t="shared" si="310"/>
        <v>78989</v>
      </c>
      <c r="B6633" t="str">
        <f ca="1">TEXT(DATE(YEAR(Invoer!$A$5),1,1)+INT((ROWS(B$2:B6633)-1)/24),"""18""jjmmdd")</f>
        <v>18981004</v>
      </c>
      <c r="C6633" s="11" t="str">
        <f>INDEX(Data,2,2+MOD(ROWS(C$2:C6633)-1,24))</f>
        <v>08.00</v>
      </c>
      <c r="D6633" s="8">
        <f t="shared" ca="1" si="311"/>
        <v>10</v>
      </c>
      <c r="E6633" s="16">
        <f t="shared" ca="1" si="312"/>
        <v>0</v>
      </c>
    </row>
    <row r="6634" spans="1:5" x14ac:dyDescent="0.25">
      <c r="A6634" s="3">
        <f t="shared" si="310"/>
        <v>78989</v>
      </c>
      <c r="B6634" t="str">
        <f ca="1">TEXT(DATE(YEAR(Invoer!$A$5),1,1)+INT((ROWS(B$2:B6634)-1)/24),"""18""jjmmdd")</f>
        <v>18981004</v>
      </c>
      <c r="C6634" s="11" t="str">
        <f>INDEX(Data,2,2+MOD(ROWS(C$2:C6634)-1,24))</f>
        <v>09.00</v>
      </c>
      <c r="D6634" s="8">
        <f t="shared" ca="1" si="311"/>
        <v>10</v>
      </c>
      <c r="E6634" s="16">
        <f t="shared" ca="1" si="312"/>
        <v>0</v>
      </c>
    </row>
    <row r="6635" spans="1:5" x14ac:dyDescent="0.25">
      <c r="A6635" s="3">
        <f t="shared" si="310"/>
        <v>78989</v>
      </c>
      <c r="B6635" t="str">
        <f ca="1">TEXT(DATE(YEAR(Invoer!$A$5),1,1)+INT((ROWS(B$2:B6635)-1)/24),"""18""jjmmdd")</f>
        <v>18981004</v>
      </c>
      <c r="C6635" s="11" t="str">
        <f>INDEX(Data,2,2+MOD(ROWS(C$2:C6635)-1,24))</f>
        <v>10.00</v>
      </c>
      <c r="D6635" s="8">
        <f t="shared" ca="1" si="311"/>
        <v>11</v>
      </c>
      <c r="E6635" s="16">
        <f t="shared" ca="1" si="312"/>
        <v>0</v>
      </c>
    </row>
    <row r="6636" spans="1:5" x14ac:dyDescent="0.25">
      <c r="A6636" s="3">
        <f t="shared" si="310"/>
        <v>78989</v>
      </c>
      <c r="B6636" t="str">
        <f ca="1">TEXT(DATE(YEAR(Invoer!$A$5),1,1)+INT((ROWS(B$2:B6636)-1)/24),"""18""jjmmdd")</f>
        <v>18981004</v>
      </c>
      <c r="C6636" s="11" t="str">
        <f>INDEX(Data,2,2+MOD(ROWS(C$2:C6636)-1,24))</f>
        <v>11.00</v>
      </c>
      <c r="D6636" s="8">
        <f t="shared" ca="1" si="311"/>
        <v>11</v>
      </c>
      <c r="E6636" s="16">
        <f t="shared" ca="1" si="312"/>
        <v>0</v>
      </c>
    </row>
    <row r="6637" spans="1:5" x14ac:dyDescent="0.25">
      <c r="A6637" s="3">
        <f t="shared" si="310"/>
        <v>78989</v>
      </c>
      <c r="B6637" t="str">
        <f ca="1">TEXT(DATE(YEAR(Invoer!$A$5),1,1)+INT((ROWS(B$2:B6637)-1)/24),"""18""jjmmdd")</f>
        <v>18981004</v>
      </c>
      <c r="C6637" s="11" t="str">
        <f>INDEX(Data,2,2+MOD(ROWS(C$2:C6637)-1,24))</f>
        <v>12.00</v>
      </c>
      <c r="D6637" s="8">
        <f t="shared" ca="1" si="311"/>
        <v>14</v>
      </c>
      <c r="E6637" s="16">
        <f t="shared" ca="1" si="312"/>
        <v>0</v>
      </c>
    </row>
    <row r="6638" spans="1:5" x14ac:dyDescent="0.25">
      <c r="A6638" s="3">
        <f t="shared" si="310"/>
        <v>78989</v>
      </c>
      <c r="B6638" t="str">
        <f ca="1">TEXT(DATE(YEAR(Invoer!$A$5),1,1)+INT((ROWS(B$2:B6638)-1)/24),"""18""jjmmdd")</f>
        <v>18981004</v>
      </c>
      <c r="C6638" s="11" t="str">
        <f>INDEX(Data,2,2+MOD(ROWS(C$2:C6638)-1,24))</f>
        <v>13.00</v>
      </c>
      <c r="D6638" s="8">
        <f t="shared" ca="1" si="311"/>
        <v>16</v>
      </c>
      <c r="E6638" s="16">
        <f t="shared" ca="1" si="312"/>
        <v>0</v>
      </c>
    </row>
    <row r="6639" spans="1:5" x14ac:dyDescent="0.25">
      <c r="A6639" s="3">
        <f t="shared" si="310"/>
        <v>78989</v>
      </c>
      <c r="B6639" t="str">
        <f ca="1">TEXT(DATE(YEAR(Invoer!$A$5),1,1)+INT((ROWS(B$2:B6639)-1)/24),"""18""jjmmdd")</f>
        <v>18981004</v>
      </c>
      <c r="C6639" s="11" t="str">
        <f>INDEX(Data,2,2+MOD(ROWS(C$2:C6639)-1,24))</f>
        <v>14.00</v>
      </c>
      <c r="D6639" s="8">
        <f t="shared" ca="1" si="311"/>
        <v>13</v>
      </c>
      <c r="E6639" s="16">
        <f t="shared" ca="1" si="312"/>
        <v>0</v>
      </c>
    </row>
    <row r="6640" spans="1:5" x14ac:dyDescent="0.25">
      <c r="A6640" s="3">
        <f t="shared" si="310"/>
        <v>78989</v>
      </c>
      <c r="B6640" t="str">
        <f ca="1">TEXT(DATE(YEAR(Invoer!$A$5),1,1)+INT((ROWS(B$2:B6640)-1)/24),"""18""jjmmdd")</f>
        <v>18981004</v>
      </c>
      <c r="C6640" s="11" t="str">
        <f>INDEX(Data,2,2+MOD(ROWS(C$2:C6640)-1,24))</f>
        <v>15.00</v>
      </c>
      <c r="D6640" s="8">
        <f t="shared" ca="1" si="311"/>
        <v>12</v>
      </c>
      <c r="E6640" s="16">
        <f t="shared" ca="1" si="312"/>
        <v>0</v>
      </c>
    </row>
    <row r="6641" spans="1:5" x14ac:dyDescent="0.25">
      <c r="A6641" s="3">
        <f t="shared" si="310"/>
        <v>78989</v>
      </c>
      <c r="B6641" t="str">
        <f ca="1">TEXT(DATE(YEAR(Invoer!$A$5),1,1)+INT((ROWS(B$2:B6641)-1)/24),"""18""jjmmdd")</f>
        <v>18981004</v>
      </c>
      <c r="C6641" s="11" t="str">
        <f>INDEX(Data,2,2+MOD(ROWS(C$2:C6641)-1,24))</f>
        <v>16.00</v>
      </c>
      <c r="D6641" s="8">
        <f t="shared" ca="1" si="311"/>
        <v>12</v>
      </c>
      <c r="E6641" s="16">
        <f t="shared" ca="1" si="312"/>
        <v>0</v>
      </c>
    </row>
    <row r="6642" spans="1:5" x14ac:dyDescent="0.25">
      <c r="A6642" s="3">
        <f t="shared" si="310"/>
        <v>78989</v>
      </c>
      <c r="B6642" t="str">
        <f ca="1">TEXT(DATE(YEAR(Invoer!$A$5),1,1)+INT((ROWS(B$2:B6642)-1)/24),"""18""jjmmdd")</f>
        <v>18981004</v>
      </c>
      <c r="C6642" s="11" t="str">
        <f>INDEX(Data,2,2+MOD(ROWS(C$2:C6642)-1,24))</f>
        <v>17.00</v>
      </c>
      <c r="D6642" s="8">
        <f t="shared" ca="1" si="311"/>
        <v>12</v>
      </c>
      <c r="E6642" s="16">
        <f t="shared" ca="1" si="312"/>
        <v>0</v>
      </c>
    </row>
    <row r="6643" spans="1:5" x14ac:dyDescent="0.25">
      <c r="A6643" s="3">
        <f t="shared" si="310"/>
        <v>78989</v>
      </c>
      <c r="B6643" t="str">
        <f ca="1">TEXT(DATE(YEAR(Invoer!$A$5),1,1)+INT((ROWS(B$2:B6643)-1)/24),"""18""jjmmdd")</f>
        <v>18981004</v>
      </c>
      <c r="C6643" s="11" t="str">
        <f>INDEX(Data,2,2+MOD(ROWS(C$2:C6643)-1,24))</f>
        <v>18.00</v>
      </c>
      <c r="D6643" s="8">
        <f t="shared" ca="1" si="311"/>
        <v>10</v>
      </c>
      <c r="E6643" s="16">
        <f t="shared" ca="1" si="312"/>
        <v>0</v>
      </c>
    </row>
    <row r="6644" spans="1:5" x14ac:dyDescent="0.25">
      <c r="A6644" s="3">
        <f t="shared" si="310"/>
        <v>78989</v>
      </c>
      <c r="B6644" t="str">
        <f ca="1">TEXT(DATE(YEAR(Invoer!$A$5),1,1)+INT((ROWS(B$2:B6644)-1)/24),"""18""jjmmdd")</f>
        <v>18981004</v>
      </c>
      <c r="C6644" s="11" t="str">
        <f>INDEX(Data,2,2+MOD(ROWS(C$2:C6644)-1,24))</f>
        <v>19.00</v>
      </c>
      <c r="D6644" s="8">
        <f t="shared" ca="1" si="311"/>
        <v>11</v>
      </c>
      <c r="E6644" s="16">
        <f t="shared" ca="1" si="312"/>
        <v>0</v>
      </c>
    </row>
    <row r="6645" spans="1:5" x14ac:dyDescent="0.25">
      <c r="A6645" s="3">
        <f t="shared" si="310"/>
        <v>78989</v>
      </c>
      <c r="B6645" t="str">
        <f ca="1">TEXT(DATE(YEAR(Invoer!$A$5),1,1)+INT((ROWS(B$2:B6645)-1)/24),"""18""jjmmdd")</f>
        <v>18981004</v>
      </c>
      <c r="C6645" s="11" t="str">
        <f>INDEX(Data,2,2+MOD(ROWS(C$2:C6645)-1,24))</f>
        <v>20.00</v>
      </c>
      <c r="D6645" s="8">
        <f t="shared" ca="1" si="311"/>
        <v>10</v>
      </c>
      <c r="E6645" s="16">
        <f t="shared" ca="1" si="312"/>
        <v>0</v>
      </c>
    </row>
    <row r="6646" spans="1:5" x14ac:dyDescent="0.25">
      <c r="A6646" s="3">
        <f t="shared" si="310"/>
        <v>78989</v>
      </c>
      <c r="B6646" t="str">
        <f ca="1">TEXT(DATE(YEAR(Invoer!$A$5),1,1)+INT((ROWS(B$2:B6646)-1)/24),"""18""jjmmdd")</f>
        <v>18981004</v>
      </c>
      <c r="C6646" s="11" t="str">
        <f>INDEX(Data,2,2+MOD(ROWS(C$2:C6646)-1,24))</f>
        <v>21.00</v>
      </c>
      <c r="D6646" s="8">
        <f t="shared" ca="1" si="311"/>
        <v>11</v>
      </c>
      <c r="E6646" s="16">
        <f t="shared" ca="1" si="312"/>
        <v>0</v>
      </c>
    </row>
    <row r="6647" spans="1:5" x14ac:dyDescent="0.25">
      <c r="A6647" s="3">
        <f t="shared" si="310"/>
        <v>78989</v>
      </c>
      <c r="B6647" t="str">
        <f ca="1">TEXT(DATE(YEAR(Invoer!$A$5),1,1)+INT((ROWS(B$2:B6647)-1)/24),"""18""jjmmdd")</f>
        <v>18981004</v>
      </c>
      <c r="C6647" s="11" t="str">
        <f>INDEX(Data,2,2+MOD(ROWS(C$2:C6647)-1,24))</f>
        <v>22.00</v>
      </c>
      <c r="D6647" s="8">
        <f t="shared" ca="1" si="311"/>
        <v>10</v>
      </c>
      <c r="E6647" s="16">
        <f t="shared" ca="1" si="312"/>
        <v>0</v>
      </c>
    </row>
    <row r="6648" spans="1:5" x14ac:dyDescent="0.25">
      <c r="A6648" s="3">
        <f t="shared" si="310"/>
        <v>78989</v>
      </c>
      <c r="B6648" t="str">
        <f ca="1">TEXT(DATE(YEAR(Invoer!$A$5),1,1)+INT((ROWS(B$2:B6648)-1)/24),"""18""jjmmdd")</f>
        <v>18981004</v>
      </c>
      <c r="C6648" s="11" t="str">
        <f>INDEX(Data,2,2+MOD(ROWS(C$2:C6648)-1,24))</f>
        <v>23.00</v>
      </c>
      <c r="D6648" s="8">
        <f t="shared" ca="1" si="311"/>
        <v>10</v>
      </c>
      <c r="E6648" s="16">
        <f t="shared" ca="1" si="312"/>
        <v>0</v>
      </c>
    </row>
    <row r="6649" spans="1:5" x14ac:dyDescent="0.25">
      <c r="A6649" s="3">
        <f t="shared" si="310"/>
        <v>78989</v>
      </c>
      <c r="B6649" t="str">
        <f ca="1">TEXT(DATE(YEAR(Invoer!$A$5),1,1)+INT((ROWS(B$2:B6649)-1)/24),"""18""jjmmdd")</f>
        <v>18981004</v>
      </c>
      <c r="C6649" s="11" t="str">
        <f>INDEX(Data,2,2+MOD(ROWS(C$2:C6649)-1,24))</f>
        <v>24.00</v>
      </c>
      <c r="D6649" s="8">
        <f t="shared" ca="1" si="311"/>
        <v>9</v>
      </c>
      <c r="E6649" s="16">
        <f t="shared" ca="1" si="312"/>
        <v>0</v>
      </c>
    </row>
    <row r="6650" spans="1:5" x14ac:dyDescent="0.25">
      <c r="A6650" s="3">
        <f t="shared" si="310"/>
        <v>78989</v>
      </c>
      <c r="B6650" t="str">
        <f ca="1">TEXT(DATE(YEAR(Invoer!$A$5),1,1)+INT((ROWS(B$2:B6650)-1)/24),"""18""jjmmdd")</f>
        <v>18981005</v>
      </c>
      <c r="C6650" s="11" t="str">
        <f>INDEX(Data,2,2+MOD(ROWS(C$2:C6650)-1,24))</f>
        <v>01.00</v>
      </c>
      <c r="D6650" s="8">
        <f t="shared" ca="1" si="311"/>
        <v>8</v>
      </c>
      <c r="E6650" s="16">
        <f t="shared" ca="1" si="312"/>
        <v>0</v>
      </c>
    </row>
    <row r="6651" spans="1:5" x14ac:dyDescent="0.25">
      <c r="A6651" s="3">
        <f t="shared" si="310"/>
        <v>78989</v>
      </c>
      <c r="B6651" t="str">
        <f ca="1">TEXT(DATE(YEAR(Invoer!$A$5),1,1)+INT((ROWS(B$2:B6651)-1)/24),"""18""jjmmdd")</f>
        <v>18981005</v>
      </c>
      <c r="C6651" s="11" t="str">
        <f>INDEX(Data,2,2+MOD(ROWS(C$2:C6651)-1,24))</f>
        <v>02.00</v>
      </c>
      <c r="D6651" s="8">
        <f t="shared" ca="1" si="311"/>
        <v>9</v>
      </c>
      <c r="E6651" s="16">
        <f t="shared" ca="1" si="312"/>
        <v>0</v>
      </c>
    </row>
    <row r="6652" spans="1:5" x14ac:dyDescent="0.25">
      <c r="A6652" s="3">
        <f t="shared" si="310"/>
        <v>78989</v>
      </c>
      <c r="B6652" t="str">
        <f ca="1">TEXT(DATE(YEAR(Invoer!$A$5),1,1)+INT((ROWS(B$2:B6652)-1)/24),"""18""jjmmdd")</f>
        <v>18981005</v>
      </c>
      <c r="C6652" s="11" t="str">
        <f>INDEX(Data,2,2+MOD(ROWS(C$2:C6652)-1,24))</f>
        <v>03.00</v>
      </c>
      <c r="D6652" s="8">
        <f t="shared" ca="1" si="311"/>
        <v>9</v>
      </c>
      <c r="E6652" s="16">
        <f t="shared" ca="1" si="312"/>
        <v>0</v>
      </c>
    </row>
    <row r="6653" spans="1:5" x14ac:dyDescent="0.25">
      <c r="A6653" s="3">
        <f t="shared" si="310"/>
        <v>78989</v>
      </c>
      <c r="B6653" t="str">
        <f ca="1">TEXT(DATE(YEAR(Invoer!$A$5),1,1)+INT((ROWS(B$2:B6653)-1)/24),"""18""jjmmdd")</f>
        <v>18981005</v>
      </c>
      <c r="C6653" s="11" t="str">
        <f>INDEX(Data,2,2+MOD(ROWS(C$2:C6653)-1,24))</f>
        <v>04.00</v>
      </c>
      <c r="D6653" s="8">
        <f t="shared" ca="1" si="311"/>
        <v>9</v>
      </c>
      <c r="E6653" s="16">
        <f t="shared" ca="1" si="312"/>
        <v>0</v>
      </c>
    </row>
    <row r="6654" spans="1:5" x14ac:dyDescent="0.25">
      <c r="A6654" s="3">
        <f t="shared" si="310"/>
        <v>78989</v>
      </c>
      <c r="B6654" t="str">
        <f ca="1">TEXT(DATE(YEAR(Invoer!$A$5),1,1)+INT((ROWS(B$2:B6654)-1)/24),"""18""jjmmdd")</f>
        <v>18981005</v>
      </c>
      <c r="C6654" s="11" t="str">
        <f>INDEX(Data,2,2+MOD(ROWS(C$2:C6654)-1,24))</f>
        <v>05.00</v>
      </c>
      <c r="D6654" s="8">
        <f t="shared" ca="1" si="311"/>
        <v>7</v>
      </c>
      <c r="E6654" s="16">
        <f t="shared" ca="1" si="312"/>
        <v>0</v>
      </c>
    </row>
    <row r="6655" spans="1:5" x14ac:dyDescent="0.25">
      <c r="A6655" s="3">
        <f t="shared" si="310"/>
        <v>78989</v>
      </c>
      <c r="B6655" t="str">
        <f ca="1">TEXT(DATE(YEAR(Invoer!$A$5),1,1)+INT((ROWS(B$2:B6655)-1)/24),"""18""jjmmdd")</f>
        <v>18981005</v>
      </c>
      <c r="C6655" s="11" t="str">
        <f>INDEX(Data,2,2+MOD(ROWS(C$2:C6655)-1,24))</f>
        <v>06.00</v>
      </c>
      <c r="D6655" s="8">
        <f t="shared" ca="1" si="311"/>
        <v>9</v>
      </c>
      <c r="E6655" s="16">
        <f t="shared" ca="1" si="312"/>
        <v>0</v>
      </c>
    </row>
    <row r="6656" spans="1:5" x14ac:dyDescent="0.25">
      <c r="A6656" s="3">
        <f t="shared" si="310"/>
        <v>78989</v>
      </c>
      <c r="B6656" t="str">
        <f ca="1">TEXT(DATE(YEAR(Invoer!$A$5),1,1)+INT((ROWS(B$2:B6656)-1)/24),"""18""jjmmdd")</f>
        <v>18981005</v>
      </c>
      <c r="C6656" s="11" t="str">
        <f>INDEX(Data,2,2+MOD(ROWS(C$2:C6656)-1,24))</f>
        <v>07.00</v>
      </c>
      <c r="D6656" s="8">
        <f t="shared" ca="1" si="311"/>
        <v>11</v>
      </c>
      <c r="E6656" s="16">
        <f t="shared" ca="1" si="312"/>
        <v>0</v>
      </c>
    </row>
    <row r="6657" spans="1:5" x14ac:dyDescent="0.25">
      <c r="A6657" s="3">
        <f t="shared" si="310"/>
        <v>78989</v>
      </c>
      <c r="B6657" t="str">
        <f ca="1">TEXT(DATE(YEAR(Invoer!$A$5),1,1)+INT((ROWS(B$2:B6657)-1)/24),"""18""jjmmdd")</f>
        <v>18981005</v>
      </c>
      <c r="C6657" s="11" t="str">
        <f>INDEX(Data,2,2+MOD(ROWS(C$2:C6657)-1,24))</f>
        <v>08.00</v>
      </c>
      <c r="D6657" s="8">
        <f t="shared" ca="1" si="311"/>
        <v>10</v>
      </c>
      <c r="E6657" s="16">
        <f t="shared" ca="1" si="312"/>
        <v>0</v>
      </c>
    </row>
    <row r="6658" spans="1:5" x14ac:dyDescent="0.25">
      <c r="A6658" s="3">
        <f t="shared" ref="A6658:A6721" si="313">INDEX(Stations,2,1)</f>
        <v>78989</v>
      </c>
      <c r="B6658" t="str">
        <f ca="1">TEXT(DATE(YEAR(Invoer!$A$5),1,1)+INT((ROWS(B$2:B6658)-1)/24),"""18""jjmmdd")</f>
        <v>18981005</v>
      </c>
      <c r="C6658" s="11" t="str">
        <f>INDEX(Data,2,2+MOD(ROWS(C$2:C6658)-1,24))</f>
        <v>09.00</v>
      </c>
      <c r="D6658" s="8">
        <f t="shared" ref="D6658:D6721" ca="1" si="314">IF(OR(ISBLANK(VLOOKUP(DATEVALUE("37"&amp;MID($B6658,3,2)&amp;"-"&amp;MID($B6658,5,2)&amp;"-"&amp;RIGHT($B6658,2)),Data,MATCH(LEFT(VLOOKUP(D$1,Parameters,2,FALSE()),4)&amp;"*",OFFSET(Data,0,0,1),0)+MATCH($C6658,OFFSET(Data,1,0,1),0)-2,FALSE())),ISTEXT(VLOOKUP(DATEVALUE("37"&amp;MID($B6658,3,2)&amp;"-"&amp;MID($B6658,5,2)&amp;"-"&amp;RIGHT($B6658,2)),Data,MATCH(LEFT(VLOOKUP(D$1,Parameters,2,FALSE()),4)&amp;"*",OFFSET(Data,0,0,1),0)+MATCH($C6658,OFFSET(Data,1,0,1),0)-2,FALSE()))),"—",VLOOKUP(DATEVALUE("37"&amp;MID($B6658,3,2)&amp;"-"&amp;MID($B6658,5,2)&amp;"-"&amp;RIGHT($B6658,2)),Data,MATCH(LEFT(VLOOKUP(D$1,Parameters,2,FALSE()),4)&amp;"*",OFFSET(Data,0,0,1),0)+MATCH($C6658,OFFSET(Data,1,0,1),0)-2,FALSE()))</f>
        <v>13</v>
      </c>
      <c r="E6658" s="16">
        <f t="shared" ca="1" si="312"/>
        <v>0</v>
      </c>
    </row>
    <row r="6659" spans="1:5" x14ac:dyDescent="0.25">
      <c r="A6659" s="3">
        <f t="shared" si="313"/>
        <v>78989</v>
      </c>
      <c r="B6659" t="str">
        <f ca="1">TEXT(DATE(YEAR(Invoer!$A$5),1,1)+INT((ROWS(B$2:B6659)-1)/24),"""18""jjmmdd")</f>
        <v>18981005</v>
      </c>
      <c r="C6659" s="11" t="str">
        <f>INDEX(Data,2,2+MOD(ROWS(C$2:C6659)-1,24))</f>
        <v>10.00</v>
      </c>
      <c r="D6659" s="8">
        <f t="shared" ca="1" si="314"/>
        <v>13</v>
      </c>
      <c r="E6659" s="16">
        <f t="shared" ref="E6659:E6722" ca="1" si="315">IF(OR(ISBLANK(VLOOKUP(DATEVALUE("37"&amp;MID($B6659,3,2)&amp;"-"&amp;MID($B6659,5,2)&amp;"-"&amp;RIGHT($B6659,2)),Data,MATCH(LEFT(VLOOKUP(D$1,Parameters,2,FALSE()),4)&amp;"*",OFFSET(Data,0,0,1),0)+MATCH($C6659,OFFSET(Data,1,0,1),0)-2,FALSE())),ISTEXT(VLOOKUP(DATEVALUE("37"&amp;MID($B6659,3,2)&amp;"-"&amp;MID($B6659,5,2)&amp;"-"&amp;RIGHT($B6659,2)),Data,MATCH(LEFT(VLOOKUP(D$1,Parameters,2,FALSE()),4)&amp;"*",OFFSET(Data,0,0,1),0)+MATCH($C6659,OFFSET(Data,1,0,1),0)-2,FALSE()))),Lacking,IF(ISNA(MATCH(DATEVALUE("37"&amp;MID($B6659,3,2)&amp;"-"&amp;MID($B6659,5,2)&amp;"-"&amp;RIGHT($B6659,2)),OFFSET(Catalogus,0,0,,1),0)),Ok,VLOOKUP(DATEVALUE("37"&amp;MID($B6659,3,2)&amp;"-"&amp;MID($B6659,5,2)&amp;"-"&amp;RIGHT($B6659,2)),Catalogus,MATCH(LEFT(VLOOKUP(MID(E$1,2,LEN(E$1)-1),Parameters,2,FALSE()),4)&amp;"*",OFFSET(Catalogus,0,0,1),0)+MATCH($C6659,OFFSET(Catalogus,1,0,1),0)-2,FALSE())))</f>
        <v>0</v>
      </c>
    </row>
    <row r="6660" spans="1:5" x14ac:dyDescent="0.25">
      <c r="A6660" s="3">
        <f t="shared" si="313"/>
        <v>78989</v>
      </c>
      <c r="B6660" t="str">
        <f ca="1">TEXT(DATE(YEAR(Invoer!$A$5),1,1)+INT((ROWS(B$2:B6660)-1)/24),"""18""jjmmdd")</f>
        <v>18981005</v>
      </c>
      <c r="C6660" s="11" t="str">
        <f>INDEX(Data,2,2+MOD(ROWS(C$2:C6660)-1,24))</f>
        <v>11.00</v>
      </c>
      <c r="D6660" s="8">
        <f t="shared" ca="1" si="314"/>
        <v>13</v>
      </c>
      <c r="E6660" s="16">
        <f t="shared" ca="1" si="315"/>
        <v>0</v>
      </c>
    </row>
    <row r="6661" spans="1:5" x14ac:dyDescent="0.25">
      <c r="A6661" s="3">
        <f t="shared" si="313"/>
        <v>78989</v>
      </c>
      <c r="B6661" t="str">
        <f ca="1">TEXT(DATE(YEAR(Invoer!$A$5),1,1)+INT((ROWS(B$2:B6661)-1)/24),"""18""jjmmdd")</f>
        <v>18981005</v>
      </c>
      <c r="C6661" s="11" t="str">
        <f>INDEX(Data,2,2+MOD(ROWS(C$2:C6661)-1,24))</f>
        <v>12.00</v>
      </c>
      <c r="D6661" s="8">
        <f t="shared" ca="1" si="314"/>
        <v>10</v>
      </c>
      <c r="E6661" s="16">
        <f t="shared" ca="1" si="315"/>
        <v>0</v>
      </c>
    </row>
    <row r="6662" spans="1:5" x14ac:dyDescent="0.25">
      <c r="A6662" s="3">
        <f t="shared" si="313"/>
        <v>78989</v>
      </c>
      <c r="B6662" t="str">
        <f ca="1">TEXT(DATE(YEAR(Invoer!$A$5),1,1)+INT((ROWS(B$2:B6662)-1)/24),"""18""jjmmdd")</f>
        <v>18981005</v>
      </c>
      <c r="C6662" s="11" t="str">
        <f>INDEX(Data,2,2+MOD(ROWS(C$2:C6662)-1,24))</f>
        <v>13.00</v>
      </c>
      <c r="D6662" s="8">
        <f t="shared" ca="1" si="314"/>
        <v>8</v>
      </c>
      <c r="E6662" s="16">
        <f t="shared" ca="1" si="315"/>
        <v>0</v>
      </c>
    </row>
    <row r="6663" spans="1:5" x14ac:dyDescent="0.25">
      <c r="A6663" s="3">
        <f t="shared" si="313"/>
        <v>78989</v>
      </c>
      <c r="B6663" t="str">
        <f ca="1">TEXT(DATE(YEAR(Invoer!$A$5),1,1)+INT((ROWS(B$2:B6663)-1)/24),"""18""jjmmdd")</f>
        <v>18981005</v>
      </c>
      <c r="C6663" s="11" t="str">
        <f>INDEX(Data,2,2+MOD(ROWS(C$2:C6663)-1,24))</f>
        <v>14.00</v>
      </c>
      <c r="D6663" s="8">
        <f t="shared" ca="1" si="314"/>
        <v>8</v>
      </c>
      <c r="E6663" s="16">
        <f t="shared" ca="1" si="315"/>
        <v>0</v>
      </c>
    </row>
    <row r="6664" spans="1:5" x14ac:dyDescent="0.25">
      <c r="A6664" s="3">
        <f t="shared" si="313"/>
        <v>78989</v>
      </c>
      <c r="B6664" t="str">
        <f ca="1">TEXT(DATE(YEAR(Invoer!$A$5),1,1)+INT((ROWS(B$2:B6664)-1)/24),"""18""jjmmdd")</f>
        <v>18981005</v>
      </c>
      <c r="C6664" s="11" t="str">
        <f>INDEX(Data,2,2+MOD(ROWS(C$2:C6664)-1,24))</f>
        <v>15.00</v>
      </c>
      <c r="D6664" s="8">
        <f t="shared" ca="1" si="314"/>
        <v>6</v>
      </c>
      <c r="E6664" s="16">
        <f t="shared" ca="1" si="315"/>
        <v>0</v>
      </c>
    </row>
    <row r="6665" spans="1:5" x14ac:dyDescent="0.25">
      <c r="A6665" s="3">
        <f t="shared" si="313"/>
        <v>78989</v>
      </c>
      <c r="B6665" t="str">
        <f ca="1">TEXT(DATE(YEAR(Invoer!$A$5),1,1)+INT((ROWS(B$2:B6665)-1)/24),"""18""jjmmdd")</f>
        <v>18981005</v>
      </c>
      <c r="C6665" s="11" t="str">
        <f>INDEX(Data,2,2+MOD(ROWS(C$2:C6665)-1,24))</f>
        <v>16.00</v>
      </c>
      <c r="D6665" s="8">
        <f t="shared" ca="1" si="314"/>
        <v>6</v>
      </c>
      <c r="E6665" s="16">
        <f t="shared" ca="1" si="315"/>
        <v>0</v>
      </c>
    </row>
    <row r="6666" spans="1:5" x14ac:dyDescent="0.25">
      <c r="A6666" s="3">
        <f t="shared" si="313"/>
        <v>78989</v>
      </c>
      <c r="B6666" t="str">
        <f ca="1">TEXT(DATE(YEAR(Invoer!$A$5),1,1)+INT((ROWS(B$2:B6666)-1)/24),"""18""jjmmdd")</f>
        <v>18981005</v>
      </c>
      <c r="C6666" s="11" t="str">
        <f>INDEX(Data,2,2+MOD(ROWS(C$2:C6666)-1,24))</f>
        <v>17.00</v>
      </c>
      <c r="D6666" s="8">
        <f t="shared" ca="1" si="314"/>
        <v>3</v>
      </c>
      <c r="E6666" s="16">
        <f t="shared" ca="1" si="315"/>
        <v>0</v>
      </c>
    </row>
    <row r="6667" spans="1:5" x14ac:dyDescent="0.25">
      <c r="A6667" s="3">
        <f t="shared" si="313"/>
        <v>78989</v>
      </c>
      <c r="B6667" t="str">
        <f ca="1">TEXT(DATE(YEAR(Invoer!$A$5),1,1)+INT((ROWS(B$2:B6667)-1)/24),"""18""jjmmdd")</f>
        <v>18981005</v>
      </c>
      <c r="C6667" s="11" t="str">
        <f>INDEX(Data,2,2+MOD(ROWS(C$2:C6667)-1,24))</f>
        <v>18.00</v>
      </c>
      <c r="D6667" s="8">
        <f t="shared" ca="1" si="314"/>
        <v>2</v>
      </c>
      <c r="E6667" s="16">
        <f t="shared" ca="1" si="315"/>
        <v>0</v>
      </c>
    </row>
    <row r="6668" spans="1:5" x14ac:dyDescent="0.25">
      <c r="A6668" s="3">
        <f t="shared" si="313"/>
        <v>78989</v>
      </c>
      <c r="B6668" t="str">
        <f ca="1">TEXT(DATE(YEAR(Invoer!$A$5),1,1)+INT((ROWS(B$2:B6668)-1)/24),"""18""jjmmdd")</f>
        <v>18981005</v>
      </c>
      <c r="C6668" s="11" t="str">
        <f>INDEX(Data,2,2+MOD(ROWS(C$2:C6668)-1,24))</f>
        <v>19.00</v>
      </c>
      <c r="D6668" s="8">
        <f t="shared" ca="1" si="314"/>
        <v>2</v>
      </c>
      <c r="E6668" s="16">
        <f t="shared" ca="1" si="315"/>
        <v>0</v>
      </c>
    </row>
    <row r="6669" spans="1:5" x14ac:dyDescent="0.25">
      <c r="A6669" s="3">
        <f t="shared" si="313"/>
        <v>78989</v>
      </c>
      <c r="B6669" t="str">
        <f ca="1">TEXT(DATE(YEAR(Invoer!$A$5),1,1)+INT((ROWS(B$2:B6669)-1)/24),"""18""jjmmdd")</f>
        <v>18981005</v>
      </c>
      <c r="C6669" s="11" t="str">
        <f>INDEX(Data,2,2+MOD(ROWS(C$2:C6669)-1,24))</f>
        <v>20.00</v>
      </c>
      <c r="D6669" s="8">
        <f t="shared" ca="1" si="314"/>
        <v>2</v>
      </c>
      <c r="E6669" s="16">
        <f t="shared" ca="1" si="315"/>
        <v>0</v>
      </c>
    </row>
    <row r="6670" spans="1:5" x14ac:dyDescent="0.25">
      <c r="A6670" s="3">
        <f t="shared" si="313"/>
        <v>78989</v>
      </c>
      <c r="B6670" t="str">
        <f ca="1">TEXT(DATE(YEAR(Invoer!$A$5),1,1)+INT((ROWS(B$2:B6670)-1)/24),"""18""jjmmdd")</f>
        <v>18981005</v>
      </c>
      <c r="C6670" s="11" t="str">
        <f>INDEX(Data,2,2+MOD(ROWS(C$2:C6670)-1,24))</f>
        <v>21.00</v>
      </c>
      <c r="D6670" s="8">
        <f t="shared" ca="1" si="314"/>
        <v>2</v>
      </c>
      <c r="E6670" s="16">
        <f t="shared" ca="1" si="315"/>
        <v>0</v>
      </c>
    </row>
    <row r="6671" spans="1:5" x14ac:dyDescent="0.25">
      <c r="A6671" s="3">
        <f t="shared" si="313"/>
        <v>78989</v>
      </c>
      <c r="B6671" t="str">
        <f ca="1">TEXT(DATE(YEAR(Invoer!$A$5),1,1)+INT((ROWS(B$2:B6671)-1)/24),"""18""jjmmdd")</f>
        <v>18981005</v>
      </c>
      <c r="C6671" s="11" t="str">
        <f>INDEX(Data,2,2+MOD(ROWS(C$2:C6671)-1,24))</f>
        <v>22.00</v>
      </c>
      <c r="D6671" s="8">
        <f t="shared" ca="1" si="314"/>
        <v>1</v>
      </c>
      <c r="E6671" s="16">
        <f t="shared" ca="1" si="315"/>
        <v>0</v>
      </c>
    </row>
    <row r="6672" spans="1:5" x14ac:dyDescent="0.25">
      <c r="A6672" s="3">
        <f t="shared" si="313"/>
        <v>78989</v>
      </c>
      <c r="B6672" t="str">
        <f ca="1">TEXT(DATE(YEAR(Invoer!$A$5),1,1)+INT((ROWS(B$2:B6672)-1)/24),"""18""jjmmdd")</f>
        <v>18981005</v>
      </c>
      <c r="C6672" s="11" t="str">
        <f>INDEX(Data,2,2+MOD(ROWS(C$2:C6672)-1,24))</f>
        <v>23.00</v>
      </c>
      <c r="D6672" s="8">
        <f t="shared" ca="1" si="314"/>
        <v>2</v>
      </c>
      <c r="E6672" s="16">
        <f t="shared" ca="1" si="315"/>
        <v>0</v>
      </c>
    </row>
    <row r="6673" spans="1:5" x14ac:dyDescent="0.25">
      <c r="A6673" s="3">
        <f t="shared" si="313"/>
        <v>78989</v>
      </c>
      <c r="B6673" t="str">
        <f ca="1">TEXT(DATE(YEAR(Invoer!$A$5),1,1)+INT((ROWS(B$2:B6673)-1)/24),"""18""jjmmdd")</f>
        <v>18981005</v>
      </c>
      <c r="C6673" s="11" t="str">
        <f>INDEX(Data,2,2+MOD(ROWS(C$2:C6673)-1,24))</f>
        <v>24.00</v>
      </c>
      <c r="D6673" s="8">
        <f t="shared" ca="1" si="314"/>
        <v>1</v>
      </c>
      <c r="E6673" s="16">
        <f t="shared" ca="1" si="315"/>
        <v>0</v>
      </c>
    </row>
    <row r="6674" spans="1:5" x14ac:dyDescent="0.25">
      <c r="A6674" s="3">
        <f t="shared" si="313"/>
        <v>78989</v>
      </c>
      <c r="B6674" t="str">
        <f ca="1">TEXT(DATE(YEAR(Invoer!$A$5),1,1)+INT((ROWS(B$2:B6674)-1)/24),"""18""jjmmdd")</f>
        <v>18981006</v>
      </c>
      <c r="C6674" s="11" t="str">
        <f>INDEX(Data,2,2+MOD(ROWS(C$2:C6674)-1,24))</f>
        <v>01.00</v>
      </c>
      <c r="D6674" s="8">
        <f t="shared" ca="1" si="314"/>
        <v>2</v>
      </c>
      <c r="E6674" s="16">
        <f t="shared" ca="1" si="315"/>
        <v>0</v>
      </c>
    </row>
    <row r="6675" spans="1:5" x14ac:dyDescent="0.25">
      <c r="A6675" s="3">
        <f t="shared" si="313"/>
        <v>78989</v>
      </c>
      <c r="B6675" t="str">
        <f ca="1">TEXT(DATE(YEAR(Invoer!$A$5),1,1)+INT((ROWS(B$2:B6675)-1)/24),"""18""jjmmdd")</f>
        <v>18981006</v>
      </c>
      <c r="C6675" s="11" t="str">
        <f>INDEX(Data,2,2+MOD(ROWS(C$2:C6675)-1,24))</f>
        <v>02.00</v>
      </c>
      <c r="D6675" s="8">
        <f t="shared" ca="1" si="314"/>
        <v>1</v>
      </c>
      <c r="E6675" s="16">
        <f t="shared" ca="1" si="315"/>
        <v>0</v>
      </c>
    </row>
    <row r="6676" spans="1:5" x14ac:dyDescent="0.25">
      <c r="A6676" s="3">
        <f t="shared" si="313"/>
        <v>78989</v>
      </c>
      <c r="B6676" t="str">
        <f ca="1">TEXT(DATE(YEAR(Invoer!$A$5),1,1)+INT((ROWS(B$2:B6676)-1)/24),"""18""jjmmdd")</f>
        <v>18981006</v>
      </c>
      <c r="C6676" s="11" t="str">
        <f>INDEX(Data,2,2+MOD(ROWS(C$2:C6676)-1,24))</f>
        <v>03.00</v>
      </c>
      <c r="D6676" s="8">
        <f t="shared" ca="1" si="314"/>
        <v>2</v>
      </c>
      <c r="E6676" s="16">
        <f t="shared" ca="1" si="315"/>
        <v>0</v>
      </c>
    </row>
    <row r="6677" spans="1:5" x14ac:dyDescent="0.25">
      <c r="A6677" s="3">
        <f t="shared" si="313"/>
        <v>78989</v>
      </c>
      <c r="B6677" t="str">
        <f ca="1">TEXT(DATE(YEAR(Invoer!$A$5),1,1)+INT((ROWS(B$2:B6677)-1)/24),"""18""jjmmdd")</f>
        <v>18981006</v>
      </c>
      <c r="C6677" s="11" t="str">
        <f>INDEX(Data,2,2+MOD(ROWS(C$2:C6677)-1,24))</f>
        <v>04.00</v>
      </c>
      <c r="D6677" s="8">
        <f t="shared" ca="1" si="314"/>
        <v>2</v>
      </c>
      <c r="E6677" s="16">
        <f t="shared" ca="1" si="315"/>
        <v>0</v>
      </c>
    </row>
    <row r="6678" spans="1:5" x14ac:dyDescent="0.25">
      <c r="A6678" s="3">
        <f t="shared" si="313"/>
        <v>78989</v>
      </c>
      <c r="B6678" t="str">
        <f ca="1">TEXT(DATE(YEAR(Invoer!$A$5),1,1)+INT((ROWS(B$2:B6678)-1)/24),"""18""jjmmdd")</f>
        <v>18981006</v>
      </c>
      <c r="C6678" s="11" t="str">
        <f>INDEX(Data,2,2+MOD(ROWS(C$2:C6678)-1,24))</f>
        <v>05.00</v>
      </c>
      <c r="D6678" s="8">
        <f t="shared" ca="1" si="314"/>
        <v>1</v>
      </c>
      <c r="E6678" s="16">
        <f t="shared" ca="1" si="315"/>
        <v>0</v>
      </c>
    </row>
    <row r="6679" spans="1:5" x14ac:dyDescent="0.25">
      <c r="A6679" s="3">
        <f t="shared" si="313"/>
        <v>78989</v>
      </c>
      <c r="B6679" t="str">
        <f ca="1">TEXT(DATE(YEAR(Invoer!$A$5),1,1)+INT((ROWS(B$2:B6679)-1)/24),"""18""jjmmdd")</f>
        <v>18981006</v>
      </c>
      <c r="C6679" s="11" t="str">
        <f>INDEX(Data,2,2+MOD(ROWS(C$2:C6679)-1,24))</f>
        <v>06.00</v>
      </c>
      <c r="D6679" s="8">
        <f t="shared" ca="1" si="314"/>
        <v>2</v>
      </c>
      <c r="E6679" s="16">
        <f t="shared" ca="1" si="315"/>
        <v>0</v>
      </c>
    </row>
    <row r="6680" spans="1:5" x14ac:dyDescent="0.25">
      <c r="A6680" s="3">
        <f t="shared" si="313"/>
        <v>78989</v>
      </c>
      <c r="B6680" t="str">
        <f ca="1">TEXT(DATE(YEAR(Invoer!$A$5),1,1)+INT((ROWS(B$2:B6680)-1)/24),"""18""jjmmdd")</f>
        <v>18981006</v>
      </c>
      <c r="C6680" s="11" t="str">
        <f>INDEX(Data,2,2+MOD(ROWS(C$2:C6680)-1,24))</f>
        <v>07.00</v>
      </c>
      <c r="D6680" s="8">
        <f t="shared" ca="1" si="314"/>
        <v>1</v>
      </c>
      <c r="E6680" s="16">
        <f t="shared" ca="1" si="315"/>
        <v>0</v>
      </c>
    </row>
    <row r="6681" spans="1:5" x14ac:dyDescent="0.25">
      <c r="A6681" s="3">
        <f t="shared" si="313"/>
        <v>78989</v>
      </c>
      <c r="B6681" t="str">
        <f ca="1">TEXT(DATE(YEAR(Invoer!$A$5),1,1)+INT((ROWS(B$2:B6681)-1)/24),"""18""jjmmdd")</f>
        <v>18981006</v>
      </c>
      <c r="C6681" s="11" t="str">
        <f>INDEX(Data,2,2+MOD(ROWS(C$2:C6681)-1,24))</f>
        <v>08.00</v>
      </c>
      <c r="D6681" s="8">
        <f t="shared" ca="1" si="314"/>
        <v>3</v>
      </c>
      <c r="E6681" s="16">
        <f t="shared" ca="1" si="315"/>
        <v>0</v>
      </c>
    </row>
    <row r="6682" spans="1:5" x14ac:dyDescent="0.25">
      <c r="A6682" s="3">
        <f t="shared" si="313"/>
        <v>78989</v>
      </c>
      <c r="B6682" t="str">
        <f ca="1">TEXT(DATE(YEAR(Invoer!$A$5),1,1)+INT((ROWS(B$2:B6682)-1)/24),"""18""jjmmdd")</f>
        <v>18981006</v>
      </c>
      <c r="C6682" s="11" t="str">
        <f>INDEX(Data,2,2+MOD(ROWS(C$2:C6682)-1,24))</f>
        <v>09.00</v>
      </c>
      <c r="D6682" s="8">
        <f t="shared" ca="1" si="314"/>
        <v>6</v>
      </c>
      <c r="E6682" s="16">
        <f t="shared" ca="1" si="315"/>
        <v>0</v>
      </c>
    </row>
    <row r="6683" spans="1:5" x14ac:dyDescent="0.25">
      <c r="A6683" s="3">
        <f t="shared" si="313"/>
        <v>78989</v>
      </c>
      <c r="B6683" t="str">
        <f ca="1">TEXT(DATE(YEAR(Invoer!$A$5),1,1)+INT((ROWS(B$2:B6683)-1)/24),"""18""jjmmdd")</f>
        <v>18981006</v>
      </c>
      <c r="C6683" s="11" t="str">
        <f>INDEX(Data,2,2+MOD(ROWS(C$2:C6683)-1,24))</f>
        <v>10.00</v>
      </c>
      <c r="D6683" s="8">
        <f t="shared" ca="1" si="314"/>
        <v>10</v>
      </c>
      <c r="E6683" s="16">
        <f t="shared" ca="1" si="315"/>
        <v>0</v>
      </c>
    </row>
    <row r="6684" spans="1:5" x14ac:dyDescent="0.25">
      <c r="A6684" s="3">
        <f t="shared" si="313"/>
        <v>78989</v>
      </c>
      <c r="B6684" t="str">
        <f ca="1">TEXT(DATE(YEAR(Invoer!$A$5),1,1)+INT((ROWS(B$2:B6684)-1)/24),"""18""jjmmdd")</f>
        <v>18981006</v>
      </c>
      <c r="C6684" s="11" t="str">
        <f>INDEX(Data,2,2+MOD(ROWS(C$2:C6684)-1,24))</f>
        <v>11.00</v>
      </c>
      <c r="D6684" s="8">
        <f t="shared" ca="1" si="314"/>
        <v>10</v>
      </c>
      <c r="E6684" s="16">
        <f t="shared" ca="1" si="315"/>
        <v>0</v>
      </c>
    </row>
    <row r="6685" spans="1:5" x14ac:dyDescent="0.25">
      <c r="A6685" s="3">
        <f t="shared" si="313"/>
        <v>78989</v>
      </c>
      <c r="B6685" t="str">
        <f ca="1">TEXT(DATE(YEAR(Invoer!$A$5),1,1)+INT((ROWS(B$2:B6685)-1)/24),"""18""jjmmdd")</f>
        <v>18981006</v>
      </c>
      <c r="C6685" s="11" t="str">
        <f>INDEX(Data,2,2+MOD(ROWS(C$2:C6685)-1,24))</f>
        <v>12.00</v>
      </c>
      <c r="D6685" s="8">
        <f t="shared" ca="1" si="314"/>
        <v>9</v>
      </c>
      <c r="E6685" s="16">
        <f t="shared" ca="1" si="315"/>
        <v>0</v>
      </c>
    </row>
    <row r="6686" spans="1:5" x14ac:dyDescent="0.25">
      <c r="A6686" s="3">
        <f t="shared" si="313"/>
        <v>78989</v>
      </c>
      <c r="B6686" t="str">
        <f ca="1">TEXT(DATE(YEAR(Invoer!$A$5),1,1)+INT((ROWS(B$2:B6686)-1)/24),"""18""jjmmdd")</f>
        <v>18981006</v>
      </c>
      <c r="C6686" s="11" t="str">
        <f>INDEX(Data,2,2+MOD(ROWS(C$2:C6686)-1,24))</f>
        <v>13.00</v>
      </c>
      <c r="D6686" s="8">
        <f t="shared" ca="1" si="314"/>
        <v>11</v>
      </c>
      <c r="E6686" s="16">
        <f t="shared" ca="1" si="315"/>
        <v>0</v>
      </c>
    </row>
    <row r="6687" spans="1:5" x14ac:dyDescent="0.25">
      <c r="A6687" s="3">
        <f t="shared" si="313"/>
        <v>78989</v>
      </c>
      <c r="B6687" t="str">
        <f ca="1">TEXT(DATE(YEAR(Invoer!$A$5),1,1)+INT((ROWS(B$2:B6687)-1)/24),"""18""jjmmdd")</f>
        <v>18981006</v>
      </c>
      <c r="C6687" s="11" t="str">
        <f>INDEX(Data,2,2+MOD(ROWS(C$2:C6687)-1,24))</f>
        <v>14.00</v>
      </c>
      <c r="D6687" s="8">
        <f t="shared" ca="1" si="314"/>
        <v>12</v>
      </c>
      <c r="E6687" s="16">
        <f t="shared" ca="1" si="315"/>
        <v>0</v>
      </c>
    </row>
    <row r="6688" spans="1:5" x14ac:dyDescent="0.25">
      <c r="A6688" s="3">
        <f t="shared" si="313"/>
        <v>78989</v>
      </c>
      <c r="B6688" t="str">
        <f ca="1">TEXT(DATE(YEAR(Invoer!$A$5),1,1)+INT((ROWS(B$2:B6688)-1)/24),"""18""jjmmdd")</f>
        <v>18981006</v>
      </c>
      <c r="C6688" s="11" t="str">
        <f>INDEX(Data,2,2+MOD(ROWS(C$2:C6688)-1,24))</f>
        <v>15.00</v>
      </c>
      <c r="D6688" s="8">
        <f t="shared" ca="1" si="314"/>
        <v>13</v>
      </c>
      <c r="E6688" s="16">
        <f t="shared" ca="1" si="315"/>
        <v>0</v>
      </c>
    </row>
    <row r="6689" spans="1:5" x14ac:dyDescent="0.25">
      <c r="A6689" s="3">
        <f t="shared" si="313"/>
        <v>78989</v>
      </c>
      <c r="B6689" t="str">
        <f ca="1">TEXT(DATE(YEAR(Invoer!$A$5),1,1)+INT((ROWS(B$2:B6689)-1)/24),"""18""jjmmdd")</f>
        <v>18981006</v>
      </c>
      <c r="C6689" s="11" t="str">
        <f>INDEX(Data,2,2+MOD(ROWS(C$2:C6689)-1,24))</f>
        <v>16.00</v>
      </c>
      <c r="D6689" s="8">
        <f t="shared" ca="1" si="314"/>
        <v>11</v>
      </c>
      <c r="E6689" s="16">
        <f t="shared" ca="1" si="315"/>
        <v>0</v>
      </c>
    </row>
    <row r="6690" spans="1:5" x14ac:dyDescent="0.25">
      <c r="A6690" s="3">
        <f t="shared" si="313"/>
        <v>78989</v>
      </c>
      <c r="B6690" t="str">
        <f ca="1">TEXT(DATE(YEAR(Invoer!$A$5),1,1)+INT((ROWS(B$2:B6690)-1)/24),"""18""jjmmdd")</f>
        <v>18981006</v>
      </c>
      <c r="C6690" s="11" t="str">
        <f>INDEX(Data,2,2+MOD(ROWS(C$2:C6690)-1,24))</f>
        <v>17.00</v>
      </c>
      <c r="D6690" s="8">
        <f t="shared" ca="1" si="314"/>
        <v>13</v>
      </c>
      <c r="E6690" s="16">
        <f t="shared" ca="1" si="315"/>
        <v>0</v>
      </c>
    </row>
    <row r="6691" spans="1:5" x14ac:dyDescent="0.25">
      <c r="A6691" s="3">
        <f t="shared" si="313"/>
        <v>78989</v>
      </c>
      <c r="B6691" t="str">
        <f ca="1">TEXT(DATE(YEAR(Invoer!$A$5),1,1)+INT((ROWS(B$2:B6691)-1)/24),"""18""jjmmdd")</f>
        <v>18981006</v>
      </c>
      <c r="C6691" s="11" t="str">
        <f>INDEX(Data,2,2+MOD(ROWS(C$2:C6691)-1,24))</f>
        <v>18.00</v>
      </c>
      <c r="D6691" s="8">
        <f t="shared" ca="1" si="314"/>
        <v>10</v>
      </c>
      <c r="E6691" s="16">
        <f t="shared" ca="1" si="315"/>
        <v>0</v>
      </c>
    </row>
    <row r="6692" spans="1:5" x14ac:dyDescent="0.25">
      <c r="A6692" s="3">
        <f t="shared" si="313"/>
        <v>78989</v>
      </c>
      <c r="B6692" t="str">
        <f ca="1">TEXT(DATE(YEAR(Invoer!$A$5),1,1)+INT((ROWS(B$2:B6692)-1)/24),"""18""jjmmdd")</f>
        <v>18981006</v>
      </c>
      <c r="C6692" s="11" t="str">
        <f>INDEX(Data,2,2+MOD(ROWS(C$2:C6692)-1,24))</f>
        <v>19.00</v>
      </c>
      <c r="D6692" s="8">
        <f t="shared" ca="1" si="314"/>
        <v>10</v>
      </c>
      <c r="E6692" s="16">
        <f t="shared" ca="1" si="315"/>
        <v>0</v>
      </c>
    </row>
    <row r="6693" spans="1:5" x14ac:dyDescent="0.25">
      <c r="A6693" s="3">
        <f t="shared" si="313"/>
        <v>78989</v>
      </c>
      <c r="B6693" t="str">
        <f ca="1">TEXT(DATE(YEAR(Invoer!$A$5),1,1)+INT((ROWS(B$2:B6693)-1)/24),"""18""jjmmdd")</f>
        <v>18981006</v>
      </c>
      <c r="C6693" s="11" t="str">
        <f>INDEX(Data,2,2+MOD(ROWS(C$2:C6693)-1,24))</f>
        <v>20.00</v>
      </c>
      <c r="D6693" s="8">
        <f t="shared" ca="1" si="314"/>
        <v>12</v>
      </c>
      <c r="E6693" s="16">
        <f t="shared" ca="1" si="315"/>
        <v>0</v>
      </c>
    </row>
    <row r="6694" spans="1:5" x14ac:dyDescent="0.25">
      <c r="A6694" s="3">
        <f t="shared" si="313"/>
        <v>78989</v>
      </c>
      <c r="B6694" t="str">
        <f ca="1">TEXT(DATE(YEAR(Invoer!$A$5),1,1)+INT((ROWS(B$2:B6694)-1)/24),"""18""jjmmdd")</f>
        <v>18981006</v>
      </c>
      <c r="C6694" s="11" t="str">
        <f>INDEX(Data,2,2+MOD(ROWS(C$2:C6694)-1,24))</f>
        <v>21.00</v>
      </c>
      <c r="D6694" s="8">
        <f t="shared" ca="1" si="314"/>
        <v>11</v>
      </c>
      <c r="E6694" s="16">
        <f t="shared" ca="1" si="315"/>
        <v>0</v>
      </c>
    </row>
    <row r="6695" spans="1:5" x14ac:dyDescent="0.25">
      <c r="A6695" s="3">
        <f t="shared" si="313"/>
        <v>78989</v>
      </c>
      <c r="B6695" t="str">
        <f ca="1">TEXT(DATE(YEAR(Invoer!$A$5),1,1)+INT((ROWS(B$2:B6695)-1)/24),"""18""jjmmdd")</f>
        <v>18981006</v>
      </c>
      <c r="C6695" s="11" t="str">
        <f>INDEX(Data,2,2+MOD(ROWS(C$2:C6695)-1,24))</f>
        <v>22.00</v>
      </c>
      <c r="D6695" s="8">
        <f t="shared" ca="1" si="314"/>
        <v>11</v>
      </c>
      <c r="E6695" s="16">
        <f t="shared" ca="1" si="315"/>
        <v>0</v>
      </c>
    </row>
    <row r="6696" spans="1:5" x14ac:dyDescent="0.25">
      <c r="A6696" s="3">
        <f t="shared" si="313"/>
        <v>78989</v>
      </c>
      <c r="B6696" t="str">
        <f ca="1">TEXT(DATE(YEAR(Invoer!$A$5),1,1)+INT((ROWS(B$2:B6696)-1)/24),"""18""jjmmdd")</f>
        <v>18981006</v>
      </c>
      <c r="C6696" s="11" t="str">
        <f>INDEX(Data,2,2+MOD(ROWS(C$2:C6696)-1,24))</f>
        <v>23.00</v>
      </c>
      <c r="D6696" s="8">
        <f t="shared" ca="1" si="314"/>
        <v>13</v>
      </c>
      <c r="E6696" s="16">
        <f t="shared" ca="1" si="315"/>
        <v>0</v>
      </c>
    </row>
    <row r="6697" spans="1:5" x14ac:dyDescent="0.25">
      <c r="A6697" s="3">
        <f t="shared" si="313"/>
        <v>78989</v>
      </c>
      <c r="B6697" t="str">
        <f ca="1">TEXT(DATE(YEAR(Invoer!$A$5),1,1)+INT((ROWS(B$2:B6697)-1)/24),"""18""jjmmdd")</f>
        <v>18981006</v>
      </c>
      <c r="C6697" s="11" t="str">
        <f>INDEX(Data,2,2+MOD(ROWS(C$2:C6697)-1,24))</f>
        <v>24.00</v>
      </c>
      <c r="D6697" s="8">
        <f t="shared" ca="1" si="314"/>
        <v>13</v>
      </c>
      <c r="E6697" s="16">
        <f t="shared" ca="1" si="315"/>
        <v>0</v>
      </c>
    </row>
    <row r="6698" spans="1:5" x14ac:dyDescent="0.25">
      <c r="A6698" s="3">
        <f t="shared" si="313"/>
        <v>78989</v>
      </c>
      <c r="B6698" t="str">
        <f ca="1">TEXT(DATE(YEAR(Invoer!$A$5),1,1)+INT((ROWS(B$2:B6698)-1)/24),"""18""jjmmdd")</f>
        <v>18981007</v>
      </c>
      <c r="C6698" s="11" t="str">
        <f>INDEX(Data,2,2+MOD(ROWS(C$2:C6698)-1,24))</f>
        <v>01.00</v>
      </c>
      <c r="D6698" s="8">
        <f t="shared" ca="1" si="314"/>
        <v>13</v>
      </c>
      <c r="E6698" s="16">
        <f t="shared" ca="1" si="315"/>
        <v>0</v>
      </c>
    </row>
    <row r="6699" spans="1:5" x14ac:dyDescent="0.25">
      <c r="A6699" s="3">
        <f t="shared" si="313"/>
        <v>78989</v>
      </c>
      <c r="B6699" t="str">
        <f ca="1">TEXT(DATE(YEAR(Invoer!$A$5),1,1)+INT((ROWS(B$2:B6699)-1)/24),"""18""jjmmdd")</f>
        <v>18981007</v>
      </c>
      <c r="C6699" s="11" t="str">
        <f>INDEX(Data,2,2+MOD(ROWS(C$2:C6699)-1,24))</f>
        <v>02.00</v>
      </c>
      <c r="D6699" s="8">
        <f t="shared" ca="1" si="314"/>
        <v>11</v>
      </c>
      <c r="E6699" s="16">
        <f t="shared" ca="1" si="315"/>
        <v>0</v>
      </c>
    </row>
    <row r="6700" spans="1:5" x14ac:dyDescent="0.25">
      <c r="A6700" s="3">
        <f t="shared" si="313"/>
        <v>78989</v>
      </c>
      <c r="B6700" t="str">
        <f ca="1">TEXT(DATE(YEAR(Invoer!$A$5),1,1)+INT((ROWS(B$2:B6700)-1)/24),"""18""jjmmdd")</f>
        <v>18981007</v>
      </c>
      <c r="C6700" s="11" t="str">
        <f>INDEX(Data,2,2+MOD(ROWS(C$2:C6700)-1,24))</f>
        <v>03.00</v>
      </c>
      <c r="D6700" s="8">
        <f t="shared" ca="1" si="314"/>
        <v>10</v>
      </c>
      <c r="E6700" s="16">
        <f t="shared" ca="1" si="315"/>
        <v>0</v>
      </c>
    </row>
    <row r="6701" spans="1:5" x14ac:dyDescent="0.25">
      <c r="A6701" s="3">
        <f t="shared" si="313"/>
        <v>78989</v>
      </c>
      <c r="B6701" t="str">
        <f ca="1">TEXT(DATE(YEAR(Invoer!$A$5),1,1)+INT((ROWS(B$2:B6701)-1)/24),"""18""jjmmdd")</f>
        <v>18981007</v>
      </c>
      <c r="C6701" s="11" t="str">
        <f>INDEX(Data,2,2+MOD(ROWS(C$2:C6701)-1,24))</f>
        <v>04.00</v>
      </c>
      <c r="D6701" s="8">
        <f t="shared" ca="1" si="314"/>
        <v>11</v>
      </c>
      <c r="E6701" s="16">
        <f t="shared" ca="1" si="315"/>
        <v>0</v>
      </c>
    </row>
    <row r="6702" spans="1:5" x14ac:dyDescent="0.25">
      <c r="A6702" s="3">
        <f t="shared" si="313"/>
        <v>78989</v>
      </c>
      <c r="B6702" t="str">
        <f ca="1">TEXT(DATE(YEAR(Invoer!$A$5),1,1)+INT((ROWS(B$2:B6702)-1)/24),"""18""jjmmdd")</f>
        <v>18981007</v>
      </c>
      <c r="C6702" s="11" t="str">
        <f>INDEX(Data,2,2+MOD(ROWS(C$2:C6702)-1,24))</f>
        <v>05.00</v>
      </c>
      <c r="D6702" s="8">
        <f t="shared" ca="1" si="314"/>
        <v>11</v>
      </c>
      <c r="E6702" s="16">
        <f t="shared" ca="1" si="315"/>
        <v>0</v>
      </c>
    </row>
    <row r="6703" spans="1:5" x14ac:dyDescent="0.25">
      <c r="A6703" s="3">
        <f t="shared" si="313"/>
        <v>78989</v>
      </c>
      <c r="B6703" t="str">
        <f ca="1">TEXT(DATE(YEAR(Invoer!$A$5),1,1)+INT((ROWS(B$2:B6703)-1)/24),"""18""jjmmdd")</f>
        <v>18981007</v>
      </c>
      <c r="C6703" s="11" t="str">
        <f>INDEX(Data,2,2+MOD(ROWS(C$2:C6703)-1,24))</f>
        <v>06.00</v>
      </c>
      <c r="D6703" s="8">
        <f t="shared" ca="1" si="314"/>
        <v>10</v>
      </c>
      <c r="E6703" s="16">
        <f t="shared" ca="1" si="315"/>
        <v>0</v>
      </c>
    </row>
    <row r="6704" spans="1:5" x14ac:dyDescent="0.25">
      <c r="A6704" s="3">
        <f t="shared" si="313"/>
        <v>78989</v>
      </c>
      <c r="B6704" t="str">
        <f ca="1">TEXT(DATE(YEAR(Invoer!$A$5),1,1)+INT((ROWS(B$2:B6704)-1)/24),"""18""jjmmdd")</f>
        <v>18981007</v>
      </c>
      <c r="C6704" s="11" t="str">
        <f>INDEX(Data,2,2+MOD(ROWS(C$2:C6704)-1,24))</f>
        <v>07.00</v>
      </c>
      <c r="D6704" s="8">
        <f t="shared" ca="1" si="314"/>
        <v>14</v>
      </c>
      <c r="E6704" s="16">
        <f t="shared" ca="1" si="315"/>
        <v>0</v>
      </c>
    </row>
    <row r="6705" spans="1:5" x14ac:dyDescent="0.25">
      <c r="A6705" s="3">
        <f t="shared" si="313"/>
        <v>78989</v>
      </c>
      <c r="B6705" t="str">
        <f ca="1">TEXT(DATE(YEAR(Invoer!$A$5),1,1)+INT((ROWS(B$2:B6705)-1)/24),"""18""jjmmdd")</f>
        <v>18981007</v>
      </c>
      <c r="C6705" s="11" t="str">
        <f>INDEX(Data,2,2+MOD(ROWS(C$2:C6705)-1,24))</f>
        <v>08.00</v>
      </c>
      <c r="D6705" s="8">
        <f t="shared" ca="1" si="314"/>
        <v>15</v>
      </c>
      <c r="E6705" s="16">
        <f t="shared" ca="1" si="315"/>
        <v>0</v>
      </c>
    </row>
    <row r="6706" spans="1:5" x14ac:dyDescent="0.25">
      <c r="A6706" s="3">
        <f t="shared" si="313"/>
        <v>78989</v>
      </c>
      <c r="B6706" t="str">
        <f ca="1">TEXT(DATE(YEAR(Invoer!$A$5),1,1)+INT((ROWS(B$2:B6706)-1)/24),"""18""jjmmdd")</f>
        <v>18981007</v>
      </c>
      <c r="C6706" s="11" t="str">
        <f>INDEX(Data,2,2+MOD(ROWS(C$2:C6706)-1,24))</f>
        <v>09.00</v>
      </c>
      <c r="D6706" s="8">
        <f t="shared" ca="1" si="314"/>
        <v>14</v>
      </c>
      <c r="E6706" s="16">
        <f t="shared" ca="1" si="315"/>
        <v>0</v>
      </c>
    </row>
    <row r="6707" spans="1:5" x14ac:dyDescent="0.25">
      <c r="A6707" s="3">
        <f t="shared" si="313"/>
        <v>78989</v>
      </c>
      <c r="B6707" t="str">
        <f ca="1">TEXT(DATE(YEAR(Invoer!$A$5),1,1)+INT((ROWS(B$2:B6707)-1)/24),"""18""jjmmdd")</f>
        <v>18981007</v>
      </c>
      <c r="C6707" s="11" t="str">
        <f>INDEX(Data,2,2+MOD(ROWS(C$2:C6707)-1,24))</f>
        <v>10.00</v>
      </c>
      <c r="D6707" s="8">
        <f t="shared" ca="1" si="314"/>
        <v>16</v>
      </c>
      <c r="E6707" s="16">
        <f t="shared" ca="1" si="315"/>
        <v>0</v>
      </c>
    </row>
    <row r="6708" spans="1:5" x14ac:dyDescent="0.25">
      <c r="A6708" s="3">
        <f t="shared" si="313"/>
        <v>78989</v>
      </c>
      <c r="B6708" t="str">
        <f ca="1">TEXT(DATE(YEAR(Invoer!$A$5),1,1)+INT((ROWS(B$2:B6708)-1)/24),"""18""jjmmdd")</f>
        <v>18981007</v>
      </c>
      <c r="C6708" s="11" t="str">
        <f>INDEX(Data,2,2+MOD(ROWS(C$2:C6708)-1,24))</f>
        <v>11.00</v>
      </c>
      <c r="D6708" s="8">
        <f t="shared" ca="1" si="314"/>
        <v>18</v>
      </c>
      <c r="E6708" s="16">
        <f t="shared" ca="1" si="315"/>
        <v>0</v>
      </c>
    </row>
    <row r="6709" spans="1:5" x14ac:dyDescent="0.25">
      <c r="A6709" s="3">
        <f t="shared" si="313"/>
        <v>78989</v>
      </c>
      <c r="B6709" t="str">
        <f ca="1">TEXT(DATE(YEAR(Invoer!$A$5),1,1)+INT((ROWS(B$2:B6709)-1)/24),"""18""jjmmdd")</f>
        <v>18981007</v>
      </c>
      <c r="C6709" s="11" t="str">
        <f>INDEX(Data,2,2+MOD(ROWS(C$2:C6709)-1,24))</f>
        <v>12.00</v>
      </c>
      <c r="D6709" s="8">
        <f t="shared" ca="1" si="314"/>
        <v>16</v>
      </c>
      <c r="E6709" s="16">
        <f t="shared" ca="1" si="315"/>
        <v>0</v>
      </c>
    </row>
    <row r="6710" spans="1:5" x14ac:dyDescent="0.25">
      <c r="A6710" s="3">
        <f t="shared" si="313"/>
        <v>78989</v>
      </c>
      <c r="B6710" t="str">
        <f ca="1">TEXT(DATE(YEAR(Invoer!$A$5),1,1)+INT((ROWS(B$2:B6710)-1)/24),"""18""jjmmdd")</f>
        <v>18981007</v>
      </c>
      <c r="C6710" s="11" t="str">
        <f>INDEX(Data,2,2+MOD(ROWS(C$2:C6710)-1,24))</f>
        <v>13.00</v>
      </c>
      <c r="D6710" s="8">
        <f t="shared" ca="1" si="314"/>
        <v>17</v>
      </c>
      <c r="E6710" s="16">
        <f t="shared" ca="1" si="315"/>
        <v>0</v>
      </c>
    </row>
    <row r="6711" spans="1:5" x14ac:dyDescent="0.25">
      <c r="A6711" s="3">
        <f t="shared" si="313"/>
        <v>78989</v>
      </c>
      <c r="B6711" t="str">
        <f ca="1">TEXT(DATE(YEAR(Invoer!$A$5),1,1)+INT((ROWS(B$2:B6711)-1)/24),"""18""jjmmdd")</f>
        <v>18981007</v>
      </c>
      <c r="C6711" s="11" t="str">
        <f>INDEX(Data,2,2+MOD(ROWS(C$2:C6711)-1,24))</f>
        <v>14.00</v>
      </c>
      <c r="D6711" s="8">
        <f t="shared" ca="1" si="314"/>
        <v>16</v>
      </c>
      <c r="E6711" s="16">
        <f t="shared" ca="1" si="315"/>
        <v>0</v>
      </c>
    </row>
    <row r="6712" spans="1:5" x14ac:dyDescent="0.25">
      <c r="A6712" s="3">
        <f t="shared" si="313"/>
        <v>78989</v>
      </c>
      <c r="B6712" t="str">
        <f ca="1">TEXT(DATE(YEAR(Invoer!$A$5),1,1)+INT((ROWS(B$2:B6712)-1)/24),"""18""jjmmdd")</f>
        <v>18981007</v>
      </c>
      <c r="C6712" s="11" t="str">
        <f>INDEX(Data,2,2+MOD(ROWS(C$2:C6712)-1,24))</f>
        <v>15.00</v>
      </c>
      <c r="D6712" s="8">
        <f t="shared" ca="1" si="314"/>
        <v>15</v>
      </c>
      <c r="E6712" s="16">
        <f t="shared" ca="1" si="315"/>
        <v>0</v>
      </c>
    </row>
    <row r="6713" spans="1:5" x14ac:dyDescent="0.25">
      <c r="A6713" s="3">
        <f t="shared" si="313"/>
        <v>78989</v>
      </c>
      <c r="B6713" t="str">
        <f ca="1">TEXT(DATE(YEAR(Invoer!$A$5),1,1)+INT((ROWS(B$2:B6713)-1)/24),"""18""jjmmdd")</f>
        <v>18981007</v>
      </c>
      <c r="C6713" s="11" t="str">
        <f>INDEX(Data,2,2+MOD(ROWS(C$2:C6713)-1,24))</f>
        <v>16.00</v>
      </c>
      <c r="D6713" s="8">
        <f t="shared" ca="1" si="314"/>
        <v>14</v>
      </c>
      <c r="E6713" s="16">
        <f t="shared" ca="1" si="315"/>
        <v>0</v>
      </c>
    </row>
    <row r="6714" spans="1:5" x14ac:dyDescent="0.25">
      <c r="A6714" s="3">
        <f t="shared" si="313"/>
        <v>78989</v>
      </c>
      <c r="B6714" t="str">
        <f ca="1">TEXT(DATE(YEAR(Invoer!$A$5),1,1)+INT((ROWS(B$2:B6714)-1)/24),"""18""jjmmdd")</f>
        <v>18981007</v>
      </c>
      <c r="C6714" s="11" t="str">
        <f>INDEX(Data,2,2+MOD(ROWS(C$2:C6714)-1,24))</f>
        <v>17.00</v>
      </c>
      <c r="D6714" s="8">
        <f t="shared" ca="1" si="314"/>
        <v>15</v>
      </c>
      <c r="E6714" s="16">
        <f t="shared" ca="1" si="315"/>
        <v>0</v>
      </c>
    </row>
    <row r="6715" spans="1:5" x14ac:dyDescent="0.25">
      <c r="A6715" s="3">
        <f t="shared" si="313"/>
        <v>78989</v>
      </c>
      <c r="B6715" t="str">
        <f ca="1">TEXT(DATE(YEAR(Invoer!$A$5),1,1)+INT((ROWS(B$2:B6715)-1)/24),"""18""jjmmdd")</f>
        <v>18981007</v>
      </c>
      <c r="C6715" s="11" t="str">
        <f>INDEX(Data,2,2+MOD(ROWS(C$2:C6715)-1,24))</f>
        <v>18.00</v>
      </c>
      <c r="D6715" s="8">
        <f t="shared" ca="1" si="314"/>
        <v>15</v>
      </c>
      <c r="E6715" s="16">
        <f t="shared" ca="1" si="315"/>
        <v>0</v>
      </c>
    </row>
    <row r="6716" spans="1:5" x14ac:dyDescent="0.25">
      <c r="A6716" s="3">
        <f t="shared" si="313"/>
        <v>78989</v>
      </c>
      <c r="B6716" t="str">
        <f ca="1">TEXT(DATE(YEAR(Invoer!$A$5),1,1)+INT((ROWS(B$2:B6716)-1)/24),"""18""jjmmdd")</f>
        <v>18981007</v>
      </c>
      <c r="C6716" s="11" t="str">
        <f>INDEX(Data,2,2+MOD(ROWS(C$2:C6716)-1,24))</f>
        <v>19.00</v>
      </c>
      <c r="D6716" s="8">
        <f t="shared" ca="1" si="314"/>
        <v>14</v>
      </c>
      <c r="E6716" s="16">
        <f t="shared" ca="1" si="315"/>
        <v>0</v>
      </c>
    </row>
    <row r="6717" spans="1:5" x14ac:dyDescent="0.25">
      <c r="A6717" s="3">
        <f t="shared" si="313"/>
        <v>78989</v>
      </c>
      <c r="B6717" t="str">
        <f ca="1">TEXT(DATE(YEAR(Invoer!$A$5),1,1)+INT((ROWS(B$2:B6717)-1)/24),"""18""jjmmdd")</f>
        <v>18981007</v>
      </c>
      <c r="C6717" s="11" t="str">
        <f>INDEX(Data,2,2+MOD(ROWS(C$2:C6717)-1,24))</f>
        <v>20.00</v>
      </c>
      <c r="D6717" s="8">
        <f t="shared" ca="1" si="314"/>
        <v>14</v>
      </c>
      <c r="E6717" s="16">
        <f t="shared" ca="1" si="315"/>
        <v>0</v>
      </c>
    </row>
    <row r="6718" spans="1:5" x14ac:dyDescent="0.25">
      <c r="A6718" s="3">
        <f t="shared" si="313"/>
        <v>78989</v>
      </c>
      <c r="B6718" t="str">
        <f ca="1">TEXT(DATE(YEAR(Invoer!$A$5),1,1)+INT((ROWS(B$2:B6718)-1)/24),"""18""jjmmdd")</f>
        <v>18981007</v>
      </c>
      <c r="C6718" s="11" t="str">
        <f>INDEX(Data,2,2+MOD(ROWS(C$2:C6718)-1,24))</f>
        <v>21.00</v>
      </c>
      <c r="D6718" s="8">
        <f t="shared" ca="1" si="314"/>
        <v>13</v>
      </c>
      <c r="E6718" s="16">
        <f t="shared" ca="1" si="315"/>
        <v>0</v>
      </c>
    </row>
    <row r="6719" spans="1:5" x14ac:dyDescent="0.25">
      <c r="A6719" s="3">
        <f t="shared" si="313"/>
        <v>78989</v>
      </c>
      <c r="B6719" t="str">
        <f ca="1">TEXT(DATE(YEAR(Invoer!$A$5),1,1)+INT((ROWS(B$2:B6719)-1)/24),"""18""jjmmdd")</f>
        <v>18981007</v>
      </c>
      <c r="C6719" s="11" t="str">
        <f>INDEX(Data,2,2+MOD(ROWS(C$2:C6719)-1,24))</f>
        <v>22.00</v>
      </c>
      <c r="D6719" s="8">
        <f t="shared" ca="1" si="314"/>
        <v>13</v>
      </c>
      <c r="E6719" s="16">
        <f t="shared" ca="1" si="315"/>
        <v>0</v>
      </c>
    </row>
    <row r="6720" spans="1:5" x14ac:dyDescent="0.25">
      <c r="A6720" s="3">
        <f t="shared" si="313"/>
        <v>78989</v>
      </c>
      <c r="B6720" t="str">
        <f ca="1">TEXT(DATE(YEAR(Invoer!$A$5),1,1)+INT((ROWS(B$2:B6720)-1)/24),"""18""jjmmdd")</f>
        <v>18981007</v>
      </c>
      <c r="C6720" s="11" t="str">
        <f>INDEX(Data,2,2+MOD(ROWS(C$2:C6720)-1,24))</f>
        <v>23.00</v>
      </c>
      <c r="D6720" s="8">
        <f t="shared" ca="1" si="314"/>
        <v>13</v>
      </c>
      <c r="E6720" s="16">
        <f t="shared" ca="1" si="315"/>
        <v>0</v>
      </c>
    </row>
    <row r="6721" spans="1:5" x14ac:dyDescent="0.25">
      <c r="A6721" s="3">
        <f t="shared" si="313"/>
        <v>78989</v>
      </c>
      <c r="B6721" t="str">
        <f ca="1">TEXT(DATE(YEAR(Invoer!$A$5),1,1)+INT((ROWS(B$2:B6721)-1)/24),"""18""jjmmdd")</f>
        <v>18981007</v>
      </c>
      <c r="C6721" s="11" t="str">
        <f>INDEX(Data,2,2+MOD(ROWS(C$2:C6721)-1,24))</f>
        <v>24.00</v>
      </c>
      <c r="D6721" s="8">
        <f t="shared" ca="1" si="314"/>
        <v>10</v>
      </c>
      <c r="E6721" s="16">
        <f t="shared" ca="1" si="315"/>
        <v>0</v>
      </c>
    </row>
    <row r="6722" spans="1:5" x14ac:dyDescent="0.25">
      <c r="A6722" s="3">
        <f t="shared" ref="A6722:A6785" si="316">INDEX(Stations,2,1)</f>
        <v>78989</v>
      </c>
      <c r="B6722" t="str">
        <f ca="1">TEXT(DATE(YEAR(Invoer!$A$5),1,1)+INT((ROWS(B$2:B6722)-1)/24),"""18""jjmmdd")</f>
        <v>18981008</v>
      </c>
      <c r="C6722" s="11" t="str">
        <f>INDEX(Data,2,2+MOD(ROWS(C$2:C6722)-1,24))</f>
        <v>01.00</v>
      </c>
      <c r="D6722" s="8">
        <f t="shared" ref="D6722:D6785" ca="1" si="317">IF(OR(ISBLANK(VLOOKUP(DATEVALUE("37"&amp;MID($B6722,3,2)&amp;"-"&amp;MID($B6722,5,2)&amp;"-"&amp;RIGHT($B6722,2)),Data,MATCH(LEFT(VLOOKUP(D$1,Parameters,2,FALSE()),4)&amp;"*",OFFSET(Data,0,0,1),0)+MATCH($C6722,OFFSET(Data,1,0,1),0)-2,FALSE())),ISTEXT(VLOOKUP(DATEVALUE("37"&amp;MID($B6722,3,2)&amp;"-"&amp;MID($B6722,5,2)&amp;"-"&amp;RIGHT($B6722,2)),Data,MATCH(LEFT(VLOOKUP(D$1,Parameters,2,FALSE()),4)&amp;"*",OFFSET(Data,0,0,1),0)+MATCH($C6722,OFFSET(Data,1,0,1),0)-2,FALSE()))),"—",VLOOKUP(DATEVALUE("37"&amp;MID($B6722,3,2)&amp;"-"&amp;MID($B6722,5,2)&amp;"-"&amp;RIGHT($B6722,2)),Data,MATCH(LEFT(VLOOKUP(D$1,Parameters,2,FALSE()),4)&amp;"*",OFFSET(Data,0,0,1),0)+MATCH($C6722,OFFSET(Data,1,0,1),0)-2,FALSE()))</f>
        <v>12</v>
      </c>
      <c r="E6722" s="16">
        <f t="shared" ca="1" si="315"/>
        <v>0</v>
      </c>
    </row>
    <row r="6723" spans="1:5" x14ac:dyDescent="0.25">
      <c r="A6723" s="3">
        <f t="shared" si="316"/>
        <v>78989</v>
      </c>
      <c r="B6723" t="str">
        <f ca="1">TEXT(DATE(YEAR(Invoer!$A$5),1,1)+INT((ROWS(B$2:B6723)-1)/24),"""18""jjmmdd")</f>
        <v>18981008</v>
      </c>
      <c r="C6723" s="11" t="str">
        <f>INDEX(Data,2,2+MOD(ROWS(C$2:C6723)-1,24))</f>
        <v>02.00</v>
      </c>
      <c r="D6723" s="8">
        <f t="shared" ca="1" si="317"/>
        <v>11</v>
      </c>
      <c r="E6723" s="16">
        <f t="shared" ref="E6723:E6786" ca="1" si="318">IF(OR(ISBLANK(VLOOKUP(DATEVALUE("37"&amp;MID($B6723,3,2)&amp;"-"&amp;MID($B6723,5,2)&amp;"-"&amp;RIGHT($B6723,2)),Data,MATCH(LEFT(VLOOKUP(D$1,Parameters,2,FALSE()),4)&amp;"*",OFFSET(Data,0,0,1),0)+MATCH($C6723,OFFSET(Data,1,0,1),0)-2,FALSE())),ISTEXT(VLOOKUP(DATEVALUE("37"&amp;MID($B6723,3,2)&amp;"-"&amp;MID($B6723,5,2)&amp;"-"&amp;RIGHT($B6723,2)),Data,MATCH(LEFT(VLOOKUP(D$1,Parameters,2,FALSE()),4)&amp;"*",OFFSET(Data,0,0,1),0)+MATCH($C6723,OFFSET(Data,1,0,1),0)-2,FALSE()))),Lacking,IF(ISNA(MATCH(DATEVALUE("37"&amp;MID($B6723,3,2)&amp;"-"&amp;MID($B6723,5,2)&amp;"-"&amp;RIGHT($B6723,2)),OFFSET(Catalogus,0,0,,1),0)),Ok,VLOOKUP(DATEVALUE("37"&amp;MID($B6723,3,2)&amp;"-"&amp;MID($B6723,5,2)&amp;"-"&amp;RIGHT($B6723,2)),Catalogus,MATCH(LEFT(VLOOKUP(MID(E$1,2,LEN(E$1)-1),Parameters,2,FALSE()),4)&amp;"*",OFFSET(Catalogus,0,0,1),0)+MATCH($C6723,OFFSET(Catalogus,1,0,1),0)-2,FALSE())))</f>
        <v>0</v>
      </c>
    </row>
    <row r="6724" spans="1:5" x14ac:dyDescent="0.25">
      <c r="A6724" s="3">
        <f t="shared" si="316"/>
        <v>78989</v>
      </c>
      <c r="B6724" t="str">
        <f ca="1">TEXT(DATE(YEAR(Invoer!$A$5),1,1)+INT((ROWS(B$2:B6724)-1)/24),"""18""jjmmdd")</f>
        <v>18981008</v>
      </c>
      <c r="C6724" s="11" t="str">
        <f>INDEX(Data,2,2+MOD(ROWS(C$2:C6724)-1,24))</f>
        <v>03.00</v>
      </c>
      <c r="D6724" s="8">
        <f t="shared" ca="1" si="317"/>
        <v>12</v>
      </c>
      <c r="E6724" s="16">
        <f t="shared" ca="1" si="318"/>
        <v>0</v>
      </c>
    </row>
    <row r="6725" spans="1:5" x14ac:dyDescent="0.25">
      <c r="A6725" s="3">
        <f t="shared" si="316"/>
        <v>78989</v>
      </c>
      <c r="B6725" t="str">
        <f ca="1">TEXT(DATE(YEAR(Invoer!$A$5),1,1)+INT((ROWS(B$2:B6725)-1)/24),"""18""jjmmdd")</f>
        <v>18981008</v>
      </c>
      <c r="C6725" s="11" t="str">
        <f>INDEX(Data,2,2+MOD(ROWS(C$2:C6725)-1,24))</f>
        <v>04.00</v>
      </c>
      <c r="D6725" s="8">
        <f t="shared" ca="1" si="317"/>
        <v>10</v>
      </c>
      <c r="E6725" s="16">
        <f t="shared" ca="1" si="318"/>
        <v>0</v>
      </c>
    </row>
    <row r="6726" spans="1:5" x14ac:dyDescent="0.25">
      <c r="A6726" s="3">
        <f t="shared" si="316"/>
        <v>78989</v>
      </c>
      <c r="B6726" t="str">
        <f ca="1">TEXT(DATE(YEAR(Invoer!$A$5),1,1)+INT((ROWS(B$2:B6726)-1)/24),"""18""jjmmdd")</f>
        <v>18981008</v>
      </c>
      <c r="C6726" s="11" t="str">
        <f>INDEX(Data,2,2+MOD(ROWS(C$2:C6726)-1,24))</f>
        <v>05.00</v>
      </c>
      <c r="D6726" s="8">
        <f t="shared" ca="1" si="317"/>
        <v>10</v>
      </c>
      <c r="E6726" s="16">
        <f t="shared" ca="1" si="318"/>
        <v>0</v>
      </c>
    </row>
    <row r="6727" spans="1:5" x14ac:dyDescent="0.25">
      <c r="A6727" s="3">
        <f t="shared" si="316"/>
        <v>78989</v>
      </c>
      <c r="B6727" t="str">
        <f ca="1">TEXT(DATE(YEAR(Invoer!$A$5),1,1)+INT((ROWS(B$2:B6727)-1)/24),"""18""jjmmdd")</f>
        <v>18981008</v>
      </c>
      <c r="C6727" s="11" t="str">
        <f>INDEX(Data,2,2+MOD(ROWS(C$2:C6727)-1,24))</f>
        <v>06.00</v>
      </c>
      <c r="D6727" s="8">
        <f t="shared" ca="1" si="317"/>
        <v>10</v>
      </c>
      <c r="E6727" s="16">
        <f t="shared" ca="1" si="318"/>
        <v>0</v>
      </c>
    </row>
    <row r="6728" spans="1:5" x14ac:dyDescent="0.25">
      <c r="A6728" s="3">
        <f t="shared" si="316"/>
        <v>78989</v>
      </c>
      <c r="B6728" t="str">
        <f ca="1">TEXT(DATE(YEAR(Invoer!$A$5),1,1)+INT((ROWS(B$2:B6728)-1)/24),"""18""jjmmdd")</f>
        <v>18981008</v>
      </c>
      <c r="C6728" s="11" t="str">
        <f>INDEX(Data,2,2+MOD(ROWS(C$2:C6728)-1,24))</f>
        <v>07.00</v>
      </c>
      <c r="D6728" s="8">
        <f t="shared" ca="1" si="317"/>
        <v>13</v>
      </c>
      <c r="E6728" s="16">
        <f t="shared" ca="1" si="318"/>
        <v>0</v>
      </c>
    </row>
    <row r="6729" spans="1:5" x14ac:dyDescent="0.25">
      <c r="A6729" s="3">
        <f t="shared" si="316"/>
        <v>78989</v>
      </c>
      <c r="B6729" t="str">
        <f ca="1">TEXT(DATE(YEAR(Invoer!$A$5),1,1)+INT((ROWS(B$2:B6729)-1)/24),"""18""jjmmdd")</f>
        <v>18981008</v>
      </c>
      <c r="C6729" s="11" t="str">
        <f>INDEX(Data,2,2+MOD(ROWS(C$2:C6729)-1,24))</f>
        <v>08.00</v>
      </c>
      <c r="D6729" s="8">
        <f t="shared" ca="1" si="317"/>
        <v>14</v>
      </c>
      <c r="E6729" s="16">
        <f t="shared" ca="1" si="318"/>
        <v>0</v>
      </c>
    </row>
    <row r="6730" spans="1:5" x14ac:dyDescent="0.25">
      <c r="A6730" s="3">
        <f t="shared" si="316"/>
        <v>78989</v>
      </c>
      <c r="B6730" t="str">
        <f ca="1">TEXT(DATE(YEAR(Invoer!$A$5),1,1)+INT((ROWS(B$2:B6730)-1)/24),"""18""jjmmdd")</f>
        <v>18981008</v>
      </c>
      <c r="C6730" s="11" t="str">
        <f>INDEX(Data,2,2+MOD(ROWS(C$2:C6730)-1,24))</f>
        <v>09.00</v>
      </c>
      <c r="D6730" s="8">
        <f t="shared" ca="1" si="317"/>
        <v>14</v>
      </c>
      <c r="E6730" s="16">
        <f t="shared" ca="1" si="318"/>
        <v>0</v>
      </c>
    </row>
    <row r="6731" spans="1:5" x14ac:dyDescent="0.25">
      <c r="A6731" s="3">
        <f t="shared" si="316"/>
        <v>78989</v>
      </c>
      <c r="B6731" t="str">
        <f ca="1">TEXT(DATE(YEAR(Invoer!$A$5),1,1)+INT((ROWS(B$2:B6731)-1)/24),"""18""jjmmdd")</f>
        <v>18981008</v>
      </c>
      <c r="C6731" s="11" t="str">
        <f>INDEX(Data,2,2+MOD(ROWS(C$2:C6731)-1,24))</f>
        <v>10.00</v>
      </c>
      <c r="D6731" s="8">
        <f t="shared" ca="1" si="317"/>
        <v>15</v>
      </c>
      <c r="E6731" s="16">
        <f t="shared" ca="1" si="318"/>
        <v>0</v>
      </c>
    </row>
    <row r="6732" spans="1:5" x14ac:dyDescent="0.25">
      <c r="A6732" s="3">
        <f t="shared" si="316"/>
        <v>78989</v>
      </c>
      <c r="B6732" t="str">
        <f ca="1">TEXT(DATE(YEAR(Invoer!$A$5),1,1)+INT((ROWS(B$2:B6732)-1)/24),"""18""jjmmdd")</f>
        <v>18981008</v>
      </c>
      <c r="C6732" s="11" t="str">
        <f>INDEX(Data,2,2+MOD(ROWS(C$2:C6732)-1,24))</f>
        <v>11.00</v>
      </c>
      <c r="D6732" s="8">
        <f t="shared" ca="1" si="317"/>
        <v>16</v>
      </c>
      <c r="E6732" s="16">
        <f t="shared" ca="1" si="318"/>
        <v>0</v>
      </c>
    </row>
    <row r="6733" spans="1:5" x14ac:dyDescent="0.25">
      <c r="A6733" s="3">
        <f t="shared" si="316"/>
        <v>78989</v>
      </c>
      <c r="B6733" t="str">
        <f ca="1">TEXT(DATE(YEAR(Invoer!$A$5),1,1)+INT((ROWS(B$2:B6733)-1)/24),"""18""jjmmdd")</f>
        <v>18981008</v>
      </c>
      <c r="C6733" s="11" t="str">
        <f>INDEX(Data,2,2+MOD(ROWS(C$2:C6733)-1,24))</f>
        <v>12.00</v>
      </c>
      <c r="D6733" s="8">
        <f t="shared" ca="1" si="317"/>
        <v>16</v>
      </c>
      <c r="E6733" s="16">
        <f t="shared" ca="1" si="318"/>
        <v>0</v>
      </c>
    </row>
    <row r="6734" spans="1:5" x14ac:dyDescent="0.25">
      <c r="A6734" s="3">
        <f t="shared" si="316"/>
        <v>78989</v>
      </c>
      <c r="B6734" t="str">
        <f ca="1">TEXT(DATE(YEAR(Invoer!$A$5),1,1)+INT((ROWS(B$2:B6734)-1)/24),"""18""jjmmdd")</f>
        <v>18981008</v>
      </c>
      <c r="C6734" s="11" t="str">
        <f>INDEX(Data,2,2+MOD(ROWS(C$2:C6734)-1,24))</f>
        <v>13.00</v>
      </c>
      <c r="D6734" s="8">
        <f t="shared" ca="1" si="317"/>
        <v>16</v>
      </c>
      <c r="E6734" s="16">
        <f t="shared" ca="1" si="318"/>
        <v>0</v>
      </c>
    </row>
    <row r="6735" spans="1:5" x14ac:dyDescent="0.25">
      <c r="A6735" s="3">
        <f t="shared" si="316"/>
        <v>78989</v>
      </c>
      <c r="B6735" t="str">
        <f ca="1">TEXT(DATE(YEAR(Invoer!$A$5),1,1)+INT((ROWS(B$2:B6735)-1)/24),"""18""jjmmdd")</f>
        <v>18981008</v>
      </c>
      <c r="C6735" s="11" t="str">
        <f>INDEX(Data,2,2+MOD(ROWS(C$2:C6735)-1,24))</f>
        <v>14.00</v>
      </c>
      <c r="D6735" s="8">
        <f t="shared" ca="1" si="317"/>
        <v>15</v>
      </c>
      <c r="E6735" s="16">
        <f t="shared" ca="1" si="318"/>
        <v>0</v>
      </c>
    </row>
    <row r="6736" spans="1:5" x14ac:dyDescent="0.25">
      <c r="A6736" s="3">
        <f t="shared" si="316"/>
        <v>78989</v>
      </c>
      <c r="B6736" t="str">
        <f ca="1">TEXT(DATE(YEAR(Invoer!$A$5),1,1)+INT((ROWS(B$2:B6736)-1)/24),"""18""jjmmdd")</f>
        <v>18981008</v>
      </c>
      <c r="C6736" s="11" t="str">
        <f>INDEX(Data,2,2+MOD(ROWS(C$2:C6736)-1,24))</f>
        <v>15.00</v>
      </c>
      <c r="D6736" s="8">
        <f t="shared" ca="1" si="317"/>
        <v>17</v>
      </c>
      <c r="E6736" s="16">
        <f t="shared" ca="1" si="318"/>
        <v>0</v>
      </c>
    </row>
    <row r="6737" spans="1:5" x14ac:dyDescent="0.25">
      <c r="A6737" s="3">
        <f t="shared" si="316"/>
        <v>78989</v>
      </c>
      <c r="B6737" t="str">
        <f ca="1">TEXT(DATE(YEAR(Invoer!$A$5),1,1)+INT((ROWS(B$2:B6737)-1)/24),"""18""jjmmdd")</f>
        <v>18981008</v>
      </c>
      <c r="C6737" s="11" t="str">
        <f>INDEX(Data,2,2+MOD(ROWS(C$2:C6737)-1,24))</f>
        <v>16.00</v>
      </c>
      <c r="D6737" s="8">
        <f t="shared" ca="1" si="317"/>
        <v>18</v>
      </c>
      <c r="E6737" s="16">
        <f t="shared" ca="1" si="318"/>
        <v>0</v>
      </c>
    </row>
    <row r="6738" spans="1:5" x14ac:dyDescent="0.25">
      <c r="A6738" s="3">
        <f t="shared" si="316"/>
        <v>78989</v>
      </c>
      <c r="B6738" t="str">
        <f ca="1">TEXT(DATE(YEAR(Invoer!$A$5),1,1)+INT((ROWS(B$2:B6738)-1)/24),"""18""jjmmdd")</f>
        <v>18981008</v>
      </c>
      <c r="C6738" s="11" t="str">
        <f>INDEX(Data,2,2+MOD(ROWS(C$2:C6738)-1,24))</f>
        <v>17.00</v>
      </c>
      <c r="D6738" s="8">
        <f t="shared" ca="1" si="317"/>
        <v>19</v>
      </c>
      <c r="E6738" s="16">
        <f t="shared" ca="1" si="318"/>
        <v>0</v>
      </c>
    </row>
    <row r="6739" spans="1:5" x14ac:dyDescent="0.25">
      <c r="A6739" s="3">
        <f t="shared" si="316"/>
        <v>78989</v>
      </c>
      <c r="B6739" t="str">
        <f ca="1">TEXT(DATE(YEAR(Invoer!$A$5),1,1)+INT((ROWS(B$2:B6739)-1)/24),"""18""jjmmdd")</f>
        <v>18981008</v>
      </c>
      <c r="C6739" s="11" t="str">
        <f>INDEX(Data,2,2+MOD(ROWS(C$2:C6739)-1,24))</f>
        <v>18.00</v>
      </c>
      <c r="D6739" s="8">
        <f t="shared" ca="1" si="317"/>
        <v>16</v>
      </c>
      <c r="E6739" s="16">
        <f t="shared" ca="1" si="318"/>
        <v>0</v>
      </c>
    </row>
    <row r="6740" spans="1:5" x14ac:dyDescent="0.25">
      <c r="A6740" s="3">
        <f t="shared" si="316"/>
        <v>78989</v>
      </c>
      <c r="B6740" t="str">
        <f ca="1">TEXT(DATE(YEAR(Invoer!$A$5),1,1)+INT((ROWS(B$2:B6740)-1)/24),"""18""jjmmdd")</f>
        <v>18981008</v>
      </c>
      <c r="C6740" s="11" t="str">
        <f>INDEX(Data,2,2+MOD(ROWS(C$2:C6740)-1,24))</f>
        <v>19.00</v>
      </c>
      <c r="D6740" s="8">
        <f t="shared" ca="1" si="317"/>
        <v>16</v>
      </c>
      <c r="E6740" s="16">
        <f t="shared" ca="1" si="318"/>
        <v>0</v>
      </c>
    </row>
    <row r="6741" spans="1:5" x14ac:dyDescent="0.25">
      <c r="A6741" s="3">
        <f t="shared" si="316"/>
        <v>78989</v>
      </c>
      <c r="B6741" t="str">
        <f ca="1">TEXT(DATE(YEAR(Invoer!$A$5),1,1)+INT((ROWS(B$2:B6741)-1)/24),"""18""jjmmdd")</f>
        <v>18981008</v>
      </c>
      <c r="C6741" s="11" t="str">
        <f>INDEX(Data,2,2+MOD(ROWS(C$2:C6741)-1,24))</f>
        <v>20.00</v>
      </c>
      <c r="D6741" s="8">
        <f t="shared" ca="1" si="317"/>
        <v>17</v>
      </c>
      <c r="E6741" s="16">
        <f t="shared" ca="1" si="318"/>
        <v>0</v>
      </c>
    </row>
    <row r="6742" spans="1:5" x14ac:dyDescent="0.25">
      <c r="A6742" s="3">
        <f t="shared" si="316"/>
        <v>78989</v>
      </c>
      <c r="B6742" t="str">
        <f ca="1">TEXT(DATE(YEAR(Invoer!$A$5),1,1)+INT((ROWS(B$2:B6742)-1)/24),"""18""jjmmdd")</f>
        <v>18981008</v>
      </c>
      <c r="C6742" s="11" t="str">
        <f>INDEX(Data,2,2+MOD(ROWS(C$2:C6742)-1,24))</f>
        <v>21.00</v>
      </c>
      <c r="D6742" s="8">
        <f t="shared" ca="1" si="317"/>
        <v>14</v>
      </c>
      <c r="E6742" s="16">
        <f t="shared" ca="1" si="318"/>
        <v>0</v>
      </c>
    </row>
    <row r="6743" spans="1:5" x14ac:dyDescent="0.25">
      <c r="A6743" s="3">
        <f t="shared" si="316"/>
        <v>78989</v>
      </c>
      <c r="B6743" t="str">
        <f ca="1">TEXT(DATE(YEAR(Invoer!$A$5),1,1)+INT((ROWS(B$2:B6743)-1)/24),"""18""jjmmdd")</f>
        <v>18981008</v>
      </c>
      <c r="C6743" s="11" t="str">
        <f>INDEX(Data,2,2+MOD(ROWS(C$2:C6743)-1,24))</f>
        <v>22.00</v>
      </c>
      <c r="D6743" s="8">
        <f t="shared" ca="1" si="317"/>
        <v>13</v>
      </c>
      <c r="E6743" s="16">
        <f t="shared" ca="1" si="318"/>
        <v>0</v>
      </c>
    </row>
    <row r="6744" spans="1:5" x14ac:dyDescent="0.25">
      <c r="A6744" s="3">
        <f t="shared" si="316"/>
        <v>78989</v>
      </c>
      <c r="B6744" t="str">
        <f ca="1">TEXT(DATE(YEAR(Invoer!$A$5),1,1)+INT((ROWS(B$2:B6744)-1)/24),"""18""jjmmdd")</f>
        <v>18981008</v>
      </c>
      <c r="C6744" s="11" t="str">
        <f>INDEX(Data,2,2+MOD(ROWS(C$2:C6744)-1,24))</f>
        <v>23.00</v>
      </c>
      <c r="D6744" s="8">
        <f t="shared" ca="1" si="317"/>
        <v>12</v>
      </c>
      <c r="E6744" s="16">
        <f t="shared" ca="1" si="318"/>
        <v>0</v>
      </c>
    </row>
    <row r="6745" spans="1:5" x14ac:dyDescent="0.25">
      <c r="A6745" s="3">
        <f t="shared" si="316"/>
        <v>78989</v>
      </c>
      <c r="B6745" t="str">
        <f ca="1">TEXT(DATE(YEAR(Invoer!$A$5),1,1)+INT((ROWS(B$2:B6745)-1)/24),"""18""jjmmdd")</f>
        <v>18981008</v>
      </c>
      <c r="C6745" s="11" t="str">
        <f>INDEX(Data,2,2+MOD(ROWS(C$2:C6745)-1,24))</f>
        <v>24.00</v>
      </c>
      <c r="D6745" s="8">
        <f t="shared" ca="1" si="317"/>
        <v>12</v>
      </c>
      <c r="E6745" s="16">
        <f t="shared" ca="1" si="318"/>
        <v>0</v>
      </c>
    </row>
    <row r="6746" spans="1:5" x14ac:dyDescent="0.25">
      <c r="A6746" s="3">
        <f t="shared" si="316"/>
        <v>78989</v>
      </c>
      <c r="B6746" t="str">
        <f ca="1">TEXT(DATE(YEAR(Invoer!$A$5),1,1)+INT((ROWS(B$2:B6746)-1)/24),"""18""jjmmdd")</f>
        <v>18981009</v>
      </c>
      <c r="C6746" s="11" t="str">
        <f>INDEX(Data,2,2+MOD(ROWS(C$2:C6746)-1,24))</f>
        <v>01.00</v>
      </c>
      <c r="D6746" s="8">
        <f t="shared" ca="1" si="317"/>
        <v>10</v>
      </c>
      <c r="E6746" s="16">
        <f t="shared" ca="1" si="318"/>
        <v>0</v>
      </c>
    </row>
    <row r="6747" spans="1:5" x14ac:dyDescent="0.25">
      <c r="A6747" s="3">
        <f t="shared" si="316"/>
        <v>78989</v>
      </c>
      <c r="B6747" t="str">
        <f ca="1">TEXT(DATE(YEAR(Invoer!$A$5),1,1)+INT((ROWS(B$2:B6747)-1)/24),"""18""jjmmdd")</f>
        <v>18981009</v>
      </c>
      <c r="C6747" s="11" t="str">
        <f>INDEX(Data,2,2+MOD(ROWS(C$2:C6747)-1,24))</f>
        <v>02.00</v>
      </c>
      <c r="D6747" s="8">
        <f t="shared" ca="1" si="317"/>
        <v>9</v>
      </c>
      <c r="E6747" s="16">
        <f t="shared" ca="1" si="318"/>
        <v>0</v>
      </c>
    </row>
    <row r="6748" spans="1:5" x14ac:dyDescent="0.25">
      <c r="A6748" s="3">
        <f t="shared" si="316"/>
        <v>78989</v>
      </c>
      <c r="B6748" t="str">
        <f ca="1">TEXT(DATE(YEAR(Invoer!$A$5),1,1)+INT((ROWS(B$2:B6748)-1)/24),"""18""jjmmdd")</f>
        <v>18981009</v>
      </c>
      <c r="C6748" s="11" t="str">
        <f>INDEX(Data,2,2+MOD(ROWS(C$2:C6748)-1,24))</f>
        <v>03.00</v>
      </c>
      <c r="D6748" s="8">
        <f t="shared" ca="1" si="317"/>
        <v>9</v>
      </c>
      <c r="E6748" s="16">
        <f t="shared" ca="1" si="318"/>
        <v>0</v>
      </c>
    </row>
    <row r="6749" spans="1:5" x14ac:dyDescent="0.25">
      <c r="A6749" s="3">
        <f t="shared" si="316"/>
        <v>78989</v>
      </c>
      <c r="B6749" t="str">
        <f ca="1">TEXT(DATE(YEAR(Invoer!$A$5),1,1)+INT((ROWS(B$2:B6749)-1)/24),"""18""jjmmdd")</f>
        <v>18981009</v>
      </c>
      <c r="C6749" s="11" t="str">
        <f>INDEX(Data,2,2+MOD(ROWS(C$2:C6749)-1,24))</f>
        <v>04.00</v>
      </c>
      <c r="D6749" s="8">
        <f t="shared" ca="1" si="317"/>
        <v>10</v>
      </c>
      <c r="E6749" s="16">
        <f t="shared" ca="1" si="318"/>
        <v>0</v>
      </c>
    </row>
    <row r="6750" spans="1:5" x14ac:dyDescent="0.25">
      <c r="A6750" s="3">
        <f t="shared" si="316"/>
        <v>78989</v>
      </c>
      <c r="B6750" t="str">
        <f ca="1">TEXT(DATE(YEAR(Invoer!$A$5),1,1)+INT((ROWS(B$2:B6750)-1)/24),"""18""jjmmdd")</f>
        <v>18981009</v>
      </c>
      <c r="C6750" s="11" t="str">
        <f>INDEX(Data,2,2+MOD(ROWS(C$2:C6750)-1,24))</f>
        <v>05.00</v>
      </c>
      <c r="D6750" s="8">
        <f t="shared" ca="1" si="317"/>
        <v>9</v>
      </c>
      <c r="E6750" s="16">
        <f t="shared" ca="1" si="318"/>
        <v>0</v>
      </c>
    </row>
    <row r="6751" spans="1:5" x14ac:dyDescent="0.25">
      <c r="A6751" s="3">
        <f t="shared" si="316"/>
        <v>78989</v>
      </c>
      <c r="B6751" t="str">
        <f ca="1">TEXT(DATE(YEAR(Invoer!$A$5),1,1)+INT((ROWS(B$2:B6751)-1)/24),"""18""jjmmdd")</f>
        <v>18981009</v>
      </c>
      <c r="C6751" s="11" t="str">
        <f>INDEX(Data,2,2+MOD(ROWS(C$2:C6751)-1,24))</f>
        <v>06.00</v>
      </c>
      <c r="D6751" s="8">
        <f t="shared" ca="1" si="317"/>
        <v>10</v>
      </c>
      <c r="E6751" s="16">
        <f t="shared" ca="1" si="318"/>
        <v>0</v>
      </c>
    </row>
    <row r="6752" spans="1:5" x14ac:dyDescent="0.25">
      <c r="A6752" s="3">
        <f t="shared" si="316"/>
        <v>78989</v>
      </c>
      <c r="B6752" t="str">
        <f ca="1">TEXT(DATE(YEAR(Invoer!$A$5),1,1)+INT((ROWS(B$2:B6752)-1)/24),"""18""jjmmdd")</f>
        <v>18981009</v>
      </c>
      <c r="C6752" s="11" t="str">
        <f>INDEX(Data,2,2+MOD(ROWS(C$2:C6752)-1,24))</f>
        <v>07.00</v>
      </c>
      <c r="D6752" s="8">
        <f t="shared" ca="1" si="317"/>
        <v>12</v>
      </c>
      <c r="E6752" s="16">
        <f t="shared" ca="1" si="318"/>
        <v>0</v>
      </c>
    </row>
    <row r="6753" spans="1:5" x14ac:dyDescent="0.25">
      <c r="A6753" s="3">
        <f t="shared" si="316"/>
        <v>78989</v>
      </c>
      <c r="B6753" t="str">
        <f ca="1">TEXT(DATE(YEAR(Invoer!$A$5),1,1)+INT((ROWS(B$2:B6753)-1)/24),"""18""jjmmdd")</f>
        <v>18981009</v>
      </c>
      <c r="C6753" s="11" t="str">
        <f>INDEX(Data,2,2+MOD(ROWS(C$2:C6753)-1,24))</f>
        <v>08.00</v>
      </c>
      <c r="D6753" s="8">
        <f t="shared" ca="1" si="317"/>
        <v>14</v>
      </c>
      <c r="E6753" s="16">
        <f t="shared" ca="1" si="318"/>
        <v>0</v>
      </c>
    </row>
    <row r="6754" spans="1:5" x14ac:dyDescent="0.25">
      <c r="A6754" s="3">
        <f t="shared" si="316"/>
        <v>78989</v>
      </c>
      <c r="B6754" t="str">
        <f ca="1">TEXT(DATE(YEAR(Invoer!$A$5),1,1)+INT((ROWS(B$2:B6754)-1)/24),"""18""jjmmdd")</f>
        <v>18981009</v>
      </c>
      <c r="C6754" s="11" t="str">
        <f>INDEX(Data,2,2+MOD(ROWS(C$2:C6754)-1,24))</f>
        <v>09.00</v>
      </c>
      <c r="D6754" s="8">
        <f t="shared" ca="1" si="317"/>
        <v>13</v>
      </c>
      <c r="E6754" s="16">
        <f t="shared" ca="1" si="318"/>
        <v>0</v>
      </c>
    </row>
    <row r="6755" spans="1:5" x14ac:dyDescent="0.25">
      <c r="A6755" s="3">
        <f t="shared" si="316"/>
        <v>78989</v>
      </c>
      <c r="B6755" t="str">
        <f ca="1">TEXT(DATE(YEAR(Invoer!$A$5),1,1)+INT((ROWS(B$2:B6755)-1)/24),"""18""jjmmdd")</f>
        <v>18981009</v>
      </c>
      <c r="C6755" s="11" t="str">
        <f>INDEX(Data,2,2+MOD(ROWS(C$2:C6755)-1,24))</f>
        <v>10.00</v>
      </c>
      <c r="D6755" s="8">
        <f t="shared" ca="1" si="317"/>
        <v>14</v>
      </c>
      <c r="E6755" s="16">
        <f t="shared" ca="1" si="318"/>
        <v>0</v>
      </c>
    </row>
    <row r="6756" spans="1:5" x14ac:dyDescent="0.25">
      <c r="A6756" s="3">
        <f t="shared" si="316"/>
        <v>78989</v>
      </c>
      <c r="B6756" t="str">
        <f ca="1">TEXT(DATE(YEAR(Invoer!$A$5),1,1)+INT((ROWS(B$2:B6756)-1)/24),"""18""jjmmdd")</f>
        <v>18981009</v>
      </c>
      <c r="C6756" s="11" t="str">
        <f>INDEX(Data,2,2+MOD(ROWS(C$2:C6756)-1,24))</f>
        <v>11.00</v>
      </c>
      <c r="D6756" s="8">
        <f t="shared" ca="1" si="317"/>
        <v>13</v>
      </c>
      <c r="E6756" s="16">
        <f t="shared" ca="1" si="318"/>
        <v>0</v>
      </c>
    </row>
    <row r="6757" spans="1:5" x14ac:dyDescent="0.25">
      <c r="A6757" s="3">
        <f t="shared" si="316"/>
        <v>78989</v>
      </c>
      <c r="B6757" t="str">
        <f ca="1">TEXT(DATE(YEAR(Invoer!$A$5),1,1)+INT((ROWS(B$2:B6757)-1)/24),"""18""jjmmdd")</f>
        <v>18981009</v>
      </c>
      <c r="C6757" s="11" t="str">
        <f>INDEX(Data,2,2+MOD(ROWS(C$2:C6757)-1,24))</f>
        <v>12.00</v>
      </c>
      <c r="D6757" s="8">
        <f t="shared" ca="1" si="317"/>
        <v>16</v>
      </c>
      <c r="E6757" s="16">
        <f t="shared" ca="1" si="318"/>
        <v>0</v>
      </c>
    </row>
    <row r="6758" spans="1:5" x14ac:dyDescent="0.25">
      <c r="A6758" s="3">
        <f t="shared" si="316"/>
        <v>78989</v>
      </c>
      <c r="B6758" t="str">
        <f ca="1">TEXT(DATE(YEAR(Invoer!$A$5),1,1)+INT((ROWS(B$2:B6758)-1)/24),"""18""jjmmdd")</f>
        <v>18981009</v>
      </c>
      <c r="C6758" s="11" t="str">
        <f>INDEX(Data,2,2+MOD(ROWS(C$2:C6758)-1,24))</f>
        <v>13.00</v>
      </c>
      <c r="D6758" s="8">
        <f t="shared" ca="1" si="317"/>
        <v>16</v>
      </c>
      <c r="E6758" s="16">
        <f t="shared" ca="1" si="318"/>
        <v>0</v>
      </c>
    </row>
    <row r="6759" spans="1:5" x14ac:dyDescent="0.25">
      <c r="A6759" s="3">
        <f t="shared" si="316"/>
        <v>78989</v>
      </c>
      <c r="B6759" t="str">
        <f ca="1">TEXT(DATE(YEAR(Invoer!$A$5),1,1)+INT((ROWS(B$2:B6759)-1)/24),"""18""jjmmdd")</f>
        <v>18981009</v>
      </c>
      <c r="C6759" s="11" t="str">
        <f>INDEX(Data,2,2+MOD(ROWS(C$2:C6759)-1,24))</f>
        <v>14.00</v>
      </c>
      <c r="D6759" s="8">
        <f t="shared" ca="1" si="317"/>
        <v>13</v>
      </c>
      <c r="E6759" s="16">
        <f t="shared" ca="1" si="318"/>
        <v>0</v>
      </c>
    </row>
    <row r="6760" spans="1:5" x14ac:dyDescent="0.25">
      <c r="A6760" s="3">
        <f t="shared" si="316"/>
        <v>78989</v>
      </c>
      <c r="B6760" t="str">
        <f ca="1">TEXT(DATE(YEAR(Invoer!$A$5),1,1)+INT((ROWS(B$2:B6760)-1)/24),"""18""jjmmdd")</f>
        <v>18981009</v>
      </c>
      <c r="C6760" s="11" t="str">
        <f>INDEX(Data,2,2+MOD(ROWS(C$2:C6760)-1,24))</f>
        <v>15.00</v>
      </c>
      <c r="D6760" s="8">
        <f t="shared" ca="1" si="317"/>
        <v>14</v>
      </c>
      <c r="E6760" s="16">
        <f t="shared" ca="1" si="318"/>
        <v>0</v>
      </c>
    </row>
    <row r="6761" spans="1:5" x14ac:dyDescent="0.25">
      <c r="A6761" s="3">
        <f t="shared" si="316"/>
        <v>78989</v>
      </c>
      <c r="B6761" t="str">
        <f ca="1">TEXT(DATE(YEAR(Invoer!$A$5),1,1)+INT((ROWS(B$2:B6761)-1)/24),"""18""jjmmdd")</f>
        <v>18981009</v>
      </c>
      <c r="C6761" s="11" t="str">
        <f>INDEX(Data,2,2+MOD(ROWS(C$2:C6761)-1,24))</f>
        <v>16.00</v>
      </c>
      <c r="D6761" s="8">
        <f t="shared" ca="1" si="317"/>
        <v>15</v>
      </c>
      <c r="E6761" s="16">
        <f t="shared" ca="1" si="318"/>
        <v>0</v>
      </c>
    </row>
    <row r="6762" spans="1:5" x14ac:dyDescent="0.25">
      <c r="A6762" s="3">
        <f t="shared" si="316"/>
        <v>78989</v>
      </c>
      <c r="B6762" t="str">
        <f ca="1">TEXT(DATE(YEAR(Invoer!$A$5),1,1)+INT((ROWS(B$2:B6762)-1)/24),"""18""jjmmdd")</f>
        <v>18981009</v>
      </c>
      <c r="C6762" s="11" t="str">
        <f>INDEX(Data,2,2+MOD(ROWS(C$2:C6762)-1,24))</f>
        <v>17.00</v>
      </c>
      <c r="D6762" s="8">
        <f t="shared" ca="1" si="317"/>
        <v>14</v>
      </c>
      <c r="E6762" s="16">
        <f t="shared" ca="1" si="318"/>
        <v>0</v>
      </c>
    </row>
    <row r="6763" spans="1:5" x14ac:dyDescent="0.25">
      <c r="A6763" s="3">
        <f t="shared" si="316"/>
        <v>78989</v>
      </c>
      <c r="B6763" t="str">
        <f ca="1">TEXT(DATE(YEAR(Invoer!$A$5),1,1)+INT((ROWS(B$2:B6763)-1)/24),"""18""jjmmdd")</f>
        <v>18981009</v>
      </c>
      <c r="C6763" s="11" t="str">
        <f>INDEX(Data,2,2+MOD(ROWS(C$2:C6763)-1,24))</f>
        <v>18.00</v>
      </c>
      <c r="D6763" s="8">
        <f t="shared" ca="1" si="317"/>
        <v>15</v>
      </c>
      <c r="E6763" s="16">
        <f t="shared" ca="1" si="318"/>
        <v>0</v>
      </c>
    </row>
    <row r="6764" spans="1:5" x14ac:dyDescent="0.25">
      <c r="A6764" s="3">
        <f t="shared" si="316"/>
        <v>78989</v>
      </c>
      <c r="B6764" t="str">
        <f ca="1">TEXT(DATE(YEAR(Invoer!$A$5),1,1)+INT((ROWS(B$2:B6764)-1)/24),"""18""jjmmdd")</f>
        <v>18981009</v>
      </c>
      <c r="C6764" s="11" t="str">
        <f>INDEX(Data,2,2+MOD(ROWS(C$2:C6764)-1,24))</f>
        <v>19.00</v>
      </c>
      <c r="D6764" s="8">
        <f t="shared" ca="1" si="317"/>
        <v>12</v>
      </c>
      <c r="E6764" s="16">
        <f t="shared" ca="1" si="318"/>
        <v>0</v>
      </c>
    </row>
    <row r="6765" spans="1:5" x14ac:dyDescent="0.25">
      <c r="A6765" s="3">
        <f t="shared" si="316"/>
        <v>78989</v>
      </c>
      <c r="B6765" t="str">
        <f ca="1">TEXT(DATE(YEAR(Invoer!$A$5),1,1)+INT((ROWS(B$2:B6765)-1)/24),"""18""jjmmdd")</f>
        <v>18981009</v>
      </c>
      <c r="C6765" s="11" t="str">
        <f>INDEX(Data,2,2+MOD(ROWS(C$2:C6765)-1,24))</f>
        <v>20.00</v>
      </c>
      <c r="D6765" s="8">
        <f t="shared" ca="1" si="317"/>
        <v>11</v>
      </c>
      <c r="E6765" s="16">
        <f t="shared" ca="1" si="318"/>
        <v>0</v>
      </c>
    </row>
    <row r="6766" spans="1:5" x14ac:dyDescent="0.25">
      <c r="A6766" s="3">
        <f t="shared" si="316"/>
        <v>78989</v>
      </c>
      <c r="B6766" t="str">
        <f ca="1">TEXT(DATE(YEAR(Invoer!$A$5),1,1)+INT((ROWS(B$2:B6766)-1)/24),"""18""jjmmdd")</f>
        <v>18981009</v>
      </c>
      <c r="C6766" s="11" t="str">
        <f>INDEX(Data,2,2+MOD(ROWS(C$2:C6766)-1,24))</f>
        <v>21.00</v>
      </c>
      <c r="D6766" s="8">
        <f t="shared" ca="1" si="317"/>
        <v>10</v>
      </c>
      <c r="E6766" s="16">
        <f t="shared" ca="1" si="318"/>
        <v>0</v>
      </c>
    </row>
    <row r="6767" spans="1:5" x14ac:dyDescent="0.25">
      <c r="A6767" s="3">
        <f t="shared" si="316"/>
        <v>78989</v>
      </c>
      <c r="B6767" t="str">
        <f ca="1">TEXT(DATE(YEAR(Invoer!$A$5),1,1)+INT((ROWS(B$2:B6767)-1)/24),"""18""jjmmdd")</f>
        <v>18981009</v>
      </c>
      <c r="C6767" s="11" t="str">
        <f>INDEX(Data,2,2+MOD(ROWS(C$2:C6767)-1,24))</f>
        <v>22.00</v>
      </c>
      <c r="D6767" s="8">
        <f t="shared" ca="1" si="317"/>
        <v>9</v>
      </c>
      <c r="E6767" s="16">
        <f t="shared" ca="1" si="318"/>
        <v>0</v>
      </c>
    </row>
    <row r="6768" spans="1:5" x14ac:dyDescent="0.25">
      <c r="A6768" s="3">
        <f t="shared" si="316"/>
        <v>78989</v>
      </c>
      <c r="B6768" t="str">
        <f ca="1">TEXT(DATE(YEAR(Invoer!$A$5),1,1)+INT((ROWS(B$2:B6768)-1)/24),"""18""jjmmdd")</f>
        <v>18981009</v>
      </c>
      <c r="C6768" s="11" t="str">
        <f>INDEX(Data,2,2+MOD(ROWS(C$2:C6768)-1,24))</f>
        <v>23.00</v>
      </c>
      <c r="D6768" s="8">
        <f t="shared" ca="1" si="317"/>
        <v>8</v>
      </c>
      <c r="E6768" s="16">
        <f t="shared" ca="1" si="318"/>
        <v>0</v>
      </c>
    </row>
    <row r="6769" spans="1:5" x14ac:dyDescent="0.25">
      <c r="A6769" s="3">
        <f t="shared" si="316"/>
        <v>78989</v>
      </c>
      <c r="B6769" t="str">
        <f ca="1">TEXT(DATE(YEAR(Invoer!$A$5),1,1)+INT((ROWS(B$2:B6769)-1)/24),"""18""jjmmdd")</f>
        <v>18981009</v>
      </c>
      <c r="C6769" s="11" t="str">
        <f>INDEX(Data,2,2+MOD(ROWS(C$2:C6769)-1,24))</f>
        <v>24.00</v>
      </c>
      <c r="D6769" s="8">
        <f t="shared" ca="1" si="317"/>
        <v>8</v>
      </c>
      <c r="E6769" s="16">
        <f t="shared" ca="1" si="318"/>
        <v>0</v>
      </c>
    </row>
    <row r="6770" spans="1:5" x14ac:dyDescent="0.25">
      <c r="A6770" s="3">
        <f t="shared" si="316"/>
        <v>78989</v>
      </c>
      <c r="B6770" t="str">
        <f ca="1">TEXT(DATE(YEAR(Invoer!$A$5),1,1)+INT((ROWS(B$2:B6770)-1)/24),"""18""jjmmdd")</f>
        <v>18981010</v>
      </c>
      <c r="C6770" s="11" t="str">
        <f>INDEX(Data,2,2+MOD(ROWS(C$2:C6770)-1,24))</f>
        <v>01.00</v>
      </c>
      <c r="D6770" s="8">
        <f t="shared" ca="1" si="317"/>
        <v>9</v>
      </c>
      <c r="E6770" s="16">
        <f t="shared" ca="1" si="318"/>
        <v>0</v>
      </c>
    </row>
    <row r="6771" spans="1:5" x14ac:dyDescent="0.25">
      <c r="A6771" s="3">
        <f t="shared" si="316"/>
        <v>78989</v>
      </c>
      <c r="B6771" t="str">
        <f ca="1">TEXT(DATE(YEAR(Invoer!$A$5),1,1)+INT((ROWS(B$2:B6771)-1)/24),"""18""jjmmdd")</f>
        <v>18981010</v>
      </c>
      <c r="C6771" s="11" t="str">
        <f>INDEX(Data,2,2+MOD(ROWS(C$2:C6771)-1,24))</f>
        <v>02.00</v>
      </c>
      <c r="D6771" s="8">
        <f t="shared" ca="1" si="317"/>
        <v>7</v>
      </c>
      <c r="E6771" s="16">
        <f t="shared" ca="1" si="318"/>
        <v>0</v>
      </c>
    </row>
    <row r="6772" spans="1:5" x14ac:dyDescent="0.25">
      <c r="A6772" s="3">
        <f t="shared" si="316"/>
        <v>78989</v>
      </c>
      <c r="B6772" t="str">
        <f ca="1">TEXT(DATE(YEAR(Invoer!$A$5),1,1)+INT((ROWS(B$2:B6772)-1)/24),"""18""jjmmdd")</f>
        <v>18981010</v>
      </c>
      <c r="C6772" s="11" t="str">
        <f>INDEX(Data,2,2+MOD(ROWS(C$2:C6772)-1,24))</f>
        <v>03.00</v>
      </c>
      <c r="D6772" s="8">
        <f t="shared" ca="1" si="317"/>
        <v>5</v>
      </c>
      <c r="E6772" s="16">
        <f t="shared" ca="1" si="318"/>
        <v>0</v>
      </c>
    </row>
    <row r="6773" spans="1:5" x14ac:dyDescent="0.25">
      <c r="A6773" s="3">
        <f t="shared" si="316"/>
        <v>78989</v>
      </c>
      <c r="B6773" t="str">
        <f ca="1">TEXT(DATE(YEAR(Invoer!$A$5),1,1)+INT((ROWS(B$2:B6773)-1)/24),"""18""jjmmdd")</f>
        <v>18981010</v>
      </c>
      <c r="C6773" s="11" t="str">
        <f>INDEX(Data,2,2+MOD(ROWS(C$2:C6773)-1,24))</f>
        <v>04.00</v>
      </c>
      <c r="D6773" s="8">
        <f t="shared" ca="1" si="317"/>
        <v>9</v>
      </c>
      <c r="E6773" s="16">
        <f t="shared" ca="1" si="318"/>
        <v>0</v>
      </c>
    </row>
    <row r="6774" spans="1:5" x14ac:dyDescent="0.25">
      <c r="A6774" s="3">
        <f t="shared" si="316"/>
        <v>78989</v>
      </c>
      <c r="B6774" t="str">
        <f ca="1">TEXT(DATE(YEAR(Invoer!$A$5),1,1)+INT((ROWS(B$2:B6774)-1)/24),"""18""jjmmdd")</f>
        <v>18981010</v>
      </c>
      <c r="C6774" s="11" t="str">
        <f>INDEX(Data,2,2+MOD(ROWS(C$2:C6774)-1,24))</f>
        <v>05.00</v>
      </c>
      <c r="D6774" s="8">
        <f t="shared" ca="1" si="317"/>
        <v>8</v>
      </c>
      <c r="E6774" s="16">
        <f t="shared" ca="1" si="318"/>
        <v>0</v>
      </c>
    </row>
    <row r="6775" spans="1:5" x14ac:dyDescent="0.25">
      <c r="A6775" s="3">
        <f t="shared" si="316"/>
        <v>78989</v>
      </c>
      <c r="B6775" t="str">
        <f ca="1">TEXT(DATE(YEAR(Invoer!$A$5),1,1)+INT((ROWS(B$2:B6775)-1)/24),"""18""jjmmdd")</f>
        <v>18981010</v>
      </c>
      <c r="C6775" s="11" t="str">
        <f>INDEX(Data,2,2+MOD(ROWS(C$2:C6775)-1,24))</f>
        <v>06.00</v>
      </c>
      <c r="D6775" s="8">
        <f t="shared" ca="1" si="317"/>
        <v>5</v>
      </c>
      <c r="E6775" s="16">
        <f t="shared" ca="1" si="318"/>
        <v>0</v>
      </c>
    </row>
    <row r="6776" spans="1:5" x14ac:dyDescent="0.25">
      <c r="A6776" s="3">
        <f t="shared" si="316"/>
        <v>78989</v>
      </c>
      <c r="B6776" t="str">
        <f ca="1">TEXT(DATE(YEAR(Invoer!$A$5),1,1)+INT((ROWS(B$2:B6776)-1)/24),"""18""jjmmdd")</f>
        <v>18981010</v>
      </c>
      <c r="C6776" s="11" t="str">
        <f>INDEX(Data,2,2+MOD(ROWS(C$2:C6776)-1,24))</f>
        <v>07.00</v>
      </c>
      <c r="D6776" s="8">
        <f t="shared" ca="1" si="317"/>
        <v>6</v>
      </c>
      <c r="E6776" s="16">
        <f t="shared" ca="1" si="318"/>
        <v>0</v>
      </c>
    </row>
    <row r="6777" spans="1:5" x14ac:dyDescent="0.25">
      <c r="A6777" s="3">
        <f t="shared" si="316"/>
        <v>78989</v>
      </c>
      <c r="B6777" t="str">
        <f ca="1">TEXT(DATE(YEAR(Invoer!$A$5),1,1)+INT((ROWS(B$2:B6777)-1)/24),"""18""jjmmdd")</f>
        <v>18981010</v>
      </c>
      <c r="C6777" s="11" t="str">
        <f>INDEX(Data,2,2+MOD(ROWS(C$2:C6777)-1,24))</f>
        <v>08.00</v>
      </c>
      <c r="D6777" s="8">
        <f t="shared" ca="1" si="317"/>
        <v>8</v>
      </c>
      <c r="E6777" s="16">
        <f t="shared" ca="1" si="318"/>
        <v>0</v>
      </c>
    </row>
    <row r="6778" spans="1:5" x14ac:dyDescent="0.25">
      <c r="A6778" s="3">
        <f t="shared" si="316"/>
        <v>78989</v>
      </c>
      <c r="B6778" t="str">
        <f ca="1">TEXT(DATE(YEAR(Invoer!$A$5),1,1)+INT((ROWS(B$2:B6778)-1)/24),"""18""jjmmdd")</f>
        <v>18981010</v>
      </c>
      <c r="C6778" s="11" t="str">
        <f>INDEX(Data,2,2+MOD(ROWS(C$2:C6778)-1,24))</f>
        <v>09.00</v>
      </c>
      <c r="D6778" s="8">
        <f t="shared" ca="1" si="317"/>
        <v>12</v>
      </c>
      <c r="E6778" s="16">
        <f t="shared" ca="1" si="318"/>
        <v>0</v>
      </c>
    </row>
    <row r="6779" spans="1:5" x14ac:dyDescent="0.25">
      <c r="A6779" s="3">
        <f t="shared" si="316"/>
        <v>78989</v>
      </c>
      <c r="B6779" t="str">
        <f ca="1">TEXT(DATE(YEAR(Invoer!$A$5),1,1)+INT((ROWS(B$2:B6779)-1)/24),"""18""jjmmdd")</f>
        <v>18981010</v>
      </c>
      <c r="C6779" s="11" t="str">
        <f>INDEX(Data,2,2+MOD(ROWS(C$2:C6779)-1,24))</f>
        <v>10.00</v>
      </c>
      <c r="D6779" s="8">
        <f t="shared" ca="1" si="317"/>
        <v>10</v>
      </c>
      <c r="E6779" s="16">
        <f t="shared" ca="1" si="318"/>
        <v>0</v>
      </c>
    </row>
    <row r="6780" spans="1:5" x14ac:dyDescent="0.25">
      <c r="A6780" s="3">
        <f t="shared" si="316"/>
        <v>78989</v>
      </c>
      <c r="B6780" t="str">
        <f ca="1">TEXT(DATE(YEAR(Invoer!$A$5),1,1)+INT((ROWS(B$2:B6780)-1)/24),"""18""jjmmdd")</f>
        <v>18981010</v>
      </c>
      <c r="C6780" s="11" t="str">
        <f>INDEX(Data,2,2+MOD(ROWS(C$2:C6780)-1,24))</f>
        <v>11.00</v>
      </c>
      <c r="D6780" s="8">
        <f t="shared" ca="1" si="317"/>
        <v>10</v>
      </c>
      <c r="E6780" s="16">
        <f t="shared" ca="1" si="318"/>
        <v>0</v>
      </c>
    </row>
    <row r="6781" spans="1:5" x14ac:dyDescent="0.25">
      <c r="A6781" s="3">
        <f t="shared" si="316"/>
        <v>78989</v>
      </c>
      <c r="B6781" t="str">
        <f ca="1">TEXT(DATE(YEAR(Invoer!$A$5),1,1)+INT((ROWS(B$2:B6781)-1)/24),"""18""jjmmdd")</f>
        <v>18981010</v>
      </c>
      <c r="C6781" s="11" t="str">
        <f>INDEX(Data,2,2+MOD(ROWS(C$2:C6781)-1,24))</f>
        <v>12.00</v>
      </c>
      <c r="D6781" s="8">
        <f t="shared" ca="1" si="317"/>
        <v>12</v>
      </c>
      <c r="E6781" s="16">
        <f t="shared" ca="1" si="318"/>
        <v>0</v>
      </c>
    </row>
    <row r="6782" spans="1:5" x14ac:dyDescent="0.25">
      <c r="A6782" s="3">
        <f t="shared" si="316"/>
        <v>78989</v>
      </c>
      <c r="B6782" t="str">
        <f ca="1">TEXT(DATE(YEAR(Invoer!$A$5),1,1)+INT((ROWS(B$2:B6782)-1)/24),"""18""jjmmdd")</f>
        <v>18981010</v>
      </c>
      <c r="C6782" s="11" t="str">
        <f>INDEX(Data,2,2+MOD(ROWS(C$2:C6782)-1,24))</f>
        <v>13.00</v>
      </c>
      <c r="D6782" s="8">
        <f t="shared" ca="1" si="317"/>
        <v>13</v>
      </c>
      <c r="E6782" s="16">
        <f t="shared" ca="1" si="318"/>
        <v>0</v>
      </c>
    </row>
    <row r="6783" spans="1:5" x14ac:dyDescent="0.25">
      <c r="A6783" s="3">
        <f t="shared" si="316"/>
        <v>78989</v>
      </c>
      <c r="B6783" t="str">
        <f ca="1">TEXT(DATE(YEAR(Invoer!$A$5),1,1)+INT((ROWS(B$2:B6783)-1)/24),"""18""jjmmdd")</f>
        <v>18981010</v>
      </c>
      <c r="C6783" s="11" t="str">
        <f>INDEX(Data,2,2+MOD(ROWS(C$2:C6783)-1,24))</f>
        <v>14.00</v>
      </c>
      <c r="D6783" s="8">
        <f t="shared" ca="1" si="317"/>
        <v>13</v>
      </c>
      <c r="E6783" s="16">
        <f t="shared" ca="1" si="318"/>
        <v>0</v>
      </c>
    </row>
    <row r="6784" spans="1:5" x14ac:dyDescent="0.25">
      <c r="A6784" s="3">
        <f t="shared" si="316"/>
        <v>78989</v>
      </c>
      <c r="B6784" t="str">
        <f ca="1">TEXT(DATE(YEAR(Invoer!$A$5),1,1)+INT((ROWS(B$2:B6784)-1)/24),"""18""jjmmdd")</f>
        <v>18981010</v>
      </c>
      <c r="C6784" s="11" t="str">
        <f>INDEX(Data,2,2+MOD(ROWS(C$2:C6784)-1,24))</f>
        <v>15.00</v>
      </c>
      <c r="D6784" s="8">
        <f t="shared" ca="1" si="317"/>
        <v>12</v>
      </c>
      <c r="E6784" s="16">
        <f t="shared" ca="1" si="318"/>
        <v>0</v>
      </c>
    </row>
    <row r="6785" spans="1:5" x14ac:dyDescent="0.25">
      <c r="A6785" s="3">
        <f t="shared" si="316"/>
        <v>78989</v>
      </c>
      <c r="B6785" t="str">
        <f ca="1">TEXT(DATE(YEAR(Invoer!$A$5),1,1)+INT((ROWS(B$2:B6785)-1)/24),"""18""jjmmdd")</f>
        <v>18981010</v>
      </c>
      <c r="C6785" s="11" t="str">
        <f>INDEX(Data,2,2+MOD(ROWS(C$2:C6785)-1,24))</f>
        <v>16.00</v>
      </c>
      <c r="D6785" s="8">
        <f t="shared" ca="1" si="317"/>
        <v>11</v>
      </c>
      <c r="E6785" s="16">
        <f t="shared" ca="1" si="318"/>
        <v>0</v>
      </c>
    </row>
    <row r="6786" spans="1:5" x14ac:dyDescent="0.25">
      <c r="A6786" s="3">
        <f t="shared" ref="A6786:A6849" si="319">INDEX(Stations,2,1)</f>
        <v>78989</v>
      </c>
      <c r="B6786" t="str">
        <f ca="1">TEXT(DATE(YEAR(Invoer!$A$5),1,1)+INT((ROWS(B$2:B6786)-1)/24),"""18""jjmmdd")</f>
        <v>18981010</v>
      </c>
      <c r="C6786" s="11" t="str">
        <f>INDEX(Data,2,2+MOD(ROWS(C$2:C6786)-1,24))</f>
        <v>17.00</v>
      </c>
      <c r="D6786" s="8">
        <f t="shared" ref="D6786:D6849" ca="1" si="320">IF(OR(ISBLANK(VLOOKUP(DATEVALUE("37"&amp;MID($B6786,3,2)&amp;"-"&amp;MID($B6786,5,2)&amp;"-"&amp;RIGHT($B6786,2)),Data,MATCH(LEFT(VLOOKUP(D$1,Parameters,2,FALSE()),4)&amp;"*",OFFSET(Data,0,0,1),0)+MATCH($C6786,OFFSET(Data,1,0,1),0)-2,FALSE())),ISTEXT(VLOOKUP(DATEVALUE("37"&amp;MID($B6786,3,2)&amp;"-"&amp;MID($B6786,5,2)&amp;"-"&amp;RIGHT($B6786,2)),Data,MATCH(LEFT(VLOOKUP(D$1,Parameters,2,FALSE()),4)&amp;"*",OFFSET(Data,0,0,1),0)+MATCH($C6786,OFFSET(Data,1,0,1),0)-2,FALSE()))),"—",VLOOKUP(DATEVALUE("37"&amp;MID($B6786,3,2)&amp;"-"&amp;MID($B6786,5,2)&amp;"-"&amp;RIGHT($B6786,2)),Data,MATCH(LEFT(VLOOKUP(D$1,Parameters,2,FALSE()),4)&amp;"*",OFFSET(Data,0,0,1),0)+MATCH($C6786,OFFSET(Data,1,0,1),0)-2,FALSE()))</f>
        <v>10</v>
      </c>
      <c r="E6786" s="16">
        <f t="shared" ca="1" si="318"/>
        <v>0</v>
      </c>
    </row>
    <row r="6787" spans="1:5" x14ac:dyDescent="0.25">
      <c r="A6787" s="3">
        <f t="shared" si="319"/>
        <v>78989</v>
      </c>
      <c r="B6787" t="str">
        <f ca="1">TEXT(DATE(YEAR(Invoer!$A$5),1,1)+INT((ROWS(B$2:B6787)-1)/24),"""18""jjmmdd")</f>
        <v>18981010</v>
      </c>
      <c r="C6787" s="11" t="str">
        <f>INDEX(Data,2,2+MOD(ROWS(C$2:C6787)-1,24))</f>
        <v>18.00</v>
      </c>
      <c r="D6787" s="8">
        <f t="shared" ca="1" si="320"/>
        <v>9</v>
      </c>
      <c r="E6787" s="16">
        <f t="shared" ref="E6787:E6850" ca="1" si="321">IF(OR(ISBLANK(VLOOKUP(DATEVALUE("37"&amp;MID($B6787,3,2)&amp;"-"&amp;MID($B6787,5,2)&amp;"-"&amp;RIGHT($B6787,2)),Data,MATCH(LEFT(VLOOKUP(D$1,Parameters,2,FALSE()),4)&amp;"*",OFFSET(Data,0,0,1),0)+MATCH($C6787,OFFSET(Data,1,0,1),0)-2,FALSE())),ISTEXT(VLOOKUP(DATEVALUE("37"&amp;MID($B6787,3,2)&amp;"-"&amp;MID($B6787,5,2)&amp;"-"&amp;RIGHT($B6787,2)),Data,MATCH(LEFT(VLOOKUP(D$1,Parameters,2,FALSE()),4)&amp;"*",OFFSET(Data,0,0,1),0)+MATCH($C6787,OFFSET(Data,1,0,1),0)-2,FALSE()))),Lacking,IF(ISNA(MATCH(DATEVALUE("37"&amp;MID($B6787,3,2)&amp;"-"&amp;MID($B6787,5,2)&amp;"-"&amp;RIGHT($B6787,2)),OFFSET(Catalogus,0,0,,1),0)),Ok,VLOOKUP(DATEVALUE("37"&amp;MID($B6787,3,2)&amp;"-"&amp;MID($B6787,5,2)&amp;"-"&amp;RIGHT($B6787,2)),Catalogus,MATCH(LEFT(VLOOKUP(MID(E$1,2,LEN(E$1)-1),Parameters,2,FALSE()),4)&amp;"*",OFFSET(Catalogus,0,0,1),0)+MATCH($C6787,OFFSET(Catalogus,1,0,1),0)-2,FALSE())))</f>
        <v>0</v>
      </c>
    </row>
    <row r="6788" spans="1:5" x14ac:dyDescent="0.25">
      <c r="A6788" s="3">
        <f t="shared" si="319"/>
        <v>78989</v>
      </c>
      <c r="B6788" t="str">
        <f ca="1">TEXT(DATE(YEAR(Invoer!$A$5),1,1)+INT((ROWS(B$2:B6788)-1)/24),"""18""jjmmdd")</f>
        <v>18981010</v>
      </c>
      <c r="C6788" s="11" t="str">
        <f>INDEX(Data,2,2+MOD(ROWS(C$2:C6788)-1,24))</f>
        <v>19.00</v>
      </c>
      <c r="D6788" s="8">
        <f t="shared" ca="1" si="320"/>
        <v>9</v>
      </c>
      <c r="E6788" s="16">
        <f t="shared" ca="1" si="321"/>
        <v>0</v>
      </c>
    </row>
    <row r="6789" spans="1:5" x14ac:dyDescent="0.25">
      <c r="A6789" s="3">
        <f t="shared" si="319"/>
        <v>78989</v>
      </c>
      <c r="B6789" t="str">
        <f ca="1">TEXT(DATE(YEAR(Invoer!$A$5),1,1)+INT((ROWS(B$2:B6789)-1)/24),"""18""jjmmdd")</f>
        <v>18981010</v>
      </c>
      <c r="C6789" s="11" t="str">
        <f>INDEX(Data,2,2+MOD(ROWS(C$2:C6789)-1,24))</f>
        <v>20.00</v>
      </c>
      <c r="D6789" s="8">
        <f t="shared" ca="1" si="320"/>
        <v>7</v>
      </c>
      <c r="E6789" s="16">
        <f t="shared" ca="1" si="321"/>
        <v>0</v>
      </c>
    </row>
    <row r="6790" spans="1:5" x14ac:dyDescent="0.25">
      <c r="A6790" s="3">
        <f t="shared" si="319"/>
        <v>78989</v>
      </c>
      <c r="B6790" t="str">
        <f ca="1">TEXT(DATE(YEAR(Invoer!$A$5),1,1)+INT((ROWS(B$2:B6790)-1)/24),"""18""jjmmdd")</f>
        <v>18981010</v>
      </c>
      <c r="C6790" s="11" t="str">
        <f>INDEX(Data,2,2+MOD(ROWS(C$2:C6790)-1,24))</f>
        <v>21.00</v>
      </c>
      <c r="D6790" s="8">
        <f t="shared" ca="1" si="320"/>
        <v>6</v>
      </c>
      <c r="E6790" s="16">
        <f t="shared" ca="1" si="321"/>
        <v>0</v>
      </c>
    </row>
    <row r="6791" spans="1:5" x14ac:dyDescent="0.25">
      <c r="A6791" s="3">
        <f t="shared" si="319"/>
        <v>78989</v>
      </c>
      <c r="B6791" t="str">
        <f ca="1">TEXT(DATE(YEAR(Invoer!$A$5),1,1)+INT((ROWS(B$2:B6791)-1)/24),"""18""jjmmdd")</f>
        <v>18981010</v>
      </c>
      <c r="C6791" s="11" t="str">
        <f>INDEX(Data,2,2+MOD(ROWS(C$2:C6791)-1,24))</f>
        <v>22.00</v>
      </c>
      <c r="D6791" s="8">
        <f t="shared" ca="1" si="320"/>
        <v>7</v>
      </c>
      <c r="E6791" s="16">
        <f t="shared" ca="1" si="321"/>
        <v>0</v>
      </c>
    </row>
    <row r="6792" spans="1:5" x14ac:dyDescent="0.25">
      <c r="A6792" s="3">
        <f t="shared" si="319"/>
        <v>78989</v>
      </c>
      <c r="B6792" t="str">
        <f ca="1">TEXT(DATE(YEAR(Invoer!$A$5),1,1)+INT((ROWS(B$2:B6792)-1)/24),"""18""jjmmdd")</f>
        <v>18981010</v>
      </c>
      <c r="C6792" s="11" t="str">
        <f>INDEX(Data,2,2+MOD(ROWS(C$2:C6792)-1,24))</f>
        <v>23.00</v>
      </c>
      <c r="D6792" s="8">
        <f t="shared" ca="1" si="320"/>
        <v>6</v>
      </c>
      <c r="E6792" s="16">
        <f t="shared" ca="1" si="321"/>
        <v>0</v>
      </c>
    </row>
    <row r="6793" spans="1:5" x14ac:dyDescent="0.25">
      <c r="A6793" s="3">
        <f t="shared" si="319"/>
        <v>78989</v>
      </c>
      <c r="B6793" t="str">
        <f ca="1">TEXT(DATE(YEAR(Invoer!$A$5),1,1)+INT((ROWS(B$2:B6793)-1)/24),"""18""jjmmdd")</f>
        <v>18981010</v>
      </c>
      <c r="C6793" s="11" t="str">
        <f>INDEX(Data,2,2+MOD(ROWS(C$2:C6793)-1,24))</f>
        <v>24.00</v>
      </c>
      <c r="D6793" s="8">
        <f t="shared" ca="1" si="320"/>
        <v>8</v>
      </c>
      <c r="E6793" s="16">
        <f t="shared" ca="1" si="321"/>
        <v>0</v>
      </c>
    </row>
    <row r="6794" spans="1:5" x14ac:dyDescent="0.25">
      <c r="A6794" s="3">
        <f t="shared" si="319"/>
        <v>78989</v>
      </c>
      <c r="B6794" t="str">
        <f ca="1">TEXT(DATE(YEAR(Invoer!$A$5),1,1)+INT((ROWS(B$2:B6794)-1)/24),"""18""jjmmdd")</f>
        <v>18981011</v>
      </c>
      <c r="C6794" s="11" t="str">
        <f>INDEX(Data,2,2+MOD(ROWS(C$2:C6794)-1,24))</f>
        <v>01.00</v>
      </c>
      <c r="D6794" s="8">
        <f t="shared" ca="1" si="320"/>
        <v>6</v>
      </c>
      <c r="E6794" s="16">
        <f t="shared" ca="1" si="321"/>
        <v>0</v>
      </c>
    </row>
    <row r="6795" spans="1:5" x14ac:dyDescent="0.25">
      <c r="A6795" s="3">
        <f t="shared" si="319"/>
        <v>78989</v>
      </c>
      <c r="B6795" t="str">
        <f ca="1">TEXT(DATE(YEAR(Invoer!$A$5),1,1)+INT((ROWS(B$2:B6795)-1)/24),"""18""jjmmdd")</f>
        <v>18981011</v>
      </c>
      <c r="C6795" s="11" t="str">
        <f>INDEX(Data,2,2+MOD(ROWS(C$2:C6795)-1,24))</f>
        <v>02.00</v>
      </c>
      <c r="D6795" s="8">
        <f t="shared" ca="1" si="320"/>
        <v>5</v>
      </c>
      <c r="E6795" s="16">
        <f t="shared" ca="1" si="321"/>
        <v>0</v>
      </c>
    </row>
    <row r="6796" spans="1:5" x14ac:dyDescent="0.25">
      <c r="A6796" s="3">
        <f t="shared" si="319"/>
        <v>78989</v>
      </c>
      <c r="B6796" t="str">
        <f ca="1">TEXT(DATE(YEAR(Invoer!$A$5),1,1)+INT((ROWS(B$2:B6796)-1)/24),"""18""jjmmdd")</f>
        <v>18981011</v>
      </c>
      <c r="C6796" s="11" t="str">
        <f>INDEX(Data,2,2+MOD(ROWS(C$2:C6796)-1,24))</f>
        <v>03.00</v>
      </c>
      <c r="D6796" s="8">
        <f t="shared" ca="1" si="320"/>
        <v>5</v>
      </c>
      <c r="E6796" s="16">
        <f t="shared" ca="1" si="321"/>
        <v>0</v>
      </c>
    </row>
    <row r="6797" spans="1:5" x14ac:dyDescent="0.25">
      <c r="A6797" s="3">
        <f t="shared" si="319"/>
        <v>78989</v>
      </c>
      <c r="B6797" t="str">
        <f ca="1">TEXT(DATE(YEAR(Invoer!$A$5),1,1)+INT((ROWS(B$2:B6797)-1)/24),"""18""jjmmdd")</f>
        <v>18981011</v>
      </c>
      <c r="C6797" s="11" t="str">
        <f>INDEX(Data,2,2+MOD(ROWS(C$2:C6797)-1,24))</f>
        <v>04.00</v>
      </c>
      <c r="D6797" s="8">
        <f t="shared" ca="1" si="320"/>
        <v>6</v>
      </c>
      <c r="E6797" s="16">
        <f t="shared" ca="1" si="321"/>
        <v>0</v>
      </c>
    </row>
    <row r="6798" spans="1:5" x14ac:dyDescent="0.25">
      <c r="A6798" s="3">
        <f t="shared" si="319"/>
        <v>78989</v>
      </c>
      <c r="B6798" t="str">
        <f ca="1">TEXT(DATE(YEAR(Invoer!$A$5),1,1)+INT((ROWS(B$2:B6798)-1)/24),"""18""jjmmdd")</f>
        <v>18981011</v>
      </c>
      <c r="C6798" s="11" t="str">
        <f>INDEX(Data,2,2+MOD(ROWS(C$2:C6798)-1,24))</f>
        <v>05.00</v>
      </c>
      <c r="D6798" s="8">
        <f t="shared" ca="1" si="320"/>
        <v>6</v>
      </c>
      <c r="E6798" s="16">
        <f t="shared" ca="1" si="321"/>
        <v>0</v>
      </c>
    </row>
    <row r="6799" spans="1:5" x14ac:dyDescent="0.25">
      <c r="A6799" s="3">
        <f t="shared" si="319"/>
        <v>78989</v>
      </c>
      <c r="B6799" t="str">
        <f ca="1">TEXT(DATE(YEAR(Invoer!$A$5),1,1)+INT((ROWS(B$2:B6799)-1)/24),"""18""jjmmdd")</f>
        <v>18981011</v>
      </c>
      <c r="C6799" s="11" t="str">
        <f>INDEX(Data,2,2+MOD(ROWS(C$2:C6799)-1,24))</f>
        <v>06.00</v>
      </c>
      <c r="D6799" s="8">
        <f t="shared" ca="1" si="320"/>
        <v>5</v>
      </c>
      <c r="E6799" s="16">
        <f t="shared" ca="1" si="321"/>
        <v>0</v>
      </c>
    </row>
    <row r="6800" spans="1:5" x14ac:dyDescent="0.25">
      <c r="A6800" s="3">
        <f t="shared" si="319"/>
        <v>78989</v>
      </c>
      <c r="B6800" t="str">
        <f ca="1">TEXT(DATE(YEAR(Invoer!$A$5),1,1)+INT((ROWS(B$2:B6800)-1)/24),"""18""jjmmdd")</f>
        <v>18981011</v>
      </c>
      <c r="C6800" s="11" t="str">
        <f>INDEX(Data,2,2+MOD(ROWS(C$2:C6800)-1,24))</f>
        <v>07.00</v>
      </c>
      <c r="D6800" s="8">
        <f t="shared" ca="1" si="320"/>
        <v>8</v>
      </c>
      <c r="E6800" s="16">
        <f t="shared" ca="1" si="321"/>
        <v>0</v>
      </c>
    </row>
    <row r="6801" spans="1:5" x14ac:dyDescent="0.25">
      <c r="A6801" s="3">
        <f t="shared" si="319"/>
        <v>78989</v>
      </c>
      <c r="B6801" t="str">
        <f ca="1">TEXT(DATE(YEAR(Invoer!$A$5),1,1)+INT((ROWS(B$2:B6801)-1)/24),"""18""jjmmdd")</f>
        <v>18981011</v>
      </c>
      <c r="C6801" s="11" t="str">
        <f>INDEX(Data,2,2+MOD(ROWS(C$2:C6801)-1,24))</f>
        <v>08.00</v>
      </c>
      <c r="D6801" s="8">
        <f t="shared" ca="1" si="320"/>
        <v>10</v>
      </c>
      <c r="E6801" s="16">
        <f t="shared" ca="1" si="321"/>
        <v>0</v>
      </c>
    </row>
    <row r="6802" spans="1:5" x14ac:dyDescent="0.25">
      <c r="A6802" s="3">
        <f t="shared" si="319"/>
        <v>78989</v>
      </c>
      <c r="B6802" t="str">
        <f ca="1">TEXT(DATE(YEAR(Invoer!$A$5),1,1)+INT((ROWS(B$2:B6802)-1)/24),"""18""jjmmdd")</f>
        <v>18981011</v>
      </c>
      <c r="C6802" s="11" t="str">
        <f>INDEX(Data,2,2+MOD(ROWS(C$2:C6802)-1,24))</f>
        <v>09.00</v>
      </c>
      <c r="D6802" s="8">
        <f t="shared" ca="1" si="320"/>
        <v>10</v>
      </c>
      <c r="E6802" s="16">
        <f t="shared" ca="1" si="321"/>
        <v>0</v>
      </c>
    </row>
    <row r="6803" spans="1:5" x14ac:dyDescent="0.25">
      <c r="A6803" s="3">
        <f t="shared" si="319"/>
        <v>78989</v>
      </c>
      <c r="B6803" t="str">
        <f ca="1">TEXT(DATE(YEAR(Invoer!$A$5),1,1)+INT((ROWS(B$2:B6803)-1)/24),"""18""jjmmdd")</f>
        <v>18981011</v>
      </c>
      <c r="C6803" s="11" t="str">
        <f>INDEX(Data,2,2+MOD(ROWS(C$2:C6803)-1,24))</f>
        <v>10.00</v>
      </c>
      <c r="D6803" s="8">
        <f t="shared" ca="1" si="320"/>
        <v>9</v>
      </c>
      <c r="E6803" s="16">
        <f t="shared" ca="1" si="321"/>
        <v>0</v>
      </c>
    </row>
    <row r="6804" spans="1:5" x14ac:dyDescent="0.25">
      <c r="A6804" s="3">
        <f t="shared" si="319"/>
        <v>78989</v>
      </c>
      <c r="B6804" t="str">
        <f ca="1">TEXT(DATE(YEAR(Invoer!$A$5),1,1)+INT((ROWS(B$2:B6804)-1)/24),"""18""jjmmdd")</f>
        <v>18981011</v>
      </c>
      <c r="C6804" s="11" t="str">
        <f>INDEX(Data,2,2+MOD(ROWS(C$2:C6804)-1,24))</f>
        <v>11.00</v>
      </c>
      <c r="D6804" s="8">
        <f t="shared" ca="1" si="320"/>
        <v>12</v>
      </c>
      <c r="E6804" s="16">
        <f t="shared" ca="1" si="321"/>
        <v>0</v>
      </c>
    </row>
    <row r="6805" spans="1:5" x14ac:dyDescent="0.25">
      <c r="A6805" s="3">
        <f t="shared" si="319"/>
        <v>78989</v>
      </c>
      <c r="B6805" t="str">
        <f ca="1">TEXT(DATE(YEAR(Invoer!$A$5),1,1)+INT((ROWS(B$2:B6805)-1)/24),"""18""jjmmdd")</f>
        <v>18981011</v>
      </c>
      <c r="C6805" s="11" t="str">
        <f>INDEX(Data,2,2+MOD(ROWS(C$2:C6805)-1,24))</f>
        <v>12.00</v>
      </c>
      <c r="D6805" s="8">
        <f t="shared" ca="1" si="320"/>
        <v>14</v>
      </c>
      <c r="E6805" s="16">
        <f t="shared" ca="1" si="321"/>
        <v>0</v>
      </c>
    </row>
    <row r="6806" spans="1:5" x14ac:dyDescent="0.25">
      <c r="A6806" s="3">
        <f t="shared" si="319"/>
        <v>78989</v>
      </c>
      <c r="B6806" t="str">
        <f ca="1">TEXT(DATE(YEAR(Invoer!$A$5),1,1)+INT((ROWS(B$2:B6806)-1)/24),"""18""jjmmdd")</f>
        <v>18981011</v>
      </c>
      <c r="C6806" s="11" t="str">
        <f>INDEX(Data,2,2+MOD(ROWS(C$2:C6806)-1,24))</f>
        <v>13.00</v>
      </c>
      <c r="D6806" s="8">
        <f t="shared" ca="1" si="320"/>
        <v>11</v>
      </c>
      <c r="E6806" s="16">
        <f t="shared" ca="1" si="321"/>
        <v>0</v>
      </c>
    </row>
    <row r="6807" spans="1:5" x14ac:dyDescent="0.25">
      <c r="A6807" s="3">
        <f t="shared" si="319"/>
        <v>78989</v>
      </c>
      <c r="B6807" t="str">
        <f ca="1">TEXT(DATE(YEAR(Invoer!$A$5),1,1)+INT((ROWS(B$2:B6807)-1)/24),"""18""jjmmdd")</f>
        <v>18981011</v>
      </c>
      <c r="C6807" s="11" t="str">
        <f>INDEX(Data,2,2+MOD(ROWS(C$2:C6807)-1,24))</f>
        <v>14.00</v>
      </c>
      <c r="D6807" s="8">
        <f t="shared" ca="1" si="320"/>
        <v>10</v>
      </c>
      <c r="E6807" s="16">
        <f t="shared" ca="1" si="321"/>
        <v>0</v>
      </c>
    </row>
    <row r="6808" spans="1:5" x14ac:dyDescent="0.25">
      <c r="A6808" s="3">
        <f t="shared" si="319"/>
        <v>78989</v>
      </c>
      <c r="B6808" t="str">
        <f ca="1">TEXT(DATE(YEAR(Invoer!$A$5),1,1)+INT((ROWS(B$2:B6808)-1)/24),"""18""jjmmdd")</f>
        <v>18981011</v>
      </c>
      <c r="C6808" s="11" t="str">
        <f>INDEX(Data,2,2+MOD(ROWS(C$2:C6808)-1,24))</f>
        <v>15.00</v>
      </c>
      <c r="D6808" s="8">
        <f t="shared" ca="1" si="320"/>
        <v>11</v>
      </c>
      <c r="E6808" s="16">
        <f t="shared" ca="1" si="321"/>
        <v>0</v>
      </c>
    </row>
    <row r="6809" spans="1:5" x14ac:dyDescent="0.25">
      <c r="A6809" s="3">
        <f t="shared" si="319"/>
        <v>78989</v>
      </c>
      <c r="B6809" t="str">
        <f ca="1">TEXT(DATE(YEAR(Invoer!$A$5),1,1)+INT((ROWS(B$2:B6809)-1)/24),"""18""jjmmdd")</f>
        <v>18981011</v>
      </c>
      <c r="C6809" s="11" t="str">
        <f>INDEX(Data,2,2+MOD(ROWS(C$2:C6809)-1,24))</f>
        <v>16.00</v>
      </c>
      <c r="D6809" s="8">
        <f t="shared" ca="1" si="320"/>
        <v>11</v>
      </c>
      <c r="E6809" s="16">
        <f t="shared" ca="1" si="321"/>
        <v>0</v>
      </c>
    </row>
    <row r="6810" spans="1:5" x14ac:dyDescent="0.25">
      <c r="A6810" s="3">
        <f t="shared" si="319"/>
        <v>78989</v>
      </c>
      <c r="B6810" t="str">
        <f ca="1">TEXT(DATE(YEAR(Invoer!$A$5),1,1)+INT((ROWS(B$2:B6810)-1)/24),"""18""jjmmdd")</f>
        <v>18981011</v>
      </c>
      <c r="C6810" s="11" t="str">
        <f>INDEX(Data,2,2+MOD(ROWS(C$2:C6810)-1,24))</f>
        <v>17.00</v>
      </c>
      <c r="D6810" s="8">
        <f t="shared" ca="1" si="320"/>
        <v>14</v>
      </c>
      <c r="E6810" s="16">
        <f t="shared" ca="1" si="321"/>
        <v>0</v>
      </c>
    </row>
    <row r="6811" spans="1:5" x14ac:dyDescent="0.25">
      <c r="A6811" s="3">
        <f t="shared" si="319"/>
        <v>78989</v>
      </c>
      <c r="B6811" t="str">
        <f ca="1">TEXT(DATE(YEAR(Invoer!$A$5),1,1)+INT((ROWS(B$2:B6811)-1)/24),"""18""jjmmdd")</f>
        <v>18981011</v>
      </c>
      <c r="C6811" s="11" t="str">
        <f>INDEX(Data,2,2+MOD(ROWS(C$2:C6811)-1,24))</f>
        <v>18.00</v>
      </c>
      <c r="D6811" s="8">
        <f t="shared" ca="1" si="320"/>
        <v>13</v>
      </c>
      <c r="E6811" s="16">
        <f t="shared" ca="1" si="321"/>
        <v>0</v>
      </c>
    </row>
    <row r="6812" spans="1:5" x14ac:dyDescent="0.25">
      <c r="A6812" s="3">
        <f t="shared" si="319"/>
        <v>78989</v>
      </c>
      <c r="B6812" t="str">
        <f ca="1">TEXT(DATE(YEAR(Invoer!$A$5),1,1)+INT((ROWS(B$2:B6812)-1)/24),"""18""jjmmdd")</f>
        <v>18981011</v>
      </c>
      <c r="C6812" s="11" t="str">
        <f>INDEX(Data,2,2+MOD(ROWS(C$2:C6812)-1,24))</f>
        <v>19.00</v>
      </c>
      <c r="D6812" s="8">
        <f t="shared" ca="1" si="320"/>
        <v>11</v>
      </c>
      <c r="E6812" s="16">
        <f t="shared" ca="1" si="321"/>
        <v>0</v>
      </c>
    </row>
    <row r="6813" spans="1:5" x14ac:dyDescent="0.25">
      <c r="A6813" s="3">
        <f t="shared" si="319"/>
        <v>78989</v>
      </c>
      <c r="B6813" t="str">
        <f ca="1">TEXT(DATE(YEAR(Invoer!$A$5),1,1)+INT((ROWS(B$2:B6813)-1)/24),"""18""jjmmdd")</f>
        <v>18981011</v>
      </c>
      <c r="C6813" s="11" t="str">
        <f>INDEX(Data,2,2+MOD(ROWS(C$2:C6813)-1,24))</f>
        <v>20.00</v>
      </c>
      <c r="D6813" s="8">
        <f t="shared" ca="1" si="320"/>
        <v>12</v>
      </c>
      <c r="E6813" s="16">
        <f t="shared" ca="1" si="321"/>
        <v>0</v>
      </c>
    </row>
    <row r="6814" spans="1:5" x14ac:dyDescent="0.25">
      <c r="A6814" s="3">
        <f t="shared" si="319"/>
        <v>78989</v>
      </c>
      <c r="B6814" t="str">
        <f ca="1">TEXT(DATE(YEAR(Invoer!$A$5),1,1)+INT((ROWS(B$2:B6814)-1)/24),"""18""jjmmdd")</f>
        <v>18981011</v>
      </c>
      <c r="C6814" s="11" t="str">
        <f>INDEX(Data,2,2+MOD(ROWS(C$2:C6814)-1,24))</f>
        <v>21.00</v>
      </c>
      <c r="D6814" s="8">
        <f t="shared" ca="1" si="320"/>
        <v>9</v>
      </c>
      <c r="E6814" s="16">
        <f t="shared" ca="1" si="321"/>
        <v>0</v>
      </c>
    </row>
    <row r="6815" spans="1:5" x14ac:dyDescent="0.25">
      <c r="A6815" s="3">
        <f t="shared" si="319"/>
        <v>78989</v>
      </c>
      <c r="B6815" t="str">
        <f ca="1">TEXT(DATE(YEAR(Invoer!$A$5),1,1)+INT((ROWS(B$2:B6815)-1)/24),"""18""jjmmdd")</f>
        <v>18981011</v>
      </c>
      <c r="C6815" s="11" t="str">
        <f>INDEX(Data,2,2+MOD(ROWS(C$2:C6815)-1,24))</f>
        <v>22.00</v>
      </c>
      <c r="D6815" s="8">
        <f t="shared" ca="1" si="320"/>
        <v>8</v>
      </c>
      <c r="E6815" s="16">
        <f t="shared" ca="1" si="321"/>
        <v>0</v>
      </c>
    </row>
    <row r="6816" spans="1:5" x14ac:dyDescent="0.25">
      <c r="A6816" s="3">
        <f t="shared" si="319"/>
        <v>78989</v>
      </c>
      <c r="B6816" t="str">
        <f ca="1">TEXT(DATE(YEAR(Invoer!$A$5),1,1)+INT((ROWS(B$2:B6816)-1)/24),"""18""jjmmdd")</f>
        <v>18981011</v>
      </c>
      <c r="C6816" s="11" t="str">
        <f>INDEX(Data,2,2+MOD(ROWS(C$2:C6816)-1,24))</f>
        <v>23.00</v>
      </c>
      <c r="D6816" s="8">
        <f t="shared" ca="1" si="320"/>
        <v>8</v>
      </c>
      <c r="E6816" s="16">
        <f t="shared" ca="1" si="321"/>
        <v>0</v>
      </c>
    </row>
    <row r="6817" spans="1:5" x14ac:dyDescent="0.25">
      <c r="A6817" s="3">
        <f t="shared" si="319"/>
        <v>78989</v>
      </c>
      <c r="B6817" t="str">
        <f ca="1">TEXT(DATE(YEAR(Invoer!$A$5),1,1)+INT((ROWS(B$2:B6817)-1)/24),"""18""jjmmdd")</f>
        <v>18981011</v>
      </c>
      <c r="C6817" s="11" t="str">
        <f>INDEX(Data,2,2+MOD(ROWS(C$2:C6817)-1,24))</f>
        <v>24.00</v>
      </c>
      <c r="D6817" s="8">
        <f t="shared" ca="1" si="320"/>
        <v>8</v>
      </c>
      <c r="E6817" s="16">
        <f t="shared" ca="1" si="321"/>
        <v>0</v>
      </c>
    </row>
    <row r="6818" spans="1:5" x14ac:dyDescent="0.25">
      <c r="A6818" s="3">
        <f t="shared" si="319"/>
        <v>78989</v>
      </c>
      <c r="B6818" t="str">
        <f ca="1">TEXT(DATE(YEAR(Invoer!$A$5),1,1)+INT((ROWS(B$2:B6818)-1)/24),"""18""jjmmdd")</f>
        <v>18981012</v>
      </c>
      <c r="C6818" s="11" t="str">
        <f>INDEX(Data,2,2+MOD(ROWS(C$2:C6818)-1,24))</f>
        <v>01.00</v>
      </c>
      <c r="D6818" s="8">
        <f t="shared" ca="1" si="320"/>
        <v>7</v>
      </c>
      <c r="E6818" s="16">
        <f t="shared" ca="1" si="321"/>
        <v>0</v>
      </c>
    </row>
    <row r="6819" spans="1:5" x14ac:dyDescent="0.25">
      <c r="A6819" s="3">
        <f t="shared" si="319"/>
        <v>78989</v>
      </c>
      <c r="B6819" t="str">
        <f ca="1">TEXT(DATE(YEAR(Invoer!$A$5),1,1)+INT((ROWS(B$2:B6819)-1)/24),"""18""jjmmdd")</f>
        <v>18981012</v>
      </c>
      <c r="C6819" s="11" t="str">
        <f>INDEX(Data,2,2+MOD(ROWS(C$2:C6819)-1,24))</f>
        <v>02.00</v>
      </c>
      <c r="D6819" s="8">
        <f t="shared" ca="1" si="320"/>
        <v>8</v>
      </c>
      <c r="E6819" s="16">
        <f t="shared" ca="1" si="321"/>
        <v>0</v>
      </c>
    </row>
    <row r="6820" spans="1:5" x14ac:dyDescent="0.25">
      <c r="A6820" s="3">
        <f t="shared" si="319"/>
        <v>78989</v>
      </c>
      <c r="B6820" t="str">
        <f ca="1">TEXT(DATE(YEAR(Invoer!$A$5),1,1)+INT((ROWS(B$2:B6820)-1)/24),"""18""jjmmdd")</f>
        <v>18981012</v>
      </c>
      <c r="C6820" s="11" t="str">
        <f>INDEX(Data,2,2+MOD(ROWS(C$2:C6820)-1,24))</f>
        <v>03.00</v>
      </c>
      <c r="D6820" s="8">
        <f t="shared" ca="1" si="320"/>
        <v>7</v>
      </c>
      <c r="E6820" s="16">
        <f t="shared" ca="1" si="321"/>
        <v>0</v>
      </c>
    </row>
    <row r="6821" spans="1:5" x14ac:dyDescent="0.25">
      <c r="A6821" s="3">
        <f t="shared" si="319"/>
        <v>78989</v>
      </c>
      <c r="B6821" t="str">
        <f ca="1">TEXT(DATE(YEAR(Invoer!$A$5),1,1)+INT((ROWS(B$2:B6821)-1)/24),"""18""jjmmdd")</f>
        <v>18981012</v>
      </c>
      <c r="C6821" s="11" t="str">
        <f>INDEX(Data,2,2+MOD(ROWS(C$2:C6821)-1,24))</f>
        <v>04.00</v>
      </c>
      <c r="D6821" s="8">
        <f t="shared" ca="1" si="320"/>
        <v>8</v>
      </c>
      <c r="E6821" s="16">
        <f t="shared" ca="1" si="321"/>
        <v>0</v>
      </c>
    </row>
    <row r="6822" spans="1:5" x14ac:dyDescent="0.25">
      <c r="A6822" s="3">
        <f t="shared" si="319"/>
        <v>78989</v>
      </c>
      <c r="B6822" t="str">
        <f ca="1">TEXT(DATE(YEAR(Invoer!$A$5),1,1)+INT((ROWS(B$2:B6822)-1)/24),"""18""jjmmdd")</f>
        <v>18981012</v>
      </c>
      <c r="C6822" s="11" t="str">
        <f>INDEX(Data,2,2+MOD(ROWS(C$2:C6822)-1,24))</f>
        <v>05.00</v>
      </c>
      <c r="D6822" s="8">
        <f t="shared" ca="1" si="320"/>
        <v>7</v>
      </c>
      <c r="E6822" s="16">
        <f t="shared" ca="1" si="321"/>
        <v>0</v>
      </c>
    </row>
    <row r="6823" spans="1:5" x14ac:dyDescent="0.25">
      <c r="A6823" s="3">
        <f t="shared" si="319"/>
        <v>78989</v>
      </c>
      <c r="B6823" t="str">
        <f ca="1">TEXT(DATE(YEAR(Invoer!$A$5),1,1)+INT((ROWS(B$2:B6823)-1)/24),"""18""jjmmdd")</f>
        <v>18981012</v>
      </c>
      <c r="C6823" s="11" t="str">
        <f>INDEX(Data,2,2+MOD(ROWS(C$2:C6823)-1,24))</f>
        <v>06.00</v>
      </c>
      <c r="D6823" s="8">
        <f t="shared" ca="1" si="320"/>
        <v>7</v>
      </c>
      <c r="E6823" s="16">
        <f t="shared" ca="1" si="321"/>
        <v>0</v>
      </c>
    </row>
    <row r="6824" spans="1:5" x14ac:dyDescent="0.25">
      <c r="A6824" s="3">
        <f t="shared" si="319"/>
        <v>78989</v>
      </c>
      <c r="B6824" t="str">
        <f ca="1">TEXT(DATE(YEAR(Invoer!$A$5),1,1)+INT((ROWS(B$2:B6824)-1)/24),"""18""jjmmdd")</f>
        <v>18981012</v>
      </c>
      <c r="C6824" s="11" t="str">
        <f>INDEX(Data,2,2+MOD(ROWS(C$2:C6824)-1,24))</f>
        <v>07.00</v>
      </c>
      <c r="D6824" s="8">
        <f t="shared" ca="1" si="320"/>
        <v>8</v>
      </c>
      <c r="E6824" s="16">
        <f t="shared" ca="1" si="321"/>
        <v>0</v>
      </c>
    </row>
    <row r="6825" spans="1:5" x14ac:dyDescent="0.25">
      <c r="A6825" s="3">
        <f t="shared" si="319"/>
        <v>78989</v>
      </c>
      <c r="B6825" t="str">
        <f ca="1">TEXT(DATE(YEAR(Invoer!$A$5),1,1)+INT((ROWS(B$2:B6825)-1)/24),"""18""jjmmdd")</f>
        <v>18981012</v>
      </c>
      <c r="C6825" s="11" t="str">
        <f>INDEX(Data,2,2+MOD(ROWS(C$2:C6825)-1,24))</f>
        <v>08.00</v>
      </c>
      <c r="D6825" s="8">
        <f t="shared" ca="1" si="320"/>
        <v>11</v>
      </c>
      <c r="E6825" s="16">
        <f t="shared" ca="1" si="321"/>
        <v>0</v>
      </c>
    </row>
    <row r="6826" spans="1:5" x14ac:dyDescent="0.25">
      <c r="A6826" s="3">
        <f t="shared" si="319"/>
        <v>78989</v>
      </c>
      <c r="B6826" t="str">
        <f ca="1">TEXT(DATE(YEAR(Invoer!$A$5),1,1)+INT((ROWS(B$2:B6826)-1)/24),"""18""jjmmdd")</f>
        <v>18981012</v>
      </c>
      <c r="C6826" s="11" t="str">
        <f>INDEX(Data,2,2+MOD(ROWS(C$2:C6826)-1,24))</f>
        <v>09.00</v>
      </c>
      <c r="D6826" s="8">
        <f t="shared" ca="1" si="320"/>
        <v>14</v>
      </c>
      <c r="E6826" s="16">
        <f t="shared" ca="1" si="321"/>
        <v>0</v>
      </c>
    </row>
    <row r="6827" spans="1:5" x14ac:dyDescent="0.25">
      <c r="A6827" s="3">
        <f t="shared" si="319"/>
        <v>78989</v>
      </c>
      <c r="B6827" t="str">
        <f ca="1">TEXT(DATE(YEAR(Invoer!$A$5),1,1)+INT((ROWS(B$2:B6827)-1)/24),"""18""jjmmdd")</f>
        <v>18981012</v>
      </c>
      <c r="C6827" s="11" t="str">
        <f>INDEX(Data,2,2+MOD(ROWS(C$2:C6827)-1,24))</f>
        <v>10.00</v>
      </c>
      <c r="D6827" s="8">
        <f t="shared" ca="1" si="320"/>
        <v>14</v>
      </c>
      <c r="E6827" s="16">
        <f t="shared" ca="1" si="321"/>
        <v>0</v>
      </c>
    </row>
    <row r="6828" spans="1:5" x14ac:dyDescent="0.25">
      <c r="A6828" s="3">
        <f t="shared" si="319"/>
        <v>78989</v>
      </c>
      <c r="B6828" t="str">
        <f ca="1">TEXT(DATE(YEAR(Invoer!$A$5),1,1)+INT((ROWS(B$2:B6828)-1)/24),"""18""jjmmdd")</f>
        <v>18981012</v>
      </c>
      <c r="C6828" s="11" t="str">
        <f>INDEX(Data,2,2+MOD(ROWS(C$2:C6828)-1,24))</f>
        <v>11.00</v>
      </c>
      <c r="D6828" s="8">
        <f t="shared" ca="1" si="320"/>
        <v>14</v>
      </c>
      <c r="E6828" s="16">
        <f t="shared" ca="1" si="321"/>
        <v>0</v>
      </c>
    </row>
    <row r="6829" spans="1:5" x14ac:dyDescent="0.25">
      <c r="A6829" s="3">
        <f t="shared" si="319"/>
        <v>78989</v>
      </c>
      <c r="B6829" t="str">
        <f ca="1">TEXT(DATE(YEAR(Invoer!$A$5),1,1)+INT((ROWS(B$2:B6829)-1)/24),"""18""jjmmdd")</f>
        <v>18981012</v>
      </c>
      <c r="C6829" s="11" t="str">
        <f>INDEX(Data,2,2+MOD(ROWS(C$2:C6829)-1,24))</f>
        <v>12.00</v>
      </c>
      <c r="D6829" s="8">
        <f t="shared" ca="1" si="320"/>
        <v>15</v>
      </c>
      <c r="E6829" s="16">
        <f t="shared" ca="1" si="321"/>
        <v>0</v>
      </c>
    </row>
    <row r="6830" spans="1:5" x14ac:dyDescent="0.25">
      <c r="A6830" s="3">
        <f t="shared" si="319"/>
        <v>78989</v>
      </c>
      <c r="B6830" t="str">
        <f ca="1">TEXT(DATE(YEAR(Invoer!$A$5),1,1)+INT((ROWS(B$2:B6830)-1)/24),"""18""jjmmdd")</f>
        <v>18981012</v>
      </c>
      <c r="C6830" s="11" t="str">
        <f>INDEX(Data,2,2+MOD(ROWS(C$2:C6830)-1,24))</f>
        <v>13.00</v>
      </c>
      <c r="D6830" s="8">
        <f t="shared" ca="1" si="320"/>
        <v>15</v>
      </c>
      <c r="E6830" s="16">
        <f t="shared" ca="1" si="321"/>
        <v>0</v>
      </c>
    </row>
    <row r="6831" spans="1:5" x14ac:dyDescent="0.25">
      <c r="A6831" s="3">
        <f t="shared" si="319"/>
        <v>78989</v>
      </c>
      <c r="B6831" t="str">
        <f ca="1">TEXT(DATE(YEAR(Invoer!$A$5),1,1)+INT((ROWS(B$2:B6831)-1)/24),"""18""jjmmdd")</f>
        <v>18981012</v>
      </c>
      <c r="C6831" s="11" t="str">
        <f>INDEX(Data,2,2+MOD(ROWS(C$2:C6831)-1,24))</f>
        <v>14.00</v>
      </c>
      <c r="D6831" s="8">
        <f t="shared" ca="1" si="320"/>
        <v>14</v>
      </c>
      <c r="E6831" s="16">
        <f t="shared" ca="1" si="321"/>
        <v>0</v>
      </c>
    </row>
    <row r="6832" spans="1:5" x14ac:dyDescent="0.25">
      <c r="A6832" s="3">
        <f t="shared" si="319"/>
        <v>78989</v>
      </c>
      <c r="B6832" t="str">
        <f ca="1">TEXT(DATE(YEAR(Invoer!$A$5),1,1)+INT((ROWS(B$2:B6832)-1)/24),"""18""jjmmdd")</f>
        <v>18981012</v>
      </c>
      <c r="C6832" s="11" t="str">
        <f>INDEX(Data,2,2+MOD(ROWS(C$2:C6832)-1,24))</f>
        <v>15.00</v>
      </c>
      <c r="D6832" s="8">
        <f t="shared" ca="1" si="320"/>
        <v>10</v>
      </c>
      <c r="E6832" s="16">
        <f t="shared" ca="1" si="321"/>
        <v>0</v>
      </c>
    </row>
    <row r="6833" spans="1:5" x14ac:dyDescent="0.25">
      <c r="A6833" s="3">
        <f t="shared" si="319"/>
        <v>78989</v>
      </c>
      <c r="B6833" t="str">
        <f ca="1">TEXT(DATE(YEAR(Invoer!$A$5),1,1)+INT((ROWS(B$2:B6833)-1)/24),"""18""jjmmdd")</f>
        <v>18981012</v>
      </c>
      <c r="C6833" s="11" t="str">
        <f>INDEX(Data,2,2+MOD(ROWS(C$2:C6833)-1,24))</f>
        <v>16.00</v>
      </c>
      <c r="D6833" s="8">
        <f t="shared" ca="1" si="320"/>
        <v>10</v>
      </c>
      <c r="E6833" s="16">
        <f t="shared" ca="1" si="321"/>
        <v>0</v>
      </c>
    </row>
    <row r="6834" spans="1:5" x14ac:dyDescent="0.25">
      <c r="A6834" s="3">
        <f t="shared" si="319"/>
        <v>78989</v>
      </c>
      <c r="B6834" t="str">
        <f ca="1">TEXT(DATE(YEAR(Invoer!$A$5),1,1)+INT((ROWS(B$2:B6834)-1)/24),"""18""jjmmdd")</f>
        <v>18981012</v>
      </c>
      <c r="C6834" s="11" t="str">
        <f>INDEX(Data,2,2+MOD(ROWS(C$2:C6834)-1,24))</f>
        <v>17.00</v>
      </c>
      <c r="D6834" s="8">
        <f t="shared" ca="1" si="320"/>
        <v>10</v>
      </c>
      <c r="E6834" s="16">
        <f t="shared" ca="1" si="321"/>
        <v>0</v>
      </c>
    </row>
    <row r="6835" spans="1:5" x14ac:dyDescent="0.25">
      <c r="A6835" s="3">
        <f t="shared" si="319"/>
        <v>78989</v>
      </c>
      <c r="B6835" t="str">
        <f ca="1">TEXT(DATE(YEAR(Invoer!$A$5),1,1)+INT((ROWS(B$2:B6835)-1)/24),"""18""jjmmdd")</f>
        <v>18981012</v>
      </c>
      <c r="C6835" s="11" t="str">
        <f>INDEX(Data,2,2+MOD(ROWS(C$2:C6835)-1,24))</f>
        <v>18.00</v>
      </c>
      <c r="D6835" s="8">
        <f t="shared" ca="1" si="320"/>
        <v>9</v>
      </c>
      <c r="E6835" s="16">
        <f t="shared" ca="1" si="321"/>
        <v>0</v>
      </c>
    </row>
    <row r="6836" spans="1:5" x14ac:dyDescent="0.25">
      <c r="A6836" s="3">
        <f t="shared" si="319"/>
        <v>78989</v>
      </c>
      <c r="B6836" t="str">
        <f ca="1">TEXT(DATE(YEAR(Invoer!$A$5),1,1)+INT((ROWS(B$2:B6836)-1)/24),"""18""jjmmdd")</f>
        <v>18981012</v>
      </c>
      <c r="C6836" s="11" t="str">
        <f>INDEX(Data,2,2+MOD(ROWS(C$2:C6836)-1,24))</f>
        <v>19.00</v>
      </c>
      <c r="D6836" s="8">
        <f t="shared" ca="1" si="320"/>
        <v>8</v>
      </c>
      <c r="E6836" s="16">
        <f t="shared" ca="1" si="321"/>
        <v>0</v>
      </c>
    </row>
    <row r="6837" spans="1:5" x14ac:dyDescent="0.25">
      <c r="A6837" s="3">
        <f t="shared" si="319"/>
        <v>78989</v>
      </c>
      <c r="B6837" t="str">
        <f ca="1">TEXT(DATE(YEAR(Invoer!$A$5),1,1)+INT((ROWS(B$2:B6837)-1)/24),"""18""jjmmdd")</f>
        <v>18981012</v>
      </c>
      <c r="C6837" s="11" t="str">
        <f>INDEX(Data,2,2+MOD(ROWS(C$2:C6837)-1,24))</f>
        <v>20.00</v>
      </c>
      <c r="D6837" s="8">
        <f t="shared" ca="1" si="320"/>
        <v>7</v>
      </c>
      <c r="E6837" s="16">
        <f t="shared" ca="1" si="321"/>
        <v>0</v>
      </c>
    </row>
    <row r="6838" spans="1:5" x14ac:dyDescent="0.25">
      <c r="A6838" s="3">
        <f t="shared" si="319"/>
        <v>78989</v>
      </c>
      <c r="B6838" t="str">
        <f ca="1">TEXT(DATE(YEAR(Invoer!$A$5),1,1)+INT((ROWS(B$2:B6838)-1)/24),"""18""jjmmdd")</f>
        <v>18981012</v>
      </c>
      <c r="C6838" s="11" t="str">
        <f>INDEX(Data,2,2+MOD(ROWS(C$2:C6838)-1,24))</f>
        <v>21.00</v>
      </c>
      <c r="D6838" s="8">
        <f t="shared" ca="1" si="320"/>
        <v>9</v>
      </c>
      <c r="E6838" s="16">
        <f t="shared" ca="1" si="321"/>
        <v>0</v>
      </c>
    </row>
    <row r="6839" spans="1:5" x14ac:dyDescent="0.25">
      <c r="A6839" s="3">
        <f t="shared" si="319"/>
        <v>78989</v>
      </c>
      <c r="B6839" t="str">
        <f ca="1">TEXT(DATE(YEAR(Invoer!$A$5),1,1)+INT((ROWS(B$2:B6839)-1)/24),"""18""jjmmdd")</f>
        <v>18981012</v>
      </c>
      <c r="C6839" s="11" t="str">
        <f>INDEX(Data,2,2+MOD(ROWS(C$2:C6839)-1,24))</f>
        <v>22.00</v>
      </c>
      <c r="D6839" s="8">
        <f t="shared" ca="1" si="320"/>
        <v>8</v>
      </c>
      <c r="E6839" s="16">
        <f t="shared" ca="1" si="321"/>
        <v>0</v>
      </c>
    </row>
    <row r="6840" spans="1:5" x14ac:dyDescent="0.25">
      <c r="A6840" s="3">
        <f t="shared" si="319"/>
        <v>78989</v>
      </c>
      <c r="B6840" t="str">
        <f ca="1">TEXT(DATE(YEAR(Invoer!$A$5),1,1)+INT((ROWS(B$2:B6840)-1)/24),"""18""jjmmdd")</f>
        <v>18981012</v>
      </c>
      <c r="C6840" s="11" t="str">
        <f>INDEX(Data,2,2+MOD(ROWS(C$2:C6840)-1,24))</f>
        <v>23.00</v>
      </c>
      <c r="D6840" s="8">
        <f t="shared" ca="1" si="320"/>
        <v>8</v>
      </c>
      <c r="E6840" s="16">
        <f t="shared" ca="1" si="321"/>
        <v>0</v>
      </c>
    </row>
    <row r="6841" spans="1:5" x14ac:dyDescent="0.25">
      <c r="A6841" s="3">
        <f t="shared" si="319"/>
        <v>78989</v>
      </c>
      <c r="B6841" t="str">
        <f ca="1">TEXT(DATE(YEAR(Invoer!$A$5),1,1)+INT((ROWS(B$2:B6841)-1)/24),"""18""jjmmdd")</f>
        <v>18981012</v>
      </c>
      <c r="C6841" s="11" t="str">
        <f>INDEX(Data,2,2+MOD(ROWS(C$2:C6841)-1,24))</f>
        <v>24.00</v>
      </c>
      <c r="D6841" s="8">
        <f t="shared" ca="1" si="320"/>
        <v>10</v>
      </c>
      <c r="E6841" s="16">
        <f t="shared" ca="1" si="321"/>
        <v>0</v>
      </c>
    </row>
    <row r="6842" spans="1:5" x14ac:dyDescent="0.25">
      <c r="A6842" s="3">
        <f t="shared" si="319"/>
        <v>78989</v>
      </c>
      <c r="B6842" t="str">
        <f ca="1">TEXT(DATE(YEAR(Invoer!$A$5),1,1)+INT((ROWS(B$2:B6842)-1)/24),"""18""jjmmdd")</f>
        <v>18981013</v>
      </c>
      <c r="C6842" s="11" t="str">
        <f>INDEX(Data,2,2+MOD(ROWS(C$2:C6842)-1,24))</f>
        <v>01.00</v>
      </c>
      <c r="D6842" s="8">
        <f t="shared" ca="1" si="320"/>
        <v>7</v>
      </c>
      <c r="E6842" s="16">
        <f t="shared" ca="1" si="321"/>
        <v>0</v>
      </c>
    </row>
    <row r="6843" spans="1:5" x14ac:dyDescent="0.25">
      <c r="A6843" s="3">
        <f t="shared" si="319"/>
        <v>78989</v>
      </c>
      <c r="B6843" t="str">
        <f ca="1">TEXT(DATE(YEAR(Invoer!$A$5),1,1)+INT((ROWS(B$2:B6843)-1)/24),"""18""jjmmdd")</f>
        <v>18981013</v>
      </c>
      <c r="C6843" s="11" t="str">
        <f>INDEX(Data,2,2+MOD(ROWS(C$2:C6843)-1,24))</f>
        <v>02.00</v>
      </c>
      <c r="D6843" s="8">
        <f t="shared" ca="1" si="320"/>
        <v>7</v>
      </c>
      <c r="E6843" s="16">
        <f t="shared" ca="1" si="321"/>
        <v>0</v>
      </c>
    </row>
    <row r="6844" spans="1:5" x14ac:dyDescent="0.25">
      <c r="A6844" s="3">
        <f t="shared" si="319"/>
        <v>78989</v>
      </c>
      <c r="B6844" t="str">
        <f ca="1">TEXT(DATE(YEAR(Invoer!$A$5),1,1)+INT((ROWS(B$2:B6844)-1)/24),"""18""jjmmdd")</f>
        <v>18981013</v>
      </c>
      <c r="C6844" s="11" t="str">
        <f>INDEX(Data,2,2+MOD(ROWS(C$2:C6844)-1,24))</f>
        <v>03.00</v>
      </c>
      <c r="D6844" s="8">
        <f t="shared" ca="1" si="320"/>
        <v>7</v>
      </c>
      <c r="E6844" s="16">
        <f t="shared" ca="1" si="321"/>
        <v>0</v>
      </c>
    </row>
    <row r="6845" spans="1:5" x14ac:dyDescent="0.25">
      <c r="A6845" s="3">
        <f t="shared" si="319"/>
        <v>78989</v>
      </c>
      <c r="B6845" t="str">
        <f ca="1">TEXT(DATE(YEAR(Invoer!$A$5),1,1)+INT((ROWS(B$2:B6845)-1)/24),"""18""jjmmdd")</f>
        <v>18981013</v>
      </c>
      <c r="C6845" s="11" t="str">
        <f>INDEX(Data,2,2+MOD(ROWS(C$2:C6845)-1,24))</f>
        <v>04.00</v>
      </c>
      <c r="D6845" s="8">
        <f t="shared" ca="1" si="320"/>
        <v>8</v>
      </c>
      <c r="E6845" s="16">
        <f t="shared" ca="1" si="321"/>
        <v>0</v>
      </c>
    </row>
    <row r="6846" spans="1:5" x14ac:dyDescent="0.25">
      <c r="A6846" s="3">
        <f t="shared" si="319"/>
        <v>78989</v>
      </c>
      <c r="B6846" t="str">
        <f ca="1">TEXT(DATE(YEAR(Invoer!$A$5),1,1)+INT((ROWS(B$2:B6846)-1)/24),"""18""jjmmdd")</f>
        <v>18981013</v>
      </c>
      <c r="C6846" s="11" t="str">
        <f>INDEX(Data,2,2+MOD(ROWS(C$2:C6846)-1,24))</f>
        <v>05.00</v>
      </c>
      <c r="D6846" s="8">
        <f t="shared" ca="1" si="320"/>
        <v>8</v>
      </c>
      <c r="E6846" s="16">
        <f t="shared" ca="1" si="321"/>
        <v>0</v>
      </c>
    </row>
    <row r="6847" spans="1:5" x14ac:dyDescent="0.25">
      <c r="A6847" s="3">
        <f t="shared" si="319"/>
        <v>78989</v>
      </c>
      <c r="B6847" t="str">
        <f ca="1">TEXT(DATE(YEAR(Invoer!$A$5),1,1)+INT((ROWS(B$2:B6847)-1)/24),"""18""jjmmdd")</f>
        <v>18981013</v>
      </c>
      <c r="C6847" s="11" t="str">
        <f>INDEX(Data,2,2+MOD(ROWS(C$2:C6847)-1,24))</f>
        <v>06.00</v>
      </c>
      <c r="D6847" s="8">
        <f t="shared" ca="1" si="320"/>
        <v>7</v>
      </c>
      <c r="E6847" s="16">
        <f t="shared" ca="1" si="321"/>
        <v>0</v>
      </c>
    </row>
    <row r="6848" spans="1:5" x14ac:dyDescent="0.25">
      <c r="A6848" s="3">
        <f t="shared" si="319"/>
        <v>78989</v>
      </c>
      <c r="B6848" t="str">
        <f ca="1">TEXT(DATE(YEAR(Invoer!$A$5),1,1)+INT((ROWS(B$2:B6848)-1)/24),"""18""jjmmdd")</f>
        <v>18981013</v>
      </c>
      <c r="C6848" s="11" t="str">
        <f>INDEX(Data,2,2+MOD(ROWS(C$2:C6848)-1,24))</f>
        <v>07.00</v>
      </c>
      <c r="D6848" s="8">
        <f t="shared" ca="1" si="320"/>
        <v>6</v>
      </c>
      <c r="E6848" s="16">
        <f t="shared" ca="1" si="321"/>
        <v>0</v>
      </c>
    </row>
    <row r="6849" spans="1:5" x14ac:dyDescent="0.25">
      <c r="A6849" s="3">
        <f t="shared" si="319"/>
        <v>78989</v>
      </c>
      <c r="B6849" t="str">
        <f ca="1">TEXT(DATE(YEAR(Invoer!$A$5),1,1)+INT((ROWS(B$2:B6849)-1)/24),"""18""jjmmdd")</f>
        <v>18981013</v>
      </c>
      <c r="C6849" s="11" t="str">
        <f>INDEX(Data,2,2+MOD(ROWS(C$2:C6849)-1,24))</f>
        <v>08.00</v>
      </c>
      <c r="D6849" s="8">
        <f t="shared" ca="1" si="320"/>
        <v>10</v>
      </c>
      <c r="E6849" s="16">
        <f t="shared" ca="1" si="321"/>
        <v>0</v>
      </c>
    </row>
    <row r="6850" spans="1:5" x14ac:dyDescent="0.25">
      <c r="A6850" s="3">
        <f t="shared" ref="A6850:A6913" si="322">INDEX(Stations,2,1)</f>
        <v>78989</v>
      </c>
      <c r="B6850" t="str">
        <f ca="1">TEXT(DATE(YEAR(Invoer!$A$5),1,1)+INT((ROWS(B$2:B6850)-1)/24),"""18""jjmmdd")</f>
        <v>18981013</v>
      </c>
      <c r="C6850" s="11" t="str">
        <f>INDEX(Data,2,2+MOD(ROWS(C$2:C6850)-1,24))</f>
        <v>09.00</v>
      </c>
      <c r="D6850" s="8">
        <f t="shared" ref="D6850:D6913" ca="1" si="323">IF(OR(ISBLANK(VLOOKUP(DATEVALUE("37"&amp;MID($B6850,3,2)&amp;"-"&amp;MID($B6850,5,2)&amp;"-"&amp;RIGHT($B6850,2)),Data,MATCH(LEFT(VLOOKUP(D$1,Parameters,2,FALSE()),4)&amp;"*",OFFSET(Data,0,0,1),0)+MATCH($C6850,OFFSET(Data,1,0,1),0)-2,FALSE())),ISTEXT(VLOOKUP(DATEVALUE("37"&amp;MID($B6850,3,2)&amp;"-"&amp;MID($B6850,5,2)&amp;"-"&amp;RIGHT($B6850,2)),Data,MATCH(LEFT(VLOOKUP(D$1,Parameters,2,FALSE()),4)&amp;"*",OFFSET(Data,0,0,1),0)+MATCH($C6850,OFFSET(Data,1,0,1),0)-2,FALSE()))),"—",VLOOKUP(DATEVALUE("37"&amp;MID($B6850,3,2)&amp;"-"&amp;MID($B6850,5,2)&amp;"-"&amp;RIGHT($B6850,2)),Data,MATCH(LEFT(VLOOKUP(D$1,Parameters,2,FALSE()),4)&amp;"*",OFFSET(Data,0,0,1),0)+MATCH($C6850,OFFSET(Data,1,0,1),0)-2,FALSE()))</f>
        <v>10</v>
      </c>
      <c r="E6850" s="16">
        <f t="shared" ca="1" si="321"/>
        <v>0</v>
      </c>
    </row>
    <row r="6851" spans="1:5" x14ac:dyDescent="0.25">
      <c r="A6851" s="3">
        <f t="shared" si="322"/>
        <v>78989</v>
      </c>
      <c r="B6851" t="str">
        <f ca="1">TEXT(DATE(YEAR(Invoer!$A$5),1,1)+INT((ROWS(B$2:B6851)-1)/24),"""18""jjmmdd")</f>
        <v>18981013</v>
      </c>
      <c r="C6851" s="11" t="str">
        <f>INDEX(Data,2,2+MOD(ROWS(C$2:C6851)-1,24))</f>
        <v>10.00</v>
      </c>
      <c r="D6851" s="8">
        <f t="shared" ca="1" si="323"/>
        <v>11</v>
      </c>
      <c r="E6851" s="16">
        <f t="shared" ref="E6851:E6914" ca="1" si="324">IF(OR(ISBLANK(VLOOKUP(DATEVALUE("37"&amp;MID($B6851,3,2)&amp;"-"&amp;MID($B6851,5,2)&amp;"-"&amp;RIGHT($B6851,2)),Data,MATCH(LEFT(VLOOKUP(D$1,Parameters,2,FALSE()),4)&amp;"*",OFFSET(Data,0,0,1),0)+MATCH($C6851,OFFSET(Data,1,0,1),0)-2,FALSE())),ISTEXT(VLOOKUP(DATEVALUE("37"&amp;MID($B6851,3,2)&amp;"-"&amp;MID($B6851,5,2)&amp;"-"&amp;RIGHT($B6851,2)),Data,MATCH(LEFT(VLOOKUP(D$1,Parameters,2,FALSE()),4)&amp;"*",OFFSET(Data,0,0,1),0)+MATCH($C6851,OFFSET(Data,1,0,1),0)-2,FALSE()))),Lacking,IF(ISNA(MATCH(DATEVALUE("37"&amp;MID($B6851,3,2)&amp;"-"&amp;MID($B6851,5,2)&amp;"-"&amp;RIGHT($B6851,2)),OFFSET(Catalogus,0,0,,1),0)),Ok,VLOOKUP(DATEVALUE("37"&amp;MID($B6851,3,2)&amp;"-"&amp;MID($B6851,5,2)&amp;"-"&amp;RIGHT($B6851,2)),Catalogus,MATCH(LEFT(VLOOKUP(MID(E$1,2,LEN(E$1)-1),Parameters,2,FALSE()),4)&amp;"*",OFFSET(Catalogus,0,0,1),0)+MATCH($C6851,OFFSET(Catalogus,1,0,1),0)-2,FALSE())))</f>
        <v>0</v>
      </c>
    </row>
    <row r="6852" spans="1:5" x14ac:dyDescent="0.25">
      <c r="A6852" s="3">
        <f t="shared" si="322"/>
        <v>78989</v>
      </c>
      <c r="B6852" t="str">
        <f ca="1">TEXT(DATE(YEAR(Invoer!$A$5),1,1)+INT((ROWS(B$2:B6852)-1)/24),"""18""jjmmdd")</f>
        <v>18981013</v>
      </c>
      <c r="C6852" s="11" t="str">
        <f>INDEX(Data,2,2+MOD(ROWS(C$2:C6852)-1,24))</f>
        <v>11.00</v>
      </c>
      <c r="D6852" s="8">
        <f t="shared" ca="1" si="323"/>
        <v>11</v>
      </c>
      <c r="E6852" s="16">
        <f t="shared" ca="1" si="324"/>
        <v>0</v>
      </c>
    </row>
    <row r="6853" spans="1:5" x14ac:dyDescent="0.25">
      <c r="A6853" s="3">
        <f t="shared" si="322"/>
        <v>78989</v>
      </c>
      <c r="B6853" t="str">
        <f ca="1">TEXT(DATE(YEAR(Invoer!$A$5),1,1)+INT((ROWS(B$2:B6853)-1)/24),"""18""jjmmdd")</f>
        <v>18981013</v>
      </c>
      <c r="C6853" s="11" t="str">
        <f>INDEX(Data,2,2+MOD(ROWS(C$2:C6853)-1,24))</f>
        <v>12.00</v>
      </c>
      <c r="D6853" s="8">
        <f t="shared" ca="1" si="323"/>
        <v>10</v>
      </c>
      <c r="E6853" s="16">
        <f t="shared" ca="1" si="324"/>
        <v>0</v>
      </c>
    </row>
    <row r="6854" spans="1:5" x14ac:dyDescent="0.25">
      <c r="A6854" s="3">
        <f t="shared" si="322"/>
        <v>78989</v>
      </c>
      <c r="B6854" t="str">
        <f ca="1">TEXT(DATE(YEAR(Invoer!$A$5),1,1)+INT((ROWS(B$2:B6854)-1)/24),"""18""jjmmdd")</f>
        <v>18981013</v>
      </c>
      <c r="C6854" s="11" t="str">
        <f>INDEX(Data,2,2+MOD(ROWS(C$2:C6854)-1,24))</f>
        <v>13.00</v>
      </c>
      <c r="D6854" s="8">
        <f t="shared" ca="1" si="323"/>
        <v>9</v>
      </c>
      <c r="E6854" s="16">
        <f t="shared" ca="1" si="324"/>
        <v>0</v>
      </c>
    </row>
    <row r="6855" spans="1:5" x14ac:dyDescent="0.25">
      <c r="A6855" s="3">
        <f t="shared" si="322"/>
        <v>78989</v>
      </c>
      <c r="B6855" t="str">
        <f ca="1">TEXT(DATE(YEAR(Invoer!$A$5),1,1)+INT((ROWS(B$2:B6855)-1)/24),"""18""jjmmdd")</f>
        <v>18981013</v>
      </c>
      <c r="C6855" s="11" t="str">
        <f>INDEX(Data,2,2+MOD(ROWS(C$2:C6855)-1,24))</f>
        <v>14.00</v>
      </c>
      <c r="D6855" s="8">
        <f t="shared" ca="1" si="323"/>
        <v>11</v>
      </c>
      <c r="E6855" s="16">
        <f t="shared" ca="1" si="324"/>
        <v>0</v>
      </c>
    </row>
    <row r="6856" spans="1:5" x14ac:dyDescent="0.25">
      <c r="A6856" s="3">
        <f t="shared" si="322"/>
        <v>78989</v>
      </c>
      <c r="B6856" t="str">
        <f ca="1">TEXT(DATE(YEAR(Invoer!$A$5),1,1)+INT((ROWS(B$2:B6856)-1)/24),"""18""jjmmdd")</f>
        <v>18981013</v>
      </c>
      <c r="C6856" s="11" t="str">
        <f>INDEX(Data,2,2+MOD(ROWS(C$2:C6856)-1,24))</f>
        <v>15.00</v>
      </c>
      <c r="D6856" s="8">
        <f t="shared" ca="1" si="323"/>
        <v>10</v>
      </c>
      <c r="E6856" s="16">
        <f t="shared" ca="1" si="324"/>
        <v>0</v>
      </c>
    </row>
    <row r="6857" spans="1:5" x14ac:dyDescent="0.25">
      <c r="A6857" s="3">
        <f t="shared" si="322"/>
        <v>78989</v>
      </c>
      <c r="B6857" t="str">
        <f ca="1">TEXT(DATE(YEAR(Invoer!$A$5),1,1)+INT((ROWS(B$2:B6857)-1)/24),"""18""jjmmdd")</f>
        <v>18981013</v>
      </c>
      <c r="C6857" s="11" t="str">
        <f>INDEX(Data,2,2+MOD(ROWS(C$2:C6857)-1,24))</f>
        <v>16.00</v>
      </c>
      <c r="D6857" s="8">
        <f t="shared" ca="1" si="323"/>
        <v>12</v>
      </c>
      <c r="E6857" s="16">
        <f t="shared" ca="1" si="324"/>
        <v>0</v>
      </c>
    </row>
    <row r="6858" spans="1:5" x14ac:dyDescent="0.25">
      <c r="A6858" s="3">
        <f t="shared" si="322"/>
        <v>78989</v>
      </c>
      <c r="B6858" t="str">
        <f ca="1">TEXT(DATE(YEAR(Invoer!$A$5),1,1)+INT((ROWS(B$2:B6858)-1)/24),"""18""jjmmdd")</f>
        <v>18981013</v>
      </c>
      <c r="C6858" s="11" t="str">
        <f>INDEX(Data,2,2+MOD(ROWS(C$2:C6858)-1,24))</f>
        <v>17.00</v>
      </c>
      <c r="D6858" s="8">
        <f t="shared" ca="1" si="323"/>
        <v>11</v>
      </c>
      <c r="E6858" s="16">
        <f t="shared" ca="1" si="324"/>
        <v>0</v>
      </c>
    </row>
    <row r="6859" spans="1:5" x14ac:dyDescent="0.25">
      <c r="A6859" s="3">
        <f t="shared" si="322"/>
        <v>78989</v>
      </c>
      <c r="B6859" t="str">
        <f ca="1">TEXT(DATE(YEAR(Invoer!$A$5),1,1)+INT((ROWS(B$2:B6859)-1)/24),"""18""jjmmdd")</f>
        <v>18981013</v>
      </c>
      <c r="C6859" s="11" t="str">
        <f>INDEX(Data,2,2+MOD(ROWS(C$2:C6859)-1,24))</f>
        <v>18.00</v>
      </c>
      <c r="D6859" s="8">
        <f t="shared" ca="1" si="323"/>
        <v>11</v>
      </c>
      <c r="E6859" s="16">
        <f t="shared" ca="1" si="324"/>
        <v>0</v>
      </c>
    </row>
    <row r="6860" spans="1:5" x14ac:dyDescent="0.25">
      <c r="A6860" s="3">
        <f t="shared" si="322"/>
        <v>78989</v>
      </c>
      <c r="B6860" t="str">
        <f ca="1">TEXT(DATE(YEAR(Invoer!$A$5),1,1)+INT((ROWS(B$2:B6860)-1)/24),"""18""jjmmdd")</f>
        <v>18981013</v>
      </c>
      <c r="C6860" s="11" t="str">
        <f>INDEX(Data,2,2+MOD(ROWS(C$2:C6860)-1,24))</f>
        <v>19.00</v>
      </c>
      <c r="D6860" s="8">
        <f t="shared" ca="1" si="323"/>
        <v>10</v>
      </c>
      <c r="E6860" s="16">
        <f t="shared" ca="1" si="324"/>
        <v>0</v>
      </c>
    </row>
    <row r="6861" spans="1:5" x14ac:dyDescent="0.25">
      <c r="A6861" s="3">
        <f t="shared" si="322"/>
        <v>78989</v>
      </c>
      <c r="B6861" t="str">
        <f ca="1">TEXT(DATE(YEAR(Invoer!$A$5),1,1)+INT((ROWS(B$2:B6861)-1)/24),"""18""jjmmdd")</f>
        <v>18981013</v>
      </c>
      <c r="C6861" s="11" t="str">
        <f>INDEX(Data,2,2+MOD(ROWS(C$2:C6861)-1,24))</f>
        <v>20.00</v>
      </c>
      <c r="D6861" s="8">
        <f t="shared" ca="1" si="323"/>
        <v>11</v>
      </c>
      <c r="E6861" s="16">
        <f t="shared" ca="1" si="324"/>
        <v>0</v>
      </c>
    </row>
    <row r="6862" spans="1:5" x14ac:dyDescent="0.25">
      <c r="A6862" s="3">
        <f t="shared" si="322"/>
        <v>78989</v>
      </c>
      <c r="B6862" t="str">
        <f ca="1">TEXT(DATE(YEAR(Invoer!$A$5),1,1)+INT((ROWS(B$2:B6862)-1)/24),"""18""jjmmdd")</f>
        <v>18981013</v>
      </c>
      <c r="C6862" s="11" t="str">
        <f>INDEX(Data,2,2+MOD(ROWS(C$2:C6862)-1,24))</f>
        <v>21.00</v>
      </c>
      <c r="D6862" s="8">
        <f t="shared" ca="1" si="323"/>
        <v>11</v>
      </c>
      <c r="E6862" s="16">
        <f t="shared" ca="1" si="324"/>
        <v>0</v>
      </c>
    </row>
    <row r="6863" spans="1:5" x14ac:dyDescent="0.25">
      <c r="A6863" s="3">
        <f t="shared" si="322"/>
        <v>78989</v>
      </c>
      <c r="B6863" t="str">
        <f ca="1">TEXT(DATE(YEAR(Invoer!$A$5),1,1)+INT((ROWS(B$2:B6863)-1)/24),"""18""jjmmdd")</f>
        <v>18981013</v>
      </c>
      <c r="C6863" s="11" t="str">
        <f>INDEX(Data,2,2+MOD(ROWS(C$2:C6863)-1,24))</f>
        <v>22.00</v>
      </c>
      <c r="D6863" s="8">
        <f t="shared" ca="1" si="323"/>
        <v>10</v>
      </c>
      <c r="E6863" s="16">
        <f t="shared" ca="1" si="324"/>
        <v>0</v>
      </c>
    </row>
    <row r="6864" spans="1:5" x14ac:dyDescent="0.25">
      <c r="A6864" s="3">
        <f t="shared" si="322"/>
        <v>78989</v>
      </c>
      <c r="B6864" t="str">
        <f ca="1">TEXT(DATE(YEAR(Invoer!$A$5),1,1)+INT((ROWS(B$2:B6864)-1)/24),"""18""jjmmdd")</f>
        <v>18981013</v>
      </c>
      <c r="C6864" s="11" t="str">
        <f>INDEX(Data,2,2+MOD(ROWS(C$2:C6864)-1,24))</f>
        <v>23.00</v>
      </c>
      <c r="D6864" s="8">
        <f t="shared" ca="1" si="323"/>
        <v>10</v>
      </c>
      <c r="E6864" s="16">
        <f t="shared" ca="1" si="324"/>
        <v>0</v>
      </c>
    </row>
    <row r="6865" spans="1:5" x14ac:dyDescent="0.25">
      <c r="A6865" s="3">
        <f t="shared" si="322"/>
        <v>78989</v>
      </c>
      <c r="B6865" t="str">
        <f ca="1">TEXT(DATE(YEAR(Invoer!$A$5),1,1)+INT((ROWS(B$2:B6865)-1)/24),"""18""jjmmdd")</f>
        <v>18981013</v>
      </c>
      <c r="C6865" s="11" t="str">
        <f>INDEX(Data,2,2+MOD(ROWS(C$2:C6865)-1,24))</f>
        <v>24.00</v>
      </c>
      <c r="D6865" s="8">
        <f t="shared" ca="1" si="323"/>
        <v>10</v>
      </c>
      <c r="E6865" s="16">
        <f t="shared" ca="1" si="324"/>
        <v>0</v>
      </c>
    </row>
    <row r="6866" spans="1:5" x14ac:dyDescent="0.25">
      <c r="A6866" s="3">
        <f t="shared" si="322"/>
        <v>78989</v>
      </c>
      <c r="B6866" t="str">
        <f ca="1">TEXT(DATE(YEAR(Invoer!$A$5),1,1)+INT((ROWS(B$2:B6866)-1)/24),"""18""jjmmdd")</f>
        <v>18981014</v>
      </c>
      <c r="C6866" s="11" t="str">
        <f>INDEX(Data,2,2+MOD(ROWS(C$2:C6866)-1,24))</f>
        <v>01.00</v>
      </c>
      <c r="D6866" s="8">
        <f t="shared" ca="1" si="323"/>
        <v>9</v>
      </c>
      <c r="E6866" s="16">
        <f t="shared" ca="1" si="324"/>
        <v>0</v>
      </c>
    </row>
    <row r="6867" spans="1:5" x14ac:dyDescent="0.25">
      <c r="A6867" s="3">
        <f t="shared" si="322"/>
        <v>78989</v>
      </c>
      <c r="B6867" t="str">
        <f ca="1">TEXT(DATE(YEAR(Invoer!$A$5),1,1)+INT((ROWS(B$2:B6867)-1)/24),"""18""jjmmdd")</f>
        <v>18981014</v>
      </c>
      <c r="C6867" s="11" t="str">
        <f>INDEX(Data,2,2+MOD(ROWS(C$2:C6867)-1,24))</f>
        <v>02.00</v>
      </c>
      <c r="D6867" s="8">
        <f t="shared" ca="1" si="323"/>
        <v>9</v>
      </c>
      <c r="E6867" s="16">
        <f t="shared" ca="1" si="324"/>
        <v>0</v>
      </c>
    </row>
    <row r="6868" spans="1:5" x14ac:dyDescent="0.25">
      <c r="A6868" s="3">
        <f t="shared" si="322"/>
        <v>78989</v>
      </c>
      <c r="B6868" t="str">
        <f ca="1">TEXT(DATE(YEAR(Invoer!$A$5),1,1)+INT((ROWS(B$2:B6868)-1)/24),"""18""jjmmdd")</f>
        <v>18981014</v>
      </c>
      <c r="C6868" s="11" t="str">
        <f>INDEX(Data,2,2+MOD(ROWS(C$2:C6868)-1,24))</f>
        <v>03.00</v>
      </c>
      <c r="D6868" s="8">
        <f t="shared" ca="1" si="323"/>
        <v>8</v>
      </c>
      <c r="E6868" s="16">
        <f t="shared" ca="1" si="324"/>
        <v>0</v>
      </c>
    </row>
    <row r="6869" spans="1:5" x14ac:dyDescent="0.25">
      <c r="A6869" s="3">
        <f t="shared" si="322"/>
        <v>78989</v>
      </c>
      <c r="B6869" t="str">
        <f ca="1">TEXT(DATE(YEAR(Invoer!$A$5),1,1)+INT((ROWS(B$2:B6869)-1)/24),"""18""jjmmdd")</f>
        <v>18981014</v>
      </c>
      <c r="C6869" s="11" t="str">
        <f>INDEX(Data,2,2+MOD(ROWS(C$2:C6869)-1,24))</f>
        <v>04.00</v>
      </c>
      <c r="D6869" s="8">
        <f t="shared" ca="1" si="323"/>
        <v>6</v>
      </c>
      <c r="E6869" s="16">
        <f t="shared" ca="1" si="324"/>
        <v>0</v>
      </c>
    </row>
    <row r="6870" spans="1:5" x14ac:dyDescent="0.25">
      <c r="A6870" s="3">
        <f t="shared" si="322"/>
        <v>78989</v>
      </c>
      <c r="B6870" t="str">
        <f ca="1">TEXT(DATE(YEAR(Invoer!$A$5),1,1)+INT((ROWS(B$2:B6870)-1)/24),"""18""jjmmdd")</f>
        <v>18981014</v>
      </c>
      <c r="C6870" s="11" t="str">
        <f>INDEX(Data,2,2+MOD(ROWS(C$2:C6870)-1,24))</f>
        <v>05.00</v>
      </c>
      <c r="D6870" s="8">
        <f t="shared" ca="1" si="323"/>
        <v>8</v>
      </c>
      <c r="E6870" s="16">
        <f t="shared" ca="1" si="324"/>
        <v>0</v>
      </c>
    </row>
    <row r="6871" spans="1:5" x14ac:dyDescent="0.25">
      <c r="A6871" s="3">
        <f t="shared" si="322"/>
        <v>78989</v>
      </c>
      <c r="B6871" t="str">
        <f ca="1">TEXT(DATE(YEAR(Invoer!$A$5),1,1)+INT((ROWS(B$2:B6871)-1)/24),"""18""jjmmdd")</f>
        <v>18981014</v>
      </c>
      <c r="C6871" s="11" t="str">
        <f>INDEX(Data,2,2+MOD(ROWS(C$2:C6871)-1,24))</f>
        <v>06.00</v>
      </c>
      <c r="D6871" s="8">
        <f t="shared" ca="1" si="323"/>
        <v>9</v>
      </c>
      <c r="E6871" s="16">
        <f t="shared" ca="1" si="324"/>
        <v>0</v>
      </c>
    </row>
    <row r="6872" spans="1:5" x14ac:dyDescent="0.25">
      <c r="A6872" s="3">
        <f t="shared" si="322"/>
        <v>78989</v>
      </c>
      <c r="B6872" t="str">
        <f ca="1">TEXT(DATE(YEAR(Invoer!$A$5),1,1)+INT((ROWS(B$2:B6872)-1)/24),"""18""jjmmdd")</f>
        <v>18981014</v>
      </c>
      <c r="C6872" s="11" t="str">
        <f>INDEX(Data,2,2+MOD(ROWS(C$2:C6872)-1,24))</f>
        <v>07.00</v>
      </c>
      <c r="D6872" s="8">
        <f t="shared" ca="1" si="323"/>
        <v>10</v>
      </c>
      <c r="E6872" s="16">
        <f t="shared" ca="1" si="324"/>
        <v>0</v>
      </c>
    </row>
    <row r="6873" spans="1:5" x14ac:dyDescent="0.25">
      <c r="A6873" s="3">
        <f t="shared" si="322"/>
        <v>78989</v>
      </c>
      <c r="B6873" t="str">
        <f ca="1">TEXT(DATE(YEAR(Invoer!$A$5),1,1)+INT((ROWS(B$2:B6873)-1)/24),"""18""jjmmdd")</f>
        <v>18981014</v>
      </c>
      <c r="C6873" s="11" t="str">
        <f>INDEX(Data,2,2+MOD(ROWS(C$2:C6873)-1,24))</f>
        <v>08.00</v>
      </c>
      <c r="D6873" s="8">
        <f t="shared" ca="1" si="323"/>
        <v>9</v>
      </c>
      <c r="E6873" s="16">
        <f t="shared" ca="1" si="324"/>
        <v>0</v>
      </c>
    </row>
    <row r="6874" spans="1:5" x14ac:dyDescent="0.25">
      <c r="A6874" s="3">
        <f t="shared" si="322"/>
        <v>78989</v>
      </c>
      <c r="B6874" t="str">
        <f ca="1">TEXT(DATE(YEAR(Invoer!$A$5),1,1)+INT((ROWS(B$2:B6874)-1)/24),"""18""jjmmdd")</f>
        <v>18981014</v>
      </c>
      <c r="C6874" s="11" t="str">
        <f>INDEX(Data,2,2+MOD(ROWS(C$2:C6874)-1,24))</f>
        <v>09.00</v>
      </c>
      <c r="D6874" s="8">
        <f t="shared" ca="1" si="323"/>
        <v>10</v>
      </c>
      <c r="E6874" s="16">
        <f t="shared" ca="1" si="324"/>
        <v>0</v>
      </c>
    </row>
    <row r="6875" spans="1:5" x14ac:dyDescent="0.25">
      <c r="A6875" s="3">
        <f t="shared" si="322"/>
        <v>78989</v>
      </c>
      <c r="B6875" t="str">
        <f ca="1">TEXT(DATE(YEAR(Invoer!$A$5),1,1)+INT((ROWS(B$2:B6875)-1)/24),"""18""jjmmdd")</f>
        <v>18981014</v>
      </c>
      <c r="C6875" s="11" t="str">
        <f>INDEX(Data,2,2+MOD(ROWS(C$2:C6875)-1,24))</f>
        <v>10.00</v>
      </c>
      <c r="D6875" s="8">
        <f t="shared" ca="1" si="323"/>
        <v>8</v>
      </c>
      <c r="E6875" s="16">
        <f t="shared" ca="1" si="324"/>
        <v>0</v>
      </c>
    </row>
    <row r="6876" spans="1:5" x14ac:dyDescent="0.25">
      <c r="A6876" s="3">
        <f t="shared" si="322"/>
        <v>78989</v>
      </c>
      <c r="B6876" t="str">
        <f ca="1">TEXT(DATE(YEAR(Invoer!$A$5),1,1)+INT((ROWS(B$2:B6876)-1)/24),"""18""jjmmdd")</f>
        <v>18981014</v>
      </c>
      <c r="C6876" s="11" t="str">
        <f>INDEX(Data,2,2+MOD(ROWS(C$2:C6876)-1,24))</f>
        <v>11.00</v>
      </c>
      <c r="D6876" s="8">
        <f t="shared" ca="1" si="323"/>
        <v>10</v>
      </c>
      <c r="E6876" s="16">
        <f t="shared" ca="1" si="324"/>
        <v>0</v>
      </c>
    </row>
    <row r="6877" spans="1:5" x14ac:dyDescent="0.25">
      <c r="A6877" s="3">
        <f t="shared" si="322"/>
        <v>78989</v>
      </c>
      <c r="B6877" t="str">
        <f ca="1">TEXT(DATE(YEAR(Invoer!$A$5),1,1)+INT((ROWS(B$2:B6877)-1)/24),"""18""jjmmdd")</f>
        <v>18981014</v>
      </c>
      <c r="C6877" s="11" t="str">
        <f>INDEX(Data,2,2+MOD(ROWS(C$2:C6877)-1,24))</f>
        <v>12.00</v>
      </c>
      <c r="D6877" s="8">
        <f t="shared" ca="1" si="323"/>
        <v>11</v>
      </c>
      <c r="E6877" s="16">
        <f t="shared" ca="1" si="324"/>
        <v>0</v>
      </c>
    </row>
    <row r="6878" spans="1:5" x14ac:dyDescent="0.25">
      <c r="A6878" s="3">
        <f t="shared" si="322"/>
        <v>78989</v>
      </c>
      <c r="B6878" t="str">
        <f ca="1">TEXT(DATE(YEAR(Invoer!$A$5),1,1)+INT((ROWS(B$2:B6878)-1)/24),"""18""jjmmdd")</f>
        <v>18981014</v>
      </c>
      <c r="C6878" s="11" t="str">
        <f>INDEX(Data,2,2+MOD(ROWS(C$2:C6878)-1,24))</f>
        <v>13.00</v>
      </c>
      <c r="D6878" s="8">
        <f t="shared" ca="1" si="323"/>
        <v>11</v>
      </c>
      <c r="E6878" s="16">
        <f t="shared" ca="1" si="324"/>
        <v>0</v>
      </c>
    </row>
    <row r="6879" spans="1:5" x14ac:dyDescent="0.25">
      <c r="A6879" s="3">
        <f t="shared" si="322"/>
        <v>78989</v>
      </c>
      <c r="B6879" t="str">
        <f ca="1">TEXT(DATE(YEAR(Invoer!$A$5),1,1)+INT((ROWS(B$2:B6879)-1)/24),"""18""jjmmdd")</f>
        <v>18981014</v>
      </c>
      <c r="C6879" s="11" t="str">
        <f>INDEX(Data,2,2+MOD(ROWS(C$2:C6879)-1,24))</f>
        <v>14.00</v>
      </c>
      <c r="D6879" s="8">
        <f t="shared" ca="1" si="323"/>
        <v>10</v>
      </c>
      <c r="E6879" s="16">
        <f t="shared" ca="1" si="324"/>
        <v>0</v>
      </c>
    </row>
    <row r="6880" spans="1:5" x14ac:dyDescent="0.25">
      <c r="A6880" s="3">
        <f t="shared" si="322"/>
        <v>78989</v>
      </c>
      <c r="B6880" t="str">
        <f ca="1">TEXT(DATE(YEAR(Invoer!$A$5),1,1)+INT((ROWS(B$2:B6880)-1)/24),"""18""jjmmdd")</f>
        <v>18981014</v>
      </c>
      <c r="C6880" s="11" t="str">
        <f>INDEX(Data,2,2+MOD(ROWS(C$2:C6880)-1,24))</f>
        <v>15.00</v>
      </c>
      <c r="D6880" s="8">
        <f t="shared" ca="1" si="323"/>
        <v>12</v>
      </c>
      <c r="E6880" s="16">
        <f t="shared" ca="1" si="324"/>
        <v>0</v>
      </c>
    </row>
    <row r="6881" spans="1:5" x14ac:dyDescent="0.25">
      <c r="A6881" s="3">
        <f t="shared" si="322"/>
        <v>78989</v>
      </c>
      <c r="B6881" t="str">
        <f ca="1">TEXT(DATE(YEAR(Invoer!$A$5),1,1)+INT((ROWS(B$2:B6881)-1)/24),"""18""jjmmdd")</f>
        <v>18981014</v>
      </c>
      <c r="C6881" s="11" t="str">
        <f>INDEX(Data,2,2+MOD(ROWS(C$2:C6881)-1,24))</f>
        <v>16.00</v>
      </c>
      <c r="D6881" s="8">
        <f t="shared" ca="1" si="323"/>
        <v>12</v>
      </c>
      <c r="E6881" s="16">
        <f t="shared" ca="1" si="324"/>
        <v>0</v>
      </c>
    </row>
    <row r="6882" spans="1:5" x14ac:dyDescent="0.25">
      <c r="A6882" s="3">
        <f t="shared" si="322"/>
        <v>78989</v>
      </c>
      <c r="B6882" t="str">
        <f ca="1">TEXT(DATE(YEAR(Invoer!$A$5),1,1)+INT((ROWS(B$2:B6882)-1)/24),"""18""jjmmdd")</f>
        <v>18981014</v>
      </c>
      <c r="C6882" s="11" t="str">
        <f>INDEX(Data,2,2+MOD(ROWS(C$2:C6882)-1,24))</f>
        <v>17.00</v>
      </c>
      <c r="D6882" s="8">
        <f t="shared" ca="1" si="323"/>
        <v>14</v>
      </c>
      <c r="E6882" s="16">
        <f t="shared" ca="1" si="324"/>
        <v>0</v>
      </c>
    </row>
    <row r="6883" spans="1:5" x14ac:dyDescent="0.25">
      <c r="A6883" s="3">
        <f t="shared" si="322"/>
        <v>78989</v>
      </c>
      <c r="B6883" t="str">
        <f ca="1">TEXT(DATE(YEAR(Invoer!$A$5),1,1)+INT((ROWS(B$2:B6883)-1)/24),"""18""jjmmdd")</f>
        <v>18981014</v>
      </c>
      <c r="C6883" s="11" t="str">
        <f>INDEX(Data,2,2+MOD(ROWS(C$2:C6883)-1,24))</f>
        <v>18.00</v>
      </c>
      <c r="D6883" s="8">
        <f t="shared" ca="1" si="323"/>
        <v>14</v>
      </c>
      <c r="E6883" s="16">
        <f t="shared" ca="1" si="324"/>
        <v>0</v>
      </c>
    </row>
    <row r="6884" spans="1:5" x14ac:dyDescent="0.25">
      <c r="A6884" s="3">
        <f t="shared" si="322"/>
        <v>78989</v>
      </c>
      <c r="B6884" t="str">
        <f ca="1">TEXT(DATE(YEAR(Invoer!$A$5),1,1)+INT((ROWS(B$2:B6884)-1)/24),"""18""jjmmdd")</f>
        <v>18981014</v>
      </c>
      <c r="C6884" s="11" t="str">
        <f>INDEX(Data,2,2+MOD(ROWS(C$2:C6884)-1,24))</f>
        <v>19.00</v>
      </c>
      <c r="D6884" s="8">
        <f t="shared" ca="1" si="323"/>
        <v>14</v>
      </c>
      <c r="E6884" s="16">
        <f t="shared" ca="1" si="324"/>
        <v>0</v>
      </c>
    </row>
    <row r="6885" spans="1:5" x14ac:dyDescent="0.25">
      <c r="A6885" s="3">
        <f t="shared" si="322"/>
        <v>78989</v>
      </c>
      <c r="B6885" t="str">
        <f ca="1">TEXT(DATE(YEAR(Invoer!$A$5),1,1)+INT((ROWS(B$2:B6885)-1)/24),"""18""jjmmdd")</f>
        <v>18981014</v>
      </c>
      <c r="C6885" s="11" t="str">
        <f>INDEX(Data,2,2+MOD(ROWS(C$2:C6885)-1,24))</f>
        <v>20.00</v>
      </c>
      <c r="D6885" s="8">
        <f t="shared" ca="1" si="323"/>
        <v>14</v>
      </c>
      <c r="E6885" s="16">
        <f t="shared" ca="1" si="324"/>
        <v>0</v>
      </c>
    </row>
    <row r="6886" spans="1:5" x14ac:dyDescent="0.25">
      <c r="A6886" s="3">
        <f t="shared" si="322"/>
        <v>78989</v>
      </c>
      <c r="B6886" t="str">
        <f ca="1">TEXT(DATE(YEAR(Invoer!$A$5),1,1)+INT((ROWS(B$2:B6886)-1)/24),"""18""jjmmdd")</f>
        <v>18981014</v>
      </c>
      <c r="C6886" s="11" t="str">
        <f>INDEX(Data,2,2+MOD(ROWS(C$2:C6886)-1,24))</f>
        <v>21.00</v>
      </c>
      <c r="D6886" s="8">
        <f t="shared" ca="1" si="323"/>
        <v>13</v>
      </c>
      <c r="E6886" s="16">
        <f t="shared" ca="1" si="324"/>
        <v>0</v>
      </c>
    </row>
    <row r="6887" spans="1:5" x14ac:dyDescent="0.25">
      <c r="A6887" s="3">
        <f t="shared" si="322"/>
        <v>78989</v>
      </c>
      <c r="B6887" t="str">
        <f ca="1">TEXT(DATE(YEAR(Invoer!$A$5),1,1)+INT((ROWS(B$2:B6887)-1)/24),"""18""jjmmdd")</f>
        <v>18981014</v>
      </c>
      <c r="C6887" s="11" t="str">
        <f>INDEX(Data,2,2+MOD(ROWS(C$2:C6887)-1,24))</f>
        <v>22.00</v>
      </c>
      <c r="D6887" s="8">
        <f t="shared" ca="1" si="323"/>
        <v>12</v>
      </c>
      <c r="E6887" s="16">
        <f t="shared" ca="1" si="324"/>
        <v>0</v>
      </c>
    </row>
    <row r="6888" spans="1:5" x14ac:dyDescent="0.25">
      <c r="A6888" s="3">
        <f t="shared" si="322"/>
        <v>78989</v>
      </c>
      <c r="B6888" t="str">
        <f ca="1">TEXT(DATE(YEAR(Invoer!$A$5),1,1)+INT((ROWS(B$2:B6888)-1)/24),"""18""jjmmdd")</f>
        <v>18981014</v>
      </c>
      <c r="C6888" s="11" t="str">
        <f>INDEX(Data,2,2+MOD(ROWS(C$2:C6888)-1,24))</f>
        <v>23.00</v>
      </c>
      <c r="D6888" s="8">
        <f t="shared" ca="1" si="323"/>
        <v>11</v>
      </c>
      <c r="E6888" s="16">
        <f t="shared" ca="1" si="324"/>
        <v>0</v>
      </c>
    </row>
    <row r="6889" spans="1:5" x14ac:dyDescent="0.25">
      <c r="A6889" s="3">
        <f t="shared" si="322"/>
        <v>78989</v>
      </c>
      <c r="B6889" t="str">
        <f ca="1">TEXT(DATE(YEAR(Invoer!$A$5),1,1)+INT((ROWS(B$2:B6889)-1)/24),"""18""jjmmdd")</f>
        <v>18981014</v>
      </c>
      <c r="C6889" s="11" t="str">
        <f>INDEX(Data,2,2+MOD(ROWS(C$2:C6889)-1,24))</f>
        <v>24.00</v>
      </c>
      <c r="D6889" s="8">
        <f t="shared" ca="1" si="323"/>
        <v>10</v>
      </c>
      <c r="E6889" s="16">
        <f t="shared" ca="1" si="324"/>
        <v>0</v>
      </c>
    </row>
    <row r="6890" spans="1:5" x14ac:dyDescent="0.25">
      <c r="A6890" s="3">
        <f t="shared" si="322"/>
        <v>78989</v>
      </c>
      <c r="B6890" t="str">
        <f ca="1">TEXT(DATE(YEAR(Invoer!$A$5),1,1)+INT((ROWS(B$2:B6890)-1)/24),"""18""jjmmdd")</f>
        <v>18981015</v>
      </c>
      <c r="C6890" s="11" t="str">
        <f>INDEX(Data,2,2+MOD(ROWS(C$2:C6890)-1,24))</f>
        <v>01.00</v>
      </c>
      <c r="D6890" s="8">
        <f t="shared" ca="1" si="323"/>
        <v>9</v>
      </c>
      <c r="E6890" s="16">
        <f t="shared" ca="1" si="324"/>
        <v>0</v>
      </c>
    </row>
    <row r="6891" spans="1:5" x14ac:dyDescent="0.25">
      <c r="A6891" s="3">
        <f t="shared" si="322"/>
        <v>78989</v>
      </c>
      <c r="B6891" t="str">
        <f ca="1">TEXT(DATE(YEAR(Invoer!$A$5),1,1)+INT((ROWS(B$2:B6891)-1)/24),"""18""jjmmdd")</f>
        <v>18981015</v>
      </c>
      <c r="C6891" s="11" t="str">
        <f>INDEX(Data,2,2+MOD(ROWS(C$2:C6891)-1,24))</f>
        <v>02.00</v>
      </c>
      <c r="D6891" s="8">
        <f t="shared" ca="1" si="323"/>
        <v>7</v>
      </c>
      <c r="E6891" s="16">
        <f t="shared" ca="1" si="324"/>
        <v>0</v>
      </c>
    </row>
    <row r="6892" spans="1:5" x14ac:dyDescent="0.25">
      <c r="A6892" s="3">
        <f t="shared" si="322"/>
        <v>78989</v>
      </c>
      <c r="B6892" t="str">
        <f ca="1">TEXT(DATE(YEAR(Invoer!$A$5),1,1)+INT((ROWS(B$2:B6892)-1)/24),"""18""jjmmdd")</f>
        <v>18981015</v>
      </c>
      <c r="C6892" s="11" t="str">
        <f>INDEX(Data,2,2+MOD(ROWS(C$2:C6892)-1,24))</f>
        <v>03.00</v>
      </c>
      <c r="D6892" s="8">
        <f t="shared" ca="1" si="323"/>
        <v>10</v>
      </c>
      <c r="E6892" s="16">
        <f t="shared" ca="1" si="324"/>
        <v>0</v>
      </c>
    </row>
    <row r="6893" spans="1:5" x14ac:dyDescent="0.25">
      <c r="A6893" s="3">
        <f t="shared" si="322"/>
        <v>78989</v>
      </c>
      <c r="B6893" t="str">
        <f ca="1">TEXT(DATE(YEAR(Invoer!$A$5),1,1)+INT((ROWS(B$2:B6893)-1)/24),"""18""jjmmdd")</f>
        <v>18981015</v>
      </c>
      <c r="C6893" s="11" t="str">
        <f>INDEX(Data,2,2+MOD(ROWS(C$2:C6893)-1,24))</f>
        <v>04.00</v>
      </c>
      <c r="D6893" s="8">
        <f t="shared" ca="1" si="323"/>
        <v>10</v>
      </c>
      <c r="E6893" s="16">
        <f t="shared" ca="1" si="324"/>
        <v>0</v>
      </c>
    </row>
    <row r="6894" spans="1:5" x14ac:dyDescent="0.25">
      <c r="A6894" s="3">
        <f t="shared" si="322"/>
        <v>78989</v>
      </c>
      <c r="B6894" t="str">
        <f ca="1">TEXT(DATE(YEAR(Invoer!$A$5),1,1)+INT((ROWS(B$2:B6894)-1)/24),"""18""jjmmdd")</f>
        <v>18981015</v>
      </c>
      <c r="C6894" s="11" t="str">
        <f>INDEX(Data,2,2+MOD(ROWS(C$2:C6894)-1,24))</f>
        <v>05.00</v>
      </c>
      <c r="D6894" s="8">
        <f t="shared" ca="1" si="323"/>
        <v>10</v>
      </c>
      <c r="E6894" s="16">
        <f t="shared" ca="1" si="324"/>
        <v>0</v>
      </c>
    </row>
    <row r="6895" spans="1:5" x14ac:dyDescent="0.25">
      <c r="A6895" s="3">
        <f t="shared" si="322"/>
        <v>78989</v>
      </c>
      <c r="B6895" t="str">
        <f ca="1">TEXT(DATE(YEAR(Invoer!$A$5),1,1)+INT((ROWS(B$2:B6895)-1)/24),"""18""jjmmdd")</f>
        <v>18981015</v>
      </c>
      <c r="C6895" s="11" t="str">
        <f>INDEX(Data,2,2+MOD(ROWS(C$2:C6895)-1,24))</f>
        <v>06.00</v>
      </c>
      <c r="D6895" s="8">
        <f t="shared" ca="1" si="323"/>
        <v>9</v>
      </c>
      <c r="E6895" s="16">
        <f t="shared" ca="1" si="324"/>
        <v>0</v>
      </c>
    </row>
    <row r="6896" spans="1:5" x14ac:dyDescent="0.25">
      <c r="A6896" s="3">
        <f t="shared" si="322"/>
        <v>78989</v>
      </c>
      <c r="B6896" t="str">
        <f ca="1">TEXT(DATE(YEAR(Invoer!$A$5),1,1)+INT((ROWS(B$2:B6896)-1)/24),"""18""jjmmdd")</f>
        <v>18981015</v>
      </c>
      <c r="C6896" s="11" t="str">
        <f>INDEX(Data,2,2+MOD(ROWS(C$2:C6896)-1,24))</f>
        <v>07.00</v>
      </c>
      <c r="D6896" s="8">
        <f t="shared" ca="1" si="323"/>
        <v>12</v>
      </c>
      <c r="E6896" s="16">
        <f t="shared" ca="1" si="324"/>
        <v>0</v>
      </c>
    </row>
    <row r="6897" spans="1:5" x14ac:dyDescent="0.25">
      <c r="A6897" s="3">
        <f t="shared" si="322"/>
        <v>78989</v>
      </c>
      <c r="B6897" t="str">
        <f ca="1">TEXT(DATE(YEAR(Invoer!$A$5),1,1)+INT((ROWS(B$2:B6897)-1)/24),"""18""jjmmdd")</f>
        <v>18981015</v>
      </c>
      <c r="C6897" s="11" t="str">
        <f>INDEX(Data,2,2+MOD(ROWS(C$2:C6897)-1,24))</f>
        <v>08.00</v>
      </c>
      <c r="D6897" s="8">
        <f t="shared" ca="1" si="323"/>
        <v>15</v>
      </c>
      <c r="E6897" s="16">
        <f t="shared" ca="1" si="324"/>
        <v>0</v>
      </c>
    </row>
    <row r="6898" spans="1:5" x14ac:dyDescent="0.25">
      <c r="A6898" s="3">
        <f t="shared" si="322"/>
        <v>78989</v>
      </c>
      <c r="B6898" t="str">
        <f ca="1">TEXT(DATE(YEAR(Invoer!$A$5),1,1)+INT((ROWS(B$2:B6898)-1)/24),"""18""jjmmdd")</f>
        <v>18981015</v>
      </c>
      <c r="C6898" s="11" t="str">
        <f>INDEX(Data,2,2+MOD(ROWS(C$2:C6898)-1,24))</f>
        <v>09.00</v>
      </c>
      <c r="D6898" s="8">
        <f t="shared" ca="1" si="323"/>
        <v>15</v>
      </c>
      <c r="E6898" s="16">
        <f t="shared" ca="1" si="324"/>
        <v>0</v>
      </c>
    </row>
    <row r="6899" spans="1:5" x14ac:dyDescent="0.25">
      <c r="A6899" s="3">
        <f t="shared" si="322"/>
        <v>78989</v>
      </c>
      <c r="B6899" t="str">
        <f ca="1">TEXT(DATE(YEAR(Invoer!$A$5),1,1)+INT((ROWS(B$2:B6899)-1)/24),"""18""jjmmdd")</f>
        <v>18981015</v>
      </c>
      <c r="C6899" s="11" t="str">
        <f>INDEX(Data,2,2+MOD(ROWS(C$2:C6899)-1,24))</f>
        <v>10.00</v>
      </c>
      <c r="D6899" s="8">
        <f t="shared" ca="1" si="323"/>
        <v>13</v>
      </c>
      <c r="E6899" s="16">
        <f t="shared" ca="1" si="324"/>
        <v>0</v>
      </c>
    </row>
    <row r="6900" spans="1:5" x14ac:dyDescent="0.25">
      <c r="A6900" s="3">
        <f t="shared" si="322"/>
        <v>78989</v>
      </c>
      <c r="B6900" t="str">
        <f ca="1">TEXT(DATE(YEAR(Invoer!$A$5),1,1)+INT((ROWS(B$2:B6900)-1)/24),"""18""jjmmdd")</f>
        <v>18981015</v>
      </c>
      <c r="C6900" s="11" t="str">
        <f>INDEX(Data,2,2+MOD(ROWS(C$2:C6900)-1,24))</f>
        <v>11.00</v>
      </c>
      <c r="D6900" s="8">
        <f t="shared" ca="1" si="323"/>
        <v>15</v>
      </c>
      <c r="E6900" s="16">
        <f t="shared" ca="1" si="324"/>
        <v>0</v>
      </c>
    </row>
    <row r="6901" spans="1:5" x14ac:dyDescent="0.25">
      <c r="A6901" s="3">
        <f t="shared" si="322"/>
        <v>78989</v>
      </c>
      <c r="B6901" t="str">
        <f ca="1">TEXT(DATE(YEAR(Invoer!$A$5),1,1)+INT((ROWS(B$2:B6901)-1)/24),"""18""jjmmdd")</f>
        <v>18981015</v>
      </c>
      <c r="C6901" s="11" t="str">
        <f>INDEX(Data,2,2+MOD(ROWS(C$2:C6901)-1,24))</f>
        <v>12.00</v>
      </c>
      <c r="D6901" s="8">
        <f t="shared" ca="1" si="323"/>
        <v>15</v>
      </c>
      <c r="E6901" s="16">
        <f t="shared" ca="1" si="324"/>
        <v>0</v>
      </c>
    </row>
    <row r="6902" spans="1:5" x14ac:dyDescent="0.25">
      <c r="A6902" s="3">
        <f t="shared" si="322"/>
        <v>78989</v>
      </c>
      <c r="B6902" t="str">
        <f ca="1">TEXT(DATE(YEAR(Invoer!$A$5),1,1)+INT((ROWS(B$2:B6902)-1)/24),"""18""jjmmdd")</f>
        <v>18981015</v>
      </c>
      <c r="C6902" s="11" t="str">
        <f>INDEX(Data,2,2+MOD(ROWS(C$2:C6902)-1,24))</f>
        <v>13.00</v>
      </c>
      <c r="D6902" s="8">
        <f t="shared" ca="1" si="323"/>
        <v>15</v>
      </c>
      <c r="E6902" s="16">
        <f t="shared" ca="1" si="324"/>
        <v>0</v>
      </c>
    </row>
    <row r="6903" spans="1:5" x14ac:dyDescent="0.25">
      <c r="A6903" s="3">
        <f t="shared" si="322"/>
        <v>78989</v>
      </c>
      <c r="B6903" t="str">
        <f ca="1">TEXT(DATE(YEAR(Invoer!$A$5),1,1)+INT((ROWS(B$2:B6903)-1)/24),"""18""jjmmdd")</f>
        <v>18981015</v>
      </c>
      <c r="C6903" s="11" t="str">
        <f>INDEX(Data,2,2+MOD(ROWS(C$2:C6903)-1,24))</f>
        <v>14.00</v>
      </c>
      <c r="D6903" s="8">
        <f t="shared" ca="1" si="323"/>
        <v>15</v>
      </c>
      <c r="E6903" s="16">
        <f t="shared" ca="1" si="324"/>
        <v>0</v>
      </c>
    </row>
    <row r="6904" spans="1:5" x14ac:dyDescent="0.25">
      <c r="A6904" s="3">
        <f t="shared" si="322"/>
        <v>78989</v>
      </c>
      <c r="B6904" t="str">
        <f ca="1">TEXT(DATE(YEAR(Invoer!$A$5),1,1)+INT((ROWS(B$2:B6904)-1)/24),"""18""jjmmdd")</f>
        <v>18981015</v>
      </c>
      <c r="C6904" s="11" t="str">
        <f>INDEX(Data,2,2+MOD(ROWS(C$2:C6904)-1,24))</f>
        <v>15.00</v>
      </c>
      <c r="D6904" s="8">
        <f t="shared" ca="1" si="323"/>
        <v>14</v>
      </c>
      <c r="E6904" s="16">
        <f t="shared" ca="1" si="324"/>
        <v>0</v>
      </c>
    </row>
    <row r="6905" spans="1:5" x14ac:dyDescent="0.25">
      <c r="A6905" s="3">
        <f t="shared" si="322"/>
        <v>78989</v>
      </c>
      <c r="B6905" t="str">
        <f ca="1">TEXT(DATE(YEAR(Invoer!$A$5),1,1)+INT((ROWS(B$2:B6905)-1)/24),"""18""jjmmdd")</f>
        <v>18981015</v>
      </c>
      <c r="C6905" s="11" t="str">
        <f>INDEX(Data,2,2+MOD(ROWS(C$2:C6905)-1,24))</f>
        <v>16.00</v>
      </c>
      <c r="D6905" s="8">
        <f t="shared" ca="1" si="323"/>
        <v>16</v>
      </c>
      <c r="E6905" s="16">
        <f t="shared" ca="1" si="324"/>
        <v>0</v>
      </c>
    </row>
    <row r="6906" spans="1:5" x14ac:dyDescent="0.25">
      <c r="A6906" s="3">
        <f t="shared" si="322"/>
        <v>78989</v>
      </c>
      <c r="B6906" t="str">
        <f ca="1">TEXT(DATE(YEAR(Invoer!$A$5),1,1)+INT((ROWS(B$2:B6906)-1)/24),"""18""jjmmdd")</f>
        <v>18981015</v>
      </c>
      <c r="C6906" s="11" t="str">
        <f>INDEX(Data,2,2+MOD(ROWS(C$2:C6906)-1,24))</f>
        <v>17.00</v>
      </c>
      <c r="D6906" s="8">
        <f t="shared" ca="1" si="323"/>
        <v>15</v>
      </c>
      <c r="E6906" s="16">
        <f t="shared" ca="1" si="324"/>
        <v>0</v>
      </c>
    </row>
    <row r="6907" spans="1:5" x14ac:dyDescent="0.25">
      <c r="A6907" s="3">
        <f t="shared" si="322"/>
        <v>78989</v>
      </c>
      <c r="B6907" t="str">
        <f ca="1">TEXT(DATE(YEAR(Invoer!$A$5),1,1)+INT((ROWS(B$2:B6907)-1)/24),"""18""jjmmdd")</f>
        <v>18981015</v>
      </c>
      <c r="C6907" s="11" t="str">
        <f>INDEX(Data,2,2+MOD(ROWS(C$2:C6907)-1,24))</f>
        <v>18.00</v>
      </c>
      <c r="D6907" s="8">
        <f t="shared" ca="1" si="323"/>
        <v>13</v>
      </c>
      <c r="E6907" s="16">
        <f t="shared" ca="1" si="324"/>
        <v>0</v>
      </c>
    </row>
    <row r="6908" spans="1:5" x14ac:dyDescent="0.25">
      <c r="A6908" s="3">
        <f t="shared" si="322"/>
        <v>78989</v>
      </c>
      <c r="B6908" t="str">
        <f ca="1">TEXT(DATE(YEAR(Invoer!$A$5),1,1)+INT((ROWS(B$2:B6908)-1)/24),"""18""jjmmdd")</f>
        <v>18981015</v>
      </c>
      <c r="C6908" s="11" t="str">
        <f>INDEX(Data,2,2+MOD(ROWS(C$2:C6908)-1,24))</f>
        <v>19.00</v>
      </c>
      <c r="D6908" s="8">
        <f t="shared" ca="1" si="323"/>
        <v>13</v>
      </c>
      <c r="E6908" s="16">
        <f t="shared" ca="1" si="324"/>
        <v>0</v>
      </c>
    </row>
    <row r="6909" spans="1:5" x14ac:dyDescent="0.25">
      <c r="A6909" s="3">
        <f t="shared" si="322"/>
        <v>78989</v>
      </c>
      <c r="B6909" t="str">
        <f ca="1">TEXT(DATE(YEAR(Invoer!$A$5),1,1)+INT((ROWS(B$2:B6909)-1)/24),"""18""jjmmdd")</f>
        <v>18981015</v>
      </c>
      <c r="C6909" s="11" t="str">
        <f>INDEX(Data,2,2+MOD(ROWS(C$2:C6909)-1,24))</f>
        <v>20.00</v>
      </c>
      <c r="D6909" s="8">
        <f t="shared" ca="1" si="323"/>
        <v>11</v>
      </c>
      <c r="E6909" s="16">
        <f t="shared" ca="1" si="324"/>
        <v>0</v>
      </c>
    </row>
    <row r="6910" spans="1:5" x14ac:dyDescent="0.25">
      <c r="A6910" s="3">
        <f t="shared" si="322"/>
        <v>78989</v>
      </c>
      <c r="B6910" t="str">
        <f ca="1">TEXT(DATE(YEAR(Invoer!$A$5),1,1)+INT((ROWS(B$2:B6910)-1)/24),"""18""jjmmdd")</f>
        <v>18981015</v>
      </c>
      <c r="C6910" s="11" t="str">
        <f>INDEX(Data,2,2+MOD(ROWS(C$2:C6910)-1,24))</f>
        <v>21.00</v>
      </c>
      <c r="D6910" s="8">
        <f t="shared" ca="1" si="323"/>
        <v>9</v>
      </c>
      <c r="E6910" s="16">
        <f t="shared" ca="1" si="324"/>
        <v>0</v>
      </c>
    </row>
    <row r="6911" spans="1:5" x14ac:dyDescent="0.25">
      <c r="A6911" s="3">
        <f t="shared" si="322"/>
        <v>78989</v>
      </c>
      <c r="B6911" t="str">
        <f ca="1">TEXT(DATE(YEAR(Invoer!$A$5),1,1)+INT((ROWS(B$2:B6911)-1)/24),"""18""jjmmdd")</f>
        <v>18981015</v>
      </c>
      <c r="C6911" s="11" t="str">
        <f>INDEX(Data,2,2+MOD(ROWS(C$2:C6911)-1,24))</f>
        <v>22.00</v>
      </c>
      <c r="D6911" s="8">
        <f t="shared" ca="1" si="323"/>
        <v>11</v>
      </c>
      <c r="E6911" s="16">
        <f t="shared" ca="1" si="324"/>
        <v>0</v>
      </c>
    </row>
    <row r="6912" spans="1:5" x14ac:dyDescent="0.25">
      <c r="A6912" s="3">
        <f t="shared" si="322"/>
        <v>78989</v>
      </c>
      <c r="B6912" t="str">
        <f ca="1">TEXT(DATE(YEAR(Invoer!$A$5),1,1)+INT((ROWS(B$2:B6912)-1)/24),"""18""jjmmdd")</f>
        <v>18981015</v>
      </c>
      <c r="C6912" s="11" t="str">
        <f>INDEX(Data,2,2+MOD(ROWS(C$2:C6912)-1,24))</f>
        <v>23.00</v>
      </c>
      <c r="D6912" s="8">
        <f t="shared" ca="1" si="323"/>
        <v>11</v>
      </c>
      <c r="E6912" s="16">
        <f t="shared" ca="1" si="324"/>
        <v>0</v>
      </c>
    </row>
    <row r="6913" spans="1:5" x14ac:dyDescent="0.25">
      <c r="A6913" s="3">
        <f t="shared" si="322"/>
        <v>78989</v>
      </c>
      <c r="B6913" t="str">
        <f ca="1">TEXT(DATE(YEAR(Invoer!$A$5),1,1)+INT((ROWS(B$2:B6913)-1)/24),"""18""jjmmdd")</f>
        <v>18981015</v>
      </c>
      <c r="C6913" s="11" t="str">
        <f>INDEX(Data,2,2+MOD(ROWS(C$2:C6913)-1,24))</f>
        <v>24.00</v>
      </c>
      <c r="D6913" s="8">
        <f t="shared" ca="1" si="323"/>
        <v>10</v>
      </c>
      <c r="E6913" s="16">
        <f t="shared" ca="1" si="324"/>
        <v>0</v>
      </c>
    </row>
    <row r="6914" spans="1:5" x14ac:dyDescent="0.25">
      <c r="A6914" s="3">
        <f t="shared" ref="A6914:A6977" si="325">INDEX(Stations,2,1)</f>
        <v>78989</v>
      </c>
      <c r="B6914" t="str">
        <f ca="1">TEXT(DATE(YEAR(Invoer!$A$5),1,1)+INT((ROWS(B$2:B6914)-1)/24),"""18""jjmmdd")</f>
        <v>18981016</v>
      </c>
      <c r="C6914" s="11" t="str">
        <f>INDEX(Data,2,2+MOD(ROWS(C$2:C6914)-1,24))</f>
        <v>01.00</v>
      </c>
      <c r="D6914" s="8">
        <f t="shared" ref="D6914:D6977" ca="1" si="326">IF(OR(ISBLANK(VLOOKUP(DATEVALUE("37"&amp;MID($B6914,3,2)&amp;"-"&amp;MID($B6914,5,2)&amp;"-"&amp;RIGHT($B6914,2)),Data,MATCH(LEFT(VLOOKUP(D$1,Parameters,2,FALSE()),4)&amp;"*",OFFSET(Data,0,0,1),0)+MATCH($C6914,OFFSET(Data,1,0,1),0)-2,FALSE())),ISTEXT(VLOOKUP(DATEVALUE("37"&amp;MID($B6914,3,2)&amp;"-"&amp;MID($B6914,5,2)&amp;"-"&amp;RIGHT($B6914,2)),Data,MATCH(LEFT(VLOOKUP(D$1,Parameters,2,FALSE()),4)&amp;"*",OFFSET(Data,0,0,1),0)+MATCH($C6914,OFFSET(Data,1,0,1),0)-2,FALSE()))),"—",VLOOKUP(DATEVALUE("37"&amp;MID($B6914,3,2)&amp;"-"&amp;MID($B6914,5,2)&amp;"-"&amp;RIGHT($B6914,2)),Data,MATCH(LEFT(VLOOKUP(D$1,Parameters,2,FALSE()),4)&amp;"*",OFFSET(Data,0,0,1),0)+MATCH($C6914,OFFSET(Data,1,0,1),0)-2,FALSE()))</f>
        <v>8</v>
      </c>
      <c r="E6914" s="16">
        <f t="shared" ca="1" si="324"/>
        <v>0</v>
      </c>
    </row>
    <row r="6915" spans="1:5" x14ac:dyDescent="0.25">
      <c r="A6915" s="3">
        <f t="shared" si="325"/>
        <v>78989</v>
      </c>
      <c r="B6915" t="str">
        <f ca="1">TEXT(DATE(YEAR(Invoer!$A$5),1,1)+INT((ROWS(B$2:B6915)-1)/24),"""18""jjmmdd")</f>
        <v>18981016</v>
      </c>
      <c r="C6915" s="11" t="str">
        <f>INDEX(Data,2,2+MOD(ROWS(C$2:C6915)-1,24))</f>
        <v>02.00</v>
      </c>
      <c r="D6915" s="8">
        <f t="shared" ca="1" si="326"/>
        <v>8</v>
      </c>
      <c r="E6915" s="16">
        <f t="shared" ref="E6915:E6978" ca="1" si="327">IF(OR(ISBLANK(VLOOKUP(DATEVALUE("37"&amp;MID($B6915,3,2)&amp;"-"&amp;MID($B6915,5,2)&amp;"-"&amp;RIGHT($B6915,2)),Data,MATCH(LEFT(VLOOKUP(D$1,Parameters,2,FALSE()),4)&amp;"*",OFFSET(Data,0,0,1),0)+MATCH($C6915,OFFSET(Data,1,0,1),0)-2,FALSE())),ISTEXT(VLOOKUP(DATEVALUE("37"&amp;MID($B6915,3,2)&amp;"-"&amp;MID($B6915,5,2)&amp;"-"&amp;RIGHT($B6915,2)),Data,MATCH(LEFT(VLOOKUP(D$1,Parameters,2,FALSE()),4)&amp;"*",OFFSET(Data,0,0,1),0)+MATCH($C6915,OFFSET(Data,1,0,1),0)-2,FALSE()))),Lacking,IF(ISNA(MATCH(DATEVALUE("37"&amp;MID($B6915,3,2)&amp;"-"&amp;MID($B6915,5,2)&amp;"-"&amp;RIGHT($B6915,2)),OFFSET(Catalogus,0,0,,1),0)),Ok,VLOOKUP(DATEVALUE("37"&amp;MID($B6915,3,2)&amp;"-"&amp;MID($B6915,5,2)&amp;"-"&amp;RIGHT($B6915,2)),Catalogus,MATCH(LEFT(VLOOKUP(MID(E$1,2,LEN(E$1)-1),Parameters,2,FALSE()),4)&amp;"*",OFFSET(Catalogus,0,0,1),0)+MATCH($C6915,OFFSET(Catalogus,1,0,1),0)-2,FALSE())))</f>
        <v>0</v>
      </c>
    </row>
    <row r="6916" spans="1:5" x14ac:dyDescent="0.25">
      <c r="A6916" s="3">
        <f t="shared" si="325"/>
        <v>78989</v>
      </c>
      <c r="B6916" t="str">
        <f ca="1">TEXT(DATE(YEAR(Invoer!$A$5),1,1)+INT((ROWS(B$2:B6916)-1)/24),"""18""jjmmdd")</f>
        <v>18981016</v>
      </c>
      <c r="C6916" s="11" t="str">
        <f>INDEX(Data,2,2+MOD(ROWS(C$2:C6916)-1,24))</f>
        <v>03.00</v>
      </c>
      <c r="D6916" s="8">
        <f t="shared" ca="1" si="326"/>
        <v>8</v>
      </c>
      <c r="E6916" s="16">
        <f t="shared" ca="1" si="327"/>
        <v>0</v>
      </c>
    </row>
    <row r="6917" spans="1:5" x14ac:dyDescent="0.25">
      <c r="A6917" s="3">
        <f t="shared" si="325"/>
        <v>78989</v>
      </c>
      <c r="B6917" t="str">
        <f ca="1">TEXT(DATE(YEAR(Invoer!$A$5),1,1)+INT((ROWS(B$2:B6917)-1)/24),"""18""jjmmdd")</f>
        <v>18981016</v>
      </c>
      <c r="C6917" s="11" t="str">
        <f>INDEX(Data,2,2+MOD(ROWS(C$2:C6917)-1,24))</f>
        <v>04.00</v>
      </c>
      <c r="D6917" s="8">
        <f t="shared" ca="1" si="326"/>
        <v>7</v>
      </c>
      <c r="E6917" s="16">
        <f t="shared" ca="1" si="327"/>
        <v>0</v>
      </c>
    </row>
    <row r="6918" spans="1:5" x14ac:dyDescent="0.25">
      <c r="A6918" s="3">
        <f t="shared" si="325"/>
        <v>78989</v>
      </c>
      <c r="B6918" t="str">
        <f ca="1">TEXT(DATE(YEAR(Invoer!$A$5),1,1)+INT((ROWS(B$2:B6918)-1)/24),"""18""jjmmdd")</f>
        <v>18981016</v>
      </c>
      <c r="C6918" s="11" t="str">
        <f>INDEX(Data,2,2+MOD(ROWS(C$2:C6918)-1,24))</f>
        <v>05.00</v>
      </c>
      <c r="D6918" s="8">
        <f t="shared" ca="1" si="326"/>
        <v>9</v>
      </c>
      <c r="E6918" s="16">
        <f t="shared" ca="1" si="327"/>
        <v>0</v>
      </c>
    </row>
    <row r="6919" spans="1:5" x14ac:dyDescent="0.25">
      <c r="A6919" s="3">
        <f t="shared" si="325"/>
        <v>78989</v>
      </c>
      <c r="B6919" t="str">
        <f ca="1">TEXT(DATE(YEAR(Invoer!$A$5),1,1)+INT((ROWS(B$2:B6919)-1)/24),"""18""jjmmdd")</f>
        <v>18981016</v>
      </c>
      <c r="C6919" s="11" t="str">
        <f>INDEX(Data,2,2+MOD(ROWS(C$2:C6919)-1,24))</f>
        <v>06.00</v>
      </c>
      <c r="D6919" s="8">
        <f t="shared" ca="1" si="326"/>
        <v>6</v>
      </c>
      <c r="E6919" s="16">
        <f t="shared" ca="1" si="327"/>
        <v>0</v>
      </c>
    </row>
    <row r="6920" spans="1:5" x14ac:dyDescent="0.25">
      <c r="A6920" s="3">
        <f t="shared" si="325"/>
        <v>78989</v>
      </c>
      <c r="B6920" t="str">
        <f ca="1">TEXT(DATE(YEAR(Invoer!$A$5),1,1)+INT((ROWS(B$2:B6920)-1)/24),"""18""jjmmdd")</f>
        <v>18981016</v>
      </c>
      <c r="C6920" s="11" t="str">
        <f>INDEX(Data,2,2+MOD(ROWS(C$2:C6920)-1,24))</f>
        <v>07.00</v>
      </c>
      <c r="D6920" s="8">
        <f t="shared" ca="1" si="326"/>
        <v>10</v>
      </c>
      <c r="E6920" s="16">
        <f t="shared" ca="1" si="327"/>
        <v>0</v>
      </c>
    </row>
    <row r="6921" spans="1:5" x14ac:dyDescent="0.25">
      <c r="A6921" s="3">
        <f t="shared" si="325"/>
        <v>78989</v>
      </c>
      <c r="B6921" t="str">
        <f ca="1">TEXT(DATE(YEAR(Invoer!$A$5),1,1)+INT((ROWS(B$2:B6921)-1)/24),"""18""jjmmdd")</f>
        <v>18981016</v>
      </c>
      <c r="C6921" s="11" t="str">
        <f>INDEX(Data,2,2+MOD(ROWS(C$2:C6921)-1,24))</f>
        <v>08.00</v>
      </c>
      <c r="D6921" s="8">
        <f t="shared" ca="1" si="326"/>
        <v>13</v>
      </c>
      <c r="E6921" s="16">
        <f t="shared" ca="1" si="327"/>
        <v>0</v>
      </c>
    </row>
    <row r="6922" spans="1:5" x14ac:dyDescent="0.25">
      <c r="A6922" s="3">
        <f t="shared" si="325"/>
        <v>78989</v>
      </c>
      <c r="B6922" t="str">
        <f ca="1">TEXT(DATE(YEAR(Invoer!$A$5),1,1)+INT((ROWS(B$2:B6922)-1)/24),"""18""jjmmdd")</f>
        <v>18981016</v>
      </c>
      <c r="C6922" s="11" t="str">
        <f>INDEX(Data,2,2+MOD(ROWS(C$2:C6922)-1,24))</f>
        <v>09.00</v>
      </c>
      <c r="D6922" s="8">
        <f t="shared" ca="1" si="326"/>
        <v>12</v>
      </c>
      <c r="E6922" s="16">
        <f t="shared" ca="1" si="327"/>
        <v>0</v>
      </c>
    </row>
    <row r="6923" spans="1:5" x14ac:dyDescent="0.25">
      <c r="A6923" s="3">
        <f t="shared" si="325"/>
        <v>78989</v>
      </c>
      <c r="B6923" t="str">
        <f ca="1">TEXT(DATE(YEAR(Invoer!$A$5),1,1)+INT((ROWS(B$2:B6923)-1)/24),"""18""jjmmdd")</f>
        <v>18981016</v>
      </c>
      <c r="C6923" s="11" t="str">
        <f>INDEX(Data,2,2+MOD(ROWS(C$2:C6923)-1,24))</f>
        <v>10.00</v>
      </c>
      <c r="D6923" s="8">
        <f t="shared" ca="1" si="326"/>
        <v>14</v>
      </c>
      <c r="E6923" s="16">
        <f t="shared" ca="1" si="327"/>
        <v>0</v>
      </c>
    </row>
    <row r="6924" spans="1:5" x14ac:dyDescent="0.25">
      <c r="A6924" s="3">
        <f t="shared" si="325"/>
        <v>78989</v>
      </c>
      <c r="B6924" t="str">
        <f ca="1">TEXT(DATE(YEAR(Invoer!$A$5),1,1)+INT((ROWS(B$2:B6924)-1)/24),"""18""jjmmdd")</f>
        <v>18981016</v>
      </c>
      <c r="C6924" s="11" t="str">
        <f>INDEX(Data,2,2+MOD(ROWS(C$2:C6924)-1,24))</f>
        <v>11.00</v>
      </c>
      <c r="D6924" s="8">
        <f t="shared" ca="1" si="326"/>
        <v>14</v>
      </c>
      <c r="E6924" s="16">
        <f t="shared" ca="1" si="327"/>
        <v>0</v>
      </c>
    </row>
    <row r="6925" spans="1:5" x14ac:dyDescent="0.25">
      <c r="A6925" s="3">
        <f t="shared" si="325"/>
        <v>78989</v>
      </c>
      <c r="B6925" t="str">
        <f ca="1">TEXT(DATE(YEAR(Invoer!$A$5),1,1)+INT((ROWS(B$2:B6925)-1)/24),"""18""jjmmdd")</f>
        <v>18981016</v>
      </c>
      <c r="C6925" s="11" t="str">
        <f>INDEX(Data,2,2+MOD(ROWS(C$2:C6925)-1,24))</f>
        <v>12.00</v>
      </c>
      <c r="D6925" s="8">
        <f t="shared" ca="1" si="326"/>
        <v>15</v>
      </c>
      <c r="E6925" s="16">
        <f t="shared" ca="1" si="327"/>
        <v>0</v>
      </c>
    </row>
    <row r="6926" spans="1:5" x14ac:dyDescent="0.25">
      <c r="A6926" s="3">
        <f t="shared" si="325"/>
        <v>78989</v>
      </c>
      <c r="B6926" t="str">
        <f ca="1">TEXT(DATE(YEAR(Invoer!$A$5),1,1)+INT((ROWS(B$2:B6926)-1)/24),"""18""jjmmdd")</f>
        <v>18981016</v>
      </c>
      <c r="C6926" s="11" t="str">
        <f>INDEX(Data,2,2+MOD(ROWS(C$2:C6926)-1,24))</f>
        <v>13.00</v>
      </c>
      <c r="D6926" s="8">
        <f t="shared" ca="1" si="326"/>
        <v>15</v>
      </c>
      <c r="E6926" s="16">
        <f t="shared" ca="1" si="327"/>
        <v>0</v>
      </c>
    </row>
    <row r="6927" spans="1:5" x14ac:dyDescent="0.25">
      <c r="A6927" s="3">
        <f t="shared" si="325"/>
        <v>78989</v>
      </c>
      <c r="B6927" t="str">
        <f ca="1">TEXT(DATE(YEAR(Invoer!$A$5),1,1)+INT((ROWS(B$2:B6927)-1)/24),"""18""jjmmdd")</f>
        <v>18981016</v>
      </c>
      <c r="C6927" s="11" t="str">
        <f>INDEX(Data,2,2+MOD(ROWS(C$2:C6927)-1,24))</f>
        <v>14.00</v>
      </c>
      <c r="D6927" s="8">
        <f t="shared" ca="1" si="326"/>
        <v>14</v>
      </c>
      <c r="E6927" s="16">
        <f t="shared" ca="1" si="327"/>
        <v>0</v>
      </c>
    </row>
    <row r="6928" spans="1:5" x14ac:dyDescent="0.25">
      <c r="A6928" s="3">
        <f t="shared" si="325"/>
        <v>78989</v>
      </c>
      <c r="B6928" t="str">
        <f ca="1">TEXT(DATE(YEAR(Invoer!$A$5),1,1)+INT((ROWS(B$2:B6928)-1)/24),"""18""jjmmdd")</f>
        <v>18981016</v>
      </c>
      <c r="C6928" s="11" t="str">
        <f>INDEX(Data,2,2+MOD(ROWS(C$2:C6928)-1,24))</f>
        <v>15.00</v>
      </c>
      <c r="D6928" s="8">
        <f t="shared" ca="1" si="326"/>
        <v>12</v>
      </c>
      <c r="E6928" s="16">
        <f t="shared" ca="1" si="327"/>
        <v>0</v>
      </c>
    </row>
    <row r="6929" spans="1:5" x14ac:dyDescent="0.25">
      <c r="A6929" s="3">
        <f t="shared" si="325"/>
        <v>78989</v>
      </c>
      <c r="B6929" t="str">
        <f ca="1">TEXT(DATE(YEAR(Invoer!$A$5),1,1)+INT((ROWS(B$2:B6929)-1)/24),"""18""jjmmdd")</f>
        <v>18981016</v>
      </c>
      <c r="C6929" s="11" t="str">
        <f>INDEX(Data,2,2+MOD(ROWS(C$2:C6929)-1,24))</f>
        <v>16.00</v>
      </c>
      <c r="D6929" s="8">
        <f t="shared" ca="1" si="326"/>
        <v>14</v>
      </c>
      <c r="E6929" s="16">
        <f t="shared" ca="1" si="327"/>
        <v>0</v>
      </c>
    </row>
    <row r="6930" spans="1:5" x14ac:dyDescent="0.25">
      <c r="A6930" s="3">
        <f t="shared" si="325"/>
        <v>78989</v>
      </c>
      <c r="B6930" t="str">
        <f ca="1">TEXT(DATE(YEAR(Invoer!$A$5),1,1)+INT((ROWS(B$2:B6930)-1)/24),"""18""jjmmdd")</f>
        <v>18981016</v>
      </c>
      <c r="C6930" s="11" t="str">
        <f>INDEX(Data,2,2+MOD(ROWS(C$2:C6930)-1,24))</f>
        <v>17.00</v>
      </c>
      <c r="D6930" s="8">
        <f t="shared" ca="1" si="326"/>
        <v>14</v>
      </c>
      <c r="E6930" s="16">
        <f t="shared" ca="1" si="327"/>
        <v>0</v>
      </c>
    </row>
    <row r="6931" spans="1:5" x14ac:dyDescent="0.25">
      <c r="A6931" s="3">
        <f t="shared" si="325"/>
        <v>78989</v>
      </c>
      <c r="B6931" t="str">
        <f ca="1">TEXT(DATE(YEAR(Invoer!$A$5),1,1)+INT((ROWS(B$2:B6931)-1)/24),"""18""jjmmdd")</f>
        <v>18981016</v>
      </c>
      <c r="C6931" s="11" t="str">
        <f>INDEX(Data,2,2+MOD(ROWS(C$2:C6931)-1,24))</f>
        <v>18.00</v>
      </c>
      <c r="D6931" s="8">
        <f t="shared" ca="1" si="326"/>
        <v>13</v>
      </c>
      <c r="E6931" s="16">
        <f t="shared" ca="1" si="327"/>
        <v>0</v>
      </c>
    </row>
    <row r="6932" spans="1:5" x14ac:dyDescent="0.25">
      <c r="A6932" s="3">
        <f t="shared" si="325"/>
        <v>78989</v>
      </c>
      <c r="B6932" t="str">
        <f ca="1">TEXT(DATE(YEAR(Invoer!$A$5),1,1)+INT((ROWS(B$2:B6932)-1)/24),"""18""jjmmdd")</f>
        <v>18981016</v>
      </c>
      <c r="C6932" s="11" t="str">
        <f>INDEX(Data,2,2+MOD(ROWS(C$2:C6932)-1,24))</f>
        <v>19.00</v>
      </c>
      <c r="D6932" s="8">
        <f t="shared" ca="1" si="326"/>
        <v>12</v>
      </c>
      <c r="E6932" s="16">
        <f t="shared" ca="1" si="327"/>
        <v>0</v>
      </c>
    </row>
    <row r="6933" spans="1:5" x14ac:dyDescent="0.25">
      <c r="A6933" s="3">
        <f t="shared" si="325"/>
        <v>78989</v>
      </c>
      <c r="B6933" t="str">
        <f ca="1">TEXT(DATE(YEAR(Invoer!$A$5),1,1)+INT((ROWS(B$2:B6933)-1)/24),"""18""jjmmdd")</f>
        <v>18981016</v>
      </c>
      <c r="C6933" s="11" t="str">
        <f>INDEX(Data,2,2+MOD(ROWS(C$2:C6933)-1,24))</f>
        <v>20.00</v>
      </c>
      <c r="D6933" s="8">
        <f t="shared" ca="1" si="326"/>
        <v>13</v>
      </c>
      <c r="E6933" s="16">
        <f t="shared" ca="1" si="327"/>
        <v>0</v>
      </c>
    </row>
    <row r="6934" spans="1:5" x14ac:dyDescent="0.25">
      <c r="A6934" s="3">
        <f t="shared" si="325"/>
        <v>78989</v>
      </c>
      <c r="B6934" t="str">
        <f ca="1">TEXT(DATE(YEAR(Invoer!$A$5),1,1)+INT((ROWS(B$2:B6934)-1)/24),"""18""jjmmdd")</f>
        <v>18981016</v>
      </c>
      <c r="C6934" s="11" t="str">
        <f>INDEX(Data,2,2+MOD(ROWS(C$2:C6934)-1,24))</f>
        <v>21.00</v>
      </c>
      <c r="D6934" s="8">
        <f t="shared" ca="1" si="326"/>
        <v>12</v>
      </c>
      <c r="E6934" s="16">
        <f t="shared" ca="1" si="327"/>
        <v>0</v>
      </c>
    </row>
    <row r="6935" spans="1:5" x14ac:dyDescent="0.25">
      <c r="A6935" s="3">
        <f t="shared" si="325"/>
        <v>78989</v>
      </c>
      <c r="B6935" t="str">
        <f ca="1">TEXT(DATE(YEAR(Invoer!$A$5),1,1)+INT((ROWS(B$2:B6935)-1)/24),"""18""jjmmdd")</f>
        <v>18981016</v>
      </c>
      <c r="C6935" s="11" t="str">
        <f>INDEX(Data,2,2+MOD(ROWS(C$2:C6935)-1,24))</f>
        <v>22.00</v>
      </c>
      <c r="D6935" s="8">
        <f t="shared" ca="1" si="326"/>
        <v>13</v>
      </c>
      <c r="E6935" s="16">
        <f t="shared" ca="1" si="327"/>
        <v>0</v>
      </c>
    </row>
    <row r="6936" spans="1:5" x14ac:dyDescent="0.25">
      <c r="A6936" s="3">
        <f t="shared" si="325"/>
        <v>78989</v>
      </c>
      <c r="B6936" t="str">
        <f ca="1">TEXT(DATE(YEAR(Invoer!$A$5),1,1)+INT((ROWS(B$2:B6936)-1)/24),"""18""jjmmdd")</f>
        <v>18981016</v>
      </c>
      <c r="C6936" s="11" t="str">
        <f>INDEX(Data,2,2+MOD(ROWS(C$2:C6936)-1,24))</f>
        <v>23.00</v>
      </c>
      <c r="D6936" s="8">
        <f t="shared" ca="1" si="326"/>
        <v>11</v>
      </c>
      <c r="E6936" s="16">
        <f t="shared" ca="1" si="327"/>
        <v>0</v>
      </c>
    </row>
    <row r="6937" spans="1:5" x14ac:dyDescent="0.25">
      <c r="A6937" s="3">
        <f t="shared" si="325"/>
        <v>78989</v>
      </c>
      <c r="B6937" t="str">
        <f ca="1">TEXT(DATE(YEAR(Invoer!$A$5),1,1)+INT((ROWS(B$2:B6937)-1)/24),"""18""jjmmdd")</f>
        <v>18981016</v>
      </c>
      <c r="C6937" s="11" t="str">
        <f>INDEX(Data,2,2+MOD(ROWS(C$2:C6937)-1,24))</f>
        <v>24.00</v>
      </c>
      <c r="D6937" s="8">
        <f t="shared" ca="1" si="326"/>
        <v>10</v>
      </c>
      <c r="E6937" s="16">
        <f t="shared" ca="1" si="327"/>
        <v>0</v>
      </c>
    </row>
    <row r="6938" spans="1:5" x14ac:dyDescent="0.25">
      <c r="A6938" s="3">
        <f t="shared" si="325"/>
        <v>78989</v>
      </c>
      <c r="B6938" t="str">
        <f ca="1">TEXT(DATE(YEAR(Invoer!$A$5),1,1)+INT((ROWS(B$2:B6938)-1)/24),"""18""jjmmdd")</f>
        <v>18981017</v>
      </c>
      <c r="C6938" s="11" t="str">
        <f>INDEX(Data,2,2+MOD(ROWS(C$2:C6938)-1,24))</f>
        <v>01.00</v>
      </c>
      <c r="D6938" s="8">
        <f t="shared" ca="1" si="326"/>
        <v>9</v>
      </c>
      <c r="E6938" s="16">
        <f t="shared" ca="1" si="327"/>
        <v>0</v>
      </c>
    </row>
    <row r="6939" spans="1:5" x14ac:dyDescent="0.25">
      <c r="A6939" s="3">
        <f t="shared" si="325"/>
        <v>78989</v>
      </c>
      <c r="B6939" t="str">
        <f ca="1">TEXT(DATE(YEAR(Invoer!$A$5),1,1)+INT((ROWS(B$2:B6939)-1)/24),"""18""jjmmdd")</f>
        <v>18981017</v>
      </c>
      <c r="C6939" s="11" t="str">
        <f>INDEX(Data,2,2+MOD(ROWS(C$2:C6939)-1,24))</f>
        <v>02.00</v>
      </c>
      <c r="D6939" s="8">
        <f t="shared" ca="1" si="326"/>
        <v>10</v>
      </c>
      <c r="E6939" s="16">
        <f t="shared" ca="1" si="327"/>
        <v>0</v>
      </c>
    </row>
    <row r="6940" spans="1:5" x14ac:dyDescent="0.25">
      <c r="A6940" s="3">
        <f t="shared" si="325"/>
        <v>78989</v>
      </c>
      <c r="B6940" t="str">
        <f ca="1">TEXT(DATE(YEAR(Invoer!$A$5),1,1)+INT((ROWS(B$2:B6940)-1)/24),"""18""jjmmdd")</f>
        <v>18981017</v>
      </c>
      <c r="C6940" s="11" t="str">
        <f>INDEX(Data,2,2+MOD(ROWS(C$2:C6940)-1,24))</f>
        <v>03.00</v>
      </c>
      <c r="D6940" s="8">
        <f t="shared" ca="1" si="326"/>
        <v>9</v>
      </c>
      <c r="E6940" s="16">
        <f t="shared" ca="1" si="327"/>
        <v>0</v>
      </c>
    </row>
    <row r="6941" spans="1:5" x14ac:dyDescent="0.25">
      <c r="A6941" s="3">
        <f t="shared" si="325"/>
        <v>78989</v>
      </c>
      <c r="B6941" t="str">
        <f ca="1">TEXT(DATE(YEAR(Invoer!$A$5),1,1)+INT((ROWS(B$2:B6941)-1)/24),"""18""jjmmdd")</f>
        <v>18981017</v>
      </c>
      <c r="C6941" s="11" t="str">
        <f>INDEX(Data,2,2+MOD(ROWS(C$2:C6941)-1,24))</f>
        <v>04.00</v>
      </c>
      <c r="D6941" s="8">
        <f t="shared" ca="1" si="326"/>
        <v>8</v>
      </c>
      <c r="E6941" s="16">
        <f t="shared" ca="1" si="327"/>
        <v>0</v>
      </c>
    </row>
    <row r="6942" spans="1:5" x14ac:dyDescent="0.25">
      <c r="A6942" s="3">
        <f t="shared" si="325"/>
        <v>78989</v>
      </c>
      <c r="B6942" t="str">
        <f ca="1">TEXT(DATE(YEAR(Invoer!$A$5),1,1)+INT((ROWS(B$2:B6942)-1)/24),"""18""jjmmdd")</f>
        <v>18981017</v>
      </c>
      <c r="C6942" s="11" t="str">
        <f>INDEX(Data,2,2+MOD(ROWS(C$2:C6942)-1,24))</f>
        <v>05.00</v>
      </c>
      <c r="D6942" s="8">
        <f t="shared" ca="1" si="326"/>
        <v>10</v>
      </c>
      <c r="E6942" s="16">
        <f t="shared" ca="1" si="327"/>
        <v>0</v>
      </c>
    </row>
    <row r="6943" spans="1:5" x14ac:dyDescent="0.25">
      <c r="A6943" s="3">
        <f t="shared" si="325"/>
        <v>78989</v>
      </c>
      <c r="B6943" t="str">
        <f ca="1">TEXT(DATE(YEAR(Invoer!$A$5),1,1)+INT((ROWS(B$2:B6943)-1)/24),"""18""jjmmdd")</f>
        <v>18981017</v>
      </c>
      <c r="C6943" s="11" t="str">
        <f>INDEX(Data,2,2+MOD(ROWS(C$2:C6943)-1,24))</f>
        <v>06.00</v>
      </c>
      <c r="D6943" s="8">
        <f t="shared" ca="1" si="326"/>
        <v>9</v>
      </c>
      <c r="E6943" s="16">
        <f t="shared" ca="1" si="327"/>
        <v>0</v>
      </c>
    </row>
    <row r="6944" spans="1:5" x14ac:dyDescent="0.25">
      <c r="A6944" s="3">
        <f t="shared" si="325"/>
        <v>78989</v>
      </c>
      <c r="B6944" t="str">
        <f ca="1">TEXT(DATE(YEAR(Invoer!$A$5),1,1)+INT((ROWS(B$2:B6944)-1)/24),"""18""jjmmdd")</f>
        <v>18981017</v>
      </c>
      <c r="C6944" s="11" t="str">
        <f>INDEX(Data,2,2+MOD(ROWS(C$2:C6944)-1,24))</f>
        <v>07.00</v>
      </c>
      <c r="D6944" s="8">
        <f t="shared" ca="1" si="326"/>
        <v>11</v>
      </c>
      <c r="E6944" s="16">
        <f t="shared" ca="1" si="327"/>
        <v>0</v>
      </c>
    </row>
    <row r="6945" spans="1:5" x14ac:dyDescent="0.25">
      <c r="A6945" s="3">
        <f t="shared" si="325"/>
        <v>78989</v>
      </c>
      <c r="B6945" t="str">
        <f ca="1">TEXT(DATE(YEAR(Invoer!$A$5),1,1)+INT((ROWS(B$2:B6945)-1)/24),"""18""jjmmdd")</f>
        <v>18981017</v>
      </c>
      <c r="C6945" s="11" t="str">
        <f>INDEX(Data,2,2+MOD(ROWS(C$2:C6945)-1,24))</f>
        <v>08.00</v>
      </c>
      <c r="D6945" s="8">
        <f t="shared" ca="1" si="326"/>
        <v>14</v>
      </c>
      <c r="E6945" s="16">
        <f t="shared" ca="1" si="327"/>
        <v>0</v>
      </c>
    </row>
    <row r="6946" spans="1:5" x14ac:dyDescent="0.25">
      <c r="A6946" s="3">
        <f t="shared" si="325"/>
        <v>78989</v>
      </c>
      <c r="B6946" t="str">
        <f ca="1">TEXT(DATE(YEAR(Invoer!$A$5),1,1)+INT((ROWS(B$2:B6946)-1)/24),"""18""jjmmdd")</f>
        <v>18981017</v>
      </c>
      <c r="C6946" s="11" t="str">
        <f>INDEX(Data,2,2+MOD(ROWS(C$2:C6946)-1,24))</f>
        <v>09.00</v>
      </c>
      <c r="D6946" s="8">
        <f t="shared" ca="1" si="326"/>
        <v>14</v>
      </c>
      <c r="E6946" s="16">
        <f t="shared" ca="1" si="327"/>
        <v>0</v>
      </c>
    </row>
    <row r="6947" spans="1:5" x14ac:dyDescent="0.25">
      <c r="A6947" s="3">
        <f t="shared" si="325"/>
        <v>78989</v>
      </c>
      <c r="B6947" t="str">
        <f ca="1">TEXT(DATE(YEAR(Invoer!$A$5),1,1)+INT((ROWS(B$2:B6947)-1)/24),"""18""jjmmdd")</f>
        <v>18981017</v>
      </c>
      <c r="C6947" s="11" t="str">
        <f>INDEX(Data,2,2+MOD(ROWS(C$2:C6947)-1,24))</f>
        <v>10.00</v>
      </c>
      <c r="D6947" s="8">
        <f t="shared" ca="1" si="326"/>
        <v>15</v>
      </c>
      <c r="E6947" s="16">
        <f t="shared" ca="1" si="327"/>
        <v>0</v>
      </c>
    </row>
    <row r="6948" spans="1:5" x14ac:dyDescent="0.25">
      <c r="A6948" s="3">
        <f t="shared" si="325"/>
        <v>78989</v>
      </c>
      <c r="B6948" t="str">
        <f ca="1">TEXT(DATE(YEAR(Invoer!$A$5),1,1)+INT((ROWS(B$2:B6948)-1)/24),"""18""jjmmdd")</f>
        <v>18981017</v>
      </c>
      <c r="C6948" s="11" t="str">
        <f>INDEX(Data,2,2+MOD(ROWS(C$2:C6948)-1,24))</f>
        <v>11.00</v>
      </c>
      <c r="D6948" s="8">
        <f t="shared" ca="1" si="326"/>
        <v>14</v>
      </c>
      <c r="E6948" s="16">
        <f t="shared" ca="1" si="327"/>
        <v>0</v>
      </c>
    </row>
    <row r="6949" spans="1:5" x14ac:dyDescent="0.25">
      <c r="A6949" s="3">
        <f t="shared" si="325"/>
        <v>78989</v>
      </c>
      <c r="B6949" t="str">
        <f ca="1">TEXT(DATE(YEAR(Invoer!$A$5),1,1)+INT((ROWS(B$2:B6949)-1)/24),"""18""jjmmdd")</f>
        <v>18981017</v>
      </c>
      <c r="C6949" s="11" t="str">
        <f>INDEX(Data,2,2+MOD(ROWS(C$2:C6949)-1,24))</f>
        <v>12.00</v>
      </c>
      <c r="D6949" s="8">
        <f t="shared" ca="1" si="326"/>
        <v>17</v>
      </c>
      <c r="E6949" s="16">
        <f t="shared" ca="1" si="327"/>
        <v>0</v>
      </c>
    </row>
    <row r="6950" spans="1:5" x14ac:dyDescent="0.25">
      <c r="A6950" s="3">
        <f t="shared" si="325"/>
        <v>78989</v>
      </c>
      <c r="B6950" t="str">
        <f ca="1">TEXT(DATE(YEAR(Invoer!$A$5),1,1)+INT((ROWS(B$2:B6950)-1)/24),"""18""jjmmdd")</f>
        <v>18981017</v>
      </c>
      <c r="C6950" s="11" t="str">
        <f>INDEX(Data,2,2+MOD(ROWS(C$2:C6950)-1,24))</f>
        <v>13.00</v>
      </c>
      <c r="D6950" s="8">
        <f t="shared" ca="1" si="326"/>
        <v>16</v>
      </c>
      <c r="E6950" s="16">
        <f t="shared" ca="1" si="327"/>
        <v>0</v>
      </c>
    </row>
    <row r="6951" spans="1:5" x14ac:dyDescent="0.25">
      <c r="A6951" s="3">
        <f t="shared" si="325"/>
        <v>78989</v>
      </c>
      <c r="B6951" t="str">
        <f ca="1">TEXT(DATE(YEAR(Invoer!$A$5),1,1)+INT((ROWS(B$2:B6951)-1)/24),"""18""jjmmdd")</f>
        <v>18981017</v>
      </c>
      <c r="C6951" s="11" t="str">
        <f>INDEX(Data,2,2+MOD(ROWS(C$2:C6951)-1,24))</f>
        <v>14.00</v>
      </c>
      <c r="D6951" s="8">
        <f t="shared" ca="1" si="326"/>
        <v>14</v>
      </c>
      <c r="E6951" s="16">
        <f t="shared" ca="1" si="327"/>
        <v>0</v>
      </c>
    </row>
    <row r="6952" spans="1:5" x14ac:dyDescent="0.25">
      <c r="A6952" s="3">
        <f t="shared" si="325"/>
        <v>78989</v>
      </c>
      <c r="B6952" t="str">
        <f ca="1">TEXT(DATE(YEAR(Invoer!$A$5),1,1)+INT((ROWS(B$2:B6952)-1)/24),"""18""jjmmdd")</f>
        <v>18981017</v>
      </c>
      <c r="C6952" s="11" t="str">
        <f>INDEX(Data,2,2+MOD(ROWS(C$2:C6952)-1,24))</f>
        <v>15.00</v>
      </c>
      <c r="D6952" s="8">
        <f t="shared" ca="1" si="326"/>
        <v>18</v>
      </c>
      <c r="E6952" s="16">
        <f t="shared" ca="1" si="327"/>
        <v>0</v>
      </c>
    </row>
    <row r="6953" spans="1:5" x14ac:dyDescent="0.25">
      <c r="A6953" s="3">
        <f t="shared" si="325"/>
        <v>78989</v>
      </c>
      <c r="B6953" t="str">
        <f ca="1">TEXT(DATE(YEAR(Invoer!$A$5),1,1)+INT((ROWS(B$2:B6953)-1)/24),"""18""jjmmdd")</f>
        <v>18981017</v>
      </c>
      <c r="C6953" s="11" t="str">
        <f>INDEX(Data,2,2+MOD(ROWS(C$2:C6953)-1,24))</f>
        <v>16.00</v>
      </c>
      <c r="D6953" s="8">
        <f t="shared" ca="1" si="326"/>
        <v>18</v>
      </c>
      <c r="E6953" s="16">
        <f t="shared" ca="1" si="327"/>
        <v>0</v>
      </c>
    </row>
    <row r="6954" spans="1:5" x14ac:dyDescent="0.25">
      <c r="A6954" s="3">
        <f t="shared" si="325"/>
        <v>78989</v>
      </c>
      <c r="B6954" t="str">
        <f ca="1">TEXT(DATE(YEAR(Invoer!$A$5),1,1)+INT((ROWS(B$2:B6954)-1)/24),"""18""jjmmdd")</f>
        <v>18981017</v>
      </c>
      <c r="C6954" s="11" t="str">
        <f>INDEX(Data,2,2+MOD(ROWS(C$2:C6954)-1,24))</f>
        <v>17.00</v>
      </c>
      <c r="D6954" s="8">
        <f t="shared" ca="1" si="326"/>
        <v>18</v>
      </c>
      <c r="E6954" s="16">
        <f t="shared" ca="1" si="327"/>
        <v>0</v>
      </c>
    </row>
    <row r="6955" spans="1:5" x14ac:dyDescent="0.25">
      <c r="A6955" s="3">
        <f t="shared" si="325"/>
        <v>78989</v>
      </c>
      <c r="B6955" t="str">
        <f ca="1">TEXT(DATE(YEAR(Invoer!$A$5),1,1)+INT((ROWS(B$2:B6955)-1)/24),"""18""jjmmdd")</f>
        <v>18981017</v>
      </c>
      <c r="C6955" s="11" t="str">
        <f>INDEX(Data,2,2+MOD(ROWS(C$2:C6955)-1,24))</f>
        <v>18.00</v>
      </c>
      <c r="D6955" s="8">
        <f t="shared" ca="1" si="326"/>
        <v>16</v>
      </c>
      <c r="E6955" s="16">
        <f t="shared" ca="1" si="327"/>
        <v>0</v>
      </c>
    </row>
    <row r="6956" spans="1:5" x14ac:dyDescent="0.25">
      <c r="A6956" s="3">
        <f t="shared" si="325"/>
        <v>78989</v>
      </c>
      <c r="B6956" t="str">
        <f ca="1">TEXT(DATE(YEAR(Invoer!$A$5),1,1)+INT((ROWS(B$2:B6956)-1)/24),"""18""jjmmdd")</f>
        <v>18981017</v>
      </c>
      <c r="C6956" s="11" t="str">
        <f>INDEX(Data,2,2+MOD(ROWS(C$2:C6956)-1,24))</f>
        <v>19.00</v>
      </c>
      <c r="D6956" s="8">
        <f t="shared" ca="1" si="326"/>
        <v>15</v>
      </c>
      <c r="E6956" s="16">
        <f t="shared" ca="1" si="327"/>
        <v>0</v>
      </c>
    </row>
    <row r="6957" spans="1:5" x14ac:dyDescent="0.25">
      <c r="A6957" s="3">
        <f t="shared" si="325"/>
        <v>78989</v>
      </c>
      <c r="B6957" t="str">
        <f ca="1">TEXT(DATE(YEAR(Invoer!$A$5),1,1)+INT((ROWS(B$2:B6957)-1)/24),"""18""jjmmdd")</f>
        <v>18981017</v>
      </c>
      <c r="C6957" s="11" t="str">
        <f>INDEX(Data,2,2+MOD(ROWS(C$2:C6957)-1,24))</f>
        <v>20.00</v>
      </c>
      <c r="D6957" s="8">
        <f t="shared" ca="1" si="326"/>
        <v>14</v>
      </c>
      <c r="E6957" s="16">
        <f t="shared" ca="1" si="327"/>
        <v>0</v>
      </c>
    </row>
    <row r="6958" spans="1:5" x14ac:dyDescent="0.25">
      <c r="A6958" s="3">
        <f t="shared" si="325"/>
        <v>78989</v>
      </c>
      <c r="B6958" t="str">
        <f ca="1">TEXT(DATE(YEAR(Invoer!$A$5),1,1)+INT((ROWS(B$2:B6958)-1)/24),"""18""jjmmdd")</f>
        <v>18981017</v>
      </c>
      <c r="C6958" s="11" t="str">
        <f>INDEX(Data,2,2+MOD(ROWS(C$2:C6958)-1,24))</f>
        <v>21.00</v>
      </c>
      <c r="D6958" s="8">
        <f t="shared" ca="1" si="326"/>
        <v>14</v>
      </c>
      <c r="E6958" s="16">
        <f t="shared" ca="1" si="327"/>
        <v>0</v>
      </c>
    </row>
    <row r="6959" spans="1:5" x14ac:dyDescent="0.25">
      <c r="A6959" s="3">
        <f t="shared" si="325"/>
        <v>78989</v>
      </c>
      <c r="B6959" t="str">
        <f ca="1">TEXT(DATE(YEAR(Invoer!$A$5),1,1)+INT((ROWS(B$2:B6959)-1)/24),"""18""jjmmdd")</f>
        <v>18981017</v>
      </c>
      <c r="C6959" s="11" t="str">
        <f>INDEX(Data,2,2+MOD(ROWS(C$2:C6959)-1,24))</f>
        <v>22.00</v>
      </c>
      <c r="D6959" s="8">
        <f t="shared" ca="1" si="326"/>
        <v>14</v>
      </c>
      <c r="E6959" s="16">
        <f t="shared" ca="1" si="327"/>
        <v>0</v>
      </c>
    </row>
    <row r="6960" spans="1:5" x14ac:dyDescent="0.25">
      <c r="A6960" s="3">
        <f t="shared" si="325"/>
        <v>78989</v>
      </c>
      <c r="B6960" t="str">
        <f ca="1">TEXT(DATE(YEAR(Invoer!$A$5),1,1)+INT((ROWS(B$2:B6960)-1)/24),"""18""jjmmdd")</f>
        <v>18981017</v>
      </c>
      <c r="C6960" s="11" t="str">
        <f>INDEX(Data,2,2+MOD(ROWS(C$2:C6960)-1,24))</f>
        <v>23.00</v>
      </c>
      <c r="D6960" s="8">
        <f t="shared" ca="1" si="326"/>
        <v>12</v>
      </c>
      <c r="E6960" s="16">
        <f t="shared" ca="1" si="327"/>
        <v>0</v>
      </c>
    </row>
    <row r="6961" spans="1:5" x14ac:dyDescent="0.25">
      <c r="A6961" s="3">
        <f t="shared" si="325"/>
        <v>78989</v>
      </c>
      <c r="B6961" t="str">
        <f ca="1">TEXT(DATE(YEAR(Invoer!$A$5),1,1)+INT((ROWS(B$2:B6961)-1)/24),"""18""jjmmdd")</f>
        <v>18981017</v>
      </c>
      <c r="C6961" s="11" t="str">
        <f>INDEX(Data,2,2+MOD(ROWS(C$2:C6961)-1,24))</f>
        <v>24.00</v>
      </c>
      <c r="D6961" s="8">
        <f t="shared" ca="1" si="326"/>
        <v>11</v>
      </c>
      <c r="E6961" s="16">
        <f t="shared" ca="1" si="327"/>
        <v>0</v>
      </c>
    </row>
    <row r="6962" spans="1:5" x14ac:dyDescent="0.25">
      <c r="A6962" s="3">
        <f t="shared" si="325"/>
        <v>78989</v>
      </c>
      <c r="B6962" t="str">
        <f ca="1">TEXT(DATE(YEAR(Invoer!$A$5),1,1)+INT((ROWS(B$2:B6962)-1)/24),"""18""jjmmdd")</f>
        <v>18981018</v>
      </c>
      <c r="C6962" s="11" t="str">
        <f>INDEX(Data,2,2+MOD(ROWS(C$2:C6962)-1,24))</f>
        <v>01.00</v>
      </c>
      <c r="D6962" s="8">
        <f t="shared" ca="1" si="326"/>
        <v>10</v>
      </c>
      <c r="E6962" s="16">
        <f t="shared" ca="1" si="327"/>
        <v>0</v>
      </c>
    </row>
    <row r="6963" spans="1:5" x14ac:dyDescent="0.25">
      <c r="A6963" s="3">
        <f t="shared" si="325"/>
        <v>78989</v>
      </c>
      <c r="B6963" t="str">
        <f ca="1">TEXT(DATE(YEAR(Invoer!$A$5),1,1)+INT((ROWS(B$2:B6963)-1)/24),"""18""jjmmdd")</f>
        <v>18981018</v>
      </c>
      <c r="C6963" s="11" t="str">
        <f>INDEX(Data,2,2+MOD(ROWS(C$2:C6963)-1,24))</f>
        <v>02.00</v>
      </c>
      <c r="D6963" s="8">
        <f t="shared" ca="1" si="326"/>
        <v>11</v>
      </c>
      <c r="E6963" s="16">
        <f t="shared" ca="1" si="327"/>
        <v>0</v>
      </c>
    </row>
    <row r="6964" spans="1:5" x14ac:dyDescent="0.25">
      <c r="A6964" s="3">
        <f t="shared" si="325"/>
        <v>78989</v>
      </c>
      <c r="B6964" t="str">
        <f ca="1">TEXT(DATE(YEAR(Invoer!$A$5),1,1)+INT((ROWS(B$2:B6964)-1)/24),"""18""jjmmdd")</f>
        <v>18981018</v>
      </c>
      <c r="C6964" s="11" t="str">
        <f>INDEX(Data,2,2+MOD(ROWS(C$2:C6964)-1,24))</f>
        <v>03.00</v>
      </c>
      <c r="D6964" s="8">
        <f t="shared" ca="1" si="326"/>
        <v>11</v>
      </c>
      <c r="E6964" s="16">
        <f t="shared" ca="1" si="327"/>
        <v>0</v>
      </c>
    </row>
    <row r="6965" spans="1:5" x14ac:dyDescent="0.25">
      <c r="A6965" s="3">
        <f t="shared" si="325"/>
        <v>78989</v>
      </c>
      <c r="B6965" t="str">
        <f ca="1">TEXT(DATE(YEAR(Invoer!$A$5),1,1)+INT((ROWS(B$2:B6965)-1)/24),"""18""jjmmdd")</f>
        <v>18981018</v>
      </c>
      <c r="C6965" s="11" t="str">
        <f>INDEX(Data,2,2+MOD(ROWS(C$2:C6965)-1,24))</f>
        <v>04.00</v>
      </c>
      <c r="D6965" s="8">
        <f t="shared" ca="1" si="326"/>
        <v>13</v>
      </c>
      <c r="E6965" s="16">
        <f t="shared" ca="1" si="327"/>
        <v>0</v>
      </c>
    </row>
    <row r="6966" spans="1:5" x14ac:dyDescent="0.25">
      <c r="A6966" s="3">
        <f t="shared" si="325"/>
        <v>78989</v>
      </c>
      <c r="B6966" t="str">
        <f ca="1">TEXT(DATE(YEAR(Invoer!$A$5),1,1)+INT((ROWS(B$2:B6966)-1)/24),"""18""jjmmdd")</f>
        <v>18981018</v>
      </c>
      <c r="C6966" s="11" t="str">
        <f>INDEX(Data,2,2+MOD(ROWS(C$2:C6966)-1,24))</f>
        <v>05.00</v>
      </c>
      <c r="D6966" s="8">
        <f t="shared" ca="1" si="326"/>
        <v>12</v>
      </c>
      <c r="E6966" s="16">
        <f t="shared" ca="1" si="327"/>
        <v>0</v>
      </c>
    </row>
    <row r="6967" spans="1:5" x14ac:dyDescent="0.25">
      <c r="A6967" s="3">
        <f t="shared" si="325"/>
        <v>78989</v>
      </c>
      <c r="B6967" t="str">
        <f ca="1">TEXT(DATE(YEAR(Invoer!$A$5),1,1)+INT((ROWS(B$2:B6967)-1)/24),"""18""jjmmdd")</f>
        <v>18981018</v>
      </c>
      <c r="C6967" s="11" t="str">
        <f>INDEX(Data,2,2+MOD(ROWS(C$2:C6967)-1,24))</f>
        <v>06.00</v>
      </c>
      <c r="D6967" s="8">
        <f t="shared" ca="1" si="326"/>
        <v>14</v>
      </c>
      <c r="E6967" s="16">
        <f t="shared" ca="1" si="327"/>
        <v>0</v>
      </c>
    </row>
    <row r="6968" spans="1:5" x14ac:dyDescent="0.25">
      <c r="A6968" s="3">
        <f t="shared" si="325"/>
        <v>78989</v>
      </c>
      <c r="B6968" t="str">
        <f ca="1">TEXT(DATE(YEAR(Invoer!$A$5),1,1)+INT((ROWS(B$2:B6968)-1)/24),"""18""jjmmdd")</f>
        <v>18981018</v>
      </c>
      <c r="C6968" s="11" t="str">
        <f>INDEX(Data,2,2+MOD(ROWS(C$2:C6968)-1,24))</f>
        <v>07.00</v>
      </c>
      <c r="D6968" s="8">
        <f t="shared" ca="1" si="326"/>
        <v>9</v>
      </c>
      <c r="E6968" s="16">
        <f t="shared" ca="1" si="327"/>
        <v>0</v>
      </c>
    </row>
    <row r="6969" spans="1:5" x14ac:dyDescent="0.25">
      <c r="A6969" s="3">
        <f t="shared" si="325"/>
        <v>78989</v>
      </c>
      <c r="B6969" t="str">
        <f ca="1">TEXT(DATE(YEAR(Invoer!$A$5),1,1)+INT((ROWS(B$2:B6969)-1)/24),"""18""jjmmdd")</f>
        <v>18981018</v>
      </c>
      <c r="C6969" s="11" t="str">
        <f>INDEX(Data,2,2+MOD(ROWS(C$2:C6969)-1,24))</f>
        <v>08.00</v>
      </c>
      <c r="D6969" s="8">
        <f t="shared" ca="1" si="326"/>
        <v>14</v>
      </c>
      <c r="E6969" s="16">
        <f t="shared" ca="1" si="327"/>
        <v>0</v>
      </c>
    </row>
    <row r="6970" spans="1:5" x14ac:dyDescent="0.25">
      <c r="A6970" s="3">
        <f t="shared" si="325"/>
        <v>78989</v>
      </c>
      <c r="B6970" t="str">
        <f ca="1">TEXT(DATE(YEAR(Invoer!$A$5),1,1)+INT((ROWS(B$2:B6970)-1)/24),"""18""jjmmdd")</f>
        <v>18981018</v>
      </c>
      <c r="C6970" s="11" t="str">
        <f>INDEX(Data,2,2+MOD(ROWS(C$2:C6970)-1,24))</f>
        <v>09.00</v>
      </c>
      <c r="D6970" s="8">
        <f t="shared" ca="1" si="326"/>
        <v>13</v>
      </c>
      <c r="E6970" s="16">
        <f t="shared" ca="1" si="327"/>
        <v>0</v>
      </c>
    </row>
    <row r="6971" spans="1:5" x14ac:dyDescent="0.25">
      <c r="A6971" s="3">
        <f t="shared" si="325"/>
        <v>78989</v>
      </c>
      <c r="B6971" t="str">
        <f ca="1">TEXT(DATE(YEAR(Invoer!$A$5),1,1)+INT((ROWS(B$2:B6971)-1)/24),"""18""jjmmdd")</f>
        <v>18981018</v>
      </c>
      <c r="C6971" s="11" t="str">
        <f>INDEX(Data,2,2+MOD(ROWS(C$2:C6971)-1,24))</f>
        <v>10.00</v>
      </c>
      <c r="D6971" s="8">
        <f t="shared" ca="1" si="326"/>
        <v>14</v>
      </c>
      <c r="E6971" s="16">
        <f t="shared" ca="1" si="327"/>
        <v>0</v>
      </c>
    </row>
    <row r="6972" spans="1:5" x14ac:dyDescent="0.25">
      <c r="A6972" s="3">
        <f t="shared" si="325"/>
        <v>78989</v>
      </c>
      <c r="B6972" t="str">
        <f ca="1">TEXT(DATE(YEAR(Invoer!$A$5),1,1)+INT((ROWS(B$2:B6972)-1)/24),"""18""jjmmdd")</f>
        <v>18981018</v>
      </c>
      <c r="C6972" s="11" t="str">
        <f>INDEX(Data,2,2+MOD(ROWS(C$2:C6972)-1,24))</f>
        <v>11.00</v>
      </c>
      <c r="D6972" s="8">
        <f t="shared" ca="1" si="326"/>
        <v>16</v>
      </c>
      <c r="E6972" s="16">
        <f t="shared" ca="1" si="327"/>
        <v>0</v>
      </c>
    </row>
    <row r="6973" spans="1:5" x14ac:dyDescent="0.25">
      <c r="A6973" s="3">
        <f t="shared" si="325"/>
        <v>78989</v>
      </c>
      <c r="B6973" t="str">
        <f ca="1">TEXT(DATE(YEAR(Invoer!$A$5),1,1)+INT((ROWS(B$2:B6973)-1)/24),"""18""jjmmdd")</f>
        <v>18981018</v>
      </c>
      <c r="C6973" s="11" t="str">
        <f>INDEX(Data,2,2+MOD(ROWS(C$2:C6973)-1,24))</f>
        <v>12.00</v>
      </c>
      <c r="D6973" s="8">
        <f t="shared" ca="1" si="326"/>
        <v>14</v>
      </c>
      <c r="E6973" s="16">
        <f t="shared" ca="1" si="327"/>
        <v>0</v>
      </c>
    </row>
    <row r="6974" spans="1:5" x14ac:dyDescent="0.25">
      <c r="A6974" s="3">
        <f t="shared" si="325"/>
        <v>78989</v>
      </c>
      <c r="B6974" t="str">
        <f ca="1">TEXT(DATE(YEAR(Invoer!$A$5),1,1)+INT((ROWS(B$2:B6974)-1)/24),"""18""jjmmdd")</f>
        <v>18981018</v>
      </c>
      <c r="C6974" s="11" t="str">
        <f>INDEX(Data,2,2+MOD(ROWS(C$2:C6974)-1,24))</f>
        <v>13.00</v>
      </c>
      <c r="D6974" s="8">
        <f t="shared" ca="1" si="326"/>
        <v>15</v>
      </c>
      <c r="E6974" s="16">
        <f t="shared" ca="1" si="327"/>
        <v>0</v>
      </c>
    </row>
    <row r="6975" spans="1:5" x14ac:dyDescent="0.25">
      <c r="A6975" s="3">
        <f t="shared" si="325"/>
        <v>78989</v>
      </c>
      <c r="B6975" t="str">
        <f ca="1">TEXT(DATE(YEAR(Invoer!$A$5),1,1)+INT((ROWS(B$2:B6975)-1)/24),"""18""jjmmdd")</f>
        <v>18981018</v>
      </c>
      <c r="C6975" s="11" t="str">
        <f>INDEX(Data,2,2+MOD(ROWS(C$2:C6975)-1,24))</f>
        <v>14.00</v>
      </c>
      <c r="D6975" s="8">
        <f t="shared" ca="1" si="326"/>
        <v>15</v>
      </c>
      <c r="E6975" s="16">
        <f t="shared" ca="1" si="327"/>
        <v>0</v>
      </c>
    </row>
    <row r="6976" spans="1:5" x14ac:dyDescent="0.25">
      <c r="A6976" s="3">
        <f t="shared" si="325"/>
        <v>78989</v>
      </c>
      <c r="B6976" t="str">
        <f ca="1">TEXT(DATE(YEAR(Invoer!$A$5),1,1)+INT((ROWS(B$2:B6976)-1)/24),"""18""jjmmdd")</f>
        <v>18981018</v>
      </c>
      <c r="C6976" s="11" t="str">
        <f>INDEX(Data,2,2+MOD(ROWS(C$2:C6976)-1,24))</f>
        <v>15.00</v>
      </c>
      <c r="D6976" s="8">
        <f t="shared" ca="1" si="326"/>
        <v>18</v>
      </c>
      <c r="E6976" s="16">
        <f t="shared" ca="1" si="327"/>
        <v>0</v>
      </c>
    </row>
    <row r="6977" spans="1:5" x14ac:dyDescent="0.25">
      <c r="A6977" s="3">
        <f t="shared" si="325"/>
        <v>78989</v>
      </c>
      <c r="B6977" t="str">
        <f ca="1">TEXT(DATE(YEAR(Invoer!$A$5),1,1)+INT((ROWS(B$2:B6977)-1)/24),"""18""jjmmdd")</f>
        <v>18981018</v>
      </c>
      <c r="C6977" s="11" t="str">
        <f>INDEX(Data,2,2+MOD(ROWS(C$2:C6977)-1,24))</f>
        <v>16.00</v>
      </c>
      <c r="D6977" s="8">
        <f t="shared" ca="1" si="326"/>
        <v>17</v>
      </c>
      <c r="E6977" s="16">
        <f t="shared" ca="1" si="327"/>
        <v>0</v>
      </c>
    </row>
    <row r="6978" spans="1:5" x14ac:dyDescent="0.25">
      <c r="A6978" s="3">
        <f t="shared" ref="A6978:A7041" si="328">INDEX(Stations,2,1)</f>
        <v>78989</v>
      </c>
      <c r="B6978" t="str">
        <f ca="1">TEXT(DATE(YEAR(Invoer!$A$5),1,1)+INT((ROWS(B$2:B6978)-1)/24),"""18""jjmmdd")</f>
        <v>18981018</v>
      </c>
      <c r="C6978" s="11" t="str">
        <f>INDEX(Data,2,2+MOD(ROWS(C$2:C6978)-1,24))</f>
        <v>17.00</v>
      </c>
      <c r="D6978" s="8">
        <f t="shared" ref="D6978:D7041" ca="1" si="329">IF(OR(ISBLANK(VLOOKUP(DATEVALUE("37"&amp;MID($B6978,3,2)&amp;"-"&amp;MID($B6978,5,2)&amp;"-"&amp;RIGHT($B6978,2)),Data,MATCH(LEFT(VLOOKUP(D$1,Parameters,2,FALSE()),4)&amp;"*",OFFSET(Data,0,0,1),0)+MATCH($C6978,OFFSET(Data,1,0,1),0)-2,FALSE())),ISTEXT(VLOOKUP(DATEVALUE("37"&amp;MID($B6978,3,2)&amp;"-"&amp;MID($B6978,5,2)&amp;"-"&amp;RIGHT($B6978,2)),Data,MATCH(LEFT(VLOOKUP(D$1,Parameters,2,FALSE()),4)&amp;"*",OFFSET(Data,0,0,1),0)+MATCH($C6978,OFFSET(Data,1,0,1),0)-2,FALSE()))),"—",VLOOKUP(DATEVALUE("37"&amp;MID($B6978,3,2)&amp;"-"&amp;MID($B6978,5,2)&amp;"-"&amp;RIGHT($B6978,2)),Data,MATCH(LEFT(VLOOKUP(D$1,Parameters,2,FALSE()),4)&amp;"*",OFFSET(Data,0,0,1),0)+MATCH($C6978,OFFSET(Data,1,0,1),0)-2,FALSE()))</f>
        <v>16</v>
      </c>
      <c r="E6978" s="16">
        <f t="shared" ca="1" si="327"/>
        <v>0</v>
      </c>
    </row>
    <row r="6979" spans="1:5" x14ac:dyDescent="0.25">
      <c r="A6979" s="3">
        <f t="shared" si="328"/>
        <v>78989</v>
      </c>
      <c r="B6979" t="str">
        <f ca="1">TEXT(DATE(YEAR(Invoer!$A$5),1,1)+INT((ROWS(B$2:B6979)-1)/24),"""18""jjmmdd")</f>
        <v>18981018</v>
      </c>
      <c r="C6979" s="11" t="str">
        <f>INDEX(Data,2,2+MOD(ROWS(C$2:C6979)-1,24))</f>
        <v>18.00</v>
      </c>
      <c r="D6979" s="8">
        <f t="shared" ca="1" si="329"/>
        <v>14</v>
      </c>
      <c r="E6979" s="16">
        <f t="shared" ref="E6979:E7042" ca="1" si="330">IF(OR(ISBLANK(VLOOKUP(DATEVALUE("37"&amp;MID($B6979,3,2)&amp;"-"&amp;MID($B6979,5,2)&amp;"-"&amp;RIGHT($B6979,2)),Data,MATCH(LEFT(VLOOKUP(D$1,Parameters,2,FALSE()),4)&amp;"*",OFFSET(Data,0,0,1),0)+MATCH($C6979,OFFSET(Data,1,0,1),0)-2,FALSE())),ISTEXT(VLOOKUP(DATEVALUE("37"&amp;MID($B6979,3,2)&amp;"-"&amp;MID($B6979,5,2)&amp;"-"&amp;RIGHT($B6979,2)),Data,MATCH(LEFT(VLOOKUP(D$1,Parameters,2,FALSE()),4)&amp;"*",OFFSET(Data,0,0,1),0)+MATCH($C6979,OFFSET(Data,1,0,1),0)-2,FALSE()))),Lacking,IF(ISNA(MATCH(DATEVALUE("37"&amp;MID($B6979,3,2)&amp;"-"&amp;MID($B6979,5,2)&amp;"-"&amp;RIGHT($B6979,2)),OFFSET(Catalogus,0,0,,1),0)),Ok,VLOOKUP(DATEVALUE("37"&amp;MID($B6979,3,2)&amp;"-"&amp;MID($B6979,5,2)&amp;"-"&amp;RIGHT($B6979,2)),Catalogus,MATCH(LEFT(VLOOKUP(MID(E$1,2,LEN(E$1)-1),Parameters,2,FALSE()),4)&amp;"*",OFFSET(Catalogus,0,0,1),0)+MATCH($C6979,OFFSET(Catalogus,1,0,1),0)-2,FALSE())))</f>
        <v>0</v>
      </c>
    </row>
    <row r="6980" spans="1:5" x14ac:dyDescent="0.25">
      <c r="A6980" s="3">
        <f t="shared" si="328"/>
        <v>78989</v>
      </c>
      <c r="B6980" t="str">
        <f ca="1">TEXT(DATE(YEAR(Invoer!$A$5),1,1)+INT((ROWS(B$2:B6980)-1)/24),"""18""jjmmdd")</f>
        <v>18981018</v>
      </c>
      <c r="C6980" s="11" t="str">
        <f>INDEX(Data,2,2+MOD(ROWS(C$2:C6980)-1,24))</f>
        <v>19.00</v>
      </c>
      <c r="D6980" s="8">
        <f t="shared" ca="1" si="329"/>
        <v>14</v>
      </c>
      <c r="E6980" s="16">
        <f t="shared" ca="1" si="330"/>
        <v>0</v>
      </c>
    </row>
    <row r="6981" spans="1:5" x14ac:dyDescent="0.25">
      <c r="A6981" s="3">
        <f t="shared" si="328"/>
        <v>78989</v>
      </c>
      <c r="B6981" t="str">
        <f ca="1">TEXT(DATE(YEAR(Invoer!$A$5),1,1)+INT((ROWS(B$2:B6981)-1)/24),"""18""jjmmdd")</f>
        <v>18981018</v>
      </c>
      <c r="C6981" s="11" t="str">
        <f>INDEX(Data,2,2+MOD(ROWS(C$2:C6981)-1,24))</f>
        <v>20.00</v>
      </c>
      <c r="D6981" s="8">
        <f t="shared" ca="1" si="329"/>
        <v>13</v>
      </c>
      <c r="E6981" s="16">
        <f t="shared" ca="1" si="330"/>
        <v>0</v>
      </c>
    </row>
    <row r="6982" spans="1:5" x14ac:dyDescent="0.25">
      <c r="A6982" s="3">
        <f t="shared" si="328"/>
        <v>78989</v>
      </c>
      <c r="B6982" t="str">
        <f ca="1">TEXT(DATE(YEAR(Invoer!$A$5),1,1)+INT((ROWS(B$2:B6982)-1)/24),"""18""jjmmdd")</f>
        <v>18981018</v>
      </c>
      <c r="C6982" s="11" t="str">
        <f>INDEX(Data,2,2+MOD(ROWS(C$2:C6982)-1,24))</f>
        <v>21.00</v>
      </c>
      <c r="D6982" s="8">
        <f t="shared" ca="1" si="329"/>
        <v>12</v>
      </c>
      <c r="E6982" s="16">
        <f t="shared" ca="1" si="330"/>
        <v>0</v>
      </c>
    </row>
    <row r="6983" spans="1:5" x14ac:dyDescent="0.25">
      <c r="A6983" s="3">
        <f t="shared" si="328"/>
        <v>78989</v>
      </c>
      <c r="B6983" t="str">
        <f ca="1">TEXT(DATE(YEAR(Invoer!$A$5),1,1)+INT((ROWS(B$2:B6983)-1)/24),"""18""jjmmdd")</f>
        <v>18981018</v>
      </c>
      <c r="C6983" s="11" t="str">
        <f>INDEX(Data,2,2+MOD(ROWS(C$2:C6983)-1,24))</f>
        <v>22.00</v>
      </c>
      <c r="D6983" s="8">
        <f t="shared" ca="1" si="329"/>
        <v>10</v>
      </c>
      <c r="E6983" s="16">
        <f t="shared" ca="1" si="330"/>
        <v>0</v>
      </c>
    </row>
    <row r="6984" spans="1:5" x14ac:dyDescent="0.25">
      <c r="A6984" s="3">
        <f t="shared" si="328"/>
        <v>78989</v>
      </c>
      <c r="B6984" t="str">
        <f ca="1">TEXT(DATE(YEAR(Invoer!$A$5),1,1)+INT((ROWS(B$2:B6984)-1)/24),"""18""jjmmdd")</f>
        <v>18981018</v>
      </c>
      <c r="C6984" s="11" t="str">
        <f>INDEX(Data,2,2+MOD(ROWS(C$2:C6984)-1,24))</f>
        <v>23.00</v>
      </c>
      <c r="D6984" s="8">
        <f t="shared" ca="1" si="329"/>
        <v>11</v>
      </c>
      <c r="E6984" s="16">
        <f t="shared" ca="1" si="330"/>
        <v>0</v>
      </c>
    </row>
    <row r="6985" spans="1:5" x14ac:dyDescent="0.25">
      <c r="A6985" s="3">
        <f t="shared" si="328"/>
        <v>78989</v>
      </c>
      <c r="B6985" t="str">
        <f ca="1">TEXT(DATE(YEAR(Invoer!$A$5),1,1)+INT((ROWS(B$2:B6985)-1)/24),"""18""jjmmdd")</f>
        <v>18981018</v>
      </c>
      <c r="C6985" s="11" t="str">
        <f>INDEX(Data,2,2+MOD(ROWS(C$2:C6985)-1,24))</f>
        <v>24.00</v>
      </c>
      <c r="D6985" s="8">
        <f t="shared" ca="1" si="329"/>
        <v>10</v>
      </c>
      <c r="E6985" s="16">
        <f t="shared" ca="1" si="330"/>
        <v>0</v>
      </c>
    </row>
    <row r="6986" spans="1:5" x14ac:dyDescent="0.25">
      <c r="A6986" s="3">
        <f t="shared" si="328"/>
        <v>78989</v>
      </c>
      <c r="B6986" t="str">
        <f ca="1">TEXT(DATE(YEAR(Invoer!$A$5),1,1)+INT((ROWS(B$2:B6986)-1)/24),"""18""jjmmdd")</f>
        <v>18981019</v>
      </c>
      <c r="C6986" s="11" t="str">
        <f>INDEX(Data,2,2+MOD(ROWS(C$2:C6986)-1,24))</f>
        <v>01.00</v>
      </c>
      <c r="D6986" s="8">
        <f t="shared" ca="1" si="329"/>
        <v>11</v>
      </c>
      <c r="E6986" s="16">
        <f t="shared" ca="1" si="330"/>
        <v>0</v>
      </c>
    </row>
    <row r="6987" spans="1:5" x14ac:dyDescent="0.25">
      <c r="A6987" s="3">
        <f t="shared" si="328"/>
        <v>78989</v>
      </c>
      <c r="B6987" t="str">
        <f ca="1">TEXT(DATE(YEAR(Invoer!$A$5),1,1)+INT((ROWS(B$2:B6987)-1)/24),"""18""jjmmdd")</f>
        <v>18981019</v>
      </c>
      <c r="C6987" s="11" t="str">
        <f>INDEX(Data,2,2+MOD(ROWS(C$2:C6987)-1,24))</f>
        <v>02.00</v>
      </c>
      <c r="D6987" s="8">
        <f t="shared" ca="1" si="329"/>
        <v>12</v>
      </c>
      <c r="E6987" s="16">
        <f t="shared" ca="1" si="330"/>
        <v>0</v>
      </c>
    </row>
    <row r="6988" spans="1:5" x14ac:dyDescent="0.25">
      <c r="A6988" s="3">
        <f t="shared" si="328"/>
        <v>78989</v>
      </c>
      <c r="B6988" t="str">
        <f ca="1">TEXT(DATE(YEAR(Invoer!$A$5),1,1)+INT((ROWS(B$2:B6988)-1)/24),"""18""jjmmdd")</f>
        <v>18981019</v>
      </c>
      <c r="C6988" s="11" t="str">
        <f>INDEX(Data,2,2+MOD(ROWS(C$2:C6988)-1,24))</f>
        <v>03.00</v>
      </c>
      <c r="D6988" s="8">
        <f t="shared" ca="1" si="329"/>
        <v>11</v>
      </c>
      <c r="E6988" s="16">
        <f t="shared" ca="1" si="330"/>
        <v>0</v>
      </c>
    </row>
    <row r="6989" spans="1:5" x14ac:dyDescent="0.25">
      <c r="A6989" s="3">
        <f t="shared" si="328"/>
        <v>78989</v>
      </c>
      <c r="B6989" t="str">
        <f ca="1">TEXT(DATE(YEAR(Invoer!$A$5),1,1)+INT((ROWS(B$2:B6989)-1)/24),"""18""jjmmdd")</f>
        <v>18981019</v>
      </c>
      <c r="C6989" s="11" t="str">
        <f>INDEX(Data,2,2+MOD(ROWS(C$2:C6989)-1,24))</f>
        <v>04.00</v>
      </c>
      <c r="D6989" s="8">
        <f t="shared" ca="1" si="329"/>
        <v>10</v>
      </c>
      <c r="E6989" s="16">
        <f t="shared" ca="1" si="330"/>
        <v>0</v>
      </c>
    </row>
    <row r="6990" spans="1:5" x14ac:dyDescent="0.25">
      <c r="A6990" s="3">
        <f t="shared" si="328"/>
        <v>78989</v>
      </c>
      <c r="B6990" t="str">
        <f ca="1">TEXT(DATE(YEAR(Invoer!$A$5),1,1)+INT((ROWS(B$2:B6990)-1)/24),"""18""jjmmdd")</f>
        <v>18981019</v>
      </c>
      <c r="C6990" s="11" t="str">
        <f>INDEX(Data,2,2+MOD(ROWS(C$2:C6990)-1,24))</f>
        <v>05.00</v>
      </c>
      <c r="D6990" s="8">
        <f t="shared" ca="1" si="329"/>
        <v>10</v>
      </c>
      <c r="E6990" s="16">
        <f t="shared" ca="1" si="330"/>
        <v>0</v>
      </c>
    </row>
    <row r="6991" spans="1:5" x14ac:dyDescent="0.25">
      <c r="A6991" s="3">
        <f t="shared" si="328"/>
        <v>78989</v>
      </c>
      <c r="B6991" t="str">
        <f ca="1">TEXT(DATE(YEAR(Invoer!$A$5),1,1)+INT((ROWS(B$2:B6991)-1)/24),"""18""jjmmdd")</f>
        <v>18981019</v>
      </c>
      <c r="C6991" s="11" t="str">
        <f>INDEX(Data,2,2+MOD(ROWS(C$2:C6991)-1,24))</f>
        <v>06.00</v>
      </c>
      <c r="D6991" s="8">
        <f t="shared" ca="1" si="329"/>
        <v>10</v>
      </c>
      <c r="E6991" s="16">
        <f t="shared" ca="1" si="330"/>
        <v>0</v>
      </c>
    </row>
    <row r="6992" spans="1:5" x14ac:dyDescent="0.25">
      <c r="A6992" s="3">
        <f t="shared" si="328"/>
        <v>78989</v>
      </c>
      <c r="B6992" t="str">
        <f ca="1">TEXT(DATE(YEAR(Invoer!$A$5),1,1)+INT((ROWS(B$2:B6992)-1)/24),"""18""jjmmdd")</f>
        <v>18981019</v>
      </c>
      <c r="C6992" s="11" t="str">
        <f>INDEX(Data,2,2+MOD(ROWS(C$2:C6992)-1,24))</f>
        <v>07.00</v>
      </c>
      <c r="D6992" s="8">
        <f t="shared" ca="1" si="329"/>
        <v>11</v>
      </c>
      <c r="E6992" s="16">
        <f t="shared" ca="1" si="330"/>
        <v>0</v>
      </c>
    </row>
    <row r="6993" spans="1:5" x14ac:dyDescent="0.25">
      <c r="A6993" s="3">
        <f t="shared" si="328"/>
        <v>78989</v>
      </c>
      <c r="B6993" t="str">
        <f ca="1">TEXT(DATE(YEAR(Invoer!$A$5),1,1)+INT((ROWS(B$2:B6993)-1)/24),"""18""jjmmdd")</f>
        <v>18981019</v>
      </c>
      <c r="C6993" s="11" t="str">
        <f>INDEX(Data,2,2+MOD(ROWS(C$2:C6993)-1,24))</f>
        <v>08.00</v>
      </c>
      <c r="D6993" s="8">
        <f t="shared" ca="1" si="329"/>
        <v>13</v>
      </c>
      <c r="E6993" s="16">
        <f t="shared" ca="1" si="330"/>
        <v>0</v>
      </c>
    </row>
    <row r="6994" spans="1:5" x14ac:dyDescent="0.25">
      <c r="A6994" s="3">
        <f t="shared" si="328"/>
        <v>78989</v>
      </c>
      <c r="B6994" t="str">
        <f ca="1">TEXT(DATE(YEAR(Invoer!$A$5),1,1)+INT((ROWS(B$2:B6994)-1)/24),"""18""jjmmdd")</f>
        <v>18981019</v>
      </c>
      <c r="C6994" s="11" t="str">
        <f>INDEX(Data,2,2+MOD(ROWS(C$2:C6994)-1,24))</f>
        <v>09.00</v>
      </c>
      <c r="D6994" s="8">
        <f t="shared" ca="1" si="329"/>
        <v>14</v>
      </c>
      <c r="E6994" s="16">
        <f t="shared" ca="1" si="330"/>
        <v>0</v>
      </c>
    </row>
    <row r="6995" spans="1:5" x14ac:dyDescent="0.25">
      <c r="A6995" s="3">
        <f t="shared" si="328"/>
        <v>78989</v>
      </c>
      <c r="B6995" t="str">
        <f ca="1">TEXT(DATE(YEAR(Invoer!$A$5),1,1)+INT((ROWS(B$2:B6995)-1)/24),"""18""jjmmdd")</f>
        <v>18981019</v>
      </c>
      <c r="C6995" s="11" t="str">
        <f>INDEX(Data,2,2+MOD(ROWS(C$2:C6995)-1,24))</f>
        <v>10.00</v>
      </c>
      <c r="D6995" s="8">
        <f t="shared" ca="1" si="329"/>
        <v>12</v>
      </c>
      <c r="E6995" s="16">
        <f t="shared" ca="1" si="330"/>
        <v>0</v>
      </c>
    </row>
    <row r="6996" spans="1:5" x14ac:dyDescent="0.25">
      <c r="A6996" s="3">
        <f t="shared" si="328"/>
        <v>78989</v>
      </c>
      <c r="B6996" t="str">
        <f ca="1">TEXT(DATE(YEAR(Invoer!$A$5),1,1)+INT((ROWS(B$2:B6996)-1)/24),"""18""jjmmdd")</f>
        <v>18981019</v>
      </c>
      <c r="C6996" s="11" t="str">
        <f>INDEX(Data,2,2+MOD(ROWS(C$2:C6996)-1,24))</f>
        <v>11.00</v>
      </c>
      <c r="D6996" s="8">
        <f t="shared" ca="1" si="329"/>
        <v>13</v>
      </c>
      <c r="E6996" s="16">
        <f t="shared" ca="1" si="330"/>
        <v>0</v>
      </c>
    </row>
    <row r="6997" spans="1:5" x14ac:dyDescent="0.25">
      <c r="A6997" s="3">
        <f t="shared" si="328"/>
        <v>78989</v>
      </c>
      <c r="B6997" t="str">
        <f ca="1">TEXT(DATE(YEAR(Invoer!$A$5),1,1)+INT((ROWS(B$2:B6997)-1)/24),"""18""jjmmdd")</f>
        <v>18981019</v>
      </c>
      <c r="C6997" s="11" t="str">
        <f>INDEX(Data,2,2+MOD(ROWS(C$2:C6997)-1,24))</f>
        <v>12.00</v>
      </c>
      <c r="D6997" s="8">
        <f t="shared" ca="1" si="329"/>
        <v>14</v>
      </c>
      <c r="E6997" s="16">
        <f t="shared" ca="1" si="330"/>
        <v>0</v>
      </c>
    </row>
    <row r="6998" spans="1:5" x14ac:dyDescent="0.25">
      <c r="A6998" s="3">
        <f t="shared" si="328"/>
        <v>78989</v>
      </c>
      <c r="B6998" t="str">
        <f ca="1">TEXT(DATE(YEAR(Invoer!$A$5),1,1)+INT((ROWS(B$2:B6998)-1)/24),"""18""jjmmdd")</f>
        <v>18981019</v>
      </c>
      <c r="C6998" s="11" t="str">
        <f>INDEX(Data,2,2+MOD(ROWS(C$2:C6998)-1,24))</f>
        <v>13.00</v>
      </c>
      <c r="D6998" s="8">
        <f t="shared" ca="1" si="329"/>
        <v>17</v>
      </c>
      <c r="E6998" s="16">
        <f t="shared" ca="1" si="330"/>
        <v>0</v>
      </c>
    </row>
    <row r="6999" spans="1:5" x14ac:dyDescent="0.25">
      <c r="A6999" s="3">
        <f t="shared" si="328"/>
        <v>78989</v>
      </c>
      <c r="B6999" t="str">
        <f ca="1">TEXT(DATE(YEAR(Invoer!$A$5),1,1)+INT((ROWS(B$2:B6999)-1)/24),"""18""jjmmdd")</f>
        <v>18981019</v>
      </c>
      <c r="C6999" s="11" t="str">
        <f>INDEX(Data,2,2+MOD(ROWS(C$2:C6999)-1,24))</f>
        <v>14.00</v>
      </c>
      <c r="D6999" s="8">
        <f t="shared" ca="1" si="329"/>
        <v>17</v>
      </c>
      <c r="E6999" s="16">
        <f t="shared" ca="1" si="330"/>
        <v>0</v>
      </c>
    </row>
    <row r="7000" spans="1:5" x14ac:dyDescent="0.25">
      <c r="A7000" s="3">
        <f t="shared" si="328"/>
        <v>78989</v>
      </c>
      <c r="B7000" t="str">
        <f ca="1">TEXT(DATE(YEAR(Invoer!$A$5),1,1)+INT((ROWS(B$2:B7000)-1)/24),"""18""jjmmdd")</f>
        <v>18981019</v>
      </c>
      <c r="C7000" s="11" t="str">
        <f>INDEX(Data,2,2+MOD(ROWS(C$2:C7000)-1,24))</f>
        <v>15.00</v>
      </c>
      <c r="D7000" s="8">
        <f t="shared" ca="1" si="329"/>
        <v>18</v>
      </c>
      <c r="E7000" s="16">
        <f t="shared" ca="1" si="330"/>
        <v>0</v>
      </c>
    </row>
    <row r="7001" spans="1:5" x14ac:dyDescent="0.25">
      <c r="A7001" s="3">
        <f t="shared" si="328"/>
        <v>78989</v>
      </c>
      <c r="B7001" t="str">
        <f ca="1">TEXT(DATE(YEAR(Invoer!$A$5),1,1)+INT((ROWS(B$2:B7001)-1)/24),"""18""jjmmdd")</f>
        <v>18981019</v>
      </c>
      <c r="C7001" s="11" t="str">
        <f>INDEX(Data,2,2+MOD(ROWS(C$2:C7001)-1,24))</f>
        <v>16.00</v>
      </c>
      <c r="D7001" s="8">
        <f t="shared" ca="1" si="329"/>
        <v>18</v>
      </c>
      <c r="E7001" s="16">
        <f t="shared" ca="1" si="330"/>
        <v>0</v>
      </c>
    </row>
    <row r="7002" spans="1:5" x14ac:dyDescent="0.25">
      <c r="A7002" s="3">
        <f t="shared" si="328"/>
        <v>78989</v>
      </c>
      <c r="B7002" t="str">
        <f ca="1">TEXT(DATE(YEAR(Invoer!$A$5),1,1)+INT((ROWS(B$2:B7002)-1)/24),"""18""jjmmdd")</f>
        <v>18981019</v>
      </c>
      <c r="C7002" s="11" t="str">
        <f>INDEX(Data,2,2+MOD(ROWS(C$2:C7002)-1,24))</f>
        <v>17.00</v>
      </c>
      <c r="D7002" s="8">
        <f t="shared" ca="1" si="329"/>
        <v>15</v>
      </c>
      <c r="E7002" s="16">
        <f t="shared" ca="1" si="330"/>
        <v>0</v>
      </c>
    </row>
    <row r="7003" spans="1:5" x14ac:dyDescent="0.25">
      <c r="A7003" s="3">
        <f t="shared" si="328"/>
        <v>78989</v>
      </c>
      <c r="B7003" t="str">
        <f ca="1">TEXT(DATE(YEAR(Invoer!$A$5),1,1)+INT((ROWS(B$2:B7003)-1)/24),"""18""jjmmdd")</f>
        <v>18981019</v>
      </c>
      <c r="C7003" s="11" t="str">
        <f>INDEX(Data,2,2+MOD(ROWS(C$2:C7003)-1,24))</f>
        <v>18.00</v>
      </c>
      <c r="D7003" s="8">
        <f t="shared" ca="1" si="329"/>
        <v>15</v>
      </c>
      <c r="E7003" s="16">
        <f t="shared" ca="1" si="330"/>
        <v>0</v>
      </c>
    </row>
    <row r="7004" spans="1:5" x14ac:dyDescent="0.25">
      <c r="A7004" s="3">
        <f t="shared" si="328"/>
        <v>78989</v>
      </c>
      <c r="B7004" t="str">
        <f ca="1">TEXT(DATE(YEAR(Invoer!$A$5),1,1)+INT((ROWS(B$2:B7004)-1)/24),"""18""jjmmdd")</f>
        <v>18981019</v>
      </c>
      <c r="C7004" s="11" t="str">
        <f>INDEX(Data,2,2+MOD(ROWS(C$2:C7004)-1,24))</f>
        <v>19.00</v>
      </c>
      <c r="D7004" s="8">
        <f t="shared" ca="1" si="329"/>
        <v>15</v>
      </c>
      <c r="E7004" s="16">
        <f t="shared" ca="1" si="330"/>
        <v>0</v>
      </c>
    </row>
    <row r="7005" spans="1:5" x14ac:dyDescent="0.25">
      <c r="A7005" s="3">
        <f t="shared" si="328"/>
        <v>78989</v>
      </c>
      <c r="B7005" t="str">
        <f ca="1">TEXT(DATE(YEAR(Invoer!$A$5),1,1)+INT((ROWS(B$2:B7005)-1)/24),"""18""jjmmdd")</f>
        <v>18981019</v>
      </c>
      <c r="C7005" s="11" t="str">
        <f>INDEX(Data,2,2+MOD(ROWS(C$2:C7005)-1,24))</f>
        <v>20.00</v>
      </c>
      <c r="D7005" s="8">
        <f t="shared" ca="1" si="329"/>
        <v>15</v>
      </c>
      <c r="E7005" s="16">
        <f t="shared" ca="1" si="330"/>
        <v>0</v>
      </c>
    </row>
    <row r="7006" spans="1:5" x14ac:dyDescent="0.25">
      <c r="A7006" s="3">
        <f t="shared" si="328"/>
        <v>78989</v>
      </c>
      <c r="B7006" t="str">
        <f ca="1">TEXT(DATE(YEAR(Invoer!$A$5),1,1)+INT((ROWS(B$2:B7006)-1)/24),"""18""jjmmdd")</f>
        <v>18981019</v>
      </c>
      <c r="C7006" s="11" t="str">
        <f>INDEX(Data,2,2+MOD(ROWS(C$2:C7006)-1,24))</f>
        <v>21.00</v>
      </c>
      <c r="D7006" s="8">
        <f t="shared" ca="1" si="329"/>
        <v>13</v>
      </c>
      <c r="E7006" s="16">
        <f t="shared" ca="1" si="330"/>
        <v>0</v>
      </c>
    </row>
    <row r="7007" spans="1:5" x14ac:dyDescent="0.25">
      <c r="A7007" s="3">
        <f t="shared" si="328"/>
        <v>78989</v>
      </c>
      <c r="B7007" t="str">
        <f ca="1">TEXT(DATE(YEAR(Invoer!$A$5),1,1)+INT((ROWS(B$2:B7007)-1)/24),"""18""jjmmdd")</f>
        <v>18981019</v>
      </c>
      <c r="C7007" s="11" t="str">
        <f>INDEX(Data,2,2+MOD(ROWS(C$2:C7007)-1,24))</f>
        <v>22.00</v>
      </c>
      <c r="D7007" s="8">
        <f t="shared" ca="1" si="329"/>
        <v>13</v>
      </c>
      <c r="E7007" s="16">
        <f t="shared" ca="1" si="330"/>
        <v>0</v>
      </c>
    </row>
    <row r="7008" spans="1:5" x14ac:dyDescent="0.25">
      <c r="A7008" s="3">
        <f t="shared" si="328"/>
        <v>78989</v>
      </c>
      <c r="B7008" t="str">
        <f ca="1">TEXT(DATE(YEAR(Invoer!$A$5),1,1)+INT((ROWS(B$2:B7008)-1)/24),"""18""jjmmdd")</f>
        <v>18981019</v>
      </c>
      <c r="C7008" s="11" t="str">
        <f>INDEX(Data,2,2+MOD(ROWS(C$2:C7008)-1,24))</f>
        <v>23.00</v>
      </c>
      <c r="D7008" s="8">
        <f t="shared" ca="1" si="329"/>
        <v>13</v>
      </c>
      <c r="E7008" s="16">
        <f t="shared" ca="1" si="330"/>
        <v>0</v>
      </c>
    </row>
    <row r="7009" spans="1:5" x14ac:dyDescent="0.25">
      <c r="A7009" s="3">
        <f t="shared" si="328"/>
        <v>78989</v>
      </c>
      <c r="B7009" t="str">
        <f ca="1">TEXT(DATE(YEAR(Invoer!$A$5),1,1)+INT((ROWS(B$2:B7009)-1)/24),"""18""jjmmdd")</f>
        <v>18981019</v>
      </c>
      <c r="C7009" s="11" t="str">
        <f>INDEX(Data,2,2+MOD(ROWS(C$2:C7009)-1,24))</f>
        <v>24.00</v>
      </c>
      <c r="D7009" s="8">
        <f t="shared" ca="1" si="329"/>
        <v>11</v>
      </c>
      <c r="E7009" s="16">
        <f t="shared" ca="1" si="330"/>
        <v>0</v>
      </c>
    </row>
    <row r="7010" spans="1:5" x14ac:dyDescent="0.25">
      <c r="A7010" s="3">
        <f t="shared" si="328"/>
        <v>78989</v>
      </c>
      <c r="B7010" t="str">
        <f ca="1">TEXT(DATE(YEAR(Invoer!$A$5),1,1)+INT((ROWS(B$2:B7010)-1)/24),"""18""jjmmdd")</f>
        <v>18981020</v>
      </c>
      <c r="C7010" s="11" t="str">
        <f>INDEX(Data,2,2+MOD(ROWS(C$2:C7010)-1,24))</f>
        <v>01.00</v>
      </c>
      <c r="D7010" s="8">
        <f t="shared" ca="1" si="329"/>
        <v>11</v>
      </c>
      <c r="E7010" s="16">
        <f t="shared" ca="1" si="330"/>
        <v>0</v>
      </c>
    </row>
    <row r="7011" spans="1:5" x14ac:dyDescent="0.25">
      <c r="A7011" s="3">
        <f t="shared" si="328"/>
        <v>78989</v>
      </c>
      <c r="B7011" t="str">
        <f ca="1">TEXT(DATE(YEAR(Invoer!$A$5),1,1)+INT((ROWS(B$2:B7011)-1)/24),"""18""jjmmdd")</f>
        <v>18981020</v>
      </c>
      <c r="C7011" s="11" t="str">
        <f>INDEX(Data,2,2+MOD(ROWS(C$2:C7011)-1,24))</f>
        <v>02.00</v>
      </c>
      <c r="D7011" s="8">
        <f t="shared" ca="1" si="329"/>
        <v>10</v>
      </c>
      <c r="E7011" s="16">
        <f t="shared" ca="1" si="330"/>
        <v>0</v>
      </c>
    </row>
    <row r="7012" spans="1:5" x14ac:dyDescent="0.25">
      <c r="A7012" s="3">
        <f t="shared" si="328"/>
        <v>78989</v>
      </c>
      <c r="B7012" t="str">
        <f ca="1">TEXT(DATE(YEAR(Invoer!$A$5),1,1)+INT((ROWS(B$2:B7012)-1)/24),"""18""jjmmdd")</f>
        <v>18981020</v>
      </c>
      <c r="C7012" s="11" t="str">
        <f>INDEX(Data,2,2+MOD(ROWS(C$2:C7012)-1,24))</f>
        <v>03.00</v>
      </c>
      <c r="D7012" s="8">
        <f t="shared" ca="1" si="329"/>
        <v>11</v>
      </c>
      <c r="E7012" s="16">
        <f t="shared" ca="1" si="330"/>
        <v>0</v>
      </c>
    </row>
    <row r="7013" spans="1:5" x14ac:dyDescent="0.25">
      <c r="A7013" s="3">
        <f t="shared" si="328"/>
        <v>78989</v>
      </c>
      <c r="B7013" t="str">
        <f ca="1">TEXT(DATE(YEAR(Invoer!$A$5),1,1)+INT((ROWS(B$2:B7013)-1)/24),"""18""jjmmdd")</f>
        <v>18981020</v>
      </c>
      <c r="C7013" s="11" t="str">
        <f>INDEX(Data,2,2+MOD(ROWS(C$2:C7013)-1,24))</f>
        <v>04.00</v>
      </c>
      <c r="D7013" s="8">
        <f t="shared" ca="1" si="329"/>
        <v>8</v>
      </c>
      <c r="E7013" s="16">
        <f t="shared" ca="1" si="330"/>
        <v>0</v>
      </c>
    </row>
    <row r="7014" spans="1:5" x14ac:dyDescent="0.25">
      <c r="A7014" s="3">
        <f t="shared" si="328"/>
        <v>78989</v>
      </c>
      <c r="B7014" t="str">
        <f ca="1">TEXT(DATE(YEAR(Invoer!$A$5),1,1)+INT((ROWS(B$2:B7014)-1)/24),"""18""jjmmdd")</f>
        <v>18981020</v>
      </c>
      <c r="C7014" s="11" t="str">
        <f>INDEX(Data,2,2+MOD(ROWS(C$2:C7014)-1,24))</f>
        <v>05.00</v>
      </c>
      <c r="D7014" s="8">
        <f t="shared" ca="1" si="329"/>
        <v>8</v>
      </c>
      <c r="E7014" s="16">
        <f t="shared" ca="1" si="330"/>
        <v>0</v>
      </c>
    </row>
    <row r="7015" spans="1:5" x14ac:dyDescent="0.25">
      <c r="A7015" s="3">
        <f t="shared" si="328"/>
        <v>78989</v>
      </c>
      <c r="B7015" t="str">
        <f ca="1">TEXT(DATE(YEAR(Invoer!$A$5),1,1)+INT((ROWS(B$2:B7015)-1)/24),"""18""jjmmdd")</f>
        <v>18981020</v>
      </c>
      <c r="C7015" s="11" t="str">
        <f>INDEX(Data,2,2+MOD(ROWS(C$2:C7015)-1,24))</f>
        <v>06.00</v>
      </c>
      <c r="D7015" s="8">
        <f t="shared" ca="1" si="329"/>
        <v>8</v>
      </c>
      <c r="E7015" s="16">
        <f t="shared" ca="1" si="330"/>
        <v>0</v>
      </c>
    </row>
    <row r="7016" spans="1:5" x14ac:dyDescent="0.25">
      <c r="A7016" s="3">
        <f t="shared" si="328"/>
        <v>78989</v>
      </c>
      <c r="B7016" t="str">
        <f ca="1">TEXT(DATE(YEAR(Invoer!$A$5),1,1)+INT((ROWS(B$2:B7016)-1)/24),"""18""jjmmdd")</f>
        <v>18981020</v>
      </c>
      <c r="C7016" s="11" t="str">
        <f>INDEX(Data,2,2+MOD(ROWS(C$2:C7016)-1,24))</f>
        <v>07.00</v>
      </c>
      <c r="D7016" s="8">
        <f t="shared" ca="1" si="329"/>
        <v>9</v>
      </c>
      <c r="E7016" s="16">
        <f t="shared" ca="1" si="330"/>
        <v>0</v>
      </c>
    </row>
    <row r="7017" spans="1:5" x14ac:dyDescent="0.25">
      <c r="A7017" s="3">
        <f t="shared" si="328"/>
        <v>78989</v>
      </c>
      <c r="B7017" t="str">
        <f ca="1">TEXT(DATE(YEAR(Invoer!$A$5),1,1)+INT((ROWS(B$2:B7017)-1)/24),"""18""jjmmdd")</f>
        <v>18981020</v>
      </c>
      <c r="C7017" s="11" t="str">
        <f>INDEX(Data,2,2+MOD(ROWS(C$2:C7017)-1,24))</f>
        <v>08.00</v>
      </c>
      <c r="D7017" s="8">
        <f t="shared" ca="1" si="329"/>
        <v>13</v>
      </c>
      <c r="E7017" s="16">
        <f t="shared" ca="1" si="330"/>
        <v>0</v>
      </c>
    </row>
    <row r="7018" spans="1:5" x14ac:dyDescent="0.25">
      <c r="A7018" s="3">
        <f t="shared" si="328"/>
        <v>78989</v>
      </c>
      <c r="B7018" t="str">
        <f ca="1">TEXT(DATE(YEAR(Invoer!$A$5),1,1)+INT((ROWS(B$2:B7018)-1)/24),"""18""jjmmdd")</f>
        <v>18981020</v>
      </c>
      <c r="C7018" s="11" t="str">
        <f>INDEX(Data,2,2+MOD(ROWS(C$2:C7018)-1,24))</f>
        <v>09.00</v>
      </c>
      <c r="D7018" s="8">
        <f t="shared" ca="1" si="329"/>
        <v>12</v>
      </c>
      <c r="E7018" s="16">
        <f t="shared" ca="1" si="330"/>
        <v>0</v>
      </c>
    </row>
    <row r="7019" spans="1:5" x14ac:dyDescent="0.25">
      <c r="A7019" s="3">
        <f t="shared" si="328"/>
        <v>78989</v>
      </c>
      <c r="B7019" t="str">
        <f ca="1">TEXT(DATE(YEAR(Invoer!$A$5),1,1)+INT((ROWS(B$2:B7019)-1)/24),"""18""jjmmdd")</f>
        <v>18981020</v>
      </c>
      <c r="C7019" s="11" t="str">
        <f>INDEX(Data,2,2+MOD(ROWS(C$2:C7019)-1,24))</f>
        <v>10.00</v>
      </c>
      <c r="D7019" s="8">
        <f t="shared" ca="1" si="329"/>
        <v>17</v>
      </c>
      <c r="E7019" s="16">
        <f t="shared" ca="1" si="330"/>
        <v>0</v>
      </c>
    </row>
    <row r="7020" spans="1:5" x14ac:dyDescent="0.25">
      <c r="A7020" s="3">
        <f t="shared" si="328"/>
        <v>78989</v>
      </c>
      <c r="B7020" t="str">
        <f ca="1">TEXT(DATE(YEAR(Invoer!$A$5),1,1)+INT((ROWS(B$2:B7020)-1)/24),"""18""jjmmdd")</f>
        <v>18981020</v>
      </c>
      <c r="C7020" s="11" t="str">
        <f>INDEX(Data,2,2+MOD(ROWS(C$2:C7020)-1,24))</f>
        <v>11.00</v>
      </c>
      <c r="D7020" s="8">
        <f t="shared" ca="1" si="329"/>
        <v>15</v>
      </c>
      <c r="E7020" s="16">
        <f t="shared" ca="1" si="330"/>
        <v>0</v>
      </c>
    </row>
    <row r="7021" spans="1:5" x14ac:dyDescent="0.25">
      <c r="A7021" s="3">
        <f t="shared" si="328"/>
        <v>78989</v>
      </c>
      <c r="B7021" t="str">
        <f ca="1">TEXT(DATE(YEAR(Invoer!$A$5),1,1)+INT((ROWS(B$2:B7021)-1)/24),"""18""jjmmdd")</f>
        <v>18981020</v>
      </c>
      <c r="C7021" s="11" t="str">
        <f>INDEX(Data,2,2+MOD(ROWS(C$2:C7021)-1,24))</f>
        <v>12.00</v>
      </c>
      <c r="D7021" s="8">
        <f t="shared" ca="1" si="329"/>
        <v>15</v>
      </c>
      <c r="E7021" s="16">
        <f t="shared" ca="1" si="330"/>
        <v>0</v>
      </c>
    </row>
    <row r="7022" spans="1:5" x14ac:dyDescent="0.25">
      <c r="A7022" s="3">
        <f t="shared" si="328"/>
        <v>78989</v>
      </c>
      <c r="B7022" t="str">
        <f ca="1">TEXT(DATE(YEAR(Invoer!$A$5),1,1)+INT((ROWS(B$2:B7022)-1)/24),"""18""jjmmdd")</f>
        <v>18981020</v>
      </c>
      <c r="C7022" s="11" t="str">
        <f>INDEX(Data,2,2+MOD(ROWS(C$2:C7022)-1,24))</f>
        <v>13.00</v>
      </c>
      <c r="D7022" s="8">
        <f t="shared" ca="1" si="329"/>
        <v>15</v>
      </c>
      <c r="E7022" s="16">
        <f t="shared" ca="1" si="330"/>
        <v>0</v>
      </c>
    </row>
    <row r="7023" spans="1:5" x14ac:dyDescent="0.25">
      <c r="A7023" s="3">
        <f t="shared" si="328"/>
        <v>78989</v>
      </c>
      <c r="B7023" t="str">
        <f ca="1">TEXT(DATE(YEAR(Invoer!$A$5),1,1)+INT((ROWS(B$2:B7023)-1)/24),"""18""jjmmdd")</f>
        <v>18981020</v>
      </c>
      <c r="C7023" s="11" t="str">
        <f>INDEX(Data,2,2+MOD(ROWS(C$2:C7023)-1,24))</f>
        <v>14.00</v>
      </c>
      <c r="D7023" s="8">
        <f t="shared" ca="1" si="329"/>
        <v>16</v>
      </c>
      <c r="E7023" s="16">
        <f t="shared" ca="1" si="330"/>
        <v>0</v>
      </c>
    </row>
    <row r="7024" spans="1:5" x14ac:dyDescent="0.25">
      <c r="A7024" s="3">
        <f t="shared" si="328"/>
        <v>78989</v>
      </c>
      <c r="B7024" t="str">
        <f ca="1">TEXT(DATE(YEAR(Invoer!$A$5),1,1)+INT((ROWS(B$2:B7024)-1)/24),"""18""jjmmdd")</f>
        <v>18981020</v>
      </c>
      <c r="C7024" s="11" t="str">
        <f>INDEX(Data,2,2+MOD(ROWS(C$2:C7024)-1,24))</f>
        <v>15.00</v>
      </c>
      <c r="D7024" s="8">
        <f t="shared" ca="1" si="329"/>
        <v>16</v>
      </c>
      <c r="E7024" s="16">
        <f t="shared" ca="1" si="330"/>
        <v>0</v>
      </c>
    </row>
    <row r="7025" spans="1:5" x14ac:dyDescent="0.25">
      <c r="A7025" s="3">
        <f t="shared" si="328"/>
        <v>78989</v>
      </c>
      <c r="B7025" t="str">
        <f ca="1">TEXT(DATE(YEAR(Invoer!$A$5),1,1)+INT((ROWS(B$2:B7025)-1)/24),"""18""jjmmdd")</f>
        <v>18981020</v>
      </c>
      <c r="C7025" s="11" t="str">
        <f>INDEX(Data,2,2+MOD(ROWS(C$2:C7025)-1,24))</f>
        <v>16.00</v>
      </c>
      <c r="D7025" s="8">
        <f t="shared" ca="1" si="329"/>
        <v>14</v>
      </c>
      <c r="E7025" s="16">
        <f t="shared" ca="1" si="330"/>
        <v>0</v>
      </c>
    </row>
    <row r="7026" spans="1:5" x14ac:dyDescent="0.25">
      <c r="A7026" s="3">
        <f t="shared" si="328"/>
        <v>78989</v>
      </c>
      <c r="B7026" t="str">
        <f ca="1">TEXT(DATE(YEAR(Invoer!$A$5),1,1)+INT((ROWS(B$2:B7026)-1)/24),"""18""jjmmdd")</f>
        <v>18981020</v>
      </c>
      <c r="C7026" s="11" t="str">
        <f>INDEX(Data,2,2+MOD(ROWS(C$2:C7026)-1,24))</f>
        <v>17.00</v>
      </c>
      <c r="D7026" s="8">
        <f t="shared" ca="1" si="329"/>
        <v>14</v>
      </c>
      <c r="E7026" s="16">
        <f t="shared" ca="1" si="330"/>
        <v>0</v>
      </c>
    </row>
    <row r="7027" spans="1:5" x14ac:dyDescent="0.25">
      <c r="A7027" s="3">
        <f t="shared" si="328"/>
        <v>78989</v>
      </c>
      <c r="B7027" t="str">
        <f ca="1">TEXT(DATE(YEAR(Invoer!$A$5),1,1)+INT((ROWS(B$2:B7027)-1)/24),"""18""jjmmdd")</f>
        <v>18981020</v>
      </c>
      <c r="C7027" s="11" t="str">
        <f>INDEX(Data,2,2+MOD(ROWS(C$2:C7027)-1,24))</f>
        <v>18.00</v>
      </c>
      <c r="D7027" s="8">
        <f t="shared" ca="1" si="329"/>
        <v>13</v>
      </c>
      <c r="E7027" s="16">
        <f t="shared" ca="1" si="330"/>
        <v>0</v>
      </c>
    </row>
    <row r="7028" spans="1:5" x14ac:dyDescent="0.25">
      <c r="A7028" s="3">
        <f t="shared" si="328"/>
        <v>78989</v>
      </c>
      <c r="B7028" t="str">
        <f ca="1">TEXT(DATE(YEAR(Invoer!$A$5),1,1)+INT((ROWS(B$2:B7028)-1)/24),"""18""jjmmdd")</f>
        <v>18981020</v>
      </c>
      <c r="C7028" s="11" t="str">
        <f>INDEX(Data,2,2+MOD(ROWS(C$2:C7028)-1,24))</f>
        <v>19.00</v>
      </c>
      <c r="D7028" s="8">
        <f t="shared" ca="1" si="329"/>
        <v>13</v>
      </c>
      <c r="E7028" s="16">
        <f t="shared" ca="1" si="330"/>
        <v>0</v>
      </c>
    </row>
    <row r="7029" spans="1:5" x14ac:dyDescent="0.25">
      <c r="A7029" s="3">
        <f t="shared" si="328"/>
        <v>78989</v>
      </c>
      <c r="B7029" t="str">
        <f ca="1">TEXT(DATE(YEAR(Invoer!$A$5),1,1)+INT((ROWS(B$2:B7029)-1)/24),"""18""jjmmdd")</f>
        <v>18981020</v>
      </c>
      <c r="C7029" s="11" t="str">
        <f>INDEX(Data,2,2+MOD(ROWS(C$2:C7029)-1,24))</f>
        <v>20.00</v>
      </c>
      <c r="D7029" s="8">
        <f t="shared" ca="1" si="329"/>
        <v>12</v>
      </c>
      <c r="E7029" s="16">
        <f t="shared" ca="1" si="330"/>
        <v>0</v>
      </c>
    </row>
    <row r="7030" spans="1:5" x14ac:dyDescent="0.25">
      <c r="A7030" s="3">
        <f t="shared" si="328"/>
        <v>78989</v>
      </c>
      <c r="B7030" t="str">
        <f ca="1">TEXT(DATE(YEAR(Invoer!$A$5),1,1)+INT((ROWS(B$2:B7030)-1)/24),"""18""jjmmdd")</f>
        <v>18981020</v>
      </c>
      <c r="C7030" s="11" t="str">
        <f>INDEX(Data,2,2+MOD(ROWS(C$2:C7030)-1,24))</f>
        <v>21.00</v>
      </c>
      <c r="D7030" s="8">
        <f t="shared" ca="1" si="329"/>
        <v>15</v>
      </c>
      <c r="E7030" s="16">
        <f t="shared" ca="1" si="330"/>
        <v>0</v>
      </c>
    </row>
    <row r="7031" spans="1:5" x14ac:dyDescent="0.25">
      <c r="A7031" s="3">
        <f t="shared" si="328"/>
        <v>78989</v>
      </c>
      <c r="B7031" t="str">
        <f ca="1">TEXT(DATE(YEAR(Invoer!$A$5),1,1)+INT((ROWS(B$2:B7031)-1)/24),"""18""jjmmdd")</f>
        <v>18981020</v>
      </c>
      <c r="C7031" s="11" t="str">
        <f>INDEX(Data,2,2+MOD(ROWS(C$2:C7031)-1,24))</f>
        <v>22.00</v>
      </c>
      <c r="D7031" s="8">
        <f t="shared" ca="1" si="329"/>
        <v>12</v>
      </c>
      <c r="E7031" s="16">
        <f t="shared" ca="1" si="330"/>
        <v>0</v>
      </c>
    </row>
    <row r="7032" spans="1:5" x14ac:dyDescent="0.25">
      <c r="A7032" s="3">
        <f t="shared" si="328"/>
        <v>78989</v>
      </c>
      <c r="B7032" t="str">
        <f ca="1">TEXT(DATE(YEAR(Invoer!$A$5),1,1)+INT((ROWS(B$2:B7032)-1)/24),"""18""jjmmdd")</f>
        <v>18981020</v>
      </c>
      <c r="C7032" s="11" t="str">
        <f>INDEX(Data,2,2+MOD(ROWS(C$2:C7032)-1,24))</f>
        <v>23.00</v>
      </c>
      <c r="D7032" s="8">
        <f t="shared" ca="1" si="329"/>
        <v>9</v>
      </c>
      <c r="E7032" s="16">
        <f t="shared" ca="1" si="330"/>
        <v>0</v>
      </c>
    </row>
    <row r="7033" spans="1:5" x14ac:dyDescent="0.25">
      <c r="A7033" s="3">
        <f t="shared" si="328"/>
        <v>78989</v>
      </c>
      <c r="B7033" t="str">
        <f ca="1">TEXT(DATE(YEAR(Invoer!$A$5),1,1)+INT((ROWS(B$2:B7033)-1)/24),"""18""jjmmdd")</f>
        <v>18981020</v>
      </c>
      <c r="C7033" s="11" t="str">
        <f>INDEX(Data,2,2+MOD(ROWS(C$2:C7033)-1,24))</f>
        <v>24.00</v>
      </c>
      <c r="D7033" s="8">
        <f t="shared" ca="1" si="329"/>
        <v>9</v>
      </c>
      <c r="E7033" s="16">
        <f t="shared" ca="1" si="330"/>
        <v>0</v>
      </c>
    </row>
    <row r="7034" spans="1:5" x14ac:dyDescent="0.25">
      <c r="A7034" s="3">
        <f t="shared" si="328"/>
        <v>78989</v>
      </c>
      <c r="B7034" t="str">
        <f ca="1">TEXT(DATE(YEAR(Invoer!$A$5),1,1)+INT((ROWS(B$2:B7034)-1)/24),"""18""jjmmdd")</f>
        <v>18981021</v>
      </c>
      <c r="C7034" s="11" t="str">
        <f>INDEX(Data,2,2+MOD(ROWS(C$2:C7034)-1,24))</f>
        <v>01.00</v>
      </c>
      <c r="D7034" s="8">
        <f t="shared" ca="1" si="329"/>
        <v>8</v>
      </c>
      <c r="E7034" s="16">
        <f t="shared" ca="1" si="330"/>
        <v>0</v>
      </c>
    </row>
    <row r="7035" spans="1:5" x14ac:dyDescent="0.25">
      <c r="A7035" s="3">
        <f t="shared" si="328"/>
        <v>78989</v>
      </c>
      <c r="B7035" t="str">
        <f ca="1">TEXT(DATE(YEAR(Invoer!$A$5),1,1)+INT((ROWS(B$2:B7035)-1)/24),"""18""jjmmdd")</f>
        <v>18981021</v>
      </c>
      <c r="C7035" s="11" t="str">
        <f>INDEX(Data,2,2+MOD(ROWS(C$2:C7035)-1,24))</f>
        <v>02.00</v>
      </c>
      <c r="D7035" s="8">
        <f t="shared" ca="1" si="329"/>
        <v>7</v>
      </c>
      <c r="E7035" s="16">
        <f t="shared" ca="1" si="330"/>
        <v>0</v>
      </c>
    </row>
    <row r="7036" spans="1:5" x14ac:dyDescent="0.25">
      <c r="A7036" s="3">
        <f t="shared" si="328"/>
        <v>78989</v>
      </c>
      <c r="B7036" t="str">
        <f ca="1">TEXT(DATE(YEAR(Invoer!$A$5),1,1)+INT((ROWS(B$2:B7036)-1)/24),"""18""jjmmdd")</f>
        <v>18981021</v>
      </c>
      <c r="C7036" s="11" t="str">
        <f>INDEX(Data,2,2+MOD(ROWS(C$2:C7036)-1,24))</f>
        <v>03.00</v>
      </c>
      <c r="D7036" s="8">
        <f t="shared" ca="1" si="329"/>
        <v>9</v>
      </c>
      <c r="E7036" s="16">
        <f t="shared" ca="1" si="330"/>
        <v>0</v>
      </c>
    </row>
    <row r="7037" spans="1:5" x14ac:dyDescent="0.25">
      <c r="A7037" s="3">
        <f t="shared" si="328"/>
        <v>78989</v>
      </c>
      <c r="B7037" t="str">
        <f ca="1">TEXT(DATE(YEAR(Invoer!$A$5),1,1)+INT((ROWS(B$2:B7037)-1)/24),"""18""jjmmdd")</f>
        <v>18981021</v>
      </c>
      <c r="C7037" s="11" t="str">
        <f>INDEX(Data,2,2+MOD(ROWS(C$2:C7037)-1,24))</f>
        <v>04.00</v>
      </c>
      <c r="D7037" s="8">
        <f t="shared" ca="1" si="329"/>
        <v>8</v>
      </c>
      <c r="E7037" s="16">
        <f t="shared" ca="1" si="330"/>
        <v>0</v>
      </c>
    </row>
    <row r="7038" spans="1:5" x14ac:dyDescent="0.25">
      <c r="A7038" s="3">
        <f t="shared" si="328"/>
        <v>78989</v>
      </c>
      <c r="B7038" t="str">
        <f ca="1">TEXT(DATE(YEAR(Invoer!$A$5),1,1)+INT((ROWS(B$2:B7038)-1)/24),"""18""jjmmdd")</f>
        <v>18981021</v>
      </c>
      <c r="C7038" s="11" t="str">
        <f>INDEX(Data,2,2+MOD(ROWS(C$2:C7038)-1,24))</f>
        <v>05.00</v>
      </c>
      <c r="D7038" s="8">
        <f t="shared" ca="1" si="329"/>
        <v>7</v>
      </c>
      <c r="E7038" s="16">
        <f t="shared" ca="1" si="330"/>
        <v>0</v>
      </c>
    </row>
    <row r="7039" spans="1:5" x14ac:dyDescent="0.25">
      <c r="A7039" s="3">
        <f t="shared" si="328"/>
        <v>78989</v>
      </c>
      <c r="B7039" t="str">
        <f ca="1">TEXT(DATE(YEAR(Invoer!$A$5),1,1)+INT((ROWS(B$2:B7039)-1)/24),"""18""jjmmdd")</f>
        <v>18981021</v>
      </c>
      <c r="C7039" s="11" t="str">
        <f>INDEX(Data,2,2+MOD(ROWS(C$2:C7039)-1,24))</f>
        <v>06.00</v>
      </c>
      <c r="D7039" s="8">
        <f t="shared" ca="1" si="329"/>
        <v>6</v>
      </c>
      <c r="E7039" s="16">
        <f t="shared" ca="1" si="330"/>
        <v>0</v>
      </c>
    </row>
    <row r="7040" spans="1:5" x14ac:dyDescent="0.25">
      <c r="A7040" s="3">
        <f t="shared" si="328"/>
        <v>78989</v>
      </c>
      <c r="B7040" t="str">
        <f ca="1">TEXT(DATE(YEAR(Invoer!$A$5),1,1)+INT((ROWS(B$2:B7040)-1)/24),"""18""jjmmdd")</f>
        <v>18981021</v>
      </c>
      <c r="C7040" s="11" t="str">
        <f>INDEX(Data,2,2+MOD(ROWS(C$2:C7040)-1,24))</f>
        <v>07.00</v>
      </c>
      <c r="D7040" s="8">
        <f t="shared" ca="1" si="329"/>
        <v>8</v>
      </c>
      <c r="E7040" s="16">
        <f t="shared" ca="1" si="330"/>
        <v>0</v>
      </c>
    </row>
    <row r="7041" spans="1:5" x14ac:dyDescent="0.25">
      <c r="A7041" s="3">
        <f t="shared" si="328"/>
        <v>78989</v>
      </c>
      <c r="B7041" t="str">
        <f ca="1">TEXT(DATE(YEAR(Invoer!$A$5),1,1)+INT((ROWS(B$2:B7041)-1)/24),"""18""jjmmdd")</f>
        <v>18981021</v>
      </c>
      <c r="C7041" s="11" t="str">
        <f>INDEX(Data,2,2+MOD(ROWS(C$2:C7041)-1,24))</f>
        <v>08.00</v>
      </c>
      <c r="D7041" s="8">
        <f t="shared" ca="1" si="329"/>
        <v>13</v>
      </c>
      <c r="E7041" s="16">
        <f t="shared" ca="1" si="330"/>
        <v>0</v>
      </c>
    </row>
    <row r="7042" spans="1:5" x14ac:dyDescent="0.25">
      <c r="A7042" s="3">
        <f t="shared" ref="A7042:A7105" si="331">INDEX(Stations,2,1)</f>
        <v>78989</v>
      </c>
      <c r="B7042" t="str">
        <f ca="1">TEXT(DATE(YEAR(Invoer!$A$5),1,1)+INT((ROWS(B$2:B7042)-1)/24),"""18""jjmmdd")</f>
        <v>18981021</v>
      </c>
      <c r="C7042" s="11" t="str">
        <f>INDEX(Data,2,2+MOD(ROWS(C$2:C7042)-1,24))</f>
        <v>09.00</v>
      </c>
      <c r="D7042" s="8">
        <f t="shared" ref="D7042:D7105" ca="1" si="332">IF(OR(ISBLANK(VLOOKUP(DATEVALUE("37"&amp;MID($B7042,3,2)&amp;"-"&amp;MID($B7042,5,2)&amp;"-"&amp;RIGHT($B7042,2)),Data,MATCH(LEFT(VLOOKUP(D$1,Parameters,2,FALSE()),4)&amp;"*",OFFSET(Data,0,0,1),0)+MATCH($C7042,OFFSET(Data,1,0,1),0)-2,FALSE())),ISTEXT(VLOOKUP(DATEVALUE("37"&amp;MID($B7042,3,2)&amp;"-"&amp;MID($B7042,5,2)&amp;"-"&amp;RIGHT($B7042,2)),Data,MATCH(LEFT(VLOOKUP(D$1,Parameters,2,FALSE()),4)&amp;"*",OFFSET(Data,0,0,1),0)+MATCH($C7042,OFFSET(Data,1,0,1),0)-2,FALSE()))),"—",VLOOKUP(DATEVALUE("37"&amp;MID($B7042,3,2)&amp;"-"&amp;MID($B7042,5,2)&amp;"-"&amp;RIGHT($B7042,2)),Data,MATCH(LEFT(VLOOKUP(D$1,Parameters,2,FALSE()),4)&amp;"*",OFFSET(Data,0,0,1),0)+MATCH($C7042,OFFSET(Data,1,0,1),0)-2,FALSE()))</f>
        <v>13</v>
      </c>
      <c r="E7042" s="16">
        <f t="shared" ca="1" si="330"/>
        <v>0</v>
      </c>
    </row>
    <row r="7043" spans="1:5" x14ac:dyDescent="0.25">
      <c r="A7043" s="3">
        <f t="shared" si="331"/>
        <v>78989</v>
      </c>
      <c r="B7043" t="str">
        <f ca="1">TEXT(DATE(YEAR(Invoer!$A$5),1,1)+INT((ROWS(B$2:B7043)-1)/24),"""18""jjmmdd")</f>
        <v>18981021</v>
      </c>
      <c r="C7043" s="11" t="str">
        <f>INDEX(Data,2,2+MOD(ROWS(C$2:C7043)-1,24))</f>
        <v>10.00</v>
      </c>
      <c r="D7043" s="8">
        <f t="shared" ca="1" si="332"/>
        <v>13</v>
      </c>
      <c r="E7043" s="16">
        <f t="shared" ref="E7043:E7106" ca="1" si="333">IF(OR(ISBLANK(VLOOKUP(DATEVALUE("37"&amp;MID($B7043,3,2)&amp;"-"&amp;MID($B7043,5,2)&amp;"-"&amp;RIGHT($B7043,2)),Data,MATCH(LEFT(VLOOKUP(D$1,Parameters,2,FALSE()),4)&amp;"*",OFFSET(Data,0,0,1),0)+MATCH($C7043,OFFSET(Data,1,0,1),0)-2,FALSE())),ISTEXT(VLOOKUP(DATEVALUE("37"&amp;MID($B7043,3,2)&amp;"-"&amp;MID($B7043,5,2)&amp;"-"&amp;RIGHT($B7043,2)),Data,MATCH(LEFT(VLOOKUP(D$1,Parameters,2,FALSE()),4)&amp;"*",OFFSET(Data,0,0,1),0)+MATCH($C7043,OFFSET(Data,1,0,1),0)-2,FALSE()))),Lacking,IF(ISNA(MATCH(DATEVALUE("37"&amp;MID($B7043,3,2)&amp;"-"&amp;MID($B7043,5,2)&amp;"-"&amp;RIGHT($B7043,2)),OFFSET(Catalogus,0,0,,1),0)),Ok,VLOOKUP(DATEVALUE("37"&amp;MID($B7043,3,2)&amp;"-"&amp;MID($B7043,5,2)&amp;"-"&amp;RIGHT($B7043,2)),Catalogus,MATCH(LEFT(VLOOKUP(MID(E$1,2,LEN(E$1)-1),Parameters,2,FALSE()),4)&amp;"*",OFFSET(Catalogus,0,0,1),0)+MATCH($C7043,OFFSET(Catalogus,1,0,1),0)-2,FALSE())))</f>
        <v>0</v>
      </c>
    </row>
    <row r="7044" spans="1:5" x14ac:dyDescent="0.25">
      <c r="A7044" s="3">
        <f t="shared" si="331"/>
        <v>78989</v>
      </c>
      <c r="B7044" t="str">
        <f ca="1">TEXT(DATE(YEAR(Invoer!$A$5),1,1)+INT((ROWS(B$2:B7044)-1)/24),"""18""jjmmdd")</f>
        <v>18981021</v>
      </c>
      <c r="C7044" s="11" t="str">
        <f>INDEX(Data,2,2+MOD(ROWS(C$2:C7044)-1,24))</f>
        <v>11.00</v>
      </c>
      <c r="D7044" s="8">
        <f t="shared" ca="1" si="332"/>
        <v>12</v>
      </c>
      <c r="E7044" s="16">
        <f t="shared" ca="1" si="333"/>
        <v>0</v>
      </c>
    </row>
    <row r="7045" spans="1:5" x14ac:dyDescent="0.25">
      <c r="A7045" s="3">
        <f t="shared" si="331"/>
        <v>78989</v>
      </c>
      <c r="B7045" t="str">
        <f ca="1">TEXT(DATE(YEAR(Invoer!$A$5),1,1)+INT((ROWS(B$2:B7045)-1)/24),"""18""jjmmdd")</f>
        <v>18981021</v>
      </c>
      <c r="C7045" s="11" t="str">
        <f>INDEX(Data,2,2+MOD(ROWS(C$2:C7045)-1,24))</f>
        <v>12.00</v>
      </c>
      <c r="D7045" s="8">
        <f t="shared" ca="1" si="332"/>
        <v>13</v>
      </c>
      <c r="E7045" s="16">
        <f t="shared" ca="1" si="333"/>
        <v>0</v>
      </c>
    </row>
    <row r="7046" spans="1:5" x14ac:dyDescent="0.25">
      <c r="A7046" s="3">
        <f t="shared" si="331"/>
        <v>78989</v>
      </c>
      <c r="B7046" t="str">
        <f ca="1">TEXT(DATE(YEAR(Invoer!$A$5),1,1)+INT((ROWS(B$2:B7046)-1)/24),"""18""jjmmdd")</f>
        <v>18981021</v>
      </c>
      <c r="C7046" s="11" t="str">
        <f>INDEX(Data,2,2+MOD(ROWS(C$2:C7046)-1,24))</f>
        <v>13.00</v>
      </c>
      <c r="D7046" s="8">
        <f t="shared" ca="1" si="332"/>
        <v>14</v>
      </c>
      <c r="E7046" s="16">
        <f t="shared" ca="1" si="333"/>
        <v>0</v>
      </c>
    </row>
    <row r="7047" spans="1:5" x14ac:dyDescent="0.25">
      <c r="A7047" s="3">
        <f t="shared" si="331"/>
        <v>78989</v>
      </c>
      <c r="B7047" t="str">
        <f ca="1">TEXT(DATE(YEAR(Invoer!$A$5),1,1)+INT((ROWS(B$2:B7047)-1)/24),"""18""jjmmdd")</f>
        <v>18981021</v>
      </c>
      <c r="C7047" s="11" t="str">
        <f>INDEX(Data,2,2+MOD(ROWS(C$2:C7047)-1,24))</f>
        <v>14.00</v>
      </c>
      <c r="D7047" s="8">
        <f t="shared" ca="1" si="332"/>
        <v>12</v>
      </c>
      <c r="E7047" s="16">
        <f t="shared" ca="1" si="333"/>
        <v>0</v>
      </c>
    </row>
    <row r="7048" spans="1:5" x14ac:dyDescent="0.25">
      <c r="A7048" s="3">
        <f t="shared" si="331"/>
        <v>78989</v>
      </c>
      <c r="B7048" t="str">
        <f ca="1">TEXT(DATE(YEAR(Invoer!$A$5),1,1)+INT((ROWS(B$2:B7048)-1)/24),"""18""jjmmdd")</f>
        <v>18981021</v>
      </c>
      <c r="C7048" s="11" t="str">
        <f>INDEX(Data,2,2+MOD(ROWS(C$2:C7048)-1,24))</f>
        <v>15.00</v>
      </c>
      <c r="D7048" s="8">
        <f t="shared" ca="1" si="332"/>
        <v>13</v>
      </c>
      <c r="E7048" s="16">
        <f t="shared" ca="1" si="333"/>
        <v>0</v>
      </c>
    </row>
    <row r="7049" spans="1:5" x14ac:dyDescent="0.25">
      <c r="A7049" s="3">
        <f t="shared" si="331"/>
        <v>78989</v>
      </c>
      <c r="B7049" t="str">
        <f ca="1">TEXT(DATE(YEAR(Invoer!$A$5),1,1)+INT((ROWS(B$2:B7049)-1)/24),"""18""jjmmdd")</f>
        <v>18981021</v>
      </c>
      <c r="C7049" s="11" t="str">
        <f>INDEX(Data,2,2+MOD(ROWS(C$2:C7049)-1,24))</f>
        <v>16.00</v>
      </c>
      <c r="D7049" s="8">
        <f t="shared" ca="1" si="332"/>
        <v>13</v>
      </c>
      <c r="E7049" s="16">
        <f t="shared" ca="1" si="333"/>
        <v>0</v>
      </c>
    </row>
    <row r="7050" spans="1:5" x14ac:dyDescent="0.25">
      <c r="A7050" s="3">
        <f t="shared" si="331"/>
        <v>78989</v>
      </c>
      <c r="B7050" t="str">
        <f ca="1">TEXT(DATE(YEAR(Invoer!$A$5),1,1)+INT((ROWS(B$2:B7050)-1)/24),"""18""jjmmdd")</f>
        <v>18981021</v>
      </c>
      <c r="C7050" s="11" t="str">
        <f>INDEX(Data,2,2+MOD(ROWS(C$2:C7050)-1,24))</f>
        <v>17.00</v>
      </c>
      <c r="D7050" s="8">
        <f t="shared" ca="1" si="332"/>
        <v>11</v>
      </c>
      <c r="E7050" s="16">
        <f t="shared" ca="1" si="333"/>
        <v>0</v>
      </c>
    </row>
    <row r="7051" spans="1:5" x14ac:dyDescent="0.25">
      <c r="A7051" s="3">
        <f t="shared" si="331"/>
        <v>78989</v>
      </c>
      <c r="B7051" t="str">
        <f ca="1">TEXT(DATE(YEAR(Invoer!$A$5),1,1)+INT((ROWS(B$2:B7051)-1)/24),"""18""jjmmdd")</f>
        <v>18981021</v>
      </c>
      <c r="C7051" s="11" t="str">
        <f>INDEX(Data,2,2+MOD(ROWS(C$2:C7051)-1,24))</f>
        <v>18.00</v>
      </c>
      <c r="D7051" s="8">
        <f t="shared" ca="1" si="332"/>
        <v>12</v>
      </c>
      <c r="E7051" s="16">
        <f t="shared" ca="1" si="333"/>
        <v>0</v>
      </c>
    </row>
    <row r="7052" spans="1:5" x14ac:dyDescent="0.25">
      <c r="A7052" s="3">
        <f t="shared" si="331"/>
        <v>78989</v>
      </c>
      <c r="B7052" t="str">
        <f ca="1">TEXT(DATE(YEAR(Invoer!$A$5),1,1)+INT((ROWS(B$2:B7052)-1)/24),"""18""jjmmdd")</f>
        <v>18981021</v>
      </c>
      <c r="C7052" s="11" t="str">
        <f>INDEX(Data,2,2+MOD(ROWS(C$2:C7052)-1,24))</f>
        <v>19.00</v>
      </c>
      <c r="D7052" s="8">
        <f t="shared" ca="1" si="332"/>
        <v>10</v>
      </c>
      <c r="E7052" s="16">
        <f t="shared" ca="1" si="333"/>
        <v>0</v>
      </c>
    </row>
    <row r="7053" spans="1:5" x14ac:dyDescent="0.25">
      <c r="A7053" s="3">
        <f t="shared" si="331"/>
        <v>78989</v>
      </c>
      <c r="B7053" t="str">
        <f ca="1">TEXT(DATE(YEAR(Invoer!$A$5),1,1)+INT((ROWS(B$2:B7053)-1)/24),"""18""jjmmdd")</f>
        <v>18981021</v>
      </c>
      <c r="C7053" s="11" t="str">
        <f>INDEX(Data,2,2+MOD(ROWS(C$2:C7053)-1,24))</f>
        <v>20.00</v>
      </c>
      <c r="D7053" s="8">
        <f t="shared" ca="1" si="332"/>
        <v>10</v>
      </c>
      <c r="E7053" s="16">
        <f t="shared" ca="1" si="333"/>
        <v>0</v>
      </c>
    </row>
    <row r="7054" spans="1:5" x14ac:dyDescent="0.25">
      <c r="A7054" s="3">
        <f t="shared" si="331"/>
        <v>78989</v>
      </c>
      <c r="B7054" t="str">
        <f ca="1">TEXT(DATE(YEAR(Invoer!$A$5),1,1)+INT((ROWS(B$2:B7054)-1)/24),"""18""jjmmdd")</f>
        <v>18981021</v>
      </c>
      <c r="C7054" s="11" t="str">
        <f>INDEX(Data,2,2+MOD(ROWS(C$2:C7054)-1,24))</f>
        <v>21.00</v>
      </c>
      <c r="D7054" s="8">
        <f t="shared" ca="1" si="332"/>
        <v>10</v>
      </c>
      <c r="E7054" s="16">
        <f t="shared" ca="1" si="333"/>
        <v>0</v>
      </c>
    </row>
    <row r="7055" spans="1:5" x14ac:dyDescent="0.25">
      <c r="A7055" s="3">
        <f t="shared" si="331"/>
        <v>78989</v>
      </c>
      <c r="B7055" t="str">
        <f ca="1">TEXT(DATE(YEAR(Invoer!$A$5),1,1)+INT((ROWS(B$2:B7055)-1)/24),"""18""jjmmdd")</f>
        <v>18981021</v>
      </c>
      <c r="C7055" s="11" t="str">
        <f>INDEX(Data,2,2+MOD(ROWS(C$2:C7055)-1,24))</f>
        <v>22.00</v>
      </c>
      <c r="D7055" s="8">
        <f t="shared" ca="1" si="332"/>
        <v>8</v>
      </c>
      <c r="E7055" s="16">
        <f t="shared" ca="1" si="333"/>
        <v>0</v>
      </c>
    </row>
    <row r="7056" spans="1:5" x14ac:dyDescent="0.25">
      <c r="A7056" s="3">
        <f t="shared" si="331"/>
        <v>78989</v>
      </c>
      <c r="B7056" t="str">
        <f ca="1">TEXT(DATE(YEAR(Invoer!$A$5),1,1)+INT((ROWS(B$2:B7056)-1)/24),"""18""jjmmdd")</f>
        <v>18981021</v>
      </c>
      <c r="C7056" s="11" t="str">
        <f>INDEX(Data,2,2+MOD(ROWS(C$2:C7056)-1,24))</f>
        <v>23.00</v>
      </c>
      <c r="D7056" s="8">
        <f t="shared" ca="1" si="332"/>
        <v>6</v>
      </c>
      <c r="E7056" s="16">
        <f t="shared" ca="1" si="333"/>
        <v>0</v>
      </c>
    </row>
    <row r="7057" spans="1:5" x14ac:dyDescent="0.25">
      <c r="A7057" s="3">
        <f t="shared" si="331"/>
        <v>78989</v>
      </c>
      <c r="B7057" t="str">
        <f ca="1">TEXT(DATE(YEAR(Invoer!$A$5),1,1)+INT((ROWS(B$2:B7057)-1)/24),"""18""jjmmdd")</f>
        <v>18981021</v>
      </c>
      <c r="C7057" s="11" t="str">
        <f>INDEX(Data,2,2+MOD(ROWS(C$2:C7057)-1,24))</f>
        <v>24.00</v>
      </c>
      <c r="D7057" s="8">
        <f t="shared" ca="1" si="332"/>
        <v>5</v>
      </c>
      <c r="E7057" s="16">
        <f t="shared" ca="1" si="333"/>
        <v>0</v>
      </c>
    </row>
    <row r="7058" spans="1:5" x14ac:dyDescent="0.25">
      <c r="A7058" s="3">
        <f t="shared" si="331"/>
        <v>78989</v>
      </c>
      <c r="B7058" t="str">
        <f ca="1">TEXT(DATE(YEAR(Invoer!$A$5),1,1)+INT((ROWS(B$2:B7058)-1)/24),"""18""jjmmdd")</f>
        <v>18981022</v>
      </c>
      <c r="C7058" s="11" t="str">
        <f>INDEX(Data,2,2+MOD(ROWS(C$2:C7058)-1,24))</f>
        <v>01.00</v>
      </c>
      <c r="D7058" s="8">
        <f t="shared" ca="1" si="332"/>
        <v>5</v>
      </c>
      <c r="E7058" s="16">
        <f t="shared" ca="1" si="333"/>
        <v>0</v>
      </c>
    </row>
    <row r="7059" spans="1:5" x14ac:dyDescent="0.25">
      <c r="A7059" s="3">
        <f t="shared" si="331"/>
        <v>78989</v>
      </c>
      <c r="B7059" t="str">
        <f ca="1">TEXT(DATE(YEAR(Invoer!$A$5),1,1)+INT((ROWS(B$2:B7059)-1)/24),"""18""jjmmdd")</f>
        <v>18981022</v>
      </c>
      <c r="C7059" s="11" t="str">
        <f>INDEX(Data,2,2+MOD(ROWS(C$2:C7059)-1,24))</f>
        <v>02.00</v>
      </c>
      <c r="D7059" s="8">
        <f t="shared" ca="1" si="332"/>
        <v>4</v>
      </c>
      <c r="E7059" s="16">
        <f t="shared" ca="1" si="333"/>
        <v>0</v>
      </c>
    </row>
    <row r="7060" spans="1:5" x14ac:dyDescent="0.25">
      <c r="A7060" s="3">
        <f t="shared" si="331"/>
        <v>78989</v>
      </c>
      <c r="B7060" t="str">
        <f ca="1">TEXT(DATE(YEAR(Invoer!$A$5),1,1)+INT((ROWS(B$2:B7060)-1)/24),"""18""jjmmdd")</f>
        <v>18981022</v>
      </c>
      <c r="C7060" s="11" t="str">
        <f>INDEX(Data,2,2+MOD(ROWS(C$2:C7060)-1,24))</f>
        <v>03.00</v>
      </c>
      <c r="D7060" s="8">
        <f t="shared" ca="1" si="332"/>
        <v>5</v>
      </c>
      <c r="E7060" s="16">
        <f t="shared" ca="1" si="333"/>
        <v>0</v>
      </c>
    </row>
    <row r="7061" spans="1:5" x14ac:dyDescent="0.25">
      <c r="A7061" s="3">
        <f t="shared" si="331"/>
        <v>78989</v>
      </c>
      <c r="B7061" t="str">
        <f ca="1">TEXT(DATE(YEAR(Invoer!$A$5),1,1)+INT((ROWS(B$2:B7061)-1)/24),"""18""jjmmdd")</f>
        <v>18981022</v>
      </c>
      <c r="C7061" s="11" t="str">
        <f>INDEX(Data,2,2+MOD(ROWS(C$2:C7061)-1,24))</f>
        <v>04.00</v>
      </c>
      <c r="D7061" s="8">
        <f t="shared" ca="1" si="332"/>
        <v>4</v>
      </c>
      <c r="E7061" s="16">
        <f t="shared" ca="1" si="333"/>
        <v>0</v>
      </c>
    </row>
    <row r="7062" spans="1:5" x14ac:dyDescent="0.25">
      <c r="A7062" s="3">
        <f t="shared" si="331"/>
        <v>78989</v>
      </c>
      <c r="B7062" t="str">
        <f ca="1">TEXT(DATE(YEAR(Invoer!$A$5),1,1)+INT((ROWS(B$2:B7062)-1)/24),"""18""jjmmdd")</f>
        <v>18981022</v>
      </c>
      <c r="C7062" s="11" t="str">
        <f>INDEX(Data,2,2+MOD(ROWS(C$2:C7062)-1,24))</f>
        <v>05.00</v>
      </c>
      <c r="D7062" s="8">
        <f t="shared" ca="1" si="332"/>
        <v>7</v>
      </c>
      <c r="E7062" s="16">
        <f t="shared" ca="1" si="333"/>
        <v>0</v>
      </c>
    </row>
    <row r="7063" spans="1:5" x14ac:dyDescent="0.25">
      <c r="A7063" s="3">
        <f t="shared" si="331"/>
        <v>78989</v>
      </c>
      <c r="B7063" t="str">
        <f ca="1">TEXT(DATE(YEAR(Invoer!$A$5),1,1)+INT((ROWS(B$2:B7063)-1)/24),"""18""jjmmdd")</f>
        <v>18981022</v>
      </c>
      <c r="C7063" s="11" t="str">
        <f>INDEX(Data,2,2+MOD(ROWS(C$2:C7063)-1,24))</f>
        <v>06.00</v>
      </c>
      <c r="D7063" s="8">
        <f t="shared" ca="1" si="332"/>
        <v>4</v>
      </c>
      <c r="E7063" s="16">
        <f t="shared" ca="1" si="333"/>
        <v>0</v>
      </c>
    </row>
    <row r="7064" spans="1:5" x14ac:dyDescent="0.25">
      <c r="A7064" s="3">
        <f t="shared" si="331"/>
        <v>78989</v>
      </c>
      <c r="B7064" t="str">
        <f ca="1">TEXT(DATE(YEAR(Invoer!$A$5),1,1)+INT((ROWS(B$2:B7064)-1)/24),"""18""jjmmdd")</f>
        <v>18981022</v>
      </c>
      <c r="C7064" s="11" t="str">
        <f>INDEX(Data,2,2+MOD(ROWS(C$2:C7064)-1,24))</f>
        <v>07.00</v>
      </c>
      <c r="D7064" s="8">
        <f t="shared" ca="1" si="332"/>
        <v>5</v>
      </c>
      <c r="E7064" s="16">
        <f t="shared" ca="1" si="333"/>
        <v>0</v>
      </c>
    </row>
    <row r="7065" spans="1:5" x14ac:dyDescent="0.25">
      <c r="A7065" s="3">
        <f t="shared" si="331"/>
        <v>78989</v>
      </c>
      <c r="B7065" t="str">
        <f ca="1">TEXT(DATE(YEAR(Invoer!$A$5),1,1)+INT((ROWS(B$2:B7065)-1)/24),"""18""jjmmdd")</f>
        <v>18981022</v>
      </c>
      <c r="C7065" s="11" t="str">
        <f>INDEX(Data,2,2+MOD(ROWS(C$2:C7065)-1,24))</f>
        <v>08.00</v>
      </c>
      <c r="D7065" s="8">
        <f t="shared" ca="1" si="332"/>
        <v>8</v>
      </c>
      <c r="E7065" s="16">
        <f t="shared" ca="1" si="333"/>
        <v>0</v>
      </c>
    </row>
    <row r="7066" spans="1:5" x14ac:dyDescent="0.25">
      <c r="A7066" s="3">
        <f t="shared" si="331"/>
        <v>78989</v>
      </c>
      <c r="B7066" t="str">
        <f ca="1">TEXT(DATE(YEAR(Invoer!$A$5),1,1)+INT((ROWS(B$2:B7066)-1)/24),"""18""jjmmdd")</f>
        <v>18981022</v>
      </c>
      <c r="C7066" s="11" t="str">
        <f>INDEX(Data,2,2+MOD(ROWS(C$2:C7066)-1,24))</f>
        <v>09.00</v>
      </c>
      <c r="D7066" s="8">
        <f t="shared" ca="1" si="332"/>
        <v>11</v>
      </c>
      <c r="E7066" s="16">
        <f t="shared" ca="1" si="333"/>
        <v>0</v>
      </c>
    </row>
    <row r="7067" spans="1:5" x14ac:dyDescent="0.25">
      <c r="A7067" s="3">
        <f t="shared" si="331"/>
        <v>78989</v>
      </c>
      <c r="B7067" t="str">
        <f ca="1">TEXT(DATE(YEAR(Invoer!$A$5),1,1)+INT((ROWS(B$2:B7067)-1)/24),"""18""jjmmdd")</f>
        <v>18981022</v>
      </c>
      <c r="C7067" s="11" t="str">
        <f>INDEX(Data,2,2+MOD(ROWS(C$2:C7067)-1,24))</f>
        <v>10.00</v>
      </c>
      <c r="D7067" s="8">
        <f t="shared" ca="1" si="332"/>
        <v>11</v>
      </c>
      <c r="E7067" s="16">
        <f t="shared" ca="1" si="333"/>
        <v>0</v>
      </c>
    </row>
    <row r="7068" spans="1:5" x14ac:dyDescent="0.25">
      <c r="A7068" s="3">
        <f t="shared" si="331"/>
        <v>78989</v>
      </c>
      <c r="B7068" t="str">
        <f ca="1">TEXT(DATE(YEAR(Invoer!$A$5),1,1)+INT((ROWS(B$2:B7068)-1)/24),"""18""jjmmdd")</f>
        <v>18981022</v>
      </c>
      <c r="C7068" s="11" t="str">
        <f>INDEX(Data,2,2+MOD(ROWS(C$2:C7068)-1,24))</f>
        <v>11.00</v>
      </c>
      <c r="D7068" s="8">
        <f t="shared" ca="1" si="332"/>
        <v>12</v>
      </c>
      <c r="E7068" s="16">
        <f t="shared" ca="1" si="333"/>
        <v>0</v>
      </c>
    </row>
    <row r="7069" spans="1:5" x14ac:dyDescent="0.25">
      <c r="A7069" s="3">
        <f t="shared" si="331"/>
        <v>78989</v>
      </c>
      <c r="B7069" t="str">
        <f ca="1">TEXT(DATE(YEAR(Invoer!$A$5),1,1)+INT((ROWS(B$2:B7069)-1)/24),"""18""jjmmdd")</f>
        <v>18981022</v>
      </c>
      <c r="C7069" s="11" t="str">
        <f>INDEX(Data,2,2+MOD(ROWS(C$2:C7069)-1,24))</f>
        <v>12.00</v>
      </c>
      <c r="D7069" s="8">
        <f t="shared" ca="1" si="332"/>
        <v>13</v>
      </c>
      <c r="E7069" s="16">
        <f t="shared" ca="1" si="333"/>
        <v>0</v>
      </c>
    </row>
    <row r="7070" spans="1:5" x14ac:dyDescent="0.25">
      <c r="A7070" s="3">
        <f t="shared" si="331"/>
        <v>78989</v>
      </c>
      <c r="B7070" t="str">
        <f ca="1">TEXT(DATE(YEAR(Invoer!$A$5),1,1)+INT((ROWS(B$2:B7070)-1)/24),"""18""jjmmdd")</f>
        <v>18981022</v>
      </c>
      <c r="C7070" s="11" t="str">
        <f>INDEX(Data,2,2+MOD(ROWS(C$2:C7070)-1,24))</f>
        <v>13.00</v>
      </c>
      <c r="D7070" s="8">
        <f t="shared" ca="1" si="332"/>
        <v>9</v>
      </c>
      <c r="E7070" s="16">
        <f t="shared" ca="1" si="333"/>
        <v>0</v>
      </c>
    </row>
    <row r="7071" spans="1:5" x14ac:dyDescent="0.25">
      <c r="A7071" s="3">
        <f t="shared" si="331"/>
        <v>78989</v>
      </c>
      <c r="B7071" t="str">
        <f ca="1">TEXT(DATE(YEAR(Invoer!$A$5),1,1)+INT((ROWS(B$2:B7071)-1)/24),"""18""jjmmdd")</f>
        <v>18981022</v>
      </c>
      <c r="C7071" s="11" t="str">
        <f>INDEX(Data,2,2+MOD(ROWS(C$2:C7071)-1,24))</f>
        <v>14.00</v>
      </c>
      <c r="D7071" s="8">
        <f t="shared" ca="1" si="332"/>
        <v>9</v>
      </c>
      <c r="E7071" s="16">
        <f t="shared" ca="1" si="333"/>
        <v>0</v>
      </c>
    </row>
    <row r="7072" spans="1:5" x14ac:dyDescent="0.25">
      <c r="A7072" s="3">
        <f t="shared" si="331"/>
        <v>78989</v>
      </c>
      <c r="B7072" t="str">
        <f ca="1">TEXT(DATE(YEAR(Invoer!$A$5),1,1)+INT((ROWS(B$2:B7072)-1)/24),"""18""jjmmdd")</f>
        <v>18981022</v>
      </c>
      <c r="C7072" s="11" t="str">
        <f>INDEX(Data,2,2+MOD(ROWS(C$2:C7072)-1,24))</f>
        <v>15.00</v>
      </c>
      <c r="D7072" s="8">
        <f t="shared" ca="1" si="332"/>
        <v>8</v>
      </c>
      <c r="E7072" s="16">
        <f t="shared" ca="1" si="333"/>
        <v>0</v>
      </c>
    </row>
    <row r="7073" spans="1:5" x14ac:dyDescent="0.25">
      <c r="A7073" s="3">
        <f t="shared" si="331"/>
        <v>78989</v>
      </c>
      <c r="B7073" t="str">
        <f ca="1">TEXT(DATE(YEAR(Invoer!$A$5),1,1)+INT((ROWS(B$2:B7073)-1)/24),"""18""jjmmdd")</f>
        <v>18981022</v>
      </c>
      <c r="C7073" s="11" t="str">
        <f>INDEX(Data,2,2+MOD(ROWS(C$2:C7073)-1,24))</f>
        <v>16.00</v>
      </c>
      <c r="D7073" s="8">
        <f t="shared" ca="1" si="332"/>
        <v>10</v>
      </c>
      <c r="E7073" s="16">
        <f t="shared" ca="1" si="333"/>
        <v>0</v>
      </c>
    </row>
    <row r="7074" spans="1:5" x14ac:dyDescent="0.25">
      <c r="A7074" s="3">
        <f t="shared" si="331"/>
        <v>78989</v>
      </c>
      <c r="B7074" t="str">
        <f ca="1">TEXT(DATE(YEAR(Invoer!$A$5),1,1)+INT((ROWS(B$2:B7074)-1)/24),"""18""jjmmdd")</f>
        <v>18981022</v>
      </c>
      <c r="C7074" s="11" t="str">
        <f>INDEX(Data,2,2+MOD(ROWS(C$2:C7074)-1,24))</f>
        <v>17.00</v>
      </c>
      <c r="D7074" s="8">
        <f t="shared" ca="1" si="332"/>
        <v>9</v>
      </c>
      <c r="E7074" s="16">
        <f t="shared" ca="1" si="333"/>
        <v>0</v>
      </c>
    </row>
    <row r="7075" spans="1:5" x14ac:dyDescent="0.25">
      <c r="A7075" s="3">
        <f t="shared" si="331"/>
        <v>78989</v>
      </c>
      <c r="B7075" t="str">
        <f ca="1">TEXT(DATE(YEAR(Invoer!$A$5),1,1)+INT((ROWS(B$2:B7075)-1)/24),"""18""jjmmdd")</f>
        <v>18981022</v>
      </c>
      <c r="C7075" s="11" t="str">
        <f>INDEX(Data,2,2+MOD(ROWS(C$2:C7075)-1,24))</f>
        <v>18.00</v>
      </c>
      <c r="D7075" s="8">
        <f t="shared" ca="1" si="332"/>
        <v>7</v>
      </c>
      <c r="E7075" s="16">
        <f t="shared" ca="1" si="333"/>
        <v>0</v>
      </c>
    </row>
    <row r="7076" spans="1:5" x14ac:dyDescent="0.25">
      <c r="A7076" s="3">
        <f t="shared" si="331"/>
        <v>78989</v>
      </c>
      <c r="B7076" t="str">
        <f ca="1">TEXT(DATE(YEAR(Invoer!$A$5),1,1)+INT((ROWS(B$2:B7076)-1)/24),"""18""jjmmdd")</f>
        <v>18981022</v>
      </c>
      <c r="C7076" s="11" t="str">
        <f>INDEX(Data,2,2+MOD(ROWS(C$2:C7076)-1,24))</f>
        <v>19.00</v>
      </c>
      <c r="D7076" s="8">
        <f t="shared" ca="1" si="332"/>
        <v>6</v>
      </c>
      <c r="E7076" s="16">
        <f t="shared" ca="1" si="333"/>
        <v>0</v>
      </c>
    </row>
    <row r="7077" spans="1:5" x14ac:dyDescent="0.25">
      <c r="A7077" s="3">
        <f t="shared" si="331"/>
        <v>78989</v>
      </c>
      <c r="B7077" t="str">
        <f ca="1">TEXT(DATE(YEAR(Invoer!$A$5),1,1)+INT((ROWS(B$2:B7077)-1)/24),"""18""jjmmdd")</f>
        <v>18981022</v>
      </c>
      <c r="C7077" s="11" t="str">
        <f>INDEX(Data,2,2+MOD(ROWS(C$2:C7077)-1,24))</f>
        <v>20.00</v>
      </c>
      <c r="D7077" s="8">
        <f t="shared" ca="1" si="332"/>
        <v>5</v>
      </c>
      <c r="E7077" s="16">
        <f t="shared" ca="1" si="333"/>
        <v>0</v>
      </c>
    </row>
    <row r="7078" spans="1:5" x14ac:dyDescent="0.25">
      <c r="A7078" s="3">
        <f t="shared" si="331"/>
        <v>78989</v>
      </c>
      <c r="B7078" t="str">
        <f ca="1">TEXT(DATE(YEAR(Invoer!$A$5),1,1)+INT((ROWS(B$2:B7078)-1)/24),"""18""jjmmdd")</f>
        <v>18981022</v>
      </c>
      <c r="C7078" s="11" t="str">
        <f>INDEX(Data,2,2+MOD(ROWS(C$2:C7078)-1,24))</f>
        <v>21.00</v>
      </c>
      <c r="D7078" s="8">
        <f t="shared" ca="1" si="332"/>
        <v>6</v>
      </c>
      <c r="E7078" s="16">
        <f t="shared" ca="1" si="333"/>
        <v>0</v>
      </c>
    </row>
    <row r="7079" spans="1:5" x14ac:dyDescent="0.25">
      <c r="A7079" s="3">
        <f t="shared" si="331"/>
        <v>78989</v>
      </c>
      <c r="B7079" t="str">
        <f ca="1">TEXT(DATE(YEAR(Invoer!$A$5),1,1)+INT((ROWS(B$2:B7079)-1)/24),"""18""jjmmdd")</f>
        <v>18981022</v>
      </c>
      <c r="C7079" s="11" t="str">
        <f>INDEX(Data,2,2+MOD(ROWS(C$2:C7079)-1,24))</f>
        <v>22.00</v>
      </c>
      <c r="D7079" s="8">
        <f t="shared" ca="1" si="332"/>
        <v>4</v>
      </c>
      <c r="E7079" s="16">
        <f t="shared" ca="1" si="333"/>
        <v>0</v>
      </c>
    </row>
    <row r="7080" spans="1:5" x14ac:dyDescent="0.25">
      <c r="A7080" s="3">
        <f t="shared" si="331"/>
        <v>78989</v>
      </c>
      <c r="B7080" t="str">
        <f ca="1">TEXT(DATE(YEAR(Invoer!$A$5),1,1)+INT((ROWS(B$2:B7080)-1)/24),"""18""jjmmdd")</f>
        <v>18981022</v>
      </c>
      <c r="C7080" s="11" t="str">
        <f>INDEX(Data,2,2+MOD(ROWS(C$2:C7080)-1,24))</f>
        <v>23.00</v>
      </c>
      <c r="D7080" s="8">
        <f t="shared" ca="1" si="332"/>
        <v>4</v>
      </c>
      <c r="E7080" s="16">
        <f t="shared" ca="1" si="333"/>
        <v>0</v>
      </c>
    </row>
    <row r="7081" spans="1:5" x14ac:dyDescent="0.25">
      <c r="A7081" s="3">
        <f t="shared" si="331"/>
        <v>78989</v>
      </c>
      <c r="B7081" t="str">
        <f ca="1">TEXT(DATE(YEAR(Invoer!$A$5),1,1)+INT((ROWS(B$2:B7081)-1)/24),"""18""jjmmdd")</f>
        <v>18981022</v>
      </c>
      <c r="C7081" s="11" t="str">
        <f>INDEX(Data,2,2+MOD(ROWS(C$2:C7081)-1,24))</f>
        <v>24.00</v>
      </c>
      <c r="D7081" s="8">
        <f t="shared" ca="1" si="332"/>
        <v>3</v>
      </c>
      <c r="E7081" s="16">
        <f t="shared" ca="1" si="333"/>
        <v>0</v>
      </c>
    </row>
    <row r="7082" spans="1:5" x14ac:dyDescent="0.25">
      <c r="A7082" s="3">
        <f t="shared" si="331"/>
        <v>78989</v>
      </c>
      <c r="B7082" t="str">
        <f ca="1">TEXT(DATE(YEAR(Invoer!$A$5),1,1)+INT((ROWS(B$2:B7082)-1)/24),"""18""jjmmdd")</f>
        <v>18981023</v>
      </c>
      <c r="C7082" s="11" t="str">
        <f>INDEX(Data,2,2+MOD(ROWS(C$2:C7082)-1,24))</f>
        <v>01.00</v>
      </c>
      <c r="D7082" s="8">
        <f t="shared" ca="1" si="332"/>
        <v>4</v>
      </c>
      <c r="E7082" s="16">
        <f t="shared" ca="1" si="333"/>
        <v>0</v>
      </c>
    </row>
    <row r="7083" spans="1:5" x14ac:dyDescent="0.25">
      <c r="A7083" s="3">
        <f t="shared" si="331"/>
        <v>78989</v>
      </c>
      <c r="B7083" t="str">
        <f ca="1">TEXT(DATE(YEAR(Invoer!$A$5),1,1)+INT((ROWS(B$2:B7083)-1)/24),"""18""jjmmdd")</f>
        <v>18981023</v>
      </c>
      <c r="C7083" s="11" t="str">
        <f>INDEX(Data,2,2+MOD(ROWS(C$2:C7083)-1,24))</f>
        <v>02.00</v>
      </c>
      <c r="D7083" s="8">
        <f t="shared" ca="1" si="332"/>
        <v>4</v>
      </c>
      <c r="E7083" s="16">
        <f t="shared" ca="1" si="333"/>
        <v>0</v>
      </c>
    </row>
    <row r="7084" spans="1:5" x14ac:dyDescent="0.25">
      <c r="A7084" s="3">
        <f t="shared" si="331"/>
        <v>78989</v>
      </c>
      <c r="B7084" t="str">
        <f ca="1">TEXT(DATE(YEAR(Invoer!$A$5),1,1)+INT((ROWS(B$2:B7084)-1)/24),"""18""jjmmdd")</f>
        <v>18981023</v>
      </c>
      <c r="C7084" s="11" t="str">
        <f>INDEX(Data,2,2+MOD(ROWS(C$2:C7084)-1,24))</f>
        <v>03.00</v>
      </c>
      <c r="D7084" s="8">
        <f t="shared" ca="1" si="332"/>
        <v>2</v>
      </c>
      <c r="E7084" s="16">
        <f t="shared" ca="1" si="333"/>
        <v>0</v>
      </c>
    </row>
    <row r="7085" spans="1:5" x14ac:dyDescent="0.25">
      <c r="A7085" s="3">
        <f t="shared" si="331"/>
        <v>78989</v>
      </c>
      <c r="B7085" t="str">
        <f ca="1">TEXT(DATE(YEAR(Invoer!$A$5),1,1)+INT((ROWS(B$2:B7085)-1)/24),"""18""jjmmdd")</f>
        <v>18981023</v>
      </c>
      <c r="C7085" s="11" t="str">
        <f>INDEX(Data,2,2+MOD(ROWS(C$2:C7085)-1,24))</f>
        <v>04.00</v>
      </c>
      <c r="D7085" s="8">
        <f t="shared" ca="1" si="332"/>
        <v>5</v>
      </c>
      <c r="E7085" s="16">
        <f t="shared" ca="1" si="333"/>
        <v>0</v>
      </c>
    </row>
    <row r="7086" spans="1:5" x14ac:dyDescent="0.25">
      <c r="A7086" s="3">
        <f t="shared" si="331"/>
        <v>78989</v>
      </c>
      <c r="B7086" t="str">
        <f ca="1">TEXT(DATE(YEAR(Invoer!$A$5),1,1)+INT((ROWS(B$2:B7086)-1)/24),"""18""jjmmdd")</f>
        <v>18981023</v>
      </c>
      <c r="C7086" s="11" t="str">
        <f>INDEX(Data,2,2+MOD(ROWS(C$2:C7086)-1,24))</f>
        <v>05.00</v>
      </c>
      <c r="D7086" s="8">
        <f t="shared" ca="1" si="332"/>
        <v>3</v>
      </c>
      <c r="E7086" s="16">
        <f t="shared" ca="1" si="333"/>
        <v>0</v>
      </c>
    </row>
    <row r="7087" spans="1:5" x14ac:dyDescent="0.25">
      <c r="A7087" s="3">
        <f t="shared" si="331"/>
        <v>78989</v>
      </c>
      <c r="B7087" t="str">
        <f ca="1">TEXT(DATE(YEAR(Invoer!$A$5),1,1)+INT((ROWS(B$2:B7087)-1)/24),"""18""jjmmdd")</f>
        <v>18981023</v>
      </c>
      <c r="C7087" s="11" t="str">
        <f>INDEX(Data,2,2+MOD(ROWS(C$2:C7087)-1,24))</f>
        <v>06.00</v>
      </c>
      <c r="D7087" s="8">
        <f t="shared" ca="1" si="332"/>
        <v>4</v>
      </c>
      <c r="E7087" s="16">
        <f t="shared" ca="1" si="333"/>
        <v>0</v>
      </c>
    </row>
    <row r="7088" spans="1:5" x14ac:dyDescent="0.25">
      <c r="A7088" s="3">
        <f t="shared" si="331"/>
        <v>78989</v>
      </c>
      <c r="B7088" t="str">
        <f ca="1">TEXT(DATE(YEAR(Invoer!$A$5),1,1)+INT((ROWS(B$2:B7088)-1)/24),"""18""jjmmdd")</f>
        <v>18981023</v>
      </c>
      <c r="C7088" s="11" t="str">
        <f>INDEX(Data,2,2+MOD(ROWS(C$2:C7088)-1,24))</f>
        <v>07.00</v>
      </c>
      <c r="D7088" s="8">
        <f t="shared" ca="1" si="332"/>
        <v>3</v>
      </c>
      <c r="E7088" s="16">
        <f t="shared" ca="1" si="333"/>
        <v>0</v>
      </c>
    </row>
    <row r="7089" spans="1:5" x14ac:dyDescent="0.25">
      <c r="A7089" s="3">
        <f t="shared" si="331"/>
        <v>78989</v>
      </c>
      <c r="B7089" t="str">
        <f ca="1">TEXT(DATE(YEAR(Invoer!$A$5),1,1)+INT((ROWS(B$2:B7089)-1)/24),"""18""jjmmdd")</f>
        <v>18981023</v>
      </c>
      <c r="C7089" s="11" t="str">
        <f>INDEX(Data,2,2+MOD(ROWS(C$2:C7089)-1,24))</f>
        <v>08.00</v>
      </c>
      <c r="D7089" s="8">
        <f t="shared" ca="1" si="332"/>
        <v>3</v>
      </c>
      <c r="E7089" s="16">
        <f t="shared" ca="1" si="333"/>
        <v>0</v>
      </c>
    </row>
    <row r="7090" spans="1:5" x14ac:dyDescent="0.25">
      <c r="A7090" s="3">
        <f t="shared" si="331"/>
        <v>78989</v>
      </c>
      <c r="B7090" t="str">
        <f ca="1">TEXT(DATE(YEAR(Invoer!$A$5),1,1)+INT((ROWS(B$2:B7090)-1)/24),"""18""jjmmdd")</f>
        <v>18981023</v>
      </c>
      <c r="C7090" s="11" t="str">
        <f>INDEX(Data,2,2+MOD(ROWS(C$2:C7090)-1,24))</f>
        <v>09.00</v>
      </c>
      <c r="D7090" s="8">
        <f t="shared" ca="1" si="332"/>
        <v>2</v>
      </c>
      <c r="E7090" s="16">
        <f t="shared" ca="1" si="333"/>
        <v>0</v>
      </c>
    </row>
    <row r="7091" spans="1:5" x14ac:dyDescent="0.25">
      <c r="A7091" s="3">
        <f t="shared" si="331"/>
        <v>78989</v>
      </c>
      <c r="B7091" t="str">
        <f ca="1">TEXT(DATE(YEAR(Invoer!$A$5),1,1)+INT((ROWS(B$2:B7091)-1)/24),"""18""jjmmdd")</f>
        <v>18981023</v>
      </c>
      <c r="C7091" s="11" t="str">
        <f>INDEX(Data,2,2+MOD(ROWS(C$2:C7091)-1,24))</f>
        <v>10.00</v>
      </c>
      <c r="D7091" s="8">
        <f t="shared" ca="1" si="332"/>
        <v>8</v>
      </c>
      <c r="E7091" s="16">
        <f t="shared" ca="1" si="333"/>
        <v>0</v>
      </c>
    </row>
    <row r="7092" spans="1:5" x14ac:dyDescent="0.25">
      <c r="A7092" s="3">
        <f t="shared" si="331"/>
        <v>78989</v>
      </c>
      <c r="B7092" t="str">
        <f ca="1">TEXT(DATE(YEAR(Invoer!$A$5),1,1)+INT((ROWS(B$2:B7092)-1)/24),"""18""jjmmdd")</f>
        <v>18981023</v>
      </c>
      <c r="C7092" s="11" t="str">
        <f>INDEX(Data,2,2+MOD(ROWS(C$2:C7092)-1,24))</f>
        <v>11.00</v>
      </c>
      <c r="D7092" s="8">
        <f t="shared" ca="1" si="332"/>
        <v>7</v>
      </c>
      <c r="E7092" s="16">
        <f t="shared" ca="1" si="333"/>
        <v>0</v>
      </c>
    </row>
    <row r="7093" spans="1:5" x14ac:dyDescent="0.25">
      <c r="A7093" s="3">
        <f t="shared" si="331"/>
        <v>78989</v>
      </c>
      <c r="B7093" t="str">
        <f ca="1">TEXT(DATE(YEAR(Invoer!$A$5),1,1)+INT((ROWS(B$2:B7093)-1)/24),"""18""jjmmdd")</f>
        <v>18981023</v>
      </c>
      <c r="C7093" s="11" t="str">
        <f>INDEX(Data,2,2+MOD(ROWS(C$2:C7093)-1,24))</f>
        <v>12.00</v>
      </c>
      <c r="D7093" s="8">
        <f t="shared" ca="1" si="332"/>
        <v>8</v>
      </c>
      <c r="E7093" s="16">
        <f t="shared" ca="1" si="333"/>
        <v>0</v>
      </c>
    </row>
    <row r="7094" spans="1:5" x14ac:dyDescent="0.25">
      <c r="A7094" s="3">
        <f t="shared" si="331"/>
        <v>78989</v>
      </c>
      <c r="B7094" t="str">
        <f ca="1">TEXT(DATE(YEAR(Invoer!$A$5),1,1)+INT((ROWS(B$2:B7094)-1)/24),"""18""jjmmdd")</f>
        <v>18981023</v>
      </c>
      <c r="C7094" s="11" t="str">
        <f>INDEX(Data,2,2+MOD(ROWS(C$2:C7094)-1,24))</f>
        <v>13.00</v>
      </c>
      <c r="D7094" s="8">
        <f t="shared" ca="1" si="332"/>
        <v>7</v>
      </c>
      <c r="E7094" s="16">
        <f t="shared" ca="1" si="333"/>
        <v>0</v>
      </c>
    </row>
    <row r="7095" spans="1:5" x14ac:dyDescent="0.25">
      <c r="A7095" s="3">
        <f t="shared" si="331"/>
        <v>78989</v>
      </c>
      <c r="B7095" t="str">
        <f ca="1">TEXT(DATE(YEAR(Invoer!$A$5),1,1)+INT((ROWS(B$2:B7095)-1)/24),"""18""jjmmdd")</f>
        <v>18981023</v>
      </c>
      <c r="C7095" s="11" t="str">
        <f>INDEX(Data,2,2+MOD(ROWS(C$2:C7095)-1,24))</f>
        <v>14.00</v>
      </c>
      <c r="D7095" s="8">
        <f t="shared" ca="1" si="332"/>
        <v>11</v>
      </c>
      <c r="E7095" s="16">
        <f t="shared" ca="1" si="333"/>
        <v>0</v>
      </c>
    </row>
    <row r="7096" spans="1:5" x14ac:dyDescent="0.25">
      <c r="A7096" s="3">
        <f t="shared" si="331"/>
        <v>78989</v>
      </c>
      <c r="B7096" t="str">
        <f ca="1">TEXT(DATE(YEAR(Invoer!$A$5),1,1)+INT((ROWS(B$2:B7096)-1)/24),"""18""jjmmdd")</f>
        <v>18981023</v>
      </c>
      <c r="C7096" s="11" t="str">
        <f>INDEX(Data,2,2+MOD(ROWS(C$2:C7096)-1,24))</f>
        <v>15.00</v>
      </c>
      <c r="D7096" s="8">
        <f t="shared" ca="1" si="332"/>
        <v>8</v>
      </c>
      <c r="E7096" s="16">
        <f t="shared" ca="1" si="333"/>
        <v>0</v>
      </c>
    </row>
    <row r="7097" spans="1:5" x14ac:dyDescent="0.25">
      <c r="A7097" s="3">
        <f t="shared" si="331"/>
        <v>78989</v>
      </c>
      <c r="B7097" t="str">
        <f ca="1">TEXT(DATE(YEAR(Invoer!$A$5),1,1)+INT((ROWS(B$2:B7097)-1)/24),"""18""jjmmdd")</f>
        <v>18981023</v>
      </c>
      <c r="C7097" s="11" t="str">
        <f>INDEX(Data,2,2+MOD(ROWS(C$2:C7097)-1,24))</f>
        <v>16.00</v>
      </c>
      <c r="D7097" s="8">
        <f t="shared" ca="1" si="332"/>
        <v>7</v>
      </c>
      <c r="E7097" s="16">
        <f t="shared" ca="1" si="333"/>
        <v>0</v>
      </c>
    </row>
    <row r="7098" spans="1:5" x14ac:dyDescent="0.25">
      <c r="A7098" s="3">
        <f t="shared" si="331"/>
        <v>78989</v>
      </c>
      <c r="B7098" t="str">
        <f ca="1">TEXT(DATE(YEAR(Invoer!$A$5),1,1)+INT((ROWS(B$2:B7098)-1)/24),"""18""jjmmdd")</f>
        <v>18981023</v>
      </c>
      <c r="C7098" s="11" t="str">
        <f>INDEX(Data,2,2+MOD(ROWS(C$2:C7098)-1,24))</f>
        <v>17.00</v>
      </c>
      <c r="D7098" s="8">
        <f t="shared" ca="1" si="332"/>
        <v>6</v>
      </c>
      <c r="E7098" s="16">
        <f t="shared" ca="1" si="333"/>
        <v>0</v>
      </c>
    </row>
    <row r="7099" spans="1:5" x14ac:dyDescent="0.25">
      <c r="A7099" s="3">
        <f t="shared" si="331"/>
        <v>78989</v>
      </c>
      <c r="B7099" t="str">
        <f ca="1">TEXT(DATE(YEAR(Invoer!$A$5),1,1)+INT((ROWS(B$2:B7099)-1)/24),"""18""jjmmdd")</f>
        <v>18981023</v>
      </c>
      <c r="C7099" s="11" t="str">
        <f>INDEX(Data,2,2+MOD(ROWS(C$2:C7099)-1,24))</f>
        <v>18.00</v>
      </c>
      <c r="D7099" s="8">
        <f t="shared" ca="1" si="332"/>
        <v>5</v>
      </c>
      <c r="E7099" s="16">
        <f t="shared" ca="1" si="333"/>
        <v>0</v>
      </c>
    </row>
    <row r="7100" spans="1:5" x14ac:dyDescent="0.25">
      <c r="A7100" s="3">
        <f t="shared" si="331"/>
        <v>78989</v>
      </c>
      <c r="B7100" t="str">
        <f ca="1">TEXT(DATE(YEAR(Invoer!$A$5),1,1)+INT((ROWS(B$2:B7100)-1)/24),"""18""jjmmdd")</f>
        <v>18981023</v>
      </c>
      <c r="C7100" s="11" t="str">
        <f>INDEX(Data,2,2+MOD(ROWS(C$2:C7100)-1,24))</f>
        <v>19.00</v>
      </c>
      <c r="D7100" s="8">
        <f t="shared" ca="1" si="332"/>
        <v>4</v>
      </c>
      <c r="E7100" s="16">
        <f t="shared" ca="1" si="333"/>
        <v>0</v>
      </c>
    </row>
    <row r="7101" spans="1:5" x14ac:dyDescent="0.25">
      <c r="A7101" s="3">
        <f t="shared" si="331"/>
        <v>78989</v>
      </c>
      <c r="B7101" t="str">
        <f ca="1">TEXT(DATE(YEAR(Invoer!$A$5),1,1)+INT((ROWS(B$2:B7101)-1)/24),"""18""jjmmdd")</f>
        <v>18981023</v>
      </c>
      <c r="C7101" s="11" t="str">
        <f>INDEX(Data,2,2+MOD(ROWS(C$2:C7101)-1,24))</f>
        <v>20.00</v>
      </c>
      <c r="D7101" s="8">
        <f t="shared" ca="1" si="332"/>
        <v>4</v>
      </c>
      <c r="E7101" s="16">
        <f t="shared" ca="1" si="333"/>
        <v>0</v>
      </c>
    </row>
    <row r="7102" spans="1:5" x14ac:dyDescent="0.25">
      <c r="A7102" s="3">
        <f t="shared" si="331"/>
        <v>78989</v>
      </c>
      <c r="B7102" t="str">
        <f ca="1">TEXT(DATE(YEAR(Invoer!$A$5),1,1)+INT((ROWS(B$2:B7102)-1)/24),"""18""jjmmdd")</f>
        <v>18981023</v>
      </c>
      <c r="C7102" s="11" t="str">
        <f>INDEX(Data,2,2+MOD(ROWS(C$2:C7102)-1,24))</f>
        <v>21.00</v>
      </c>
      <c r="D7102" s="8">
        <f t="shared" ca="1" si="332"/>
        <v>6</v>
      </c>
      <c r="E7102" s="16">
        <f t="shared" ca="1" si="333"/>
        <v>0</v>
      </c>
    </row>
    <row r="7103" spans="1:5" x14ac:dyDescent="0.25">
      <c r="A7103" s="3">
        <f t="shared" si="331"/>
        <v>78989</v>
      </c>
      <c r="B7103" t="str">
        <f ca="1">TEXT(DATE(YEAR(Invoer!$A$5),1,1)+INT((ROWS(B$2:B7103)-1)/24),"""18""jjmmdd")</f>
        <v>18981023</v>
      </c>
      <c r="C7103" s="11" t="str">
        <f>INDEX(Data,2,2+MOD(ROWS(C$2:C7103)-1,24))</f>
        <v>22.00</v>
      </c>
      <c r="D7103" s="8">
        <f t="shared" ca="1" si="332"/>
        <v>4</v>
      </c>
      <c r="E7103" s="16">
        <f t="shared" ca="1" si="333"/>
        <v>0</v>
      </c>
    </row>
    <row r="7104" spans="1:5" x14ac:dyDescent="0.25">
      <c r="A7104" s="3">
        <f t="shared" si="331"/>
        <v>78989</v>
      </c>
      <c r="B7104" t="str">
        <f ca="1">TEXT(DATE(YEAR(Invoer!$A$5),1,1)+INT((ROWS(B$2:B7104)-1)/24),"""18""jjmmdd")</f>
        <v>18981023</v>
      </c>
      <c r="C7104" s="11" t="str">
        <f>INDEX(Data,2,2+MOD(ROWS(C$2:C7104)-1,24))</f>
        <v>23.00</v>
      </c>
      <c r="D7104" s="8">
        <f t="shared" ca="1" si="332"/>
        <v>5</v>
      </c>
      <c r="E7104" s="16">
        <f t="shared" ca="1" si="333"/>
        <v>0</v>
      </c>
    </row>
    <row r="7105" spans="1:5" x14ac:dyDescent="0.25">
      <c r="A7105" s="3">
        <f t="shared" si="331"/>
        <v>78989</v>
      </c>
      <c r="B7105" t="str">
        <f ca="1">TEXT(DATE(YEAR(Invoer!$A$5),1,1)+INT((ROWS(B$2:B7105)-1)/24),"""18""jjmmdd")</f>
        <v>18981023</v>
      </c>
      <c r="C7105" s="11" t="str">
        <f>INDEX(Data,2,2+MOD(ROWS(C$2:C7105)-1,24))</f>
        <v>24.00</v>
      </c>
      <c r="D7105" s="8">
        <f t="shared" ca="1" si="332"/>
        <v>7</v>
      </c>
      <c r="E7105" s="16">
        <f t="shared" ca="1" si="333"/>
        <v>0</v>
      </c>
    </row>
    <row r="7106" spans="1:5" x14ac:dyDescent="0.25">
      <c r="A7106" s="3">
        <f t="shared" ref="A7106:A7169" si="334">INDEX(Stations,2,1)</f>
        <v>78989</v>
      </c>
      <c r="B7106" t="str">
        <f ca="1">TEXT(DATE(YEAR(Invoer!$A$5),1,1)+INT((ROWS(B$2:B7106)-1)/24),"""18""jjmmdd")</f>
        <v>18981024</v>
      </c>
      <c r="C7106" s="11" t="str">
        <f>INDEX(Data,2,2+MOD(ROWS(C$2:C7106)-1,24))</f>
        <v>01.00</v>
      </c>
      <c r="D7106" s="8">
        <f t="shared" ref="D7106:D7169" ca="1" si="335">IF(OR(ISBLANK(VLOOKUP(DATEVALUE("37"&amp;MID($B7106,3,2)&amp;"-"&amp;MID($B7106,5,2)&amp;"-"&amp;RIGHT($B7106,2)),Data,MATCH(LEFT(VLOOKUP(D$1,Parameters,2,FALSE()),4)&amp;"*",OFFSET(Data,0,0,1),0)+MATCH($C7106,OFFSET(Data,1,0,1),0)-2,FALSE())),ISTEXT(VLOOKUP(DATEVALUE("37"&amp;MID($B7106,3,2)&amp;"-"&amp;MID($B7106,5,2)&amp;"-"&amp;RIGHT($B7106,2)),Data,MATCH(LEFT(VLOOKUP(D$1,Parameters,2,FALSE()),4)&amp;"*",OFFSET(Data,0,0,1),0)+MATCH($C7106,OFFSET(Data,1,0,1),0)-2,FALSE()))),"—",VLOOKUP(DATEVALUE("37"&amp;MID($B7106,3,2)&amp;"-"&amp;MID($B7106,5,2)&amp;"-"&amp;RIGHT($B7106,2)),Data,MATCH(LEFT(VLOOKUP(D$1,Parameters,2,FALSE()),4)&amp;"*",OFFSET(Data,0,0,1),0)+MATCH($C7106,OFFSET(Data,1,0,1),0)-2,FALSE()))</f>
        <v>6</v>
      </c>
      <c r="E7106" s="16">
        <f t="shared" ca="1" si="333"/>
        <v>0</v>
      </c>
    </row>
    <row r="7107" spans="1:5" x14ac:dyDescent="0.25">
      <c r="A7107" s="3">
        <f t="shared" si="334"/>
        <v>78989</v>
      </c>
      <c r="B7107" t="str">
        <f ca="1">TEXT(DATE(YEAR(Invoer!$A$5),1,1)+INT((ROWS(B$2:B7107)-1)/24),"""18""jjmmdd")</f>
        <v>18981024</v>
      </c>
      <c r="C7107" s="11" t="str">
        <f>INDEX(Data,2,2+MOD(ROWS(C$2:C7107)-1,24))</f>
        <v>02.00</v>
      </c>
      <c r="D7107" s="8">
        <f t="shared" ca="1" si="335"/>
        <v>5</v>
      </c>
      <c r="E7107" s="16">
        <f t="shared" ref="E7107:E7170" ca="1" si="336">IF(OR(ISBLANK(VLOOKUP(DATEVALUE("37"&amp;MID($B7107,3,2)&amp;"-"&amp;MID($B7107,5,2)&amp;"-"&amp;RIGHT($B7107,2)),Data,MATCH(LEFT(VLOOKUP(D$1,Parameters,2,FALSE()),4)&amp;"*",OFFSET(Data,0,0,1),0)+MATCH($C7107,OFFSET(Data,1,0,1),0)-2,FALSE())),ISTEXT(VLOOKUP(DATEVALUE("37"&amp;MID($B7107,3,2)&amp;"-"&amp;MID($B7107,5,2)&amp;"-"&amp;RIGHT($B7107,2)),Data,MATCH(LEFT(VLOOKUP(D$1,Parameters,2,FALSE()),4)&amp;"*",OFFSET(Data,0,0,1),0)+MATCH($C7107,OFFSET(Data,1,0,1),0)-2,FALSE()))),Lacking,IF(ISNA(MATCH(DATEVALUE("37"&amp;MID($B7107,3,2)&amp;"-"&amp;MID($B7107,5,2)&amp;"-"&amp;RIGHT($B7107,2)),OFFSET(Catalogus,0,0,,1),0)),Ok,VLOOKUP(DATEVALUE("37"&amp;MID($B7107,3,2)&amp;"-"&amp;MID($B7107,5,2)&amp;"-"&amp;RIGHT($B7107,2)),Catalogus,MATCH(LEFT(VLOOKUP(MID(E$1,2,LEN(E$1)-1),Parameters,2,FALSE()),4)&amp;"*",OFFSET(Catalogus,0,0,1),0)+MATCH($C7107,OFFSET(Catalogus,1,0,1),0)-2,FALSE())))</f>
        <v>0</v>
      </c>
    </row>
    <row r="7108" spans="1:5" x14ac:dyDescent="0.25">
      <c r="A7108" s="3">
        <f t="shared" si="334"/>
        <v>78989</v>
      </c>
      <c r="B7108" t="str">
        <f ca="1">TEXT(DATE(YEAR(Invoer!$A$5),1,1)+INT((ROWS(B$2:B7108)-1)/24),"""18""jjmmdd")</f>
        <v>18981024</v>
      </c>
      <c r="C7108" s="11" t="str">
        <f>INDEX(Data,2,2+MOD(ROWS(C$2:C7108)-1,24))</f>
        <v>03.00</v>
      </c>
      <c r="D7108" s="8">
        <f t="shared" ca="1" si="335"/>
        <v>5</v>
      </c>
      <c r="E7108" s="16">
        <f t="shared" ca="1" si="336"/>
        <v>0</v>
      </c>
    </row>
    <row r="7109" spans="1:5" x14ac:dyDescent="0.25">
      <c r="A7109" s="3">
        <f t="shared" si="334"/>
        <v>78989</v>
      </c>
      <c r="B7109" t="str">
        <f ca="1">TEXT(DATE(YEAR(Invoer!$A$5),1,1)+INT((ROWS(B$2:B7109)-1)/24),"""18""jjmmdd")</f>
        <v>18981024</v>
      </c>
      <c r="C7109" s="11" t="str">
        <f>INDEX(Data,2,2+MOD(ROWS(C$2:C7109)-1,24))</f>
        <v>04.00</v>
      </c>
      <c r="D7109" s="8">
        <f t="shared" ca="1" si="335"/>
        <v>7</v>
      </c>
      <c r="E7109" s="16">
        <f t="shared" ca="1" si="336"/>
        <v>0</v>
      </c>
    </row>
    <row r="7110" spans="1:5" x14ac:dyDescent="0.25">
      <c r="A7110" s="3">
        <f t="shared" si="334"/>
        <v>78989</v>
      </c>
      <c r="B7110" t="str">
        <f ca="1">TEXT(DATE(YEAR(Invoer!$A$5),1,1)+INT((ROWS(B$2:B7110)-1)/24),"""18""jjmmdd")</f>
        <v>18981024</v>
      </c>
      <c r="C7110" s="11" t="str">
        <f>INDEX(Data,2,2+MOD(ROWS(C$2:C7110)-1,24))</f>
        <v>05.00</v>
      </c>
      <c r="D7110" s="8">
        <f t="shared" ca="1" si="335"/>
        <v>6</v>
      </c>
      <c r="E7110" s="16">
        <f t="shared" ca="1" si="336"/>
        <v>0</v>
      </c>
    </row>
    <row r="7111" spans="1:5" x14ac:dyDescent="0.25">
      <c r="A7111" s="3">
        <f t="shared" si="334"/>
        <v>78989</v>
      </c>
      <c r="B7111" t="str">
        <f ca="1">TEXT(DATE(YEAR(Invoer!$A$5),1,1)+INT((ROWS(B$2:B7111)-1)/24),"""18""jjmmdd")</f>
        <v>18981024</v>
      </c>
      <c r="C7111" s="11" t="str">
        <f>INDEX(Data,2,2+MOD(ROWS(C$2:C7111)-1,24))</f>
        <v>06.00</v>
      </c>
      <c r="D7111" s="8">
        <f t="shared" ca="1" si="335"/>
        <v>8</v>
      </c>
      <c r="E7111" s="16">
        <f t="shared" ca="1" si="336"/>
        <v>0</v>
      </c>
    </row>
    <row r="7112" spans="1:5" x14ac:dyDescent="0.25">
      <c r="A7112" s="3">
        <f t="shared" si="334"/>
        <v>78989</v>
      </c>
      <c r="B7112" t="str">
        <f ca="1">TEXT(DATE(YEAR(Invoer!$A$5),1,1)+INT((ROWS(B$2:B7112)-1)/24),"""18""jjmmdd")</f>
        <v>18981024</v>
      </c>
      <c r="C7112" s="11" t="str">
        <f>INDEX(Data,2,2+MOD(ROWS(C$2:C7112)-1,24))</f>
        <v>07.00</v>
      </c>
      <c r="D7112" s="8">
        <f t="shared" ca="1" si="335"/>
        <v>8</v>
      </c>
      <c r="E7112" s="16">
        <f t="shared" ca="1" si="336"/>
        <v>0</v>
      </c>
    </row>
    <row r="7113" spans="1:5" x14ac:dyDescent="0.25">
      <c r="A7113" s="3">
        <f t="shared" si="334"/>
        <v>78989</v>
      </c>
      <c r="B7113" t="str">
        <f ca="1">TEXT(DATE(YEAR(Invoer!$A$5),1,1)+INT((ROWS(B$2:B7113)-1)/24),"""18""jjmmdd")</f>
        <v>18981024</v>
      </c>
      <c r="C7113" s="11" t="str">
        <f>INDEX(Data,2,2+MOD(ROWS(C$2:C7113)-1,24))</f>
        <v>08.00</v>
      </c>
      <c r="D7113" s="8">
        <f t="shared" ca="1" si="335"/>
        <v>12</v>
      </c>
      <c r="E7113" s="16">
        <f t="shared" ca="1" si="336"/>
        <v>0</v>
      </c>
    </row>
    <row r="7114" spans="1:5" x14ac:dyDescent="0.25">
      <c r="A7114" s="3">
        <f t="shared" si="334"/>
        <v>78989</v>
      </c>
      <c r="B7114" t="str">
        <f ca="1">TEXT(DATE(YEAR(Invoer!$A$5),1,1)+INT((ROWS(B$2:B7114)-1)/24),"""18""jjmmdd")</f>
        <v>18981024</v>
      </c>
      <c r="C7114" s="11" t="str">
        <f>INDEX(Data,2,2+MOD(ROWS(C$2:C7114)-1,24))</f>
        <v>09.00</v>
      </c>
      <c r="D7114" s="8">
        <f t="shared" ca="1" si="335"/>
        <v>11</v>
      </c>
      <c r="E7114" s="16">
        <f t="shared" ca="1" si="336"/>
        <v>0</v>
      </c>
    </row>
    <row r="7115" spans="1:5" x14ac:dyDescent="0.25">
      <c r="A7115" s="3">
        <f t="shared" si="334"/>
        <v>78989</v>
      </c>
      <c r="B7115" t="str">
        <f ca="1">TEXT(DATE(YEAR(Invoer!$A$5),1,1)+INT((ROWS(B$2:B7115)-1)/24),"""18""jjmmdd")</f>
        <v>18981024</v>
      </c>
      <c r="C7115" s="11" t="str">
        <f>INDEX(Data,2,2+MOD(ROWS(C$2:C7115)-1,24))</f>
        <v>10.00</v>
      </c>
      <c r="D7115" s="8">
        <f t="shared" ca="1" si="335"/>
        <v>15</v>
      </c>
      <c r="E7115" s="16">
        <f t="shared" ca="1" si="336"/>
        <v>0</v>
      </c>
    </row>
    <row r="7116" spans="1:5" x14ac:dyDescent="0.25">
      <c r="A7116" s="3">
        <f t="shared" si="334"/>
        <v>78989</v>
      </c>
      <c r="B7116" t="str">
        <f ca="1">TEXT(DATE(YEAR(Invoer!$A$5),1,1)+INT((ROWS(B$2:B7116)-1)/24),"""18""jjmmdd")</f>
        <v>18981024</v>
      </c>
      <c r="C7116" s="11" t="str">
        <f>INDEX(Data,2,2+MOD(ROWS(C$2:C7116)-1,24))</f>
        <v>11.00</v>
      </c>
      <c r="D7116" s="8">
        <f t="shared" ca="1" si="335"/>
        <v>14</v>
      </c>
      <c r="E7116" s="16">
        <f t="shared" ca="1" si="336"/>
        <v>0</v>
      </c>
    </row>
    <row r="7117" spans="1:5" x14ac:dyDescent="0.25">
      <c r="A7117" s="3">
        <f t="shared" si="334"/>
        <v>78989</v>
      </c>
      <c r="B7117" t="str">
        <f ca="1">TEXT(DATE(YEAR(Invoer!$A$5),1,1)+INT((ROWS(B$2:B7117)-1)/24),"""18""jjmmdd")</f>
        <v>18981024</v>
      </c>
      <c r="C7117" s="11" t="str">
        <f>INDEX(Data,2,2+MOD(ROWS(C$2:C7117)-1,24))</f>
        <v>12.00</v>
      </c>
      <c r="D7117" s="8">
        <f t="shared" ca="1" si="335"/>
        <v>14</v>
      </c>
      <c r="E7117" s="16">
        <f t="shared" ca="1" si="336"/>
        <v>0</v>
      </c>
    </row>
    <row r="7118" spans="1:5" x14ac:dyDescent="0.25">
      <c r="A7118" s="3">
        <f t="shared" si="334"/>
        <v>78989</v>
      </c>
      <c r="B7118" t="str">
        <f ca="1">TEXT(DATE(YEAR(Invoer!$A$5),1,1)+INT((ROWS(B$2:B7118)-1)/24),"""18""jjmmdd")</f>
        <v>18981024</v>
      </c>
      <c r="C7118" s="11" t="str">
        <f>INDEX(Data,2,2+MOD(ROWS(C$2:C7118)-1,24))</f>
        <v>13.00</v>
      </c>
      <c r="D7118" s="8">
        <f t="shared" ca="1" si="335"/>
        <v>12</v>
      </c>
      <c r="E7118" s="16">
        <f t="shared" ca="1" si="336"/>
        <v>0</v>
      </c>
    </row>
    <row r="7119" spans="1:5" x14ac:dyDescent="0.25">
      <c r="A7119" s="3">
        <f t="shared" si="334"/>
        <v>78989</v>
      </c>
      <c r="B7119" t="str">
        <f ca="1">TEXT(DATE(YEAR(Invoer!$A$5),1,1)+INT((ROWS(B$2:B7119)-1)/24),"""18""jjmmdd")</f>
        <v>18981024</v>
      </c>
      <c r="C7119" s="11" t="str">
        <f>INDEX(Data,2,2+MOD(ROWS(C$2:C7119)-1,24))</f>
        <v>14.00</v>
      </c>
      <c r="D7119" s="8">
        <f t="shared" ca="1" si="335"/>
        <v>14</v>
      </c>
      <c r="E7119" s="16">
        <f t="shared" ca="1" si="336"/>
        <v>0</v>
      </c>
    </row>
    <row r="7120" spans="1:5" x14ac:dyDescent="0.25">
      <c r="A7120" s="3">
        <f t="shared" si="334"/>
        <v>78989</v>
      </c>
      <c r="B7120" t="str">
        <f ca="1">TEXT(DATE(YEAR(Invoer!$A$5),1,1)+INT((ROWS(B$2:B7120)-1)/24),"""18""jjmmdd")</f>
        <v>18981024</v>
      </c>
      <c r="C7120" s="11" t="str">
        <f>INDEX(Data,2,2+MOD(ROWS(C$2:C7120)-1,24))</f>
        <v>15.00</v>
      </c>
      <c r="D7120" s="8">
        <f t="shared" ca="1" si="335"/>
        <v>13</v>
      </c>
      <c r="E7120" s="16">
        <f t="shared" ca="1" si="336"/>
        <v>0</v>
      </c>
    </row>
    <row r="7121" spans="1:5" x14ac:dyDescent="0.25">
      <c r="A7121" s="3">
        <f t="shared" si="334"/>
        <v>78989</v>
      </c>
      <c r="B7121" t="str">
        <f ca="1">TEXT(DATE(YEAR(Invoer!$A$5),1,1)+INT((ROWS(B$2:B7121)-1)/24),"""18""jjmmdd")</f>
        <v>18981024</v>
      </c>
      <c r="C7121" s="11" t="str">
        <f>INDEX(Data,2,2+MOD(ROWS(C$2:C7121)-1,24))</f>
        <v>16.00</v>
      </c>
      <c r="D7121" s="8">
        <f t="shared" ca="1" si="335"/>
        <v>12</v>
      </c>
      <c r="E7121" s="16">
        <f t="shared" ca="1" si="336"/>
        <v>0</v>
      </c>
    </row>
    <row r="7122" spans="1:5" x14ac:dyDescent="0.25">
      <c r="A7122" s="3">
        <f t="shared" si="334"/>
        <v>78989</v>
      </c>
      <c r="B7122" t="str">
        <f ca="1">TEXT(DATE(YEAR(Invoer!$A$5),1,1)+INT((ROWS(B$2:B7122)-1)/24),"""18""jjmmdd")</f>
        <v>18981024</v>
      </c>
      <c r="C7122" s="11" t="str">
        <f>INDEX(Data,2,2+MOD(ROWS(C$2:C7122)-1,24))</f>
        <v>17.00</v>
      </c>
      <c r="D7122" s="8">
        <f t="shared" ca="1" si="335"/>
        <v>10</v>
      </c>
      <c r="E7122" s="16">
        <f t="shared" ca="1" si="336"/>
        <v>0</v>
      </c>
    </row>
    <row r="7123" spans="1:5" x14ac:dyDescent="0.25">
      <c r="A7123" s="3">
        <f t="shared" si="334"/>
        <v>78989</v>
      </c>
      <c r="B7123" t="str">
        <f ca="1">TEXT(DATE(YEAR(Invoer!$A$5),1,1)+INT((ROWS(B$2:B7123)-1)/24),"""18""jjmmdd")</f>
        <v>18981024</v>
      </c>
      <c r="C7123" s="11" t="str">
        <f>INDEX(Data,2,2+MOD(ROWS(C$2:C7123)-1,24))</f>
        <v>18.00</v>
      </c>
      <c r="D7123" s="8">
        <f t="shared" ca="1" si="335"/>
        <v>9</v>
      </c>
      <c r="E7123" s="16">
        <f t="shared" ca="1" si="336"/>
        <v>0</v>
      </c>
    </row>
    <row r="7124" spans="1:5" x14ac:dyDescent="0.25">
      <c r="A7124" s="3">
        <f t="shared" si="334"/>
        <v>78989</v>
      </c>
      <c r="B7124" t="str">
        <f ca="1">TEXT(DATE(YEAR(Invoer!$A$5),1,1)+INT((ROWS(B$2:B7124)-1)/24),"""18""jjmmdd")</f>
        <v>18981024</v>
      </c>
      <c r="C7124" s="11" t="str">
        <f>INDEX(Data,2,2+MOD(ROWS(C$2:C7124)-1,24))</f>
        <v>19.00</v>
      </c>
      <c r="D7124" s="8">
        <f t="shared" ca="1" si="335"/>
        <v>9</v>
      </c>
      <c r="E7124" s="16">
        <f t="shared" ca="1" si="336"/>
        <v>0</v>
      </c>
    </row>
    <row r="7125" spans="1:5" x14ac:dyDescent="0.25">
      <c r="A7125" s="3">
        <f t="shared" si="334"/>
        <v>78989</v>
      </c>
      <c r="B7125" t="str">
        <f ca="1">TEXT(DATE(YEAR(Invoer!$A$5),1,1)+INT((ROWS(B$2:B7125)-1)/24),"""18""jjmmdd")</f>
        <v>18981024</v>
      </c>
      <c r="C7125" s="11" t="str">
        <f>INDEX(Data,2,2+MOD(ROWS(C$2:C7125)-1,24))</f>
        <v>20.00</v>
      </c>
      <c r="D7125" s="8">
        <f t="shared" ca="1" si="335"/>
        <v>8</v>
      </c>
      <c r="E7125" s="16">
        <f t="shared" ca="1" si="336"/>
        <v>0</v>
      </c>
    </row>
    <row r="7126" spans="1:5" x14ac:dyDescent="0.25">
      <c r="A7126" s="3">
        <f t="shared" si="334"/>
        <v>78989</v>
      </c>
      <c r="B7126" t="str">
        <f ca="1">TEXT(DATE(YEAR(Invoer!$A$5),1,1)+INT((ROWS(B$2:B7126)-1)/24),"""18""jjmmdd")</f>
        <v>18981024</v>
      </c>
      <c r="C7126" s="11" t="str">
        <f>INDEX(Data,2,2+MOD(ROWS(C$2:C7126)-1,24))</f>
        <v>21.00</v>
      </c>
      <c r="D7126" s="8">
        <f t="shared" ca="1" si="335"/>
        <v>7</v>
      </c>
      <c r="E7126" s="16">
        <f t="shared" ca="1" si="336"/>
        <v>0</v>
      </c>
    </row>
    <row r="7127" spans="1:5" x14ac:dyDescent="0.25">
      <c r="A7127" s="3">
        <f t="shared" si="334"/>
        <v>78989</v>
      </c>
      <c r="B7127" t="str">
        <f ca="1">TEXT(DATE(YEAR(Invoer!$A$5),1,1)+INT((ROWS(B$2:B7127)-1)/24),"""18""jjmmdd")</f>
        <v>18981024</v>
      </c>
      <c r="C7127" s="11" t="str">
        <f>INDEX(Data,2,2+MOD(ROWS(C$2:C7127)-1,24))</f>
        <v>22.00</v>
      </c>
      <c r="D7127" s="8">
        <f t="shared" ca="1" si="335"/>
        <v>7</v>
      </c>
      <c r="E7127" s="16">
        <f t="shared" ca="1" si="336"/>
        <v>0</v>
      </c>
    </row>
    <row r="7128" spans="1:5" x14ac:dyDescent="0.25">
      <c r="A7128" s="3">
        <f t="shared" si="334"/>
        <v>78989</v>
      </c>
      <c r="B7128" t="str">
        <f ca="1">TEXT(DATE(YEAR(Invoer!$A$5),1,1)+INT((ROWS(B$2:B7128)-1)/24),"""18""jjmmdd")</f>
        <v>18981024</v>
      </c>
      <c r="C7128" s="11" t="str">
        <f>INDEX(Data,2,2+MOD(ROWS(C$2:C7128)-1,24))</f>
        <v>23.00</v>
      </c>
      <c r="D7128" s="8">
        <f t="shared" ca="1" si="335"/>
        <v>7</v>
      </c>
      <c r="E7128" s="16">
        <f t="shared" ca="1" si="336"/>
        <v>0</v>
      </c>
    </row>
    <row r="7129" spans="1:5" x14ac:dyDescent="0.25">
      <c r="A7129" s="3">
        <f t="shared" si="334"/>
        <v>78989</v>
      </c>
      <c r="B7129" t="str">
        <f ca="1">TEXT(DATE(YEAR(Invoer!$A$5),1,1)+INT((ROWS(B$2:B7129)-1)/24),"""18""jjmmdd")</f>
        <v>18981024</v>
      </c>
      <c r="C7129" s="11" t="str">
        <f>INDEX(Data,2,2+MOD(ROWS(C$2:C7129)-1,24))</f>
        <v>24.00</v>
      </c>
      <c r="D7129" s="8">
        <f t="shared" ca="1" si="335"/>
        <v>6</v>
      </c>
      <c r="E7129" s="16">
        <f t="shared" ca="1" si="336"/>
        <v>0</v>
      </c>
    </row>
    <row r="7130" spans="1:5" x14ac:dyDescent="0.25">
      <c r="A7130" s="3">
        <f t="shared" si="334"/>
        <v>78989</v>
      </c>
      <c r="B7130" t="str">
        <f ca="1">TEXT(DATE(YEAR(Invoer!$A$5),1,1)+INT((ROWS(B$2:B7130)-1)/24),"""18""jjmmdd")</f>
        <v>18981025</v>
      </c>
      <c r="C7130" s="11" t="str">
        <f>INDEX(Data,2,2+MOD(ROWS(C$2:C7130)-1,24))</f>
        <v>01.00</v>
      </c>
      <c r="D7130" s="8">
        <f t="shared" ca="1" si="335"/>
        <v>3</v>
      </c>
      <c r="E7130" s="16">
        <f t="shared" ca="1" si="336"/>
        <v>0</v>
      </c>
    </row>
    <row r="7131" spans="1:5" x14ac:dyDescent="0.25">
      <c r="A7131" s="3">
        <f t="shared" si="334"/>
        <v>78989</v>
      </c>
      <c r="B7131" t="str">
        <f ca="1">TEXT(DATE(YEAR(Invoer!$A$5),1,1)+INT((ROWS(B$2:B7131)-1)/24),"""18""jjmmdd")</f>
        <v>18981025</v>
      </c>
      <c r="C7131" s="11" t="str">
        <f>INDEX(Data,2,2+MOD(ROWS(C$2:C7131)-1,24))</f>
        <v>02.00</v>
      </c>
      <c r="D7131" s="8">
        <f t="shared" ca="1" si="335"/>
        <v>3</v>
      </c>
      <c r="E7131" s="16">
        <f t="shared" ca="1" si="336"/>
        <v>0</v>
      </c>
    </row>
    <row r="7132" spans="1:5" x14ac:dyDescent="0.25">
      <c r="A7132" s="3">
        <f t="shared" si="334"/>
        <v>78989</v>
      </c>
      <c r="B7132" t="str">
        <f ca="1">TEXT(DATE(YEAR(Invoer!$A$5),1,1)+INT((ROWS(B$2:B7132)-1)/24),"""18""jjmmdd")</f>
        <v>18981025</v>
      </c>
      <c r="C7132" s="11" t="str">
        <f>INDEX(Data,2,2+MOD(ROWS(C$2:C7132)-1,24))</f>
        <v>03.00</v>
      </c>
      <c r="D7132" s="8">
        <f t="shared" ca="1" si="335"/>
        <v>4</v>
      </c>
      <c r="E7132" s="16">
        <f t="shared" ca="1" si="336"/>
        <v>0</v>
      </c>
    </row>
    <row r="7133" spans="1:5" x14ac:dyDescent="0.25">
      <c r="A7133" s="3">
        <f t="shared" si="334"/>
        <v>78989</v>
      </c>
      <c r="B7133" t="str">
        <f ca="1">TEXT(DATE(YEAR(Invoer!$A$5),1,1)+INT((ROWS(B$2:B7133)-1)/24),"""18""jjmmdd")</f>
        <v>18981025</v>
      </c>
      <c r="C7133" s="11" t="str">
        <f>INDEX(Data,2,2+MOD(ROWS(C$2:C7133)-1,24))</f>
        <v>04.00</v>
      </c>
      <c r="D7133" s="8">
        <f t="shared" ca="1" si="335"/>
        <v>3</v>
      </c>
      <c r="E7133" s="16">
        <f t="shared" ca="1" si="336"/>
        <v>0</v>
      </c>
    </row>
    <row r="7134" spans="1:5" x14ac:dyDescent="0.25">
      <c r="A7134" s="3">
        <f t="shared" si="334"/>
        <v>78989</v>
      </c>
      <c r="B7134" t="str">
        <f ca="1">TEXT(DATE(YEAR(Invoer!$A$5),1,1)+INT((ROWS(B$2:B7134)-1)/24),"""18""jjmmdd")</f>
        <v>18981025</v>
      </c>
      <c r="C7134" s="11" t="str">
        <f>INDEX(Data,2,2+MOD(ROWS(C$2:C7134)-1,24))</f>
        <v>05.00</v>
      </c>
      <c r="D7134" s="8">
        <f t="shared" ca="1" si="335"/>
        <v>5</v>
      </c>
      <c r="E7134" s="16">
        <f t="shared" ca="1" si="336"/>
        <v>0</v>
      </c>
    </row>
    <row r="7135" spans="1:5" x14ac:dyDescent="0.25">
      <c r="A7135" s="3">
        <f t="shared" si="334"/>
        <v>78989</v>
      </c>
      <c r="B7135" t="str">
        <f ca="1">TEXT(DATE(YEAR(Invoer!$A$5),1,1)+INT((ROWS(B$2:B7135)-1)/24),"""18""jjmmdd")</f>
        <v>18981025</v>
      </c>
      <c r="C7135" s="11" t="str">
        <f>INDEX(Data,2,2+MOD(ROWS(C$2:C7135)-1,24))</f>
        <v>06.00</v>
      </c>
      <c r="D7135" s="8">
        <f t="shared" ca="1" si="335"/>
        <v>6</v>
      </c>
      <c r="E7135" s="16">
        <f t="shared" ca="1" si="336"/>
        <v>0</v>
      </c>
    </row>
    <row r="7136" spans="1:5" x14ac:dyDescent="0.25">
      <c r="A7136" s="3">
        <f t="shared" si="334"/>
        <v>78989</v>
      </c>
      <c r="B7136" t="str">
        <f ca="1">TEXT(DATE(YEAR(Invoer!$A$5),1,1)+INT((ROWS(B$2:B7136)-1)/24),"""18""jjmmdd")</f>
        <v>18981025</v>
      </c>
      <c r="C7136" s="11" t="str">
        <f>INDEX(Data,2,2+MOD(ROWS(C$2:C7136)-1,24))</f>
        <v>07.00</v>
      </c>
      <c r="D7136" s="8">
        <f t="shared" ca="1" si="335"/>
        <v>5</v>
      </c>
      <c r="E7136" s="16">
        <f t="shared" ca="1" si="336"/>
        <v>0</v>
      </c>
    </row>
    <row r="7137" spans="1:5" x14ac:dyDescent="0.25">
      <c r="A7137" s="3">
        <f t="shared" si="334"/>
        <v>78989</v>
      </c>
      <c r="B7137" t="str">
        <f ca="1">TEXT(DATE(YEAR(Invoer!$A$5),1,1)+INT((ROWS(B$2:B7137)-1)/24),"""18""jjmmdd")</f>
        <v>18981025</v>
      </c>
      <c r="C7137" s="11" t="str">
        <f>INDEX(Data,2,2+MOD(ROWS(C$2:C7137)-1,24))</f>
        <v>08.00</v>
      </c>
      <c r="D7137" s="8">
        <f t="shared" ca="1" si="335"/>
        <v>10</v>
      </c>
      <c r="E7137" s="16">
        <f t="shared" ca="1" si="336"/>
        <v>0</v>
      </c>
    </row>
    <row r="7138" spans="1:5" x14ac:dyDescent="0.25">
      <c r="A7138" s="3">
        <f t="shared" si="334"/>
        <v>78989</v>
      </c>
      <c r="B7138" t="str">
        <f ca="1">TEXT(DATE(YEAR(Invoer!$A$5),1,1)+INT((ROWS(B$2:B7138)-1)/24),"""18""jjmmdd")</f>
        <v>18981025</v>
      </c>
      <c r="C7138" s="11" t="str">
        <f>INDEX(Data,2,2+MOD(ROWS(C$2:C7138)-1,24))</f>
        <v>09.00</v>
      </c>
      <c r="D7138" s="8">
        <f t="shared" ca="1" si="335"/>
        <v>12</v>
      </c>
      <c r="E7138" s="16">
        <f t="shared" ca="1" si="336"/>
        <v>0</v>
      </c>
    </row>
    <row r="7139" spans="1:5" x14ac:dyDescent="0.25">
      <c r="A7139" s="3">
        <f t="shared" si="334"/>
        <v>78989</v>
      </c>
      <c r="B7139" t="str">
        <f ca="1">TEXT(DATE(YEAR(Invoer!$A$5),1,1)+INT((ROWS(B$2:B7139)-1)/24),"""18""jjmmdd")</f>
        <v>18981025</v>
      </c>
      <c r="C7139" s="11" t="str">
        <f>INDEX(Data,2,2+MOD(ROWS(C$2:C7139)-1,24))</f>
        <v>10.00</v>
      </c>
      <c r="D7139" s="8">
        <f t="shared" ca="1" si="335"/>
        <v>11</v>
      </c>
      <c r="E7139" s="16">
        <f t="shared" ca="1" si="336"/>
        <v>0</v>
      </c>
    </row>
    <row r="7140" spans="1:5" x14ac:dyDescent="0.25">
      <c r="A7140" s="3">
        <f t="shared" si="334"/>
        <v>78989</v>
      </c>
      <c r="B7140" t="str">
        <f ca="1">TEXT(DATE(YEAR(Invoer!$A$5),1,1)+INT((ROWS(B$2:B7140)-1)/24),"""18""jjmmdd")</f>
        <v>18981025</v>
      </c>
      <c r="C7140" s="11" t="str">
        <f>INDEX(Data,2,2+MOD(ROWS(C$2:C7140)-1,24))</f>
        <v>11.00</v>
      </c>
      <c r="D7140" s="8">
        <f t="shared" ca="1" si="335"/>
        <v>12</v>
      </c>
      <c r="E7140" s="16">
        <f t="shared" ca="1" si="336"/>
        <v>0</v>
      </c>
    </row>
    <row r="7141" spans="1:5" x14ac:dyDescent="0.25">
      <c r="A7141" s="3">
        <f t="shared" si="334"/>
        <v>78989</v>
      </c>
      <c r="B7141" t="str">
        <f ca="1">TEXT(DATE(YEAR(Invoer!$A$5),1,1)+INT((ROWS(B$2:B7141)-1)/24),"""18""jjmmdd")</f>
        <v>18981025</v>
      </c>
      <c r="C7141" s="11" t="str">
        <f>INDEX(Data,2,2+MOD(ROWS(C$2:C7141)-1,24))</f>
        <v>12.00</v>
      </c>
      <c r="D7141" s="8">
        <f t="shared" ca="1" si="335"/>
        <v>13</v>
      </c>
      <c r="E7141" s="16">
        <f t="shared" ca="1" si="336"/>
        <v>0</v>
      </c>
    </row>
    <row r="7142" spans="1:5" x14ac:dyDescent="0.25">
      <c r="A7142" s="3">
        <f t="shared" si="334"/>
        <v>78989</v>
      </c>
      <c r="B7142" t="str">
        <f ca="1">TEXT(DATE(YEAR(Invoer!$A$5),1,1)+INT((ROWS(B$2:B7142)-1)/24),"""18""jjmmdd")</f>
        <v>18981025</v>
      </c>
      <c r="C7142" s="11" t="str">
        <f>INDEX(Data,2,2+MOD(ROWS(C$2:C7142)-1,24))</f>
        <v>13.00</v>
      </c>
      <c r="D7142" s="8">
        <f t="shared" ca="1" si="335"/>
        <v>11</v>
      </c>
      <c r="E7142" s="16">
        <f t="shared" ca="1" si="336"/>
        <v>0</v>
      </c>
    </row>
    <row r="7143" spans="1:5" x14ac:dyDescent="0.25">
      <c r="A7143" s="3">
        <f t="shared" si="334"/>
        <v>78989</v>
      </c>
      <c r="B7143" t="str">
        <f ca="1">TEXT(DATE(YEAR(Invoer!$A$5),1,1)+INT((ROWS(B$2:B7143)-1)/24),"""18""jjmmdd")</f>
        <v>18981025</v>
      </c>
      <c r="C7143" s="11" t="str">
        <f>INDEX(Data,2,2+MOD(ROWS(C$2:C7143)-1,24))</f>
        <v>14.00</v>
      </c>
      <c r="D7143" s="8">
        <f t="shared" ca="1" si="335"/>
        <v>12</v>
      </c>
      <c r="E7143" s="16">
        <f t="shared" ca="1" si="336"/>
        <v>0</v>
      </c>
    </row>
    <row r="7144" spans="1:5" x14ac:dyDescent="0.25">
      <c r="A7144" s="3">
        <f t="shared" si="334"/>
        <v>78989</v>
      </c>
      <c r="B7144" t="str">
        <f ca="1">TEXT(DATE(YEAR(Invoer!$A$5),1,1)+INT((ROWS(B$2:B7144)-1)/24),"""18""jjmmdd")</f>
        <v>18981025</v>
      </c>
      <c r="C7144" s="11" t="str">
        <f>INDEX(Data,2,2+MOD(ROWS(C$2:C7144)-1,24))</f>
        <v>15.00</v>
      </c>
      <c r="D7144" s="8">
        <f t="shared" ca="1" si="335"/>
        <v>12</v>
      </c>
      <c r="E7144" s="16">
        <f t="shared" ca="1" si="336"/>
        <v>0</v>
      </c>
    </row>
    <row r="7145" spans="1:5" x14ac:dyDescent="0.25">
      <c r="A7145" s="3">
        <f t="shared" si="334"/>
        <v>78989</v>
      </c>
      <c r="B7145" t="str">
        <f ca="1">TEXT(DATE(YEAR(Invoer!$A$5),1,1)+INT((ROWS(B$2:B7145)-1)/24),"""18""jjmmdd")</f>
        <v>18981025</v>
      </c>
      <c r="C7145" s="11" t="str">
        <f>INDEX(Data,2,2+MOD(ROWS(C$2:C7145)-1,24))</f>
        <v>16.00</v>
      </c>
      <c r="D7145" s="8">
        <f t="shared" ca="1" si="335"/>
        <v>9</v>
      </c>
      <c r="E7145" s="16">
        <f t="shared" ca="1" si="336"/>
        <v>0</v>
      </c>
    </row>
    <row r="7146" spans="1:5" x14ac:dyDescent="0.25">
      <c r="A7146" s="3">
        <f t="shared" si="334"/>
        <v>78989</v>
      </c>
      <c r="B7146" t="str">
        <f ca="1">TEXT(DATE(YEAR(Invoer!$A$5),1,1)+INT((ROWS(B$2:B7146)-1)/24),"""18""jjmmdd")</f>
        <v>18981025</v>
      </c>
      <c r="C7146" s="11" t="str">
        <f>INDEX(Data,2,2+MOD(ROWS(C$2:C7146)-1,24))</f>
        <v>17.00</v>
      </c>
      <c r="D7146" s="8">
        <f t="shared" ca="1" si="335"/>
        <v>10</v>
      </c>
      <c r="E7146" s="16">
        <f t="shared" ca="1" si="336"/>
        <v>0</v>
      </c>
    </row>
    <row r="7147" spans="1:5" x14ac:dyDescent="0.25">
      <c r="A7147" s="3">
        <f t="shared" si="334"/>
        <v>78989</v>
      </c>
      <c r="B7147" t="str">
        <f ca="1">TEXT(DATE(YEAR(Invoer!$A$5),1,1)+INT((ROWS(B$2:B7147)-1)/24),"""18""jjmmdd")</f>
        <v>18981025</v>
      </c>
      <c r="C7147" s="11" t="str">
        <f>INDEX(Data,2,2+MOD(ROWS(C$2:C7147)-1,24))</f>
        <v>18.00</v>
      </c>
      <c r="D7147" s="8">
        <f t="shared" ca="1" si="335"/>
        <v>9</v>
      </c>
      <c r="E7147" s="16">
        <f t="shared" ca="1" si="336"/>
        <v>0</v>
      </c>
    </row>
    <row r="7148" spans="1:5" x14ac:dyDescent="0.25">
      <c r="A7148" s="3">
        <f t="shared" si="334"/>
        <v>78989</v>
      </c>
      <c r="B7148" t="str">
        <f ca="1">TEXT(DATE(YEAR(Invoer!$A$5),1,1)+INT((ROWS(B$2:B7148)-1)/24),"""18""jjmmdd")</f>
        <v>18981025</v>
      </c>
      <c r="C7148" s="11" t="str">
        <f>INDEX(Data,2,2+MOD(ROWS(C$2:C7148)-1,24))</f>
        <v>19.00</v>
      </c>
      <c r="D7148" s="8">
        <f t="shared" ca="1" si="335"/>
        <v>8</v>
      </c>
      <c r="E7148" s="16">
        <f t="shared" ca="1" si="336"/>
        <v>0</v>
      </c>
    </row>
    <row r="7149" spans="1:5" x14ac:dyDescent="0.25">
      <c r="A7149" s="3">
        <f t="shared" si="334"/>
        <v>78989</v>
      </c>
      <c r="B7149" t="str">
        <f ca="1">TEXT(DATE(YEAR(Invoer!$A$5),1,1)+INT((ROWS(B$2:B7149)-1)/24),"""18""jjmmdd")</f>
        <v>18981025</v>
      </c>
      <c r="C7149" s="11" t="str">
        <f>INDEX(Data,2,2+MOD(ROWS(C$2:C7149)-1,24))</f>
        <v>20.00</v>
      </c>
      <c r="D7149" s="8">
        <f t="shared" ca="1" si="335"/>
        <v>10</v>
      </c>
      <c r="E7149" s="16">
        <f t="shared" ca="1" si="336"/>
        <v>0</v>
      </c>
    </row>
    <row r="7150" spans="1:5" x14ac:dyDescent="0.25">
      <c r="A7150" s="3">
        <f t="shared" si="334"/>
        <v>78989</v>
      </c>
      <c r="B7150" t="str">
        <f ca="1">TEXT(DATE(YEAR(Invoer!$A$5),1,1)+INT((ROWS(B$2:B7150)-1)/24),"""18""jjmmdd")</f>
        <v>18981025</v>
      </c>
      <c r="C7150" s="11" t="str">
        <f>INDEX(Data,2,2+MOD(ROWS(C$2:C7150)-1,24))</f>
        <v>21.00</v>
      </c>
      <c r="D7150" s="8">
        <f t="shared" ca="1" si="335"/>
        <v>10</v>
      </c>
      <c r="E7150" s="16">
        <f t="shared" ca="1" si="336"/>
        <v>0</v>
      </c>
    </row>
    <row r="7151" spans="1:5" x14ac:dyDescent="0.25">
      <c r="A7151" s="3">
        <f t="shared" si="334"/>
        <v>78989</v>
      </c>
      <c r="B7151" t="str">
        <f ca="1">TEXT(DATE(YEAR(Invoer!$A$5),1,1)+INT((ROWS(B$2:B7151)-1)/24),"""18""jjmmdd")</f>
        <v>18981025</v>
      </c>
      <c r="C7151" s="11" t="str">
        <f>INDEX(Data,2,2+MOD(ROWS(C$2:C7151)-1,24))</f>
        <v>22.00</v>
      </c>
      <c r="D7151" s="8">
        <f t="shared" ca="1" si="335"/>
        <v>9</v>
      </c>
      <c r="E7151" s="16">
        <f t="shared" ca="1" si="336"/>
        <v>0</v>
      </c>
    </row>
    <row r="7152" spans="1:5" x14ac:dyDescent="0.25">
      <c r="A7152" s="3">
        <f t="shared" si="334"/>
        <v>78989</v>
      </c>
      <c r="B7152" t="str">
        <f ca="1">TEXT(DATE(YEAR(Invoer!$A$5),1,1)+INT((ROWS(B$2:B7152)-1)/24),"""18""jjmmdd")</f>
        <v>18981025</v>
      </c>
      <c r="C7152" s="11" t="str">
        <f>INDEX(Data,2,2+MOD(ROWS(C$2:C7152)-1,24))</f>
        <v>23.00</v>
      </c>
      <c r="D7152" s="8">
        <f t="shared" ca="1" si="335"/>
        <v>6</v>
      </c>
      <c r="E7152" s="16">
        <f t="shared" ca="1" si="336"/>
        <v>0</v>
      </c>
    </row>
    <row r="7153" spans="1:5" x14ac:dyDescent="0.25">
      <c r="A7153" s="3">
        <f t="shared" si="334"/>
        <v>78989</v>
      </c>
      <c r="B7153" t="str">
        <f ca="1">TEXT(DATE(YEAR(Invoer!$A$5),1,1)+INT((ROWS(B$2:B7153)-1)/24),"""18""jjmmdd")</f>
        <v>18981025</v>
      </c>
      <c r="C7153" s="11" t="str">
        <f>INDEX(Data,2,2+MOD(ROWS(C$2:C7153)-1,24))</f>
        <v>24.00</v>
      </c>
      <c r="D7153" s="8">
        <f t="shared" ca="1" si="335"/>
        <v>8</v>
      </c>
      <c r="E7153" s="16">
        <f t="shared" ca="1" si="336"/>
        <v>0</v>
      </c>
    </row>
    <row r="7154" spans="1:5" x14ac:dyDescent="0.25">
      <c r="A7154" s="3">
        <f t="shared" si="334"/>
        <v>78989</v>
      </c>
      <c r="B7154" t="str">
        <f ca="1">TEXT(DATE(YEAR(Invoer!$A$5),1,1)+INT((ROWS(B$2:B7154)-1)/24),"""18""jjmmdd")</f>
        <v>18981026</v>
      </c>
      <c r="C7154" s="11" t="str">
        <f>INDEX(Data,2,2+MOD(ROWS(C$2:C7154)-1,24))</f>
        <v>01.00</v>
      </c>
      <c r="D7154" s="8">
        <f t="shared" ca="1" si="335"/>
        <v>6</v>
      </c>
      <c r="E7154" s="16">
        <f t="shared" ca="1" si="336"/>
        <v>0</v>
      </c>
    </row>
    <row r="7155" spans="1:5" x14ac:dyDescent="0.25">
      <c r="A7155" s="3">
        <f t="shared" si="334"/>
        <v>78989</v>
      </c>
      <c r="B7155" t="str">
        <f ca="1">TEXT(DATE(YEAR(Invoer!$A$5),1,1)+INT((ROWS(B$2:B7155)-1)/24),"""18""jjmmdd")</f>
        <v>18981026</v>
      </c>
      <c r="C7155" s="11" t="str">
        <f>INDEX(Data,2,2+MOD(ROWS(C$2:C7155)-1,24))</f>
        <v>02.00</v>
      </c>
      <c r="D7155" s="8">
        <f t="shared" ca="1" si="335"/>
        <v>6</v>
      </c>
      <c r="E7155" s="16">
        <f t="shared" ca="1" si="336"/>
        <v>0</v>
      </c>
    </row>
    <row r="7156" spans="1:5" x14ac:dyDescent="0.25">
      <c r="A7156" s="3">
        <f t="shared" si="334"/>
        <v>78989</v>
      </c>
      <c r="B7156" t="str">
        <f ca="1">TEXT(DATE(YEAR(Invoer!$A$5),1,1)+INT((ROWS(B$2:B7156)-1)/24),"""18""jjmmdd")</f>
        <v>18981026</v>
      </c>
      <c r="C7156" s="11" t="str">
        <f>INDEX(Data,2,2+MOD(ROWS(C$2:C7156)-1,24))</f>
        <v>03.00</v>
      </c>
      <c r="D7156" s="8">
        <f t="shared" ca="1" si="335"/>
        <v>8</v>
      </c>
      <c r="E7156" s="16">
        <f t="shared" ca="1" si="336"/>
        <v>0</v>
      </c>
    </row>
    <row r="7157" spans="1:5" x14ac:dyDescent="0.25">
      <c r="A7157" s="3">
        <f t="shared" si="334"/>
        <v>78989</v>
      </c>
      <c r="B7157" t="str">
        <f ca="1">TEXT(DATE(YEAR(Invoer!$A$5),1,1)+INT((ROWS(B$2:B7157)-1)/24),"""18""jjmmdd")</f>
        <v>18981026</v>
      </c>
      <c r="C7157" s="11" t="str">
        <f>INDEX(Data,2,2+MOD(ROWS(C$2:C7157)-1,24))</f>
        <v>04.00</v>
      </c>
      <c r="D7157" s="8">
        <f t="shared" ca="1" si="335"/>
        <v>6</v>
      </c>
      <c r="E7157" s="16">
        <f t="shared" ca="1" si="336"/>
        <v>0</v>
      </c>
    </row>
    <row r="7158" spans="1:5" x14ac:dyDescent="0.25">
      <c r="A7158" s="3">
        <f t="shared" si="334"/>
        <v>78989</v>
      </c>
      <c r="B7158" t="str">
        <f ca="1">TEXT(DATE(YEAR(Invoer!$A$5),1,1)+INT((ROWS(B$2:B7158)-1)/24),"""18""jjmmdd")</f>
        <v>18981026</v>
      </c>
      <c r="C7158" s="11" t="str">
        <f>INDEX(Data,2,2+MOD(ROWS(C$2:C7158)-1,24))</f>
        <v>05.00</v>
      </c>
      <c r="D7158" s="8">
        <f t="shared" ca="1" si="335"/>
        <v>6</v>
      </c>
      <c r="E7158" s="16">
        <f t="shared" ca="1" si="336"/>
        <v>0</v>
      </c>
    </row>
    <row r="7159" spans="1:5" x14ac:dyDescent="0.25">
      <c r="A7159" s="3">
        <f t="shared" si="334"/>
        <v>78989</v>
      </c>
      <c r="B7159" t="str">
        <f ca="1">TEXT(DATE(YEAR(Invoer!$A$5),1,1)+INT((ROWS(B$2:B7159)-1)/24),"""18""jjmmdd")</f>
        <v>18981026</v>
      </c>
      <c r="C7159" s="11" t="str">
        <f>INDEX(Data,2,2+MOD(ROWS(C$2:C7159)-1,24))</f>
        <v>06.00</v>
      </c>
      <c r="D7159" s="8">
        <f t="shared" ca="1" si="335"/>
        <v>7</v>
      </c>
      <c r="E7159" s="16">
        <f t="shared" ca="1" si="336"/>
        <v>0</v>
      </c>
    </row>
    <row r="7160" spans="1:5" x14ac:dyDescent="0.25">
      <c r="A7160" s="3">
        <f t="shared" si="334"/>
        <v>78989</v>
      </c>
      <c r="B7160" t="str">
        <f ca="1">TEXT(DATE(YEAR(Invoer!$A$5),1,1)+INT((ROWS(B$2:B7160)-1)/24),"""18""jjmmdd")</f>
        <v>18981026</v>
      </c>
      <c r="C7160" s="11" t="str">
        <f>INDEX(Data,2,2+MOD(ROWS(C$2:C7160)-1,24))</f>
        <v>07.00</v>
      </c>
      <c r="D7160" s="8">
        <f t="shared" ca="1" si="335"/>
        <v>8</v>
      </c>
      <c r="E7160" s="16">
        <f t="shared" ca="1" si="336"/>
        <v>0</v>
      </c>
    </row>
    <row r="7161" spans="1:5" x14ac:dyDescent="0.25">
      <c r="A7161" s="3">
        <f t="shared" si="334"/>
        <v>78989</v>
      </c>
      <c r="B7161" t="str">
        <f ca="1">TEXT(DATE(YEAR(Invoer!$A$5),1,1)+INT((ROWS(B$2:B7161)-1)/24),"""18""jjmmdd")</f>
        <v>18981026</v>
      </c>
      <c r="C7161" s="11" t="str">
        <f>INDEX(Data,2,2+MOD(ROWS(C$2:C7161)-1,24))</f>
        <v>08.00</v>
      </c>
      <c r="D7161" s="8">
        <f t="shared" ca="1" si="335"/>
        <v>10</v>
      </c>
      <c r="E7161" s="16">
        <f t="shared" ca="1" si="336"/>
        <v>0</v>
      </c>
    </row>
    <row r="7162" spans="1:5" x14ac:dyDescent="0.25">
      <c r="A7162" s="3">
        <f t="shared" si="334"/>
        <v>78989</v>
      </c>
      <c r="B7162" t="str">
        <f ca="1">TEXT(DATE(YEAR(Invoer!$A$5),1,1)+INT((ROWS(B$2:B7162)-1)/24),"""18""jjmmdd")</f>
        <v>18981026</v>
      </c>
      <c r="C7162" s="11" t="str">
        <f>INDEX(Data,2,2+MOD(ROWS(C$2:C7162)-1,24))</f>
        <v>09.00</v>
      </c>
      <c r="D7162" s="8">
        <f t="shared" ca="1" si="335"/>
        <v>11</v>
      </c>
      <c r="E7162" s="16">
        <f t="shared" ca="1" si="336"/>
        <v>0</v>
      </c>
    </row>
    <row r="7163" spans="1:5" x14ac:dyDescent="0.25">
      <c r="A7163" s="3">
        <f t="shared" si="334"/>
        <v>78989</v>
      </c>
      <c r="B7163" t="str">
        <f ca="1">TEXT(DATE(YEAR(Invoer!$A$5),1,1)+INT((ROWS(B$2:B7163)-1)/24),"""18""jjmmdd")</f>
        <v>18981026</v>
      </c>
      <c r="C7163" s="11" t="str">
        <f>INDEX(Data,2,2+MOD(ROWS(C$2:C7163)-1,24))</f>
        <v>10.00</v>
      </c>
      <c r="D7163" s="8">
        <f t="shared" ca="1" si="335"/>
        <v>10</v>
      </c>
      <c r="E7163" s="16">
        <f t="shared" ca="1" si="336"/>
        <v>0</v>
      </c>
    </row>
    <row r="7164" spans="1:5" x14ac:dyDescent="0.25">
      <c r="A7164" s="3">
        <f t="shared" si="334"/>
        <v>78989</v>
      </c>
      <c r="B7164" t="str">
        <f ca="1">TEXT(DATE(YEAR(Invoer!$A$5),1,1)+INT((ROWS(B$2:B7164)-1)/24),"""18""jjmmdd")</f>
        <v>18981026</v>
      </c>
      <c r="C7164" s="11" t="str">
        <f>INDEX(Data,2,2+MOD(ROWS(C$2:C7164)-1,24))</f>
        <v>11.00</v>
      </c>
      <c r="D7164" s="8">
        <f t="shared" ca="1" si="335"/>
        <v>10</v>
      </c>
      <c r="E7164" s="16">
        <f t="shared" ca="1" si="336"/>
        <v>0</v>
      </c>
    </row>
    <row r="7165" spans="1:5" x14ac:dyDescent="0.25">
      <c r="A7165" s="3">
        <f t="shared" si="334"/>
        <v>78989</v>
      </c>
      <c r="B7165" t="str">
        <f ca="1">TEXT(DATE(YEAR(Invoer!$A$5),1,1)+INT((ROWS(B$2:B7165)-1)/24),"""18""jjmmdd")</f>
        <v>18981026</v>
      </c>
      <c r="C7165" s="11" t="str">
        <f>INDEX(Data,2,2+MOD(ROWS(C$2:C7165)-1,24))</f>
        <v>12.00</v>
      </c>
      <c r="D7165" s="8">
        <f t="shared" ca="1" si="335"/>
        <v>13</v>
      </c>
      <c r="E7165" s="16">
        <f t="shared" ca="1" si="336"/>
        <v>0</v>
      </c>
    </row>
    <row r="7166" spans="1:5" x14ac:dyDescent="0.25">
      <c r="A7166" s="3">
        <f t="shared" si="334"/>
        <v>78989</v>
      </c>
      <c r="B7166" t="str">
        <f ca="1">TEXT(DATE(YEAR(Invoer!$A$5),1,1)+INT((ROWS(B$2:B7166)-1)/24),"""18""jjmmdd")</f>
        <v>18981026</v>
      </c>
      <c r="C7166" s="11" t="str">
        <f>INDEX(Data,2,2+MOD(ROWS(C$2:C7166)-1,24))</f>
        <v>13.00</v>
      </c>
      <c r="D7166" s="8">
        <f t="shared" ca="1" si="335"/>
        <v>12</v>
      </c>
      <c r="E7166" s="16">
        <f t="shared" ca="1" si="336"/>
        <v>0</v>
      </c>
    </row>
    <row r="7167" spans="1:5" x14ac:dyDescent="0.25">
      <c r="A7167" s="3">
        <f t="shared" si="334"/>
        <v>78989</v>
      </c>
      <c r="B7167" t="str">
        <f ca="1">TEXT(DATE(YEAR(Invoer!$A$5),1,1)+INT((ROWS(B$2:B7167)-1)/24),"""18""jjmmdd")</f>
        <v>18981026</v>
      </c>
      <c r="C7167" s="11" t="str">
        <f>INDEX(Data,2,2+MOD(ROWS(C$2:C7167)-1,24))</f>
        <v>14.00</v>
      </c>
      <c r="D7167" s="8">
        <f t="shared" ca="1" si="335"/>
        <v>12</v>
      </c>
      <c r="E7167" s="16">
        <f t="shared" ca="1" si="336"/>
        <v>0</v>
      </c>
    </row>
    <row r="7168" spans="1:5" x14ac:dyDescent="0.25">
      <c r="A7168" s="3">
        <f t="shared" si="334"/>
        <v>78989</v>
      </c>
      <c r="B7168" t="str">
        <f ca="1">TEXT(DATE(YEAR(Invoer!$A$5),1,1)+INT((ROWS(B$2:B7168)-1)/24),"""18""jjmmdd")</f>
        <v>18981026</v>
      </c>
      <c r="C7168" s="11" t="str">
        <f>INDEX(Data,2,2+MOD(ROWS(C$2:C7168)-1,24))</f>
        <v>15.00</v>
      </c>
      <c r="D7168" s="8">
        <f t="shared" ca="1" si="335"/>
        <v>11</v>
      </c>
      <c r="E7168" s="16">
        <f t="shared" ca="1" si="336"/>
        <v>0</v>
      </c>
    </row>
    <row r="7169" spans="1:5" x14ac:dyDescent="0.25">
      <c r="A7169" s="3">
        <f t="shared" si="334"/>
        <v>78989</v>
      </c>
      <c r="B7169" t="str">
        <f ca="1">TEXT(DATE(YEAR(Invoer!$A$5),1,1)+INT((ROWS(B$2:B7169)-1)/24),"""18""jjmmdd")</f>
        <v>18981026</v>
      </c>
      <c r="C7169" s="11" t="str">
        <f>INDEX(Data,2,2+MOD(ROWS(C$2:C7169)-1,24))</f>
        <v>16.00</v>
      </c>
      <c r="D7169" s="8">
        <f t="shared" ca="1" si="335"/>
        <v>12</v>
      </c>
      <c r="E7169" s="16">
        <f t="shared" ca="1" si="336"/>
        <v>0</v>
      </c>
    </row>
    <row r="7170" spans="1:5" x14ac:dyDescent="0.25">
      <c r="A7170" s="3">
        <f t="shared" ref="A7170:A7233" si="337">INDEX(Stations,2,1)</f>
        <v>78989</v>
      </c>
      <c r="B7170" t="str">
        <f ca="1">TEXT(DATE(YEAR(Invoer!$A$5),1,1)+INT((ROWS(B$2:B7170)-1)/24),"""18""jjmmdd")</f>
        <v>18981026</v>
      </c>
      <c r="C7170" s="11" t="str">
        <f>INDEX(Data,2,2+MOD(ROWS(C$2:C7170)-1,24))</f>
        <v>17.00</v>
      </c>
      <c r="D7170" s="8">
        <f t="shared" ref="D7170:D7233" ca="1" si="338">IF(OR(ISBLANK(VLOOKUP(DATEVALUE("37"&amp;MID($B7170,3,2)&amp;"-"&amp;MID($B7170,5,2)&amp;"-"&amp;RIGHT($B7170,2)),Data,MATCH(LEFT(VLOOKUP(D$1,Parameters,2,FALSE()),4)&amp;"*",OFFSET(Data,0,0,1),0)+MATCH($C7170,OFFSET(Data,1,0,1),0)-2,FALSE())),ISTEXT(VLOOKUP(DATEVALUE("37"&amp;MID($B7170,3,2)&amp;"-"&amp;MID($B7170,5,2)&amp;"-"&amp;RIGHT($B7170,2)),Data,MATCH(LEFT(VLOOKUP(D$1,Parameters,2,FALSE()),4)&amp;"*",OFFSET(Data,0,0,1),0)+MATCH($C7170,OFFSET(Data,1,0,1),0)-2,FALSE()))),"—",VLOOKUP(DATEVALUE("37"&amp;MID($B7170,3,2)&amp;"-"&amp;MID($B7170,5,2)&amp;"-"&amp;RIGHT($B7170,2)),Data,MATCH(LEFT(VLOOKUP(D$1,Parameters,2,FALSE()),4)&amp;"*",OFFSET(Data,0,0,1),0)+MATCH($C7170,OFFSET(Data,1,0,1),0)-2,FALSE()))</f>
        <v>10</v>
      </c>
      <c r="E7170" s="16">
        <f t="shared" ca="1" si="336"/>
        <v>0</v>
      </c>
    </row>
    <row r="7171" spans="1:5" x14ac:dyDescent="0.25">
      <c r="A7171" s="3">
        <f t="shared" si="337"/>
        <v>78989</v>
      </c>
      <c r="B7171" t="str">
        <f ca="1">TEXT(DATE(YEAR(Invoer!$A$5),1,1)+INT((ROWS(B$2:B7171)-1)/24),"""18""jjmmdd")</f>
        <v>18981026</v>
      </c>
      <c r="C7171" s="11" t="str">
        <f>INDEX(Data,2,2+MOD(ROWS(C$2:C7171)-1,24))</f>
        <v>18.00</v>
      </c>
      <c r="D7171" s="8">
        <f t="shared" ca="1" si="338"/>
        <v>10</v>
      </c>
      <c r="E7171" s="16">
        <f t="shared" ref="E7171:E7234" ca="1" si="339">IF(OR(ISBLANK(VLOOKUP(DATEVALUE("37"&amp;MID($B7171,3,2)&amp;"-"&amp;MID($B7171,5,2)&amp;"-"&amp;RIGHT($B7171,2)),Data,MATCH(LEFT(VLOOKUP(D$1,Parameters,2,FALSE()),4)&amp;"*",OFFSET(Data,0,0,1),0)+MATCH($C7171,OFFSET(Data,1,0,1),0)-2,FALSE())),ISTEXT(VLOOKUP(DATEVALUE("37"&amp;MID($B7171,3,2)&amp;"-"&amp;MID($B7171,5,2)&amp;"-"&amp;RIGHT($B7171,2)),Data,MATCH(LEFT(VLOOKUP(D$1,Parameters,2,FALSE()),4)&amp;"*",OFFSET(Data,0,0,1),0)+MATCH($C7171,OFFSET(Data,1,0,1),0)-2,FALSE()))),Lacking,IF(ISNA(MATCH(DATEVALUE("37"&amp;MID($B7171,3,2)&amp;"-"&amp;MID($B7171,5,2)&amp;"-"&amp;RIGHT($B7171,2)),OFFSET(Catalogus,0,0,,1),0)),Ok,VLOOKUP(DATEVALUE("37"&amp;MID($B7171,3,2)&amp;"-"&amp;MID($B7171,5,2)&amp;"-"&amp;RIGHT($B7171,2)),Catalogus,MATCH(LEFT(VLOOKUP(MID(E$1,2,LEN(E$1)-1),Parameters,2,FALSE()),4)&amp;"*",OFFSET(Catalogus,0,0,1),0)+MATCH($C7171,OFFSET(Catalogus,1,0,1),0)-2,FALSE())))</f>
        <v>0</v>
      </c>
    </row>
    <row r="7172" spans="1:5" x14ac:dyDescent="0.25">
      <c r="A7172" s="3">
        <f t="shared" si="337"/>
        <v>78989</v>
      </c>
      <c r="B7172" t="str">
        <f ca="1">TEXT(DATE(YEAR(Invoer!$A$5),1,1)+INT((ROWS(B$2:B7172)-1)/24),"""18""jjmmdd")</f>
        <v>18981026</v>
      </c>
      <c r="C7172" s="11" t="str">
        <f>INDEX(Data,2,2+MOD(ROWS(C$2:C7172)-1,24))</f>
        <v>19.00</v>
      </c>
      <c r="D7172" s="8">
        <f t="shared" ca="1" si="338"/>
        <v>9</v>
      </c>
      <c r="E7172" s="16">
        <f t="shared" ca="1" si="339"/>
        <v>0</v>
      </c>
    </row>
    <row r="7173" spans="1:5" x14ac:dyDescent="0.25">
      <c r="A7173" s="3">
        <f t="shared" si="337"/>
        <v>78989</v>
      </c>
      <c r="B7173" t="str">
        <f ca="1">TEXT(DATE(YEAR(Invoer!$A$5),1,1)+INT((ROWS(B$2:B7173)-1)/24),"""18""jjmmdd")</f>
        <v>18981026</v>
      </c>
      <c r="C7173" s="11" t="str">
        <f>INDEX(Data,2,2+MOD(ROWS(C$2:C7173)-1,24))</f>
        <v>20.00</v>
      </c>
      <c r="D7173" s="8">
        <f t="shared" ca="1" si="338"/>
        <v>7</v>
      </c>
      <c r="E7173" s="16">
        <f t="shared" ca="1" si="339"/>
        <v>0</v>
      </c>
    </row>
    <row r="7174" spans="1:5" x14ac:dyDescent="0.25">
      <c r="A7174" s="3">
        <f t="shared" si="337"/>
        <v>78989</v>
      </c>
      <c r="B7174" t="str">
        <f ca="1">TEXT(DATE(YEAR(Invoer!$A$5),1,1)+INT((ROWS(B$2:B7174)-1)/24),"""18""jjmmdd")</f>
        <v>18981026</v>
      </c>
      <c r="C7174" s="11" t="str">
        <f>INDEX(Data,2,2+MOD(ROWS(C$2:C7174)-1,24))</f>
        <v>21.00</v>
      </c>
      <c r="D7174" s="8">
        <f t="shared" ca="1" si="338"/>
        <v>8</v>
      </c>
      <c r="E7174" s="16">
        <f t="shared" ca="1" si="339"/>
        <v>0</v>
      </c>
    </row>
    <row r="7175" spans="1:5" x14ac:dyDescent="0.25">
      <c r="A7175" s="3">
        <f t="shared" si="337"/>
        <v>78989</v>
      </c>
      <c r="B7175" t="str">
        <f ca="1">TEXT(DATE(YEAR(Invoer!$A$5),1,1)+INT((ROWS(B$2:B7175)-1)/24),"""18""jjmmdd")</f>
        <v>18981026</v>
      </c>
      <c r="C7175" s="11" t="str">
        <f>INDEX(Data,2,2+MOD(ROWS(C$2:C7175)-1,24))</f>
        <v>22.00</v>
      </c>
      <c r="D7175" s="8">
        <f t="shared" ca="1" si="338"/>
        <v>6</v>
      </c>
      <c r="E7175" s="16">
        <f t="shared" ca="1" si="339"/>
        <v>0</v>
      </c>
    </row>
    <row r="7176" spans="1:5" x14ac:dyDescent="0.25">
      <c r="A7176" s="3">
        <f t="shared" si="337"/>
        <v>78989</v>
      </c>
      <c r="B7176" t="str">
        <f ca="1">TEXT(DATE(YEAR(Invoer!$A$5),1,1)+INT((ROWS(B$2:B7176)-1)/24),"""18""jjmmdd")</f>
        <v>18981026</v>
      </c>
      <c r="C7176" s="11" t="str">
        <f>INDEX(Data,2,2+MOD(ROWS(C$2:C7176)-1,24))</f>
        <v>23.00</v>
      </c>
      <c r="D7176" s="8">
        <f t="shared" ca="1" si="338"/>
        <v>6</v>
      </c>
      <c r="E7176" s="16">
        <f t="shared" ca="1" si="339"/>
        <v>0</v>
      </c>
    </row>
    <row r="7177" spans="1:5" x14ac:dyDescent="0.25">
      <c r="A7177" s="3">
        <f t="shared" si="337"/>
        <v>78989</v>
      </c>
      <c r="B7177" t="str">
        <f ca="1">TEXT(DATE(YEAR(Invoer!$A$5),1,1)+INT((ROWS(B$2:B7177)-1)/24),"""18""jjmmdd")</f>
        <v>18981026</v>
      </c>
      <c r="C7177" s="11" t="str">
        <f>INDEX(Data,2,2+MOD(ROWS(C$2:C7177)-1,24))</f>
        <v>24.00</v>
      </c>
      <c r="D7177" s="8">
        <f t="shared" ca="1" si="338"/>
        <v>4</v>
      </c>
      <c r="E7177" s="16">
        <f t="shared" ca="1" si="339"/>
        <v>0</v>
      </c>
    </row>
    <row r="7178" spans="1:5" x14ac:dyDescent="0.25">
      <c r="A7178" s="3">
        <f t="shared" si="337"/>
        <v>78989</v>
      </c>
      <c r="B7178" t="str">
        <f ca="1">TEXT(DATE(YEAR(Invoer!$A$5),1,1)+INT((ROWS(B$2:B7178)-1)/24),"""18""jjmmdd")</f>
        <v>18981027</v>
      </c>
      <c r="C7178" s="11" t="str">
        <f>INDEX(Data,2,2+MOD(ROWS(C$2:C7178)-1,24))</f>
        <v>01.00</v>
      </c>
      <c r="D7178" s="8">
        <f t="shared" ca="1" si="338"/>
        <v>5</v>
      </c>
      <c r="E7178" s="16">
        <f t="shared" ca="1" si="339"/>
        <v>0</v>
      </c>
    </row>
    <row r="7179" spans="1:5" x14ac:dyDescent="0.25">
      <c r="A7179" s="3">
        <f t="shared" si="337"/>
        <v>78989</v>
      </c>
      <c r="B7179" t="str">
        <f ca="1">TEXT(DATE(YEAR(Invoer!$A$5),1,1)+INT((ROWS(B$2:B7179)-1)/24),"""18""jjmmdd")</f>
        <v>18981027</v>
      </c>
      <c r="C7179" s="11" t="str">
        <f>INDEX(Data,2,2+MOD(ROWS(C$2:C7179)-1,24))</f>
        <v>02.00</v>
      </c>
      <c r="D7179" s="8">
        <f t="shared" ca="1" si="338"/>
        <v>5</v>
      </c>
      <c r="E7179" s="16">
        <f t="shared" ca="1" si="339"/>
        <v>0</v>
      </c>
    </row>
    <row r="7180" spans="1:5" x14ac:dyDescent="0.25">
      <c r="A7180" s="3">
        <f t="shared" si="337"/>
        <v>78989</v>
      </c>
      <c r="B7180" t="str">
        <f ca="1">TEXT(DATE(YEAR(Invoer!$A$5),1,1)+INT((ROWS(B$2:B7180)-1)/24),"""18""jjmmdd")</f>
        <v>18981027</v>
      </c>
      <c r="C7180" s="11" t="str">
        <f>INDEX(Data,2,2+MOD(ROWS(C$2:C7180)-1,24))</f>
        <v>03.00</v>
      </c>
      <c r="D7180" s="8">
        <f t="shared" ca="1" si="338"/>
        <v>4</v>
      </c>
      <c r="E7180" s="16">
        <f t="shared" ca="1" si="339"/>
        <v>0</v>
      </c>
    </row>
    <row r="7181" spans="1:5" x14ac:dyDescent="0.25">
      <c r="A7181" s="3">
        <f t="shared" si="337"/>
        <v>78989</v>
      </c>
      <c r="B7181" t="str">
        <f ca="1">TEXT(DATE(YEAR(Invoer!$A$5),1,1)+INT((ROWS(B$2:B7181)-1)/24),"""18""jjmmdd")</f>
        <v>18981027</v>
      </c>
      <c r="C7181" s="11" t="str">
        <f>INDEX(Data,2,2+MOD(ROWS(C$2:C7181)-1,24))</f>
        <v>04.00</v>
      </c>
      <c r="D7181" s="8">
        <f t="shared" ca="1" si="338"/>
        <v>4</v>
      </c>
      <c r="E7181" s="16">
        <f t="shared" ca="1" si="339"/>
        <v>0</v>
      </c>
    </row>
    <row r="7182" spans="1:5" x14ac:dyDescent="0.25">
      <c r="A7182" s="3">
        <f t="shared" si="337"/>
        <v>78989</v>
      </c>
      <c r="B7182" t="str">
        <f ca="1">TEXT(DATE(YEAR(Invoer!$A$5),1,1)+INT((ROWS(B$2:B7182)-1)/24),"""18""jjmmdd")</f>
        <v>18981027</v>
      </c>
      <c r="C7182" s="11" t="str">
        <f>INDEX(Data,2,2+MOD(ROWS(C$2:C7182)-1,24))</f>
        <v>05.00</v>
      </c>
      <c r="D7182" s="8">
        <f t="shared" ca="1" si="338"/>
        <v>5</v>
      </c>
      <c r="E7182" s="16">
        <f t="shared" ca="1" si="339"/>
        <v>0</v>
      </c>
    </row>
    <row r="7183" spans="1:5" x14ac:dyDescent="0.25">
      <c r="A7183" s="3">
        <f t="shared" si="337"/>
        <v>78989</v>
      </c>
      <c r="B7183" t="str">
        <f ca="1">TEXT(DATE(YEAR(Invoer!$A$5),1,1)+INT((ROWS(B$2:B7183)-1)/24),"""18""jjmmdd")</f>
        <v>18981027</v>
      </c>
      <c r="C7183" s="11" t="str">
        <f>INDEX(Data,2,2+MOD(ROWS(C$2:C7183)-1,24))</f>
        <v>06.00</v>
      </c>
      <c r="D7183" s="8">
        <f t="shared" ca="1" si="338"/>
        <v>5</v>
      </c>
      <c r="E7183" s="16">
        <f t="shared" ca="1" si="339"/>
        <v>0</v>
      </c>
    </row>
    <row r="7184" spans="1:5" x14ac:dyDescent="0.25">
      <c r="A7184" s="3">
        <f t="shared" si="337"/>
        <v>78989</v>
      </c>
      <c r="B7184" t="str">
        <f ca="1">TEXT(DATE(YEAR(Invoer!$A$5),1,1)+INT((ROWS(B$2:B7184)-1)/24),"""18""jjmmdd")</f>
        <v>18981027</v>
      </c>
      <c r="C7184" s="11" t="str">
        <f>INDEX(Data,2,2+MOD(ROWS(C$2:C7184)-1,24))</f>
        <v>07.00</v>
      </c>
      <c r="D7184" s="8">
        <f t="shared" ca="1" si="338"/>
        <v>5</v>
      </c>
      <c r="E7184" s="16">
        <f t="shared" ca="1" si="339"/>
        <v>0</v>
      </c>
    </row>
    <row r="7185" spans="1:5" x14ac:dyDescent="0.25">
      <c r="A7185" s="3">
        <f t="shared" si="337"/>
        <v>78989</v>
      </c>
      <c r="B7185" t="str">
        <f ca="1">TEXT(DATE(YEAR(Invoer!$A$5),1,1)+INT((ROWS(B$2:B7185)-1)/24),"""18""jjmmdd")</f>
        <v>18981027</v>
      </c>
      <c r="C7185" s="11" t="str">
        <f>INDEX(Data,2,2+MOD(ROWS(C$2:C7185)-1,24))</f>
        <v>08.00</v>
      </c>
      <c r="D7185" s="8">
        <f t="shared" ca="1" si="338"/>
        <v>8</v>
      </c>
      <c r="E7185" s="16">
        <f t="shared" ca="1" si="339"/>
        <v>0</v>
      </c>
    </row>
    <row r="7186" spans="1:5" x14ac:dyDescent="0.25">
      <c r="A7186" s="3">
        <f t="shared" si="337"/>
        <v>78989</v>
      </c>
      <c r="B7186" t="str">
        <f ca="1">TEXT(DATE(YEAR(Invoer!$A$5),1,1)+INT((ROWS(B$2:B7186)-1)/24),"""18""jjmmdd")</f>
        <v>18981027</v>
      </c>
      <c r="C7186" s="11" t="str">
        <f>INDEX(Data,2,2+MOD(ROWS(C$2:C7186)-1,24))</f>
        <v>09.00</v>
      </c>
      <c r="D7186" s="8">
        <f t="shared" ca="1" si="338"/>
        <v>11</v>
      </c>
      <c r="E7186" s="16">
        <f t="shared" ca="1" si="339"/>
        <v>0</v>
      </c>
    </row>
    <row r="7187" spans="1:5" x14ac:dyDescent="0.25">
      <c r="A7187" s="3">
        <f t="shared" si="337"/>
        <v>78989</v>
      </c>
      <c r="B7187" t="str">
        <f ca="1">TEXT(DATE(YEAR(Invoer!$A$5),1,1)+INT((ROWS(B$2:B7187)-1)/24),"""18""jjmmdd")</f>
        <v>18981027</v>
      </c>
      <c r="C7187" s="11" t="str">
        <f>INDEX(Data,2,2+MOD(ROWS(C$2:C7187)-1,24))</f>
        <v>10.00</v>
      </c>
      <c r="D7187" s="8">
        <f t="shared" ca="1" si="338"/>
        <v>12</v>
      </c>
      <c r="E7187" s="16">
        <f t="shared" ca="1" si="339"/>
        <v>0</v>
      </c>
    </row>
    <row r="7188" spans="1:5" x14ac:dyDescent="0.25">
      <c r="A7188" s="3">
        <f t="shared" si="337"/>
        <v>78989</v>
      </c>
      <c r="B7188" t="str">
        <f ca="1">TEXT(DATE(YEAR(Invoer!$A$5),1,1)+INT((ROWS(B$2:B7188)-1)/24),"""18""jjmmdd")</f>
        <v>18981027</v>
      </c>
      <c r="C7188" s="11" t="str">
        <f>INDEX(Data,2,2+MOD(ROWS(C$2:C7188)-1,24))</f>
        <v>11.00</v>
      </c>
      <c r="D7188" s="8">
        <f t="shared" ca="1" si="338"/>
        <v>12</v>
      </c>
      <c r="E7188" s="16">
        <f t="shared" ca="1" si="339"/>
        <v>0</v>
      </c>
    </row>
    <row r="7189" spans="1:5" x14ac:dyDescent="0.25">
      <c r="A7189" s="3">
        <f t="shared" si="337"/>
        <v>78989</v>
      </c>
      <c r="B7189" t="str">
        <f ca="1">TEXT(DATE(YEAR(Invoer!$A$5),1,1)+INT((ROWS(B$2:B7189)-1)/24),"""18""jjmmdd")</f>
        <v>18981027</v>
      </c>
      <c r="C7189" s="11" t="str">
        <f>INDEX(Data,2,2+MOD(ROWS(C$2:C7189)-1,24))</f>
        <v>12.00</v>
      </c>
      <c r="D7189" s="8">
        <f t="shared" ca="1" si="338"/>
        <v>12</v>
      </c>
      <c r="E7189" s="16">
        <f t="shared" ca="1" si="339"/>
        <v>0</v>
      </c>
    </row>
    <row r="7190" spans="1:5" x14ac:dyDescent="0.25">
      <c r="A7190" s="3">
        <f t="shared" si="337"/>
        <v>78989</v>
      </c>
      <c r="B7190" t="str">
        <f ca="1">TEXT(DATE(YEAR(Invoer!$A$5),1,1)+INT((ROWS(B$2:B7190)-1)/24),"""18""jjmmdd")</f>
        <v>18981027</v>
      </c>
      <c r="C7190" s="11" t="str">
        <f>INDEX(Data,2,2+MOD(ROWS(C$2:C7190)-1,24))</f>
        <v>13.00</v>
      </c>
      <c r="D7190" s="8">
        <f t="shared" ca="1" si="338"/>
        <v>14</v>
      </c>
      <c r="E7190" s="16">
        <f t="shared" ca="1" si="339"/>
        <v>0</v>
      </c>
    </row>
    <row r="7191" spans="1:5" x14ac:dyDescent="0.25">
      <c r="A7191" s="3">
        <f t="shared" si="337"/>
        <v>78989</v>
      </c>
      <c r="B7191" t="str">
        <f ca="1">TEXT(DATE(YEAR(Invoer!$A$5),1,1)+INT((ROWS(B$2:B7191)-1)/24),"""18""jjmmdd")</f>
        <v>18981027</v>
      </c>
      <c r="C7191" s="11" t="str">
        <f>INDEX(Data,2,2+MOD(ROWS(C$2:C7191)-1,24))</f>
        <v>14.00</v>
      </c>
      <c r="D7191" s="8">
        <f t="shared" ca="1" si="338"/>
        <v>10</v>
      </c>
      <c r="E7191" s="16">
        <f t="shared" ca="1" si="339"/>
        <v>0</v>
      </c>
    </row>
    <row r="7192" spans="1:5" x14ac:dyDescent="0.25">
      <c r="A7192" s="3">
        <f t="shared" si="337"/>
        <v>78989</v>
      </c>
      <c r="B7192" t="str">
        <f ca="1">TEXT(DATE(YEAR(Invoer!$A$5),1,1)+INT((ROWS(B$2:B7192)-1)/24),"""18""jjmmdd")</f>
        <v>18981027</v>
      </c>
      <c r="C7192" s="11" t="str">
        <f>INDEX(Data,2,2+MOD(ROWS(C$2:C7192)-1,24))</f>
        <v>15.00</v>
      </c>
      <c r="D7192" s="8">
        <f t="shared" ca="1" si="338"/>
        <v>11</v>
      </c>
      <c r="E7192" s="16">
        <f t="shared" ca="1" si="339"/>
        <v>0</v>
      </c>
    </row>
    <row r="7193" spans="1:5" x14ac:dyDescent="0.25">
      <c r="A7193" s="3">
        <f t="shared" si="337"/>
        <v>78989</v>
      </c>
      <c r="B7193" t="str">
        <f ca="1">TEXT(DATE(YEAR(Invoer!$A$5),1,1)+INT((ROWS(B$2:B7193)-1)/24),"""18""jjmmdd")</f>
        <v>18981027</v>
      </c>
      <c r="C7193" s="11" t="str">
        <f>INDEX(Data,2,2+MOD(ROWS(C$2:C7193)-1,24))</f>
        <v>16.00</v>
      </c>
      <c r="D7193" s="8">
        <f t="shared" ca="1" si="338"/>
        <v>11</v>
      </c>
      <c r="E7193" s="16">
        <f t="shared" ca="1" si="339"/>
        <v>0</v>
      </c>
    </row>
    <row r="7194" spans="1:5" x14ac:dyDescent="0.25">
      <c r="A7194" s="3">
        <f t="shared" si="337"/>
        <v>78989</v>
      </c>
      <c r="B7194" t="str">
        <f ca="1">TEXT(DATE(YEAR(Invoer!$A$5),1,1)+INT((ROWS(B$2:B7194)-1)/24),"""18""jjmmdd")</f>
        <v>18981027</v>
      </c>
      <c r="C7194" s="11" t="str">
        <f>INDEX(Data,2,2+MOD(ROWS(C$2:C7194)-1,24))</f>
        <v>17.00</v>
      </c>
      <c r="D7194" s="8">
        <f t="shared" ca="1" si="338"/>
        <v>11</v>
      </c>
      <c r="E7194" s="16">
        <f t="shared" ca="1" si="339"/>
        <v>0</v>
      </c>
    </row>
    <row r="7195" spans="1:5" x14ac:dyDescent="0.25">
      <c r="A7195" s="3">
        <f t="shared" si="337"/>
        <v>78989</v>
      </c>
      <c r="B7195" t="str">
        <f ca="1">TEXT(DATE(YEAR(Invoer!$A$5),1,1)+INT((ROWS(B$2:B7195)-1)/24),"""18""jjmmdd")</f>
        <v>18981027</v>
      </c>
      <c r="C7195" s="11" t="str">
        <f>INDEX(Data,2,2+MOD(ROWS(C$2:C7195)-1,24))</f>
        <v>18.00</v>
      </c>
      <c r="D7195" s="8">
        <f t="shared" ca="1" si="338"/>
        <v>9</v>
      </c>
      <c r="E7195" s="16">
        <f t="shared" ca="1" si="339"/>
        <v>0</v>
      </c>
    </row>
    <row r="7196" spans="1:5" x14ac:dyDescent="0.25">
      <c r="A7196" s="3">
        <f t="shared" si="337"/>
        <v>78989</v>
      </c>
      <c r="B7196" t="str">
        <f ca="1">TEXT(DATE(YEAR(Invoer!$A$5),1,1)+INT((ROWS(B$2:B7196)-1)/24),"""18""jjmmdd")</f>
        <v>18981027</v>
      </c>
      <c r="C7196" s="11" t="str">
        <f>INDEX(Data,2,2+MOD(ROWS(C$2:C7196)-1,24))</f>
        <v>19.00</v>
      </c>
      <c r="D7196" s="8">
        <f t="shared" ca="1" si="338"/>
        <v>8</v>
      </c>
      <c r="E7196" s="16">
        <f t="shared" ca="1" si="339"/>
        <v>0</v>
      </c>
    </row>
    <row r="7197" spans="1:5" x14ac:dyDescent="0.25">
      <c r="A7197" s="3">
        <f t="shared" si="337"/>
        <v>78989</v>
      </c>
      <c r="B7197" t="str">
        <f ca="1">TEXT(DATE(YEAR(Invoer!$A$5),1,1)+INT((ROWS(B$2:B7197)-1)/24),"""18""jjmmdd")</f>
        <v>18981027</v>
      </c>
      <c r="C7197" s="11" t="str">
        <f>INDEX(Data,2,2+MOD(ROWS(C$2:C7197)-1,24))</f>
        <v>20.00</v>
      </c>
      <c r="D7197" s="8">
        <f t="shared" ca="1" si="338"/>
        <v>7</v>
      </c>
      <c r="E7197" s="16">
        <f t="shared" ca="1" si="339"/>
        <v>0</v>
      </c>
    </row>
    <row r="7198" spans="1:5" x14ac:dyDescent="0.25">
      <c r="A7198" s="3">
        <f t="shared" si="337"/>
        <v>78989</v>
      </c>
      <c r="B7198" t="str">
        <f ca="1">TEXT(DATE(YEAR(Invoer!$A$5),1,1)+INT((ROWS(B$2:B7198)-1)/24),"""18""jjmmdd")</f>
        <v>18981027</v>
      </c>
      <c r="C7198" s="11" t="str">
        <f>INDEX(Data,2,2+MOD(ROWS(C$2:C7198)-1,24))</f>
        <v>21.00</v>
      </c>
      <c r="D7198" s="8">
        <f t="shared" ca="1" si="338"/>
        <v>7</v>
      </c>
      <c r="E7198" s="16">
        <f t="shared" ca="1" si="339"/>
        <v>0</v>
      </c>
    </row>
    <row r="7199" spans="1:5" x14ac:dyDescent="0.25">
      <c r="A7199" s="3">
        <f t="shared" si="337"/>
        <v>78989</v>
      </c>
      <c r="B7199" t="str">
        <f ca="1">TEXT(DATE(YEAR(Invoer!$A$5),1,1)+INT((ROWS(B$2:B7199)-1)/24),"""18""jjmmdd")</f>
        <v>18981027</v>
      </c>
      <c r="C7199" s="11" t="str">
        <f>INDEX(Data,2,2+MOD(ROWS(C$2:C7199)-1,24))</f>
        <v>22.00</v>
      </c>
      <c r="D7199" s="8">
        <f t="shared" ca="1" si="338"/>
        <v>4</v>
      </c>
      <c r="E7199" s="16">
        <f t="shared" ca="1" si="339"/>
        <v>0</v>
      </c>
    </row>
    <row r="7200" spans="1:5" x14ac:dyDescent="0.25">
      <c r="A7200" s="3">
        <f t="shared" si="337"/>
        <v>78989</v>
      </c>
      <c r="B7200" t="str">
        <f ca="1">TEXT(DATE(YEAR(Invoer!$A$5),1,1)+INT((ROWS(B$2:B7200)-1)/24),"""18""jjmmdd")</f>
        <v>18981027</v>
      </c>
      <c r="C7200" s="11" t="str">
        <f>INDEX(Data,2,2+MOD(ROWS(C$2:C7200)-1,24))</f>
        <v>23.00</v>
      </c>
      <c r="D7200" s="8">
        <f t="shared" ca="1" si="338"/>
        <v>5</v>
      </c>
      <c r="E7200" s="16">
        <f t="shared" ca="1" si="339"/>
        <v>0</v>
      </c>
    </row>
    <row r="7201" spans="1:5" x14ac:dyDescent="0.25">
      <c r="A7201" s="3">
        <f t="shared" si="337"/>
        <v>78989</v>
      </c>
      <c r="B7201" t="str">
        <f ca="1">TEXT(DATE(YEAR(Invoer!$A$5),1,1)+INT((ROWS(B$2:B7201)-1)/24),"""18""jjmmdd")</f>
        <v>18981027</v>
      </c>
      <c r="C7201" s="11" t="str">
        <f>INDEX(Data,2,2+MOD(ROWS(C$2:C7201)-1,24))</f>
        <v>24.00</v>
      </c>
      <c r="D7201" s="8">
        <f t="shared" ca="1" si="338"/>
        <v>5</v>
      </c>
      <c r="E7201" s="16">
        <f t="shared" ca="1" si="339"/>
        <v>0</v>
      </c>
    </row>
    <row r="7202" spans="1:5" x14ac:dyDescent="0.25">
      <c r="A7202" s="3">
        <f t="shared" si="337"/>
        <v>78989</v>
      </c>
      <c r="B7202" t="str">
        <f ca="1">TEXT(DATE(YEAR(Invoer!$A$5),1,1)+INT((ROWS(B$2:B7202)-1)/24),"""18""jjmmdd")</f>
        <v>18981028</v>
      </c>
      <c r="C7202" s="11" t="str">
        <f>INDEX(Data,2,2+MOD(ROWS(C$2:C7202)-1,24))</f>
        <v>01.00</v>
      </c>
      <c r="D7202" s="8">
        <f t="shared" ca="1" si="338"/>
        <v>5</v>
      </c>
      <c r="E7202" s="16">
        <f t="shared" ca="1" si="339"/>
        <v>0</v>
      </c>
    </row>
    <row r="7203" spans="1:5" x14ac:dyDescent="0.25">
      <c r="A7203" s="3">
        <f t="shared" si="337"/>
        <v>78989</v>
      </c>
      <c r="B7203" t="str">
        <f ca="1">TEXT(DATE(YEAR(Invoer!$A$5),1,1)+INT((ROWS(B$2:B7203)-1)/24),"""18""jjmmdd")</f>
        <v>18981028</v>
      </c>
      <c r="C7203" s="11" t="str">
        <f>INDEX(Data,2,2+MOD(ROWS(C$2:C7203)-1,24))</f>
        <v>02.00</v>
      </c>
      <c r="D7203" s="8">
        <f t="shared" ca="1" si="338"/>
        <v>6</v>
      </c>
      <c r="E7203" s="16">
        <f t="shared" ca="1" si="339"/>
        <v>0</v>
      </c>
    </row>
    <row r="7204" spans="1:5" x14ac:dyDescent="0.25">
      <c r="A7204" s="3">
        <f t="shared" si="337"/>
        <v>78989</v>
      </c>
      <c r="B7204" t="str">
        <f ca="1">TEXT(DATE(YEAR(Invoer!$A$5),1,1)+INT((ROWS(B$2:B7204)-1)/24),"""18""jjmmdd")</f>
        <v>18981028</v>
      </c>
      <c r="C7204" s="11" t="str">
        <f>INDEX(Data,2,2+MOD(ROWS(C$2:C7204)-1,24))</f>
        <v>03.00</v>
      </c>
      <c r="D7204" s="8">
        <f t="shared" ca="1" si="338"/>
        <v>10</v>
      </c>
      <c r="E7204" s="16">
        <f t="shared" ca="1" si="339"/>
        <v>0</v>
      </c>
    </row>
    <row r="7205" spans="1:5" x14ac:dyDescent="0.25">
      <c r="A7205" s="3">
        <f t="shared" si="337"/>
        <v>78989</v>
      </c>
      <c r="B7205" t="str">
        <f ca="1">TEXT(DATE(YEAR(Invoer!$A$5),1,1)+INT((ROWS(B$2:B7205)-1)/24),"""18""jjmmdd")</f>
        <v>18981028</v>
      </c>
      <c r="C7205" s="11" t="str">
        <f>INDEX(Data,2,2+MOD(ROWS(C$2:C7205)-1,24))</f>
        <v>04.00</v>
      </c>
      <c r="D7205" s="8">
        <f t="shared" ca="1" si="338"/>
        <v>9</v>
      </c>
      <c r="E7205" s="16">
        <f t="shared" ca="1" si="339"/>
        <v>0</v>
      </c>
    </row>
    <row r="7206" spans="1:5" x14ac:dyDescent="0.25">
      <c r="A7206" s="3">
        <f t="shared" si="337"/>
        <v>78989</v>
      </c>
      <c r="B7206" t="str">
        <f ca="1">TEXT(DATE(YEAR(Invoer!$A$5),1,1)+INT((ROWS(B$2:B7206)-1)/24),"""18""jjmmdd")</f>
        <v>18981028</v>
      </c>
      <c r="C7206" s="11" t="str">
        <f>INDEX(Data,2,2+MOD(ROWS(C$2:C7206)-1,24))</f>
        <v>05.00</v>
      </c>
      <c r="D7206" s="8">
        <f t="shared" ca="1" si="338"/>
        <v>5</v>
      </c>
      <c r="E7206" s="16">
        <f t="shared" ca="1" si="339"/>
        <v>0</v>
      </c>
    </row>
    <row r="7207" spans="1:5" x14ac:dyDescent="0.25">
      <c r="A7207" s="3">
        <f t="shared" si="337"/>
        <v>78989</v>
      </c>
      <c r="B7207" t="str">
        <f ca="1">TEXT(DATE(YEAR(Invoer!$A$5),1,1)+INT((ROWS(B$2:B7207)-1)/24),"""18""jjmmdd")</f>
        <v>18981028</v>
      </c>
      <c r="C7207" s="11" t="str">
        <f>INDEX(Data,2,2+MOD(ROWS(C$2:C7207)-1,24))</f>
        <v>06.00</v>
      </c>
      <c r="D7207" s="8">
        <f t="shared" ca="1" si="338"/>
        <v>4</v>
      </c>
      <c r="E7207" s="16">
        <f t="shared" ca="1" si="339"/>
        <v>0</v>
      </c>
    </row>
    <row r="7208" spans="1:5" x14ac:dyDescent="0.25">
      <c r="A7208" s="3">
        <f t="shared" si="337"/>
        <v>78989</v>
      </c>
      <c r="B7208" t="str">
        <f ca="1">TEXT(DATE(YEAR(Invoer!$A$5),1,1)+INT((ROWS(B$2:B7208)-1)/24),"""18""jjmmdd")</f>
        <v>18981028</v>
      </c>
      <c r="C7208" s="11" t="str">
        <f>INDEX(Data,2,2+MOD(ROWS(C$2:C7208)-1,24))</f>
        <v>07.00</v>
      </c>
      <c r="D7208" s="8">
        <f t="shared" ca="1" si="338"/>
        <v>4</v>
      </c>
      <c r="E7208" s="16">
        <f t="shared" ca="1" si="339"/>
        <v>0</v>
      </c>
    </row>
    <row r="7209" spans="1:5" x14ac:dyDescent="0.25">
      <c r="A7209" s="3">
        <f t="shared" si="337"/>
        <v>78989</v>
      </c>
      <c r="B7209" t="str">
        <f ca="1">TEXT(DATE(YEAR(Invoer!$A$5),1,1)+INT((ROWS(B$2:B7209)-1)/24),"""18""jjmmdd")</f>
        <v>18981028</v>
      </c>
      <c r="C7209" s="11" t="str">
        <f>INDEX(Data,2,2+MOD(ROWS(C$2:C7209)-1,24))</f>
        <v>08.00</v>
      </c>
      <c r="D7209" s="8">
        <f t="shared" ca="1" si="338"/>
        <v>7</v>
      </c>
      <c r="E7209" s="16">
        <f t="shared" ca="1" si="339"/>
        <v>0</v>
      </c>
    </row>
    <row r="7210" spans="1:5" x14ac:dyDescent="0.25">
      <c r="A7210" s="3">
        <f t="shared" si="337"/>
        <v>78989</v>
      </c>
      <c r="B7210" t="str">
        <f ca="1">TEXT(DATE(YEAR(Invoer!$A$5),1,1)+INT((ROWS(B$2:B7210)-1)/24),"""18""jjmmdd")</f>
        <v>18981028</v>
      </c>
      <c r="C7210" s="11" t="str">
        <f>INDEX(Data,2,2+MOD(ROWS(C$2:C7210)-1,24))</f>
        <v>09.00</v>
      </c>
      <c r="D7210" s="8">
        <f t="shared" ca="1" si="338"/>
        <v>9</v>
      </c>
      <c r="E7210" s="16">
        <f t="shared" ca="1" si="339"/>
        <v>0</v>
      </c>
    </row>
    <row r="7211" spans="1:5" x14ac:dyDescent="0.25">
      <c r="A7211" s="3">
        <f t="shared" si="337"/>
        <v>78989</v>
      </c>
      <c r="B7211" t="str">
        <f ca="1">TEXT(DATE(YEAR(Invoer!$A$5),1,1)+INT((ROWS(B$2:B7211)-1)/24),"""18""jjmmdd")</f>
        <v>18981028</v>
      </c>
      <c r="C7211" s="11" t="str">
        <f>INDEX(Data,2,2+MOD(ROWS(C$2:C7211)-1,24))</f>
        <v>10.00</v>
      </c>
      <c r="D7211" s="8">
        <f t="shared" ca="1" si="338"/>
        <v>12</v>
      </c>
      <c r="E7211" s="16">
        <f t="shared" ca="1" si="339"/>
        <v>0</v>
      </c>
    </row>
    <row r="7212" spans="1:5" x14ac:dyDescent="0.25">
      <c r="A7212" s="3">
        <f t="shared" si="337"/>
        <v>78989</v>
      </c>
      <c r="B7212" t="str">
        <f ca="1">TEXT(DATE(YEAR(Invoer!$A$5),1,1)+INT((ROWS(B$2:B7212)-1)/24),"""18""jjmmdd")</f>
        <v>18981028</v>
      </c>
      <c r="C7212" s="11" t="str">
        <f>INDEX(Data,2,2+MOD(ROWS(C$2:C7212)-1,24))</f>
        <v>11.00</v>
      </c>
      <c r="D7212" s="8">
        <f t="shared" ca="1" si="338"/>
        <v>11</v>
      </c>
      <c r="E7212" s="16">
        <f t="shared" ca="1" si="339"/>
        <v>0</v>
      </c>
    </row>
    <row r="7213" spans="1:5" x14ac:dyDescent="0.25">
      <c r="A7213" s="3">
        <f t="shared" si="337"/>
        <v>78989</v>
      </c>
      <c r="B7213" t="str">
        <f ca="1">TEXT(DATE(YEAR(Invoer!$A$5),1,1)+INT((ROWS(B$2:B7213)-1)/24),"""18""jjmmdd")</f>
        <v>18981028</v>
      </c>
      <c r="C7213" s="11" t="str">
        <f>INDEX(Data,2,2+MOD(ROWS(C$2:C7213)-1,24))</f>
        <v>12.00</v>
      </c>
      <c r="D7213" s="8">
        <f t="shared" ca="1" si="338"/>
        <v>13</v>
      </c>
      <c r="E7213" s="16">
        <f t="shared" ca="1" si="339"/>
        <v>0</v>
      </c>
    </row>
    <row r="7214" spans="1:5" x14ac:dyDescent="0.25">
      <c r="A7214" s="3">
        <f t="shared" si="337"/>
        <v>78989</v>
      </c>
      <c r="B7214" t="str">
        <f ca="1">TEXT(DATE(YEAR(Invoer!$A$5),1,1)+INT((ROWS(B$2:B7214)-1)/24),"""18""jjmmdd")</f>
        <v>18981028</v>
      </c>
      <c r="C7214" s="11" t="str">
        <f>INDEX(Data,2,2+MOD(ROWS(C$2:C7214)-1,24))</f>
        <v>13.00</v>
      </c>
      <c r="D7214" s="8">
        <f t="shared" ca="1" si="338"/>
        <v>11</v>
      </c>
      <c r="E7214" s="16">
        <f t="shared" ca="1" si="339"/>
        <v>0</v>
      </c>
    </row>
    <row r="7215" spans="1:5" x14ac:dyDescent="0.25">
      <c r="A7215" s="3">
        <f t="shared" si="337"/>
        <v>78989</v>
      </c>
      <c r="B7215" t="str">
        <f ca="1">TEXT(DATE(YEAR(Invoer!$A$5),1,1)+INT((ROWS(B$2:B7215)-1)/24),"""18""jjmmdd")</f>
        <v>18981028</v>
      </c>
      <c r="C7215" s="11" t="str">
        <f>INDEX(Data,2,2+MOD(ROWS(C$2:C7215)-1,24))</f>
        <v>14.00</v>
      </c>
      <c r="D7215" s="8">
        <f t="shared" ca="1" si="338"/>
        <v>12</v>
      </c>
      <c r="E7215" s="16">
        <f t="shared" ca="1" si="339"/>
        <v>0</v>
      </c>
    </row>
    <row r="7216" spans="1:5" x14ac:dyDescent="0.25">
      <c r="A7216" s="3">
        <f t="shared" si="337"/>
        <v>78989</v>
      </c>
      <c r="B7216" t="str">
        <f ca="1">TEXT(DATE(YEAR(Invoer!$A$5),1,1)+INT((ROWS(B$2:B7216)-1)/24),"""18""jjmmdd")</f>
        <v>18981028</v>
      </c>
      <c r="C7216" s="11" t="str">
        <f>INDEX(Data,2,2+MOD(ROWS(C$2:C7216)-1,24))</f>
        <v>15.00</v>
      </c>
      <c r="D7216" s="8">
        <f t="shared" ca="1" si="338"/>
        <v>10</v>
      </c>
      <c r="E7216" s="16">
        <f t="shared" ca="1" si="339"/>
        <v>0</v>
      </c>
    </row>
    <row r="7217" spans="1:5" x14ac:dyDescent="0.25">
      <c r="A7217" s="3">
        <f t="shared" si="337"/>
        <v>78989</v>
      </c>
      <c r="B7217" t="str">
        <f ca="1">TEXT(DATE(YEAR(Invoer!$A$5),1,1)+INT((ROWS(B$2:B7217)-1)/24),"""18""jjmmdd")</f>
        <v>18981028</v>
      </c>
      <c r="C7217" s="11" t="str">
        <f>INDEX(Data,2,2+MOD(ROWS(C$2:C7217)-1,24))</f>
        <v>16.00</v>
      </c>
      <c r="D7217" s="8">
        <f t="shared" ca="1" si="338"/>
        <v>11</v>
      </c>
      <c r="E7217" s="16">
        <f t="shared" ca="1" si="339"/>
        <v>0</v>
      </c>
    </row>
    <row r="7218" spans="1:5" x14ac:dyDescent="0.25">
      <c r="A7218" s="3">
        <f t="shared" si="337"/>
        <v>78989</v>
      </c>
      <c r="B7218" t="str">
        <f ca="1">TEXT(DATE(YEAR(Invoer!$A$5),1,1)+INT((ROWS(B$2:B7218)-1)/24),"""18""jjmmdd")</f>
        <v>18981028</v>
      </c>
      <c r="C7218" s="11" t="str">
        <f>INDEX(Data,2,2+MOD(ROWS(C$2:C7218)-1,24))</f>
        <v>17.00</v>
      </c>
      <c r="D7218" s="8">
        <f t="shared" ca="1" si="338"/>
        <v>10</v>
      </c>
      <c r="E7218" s="16">
        <f t="shared" ca="1" si="339"/>
        <v>0</v>
      </c>
    </row>
    <row r="7219" spans="1:5" x14ac:dyDescent="0.25">
      <c r="A7219" s="3">
        <f t="shared" si="337"/>
        <v>78989</v>
      </c>
      <c r="B7219" t="str">
        <f ca="1">TEXT(DATE(YEAR(Invoer!$A$5),1,1)+INT((ROWS(B$2:B7219)-1)/24),"""18""jjmmdd")</f>
        <v>18981028</v>
      </c>
      <c r="C7219" s="11" t="str">
        <f>INDEX(Data,2,2+MOD(ROWS(C$2:C7219)-1,24))</f>
        <v>18.00</v>
      </c>
      <c r="D7219" s="8">
        <f t="shared" ca="1" si="338"/>
        <v>9</v>
      </c>
      <c r="E7219" s="16">
        <f t="shared" ca="1" si="339"/>
        <v>0</v>
      </c>
    </row>
    <row r="7220" spans="1:5" x14ac:dyDescent="0.25">
      <c r="A7220" s="3">
        <f t="shared" si="337"/>
        <v>78989</v>
      </c>
      <c r="B7220" t="str">
        <f ca="1">TEXT(DATE(YEAR(Invoer!$A$5),1,1)+INT((ROWS(B$2:B7220)-1)/24),"""18""jjmmdd")</f>
        <v>18981028</v>
      </c>
      <c r="C7220" s="11" t="str">
        <f>INDEX(Data,2,2+MOD(ROWS(C$2:C7220)-1,24))</f>
        <v>19.00</v>
      </c>
      <c r="D7220" s="8">
        <f t="shared" ca="1" si="338"/>
        <v>8</v>
      </c>
      <c r="E7220" s="16">
        <f t="shared" ca="1" si="339"/>
        <v>0</v>
      </c>
    </row>
    <row r="7221" spans="1:5" x14ac:dyDescent="0.25">
      <c r="A7221" s="3">
        <f t="shared" si="337"/>
        <v>78989</v>
      </c>
      <c r="B7221" t="str">
        <f ca="1">TEXT(DATE(YEAR(Invoer!$A$5),1,1)+INT((ROWS(B$2:B7221)-1)/24),"""18""jjmmdd")</f>
        <v>18981028</v>
      </c>
      <c r="C7221" s="11" t="str">
        <f>INDEX(Data,2,2+MOD(ROWS(C$2:C7221)-1,24))</f>
        <v>20.00</v>
      </c>
      <c r="D7221" s="8">
        <f t="shared" ca="1" si="338"/>
        <v>5</v>
      </c>
      <c r="E7221" s="16">
        <f t="shared" ca="1" si="339"/>
        <v>0</v>
      </c>
    </row>
    <row r="7222" spans="1:5" x14ac:dyDescent="0.25">
      <c r="A7222" s="3">
        <f t="shared" si="337"/>
        <v>78989</v>
      </c>
      <c r="B7222" t="str">
        <f ca="1">TEXT(DATE(YEAR(Invoer!$A$5),1,1)+INT((ROWS(B$2:B7222)-1)/24),"""18""jjmmdd")</f>
        <v>18981028</v>
      </c>
      <c r="C7222" s="11" t="str">
        <f>INDEX(Data,2,2+MOD(ROWS(C$2:C7222)-1,24))</f>
        <v>21.00</v>
      </c>
      <c r="D7222" s="8">
        <f t="shared" ca="1" si="338"/>
        <v>8</v>
      </c>
      <c r="E7222" s="16">
        <f t="shared" ca="1" si="339"/>
        <v>0</v>
      </c>
    </row>
    <row r="7223" spans="1:5" x14ac:dyDescent="0.25">
      <c r="A7223" s="3">
        <f t="shared" si="337"/>
        <v>78989</v>
      </c>
      <c r="B7223" t="str">
        <f ca="1">TEXT(DATE(YEAR(Invoer!$A$5),1,1)+INT((ROWS(B$2:B7223)-1)/24),"""18""jjmmdd")</f>
        <v>18981028</v>
      </c>
      <c r="C7223" s="11" t="str">
        <f>INDEX(Data,2,2+MOD(ROWS(C$2:C7223)-1,24))</f>
        <v>22.00</v>
      </c>
      <c r="D7223" s="8">
        <f t="shared" ca="1" si="338"/>
        <v>6</v>
      </c>
      <c r="E7223" s="16">
        <f t="shared" ca="1" si="339"/>
        <v>0</v>
      </c>
    </row>
    <row r="7224" spans="1:5" x14ac:dyDescent="0.25">
      <c r="A7224" s="3">
        <f t="shared" si="337"/>
        <v>78989</v>
      </c>
      <c r="B7224" t="str">
        <f ca="1">TEXT(DATE(YEAR(Invoer!$A$5),1,1)+INT((ROWS(B$2:B7224)-1)/24),"""18""jjmmdd")</f>
        <v>18981028</v>
      </c>
      <c r="C7224" s="11" t="str">
        <f>INDEX(Data,2,2+MOD(ROWS(C$2:C7224)-1,24))</f>
        <v>23.00</v>
      </c>
      <c r="D7224" s="8">
        <f t="shared" ca="1" si="338"/>
        <v>5</v>
      </c>
      <c r="E7224" s="16">
        <f t="shared" ca="1" si="339"/>
        <v>0</v>
      </c>
    </row>
    <row r="7225" spans="1:5" x14ac:dyDescent="0.25">
      <c r="A7225" s="3">
        <f t="shared" si="337"/>
        <v>78989</v>
      </c>
      <c r="B7225" t="str">
        <f ca="1">TEXT(DATE(YEAR(Invoer!$A$5),1,1)+INT((ROWS(B$2:B7225)-1)/24),"""18""jjmmdd")</f>
        <v>18981028</v>
      </c>
      <c r="C7225" s="11" t="str">
        <f>INDEX(Data,2,2+MOD(ROWS(C$2:C7225)-1,24))</f>
        <v>24.00</v>
      </c>
      <c r="D7225" s="8">
        <f t="shared" ca="1" si="338"/>
        <v>4</v>
      </c>
      <c r="E7225" s="16">
        <f t="shared" ca="1" si="339"/>
        <v>0</v>
      </c>
    </row>
    <row r="7226" spans="1:5" x14ac:dyDescent="0.25">
      <c r="A7226" s="3">
        <f t="shared" si="337"/>
        <v>78989</v>
      </c>
      <c r="B7226" t="str">
        <f ca="1">TEXT(DATE(YEAR(Invoer!$A$5),1,1)+INT((ROWS(B$2:B7226)-1)/24),"""18""jjmmdd")</f>
        <v>18981029</v>
      </c>
      <c r="C7226" s="11" t="str">
        <f>INDEX(Data,2,2+MOD(ROWS(C$2:C7226)-1,24))</f>
        <v>01.00</v>
      </c>
      <c r="D7226" s="8">
        <f t="shared" ca="1" si="338"/>
        <v>4</v>
      </c>
      <c r="E7226" s="16">
        <f t="shared" ca="1" si="339"/>
        <v>0</v>
      </c>
    </row>
    <row r="7227" spans="1:5" x14ac:dyDescent="0.25">
      <c r="A7227" s="3">
        <f t="shared" si="337"/>
        <v>78989</v>
      </c>
      <c r="B7227" t="str">
        <f ca="1">TEXT(DATE(YEAR(Invoer!$A$5),1,1)+INT((ROWS(B$2:B7227)-1)/24),"""18""jjmmdd")</f>
        <v>18981029</v>
      </c>
      <c r="C7227" s="11" t="str">
        <f>INDEX(Data,2,2+MOD(ROWS(C$2:C7227)-1,24))</f>
        <v>02.00</v>
      </c>
      <c r="D7227" s="8">
        <f t="shared" ca="1" si="338"/>
        <v>5</v>
      </c>
      <c r="E7227" s="16">
        <f t="shared" ca="1" si="339"/>
        <v>0</v>
      </c>
    </row>
    <row r="7228" spans="1:5" x14ac:dyDescent="0.25">
      <c r="A7228" s="3">
        <f t="shared" si="337"/>
        <v>78989</v>
      </c>
      <c r="B7228" t="str">
        <f ca="1">TEXT(DATE(YEAR(Invoer!$A$5),1,1)+INT((ROWS(B$2:B7228)-1)/24),"""18""jjmmdd")</f>
        <v>18981029</v>
      </c>
      <c r="C7228" s="11" t="str">
        <f>INDEX(Data,2,2+MOD(ROWS(C$2:C7228)-1,24))</f>
        <v>03.00</v>
      </c>
      <c r="D7228" s="8">
        <f t="shared" ca="1" si="338"/>
        <v>5</v>
      </c>
      <c r="E7228" s="16">
        <f t="shared" ca="1" si="339"/>
        <v>0</v>
      </c>
    </row>
    <row r="7229" spans="1:5" x14ac:dyDescent="0.25">
      <c r="A7229" s="3">
        <f t="shared" si="337"/>
        <v>78989</v>
      </c>
      <c r="B7229" t="str">
        <f ca="1">TEXT(DATE(YEAR(Invoer!$A$5),1,1)+INT((ROWS(B$2:B7229)-1)/24),"""18""jjmmdd")</f>
        <v>18981029</v>
      </c>
      <c r="C7229" s="11" t="str">
        <f>INDEX(Data,2,2+MOD(ROWS(C$2:C7229)-1,24))</f>
        <v>04.00</v>
      </c>
      <c r="D7229" s="8">
        <f t="shared" ca="1" si="338"/>
        <v>6</v>
      </c>
      <c r="E7229" s="16">
        <f t="shared" ca="1" si="339"/>
        <v>0</v>
      </c>
    </row>
    <row r="7230" spans="1:5" x14ac:dyDescent="0.25">
      <c r="A7230" s="3">
        <f t="shared" si="337"/>
        <v>78989</v>
      </c>
      <c r="B7230" t="str">
        <f ca="1">TEXT(DATE(YEAR(Invoer!$A$5),1,1)+INT((ROWS(B$2:B7230)-1)/24),"""18""jjmmdd")</f>
        <v>18981029</v>
      </c>
      <c r="C7230" s="11" t="str">
        <f>INDEX(Data,2,2+MOD(ROWS(C$2:C7230)-1,24))</f>
        <v>05.00</v>
      </c>
      <c r="D7230" s="8">
        <f t="shared" ca="1" si="338"/>
        <v>6</v>
      </c>
      <c r="E7230" s="16">
        <f t="shared" ca="1" si="339"/>
        <v>0</v>
      </c>
    </row>
    <row r="7231" spans="1:5" x14ac:dyDescent="0.25">
      <c r="A7231" s="3">
        <f t="shared" si="337"/>
        <v>78989</v>
      </c>
      <c r="B7231" t="str">
        <f ca="1">TEXT(DATE(YEAR(Invoer!$A$5),1,1)+INT((ROWS(B$2:B7231)-1)/24),"""18""jjmmdd")</f>
        <v>18981029</v>
      </c>
      <c r="C7231" s="11" t="str">
        <f>INDEX(Data,2,2+MOD(ROWS(C$2:C7231)-1,24))</f>
        <v>06.00</v>
      </c>
      <c r="D7231" s="8">
        <f t="shared" ca="1" si="338"/>
        <v>6</v>
      </c>
      <c r="E7231" s="16">
        <f t="shared" ca="1" si="339"/>
        <v>0</v>
      </c>
    </row>
    <row r="7232" spans="1:5" x14ac:dyDescent="0.25">
      <c r="A7232" s="3">
        <f t="shared" si="337"/>
        <v>78989</v>
      </c>
      <c r="B7232" t="str">
        <f ca="1">TEXT(DATE(YEAR(Invoer!$A$5),1,1)+INT((ROWS(B$2:B7232)-1)/24),"""18""jjmmdd")</f>
        <v>18981029</v>
      </c>
      <c r="C7232" s="11" t="str">
        <f>INDEX(Data,2,2+MOD(ROWS(C$2:C7232)-1,24))</f>
        <v>07.00</v>
      </c>
      <c r="D7232" s="8">
        <f t="shared" ca="1" si="338"/>
        <v>8</v>
      </c>
      <c r="E7232" s="16">
        <f t="shared" ca="1" si="339"/>
        <v>0</v>
      </c>
    </row>
    <row r="7233" spans="1:5" x14ac:dyDescent="0.25">
      <c r="A7233" s="3">
        <f t="shared" si="337"/>
        <v>78989</v>
      </c>
      <c r="B7233" t="str">
        <f ca="1">TEXT(DATE(YEAR(Invoer!$A$5),1,1)+INT((ROWS(B$2:B7233)-1)/24),"""18""jjmmdd")</f>
        <v>18981029</v>
      </c>
      <c r="C7233" s="11" t="str">
        <f>INDEX(Data,2,2+MOD(ROWS(C$2:C7233)-1,24))</f>
        <v>08.00</v>
      </c>
      <c r="D7233" s="8">
        <f t="shared" ca="1" si="338"/>
        <v>12</v>
      </c>
      <c r="E7233" s="16">
        <f t="shared" ca="1" si="339"/>
        <v>0</v>
      </c>
    </row>
    <row r="7234" spans="1:5" x14ac:dyDescent="0.25">
      <c r="A7234" s="3">
        <f t="shared" ref="A7234:A7297" si="340">INDEX(Stations,2,1)</f>
        <v>78989</v>
      </c>
      <c r="B7234" t="str">
        <f ca="1">TEXT(DATE(YEAR(Invoer!$A$5),1,1)+INT((ROWS(B$2:B7234)-1)/24),"""18""jjmmdd")</f>
        <v>18981029</v>
      </c>
      <c r="C7234" s="11" t="str">
        <f>INDEX(Data,2,2+MOD(ROWS(C$2:C7234)-1,24))</f>
        <v>09.00</v>
      </c>
      <c r="D7234" s="8">
        <f t="shared" ref="D7234:D7297" ca="1" si="341">IF(OR(ISBLANK(VLOOKUP(DATEVALUE("37"&amp;MID($B7234,3,2)&amp;"-"&amp;MID($B7234,5,2)&amp;"-"&amp;RIGHT($B7234,2)),Data,MATCH(LEFT(VLOOKUP(D$1,Parameters,2,FALSE()),4)&amp;"*",OFFSET(Data,0,0,1),0)+MATCH($C7234,OFFSET(Data,1,0,1),0)-2,FALSE())),ISTEXT(VLOOKUP(DATEVALUE("37"&amp;MID($B7234,3,2)&amp;"-"&amp;MID($B7234,5,2)&amp;"-"&amp;RIGHT($B7234,2)),Data,MATCH(LEFT(VLOOKUP(D$1,Parameters,2,FALSE()),4)&amp;"*",OFFSET(Data,0,0,1),0)+MATCH($C7234,OFFSET(Data,1,0,1),0)-2,FALSE()))),"—",VLOOKUP(DATEVALUE("37"&amp;MID($B7234,3,2)&amp;"-"&amp;MID($B7234,5,2)&amp;"-"&amp;RIGHT($B7234,2)),Data,MATCH(LEFT(VLOOKUP(D$1,Parameters,2,FALSE()),4)&amp;"*",OFFSET(Data,0,0,1),0)+MATCH($C7234,OFFSET(Data,1,0,1),0)-2,FALSE()))</f>
        <v>11</v>
      </c>
      <c r="E7234" s="16">
        <f t="shared" ca="1" si="339"/>
        <v>0</v>
      </c>
    </row>
    <row r="7235" spans="1:5" x14ac:dyDescent="0.25">
      <c r="A7235" s="3">
        <f t="shared" si="340"/>
        <v>78989</v>
      </c>
      <c r="B7235" t="str">
        <f ca="1">TEXT(DATE(YEAR(Invoer!$A$5),1,1)+INT((ROWS(B$2:B7235)-1)/24),"""18""jjmmdd")</f>
        <v>18981029</v>
      </c>
      <c r="C7235" s="11" t="str">
        <f>INDEX(Data,2,2+MOD(ROWS(C$2:C7235)-1,24))</f>
        <v>10.00</v>
      </c>
      <c r="D7235" s="8">
        <f t="shared" ca="1" si="341"/>
        <v>12</v>
      </c>
      <c r="E7235" s="16">
        <f t="shared" ref="E7235:E7298" ca="1" si="342">IF(OR(ISBLANK(VLOOKUP(DATEVALUE("37"&amp;MID($B7235,3,2)&amp;"-"&amp;MID($B7235,5,2)&amp;"-"&amp;RIGHT($B7235,2)),Data,MATCH(LEFT(VLOOKUP(D$1,Parameters,2,FALSE()),4)&amp;"*",OFFSET(Data,0,0,1),0)+MATCH($C7235,OFFSET(Data,1,0,1),0)-2,FALSE())),ISTEXT(VLOOKUP(DATEVALUE("37"&amp;MID($B7235,3,2)&amp;"-"&amp;MID($B7235,5,2)&amp;"-"&amp;RIGHT($B7235,2)),Data,MATCH(LEFT(VLOOKUP(D$1,Parameters,2,FALSE()),4)&amp;"*",OFFSET(Data,0,0,1),0)+MATCH($C7235,OFFSET(Data,1,0,1),0)-2,FALSE()))),Lacking,IF(ISNA(MATCH(DATEVALUE("37"&amp;MID($B7235,3,2)&amp;"-"&amp;MID($B7235,5,2)&amp;"-"&amp;RIGHT($B7235,2)),OFFSET(Catalogus,0,0,,1),0)),Ok,VLOOKUP(DATEVALUE("37"&amp;MID($B7235,3,2)&amp;"-"&amp;MID($B7235,5,2)&amp;"-"&amp;RIGHT($B7235,2)),Catalogus,MATCH(LEFT(VLOOKUP(MID(E$1,2,LEN(E$1)-1),Parameters,2,FALSE()),4)&amp;"*",OFFSET(Catalogus,0,0,1),0)+MATCH($C7235,OFFSET(Catalogus,1,0,1),0)-2,FALSE())))</f>
        <v>0</v>
      </c>
    </row>
    <row r="7236" spans="1:5" x14ac:dyDescent="0.25">
      <c r="A7236" s="3">
        <f t="shared" si="340"/>
        <v>78989</v>
      </c>
      <c r="B7236" t="str">
        <f ca="1">TEXT(DATE(YEAR(Invoer!$A$5),1,1)+INT((ROWS(B$2:B7236)-1)/24),"""18""jjmmdd")</f>
        <v>18981029</v>
      </c>
      <c r="C7236" s="11" t="str">
        <f>INDEX(Data,2,2+MOD(ROWS(C$2:C7236)-1,24))</f>
        <v>11.00</v>
      </c>
      <c r="D7236" s="8">
        <f t="shared" ca="1" si="341"/>
        <v>14</v>
      </c>
      <c r="E7236" s="16">
        <f t="shared" ca="1" si="342"/>
        <v>0</v>
      </c>
    </row>
    <row r="7237" spans="1:5" x14ac:dyDescent="0.25">
      <c r="A7237" s="3">
        <f t="shared" si="340"/>
        <v>78989</v>
      </c>
      <c r="B7237" t="str">
        <f ca="1">TEXT(DATE(YEAR(Invoer!$A$5),1,1)+INT((ROWS(B$2:B7237)-1)/24),"""18""jjmmdd")</f>
        <v>18981029</v>
      </c>
      <c r="C7237" s="11" t="str">
        <f>INDEX(Data,2,2+MOD(ROWS(C$2:C7237)-1,24))</f>
        <v>12.00</v>
      </c>
      <c r="D7237" s="8">
        <f t="shared" ca="1" si="341"/>
        <v>14</v>
      </c>
      <c r="E7237" s="16">
        <f t="shared" ca="1" si="342"/>
        <v>0</v>
      </c>
    </row>
    <row r="7238" spans="1:5" x14ac:dyDescent="0.25">
      <c r="A7238" s="3">
        <f t="shared" si="340"/>
        <v>78989</v>
      </c>
      <c r="B7238" t="str">
        <f ca="1">TEXT(DATE(YEAR(Invoer!$A$5),1,1)+INT((ROWS(B$2:B7238)-1)/24),"""18""jjmmdd")</f>
        <v>18981029</v>
      </c>
      <c r="C7238" s="11" t="str">
        <f>INDEX(Data,2,2+MOD(ROWS(C$2:C7238)-1,24))</f>
        <v>13.00</v>
      </c>
      <c r="D7238" s="8">
        <f t="shared" ca="1" si="341"/>
        <v>11</v>
      </c>
      <c r="E7238" s="16">
        <f t="shared" ca="1" si="342"/>
        <v>0</v>
      </c>
    </row>
    <row r="7239" spans="1:5" x14ac:dyDescent="0.25">
      <c r="A7239" s="3">
        <f t="shared" si="340"/>
        <v>78989</v>
      </c>
      <c r="B7239" t="str">
        <f ca="1">TEXT(DATE(YEAR(Invoer!$A$5),1,1)+INT((ROWS(B$2:B7239)-1)/24),"""18""jjmmdd")</f>
        <v>18981029</v>
      </c>
      <c r="C7239" s="11" t="str">
        <f>INDEX(Data,2,2+MOD(ROWS(C$2:C7239)-1,24))</f>
        <v>14.00</v>
      </c>
      <c r="D7239" s="8">
        <f t="shared" ca="1" si="341"/>
        <v>11</v>
      </c>
      <c r="E7239" s="16">
        <f t="shared" ca="1" si="342"/>
        <v>0</v>
      </c>
    </row>
    <row r="7240" spans="1:5" x14ac:dyDescent="0.25">
      <c r="A7240" s="3">
        <f t="shared" si="340"/>
        <v>78989</v>
      </c>
      <c r="B7240" t="str">
        <f ca="1">TEXT(DATE(YEAR(Invoer!$A$5),1,1)+INT((ROWS(B$2:B7240)-1)/24),"""18""jjmmdd")</f>
        <v>18981029</v>
      </c>
      <c r="C7240" s="11" t="str">
        <f>INDEX(Data,2,2+MOD(ROWS(C$2:C7240)-1,24))</f>
        <v>15.00</v>
      </c>
      <c r="D7240" s="8">
        <f t="shared" ca="1" si="341"/>
        <v>11</v>
      </c>
      <c r="E7240" s="16">
        <f t="shared" ca="1" si="342"/>
        <v>0</v>
      </c>
    </row>
    <row r="7241" spans="1:5" x14ac:dyDescent="0.25">
      <c r="A7241" s="3">
        <f t="shared" si="340"/>
        <v>78989</v>
      </c>
      <c r="B7241" t="str">
        <f ca="1">TEXT(DATE(YEAR(Invoer!$A$5),1,1)+INT((ROWS(B$2:B7241)-1)/24),"""18""jjmmdd")</f>
        <v>18981029</v>
      </c>
      <c r="C7241" s="11" t="str">
        <f>INDEX(Data,2,2+MOD(ROWS(C$2:C7241)-1,24))</f>
        <v>16.00</v>
      </c>
      <c r="D7241" s="8">
        <f t="shared" ca="1" si="341"/>
        <v>12</v>
      </c>
      <c r="E7241" s="16">
        <f t="shared" ca="1" si="342"/>
        <v>0</v>
      </c>
    </row>
    <row r="7242" spans="1:5" x14ac:dyDescent="0.25">
      <c r="A7242" s="3">
        <f t="shared" si="340"/>
        <v>78989</v>
      </c>
      <c r="B7242" t="str">
        <f ca="1">TEXT(DATE(YEAR(Invoer!$A$5),1,1)+INT((ROWS(B$2:B7242)-1)/24),"""18""jjmmdd")</f>
        <v>18981029</v>
      </c>
      <c r="C7242" s="11" t="str">
        <f>INDEX(Data,2,2+MOD(ROWS(C$2:C7242)-1,24))</f>
        <v>17.00</v>
      </c>
      <c r="D7242" s="8">
        <f t="shared" ca="1" si="341"/>
        <v>10</v>
      </c>
      <c r="E7242" s="16">
        <f t="shared" ca="1" si="342"/>
        <v>0</v>
      </c>
    </row>
    <row r="7243" spans="1:5" x14ac:dyDescent="0.25">
      <c r="A7243" s="3">
        <f t="shared" si="340"/>
        <v>78989</v>
      </c>
      <c r="B7243" t="str">
        <f ca="1">TEXT(DATE(YEAR(Invoer!$A$5),1,1)+INT((ROWS(B$2:B7243)-1)/24),"""18""jjmmdd")</f>
        <v>18981029</v>
      </c>
      <c r="C7243" s="11" t="str">
        <f>INDEX(Data,2,2+MOD(ROWS(C$2:C7243)-1,24))</f>
        <v>18.00</v>
      </c>
      <c r="D7243" s="8">
        <f t="shared" ca="1" si="341"/>
        <v>8</v>
      </c>
      <c r="E7243" s="16">
        <f t="shared" ca="1" si="342"/>
        <v>0</v>
      </c>
    </row>
    <row r="7244" spans="1:5" x14ac:dyDescent="0.25">
      <c r="A7244" s="3">
        <f t="shared" si="340"/>
        <v>78989</v>
      </c>
      <c r="B7244" t="str">
        <f ca="1">TEXT(DATE(YEAR(Invoer!$A$5),1,1)+INT((ROWS(B$2:B7244)-1)/24),"""18""jjmmdd")</f>
        <v>18981029</v>
      </c>
      <c r="C7244" s="11" t="str">
        <f>INDEX(Data,2,2+MOD(ROWS(C$2:C7244)-1,24))</f>
        <v>19.00</v>
      </c>
      <c r="D7244" s="8">
        <f t="shared" ca="1" si="341"/>
        <v>9</v>
      </c>
      <c r="E7244" s="16">
        <f t="shared" ca="1" si="342"/>
        <v>0</v>
      </c>
    </row>
    <row r="7245" spans="1:5" x14ac:dyDescent="0.25">
      <c r="A7245" s="3">
        <f t="shared" si="340"/>
        <v>78989</v>
      </c>
      <c r="B7245" t="str">
        <f ca="1">TEXT(DATE(YEAR(Invoer!$A$5),1,1)+INT((ROWS(B$2:B7245)-1)/24),"""18""jjmmdd")</f>
        <v>18981029</v>
      </c>
      <c r="C7245" s="11" t="str">
        <f>INDEX(Data,2,2+MOD(ROWS(C$2:C7245)-1,24))</f>
        <v>20.00</v>
      </c>
      <c r="D7245" s="8">
        <f t="shared" ca="1" si="341"/>
        <v>10</v>
      </c>
      <c r="E7245" s="16">
        <f t="shared" ca="1" si="342"/>
        <v>0</v>
      </c>
    </row>
    <row r="7246" spans="1:5" x14ac:dyDescent="0.25">
      <c r="A7246" s="3">
        <f t="shared" si="340"/>
        <v>78989</v>
      </c>
      <c r="B7246" t="str">
        <f ca="1">TEXT(DATE(YEAR(Invoer!$A$5),1,1)+INT((ROWS(B$2:B7246)-1)/24),"""18""jjmmdd")</f>
        <v>18981029</v>
      </c>
      <c r="C7246" s="11" t="str">
        <f>INDEX(Data,2,2+MOD(ROWS(C$2:C7246)-1,24))</f>
        <v>21.00</v>
      </c>
      <c r="D7246" s="8">
        <f t="shared" ca="1" si="341"/>
        <v>9</v>
      </c>
      <c r="E7246" s="16">
        <f t="shared" ca="1" si="342"/>
        <v>0</v>
      </c>
    </row>
    <row r="7247" spans="1:5" x14ac:dyDescent="0.25">
      <c r="A7247" s="3">
        <f t="shared" si="340"/>
        <v>78989</v>
      </c>
      <c r="B7247" t="str">
        <f ca="1">TEXT(DATE(YEAR(Invoer!$A$5),1,1)+INT((ROWS(B$2:B7247)-1)/24),"""18""jjmmdd")</f>
        <v>18981029</v>
      </c>
      <c r="C7247" s="11" t="str">
        <f>INDEX(Data,2,2+MOD(ROWS(C$2:C7247)-1,24))</f>
        <v>22.00</v>
      </c>
      <c r="D7247" s="8">
        <f t="shared" ca="1" si="341"/>
        <v>7</v>
      </c>
      <c r="E7247" s="16">
        <f t="shared" ca="1" si="342"/>
        <v>0</v>
      </c>
    </row>
    <row r="7248" spans="1:5" x14ac:dyDescent="0.25">
      <c r="A7248" s="3">
        <f t="shared" si="340"/>
        <v>78989</v>
      </c>
      <c r="B7248" t="str">
        <f ca="1">TEXT(DATE(YEAR(Invoer!$A$5),1,1)+INT((ROWS(B$2:B7248)-1)/24),"""18""jjmmdd")</f>
        <v>18981029</v>
      </c>
      <c r="C7248" s="11" t="str">
        <f>INDEX(Data,2,2+MOD(ROWS(C$2:C7248)-1,24))</f>
        <v>23.00</v>
      </c>
      <c r="D7248" s="8">
        <f t="shared" ca="1" si="341"/>
        <v>6</v>
      </c>
      <c r="E7248" s="16">
        <f t="shared" ca="1" si="342"/>
        <v>0</v>
      </c>
    </row>
    <row r="7249" spans="1:5" x14ac:dyDescent="0.25">
      <c r="A7249" s="3">
        <f t="shared" si="340"/>
        <v>78989</v>
      </c>
      <c r="B7249" t="str">
        <f ca="1">TEXT(DATE(YEAR(Invoer!$A$5),1,1)+INT((ROWS(B$2:B7249)-1)/24),"""18""jjmmdd")</f>
        <v>18981029</v>
      </c>
      <c r="C7249" s="11" t="str">
        <f>INDEX(Data,2,2+MOD(ROWS(C$2:C7249)-1,24))</f>
        <v>24.00</v>
      </c>
      <c r="D7249" s="8">
        <f t="shared" ca="1" si="341"/>
        <v>6</v>
      </c>
      <c r="E7249" s="16">
        <f t="shared" ca="1" si="342"/>
        <v>0</v>
      </c>
    </row>
    <row r="7250" spans="1:5" x14ac:dyDescent="0.25">
      <c r="A7250" s="3">
        <f t="shared" si="340"/>
        <v>78989</v>
      </c>
      <c r="B7250" t="str">
        <f ca="1">TEXT(DATE(YEAR(Invoer!$A$5),1,1)+INT((ROWS(B$2:B7250)-1)/24),"""18""jjmmdd")</f>
        <v>18981030</v>
      </c>
      <c r="C7250" s="11" t="str">
        <f>INDEX(Data,2,2+MOD(ROWS(C$2:C7250)-1,24))</f>
        <v>01.00</v>
      </c>
      <c r="D7250" s="8">
        <f t="shared" ca="1" si="341"/>
        <v>7</v>
      </c>
      <c r="E7250" s="16">
        <f t="shared" ca="1" si="342"/>
        <v>0</v>
      </c>
    </row>
    <row r="7251" spans="1:5" x14ac:dyDescent="0.25">
      <c r="A7251" s="3">
        <f t="shared" si="340"/>
        <v>78989</v>
      </c>
      <c r="B7251" t="str">
        <f ca="1">TEXT(DATE(YEAR(Invoer!$A$5),1,1)+INT((ROWS(B$2:B7251)-1)/24),"""18""jjmmdd")</f>
        <v>18981030</v>
      </c>
      <c r="C7251" s="11" t="str">
        <f>INDEX(Data,2,2+MOD(ROWS(C$2:C7251)-1,24))</f>
        <v>02.00</v>
      </c>
      <c r="D7251" s="8">
        <f t="shared" ca="1" si="341"/>
        <v>10</v>
      </c>
      <c r="E7251" s="16">
        <f t="shared" ca="1" si="342"/>
        <v>0</v>
      </c>
    </row>
    <row r="7252" spans="1:5" x14ac:dyDescent="0.25">
      <c r="A7252" s="3">
        <f t="shared" si="340"/>
        <v>78989</v>
      </c>
      <c r="B7252" t="str">
        <f ca="1">TEXT(DATE(YEAR(Invoer!$A$5),1,1)+INT((ROWS(B$2:B7252)-1)/24),"""18""jjmmdd")</f>
        <v>18981030</v>
      </c>
      <c r="C7252" s="11" t="str">
        <f>INDEX(Data,2,2+MOD(ROWS(C$2:C7252)-1,24))</f>
        <v>03.00</v>
      </c>
      <c r="D7252" s="8">
        <f t="shared" ca="1" si="341"/>
        <v>7</v>
      </c>
      <c r="E7252" s="16">
        <f t="shared" ca="1" si="342"/>
        <v>0</v>
      </c>
    </row>
    <row r="7253" spans="1:5" x14ac:dyDescent="0.25">
      <c r="A7253" s="3">
        <f t="shared" si="340"/>
        <v>78989</v>
      </c>
      <c r="B7253" t="str">
        <f ca="1">TEXT(DATE(YEAR(Invoer!$A$5),1,1)+INT((ROWS(B$2:B7253)-1)/24),"""18""jjmmdd")</f>
        <v>18981030</v>
      </c>
      <c r="C7253" s="11" t="str">
        <f>INDEX(Data,2,2+MOD(ROWS(C$2:C7253)-1,24))</f>
        <v>04.00</v>
      </c>
      <c r="D7253" s="8">
        <f t="shared" ca="1" si="341"/>
        <v>7</v>
      </c>
      <c r="E7253" s="16">
        <f t="shared" ca="1" si="342"/>
        <v>0</v>
      </c>
    </row>
    <row r="7254" spans="1:5" x14ac:dyDescent="0.25">
      <c r="A7254" s="3">
        <f t="shared" si="340"/>
        <v>78989</v>
      </c>
      <c r="B7254" t="str">
        <f ca="1">TEXT(DATE(YEAR(Invoer!$A$5),1,1)+INT((ROWS(B$2:B7254)-1)/24),"""18""jjmmdd")</f>
        <v>18981030</v>
      </c>
      <c r="C7254" s="11" t="str">
        <f>INDEX(Data,2,2+MOD(ROWS(C$2:C7254)-1,24))</f>
        <v>05.00</v>
      </c>
      <c r="D7254" s="8">
        <f t="shared" ca="1" si="341"/>
        <v>8</v>
      </c>
      <c r="E7254" s="16">
        <f t="shared" ca="1" si="342"/>
        <v>0</v>
      </c>
    </row>
    <row r="7255" spans="1:5" x14ac:dyDescent="0.25">
      <c r="A7255" s="3">
        <f t="shared" si="340"/>
        <v>78989</v>
      </c>
      <c r="B7255" t="str">
        <f ca="1">TEXT(DATE(YEAR(Invoer!$A$5),1,1)+INT((ROWS(B$2:B7255)-1)/24),"""18""jjmmdd")</f>
        <v>18981030</v>
      </c>
      <c r="C7255" s="11" t="str">
        <f>INDEX(Data,2,2+MOD(ROWS(C$2:C7255)-1,24))</f>
        <v>06.00</v>
      </c>
      <c r="D7255" s="8">
        <f t="shared" ca="1" si="341"/>
        <v>7</v>
      </c>
      <c r="E7255" s="16">
        <f t="shared" ca="1" si="342"/>
        <v>0</v>
      </c>
    </row>
    <row r="7256" spans="1:5" x14ac:dyDescent="0.25">
      <c r="A7256" s="3">
        <f t="shared" si="340"/>
        <v>78989</v>
      </c>
      <c r="B7256" t="str">
        <f ca="1">TEXT(DATE(YEAR(Invoer!$A$5),1,1)+INT((ROWS(B$2:B7256)-1)/24),"""18""jjmmdd")</f>
        <v>18981030</v>
      </c>
      <c r="C7256" s="11" t="str">
        <f>INDEX(Data,2,2+MOD(ROWS(C$2:C7256)-1,24))</f>
        <v>07.00</v>
      </c>
      <c r="D7256" s="8">
        <f t="shared" ca="1" si="341"/>
        <v>8</v>
      </c>
      <c r="E7256" s="16">
        <f t="shared" ca="1" si="342"/>
        <v>0</v>
      </c>
    </row>
    <row r="7257" spans="1:5" x14ac:dyDescent="0.25">
      <c r="A7257" s="3">
        <f t="shared" si="340"/>
        <v>78989</v>
      </c>
      <c r="B7257" t="str">
        <f ca="1">TEXT(DATE(YEAR(Invoer!$A$5),1,1)+INT((ROWS(B$2:B7257)-1)/24),"""18""jjmmdd")</f>
        <v>18981030</v>
      </c>
      <c r="C7257" s="11" t="str">
        <f>INDEX(Data,2,2+MOD(ROWS(C$2:C7257)-1,24))</f>
        <v>08.00</v>
      </c>
      <c r="D7257" s="8">
        <f t="shared" ca="1" si="341"/>
        <v>10</v>
      </c>
      <c r="E7257" s="16">
        <f t="shared" ca="1" si="342"/>
        <v>0</v>
      </c>
    </row>
    <row r="7258" spans="1:5" x14ac:dyDescent="0.25">
      <c r="A7258" s="3">
        <f t="shared" si="340"/>
        <v>78989</v>
      </c>
      <c r="B7258" t="str">
        <f ca="1">TEXT(DATE(YEAR(Invoer!$A$5),1,1)+INT((ROWS(B$2:B7258)-1)/24),"""18""jjmmdd")</f>
        <v>18981030</v>
      </c>
      <c r="C7258" s="11" t="str">
        <f>INDEX(Data,2,2+MOD(ROWS(C$2:C7258)-1,24))</f>
        <v>09.00</v>
      </c>
      <c r="D7258" s="8">
        <f t="shared" ca="1" si="341"/>
        <v>11</v>
      </c>
      <c r="E7258" s="16">
        <f t="shared" ca="1" si="342"/>
        <v>0</v>
      </c>
    </row>
    <row r="7259" spans="1:5" x14ac:dyDescent="0.25">
      <c r="A7259" s="3">
        <f t="shared" si="340"/>
        <v>78989</v>
      </c>
      <c r="B7259" t="str">
        <f ca="1">TEXT(DATE(YEAR(Invoer!$A$5),1,1)+INT((ROWS(B$2:B7259)-1)/24),"""18""jjmmdd")</f>
        <v>18981030</v>
      </c>
      <c r="C7259" s="11" t="str">
        <f>INDEX(Data,2,2+MOD(ROWS(C$2:C7259)-1,24))</f>
        <v>10.00</v>
      </c>
      <c r="D7259" s="8">
        <f t="shared" ca="1" si="341"/>
        <v>14</v>
      </c>
      <c r="E7259" s="16">
        <f t="shared" ca="1" si="342"/>
        <v>0</v>
      </c>
    </row>
    <row r="7260" spans="1:5" x14ac:dyDescent="0.25">
      <c r="A7260" s="3">
        <f t="shared" si="340"/>
        <v>78989</v>
      </c>
      <c r="B7260" t="str">
        <f ca="1">TEXT(DATE(YEAR(Invoer!$A$5),1,1)+INT((ROWS(B$2:B7260)-1)/24),"""18""jjmmdd")</f>
        <v>18981030</v>
      </c>
      <c r="C7260" s="11" t="str">
        <f>INDEX(Data,2,2+MOD(ROWS(C$2:C7260)-1,24))</f>
        <v>11.00</v>
      </c>
      <c r="D7260" s="8">
        <f t="shared" ca="1" si="341"/>
        <v>14</v>
      </c>
      <c r="E7260" s="16">
        <f t="shared" ca="1" si="342"/>
        <v>0</v>
      </c>
    </row>
    <row r="7261" spans="1:5" x14ac:dyDescent="0.25">
      <c r="A7261" s="3">
        <f t="shared" si="340"/>
        <v>78989</v>
      </c>
      <c r="B7261" t="str">
        <f ca="1">TEXT(DATE(YEAR(Invoer!$A$5),1,1)+INT((ROWS(B$2:B7261)-1)/24),"""18""jjmmdd")</f>
        <v>18981030</v>
      </c>
      <c r="C7261" s="11" t="str">
        <f>INDEX(Data,2,2+MOD(ROWS(C$2:C7261)-1,24))</f>
        <v>12.00</v>
      </c>
      <c r="D7261" s="8">
        <f t="shared" ca="1" si="341"/>
        <v>13</v>
      </c>
      <c r="E7261" s="16">
        <f t="shared" ca="1" si="342"/>
        <v>0</v>
      </c>
    </row>
    <row r="7262" spans="1:5" x14ac:dyDescent="0.25">
      <c r="A7262" s="3">
        <f t="shared" si="340"/>
        <v>78989</v>
      </c>
      <c r="B7262" t="str">
        <f ca="1">TEXT(DATE(YEAR(Invoer!$A$5),1,1)+INT((ROWS(B$2:B7262)-1)/24),"""18""jjmmdd")</f>
        <v>18981030</v>
      </c>
      <c r="C7262" s="11" t="str">
        <f>INDEX(Data,2,2+MOD(ROWS(C$2:C7262)-1,24))</f>
        <v>13.00</v>
      </c>
      <c r="D7262" s="8">
        <f t="shared" ca="1" si="341"/>
        <v>14</v>
      </c>
      <c r="E7262" s="16">
        <f t="shared" ca="1" si="342"/>
        <v>0</v>
      </c>
    </row>
    <row r="7263" spans="1:5" x14ac:dyDescent="0.25">
      <c r="A7263" s="3">
        <f t="shared" si="340"/>
        <v>78989</v>
      </c>
      <c r="B7263" t="str">
        <f ca="1">TEXT(DATE(YEAR(Invoer!$A$5),1,1)+INT((ROWS(B$2:B7263)-1)/24),"""18""jjmmdd")</f>
        <v>18981030</v>
      </c>
      <c r="C7263" s="11" t="str">
        <f>INDEX(Data,2,2+MOD(ROWS(C$2:C7263)-1,24))</f>
        <v>14.00</v>
      </c>
      <c r="D7263" s="8">
        <f t="shared" ca="1" si="341"/>
        <v>14</v>
      </c>
      <c r="E7263" s="16">
        <f t="shared" ca="1" si="342"/>
        <v>0</v>
      </c>
    </row>
    <row r="7264" spans="1:5" x14ac:dyDescent="0.25">
      <c r="A7264" s="3">
        <f t="shared" si="340"/>
        <v>78989</v>
      </c>
      <c r="B7264" t="str">
        <f ca="1">TEXT(DATE(YEAR(Invoer!$A$5),1,1)+INT((ROWS(B$2:B7264)-1)/24),"""18""jjmmdd")</f>
        <v>18981030</v>
      </c>
      <c r="C7264" s="11" t="str">
        <f>INDEX(Data,2,2+MOD(ROWS(C$2:C7264)-1,24))</f>
        <v>15.00</v>
      </c>
      <c r="D7264" s="8">
        <f t="shared" ca="1" si="341"/>
        <v>16</v>
      </c>
      <c r="E7264" s="16">
        <f t="shared" ca="1" si="342"/>
        <v>0</v>
      </c>
    </row>
    <row r="7265" spans="1:5" x14ac:dyDescent="0.25">
      <c r="A7265" s="3">
        <f t="shared" si="340"/>
        <v>78989</v>
      </c>
      <c r="B7265" t="str">
        <f ca="1">TEXT(DATE(YEAR(Invoer!$A$5),1,1)+INT((ROWS(B$2:B7265)-1)/24),"""18""jjmmdd")</f>
        <v>18981030</v>
      </c>
      <c r="C7265" s="11" t="str">
        <f>INDEX(Data,2,2+MOD(ROWS(C$2:C7265)-1,24))</f>
        <v>16.00</v>
      </c>
      <c r="D7265" s="8">
        <f t="shared" ca="1" si="341"/>
        <v>15</v>
      </c>
      <c r="E7265" s="16">
        <f t="shared" ca="1" si="342"/>
        <v>0</v>
      </c>
    </row>
    <row r="7266" spans="1:5" x14ac:dyDescent="0.25">
      <c r="A7266" s="3">
        <f t="shared" si="340"/>
        <v>78989</v>
      </c>
      <c r="B7266" t="str">
        <f ca="1">TEXT(DATE(YEAR(Invoer!$A$5),1,1)+INT((ROWS(B$2:B7266)-1)/24),"""18""jjmmdd")</f>
        <v>18981030</v>
      </c>
      <c r="C7266" s="11" t="str">
        <f>INDEX(Data,2,2+MOD(ROWS(C$2:C7266)-1,24))</f>
        <v>17.00</v>
      </c>
      <c r="D7266" s="8">
        <f t="shared" ca="1" si="341"/>
        <v>15</v>
      </c>
      <c r="E7266" s="16">
        <f t="shared" ca="1" si="342"/>
        <v>0</v>
      </c>
    </row>
    <row r="7267" spans="1:5" x14ac:dyDescent="0.25">
      <c r="A7267" s="3">
        <f t="shared" si="340"/>
        <v>78989</v>
      </c>
      <c r="B7267" t="str">
        <f ca="1">TEXT(DATE(YEAR(Invoer!$A$5),1,1)+INT((ROWS(B$2:B7267)-1)/24),"""18""jjmmdd")</f>
        <v>18981030</v>
      </c>
      <c r="C7267" s="11" t="str">
        <f>INDEX(Data,2,2+MOD(ROWS(C$2:C7267)-1,24))</f>
        <v>18.00</v>
      </c>
      <c r="D7267" s="8">
        <f t="shared" ca="1" si="341"/>
        <v>14</v>
      </c>
      <c r="E7267" s="16">
        <f t="shared" ca="1" si="342"/>
        <v>0</v>
      </c>
    </row>
    <row r="7268" spans="1:5" x14ac:dyDescent="0.25">
      <c r="A7268" s="3">
        <f t="shared" si="340"/>
        <v>78989</v>
      </c>
      <c r="B7268" t="str">
        <f ca="1">TEXT(DATE(YEAR(Invoer!$A$5),1,1)+INT((ROWS(B$2:B7268)-1)/24),"""18""jjmmdd")</f>
        <v>18981030</v>
      </c>
      <c r="C7268" s="11" t="str">
        <f>INDEX(Data,2,2+MOD(ROWS(C$2:C7268)-1,24))</f>
        <v>19.00</v>
      </c>
      <c r="D7268" s="8">
        <f t="shared" ca="1" si="341"/>
        <v>12</v>
      </c>
      <c r="E7268" s="16">
        <f t="shared" ca="1" si="342"/>
        <v>0</v>
      </c>
    </row>
    <row r="7269" spans="1:5" x14ac:dyDescent="0.25">
      <c r="A7269" s="3">
        <f t="shared" si="340"/>
        <v>78989</v>
      </c>
      <c r="B7269" t="str">
        <f ca="1">TEXT(DATE(YEAR(Invoer!$A$5),1,1)+INT((ROWS(B$2:B7269)-1)/24),"""18""jjmmdd")</f>
        <v>18981030</v>
      </c>
      <c r="C7269" s="11" t="str">
        <f>INDEX(Data,2,2+MOD(ROWS(C$2:C7269)-1,24))</f>
        <v>20.00</v>
      </c>
      <c r="D7269" s="8">
        <f t="shared" ca="1" si="341"/>
        <v>12</v>
      </c>
      <c r="E7269" s="16">
        <f t="shared" ca="1" si="342"/>
        <v>0</v>
      </c>
    </row>
    <row r="7270" spans="1:5" x14ac:dyDescent="0.25">
      <c r="A7270" s="3">
        <f t="shared" si="340"/>
        <v>78989</v>
      </c>
      <c r="B7270" t="str">
        <f ca="1">TEXT(DATE(YEAR(Invoer!$A$5),1,1)+INT((ROWS(B$2:B7270)-1)/24),"""18""jjmmdd")</f>
        <v>18981030</v>
      </c>
      <c r="C7270" s="11" t="str">
        <f>INDEX(Data,2,2+MOD(ROWS(C$2:C7270)-1,24))</f>
        <v>21.00</v>
      </c>
      <c r="D7270" s="8">
        <f t="shared" ca="1" si="341"/>
        <v>12</v>
      </c>
      <c r="E7270" s="16">
        <f t="shared" ca="1" si="342"/>
        <v>0</v>
      </c>
    </row>
    <row r="7271" spans="1:5" x14ac:dyDescent="0.25">
      <c r="A7271" s="3">
        <f t="shared" si="340"/>
        <v>78989</v>
      </c>
      <c r="B7271" t="str">
        <f ca="1">TEXT(DATE(YEAR(Invoer!$A$5),1,1)+INT((ROWS(B$2:B7271)-1)/24),"""18""jjmmdd")</f>
        <v>18981030</v>
      </c>
      <c r="C7271" s="11" t="str">
        <f>INDEX(Data,2,2+MOD(ROWS(C$2:C7271)-1,24))</f>
        <v>22.00</v>
      </c>
      <c r="D7271" s="8">
        <f t="shared" ca="1" si="341"/>
        <v>10</v>
      </c>
      <c r="E7271" s="16">
        <f t="shared" ca="1" si="342"/>
        <v>0</v>
      </c>
    </row>
    <row r="7272" spans="1:5" x14ac:dyDescent="0.25">
      <c r="A7272" s="3">
        <f t="shared" si="340"/>
        <v>78989</v>
      </c>
      <c r="B7272" t="str">
        <f ca="1">TEXT(DATE(YEAR(Invoer!$A$5),1,1)+INT((ROWS(B$2:B7272)-1)/24),"""18""jjmmdd")</f>
        <v>18981030</v>
      </c>
      <c r="C7272" s="11" t="str">
        <f>INDEX(Data,2,2+MOD(ROWS(C$2:C7272)-1,24))</f>
        <v>23.00</v>
      </c>
      <c r="D7272" s="8">
        <f t="shared" ca="1" si="341"/>
        <v>10</v>
      </c>
      <c r="E7272" s="16">
        <f t="shared" ca="1" si="342"/>
        <v>0</v>
      </c>
    </row>
    <row r="7273" spans="1:5" x14ac:dyDescent="0.25">
      <c r="A7273" s="3">
        <f t="shared" si="340"/>
        <v>78989</v>
      </c>
      <c r="B7273" t="str">
        <f ca="1">TEXT(DATE(YEAR(Invoer!$A$5),1,1)+INT((ROWS(B$2:B7273)-1)/24),"""18""jjmmdd")</f>
        <v>18981030</v>
      </c>
      <c r="C7273" s="11" t="str">
        <f>INDEX(Data,2,2+MOD(ROWS(C$2:C7273)-1,24))</f>
        <v>24.00</v>
      </c>
      <c r="D7273" s="8">
        <f t="shared" ca="1" si="341"/>
        <v>10</v>
      </c>
      <c r="E7273" s="16">
        <f t="shared" ca="1" si="342"/>
        <v>0</v>
      </c>
    </row>
    <row r="7274" spans="1:5" x14ac:dyDescent="0.25">
      <c r="A7274" s="3">
        <f t="shared" si="340"/>
        <v>78989</v>
      </c>
      <c r="B7274" t="str">
        <f ca="1">TEXT(DATE(YEAR(Invoer!$A$5),1,1)+INT((ROWS(B$2:B7274)-1)/24),"""18""jjmmdd")</f>
        <v>18981031</v>
      </c>
      <c r="C7274" s="11" t="str">
        <f>INDEX(Data,2,2+MOD(ROWS(C$2:C7274)-1,24))</f>
        <v>01.00</v>
      </c>
      <c r="D7274" s="8">
        <f t="shared" ca="1" si="341"/>
        <v>10</v>
      </c>
      <c r="E7274" s="16">
        <f t="shared" ca="1" si="342"/>
        <v>0</v>
      </c>
    </row>
    <row r="7275" spans="1:5" x14ac:dyDescent="0.25">
      <c r="A7275" s="3">
        <f t="shared" si="340"/>
        <v>78989</v>
      </c>
      <c r="B7275" t="str">
        <f ca="1">TEXT(DATE(YEAR(Invoer!$A$5),1,1)+INT((ROWS(B$2:B7275)-1)/24),"""18""jjmmdd")</f>
        <v>18981031</v>
      </c>
      <c r="C7275" s="11" t="str">
        <f>INDEX(Data,2,2+MOD(ROWS(C$2:C7275)-1,24))</f>
        <v>02.00</v>
      </c>
      <c r="D7275" s="8">
        <f t="shared" ca="1" si="341"/>
        <v>10</v>
      </c>
      <c r="E7275" s="16">
        <f t="shared" ca="1" si="342"/>
        <v>0</v>
      </c>
    </row>
    <row r="7276" spans="1:5" x14ac:dyDescent="0.25">
      <c r="A7276" s="3">
        <f t="shared" si="340"/>
        <v>78989</v>
      </c>
      <c r="B7276" t="str">
        <f ca="1">TEXT(DATE(YEAR(Invoer!$A$5),1,1)+INT((ROWS(B$2:B7276)-1)/24),"""18""jjmmdd")</f>
        <v>18981031</v>
      </c>
      <c r="C7276" s="11" t="str">
        <f>INDEX(Data,2,2+MOD(ROWS(C$2:C7276)-1,24))</f>
        <v>03.00</v>
      </c>
      <c r="D7276" s="8">
        <f t="shared" ca="1" si="341"/>
        <v>10</v>
      </c>
      <c r="E7276" s="16">
        <f t="shared" ca="1" si="342"/>
        <v>0</v>
      </c>
    </row>
    <row r="7277" spans="1:5" x14ac:dyDescent="0.25">
      <c r="A7277" s="3">
        <f t="shared" si="340"/>
        <v>78989</v>
      </c>
      <c r="B7277" t="str">
        <f ca="1">TEXT(DATE(YEAR(Invoer!$A$5),1,1)+INT((ROWS(B$2:B7277)-1)/24),"""18""jjmmdd")</f>
        <v>18981031</v>
      </c>
      <c r="C7277" s="11" t="str">
        <f>INDEX(Data,2,2+MOD(ROWS(C$2:C7277)-1,24))</f>
        <v>04.00</v>
      </c>
      <c r="D7277" s="8">
        <f t="shared" ca="1" si="341"/>
        <v>10</v>
      </c>
      <c r="E7277" s="16">
        <f t="shared" ca="1" si="342"/>
        <v>0</v>
      </c>
    </row>
    <row r="7278" spans="1:5" x14ac:dyDescent="0.25">
      <c r="A7278" s="3">
        <f t="shared" si="340"/>
        <v>78989</v>
      </c>
      <c r="B7278" t="str">
        <f ca="1">TEXT(DATE(YEAR(Invoer!$A$5),1,1)+INT((ROWS(B$2:B7278)-1)/24),"""18""jjmmdd")</f>
        <v>18981031</v>
      </c>
      <c r="C7278" s="11" t="str">
        <f>INDEX(Data,2,2+MOD(ROWS(C$2:C7278)-1,24))</f>
        <v>05.00</v>
      </c>
      <c r="D7278" s="8">
        <f t="shared" ca="1" si="341"/>
        <v>11</v>
      </c>
      <c r="E7278" s="16">
        <f t="shared" ca="1" si="342"/>
        <v>0</v>
      </c>
    </row>
    <row r="7279" spans="1:5" x14ac:dyDescent="0.25">
      <c r="A7279" s="3">
        <f t="shared" si="340"/>
        <v>78989</v>
      </c>
      <c r="B7279" t="str">
        <f ca="1">TEXT(DATE(YEAR(Invoer!$A$5),1,1)+INT((ROWS(B$2:B7279)-1)/24),"""18""jjmmdd")</f>
        <v>18981031</v>
      </c>
      <c r="C7279" s="11" t="str">
        <f>INDEX(Data,2,2+MOD(ROWS(C$2:C7279)-1,24))</f>
        <v>06.00</v>
      </c>
      <c r="D7279" s="8">
        <f t="shared" ca="1" si="341"/>
        <v>10</v>
      </c>
      <c r="E7279" s="16">
        <f t="shared" ca="1" si="342"/>
        <v>0</v>
      </c>
    </row>
    <row r="7280" spans="1:5" x14ac:dyDescent="0.25">
      <c r="A7280" s="3">
        <f t="shared" si="340"/>
        <v>78989</v>
      </c>
      <c r="B7280" t="str">
        <f ca="1">TEXT(DATE(YEAR(Invoer!$A$5),1,1)+INT((ROWS(B$2:B7280)-1)/24),"""18""jjmmdd")</f>
        <v>18981031</v>
      </c>
      <c r="C7280" s="11" t="str">
        <f>INDEX(Data,2,2+MOD(ROWS(C$2:C7280)-1,24))</f>
        <v>07.00</v>
      </c>
      <c r="D7280" s="8">
        <f t="shared" ca="1" si="341"/>
        <v>10</v>
      </c>
      <c r="E7280" s="16">
        <f t="shared" ca="1" si="342"/>
        <v>0</v>
      </c>
    </row>
    <row r="7281" spans="1:5" x14ac:dyDescent="0.25">
      <c r="A7281" s="3">
        <f t="shared" si="340"/>
        <v>78989</v>
      </c>
      <c r="B7281" t="str">
        <f ca="1">TEXT(DATE(YEAR(Invoer!$A$5),1,1)+INT((ROWS(B$2:B7281)-1)/24),"""18""jjmmdd")</f>
        <v>18981031</v>
      </c>
      <c r="C7281" s="11" t="str">
        <f>INDEX(Data,2,2+MOD(ROWS(C$2:C7281)-1,24))</f>
        <v>08.00</v>
      </c>
      <c r="D7281" s="8">
        <f t="shared" ca="1" si="341"/>
        <v>13</v>
      </c>
      <c r="E7281" s="16">
        <f t="shared" ca="1" si="342"/>
        <v>0</v>
      </c>
    </row>
    <row r="7282" spans="1:5" x14ac:dyDescent="0.25">
      <c r="A7282" s="3">
        <f t="shared" si="340"/>
        <v>78989</v>
      </c>
      <c r="B7282" t="str">
        <f ca="1">TEXT(DATE(YEAR(Invoer!$A$5),1,1)+INT((ROWS(B$2:B7282)-1)/24),"""18""jjmmdd")</f>
        <v>18981031</v>
      </c>
      <c r="C7282" s="11" t="str">
        <f>INDEX(Data,2,2+MOD(ROWS(C$2:C7282)-1,24))</f>
        <v>09.00</v>
      </c>
      <c r="D7282" s="8">
        <f t="shared" ca="1" si="341"/>
        <v>13</v>
      </c>
      <c r="E7282" s="16">
        <f t="shared" ca="1" si="342"/>
        <v>0</v>
      </c>
    </row>
    <row r="7283" spans="1:5" x14ac:dyDescent="0.25">
      <c r="A7283" s="3">
        <f t="shared" si="340"/>
        <v>78989</v>
      </c>
      <c r="B7283" t="str">
        <f ca="1">TEXT(DATE(YEAR(Invoer!$A$5),1,1)+INT((ROWS(B$2:B7283)-1)/24),"""18""jjmmdd")</f>
        <v>18981031</v>
      </c>
      <c r="C7283" s="11" t="str">
        <f>INDEX(Data,2,2+MOD(ROWS(C$2:C7283)-1,24))</f>
        <v>10.00</v>
      </c>
      <c r="D7283" s="8">
        <f t="shared" ca="1" si="341"/>
        <v>12</v>
      </c>
      <c r="E7283" s="16">
        <f t="shared" ca="1" si="342"/>
        <v>0</v>
      </c>
    </row>
    <row r="7284" spans="1:5" x14ac:dyDescent="0.25">
      <c r="A7284" s="3">
        <f t="shared" si="340"/>
        <v>78989</v>
      </c>
      <c r="B7284" t="str">
        <f ca="1">TEXT(DATE(YEAR(Invoer!$A$5),1,1)+INT((ROWS(B$2:B7284)-1)/24),"""18""jjmmdd")</f>
        <v>18981031</v>
      </c>
      <c r="C7284" s="11" t="str">
        <f>INDEX(Data,2,2+MOD(ROWS(C$2:C7284)-1,24))</f>
        <v>11.00</v>
      </c>
      <c r="D7284" s="8">
        <f t="shared" ca="1" si="341"/>
        <v>14</v>
      </c>
      <c r="E7284" s="16">
        <f t="shared" ca="1" si="342"/>
        <v>0</v>
      </c>
    </row>
    <row r="7285" spans="1:5" x14ac:dyDescent="0.25">
      <c r="A7285" s="3">
        <f t="shared" si="340"/>
        <v>78989</v>
      </c>
      <c r="B7285" t="str">
        <f ca="1">TEXT(DATE(YEAR(Invoer!$A$5),1,1)+INT((ROWS(B$2:B7285)-1)/24),"""18""jjmmdd")</f>
        <v>18981031</v>
      </c>
      <c r="C7285" s="11" t="str">
        <f>INDEX(Data,2,2+MOD(ROWS(C$2:C7285)-1,24))</f>
        <v>12.00</v>
      </c>
      <c r="D7285" s="8">
        <f t="shared" ca="1" si="341"/>
        <v>14</v>
      </c>
      <c r="E7285" s="16">
        <f t="shared" ca="1" si="342"/>
        <v>0</v>
      </c>
    </row>
    <row r="7286" spans="1:5" x14ac:dyDescent="0.25">
      <c r="A7286" s="3">
        <f t="shared" si="340"/>
        <v>78989</v>
      </c>
      <c r="B7286" t="str">
        <f ca="1">TEXT(DATE(YEAR(Invoer!$A$5),1,1)+INT((ROWS(B$2:B7286)-1)/24),"""18""jjmmdd")</f>
        <v>18981031</v>
      </c>
      <c r="C7286" s="11" t="str">
        <f>INDEX(Data,2,2+MOD(ROWS(C$2:C7286)-1,24))</f>
        <v>13.00</v>
      </c>
      <c r="D7286" s="8">
        <f t="shared" ca="1" si="341"/>
        <v>12</v>
      </c>
      <c r="E7286" s="16">
        <f t="shared" ca="1" si="342"/>
        <v>0</v>
      </c>
    </row>
    <row r="7287" spans="1:5" x14ac:dyDescent="0.25">
      <c r="A7287" s="3">
        <f t="shared" si="340"/>
        <v>78989</v>
      </c>
      <c r="B7287" t="str">
        <f ca="1">TEXT(DATE(YEAR(Invoer!$A$5),1,1)+INT((ROWS(B$2:B7287)-1)/24),"""18""jjmmdd")</f>
        <v>18981031</v>
      </c>
      <c r="C7287" s="11" t="str">
        <f>INDEX(Data,2,2+MOD(ROWS(C$2:C7287)-1,24))</f>
        <v>14.00</v>
      </c>
      <c r="D7287" s="8">
        <f t="shared" ca="1" si="341"/>
        <v>13</v>
      </c>
      <c r="E7287" s="16">
        <f t="shared" ca="1" si="342"/>
        <v>0</v>
      </c>
    </row>
    <row r="7288" spans="1:5" x14ac:dyDescent="0.25">
      <c r="A7288" s="3">
        <f t="shared" si="340"/>
        <v>78989</v>
      </c>
      <c r="B7288" t="str">
        <f ca="1">TEXT(DATE(YEAR(Invoer!$A$5),1,1)+INT((ROWS(B$2:B7288)-1)/24),"""18""jjmmdd")</f>
        <v>18981031</v>
      </c>
      <c r="C7288" s="11" t="str">
        <f>INDEX(Data,2,2+MOD(ROWS(C$2:C7288)-1,24))</f>
        <v>15.00</v>
      </c>
      <c r="D7288" s="8">
        <f t="shared" ca="1" si="341"/>
        <v>12</v>
      </c>
      <c r="E7288" s="16">
        <f t="shared" ca="1" si="342"/>
        <v>0</v>
      </c>
    </row>
    <row r="7289" spans="1:5" x14ac:dyDescent="0.25">
      <c r="A7289" s="3">
        <f t="shared" si="340"/>
        <v>78989</v>
      </c>
      <c r="B7289" t="str">
        <f ca="1">TEXT(DATE(YEAR(Invoer!$A$5),1,1)+INT((ROWS(B$2:B7289)-1)/24),"""18""jjmmdd")</f>
        <v>18981031</v>
      </c>
      <c r="C7289" s="11" t="str">
        <f>INDEX(Data,2,2+MOD(ROWS(C$2:C7289)-1,24))</f>
        <v>16.00</v>
      </c>
      <c r="D7289" s="8">
        <f t="shared" ca="1" si="341"/>
        <v>14</v>
      </c>
      <c r="E7289" s="16">
        <f t="shared" ca="1" si="342"/>
        <v>0</v>
      </c>
    </row>
    <row r="7290" spans="1:5" x14ac:dyDescent="0.25">
      <c r="A7290" s="3">
        <f t="shared" si="340"/>
        <v>78989</v>
      </c>
      <c r="B7290" t="str">
        <f ca="1">TEXT(DATE(YEAR(Invoer!$A$5),1,1)+INT((ROWS(B$2:B7290)-1)/24),"""18""jjmmdd")</f>
        <v>18981031</v>
      </c>
      <c r="C7290" s="11" t="str">
        <f>INDEX(Data,2,2+MOD(ROWS(C$2:C7290)-1,24))</f>
        <v>17.00</v>
      </c>
      <c r="D7290" s="8">
        <f t="shared" ca="1" si="341"/>
        <v>13</v>
      </c>
      <c r="E7290" s="16">
        <f t="shared" ca="1" si="342"/>
        <v>0</v>
      </c>
    </row>
    <row r="7291" spans="1:5" x14ac:dyDescent="0.25">
      <c r="A7291" s="3">
        <f t="shared" si="340"/>
        <v>78989</v>
      </c>
      <c r="B7291" t="str">
        <f ca="1">TEXT(DATE(YEAR(Invoer!$A$5),1,1)+INT((ROWS(B$2:B7291)-1)/24),"""18""jjmmdd")</f>
        <v>18981031</v>
      </c>
      <c r="C7291" s="11" t="str">
        <f>INDEX(Data,2,2+MOD(ROWS(C$2:C7291)-1,24))</f>
        <v>18.00</v>
      </c>
      <c r="D7291" s="8">
        <f t="shared" ca="1" si="341"/>
        <v>13</v>
      </c>
      <c r="E7291" s="16">
        <f t="shared" ca="1" si="342"/>
        <v>0</v>
      </c>
    </row>
    <row r="7292" spans="1:5" x14ac:dyDescent="0.25">
      <c r="A7292" s="3">
        <f t="shared" si="340"/>
        <v>78989</v>
      </c>
      <c r="B7292" t="str">
        <f ca="1">TEXT(DATE(YEAR(Invoer!$A$5),1,1)+INT((ROWS(B$2:B7292)-1)/24),"""18""jjmmdd")</f>
        <v>18981031</v>
      </c>
      <c r="C7292" s="11" t="str">
        <f>INDEX(Data,2,2+MOD(ROWS(C$2:C7292)-1,24))</f>
        <v>19.00</v>
      </c>
      <c r="D7292" s="8">
        <f t="shared" ca="1" si="341"/>
        <v>14</v>
      </c>
      <c r="E7292" s="16">
        <f t="shared" ca="1" si="342"/>
        <v>0</v>
      </c>
    </row>
    <row r="7293" spans="1:5" x14ac:dyDescent="0.25">
      <c r="A7293" s="3">
        <f t="shared" si="340"/>
        <v>78989</v>
      </c>
      <c r="B7293" t="str">
        <f ca="1">TEXT(DATE(YEAR(Invoer!$A$5),1,1)+INT((ROWS(B$2:B7293)-1)/24),"""18""jjmmdd")</f>
        <v>18981031</v>
      </c>
      <c r="C7293" s="11" t="str">
        <f>INDEX(Data,2,2+MOD(ROWS(C$2:C7293)-1,24))</f>
        <v>20.00</v>
      </c>
      <c r="D7293" s="8">
        <f t="shared" ca="1" si="341"/>
        <v>15</v>
      </c>
      <c r="E7293" s="16">
        <f t="shared" ca="1" si="342"/>
        <v>0</v>
      </c>
    </row>
    <row r="7294" spans="1:5" x14ac:dyDescent="0.25">
      <c r="A7294" s="3">
        <f t="shared" si="340"/>
        <v>78989</v>
      </c>
      <c r="B7294" t="str">
        <f ca="1">TEXT(DATE(YEAR(Invoer!$A$5),1,1)+INT((ROWS(B$2:B7294)-1)/24),"""18""jjmmdd")</f>
        <v>18981031</v>
      </c>
      <c r="C7294" s="11" t="str">
        <f>INDEX(Data,2,2+MOD(ROWS(C$2:C7294)-1,24))</f>
        <v>21.00</v>
      </c>
      <c r="D7294" s="8">
        <f t="shared" ca="1" si="341"/>
        <v>11</v>
      </c>
      <c r="E7294" s="16">
        <f t="shared" ca="1" si="342"/>
        <v>0</v>
      </c>
    </row>
    <row r="7295" spans="1:5" x14ac:dyDescent="0.25">
      <c r="A7295" s="3">
        <f t="shared" si="340"/>
        <v>78989</v>
      </c>
      <c r="B7295" t="str">
        <f ca="1">TEXT(DATE(YEAR(Invoer!$A$5),1,1)+INT((ROWS(B$2:B7295)-1)/24),"""18""jjmmdd")</f>
        <v>18981031</v>
      </c>
      <c r="C7295" s="11" t="str">
        <f>INDEX(Data,2,2+MOD(ROWS(C$2:C7295)-1,24))</f>
        <v>22.00</v>
      </c>
      <c r="D7295" s="8">
        <f t="shared" ca="1" si="341"/>
        <v>9</v>
      </c>
      <c r="E7295" s="16">
        <f t="shared" ca="1" si="342"/>
        <v>0</v>
      </c>
    </row>
    <row r="7296" spans="1:5" x14ac:dyDescent="0.25">
      <c r="A7296" s="3">
        <f t="shared" si="340"/>
        <v>78989</v>
      </c>
      <c r="B7296" t="str">
        <f ca="1">TEXT(DATE(YEAR(Invoer!$A$5),1,1)+INT((ROWS(B$2:B7296)-1)/24),"""18""jjmmdd")</f>
        <v>18981031</v>
      </c>
      <c r="C7296" s="11" t="str">
        <f>INDEX(Data,2,2+MOD(ROWS(C$2:C7296)-1,24))</f>
        <v>23.00</v>
      </c>
      <c r="D7296" s="8">
        <f t="shared" ca="1" si="341"/>
        <v>9</v>
      </c>
      <c r="E7296" s="16">
        <f t="shared" ca="1" si="342"/>
        <v>0</v>
      </c>
    </row>
    <row r="7297" spans="1:5" x14ac:dyDescent="0.25">
      <c r="A7297" s="3">
        <f t="shared" si="340"/>
        <v>78989</v>
      </c>
      <c r="B7297" t="str">
        <f ca="1">TEXT(DATE(YEAR(Invoer!$A$5),1,1)+INT((ROWS(B$2:B7297)-1)/24),"""18""jjmmdd")</f>
        <v>18981031</v>
      </c>
      <c r="C7297" s="11" t="str">
        <f>INDEX(Data,2,2+MOD(ROWS(C$2:C7297)-1,24))</f>
        <v>24.00</v>
      </c>
      <c r="D7297" s="8">
        <f t="shared" ca="1" si="341"/>
        <v>9</v>
      </c>
      <c r="E7297" s="16">
        <f t="shared" ca="1" si="342"/>
        <v>0</v>
      </c>
    </row>
    <row r="7298" spans="1:5" x14ac:dyDescent="0.25">
      <c r="A7298" s="3">
        <f t="shared" ref="A7298:A7361" si="343">INDEX(Stations,2,1)</f>
        <v>78989</v>
      </c>
      <c r="B7298" t="str">
        <f ca="1">TEXT(DATE(YEAR(Invoer!$A$5),1,1)+INT((ROWS(B$2:B7298)-1)/24),"""18""jjmmdd")</f>
        <v>18981101</v>
      </c>
      <c r="C7298" s="11" t="str">
        <f>INDEX(Data,2,2+MOD(ROWS(C$2:C7298)-1,24))</f>
        <v>01.00</v>
      </c>
      <c r="D7298" s="8">
        <f t="shared" ref="D7298:D7361" ca="1" si="344">IF(OR(ISBLANK(VLOOKUP(DATEVALUE("37"&amp;MID($B7298,3,2)&amp;"-"&amp;MID($B7298,5,2)&amp;"-"&amp;RIGHT($B7298,2)),Data,MATCH(LEFT(VLOOKUP(D$1,Parameters,2,FALSE()),4)&amp;"*",OFFSET(Data,0,0,1),0)+MATCH($C7298,OFFSET(Data,1,0,1),0)-2,FALSE())),ISTEXT(VLOOKUP(DATEVALUE("37"&amp;MID($B7298,3,2)&amp;"-"&amp;MID($B7298,5,2)&amp;"-"&amp;RIGHT($B7298,2)),Data,MATCH(LEFT(VLOOKUP(D$1,Parameters,2,FALSE()),4)&amp;"*",OFFSET(Data,0,0,1),0)+MATCH($C7298,OFFSET(Data,1,0,1),0)-2,FALSE()))),"—",VLOOKUP(DATEVALUE("37"&amp;MID($B7298,3,2)&amp;"-"&amp;MID($B7298,5,2)&amp;"-"&amp;RIGHT($B7298,2)),Data,MATCH(LEFT(VLOOKUP(D$1,Parameters,2,FALSE()),4)&amp;"*",OFFSET(Data,0,0,1),0)+MATCH($C7298,OFFSET(Data,1,0,1),0)-2,FALSE()))</f>
        <v>7</v>
      </c>
      <c r="E7298" s="16">
        <f t="shared" ca="1" si="342"/>
        <v>0</v>
      </c>
    </row>
    <row r="7299" spans="1:5" x14ac:dyDescent="0.25">
      <c r="A7299" s="3">
        <f t="shared" si="343"/>
        <v>78989</v>
      </c>
      <c r="B7299" t="str">
        <f ca="1">TEXT(DATE(YEAR(Invoer!$A$5),1,1)+INT((ROWS(B$2:B7299)-1)/24),"""18""jjmmdd")</f>
        <v>18981101</v>
      </c>
      <c r="C7299" s="11" t="str">
        <f>INDEX(Data,2,2+MOD(ROWS(C$2:C7299)-1,24))</f>
        <v>02.00</v>
      </c>
      <c r="D7299" s="8">
        <f t="shared" ca="1" si="344"/>
        <v>7</v>
      </c>
      <c r="E7299" s="16">
        <f t="shared" ref="E7299:E7362" ca="1" si="345">IF(OR(ISBLANK(VLOOKUP(DATEVALUE("37"&amp;MID($B7299,3,2)&amp;"-"&amp;MID($B7299,5,2)&amp;"-"&amp;RIGHT($B7299,2)),Data,MATCH(LEFT(VLOOKUP(D$1,Parameters,2,FALSE()),4)&amp;"*",OFFSET(Data,0,0,1),0)+MATCH($C7299,OFFSET(Data,1,0,1),0)-2,FALSE())),ISTEXT(VLOOKUP(DATEVALUE("37"&amp;MID($B7299,3,2)&amp;"-"&amp;MID($B7299,5,2)&amp;"-"&amp;RIGHT($B7299,2)),Data,MATCH(LEFT(VLOOKUP(D$1,Parameters,2,FALSE()),4)&amp;"*",OFFSET(Data,0,0,1),0)+MATCH($C7299,OFFSET(Data,1,0,1),0)-2,FALSE()))),Lacking,IF(ISNA(MATCH(DATEVALUE("37"&amp;MID($B7299,3,2)&amp;"-"&amp;MID($B7299,5,2)&amp;"-"&amp;RIGHT($B7299,2)),OFFSET(Catalogus,0,0,,1),0)),Ok,VLOOKUP(DATEVALUE("37"&amp;MID($B7299,3,2)&amp;"-"&amp;MID($B7299,5,2)&amp;"-"&amp;RIGHT($B7299,2)),Catalogus,MATCH(LEFT(VLOOKUP(MID(E$1,2,LEN(E$1)-1),Parameters,2,FALSE()),4)&amp;"*",OFFSET(Catalogus,0,0,1),0)+MATCH($C7299,OFFSET(Catalogus,1,0,1),0)-2,FALSE())))</f>
        <v>0</v>
      </c>
    </row>
    <row r="7300" spans="1:5" x14ac:dyDescent="0.25">
      <c r="A7300" s="3">
        <f t="shared" si="343"/>
        <v>78989</v>
      </c>
      <c r="B7300" t="str">
        <f ca="1">TEXT(DATE(YEAR(Invoer!$A$5),1,1)+INT((ROWS(B$2:B7300)-1)/24),"""18""jjmmdd")</f>
        <v>18981101</v>
      </c>
      <c r="C7300" s="11" t="str">
        <f>INDEX(Data,2,2+MOD(ROWS(C$2:C7300)-1,24))</f>
        <v>03.00</v>
      </c>
      <c r="D7300" s="8">
        <f t="shared" ca="1" si="344"/>
        <v>6</v>
      </c>
      <c r="E7300" s="16">
        <f t="shared" ca="1" si="345"/>
        <v>0</v>
      </c>
    </row>
    <row r="7301" spans="1:5" x14ac:dyDescent="0.25">
      <c r="A7301" s="3">
        <f t="shared" si="343"/>
        <v>78989</v>
      </c>
      <c r="B7301" t="str">
        <f ca="1">TEXT(DATE(YEAR(Invoer!$A$5),1,1)+INT((ROWS(B$2:B7301)-1)/24),"""18""jjmmdd")</f>
        <v>18981101</v>
      </c>
      <c r="C7301" s="11" t="str">
        <f>INDEX(Data,2,2+MOD(ROWS(C$2:C7301)-1,24))</f>
        <v>04.00</v>
      </c>
      <c r="D7301" s="8">
        <f t="shared" ca="1" si="344"/>
        <v>6</v>
      </c>
      <c r="E7301" s="16">
        <f t="shared" ca="1" si="345"/>
        <v>0</v>
      </c>
    </row>
    <row r="7302" spans="1:5" x14ac:dyDescent="0.25">
      <c r="A7302" s="3">
        <f t="shared" si="343"/>
        <v>78989</v>
      </c>
      <c r="B7302" t="str">
        <f ca="1">TEXT(DATE(YEAR(Invoer!$A$5),1,1)+INT((ROWS(B$2:B7302)-1)/24),"""18""jjmmdd")</f>
        <v>18981101</v>
      </c>
      <c r="C7302" s="11" t="str">
        <f>INDEX(Data,2,2+MOD(ROWS(C$2:C7302)-1,24))</f>
        <v>05.00</v>
      </c>
      <c r="D7302" s="8">
        <f t="shared" ca="1" si="344"/>
        <v>6</v>
      </c>
      <c r="E7302" s="16">
        <f t="shared" ca="1" si="345"/>
        <v>0</v>
      </c>
    </row>
    <row r="7303" spans="1:5" x14ac:dyDescent="0.25">
      <c r="A7303" s="3">
        <f t="shared" si="343"/>
        <v>78989</v>
      </c>
      <c r="B7303" t="str">
        <f ca="1">TEXT(DATE(YEAR(Invoer!$A$5),1,1)+INT((ROWS(B$2:B7303)-1)/24),"""18""jjmmdd")</f>
        <v>18981101</v>
      </c>
      <c r="C7303" s="11" t="str">
        <f>INDEX(Data,2,2+MOD(ROWS(C$2:C7303)-1,24))</f>
        <v>06.00</v>
      </c>
      <c r="D7303" s="8">
        <f t="shared" ca="1" si="344"/>
        <v>6</v>
      </c>
      <c r="E7303" s="16">
        <f t="shared" ca="1" si="345"/>
        <v>0</v>
      </c>
    </row>
    <row r="7304" spans="1:5" x14ac:dyDescent="0.25">
      <c r="A7304" s="3">
        <f t="shared" si="343"/>
        <v>78989</v>
      </c>
      <c r="B7304" t="str">
        <f ca="1">TEXT(DATE(YEAR(Invoer!$A$5),1,1)+INT((ROWS(B$2:B7304)-1)/24),"""18""jjmmdd")</f>
        <v>18981101</v>
      </c>
      <c r="C7304" s="11" t="str">
        <f>INDEX(Data,2,2+MOD(ROWS(C$2:C7304)-1,24))</f>
        <v>07.00</v>
      </c>
      <c r="D7304" s="8">
        <f t="shared" ca="1" si="344"/>
        <v>9</v>
      </c>
      <c r="E7304" s="16">
        <f t="shared" ca="1" si="345"/>
        <v>0</v>
      </c>
    </row>
    <row r="7305" spans="1:5" x14ac:dyDescent="0.25">
      <c r="A7305" s="3">
        <f t="shared" si="343"/>
        <v>78989</v>
      </c>
      <c r="B7305" t="str">
        <f ca="1">TEXT(DATE(YEAR(Invoer!$A$5),1,1)+INT((ROWS(B$2:B7305)-1)/24),"""18""jjmmdd")</f>
        <v>18981101</v>
      </c>
      <c r="C7305" s="11" t="str">
        <f>INDEX(Data,2,2+MOD(ROWS(C$2:C7305)-1,24))</f>
        <v>08.00</v>
      </c>
      <c r="D7305" s="8">
        <f t="shared" ca="1" si="344"/>
        <v>14</v>
      </c>
      <c r="E7305" s="16">
        <f t="shared" ca="1" si="345"/>
        <v>0</v>
      </c>
    </row>
    <row r="7306" spans="1:5" x14ac:dyDescent="0.25">
      <c r="A7306" s="3">
        <f t="shared" si="343"/>
        <v>78989</v>
      </c>
      <c r="B7306" t="str">
        <f ca="1">TEXT(DATE(YEAR(Invoer!$A$5),1,1)+INT((ROWS(B$2:B7306)-1)/24),"""18""jjmmdd")</f>
        <v>18981101</v>
      </c>
      <c r="C7306" s="11" t="str">
        <f>INDEX(Data,2,2+MOD(ROWS(C$2:C7306)-1,24))</f>
        <v>09.00</v>
      </c>
      <c r="D7306" s="8">
        <f t="shared" ca="1" si="344"/>
        <v>17</v>
      </c>
      <c r="E7306" s="16">
        <f t="shared" ca="1" si="345"/>
        <v>0</v>
      </c>
    </row>
    <row r="7307" spans="1:5" x14ac:dyDescent="0.25">
      <c r="A7307" s="3">
        <f t="shared" si="343"/>
        <v>78989</v>
      </c>
      <c r="B7307" t="str">
        <f ca="1">TEXT(DATE(YEAR(Invoer!$A$5),1,1)+INT((ROWS(B$2:B7307)-1)/24),"""18""jjmmdd")</f>
        <v>18981101</v>
      </c>
      <c r="C7307" s="11" t="str">
        <f>INDEX(Data,2,2+MOD(ROWS(C$2:C7307)-1,24))</f>
        <v>10.00</v>
      </c>
      <c r="D7307" s="8">
        <f t="shared" ca="1" si="344"/>
        <v>14</v>
      </c>
      <c r="E7307" s="16">
        <f t="shared" ca="1" si="345"/>
        <v>0</v>
      </c>
    </row>
    <row r="7308" spans="1:5" x14ac:dyDescent="0.25">
      <c r="A7308" s="3">
        <f t="shared" si="343"/>
        <v>78989</v>
      </c>
      <c r="B7308" t="str">
        <f ca="1">TEXT(DATE(YEAR(Invoer!$A$5),1,1)+INT((ROWS(B$2:B7308)-1)/24),"""18""jjmmdd")</f>
        <v>18981101</v>
      </c>
      <c r="C7308" s="11" t="str">
        <f>INDEX(Data,2,2+MOD(ROWS(C$2:C7308)-1,24))</f>
        <v>11.00</v>
      </c>
      <c r="D7308" s="8">
        <f t="shared" ca="1" si="344"/>
        <v>15</v>
      </c>
      <c r="E7308" s="16">
        <f t="shared" ca="1" si="345"/>
        <v>0</v>
      </c>
    </row>
    <row r="7309" spans="1:5" x14ac:dyDescent="0.25">
      <c r="A7309" s="3">
        <f t="shared" si="343"/>
        <v>78989</v>
      </c>
      <c r="B7309" t="str">
        <f ca="1">TEXT(DATE(YEAR(Invoer!$A$5),1,1)+INT((ROWS(B$2:B7309)-1)/24),"""18""jjmmdd")</f>
        <v>18981101</v>
      </c>
      <c r="C7309" s="11" t="str">
        <f>INDEX(Data,2,2+MOD(ROWS(C$2:C7309)-1,24))</f>
        <v>12.00</v>
      </c>
      <c r="D7309" s="8">
        <f t="shared" ca="1" si="344"/>
        <v>15</v>
      </c>
      <c r="E7309" s="16">
        <f t="shared" ca="1" si="345"/>
        <v>0</v>
      </c>
    </row>
    <row r="7310" spans="1:5" x14ac:dyDescent="0.25">
      <c r="A7310" s="3">
        <f t="shared" si="343"/>
        <v>78989</v>
      </c>
      <c r="B7310" t="str">
        <f ca="1">TEXT(DATE(YEAR(Invoer!$A$5),1,1)+INT((ROWS(B$2:B7310)-1)/24),"""18""jjmmdd")</f>
        <v>18981101</v>
      </c>
      <c r="C7310" s="11" t="str">
        <f>INDEX(Data,2,2+MOD(ROWS(C$2:C7310)-1,24))</f>
        <v>13.00</v>
      </c>
      <c r="D7310" s="8">
        <f t="shared" ca="1" si="344"/>
        <v>15</v>
      </c>
      <c r="E7310" s="16">
        <f t="shared" ca="1" si="345"/>
        <v>0</v>
      </c>
    </row>
    <row r="7311" spans="1:5" x14ac:dyDescent="0.25">
      <c r="A7311" s="3">
        <f t="shared" si="343"/>
        <v>78989</v>
      </c>
      <c r="B7311" t="str">
        <f ca="1">TEXT(DATE(YEAR(Invoer!$A$5),1,1)+INT((ROWS(B$2:B7311)-1)/24),"""18""jjmmdd")</f>
        <v>18981101</v>
      </c>
      <c r="C7311" s="11" t="str">
        <f>INDEX(Data,2,2+MOD(ROWS(C$2:C7311)-1,24))</f>
        <v>14.00</v>
      </c>
      <c r="D7311" s="8">
        <f t="shared" ca="1" si="344"/>
        <v>12</v>
      </c>
      <c r="E7311" s="16">
        <f t="shared" ca="1" si="345"/>
        <v>0</v>
      </c>
    </row>
    <row r="7312" spans="1:5" x14ac:dyDescent="0.25">
      <c r="A7312" s="3">
        <f t="shared" si="343"/>
        <v>78989</v>
      </c>
      <c r="B7312" t="str">
        <f ca="1">TEXT(DATE(YEAR(Invoer!$A$5),1,1)+INT((ROWS(B$2:B7312)-1)/24),"""18""jjmmdd")</f>
        <v>18981101</v>
      </c>
      <c r="C7312" s="11" t="str">
        <f>INDEX(Data,2,2+MOD(ROWS(C$2:C7312)-1,24))</f>
        <v>15.00</v>
      </c>
      <c r="D7312" s="8">
        <f t="shared" ca="1" si="344"/>
        <v>12</v>
      </c>
      <c r="E7312" s="16">
        <f t="shared" ca="1" si="345"/>
        <v>0</v>
      </c>
    </row>
    <row r="7313" spans="1:5" x14ac:dyDescent="0.25">
      <c r="A7313" s="3">
        <f t="shared" si="343"/>
        <v>78989</v>
      </c>
      <c r="B7313" t="str">
        <f ca="1">TEXT(DATE(YEAR(Invoer!$A$5),1,1)+INT((ROWS(B$2:B7313)-1)/24),"""18""jjmmdd")</f>
        <v>18981101</v>
      </c>
      <c r="C7313" s="11" t="str">
        <f>INDEX(Data,2,2+MOD(ROWS(C$2:C7313)-1,24))</f>
        <v>16.00</v>
      </c>
      <c r="D7313" s="8">
        <f t="shared" ca="1" si="344"/>
        <v>12</v>
      </c>
      <c r="E7313" s="16">
        <f t="shared" ca="1" si="345"/>
        <v>0</v>
      </c>
    </row>
    <row r="7314" spans="1:5" x14ac:dyDescent="0.25">
      <c r="A7314" s="3">
        <f t="shared" si="343"/>
        <v>78989</v>
      </c>
      <c r="B7314" t="str">
        <f ca="1">TEXT(DATE(YEAR(Invoer!$A$5),1,1)+INT((ROWS(B$2:B7314)-1)/24),"""18""jjmmdd")</f>
        <v>18981101</v>
      </c>
      <c r="C7314" s="11" t="str">
        <f>INDEX(Data,2,2+MOD(ROWS(C$2:C7314)-1,24))</f>
        <v>17.00</v>
      </c>
      <c r="D7314" s="8">
        <f t="shared" ca="1" si="344"/>
        <v>12</v>
      </c>
      <c r="E7314" s="16">
        <f t="shared" ca="1" si="345"/>
        <v>0</v>
      </c>
    </row>
    <row r="7315" spans="1:5" x14ac:dyDescent="0.25">
      <c r="A7315" s="3">
        <f t="shared" si="343"/>
        <v>78989</v>
      </c>
      <c r="B7315" t="str">
        <f ca="1">TEXT(DATE(YEAR(Invoer!$A$5),1,1)+INT((ROWS(B$2:B7315)-1)/24),"""18""jjmmdd")</f>
        <v>18981101</v>
      </c>
      <c r="C7315" s="11" t="str">
        <f>INDEX(Data,2,2+MOD(ROWS(C$2:C7315)-1,24))</f>
        <v>18.00</v>
      </c>
      <c r="D7315" s="8">
        <f t="shared" ca="1" si="344"/>
        <v>12</v>
      </c>
      <c r="E7315" s="16">
        <f t="shared" ca="1" si="345"/>
        <v>0</v>
      </c>
    </row>
    <row r="7316" spans="1:5" x14ac:dyDescent="0.25">
      <c r="A7316" s="3">
        <f t="shared" si="343"/>
        <v>78989</v>
      </c>
      <c r="B7316" t="str">
        <f ca="1">TEXT(DATE(YEAR(Invoer!$A$5),1,1)+INT((ROWS(B$2:B7316)-1)/24),"""18""jjmmdd")</f>
        <v>18981101</v>
      </c>
      <c r="C7316" s="11" t="str">
        <f>INDEX(Data,2,2+MOD(ROWS(C$2:C7316)-1,24))</f>
        <v>19.00</v>
      </c>
      <c r="D7316" s="8">
        <f t="shared" ca="1" si="344"/>
        <v>9</v>
      </c>
      <c r="E7316" s="16">
        <f t="shared" ca="1" si="345"/>
        <v>0</v>
      </c>
    </row>
    <row r="7317" spans="1:5" x14ac:dyDescent="0.25">
      <c r="A7317" s="3">
        <f t="shared" si="343"/>
        <v>78989</v>
      </c>
      <c r="B7317" t="str">
        <f ca="1">TEXT(DATE(YEAR(Invoer!$A$5),1,1)+INT((ROWS(B$2:B7317)-1)/24),"""18""jjmmdd")</f>
        <v>18981101</v>
      </c>
      <c r="C7317" s="11" t="str">
        <f>INDEX(Data,2,2+MOD(ROWS(C$2:C7317)-1,24))</f>
        <v>20.00</v>
      </c>
      <c r="D7317" s="8">
        <f t="shared" ca="1" si="344"/>
        <v>8</v>
      </c>
      <c r="E7317" s="16">
        <f t="shared" ca="1" si="345"/>
        <v>0</v>
      </c>
    </row>
    <row r="7318" spans="1:5" x14ac:dyDescent="0.25">
      <c r="A7318" s="3">
        <f t="shared" si="343"/>
        <v>78989</v>
      </c>
      <c r="B7318" t="str">
        <f ca="1">TEXT(DATE(YEAR(Invoer!$A$5),1,1)+INT((ROWS(B$2:B7318)-1)/24),"""18""jjmmdd")</f>
        <v>18981101</v>
      </c>
      <c r="C7318" s="11" t="str">
        <f>INDEX(Data,2,2+MOD(ROWS(C$2:C7318)-1,24))</f>
        <v>21.00</v>
      </c>
      <c r="D7318" s="8">
        <f t="shared" ca="1" si="344"/>
        <v>9</v>
      </c>
      <c r="E7318" s="16">
        <f t="shared" ca="1" si="345"/>
        <v>0</v>
      </c>
    </row>
    <row r="7319" spans="1:5" x14ac:dyDescent="0.25">
      <c r="A7319" s="3">
        <f t="shared" si="343"/>
        <v>78989</v>
      </c>
      <c r="B7319" t="str">
        <f ca="1">TEXT(DATE(YEAR(Invoer!$A$5),1,1)+INT((ROWS(B$2:B7319)-1)/24),"""18""jjmmdd")</f>
        <v>18981101</v>
      </c>
      <c r="C7319" s="11" t="str">
        <f>INDEX(Data,2,2+MOD(ROWS(C$2:C7319)-1,24))</f>
        <v>22.00</v>
      </c>
      <c r="D7319" s="8">
        <f t="shared" ca="1" si="344"/>
        <v>9</v>
      </c>
      <c r="E7319" s="16">
        <f t="shared" ca="1" si="345"/>
        <v>0</v>
      </c>
    </row>
    <row r="7320" spans="1:5" x14ac:dyDescent="0.25">
      <c r="A7320" s="3">
        <f t="shared" si="343"/>
        <v>78989</v>
      </c>
      <c r="B7320" t="str">
        <f ca="1">TEXT(DATE(YEAR(Invoer!$A$5),1,1)+INT((ROWS(B$2:B7320)-1)/24),"""18""jjmmdd")</f>
        <v>18981101</v>
      </c>
      <c r="C7320" s="11" t="str">
        <f>INDEX(Data,2,2+MOD(ROWS(C$2:C7320)-1,24))</f>
        <v>23.00</v>
      </c>
      <c r="D7320" s="8">
        <f t="shared" ca="1" si="344"/>
        <v>7</v>
      </c>
      <c r="E7320" s="16">
        <f t="shared" ca="1" si="345"/>
        <v>0</v>
      </c>
    </row>
    <row r="7321" spans="1:5" x14ac:dyDescent="0.25">
      <c r="A7321" s="3">
        <f t="shared" si="343"/>
        <v>78989</v>
      </c>
      <c r="B7321" t="str">
        <f ca="1">TEXT(DATE(YEAR(Invoer!$A$5),1,1)+INT((ROWS(B$2:B7321)-1)/24),"""18""jjmmdd")</f>
        <v>18981101</v>
      </c>
      <c r="C7321" s="11" t="str">
        <f>INDEX(Data,2,2+MOD(ROWS(C$2:C7321)-1,24))</f>
        <v>24.00</v>
      </c>
      <c r="D7321" s="8">
        <f t="shared" ca="1" si="344"/>
        <v>8</v>
      </c>
      <c r="E7321" s="16">
        <f t="shared" ca="1" si="345"/>
        <v>0</v>
      </c>
    </row>
    <row r="7322" spans="1:5" x14ac:dyDescent="0.25">
      <c r="A7322" s="3">
        <f t="shared" si="343"/>
        <v>78989</v>
      </c>
      <c r="B7322" t="str">
        <f ca="1">TEXT(DATE(YEAR(Invoer!$A$5),1,1)+INT((ROWS(B$2:B7322)-1)/24),"""18""jjmmdd")</f>
        <v>18981102</v>
      </c>
      <c r="C7322" s="11" t="str">
        <f>INDEX(Data,2,2+MOD(ROWS(C$2:C7322)-1,24))</f>
        <v>01.00</v>
      </c>
      <c r="D7322" s="8">
        <f t="shared" ca="1" si="344"/>
        <v>8</v>
      </c>
      <c r="E7322" s="16">
        <f t="shared" ca="1" si="345"/>
        <v>0</v>
      </c>
    </row>
    <row r="7323" spans="1:5" x14ac:dyDescent="0.25">
      <c r="A7323" s="3">
        <f t="shared" si="343"/>
        <v>78989</v>
      </c>
      <c r="B7323" t="str">
        <f ca="1">TEXT(DATE(YEAR(Invoer!$A$5),1,1)+INT((ROWS(B$2:B7323)-1)/24),"""18""jjmmdd")</f>
        <v>18981102</v>
      </c>
      <c r="C7323" s="11" t="str">
        <f>INDEX(Data,2,2+MOD(ROWS(C$2:C7323)-1,24))</f>
        <v>02.00</v>
      </c>
      <c r="D7323" s="8">
        <f t="shared" ca="1" si="344"/>
        <v>7</v>
      </c>
      <c r="E7323" s="16">
        <f t="shared" ca="1" si="345"/>
        <v>0</v>
      </c>
    </row>
    <row r="7324" spans="1:5" x14ac:dyDescent="0.25">
      <c r="A7324" s="3">
        <f t="shared" si="343"/>
        <v>78989</v>
      </c>
      <c r="B7324" t="str">
        <f ca="1">TEXT(DATE(YEAR(Invoer!$A$5),1,1)+INT((ROWS(B$2:B7324)-1)/24),"""18""jjmmdd")</f>
        <v>18981102</v>
      </c>
      <c r="C7324" s="11" t="str">
        <f>INDEX(Data,2,2+MOD(ROWS(C$2:C7324)-1,24))</f>
        <v>03.00</v>
      </c>
      <c r="D7324" s="8">
        <f t="shared" ca="1" si="344"/>
        <v>5</v>
      </c>
      <c r="E7324" s="16">
        <f t="shared" ca="1" si="345"/>
        <v>0</v>
      </c>
    </row>
    <row r="7325" spans="1:5" x14ac:dyDescent="0.25">
      <c r="A7325" s="3">
        <f t="shared" si="343"/>
        <v>78989</v>
      </c>
      <c r="B7325" t="str">
        <f ca="1">TEXT(DATE(YEAR(Invoer!$A$5),1,1)+INT((ROWS(B$2:B7325)-1)/24),"""18""jjmmdd")</f>
        <v>18981102</v>
      </c>
      <c r="C7325" s="11" t="str">
        <f>INDEX(Data,2,2+MOD(ROWS(C$2:C7325)-1,24))</f>
        <v>04.00</v>
      </c>
      <c r="D7325" s="8">
        <f t="shared" ca="1" si="344"/>
        <v>6</v>
      </c>
      <c r="E7325" s="16">
        <f t="shared" ca="1" si="345"/>
        <v>0</v>
      </c>
    </row>
    <row r="7326" spans="1:5" x14ac:dyDescent="0.25">
      <c r="A7326" s="3">
        <f t="shared" si="343"/>
        <v>78989</v>
      </c>
      <c r="B7326" t="str">
        <f ca="1">TEXT(DATE(YEAR(Invoer!$A$5),1,1)+INT((ROWS(B$2:B7326)-1)/24),"""18""jjmmdd")</f>
        <v>18981102</v>
      </c>
      <c r="C7326" s="11" t="str">
        <f>INDEX(Data,2,2+MOD(ROWS(C$2:C7326)-1,24))</f>
        <v>05.00</v>
      </c>
      <c r="D7326" s="8">
        <f t="shared" ca="1" si="344"/>
        <v>5</v>
      </c>
      <c r="E7326" s="16">
        <f t="shared" ca="1" si="345"/>
        <v>0</v>
      </c>
    </row>
    <row r="7327" spans="1:5" x14ac:dyDescent="0.25">
      <c r="A7327" s="3">
        <f t="shared" si="343"/>
        <v>78989</v>
      </c>
      <c r="B7327" t="str">
        <f ca="1">TEXT(DATE(YEAR(Invoer!$A$5),1,1)+INT((ROWS(B$2:B7327)-1)/24),"""18""jjmmdd")</f>
        <v>18981102</v>
      </c>
      <c r="C7327" s="11" t="str">
        <f>INDEX(Data,2,2+MOD(ROWS(C$2:C7327)-1,24))</f>
        <v>06.00</v>
      </c>
      <c r="D7327" s="8">
        <f t="shared" ca="1" si="344"/>
        <v>6</v>
      </c>
      <c r="E7327" s="16">
        <f t="shared" ca="1" si="345"/>
        <v>0</v>
      </c>
    </row>
    <row r="7328" spans="1:5" x14ac:dyDescent="0.25">
      <c r="A7328" s="3">
        <f t="shared" si="343"/>
        <v>78989</v>
      </c>
      <c r="B7328" t="str">
        <f ca="1">TEXT(DATE(YEAR(Invoer!$A$5),1,1)+INT((ROWS(B$2:B7328)-1)/24),"""18""jjmmdd")</f>
        <v>18981102</v>
      </c>
      <c r="C7328" s="11" t="str">
        <f>INDEX(Data,2,2+MOD(ROWS(C$2:C7328)-1,24))</f>
        <v>07.00</v>
      </c>
      <c r="D7328" s="8">
        <f t="shared" ca="1" si="344"/>
        <v>5</v>
      </c>
      <c r="E7328" s="16">
        <f t="shared" ca="1" si="345"/>
        <v>0</v>
      </c>
    </row>
    <row r="7329" spans="1:5" x14ac:dyDescent="0.25">
      <c r="A7329" s="3">
        <f t="shared" si="343"/>
        <v>78989</v>
      </c>
      <c r="B7329" t="str">
        <f ca="1">TEXT(DATE(YEAR(Invoer!$A$5),1,1)+INT((ROWS(B$2:B7329)-1)/24),"""18""jjmmdd")</f>
        <v>18981102</v>
      </c>
      <c r="C7329" s="11" t="str">
        <f>INDEX(Data,2,2+MOD(ROWS(C$2:C7329)-1,24))</f>
        <v>08.00</v>
      </c>
      <c r="D7329" s="8">
        <f t="shared" ca="1" si="344"/>
        <v>6</v>
      </c>
      <c r="E7329" s="16">
        <f t="shared" ca="1" si="345"/>
        <v>0</v>
      </c>
    </row>
    <row r="7330" spans="1:5" x14ac:dyDescent="0.25">
      <c r="A7330" s="3">
        <f t="shared" si="343"/>
        <v>78989</v>
      </c>
      <c r="B7330" t="str">
        <f ca="1">TEXT(DATE(YEAR(Invoer!$A$5),1,1)+INT((ROWS(B$2:B7330)-1)/24),"""18""jjmmdd")</f>
        <v>18981102</v>
      </c>
      <c r="C7330" s="11" t="str">
        <f>INDEX(Data,2,2+MOD(ROWS(C$2:C7330)-1,24))</f>
        <v>09.00</v>
      </c>
      <c r="D7330" s="8">
        <f t="shared" ca="1" si="344"/>
        <v>7</v>
      </c>
      <c r="E7330" s="16">
        <f t="shared" ca="1" si="345"/>
        <v>0</v>
      </c>
    </row>
    <row r="7331" spans="1:5" x14ac:dyDescent="0.25">
      <c r="A7331" s="3">
        <f t="shared" si="343"/>
        <v>78989</v>
      </c>
      <c r="B7331" t="str">
        <f ca="1">TEXT(DATE(YEAR(Invoer!$A$5),1,1)+INT((ROWS(B$2:B7331)-1)/24),"""18""jjmmdd")</f>
        <v>18981102</v>
      </c>
      <c r="C7331" s="11" t="str">
        <f>INDEX(Data,2,2+MOD(ROWS(C$2:C7331)-1,24))</f>
        <v>10.00</v>
      </c>
      <c r="D7331" s="8">
        <f t="shared" ca="1" si="344"/>
        <v>10</v>
      </c>
      <c r="E7331" s="16">
        <f t="shared" ca="1" si="345"/>
        <v>0</v>
      </c>
    </row>
    <row r="7332" spans="1:5" x14ac:dyDescent="0.25">
      <c r="A7332" s="3">
        <f t="shared" si="343"/>
        <v>78989</v>
      </c>
      <c r="B7332" t="str">
        <f ca="1">TEXT(DATE(YEAR(Invoer!$A$5),1,1)+INT((ROWS(B$2:B7332)-1)/24),"""18""jjmmdd")</f>
        <v>18981102</v>
      </c>
      <c r="C7332" s="11" t="str">
        <f>INDEX(Data,2,2+MOD(ROWS(C$2:C7332)-1,24))</f>
        <v>11.00</v>
      </c>
      <c r="D7332" s="8">
        <f t="shared" ca="1" si="344"/>
        <v>9</v>
      </c>
      <c r="E7332" s="16">
        <f t="shared" ca="1" si="345"/>
        <v>0</v>
      </c>
    </row>
    <row r="7333" spans="1:5" x14ac:dyDescent="0.25">
      <c r="A7333" s="3">
        <f t="shared" si="343"/>
        <v>78989</v>
      </c>
      <c r="B7333" t="str">
        <f ca="1">TEXT(DATE(YEAR(Invoer!$A$5),1,1)+INT((ROWS(B$2:B7333)-1)/24),"""18""jjmmdd")</f>
        <v>18981102</v>
      </c>
      <c r="C7333" s="11" t="str">
        <f>INDEX(Data,2,2+MOD(ROWS(C$2:C7333)-1,24))</f>
        <v>12.00</v>
      </c>
      <c r="D7333" s="8">
        <f t="shared" ca="1" si="344"/>
        <v>10</v>
      </c>
      <c r="E7333" s="16">
        <f t="shared" ca="1" si="345"/>
        <v>0</v>
      </c>
    </row>
    <row r="7334" spans="1:5" x14ac:dyDescent="0.25">
      <c r="A7334" s="3">
        <f t="shared" si="343"/>
        <v>78989</v>
      </c>
      <c r="B7334" t="str">
        <f ca="1">TEXT(DATE(YEAR(Invoer!$A$5),1,1)+INT((ROWS(B$2:B7334)-1)/24),"""18""jjmmdd")</f>
        <v>18981102</v>
      </c>
      <c r="C7334" s="11" t="str">
        <f>INDEX(Data,2,2+MOD(ROWS(C$2:C7334)-1,24))</f>
        <v>13.00</v>
      </c>
      <c r="D7334" s="8">
        <f t="shared" ca="1" si="344"/>
        <v>11</v>
      </c>
      <c r="E7334" s="16">
        <f t="shared" ca="1" si="345"/>
        <v>0</v>
      </c>
    </row>
    <row r="7335" spans="1:5" x14ac:dyDescent="0.25">
      <c r="A7335" s="3">
        <f t="shared" si="343"/>
        <v>78989</v>
      </c>
      <c r="B7335" t="str">
        <f ca="1">TEXT(DATE(YEAR(Invoer!$A$5),1,1)+INT((ROWS(B$2:B7335)-1)/24),"""18""jjmmdd")</f>
        <v>18981102</v>
      </c>
      <c r="C7335" s="11" t="str">
        <f>INDEX(Data,2,2+MOD(ROWS(C$2:C7335)-1,24))</f>
        <v>14.00</v>
      </c>
      <c r="D7335" s="8">
        <f t="shared" ca="1" si="344"/>
        <v>11</v>
      </c>
      <c r="E7335" s="16">
        <f t="shared" ca="1" si="345"/>
        <v>0</v>
      </c>
    </row>
    <row r="7336" spans="1:5" x14ac:dyDescent="0.25">
      <c r="A7336" s="3">
        <f t="shared" si="343"/>
        <v>78989</v>
      </c>
      <c r="B7336" t="str">
        <f ca="1">TEXT(DATE(YEAR(Invoer!$A$5),1,1)+INT((ROWS(B$2:B7336)-1)/24),"""18""jjmmdd")</f>
        <v>18981102</v>
      </c>
      <c r="C7336" s="11" t="str">
        <f>INDEX(Data,2,2+MOD(ROWS(C$2:C7336)-1,24))</f>
        <v>15.00</v>
      </c>
      <c r="D7336" s="8">
        <f t="shared" ca="1" si="344"/>
        <v>8</v>
      </c>
      <c r="E7336" s="16">
        <f t="shared" ca="1" si="345"/>
        <v>0</v>
      </c>
    </row>
    <row r="7337" spans="1:5" x14ac:dyDescent="0.25">
      <c r="A7337" s="3">
        <f t="shared" si="343"/>
        <v>78989</v>
      </c>
      <c r="B7337" t="str">
        <f ca="1">TEXT(DATE(YEAR(Invoer!$A$5),1,1)+INT((ROWS(B$2:B7337)-1)/24),"""18""jjmmdd")</f>
        <v>18981102</v>
      </c>
      <c r="C7337" s="11" t="str">
        <f>INDEX(Data,2,2+MOD(ROWS(C$2:C7337)-1,24))</f>
        <v>16.00</v>
      </c>
      <c r="D7337" s="8">
        <f t="shared" ca="1" si="344"/>
        <v>10</v>
      </c>
      <c r="E7337" s="16">
        <f t="shared" ca="1" si="345"/>
        <v>0</v>
      </c>
    </row>
    <row r="7338" spans="1:5" x14ac:dyDescent="0.25">
      <c r="A7338" s="3">
        <f t="shared" si="343"/>
        <v>78989</v>
      </c>
      <c r="B7338" t="str">
        <f ca="1">TEXT(DATE(YEAR(Invoer!$A$5),1,1)+INT((ROWS(B$2:B7338)-1)/24),"""18""jjmmdd")</f>
        <v>18981102</v>
      </c>
      <c r="C7338" s="11" t="str">
        <f>INDEX(Data,2,2+MOD(ROWS(C$2:C7338)-1,24))</f>
        <v>17.00</v>
      </c>
      <c r="D7338" s="8">
        <f t="shared" ca="1" si="344"/>
        <v>8</v>
      </c>
      <c r="E7338" s="16">
        <f t="shared" ca="1" si="345"/>
        <v>0</v>
      </c>
    </row>
    <row r="7339" spans="1:5" x14ac:dyDescent="0.25">
      <c r="A7339" s="3">
        <f t="shared" si="343"/>
        <v>78989</v>
      </c>
      <c r="B7339" t="str">
        <f ca="1">TEXT(DATE(YEAR(Invoer!$A$5),1,1)+INT((ROWS(B$2:B7339)-1)/24),"""18""jjmmdd")</f>
        <v>18981102</v>
      </c>
      <c r="C7339" s="11" t="str">
        <f>INDEX(Data,2,2+MOD(ROWS(C$2:C7339)-1,24))</f>
        <v>18.00</v>
      </c>
      <c r="D7339" s="8">
        <f t="shared" ca="1" si="344"/>
        <v>7</v>
      </c>
      <c r="E7339" s="16">
        <f t="shared" ca="1" si="345"/>
        <v>0</v>
      </c>
    </row>
    <row r="7340" spans="1:5" x14ac:dyDescent="0.25">
      <c r="A7340" s="3">
        <f t="shared" si="343"/>
        <v>78989</v>
      </c>
      <c r="B7340" t="str">
        <f ca="1">TEXT(DATE(YEAR(Invoer!$A$5),1,1)+INT((ROWS(B$2:B7340)-1)/24),"""18""jjmmdd")</f>
        <v>18981102</v>
      </c>
      <c r="C7340" s="11" t="str">
        <f>INDEX(Data,2,2+MOD(ROWS(C$2:C7340)-1,24))</f>
        <v>19.00</v>
      </c>
      <c r="D7340" s="8">
        <f t="shared" ca="1" si="344"/>
        <v>5</v>
      </c>
      <c r="E7340" s="16">
        <f t="shared" ca="1" si="345"/>
        <v>0</v>
      </c>
    </row>
    <row r="7341" spans="1:5" x14ac:dyDescent="0.25">
      <c r="A7341" s="3">
        <f t="shared" si="343"/>
        <v>78989</v>
      </c>
      <c r="B7341" t="str">
        <f ca="1">TEXT(DATE(YEAR(Invoer!$A$5),1,1)+INT((ROWS(B$2:B7341)-1)/24),"""18""jjmmdd")</f>
        <v>18981102</v>
      </c>
      <c r="C7341" s="11" t="str">
        <f>INDEX(Data,2,2+MOD(ROWS(C$2:C7341)-1,24))</f>
        <v>20.00</v>
      </c>
      <c r="D7341" s="8">
        <f t="shared" ca="1" si="344"/>
        <v>7</v>
      </c>
      <c r="E7341" s="16">
        <f t="shared" ca="1" si="345"/>
        <v>0</v>
      </c>
    </row>
    <row r="7342" spans="1:5" x14ac:dyDescent="0.25">
      <c r="A7342" s="3">
        <f t="shared" si="343"/>
        <v>78989</v>
      </c>
      <c r="B7342" t="str">
        <f ca="1">TEXT(DATE(YEAR(Invoer!$A$5),1,1)+INT((ROWS(B$2:B7342)-1)/24),"""18""jjmmdd")</f>
        <v>18981102</v>
      </c>
      <c r="C7342" s="11" t="str">
        <f>INDEX(Data,2,2+MOD(ROWS(C$2:C7342)-1,24))</f>
        <v>21.00</v>
      </c>
      <c r="D7342" s="8">
        <f t="shared" ca="1" si="344"/>
        <v>7</v>
      </c>
      <c r="E7342" s="16">
        <f t="shared" ca="1" si="345"/>
        <v>0</v>
      </c>
    </row>
    <row r="7343" spans="1:5" x14ac:dyDescent="0.25">
      <c r="A7343" s="3">
        <f t="shared" si="343"/>
        <v>78989</v>
      </c>
      <c r="B7343" t="str">
        <f ca="1">TEXT(DATE(YEAR(Invoer!$A$5),1,1)+INT((ROWS(B$2:B7343)-1)/24),"""18""jjmmdd")</f>
        <v>18981102</v>
      </c>
      <c r="C7343" s="11" t="str">
        <f>INDEX(Data,2,2+MOD(ROWS(C$2:C7343)-1,24))</f>
        <v>22.00</v>
      </c>
      <c r="D7343" s="8">
        <f t="shared" ca="1" si="344"/>
        <v>6</v>
      </c>
      <c r="E7343" s="16">
        <f t="shared" ca="1" si="345"/>
        <v>0</v>
      </c>
    </row>
    <row r="7344" spans="1:5" x14ac:dyDescent="0.25">
      <c r="A7344" s="3">
        <f t="shared" si="343"/>
        <v>78989</v>
      </c>
      <c r="B7344" t="str">
        <f ca="1">TEXT(DATE(YEAR(Invoer!$A$5),1,1)+INT((ROWS(B$2:B7344)-1)/24),"""18""jjmmdd")</f>
        <v>18981102</v>
      </c>
      <c r="C7344" s="11" t="str">
        <f>INDEX(Data,2,2+MOD(ROWS(C$2:C7344)-1,24))</f>
        <v>23.00</v>
      </c>
      <c r="D7344" s="8">
        <f t="shared" ca="1" si="344"/>
        <v>6</v>
      </c>
      <c r="E7344" s="16">
        <f t="shared" ca="1" si="345"/>
        <v>0</v>
      </c>
    </row>
    <row r="7345" spans="1:5" x14ac:dyDescent="0.25">
      <c r="A7345" s="3">
        <f t="shared" si="343"/>
        <v>78989</v>
      </c>
      <c r="B7345" t="str">
        <f ca="1">TEXT(DATE(YEAR(Invoer!$A$5),1,1)+INT((ROWS(B$2:B7345)-1)/24),"""18""jjmmdd")</f>
        <v>18981102</v>
      </c>
      <c r="C7345" s="11" t="str">
        <f>INDEX(Data,2,2+MOD(ROWS(C$2:C7345)-1,24))</f>
        <v>24.00</v>
      </c>
      <c r="D7345" s="8">
        <f t="shared" ca="1" si="344"/>
        <v>6</v>
      </c>
      <c r="E7345" s="16">
        <f t="shared" ca="1" si="345"/>
        <v>0</v>
      </c>
    </row>
    <row r="7346" spans="1:5" x14ac:dyDescent="0.25">
      <c r="A7346" s="3">
        <f t="shared" si="343"/>
        <v>78989</v>
      </c>
      <c r="B7346" t="str">
        <f ca="1">TEXT(DATE(YEAR(Invoer!$A$5),1,1)+INT((ROWS(B$2:B7346)-1)/24),"""18""jjmmdd")</f>
        <v>18981103</v>
      </c>
      <c r="C7346" s="11" t="str">
        <f>INDEX(Data,2,2+MOD(ROWS(C$2:C7346)-1,24))</f>
        <v>01.00</v>
      </c>
      <c r="D7346" s="8">
        <f t="shared" ca="1" si="344"/>
        <v>6</v>
      </c>
      <c r="E7346" s="16">
        <f t="shared" ca="1" si="345"/>
        <v>0</v>
      </c>
    </row>
    <row r="7347" spans="1:5" x14ac:dyDescent="0.25">
      <c r="A7347" s="3">
        <f t="shared" si="343"/>
        <v>78989</v>
      </c>
      <c r="B7347" t="str">
        <f ca="1">TEXT(DATE(YEAR(Invoer!$A$5),1,1)+INT((ROWS(B$2:B7347)-1)/24),"""18""jjmmdd")</f>
        <v>18981103</v>
      </c>
      <c r="C7347" s="11" t="str">
        <f>INDEX(Data,2,2+MOD(ROWS(C$2:C7347)-1,24))</f>
        <v>02.00</v>
      </c>
      <c r="D7347" s="8">
        <f t="shared" ca="1" si="344"/>
        <v>5</v>
      </c>
      <c r="E7347" s="16">
        <f t="shared" ca="1" si="345"/>
        <v>0</v>
      </c>
    </row>
    <row r="7348" spans="1:5" x14ac:dyDescent="0.25">
      <c r="A7348" s="3">
        <f t="shared" si="343"/>
        <v>78989</v>
      </c>
      <c r="B7348" t="str">
        <f ca="1">TEXT(DATE(YEAR(Invoer!$A$5),1,1)+INT((ROWS(B$2:B7348)-1)/24),"""18""jjmmdd")</f>
        <v>18981103</v>
      </c>
      <c r="C7348" s="11" t="str">
        <f>INDEX(Data,2,2+MOD(ROWS(C$2:C7348)-1,24))</f>
        <v>03.00</v>
      </c>
      <c r="D7348" s="8">
        <f t="shared" ca="1" si="344"/>
        <v>5</v>
      </c>
      <c r="E7348" s="16">
        <f t="shared" ca="1" si="345"/>
        <v>0</v>
      </c>
    </row>
    <row r="7349" spans="1:5" x14ac:dyDescent="0.25">
      <c r="A7349" s="3">
        <f t="shared" si="343"/>
        <v>78989</v>
      </c>
      <c r="B7349" t="str">
        <f ca="1">TEXT(DATE(YEAR(Invoer!$A$5),1,1)+INT((ROWS(B$2:B7349)-1)/24),"""18""jjmmdd")</f>
        <v>18981103</v>
      </c>
      <c r="C7349" s="11" t="str">
        <f>INDEX(Data,2,2+MOD(ROWS(C$2:C7349)-1,24))</f>
        <v>04.00</v>
      </c>
      <c r="D7349" s="8">
        <f t="shared" ca="1" si="344"/>
        <v>5</v>
      </c>
      <c r="E7349" s="16">
        <f t="shared" ca="1" si="345"/>
        <v>0</v>
      </c>
    </row>
    <row r="7350" spans="1:5" x14ac:dyDescent="0.25">
      <c r="A7350" s="3">
        <f t="shared" si="343"/>
        <v>78989</v>
      </c>
      <c r="B7350" t="str">
        <f ca="1">TEXT(DATE(YEAR(Invoer!$A$5),1,1)+INT((ROWS(B$2:B7350)-1)/24),"""18""jjmmdd")</f>
        <v>18981103</v>
      </c>
      <c r="C7350" s="11" t="str">
        <f>INDEX(Data,2,2+MOD(ROWS(C$2:C7350)-1,24))</f>
        <v>05.00</v>
      </c>
      <c r="D7350" s="8">
        <f t="shared" ca="1" si="344"/>
        <v>5</v>
      </c>
      <c r="E7350" s="16">
        <f t="shared" ca="1" si="345"/>
        <v>0</v>
      </c>
    </row>
    <row r="7351" spans="1:5" x14ac:dyDescent="0.25">
      <c r="A7351" s="3">
        <f t="shared" si="343"/>
        <v>78989</v>
      </c>
      <c r="B7351" t="str">
        <f ca="1">TEXT(DATE(YEAR(Invoer!$A$5),1,1)+INT((ROWS(B$2:B7351)-1)/24),"""18""jjmmdd")</f>
        <v>18981103</v>
      </c>
      <c r="C7351" s="11" t="str">
        <f>INDEX(Data,2,2+MOD(ROWS(C$2:C7351)-1,24))</f>
        <v>06.00</v>
      </c>
      <c r="D7351" s="8">
        <f t="shared" ca="1" si="344"/>
        <v>4</v>
      </c>
      <c r="E7351" s="16">
        <f t="shared" ca="1" si="345"/>
        <v>0</v>
      </c>
    </row>
    <row r="7352" spans="1:5" x14ac:dyDescent="0.25">
      <c r="A7352" s="3">
        <f t="shared" si="343"/>
        <v>78989</v>
      </c>
      <c r="B7352" t="str">
        <f ca="1">TEXT(DATE(YEAR(Invoer!$A$5),1,1)+INT((ROWS(B$2:B7352)-1)/24),"""18""jjmmdd")</f>
        <v>18981103</v>
      </c>
      <c r="C7352" s="11" t="str">
        <f>INDEX(Data,2,2+MOD(ROWS(C$2:C7352)-1,24))</f>
        <v>07.00</v>
      </c>
      <c r="D7352" s="8">
        <f t="shared" ca="1" si="344"/>
        <v>6</v>
      </c>
      <c r="E7352" s="16">
        <f t="shared" ca="1" si="345"/>
        <v>0</v>
      </c>
    </row>
    <row r="7353" spans="1:5" x14ac:dyDescent="0.25">
      <c r="A7353" s="3">
        <f t="shared" si="343"/>
        <v>78989</v>
      </c>
      <c r="B7353" t="str">
        <f ca="1">TEXT(DATE(YEAR(Invoer!$A$5),1,1)+INT((ROWS(B$2:B7353)-1)/24),"""18""jjmmdd")</f>
        <v>18981103</v>
      </c>
      <c r="C7353" s="11" t="str">
        <f>INDEX(Data,2,2+MOD(ROWS(C$2:C7353)-1,24))</f>
        <v>08.00</v>
      </c>
      <c r="D7353" s="8">
        <f t="shared" ca="1" si="344"/>
        <v>9</v>
      </c>
      <c r="E7353" s="16">
        <f t="shared" ca="1" si="345"/>
        <v>0</v>
      </c>
    </row>
    <row r="7354" spans="1:5" x14ac:dyDescent="0.25">
      <c r="A7354" s="3">
        <f t="shared" si="343"/>
        <v>78989</v>
      </c>
      <c r="B7354" t="str">
        <f ca="1">TEXT(DATE(YEAR(Invoer!$A$5),1,1)+INT((ROWS(B$2:B7354)-1)/24),"""18""jjmmdd")</f>
        <v>18981103</v>
      </c>
      <c r="C7354" s="11" t="str">
        <f>INDEX(Data,2,2+MOD(ROWS(C$2:C7354)-1,24))</f>
        <v>09.00</v>
      </c>
      <c r="D7354" s="8">
        <f t="shared" ca="1" si="344"/>
        <v>11</v>
      </c>
      <c r="E7354" s="16">
        <f t="shared" ca="1" si="345"/>
        <v>0</v>
      </c>
    </row>
    <row r="7355" spans="1:5" x14ac:dyDescent="0.25">
      <c r="A7355" s="3">
        <f t="shared" si="343"/>
        <v>78989</v>
      </c>
      <c r="B7355" t="str">
        <f ca="1">TEXT(DATE(YEAR(Invoer!$A$5),1,1)+INT((ROWS(B$2:B7355)-1)/24),"""18""jjmmdd")</f>
        <v>18981103</v>
      </c>
      <c r="C7355" s="11" t="str">
        <f>INDEX(Data,2,2+MOD(ROWS(C$2:C7355)-1,24))</f>
        <v>10.00</v>
      </c>
      <c r="D7355" s="8">
        <f t="shared" ca="1" si="344"/>
        <v>10</v>
      </c>
      <c r="E7355" s="16">
        <f t="shared" ca="1" si="345"/>
        <v>0</v>
      </c>
    </row>
    <row r="7356" spans="1:5" x14ac:dyDescent="0.25">
      <c r="A7356" s="3">
        <f t="shared" si="343"/>
        <v>78989</v>
      </c>
      <c r="B7356" t="str">
        <f ca="1">TEXT(DATE(YEAR(Invoer!$A$5),1,1)+INT((ROWS(B$2:B7356)-1)/24),"""18""jjmmdd")</f>
        <v>18981103</v>
      </c>
      <c r="C7356" s="11" t="str">
        <f>INDEX(Data,2,2+MOD(ROWS(C$2:C7356)-1,24))</f>
        <v>11.00</v>
      </c>
      <c r="D7356" s="8">
        <f t="shared" ca="1" si="344"/>
        <v>11</v>
      </c>
      <c r="E7356" s="16">
        <f t="shared" ca="1" si="345"/>
        <v>0</v>
      </c>
    </row>
    <row r="7357" spans="1:5" x14ac:dyDescent="0.25">
      <c r="A7357" s="3">
        <f t="shared" si="343"/>
        <v>78989</v>
      </c>
      <c r="B7357" t="str">
        <f ca="1">TEXT(DATE(YEAR(Invoer!$A$5),1,1)+INT((ROWS(B$2:B7357)-1)/24),"""18""jjmmdd")</f>
        <v>18981103</v>
      </c>
      <c r="C7357" s="11" t="str">
        <f>INDEX(Data,2,2+MOD(ROWS(C$2:C7357)-1,24))</f>
        <v>12.00</v>
      </c>
      <c r="D7357" s="8">
        <f t="shared" ca="1" si="344"/>
        <v>11</v>
      </c>
      <c r="E7357" s="16">
        <f t="shared" ca="1" si="345"/>
        <v>0</v>
      </c>
    </row>
    <row r="7358" spans="1:5" x14ac:dyDescent="0.25">
      <c r="A7358" s="3">
        <f t="shared" si="343"/>
        <v>78989</v>
      </c>
      <c r="B7358" t="str">
        <f ca="1">TEXT(DATE(YEAR(Invoer!$A$5),1,1)+INT((ROWS(B$2:B7358)-1)/24),"""18""jjmmdd")</f>
        <v>18981103</v>
      </c>
      <c r="C7358" s="11" t="str">
        <f>INDEX(Data,2,2+MOD(ROWS(C$2:C7358)-1,24))</f>
        <v>13.00</v>
      </c>
      <c r="D7358" s="8">
        <f t="shared" ca="1" si="344"/>
        <v>12</v>
      </c>
      <c r="E7358" s="16">
        <f t="shared" ca="1" si="345"/>
        <v>0</v>
      </c>
    </row>
    <row r="7359" spans="1:5" x14ac:dyDescent="0.25">
      <c r="A7359" s="3">
        <f t="shared" si="343"/>
        <v>78989</v>
      </c>
      <c r="B7359" t="str">
        <f ca="1">TEXT(DATE(YEAR(Invoer!$A$5),1,1)+INT((ROWS(B$2:B7359)-1)/24),"""18""jjmmdd")</f>
        <v>18981103</v>
      </c>
      <c r="C7359" s="11" t="str">
        <f>INDEX(Data,2,2+MOD(ROWS(C$2:C7359)-1,24))</f>
        <v>14.00</v>
      </c>
      <c r="D7359" s="8">
        <f t="shared" ca="1" si="344"/>
        <v>11</v>
      </c>
      <c r="E7359" s="16">
        <f t="shared" ca="1" si="345"/>
        <v>0</v>
      </c>
    </row>
    <row r="7360" spans="1:5" x14ac:dyDescent="0.25">
      <c r="A7360" s="3">
        <f t="shared" si="343"/>
        <v>78989</v>
      </c>
      <c r="B7360" t="str">
        <f ca="1">TEXT(DATE(YEAR(Invoer!$A$5),1,1)+INT((ROWS(B$2:B7360)-1)/24),"""18""jjmmdd")</f>
        <v>18981103</v>
      </c>
      <c r="C7360" s="11" t="str">
        <f>INDEX(Data,2,2+MOD(ROWS(C$2:C7360)-1,24))</f>
        <v>15.00</v>
      </c>
      <c r="D7360" s="8">
        <f t="shared" ca="1" si="344"/>
        <v>10</v>
      </c>
      <c r="E7360" s="16">
        <f t="shared" ca="1" si="345"/>
        <v>0</v>
      </c>
    </row>
    <row r="7361" spans="1:5" x14ac:dyDescent="0.25">
      <c r="A7361" s="3">
        <f t="shared" si="343"/>
        <v>78989</v>
      </c>
      <c r="B7361" t="str">
        <f ca="1">TEXT(DATE(YEAR(Invoer!$A$5),1,1)+INT((ROWS(B$2:B7361)-1)/24),"""18""jjmmdd")</f>
        <v>18981103</v>
      </c>
      <c r="C7361" s="11" t="str">
        <f>INDEX(Data,2,2+MOD(ROWS(C$2:C7361)-1,24))</f>
        <v>16.00</v>
      </c>
      <c r="D7361" s="8">
        <f t="shared" ca="1" si="344"/>
        <v>10</v>
      </c>
      <c r="E7361" s="16">
        <f t="shared" ca="1" si="345"/>
        <v>0</v>
      </c>
    </row>
    <row r="7362" spans="1:5" x14ac:dyDescent="0.25">
      <c r="A7362" s="3">
        <f t="shared" ref="A7362:A7425" si="346">INDEX(Stations,2,1)</f>
        <v>78989</v>
      </c>
      <c r="B7362" t="str">
        <f ca="1">TEXT(DATE(YEAR(Invoer!$A$5),1,1)+INT((ROWS(B$2:B7362)-1)/24),"""18""jjmmdd")</f>
        <v>18981103</v>
      </c>
      <c r="C7362" s="11" t="str">
        <f>INDEX(Data,2,2+MOD(ROWS(C$2:C7362)-1,24))</f>
        <v>17.00</v>
      </c>
      <c r="D7362" s="8">
        <f t="shared" ref="D7362:D7425" ca="1" si="347">IF(OR(ISBLANK(VLOOKUP(DATEVALUE("37"&amp;MID($B7362,3,2)&amp;"-"&amp;MID($B7362,5,2)&amp;"-"&amp;RIGHT($B7362,2)),Data,MATCH(LEFT(VLOOKUP(D$1,Parameters,2,FALSE()),4)&amp;"*",OFFSET(Data,0,0,1),0)+MATCH($C7362,OFFSET(Data,1,0,1),0)-2,FALSE())),ISTEXT(VLOOKUP(DATEVALUE("37"&amp;MID($B7362,3,2)&amp;"-"&amp;MID($B7362,5,2)&amp;"-"&amp;RIGHT($B7362,2)),Data,MATCH(LEFT(VLOOKUP(D$1,Parameters,2,FALSE()),4)&amp;"*",OFFSET(Data,0,0,1),0)+MATCH($C7362,OFFSET(Data,1,0,1),0)-2,FALSE()))),"—",VLOOKUP(DATEVALUE("37"&amp;MID($B7362,3,2)&amp;"-"&amp;MID($B7362,5,2)&amp;"-"&amp;RIGHT($B7362,2)),Data,MATCH(LEFT(VLOOKUP(D$1,Parameters,2,FALSE()),4)&amp;"*",OFFSET(Data,0,0,1),0)+MATCH($C7362,OFFSET(Data,1,0,1),0)-2,FALSE()))</f>
        <v>11</v>
      </c>
      <c r="E7362" s="16">
        <f t="shared" ca="1" si="345"/>
        <v>0</v>
      </c>
    </row>
    <row r="7363" spans="1:5" x14ac:dyDescent="0.25">
      <c r="A7363" s="3">
        <f t="shared" si="346"/>
        <v>78989</v>
      </c>
      <c r="B7363" t="str">
        <f ca="1">TEXT(DATE(YEAR(Invoer!$A$5),1,1)+INT((ROWS(B$2:B7363)-1)/24),"""18""jjmmdd")</f>
        <v>18981103</v>
      </c>
      <c r="C7363" s="11" t="str">
        <f>INDEX(Data,2,2+MOD(ROWS(C$2:C7363)-1,24))</f>
        <v>18.00</v>
      </c>
      <c r="D7363" s="8">
        <f t="shared" ca="1" si="347"/>
        <v>10</v>
      </c>
      <c r="E7363" s="16">
        <f t="shared" ref="E7363:E7426" ca="1" si="348">IF(OR(ISBLANK(VLOOKUP(DATEVALUE("37"&amp;MID($B7363,3,2)&amp;"-"&amp;MID($B7363,5,2)&amp;"-"&amp;RIGHT($B7363,2)),Data,MATCH(LEFT(VLOOKUP(D$1,Parameters,2,FALSE()),4)&amp;"*",OFFSET(Data,0,0,1),0)+MATCH($C7363,OFFSET(Data,1,0,1),0)-2,FALSE())),ISTEXT(VLOOKUP(DATEVALUE("37"&amp;MID($B7363,3,2)&amp;"-"&amp;MID($B7363,5,2)&amp;"-"&amp;RIGHT($B7363,2)),Data,MATCH(LEFT(VLOOKUP(D$1,Parameters,2,FALSE()),4)&amp;"*",OFFSET(Data,0,0,1),0)+MATCH($C7363,OFFSET(Data,1,0,1),0)-2,FALSE()))),Lacking,IF(ISNA(MATCH(DATEVALUE("37"&amp;MID($B7363,3,2)&amp;"-"&amp;MID($B7363,5,2)&amp;"-"&amp;RIGHT($B7363,2)),OFFSET(Catalogus,0,0,,1),0)),Ok,VLOOKUP(DATEVALUE("37"&amp;MID($B7363,3,2)&amp;"-"&amp;MID($B7363,5,2)&amp;"-"&amp;RIGHT($B7363,2)),Catalogus,MATCH(LEFT(VLOOKUP(MID(E$1,2,LEN(E$1)-1),Parameters,2,FALSE()),4)&amp;"*",OFFSET(Catalogus,0,0,1),0)+MATCH($C7363,OFFSET(Catalogus,1,0,1),0)-2,FALSE())))</f>
        <v>0</v>
      </c>
    </row>
    <row r="7364" spans="1:5" x14ac:dyDescent="0.25">
      <c r="A7364" s="3">
        <f t="shared" si="346"/>
        <v>78989</v>
      </c>
      <c r="B7364" t="str">
        <f ca="1">TEXT(DATE(YEAR(Invoer!$A$5),1,1)+INT((ROWS(B$2:B7364)-1)/24),"""18""jjmmdd")</f>
        <v>18981103</v>
      </c>
      <c r="C7364" s="11" t="str">
        <f>INDEX(Data,2,2+MOD(ROWS(C$2:C7364)-1,24))</f>
        <v>19.00</v>
      </c>
      <c r="D7364" s="8">
        <f t="shared" ca="1" si="347"/>
        <v>10</v>
      </c>
      <c r="E7364" s="16">
        <f t="shared" ca="1" si="348"/>
        <v>0</v>
      </c>
    </row>
    <row r="7365" spans="1:5" x14ac:dyDescent="0.25">
      <c r="A7365" s="3">
        <f t="shared" si="346"/>
        <v>78989</v>
      </c>
      <c r="B7365" t="str">
        <f ca="1">TEXT(DATE(YEAR(Invoer!$A$5),1,1)+INT((ROWS(B$2:B7365)-1)/24),"""18""jjmmdd")</f>
        <v>18981103</v>
      </c>
      <c r="C7365" s="11" t="str">
        <f>INDEX(Data,2,2+MOD(ROWS(C$2:C7365)-1,24))</f>
        <v>20.00</v>
      </c>
      <c r="D7365" s="8">
        <f t="shared" ca="1" si="347"/>
        <v>9</v>
      </c>
      <c r="E7365" s="16">
        <f t="shared" ca="1" si="348"/>
        <v>0</v>
      </c>
    </row>
    <row r="7366" spans="1:5" x14ac:dyDescent="0.25">
      <c r="A7366" s="3">
        <f t="shared" si="346"/>
        <v>78989</v>
      </c>
      <c r="B7366" t="str">
        <f ca="1">TEXT(DATE(YEAR(Invoer!$A$5),1,1)+INT((ROWS(B$2:B7366)-1)/24),"""18""jjmmdd")</f>
        <v>18981103</v>
      </c>
      <c r="C7366" s="11" t="str">
        <f>INDEX(Data,2,2+MOD(ROWS(C$2:C7366)-1,24))</f>
        <v>21.00</v>
      </c>
      <c r="D7366" s="8">
        <f t="shared" ca="1" si="347"/>
        <v>11</v>
      </c>
      <c r="E7366" s="16">
        <f t="shared" ca="1" si="348"/>
        <v>0</v>
      </c>
    </row>
    <row r="7367" spans="1:5" x14ac:dyDescent="0.25">
      <c r="A7367" s="3">
        <f t="shared" si="346"/>
        <v>78989</v>
      </c>
      <c r="B7367" t="str">
        <f ca="1">TEXT(DATE(YEAR(Invoer!$A$5),1,1)+INT((ROWS(B$2:B7367)-1)/24),"""18""jjmmdd")</f>
        <v>18981103</v>
      </c>
      <c r="C7367" s="11" t="str">
        <f>INDEX(Data,2,2+MOD(ROWS(C$2:C7367)-1,24))</f>
        <v>22.00</v>
      </c>
      <c r="D7367" s="8">
        <f t="shared" ca="1" si="347"/>
        <v>8</v>
      </c>
      <c r="E7367" s="16">
        <f t="shared" ca="1" si="348"/>
        <v>0</v>
      </c>
    </row>
    <row r="7368" spans="1:5" x14ac:dyDescent="0.25">
      <c r="A7368" s="3">
        <f t="shared" si="346"/>
        <v>78989</v>
      </c>
      <c r="B7368" t="str">
        <f ca="1">TEXT(DATE(YEAR(Invoer!$A$5),1,1)+INT((ROWS(B$2:B7368)-1)/24),"""18""jjmmdd")</f>
        <v>18981103</v>
      </c>
      <c r="C7368" s="11" t="str">
        <f>INDEX(Data,2,2+MOD(ROWS(C$2:C7368)-1,24))</f>
        <v>23.00</v>
      </c>
      <c r="D7368" s="8">
        <f t="shared" ca="1" si="347"/>
        <v>5</v>
      </c>
      <c r="E7368" s="16">
        <f t="shared" ca="1" si="348"/>
        <v>0</v>
      </c>
    </row>
    <row r="7369" spans="1:5" x14ac:dyDescent="0.25">
      <c r="A7369" s="3">
        <f t="shared" si="346"/>
        <v>78989</v>
      </c>
      <c r="B7369" t="str">
        <f ca="1">TEXT(DATE(YEAR(Invoer!$A$5),1,1)+INT((ROWS(B$2:B7369)-1)/24),"""18""jjmmdd")</f>
        <v>18981103</v>
      </c>
      <c r="C7369" s="11" t="str">
        <f>INDEX(Data,2,2+MOD(ROWS(C$2:C7369)-1,24))</f>
        <v>24.00</v>
      </c>
      <c r="D7369" s="8">
        <f t="shared" ca="1" si="347"/>
        <v>5</v>
      </c>
      <c r="E7369" s="16">
        <f t="shared" ca="1" si="348"/>
        <v>0</v>
      </c>
    </row>
    <row r="7370" spans="1:5" x14ac:dyDescent="0.25">
      <c r="A7370" s="3">
        <f t="shared" si="346"/>
        <v>78989</v>
      </c>
      <c r="B7370" t="str">
        <f ca="1">TEXT(DATE(YEAR(Invoer!$A$5),1,1)+INT((ROWS(B$2:B7370)-1)/24),"""18""jjmmdd")</f>
        <v>18981104</v>
      </c>
      <c r="C7370" s="11" t="str">
        <f>INDEX(Data,2,2+MOD(ROWS(C$2:C7370)-1,24))</f>
        <v>01.00</v>
      </c>
      <c r="D7370" s="8">
        <f t="shared" ca="1" si="347"/>
        <v>6</v>
      </c>
      <c r="E7370" s="16">
        <f t="shared" ca="1" si="348"/>
        <v>0</v>
      </c>
    </row>
    <row r="7371" spans="1:5" x14ac:dyDescent="0.25">
      <c r="A7371" s="3">
        <f t="shared" si="346"/>
        <v>78989</v>
      </c>
      <c r="B7371" t="str">
        <f ca="1">TEXT(DATE(YEAR(Invoer!$A$5),1,1)+INT((ROWS(B$2:B7371)-1)/24),"""18""jjmmdd")</f>
        <v>18981104</v>
      </c>
      <c r="C7371" s="11" t="str">
        <f>INDEX(Data,2,2+MOD(ROWS(C$2:C7371)-1,24))</f>
        <v>02.00</v>
      </c>
      <c r="D7371" s="8">
        <f t="shared" ca="1" si="347"/>
        <v>4</v>
      </c>
      <c r="E7371" s="16">
        <f t="shared" ca="1" si="348"/>
        <v>0</v>
      </c>
    </row>
    <row r="7372" spans="1:5" x14ac:dyDescent="0.25">
      <c r="A7372" s="3">
        <f t="shared" si="346"/>
        <v>78989</v>
      </c>
      <c r="B7372" t="str">
        <f ca="1">TEXT(DATE(YEAR(Invoer!$A$5),1,1)+INT((ROWS(B$2:B7372)-1)/24),"""18""jjmmdd")</f>
        <v>18981104</v>
      </c>
      <c r="C7372" s="11" t="str">
        <f>INDEX(Data,2,2+MOD(ROWS(C$2:C7372)-1,24))</f>
        <v>03.00</v>
      </c>
      <c r="D7372" s="8">
        <f t="shared" ca="1" si="347"/>
        <v>4</v>
      </c>
      <c r="E7372" s="16">
        <f t="shared" ca="1" si="348"/>
        <v>0</v>
      </c>
    </row>
    <row r="7373" spans="1:5" x14ac:dyDescent="0.25">
      <c r="A7373" s="3">
        <f t="shared" si="346"/>
        <v>78989</v>
      </c>
      <c r="B7373" t="str">
        <f ca="1">TEXT(DATE(YEAR(Invoer!$A$5),1,1)+INT((ROWS(B$2:B7373)-1)/24),"""18""jjmmdd")</f>
        <v>18981104</v>
      </c>
      <c r="C7373" s="11" t="str">
        <f>INDEX(Data,2,2+MOD(ROWS(C$2:C7373)-1,24))</f>
        <v>04.00</v>
      </c>
      <c r="D7373" s="8">
        <f t="shared" ca="1" si="347"/>
        <v>5</v>
      </c>
      <c r="E7373" s="16">
        <f t="shared" ca="1" si="348"/>
        <v>0</v>
      </c>
    </row>
    <row r="7374" spans="1:5" x14ac:dyDescent="0.25">
      <c r="A7374" s="3">
        <f t="shared" si="346"/>
        <v>78989</v>
      </c>
      <c r="B7374" t="str">
        <f ca="1">TEXT(DATE(YEAR(Invoer!$A$5),1,1)+INT((ROWS(B$2:B7374)-1)/24),"""18""jjmmdd")</f>
        <v>18981104</v>
      </c>
      <c r="C7374" s="11" t="str">
        <f>INDEX(Data,2,2+MOD(ROWS(C$2:C7374)-1,24))</f>
        <v>05.00</v>
      </c>
      <c r="D7374" s="8">
        <f t="shared" ca="1" si="347"/>
        <v>6</v>
      </c>
      <c r="E7374" s="16">
        <f t="shared" ca="1" si="348"/>
        <v>0</v>
      </c>
    </row>
    <row r="7375" spans="1:5" x14ac:dyDescent="0.25">
      <c r="A7375" s="3">
        <f t="shared" si="346"/>
        <v>78989</v>
      </c>
      <c r="B7375" t="str">
        <f ca="1">TEXT(DATE(YEAR(Invoer!$A$5),1,1)+INT((ROWS(B$2:B7375)-1)/24),"""18""jjmmdd")</f>
        <v>18981104</v>
      </c>
      <c r="C7375" s="11" t="str">
        <f>INDEX(Data,2,2+MOD(ROWS(C$2:C7375)-1,24))</f>
        <v>06.00</v>
      </c>
      <c r="D7375" s="8">
        <f t="shared" ca="1" si="347"/>
        <v>5</v>
      </c>
      <c r="E7375" s="16">
        <f t="shared" ca="1" si="348"/>
        <v>0</v>
      </c>
    </row>
    <row r="7376" spans="1:5" x14ac:dyDescent="0.25">
      <c r="A7376" s="3">
        <f t="shared" si="346"/>
        <v>78989</v>
      </c>
      <c r="B7376" t="str">
        <f ca="1">TEXT(DATE(YEAR(Invoer!$A$5),1,1)+INT((ROWS(B$2:B7376)-1)/24),"""18""jjmmdd")</f>
        <v>18981104</v>
      </c>
      <c r="C7376" s="11" t="str">
        <f>INDEX(Data,2,2+MOD(ROWS(C$2:C7376)-1,24))</f>
        <v>07.00</v>
      </c>
      <c r="D7376" s="8">
        <f t="shared" ca="1" si="347"/>
        <v>5</v>
      </c>
      <c r="E7376" s="16">
        <f t="shared" ca="1" si="348"/>
        <v>0</v>
      </c>
    </row>
    <row r="7377" spans="1:5" x14ac:dyDescent="0.25">
      <c r="A7377" s="3">
        <f t="shared" si="346"/>
        <v>78989</v>
      </c>
      <c r="B7377" t="str">
        <f ca="1">TEXT(DATE(YEAR(Invoer!$A$5),1,1)+INT((ROWS(B$2:B7377)-1)/24),"""18""jjmmdd")</f>
        <v>18981104</v>
      </c>
      <c r="C7377" s="11" t="str">
        <f>INDEX(Data,2,2+MOD(ROWS(C$2:C7377)-1,24))</f>
        <v>08.00</v>
      </c>
      <c r="D7377" s="8">
        <f t="shared" ca="1" si="347"/>
        <v>8</v>
      </c>
      <c r="E7377" s="16">
        <f t="shared" ca="1" si="348"/>
        <v>0</v>
      </c>
    </row>
    <row r="7378" spans="1:5" x14ac:dyDescent="0.25">
      <c r="A7378" s="3">
        <f t="shared" si="346"/>
        <v>78989</v>
      </c>
      <c r="B7378" t="str">
        <f ca="1">TEXT(DATE(YEAR(Invoer!$A$5),1,1)+INT((ROWS(B$2:B7378)-1)/24),"""18""jjmmdd")</f>
        <v>18981104</v>
      </c>
      <c r="C7378" s="11" t="str">
        <f>INDEX(Data,2,2+MOD(ROWS(C$2:C7378)-1,24))</f>
        <v>09.00</v>
      </c>
      <c r="D7378" s="8">
        <f t="shared" ca="1" si="347"/>
        <v>11</v>
      </c>
      <c r="E7378" s="16">
        <f t="shared" ca="1" si="348"/>
        <v>0</v>
      </c>
    </row>
    <row r="7379" spans="1:5" x14ac:dyDescent="0.25">
      <c r="A7379" s="3">
        <f t="shared" si="346"/>
        <v>78989</v>
      </c>
      <c r="B7379" t="str">
        <f ca="1">TEXT(DATE(YEAR(Invoer!$A$5),1,1)+INT((ROWS(B$2:B7379)-1)/24),"""18""jjmmdd")</f>
        <v>18981104</v>
      </c>
      <c r="C7379" s="11" t="str">
        <f>INDEX(Data,2,2+MOD(ROWS(C$2:C7379)-1,24))</f>
        <v>10.00</v>
      </c>
      <c r="D7379" s="8">
        <f t="shared" ca="1" si="347"/>
        <v>11</v>
      </c>
      <c r="E7379" s="16">
        <f t="shared" ca="1" si="348"/>
        <v>0</v>
      </c>
    </row>
    <row r="7380" spans="1:5" x14ac:dyDescent="0.25">
      <c r="A7380" s="3">
        <f t="shared" si="346"/>
        <v>78989</v>
      </c>
      <c r="B7380" t="str">
        <f ca="1">TEXT(DATE(YEAR(Invoer!$A$5),1,1)+INT((ROWS(B$2:B7380)-1)/24),"""18""jjmmdd")</f>
        <v>18981104</v>
      </c>
      <c r="C7380" s="11" t="str">
        <f>INDEX(Data,2,2+MOD(ROWS(C$2:C7380)-1,24))</f>
        <v>11.00</v>
      </c>
      <c r="D7380" s="8">
        <f t="shared" ca="1" si="347"/>
        <v>11</v>
      </c>
      <c r="E7380" s="16">
        <f t="shared" ca="1" si="348"/>
        <v>0</v>
      </c>
    </row>
    <row r="7381" spans="1:5" x14ac:dyDescent="0.25">
      <c r="A7381" s="3">
        <f t="shared" si="346"/>
        <v>78989</v>
      </c>
      <c r="B7381" t="str">
        <f ca="1">TEXT(DATE(YEAR(Invoer!$A$5),1,1)+INT((ROWS(B$2:B7381)-1)/24),"""18""jjmmdd")</f>
        <v>18981104</v>
      </c>
      <c r="C7381" s="11" t="str">
        <f>INDEX(Data,2,2+MOD(ROWS(C$2:C7381)-1,24))</f>
        <v>12.00</v>
      </c>
      <c r="D7381" s="8">
        <f t="shared" ca="1" si="347"/>
        <v>11</v>
      </c>
      <c r="E7381" s="16">
        <f t="shared" ca="1" si="348"/>
        <v>0</v>
      </c>
    </row>
    <row r="7382" spans="1:5" x14ac:dyDescent="0.25">
      <c r="A7382" s="3">
        <f t="shared" si="346"/>
        <v>78989</v>
      </c>
      <c r="B7382" t="str">
        <f ca="1">TEXT(DATE(YEAR(Invoer!$A$5),1,1)+INT((ROWS(B$2:B7382)-1)/24),"""18""jjmmdd")</f>
        <v>18981104</v>
      </c>
      <c r="C7382" s="11" t="str">
        <f>INDEX(Data,2,2+MOD(ROWS(C$2:C7382)-1,24))</f>
        <v>13.00</v>
      </c>
      <c r="D7382" s="8">
        <f t="shared" ca="1" si="347"/>
        <v>10</v>
      </c>
      <c r="E7382" s="16">
        <f t="shared" ca="1" si="348"/>
        <v>0</v>
      </c>
    </row>
    <row r="7383" spans="1:5" x14ac:dyDescent="0.25">
      <c r="A7383" s="3">
        <f t="shared" si="346"/>
        <v>78989</v>
      </c>
      <c r="B7383" t="str">
        <f ca="1">TEXT(DATE(YEAR(Invoer!$A$5),1,1)+INT((ROWS(B$2:B7383)-1)/24),"""18""jjmmdd")</f>
        <v>18981104</v>
      </c>
      <c r="C7383" s="11" t="str">
        <f>INDEX(Data,2,2+MOD(ROWS(C$2:C7383)-1,24))</f>
        <v>14.00</v>
      </c>
      <c r="D7383" s="8">
        <f t="shared" ca="1" si="347"/>
        <v>10</v>
      </c>
      <c r="E7383" s="16">
        <f t="shared" ca="1" si="348"/>
        <v>0</v>
      </c>
    </row>
    <row r="7384" spans="1:5" x14ac:dyDescent="0.25">
      <c r="A7384" s="3">
        <f t="shared" si="346"/>
        <v>78989</v>
      </c>
      <c r="B7384" t="str">
        <f ca="1">TEXT(DATE(YEAR(Invoer!$A$5),1,1)+INT((ROWS(B$2:B7384)-1)/24),"""18""jjmmdd")</f>
        <v>18981104</v>
      </c>
      <c r="C7384" s="11" t="str">
        <f>INDEX(Data,2,2+MOD(ROWS(C$2:C7384)-1,24))</f>
        <v>15.00</v>
      </c>
      <c r="D7384" s="8">
        <f t="shared" ca="1" si="347"/>
        <v>9</v>
      </c>
      <c r="E7384" s="16">
        <f t="shared" ca="1" si="348"/>
        <v>0</v>
      </c>
    </row>
    <row r="7385" spans="1:5" x14ac:dyDescent="0.25">
      <c r="A7385" s="3">
        <f t="shared" si="346"/>
        <v>78989</v>
      </c>
      <c r="B7385" t="str">
        <f ca="1">TEXT(DATE(YEAR(Invoer!$A$5),1,1)+INT((ROWS(B$2:B7385)-1)/24),"""18""jjmmdd")</f>
        <v>18981104</v>
      </c>
      <c r="C7385" s="11" t="str">
        <f>INDEX(Data,2,2+MOD(ROWS(C$2:C7385)-1,24))</f>
        <v>16.00</v>
      </c>
      <c r="D7385" s="8">
        <f t="shared" ca="1" si="347"/>
        <v>7</v>
      </c>
      <c r="E7385" s="16">
        <f t="shared" ca="1" si="348"/>
        <v>0</v>
      </c>
    </row>
    <row r="7386" spans="1:5" x14ac:dyDescent="0.25">
      <c r="A7386" s="3">
        <f t="shared" si="346"/>
        <v>78989</v>
      </c>
      <c r="B7386" t="str">
        <f ca="1">TEXT(DATE(YEAR(Invoer!$A$5),1,1)+INT((ROWS(B$2:B7386)-1)/24),"""18""jjmmdd")</f>
        <v>18981104</v>
      </c>
      <c r="C7386" s="11" t="str">
        <f>INDEX(Data,2,2+MOD(ROWS(C$2:C7386)-1,24))</f>
        <v>17.00</v>
      </c>
      <c r="D7386" s="8">
        <f t="shared" ca="1" si="347"/>
        <v>6</v>
      </c>
      <c r="E7386" s="16">
        <f t="shared" ca="1" si="348"/>
        <v>0</v>
      </c>
    </row>
    <row r="7387" spans="1:5" x14ac:dyDescent="0.25">
      <c r="A7387" s="3">
        <f t="shared" si="346"/>
        <v>78989</v>
      </c>
      <c r="B7387" t="str">
        <f ca="1">TEXT(DATE(YEAR(Invoer!$A$5),1,1)+INT((ROWS(B$2:B7387)-1)/24),"""18""jjmmdd")</f>
        <v>18981104</v>
      </c>
      <c r="C7387" s="11" t="str">
        <f>INDEX(Data,2,2+MOD(ROWS(C$2:C7387)-1,24))</f>
        <v>18.00</v>
      </c>
      <c r="D7387" s="8">
        <f t="shared" ca="1" si="347"/>
        <v>6</v>
      </c>
      <c r="E7387" s="16">
        <f t="shared" ca="1" si="348"/>
        <v>0</v>
      </c>
    </row>
    <row r="7388" spans="1:5" x14ac:dyDescent="0.25">
      <c r="A7388" s="3">
        <f t="shared" si="346"/>
        <v>78989</v>
      </c>
      <c r="B7388" t="str">
        <f ca="1">TEXT(DATE(YEAR(Invoer!$A$5),1,1)+INT((ROWS(B$2:B7388)-1)/24),"""18""jjmmdd")</f>
        <v>18981104</v>
      </c>
      <c r="C7388" s="11" t="str">
        <f>INDEX(Data,2,2+MOD(ROWS(C$2:C7388)-1,24))</f>
        <v>19.00</v>
      </c>
      <c r="D7388" s="8">
        <f t="shared" ca="1" si="347"/>
        <v>5</v>
      </c>
      <c r="E7388" s="16">
        <f t="shared" ca="1" si="348"/>
        <v>0</v>
      </c>
    </row>
    <row r="7389" spans="1:5" x14ac:dyDescent="0.25">
      <c r="A7389" s="3">
        <f t="shared" si="346"/>
        <v>78989</v>
      </c>
      <c r="B7389" t="str">
        <f ca="1">TEXT(DATE(YEAR(Invoer!$A$5),1,1)+INT((ROWS(B$2:B7389)-1)/24),"""18""jjmmdd")</f>
        <v>18981104</v>
      </c>
      <c r="C7389" s="11" t="str">
        <f>INDEX(Data,2,2+MOD(ROWS(C$2:C7389)-1,24))</f>
        <v>20.00</v>
      </c>
      <c r="D7389" s="8">
        <f t="shared" ca="1" si="347"/>
        <v>5</v>
      </c>
      <c r="E7389" s="16">
        <f t="shared" ca="1" si="348"/>
        <v>0</v>
      </c>
    </row>
    <row r="7390" spans="1:5" x14ac:dyDescent="0.25">
      <c r="A7390" s="3">
        <f t="shared" si="346"/>
        <v>78989</v>
      </c>
      <c r="B7390" t="str">
        <f ca="1">TEXT(DATE(YEAR(Invoer!$A$5),1,1)+INT((ROWS(B$2:B7390)-1)/24),"""18""jjmmdd")</f>
        <v>18981104</v>
      </c>
      <c r="C7390" s="11" t="str">
        <f>INDEX(Data,2,2+MOD(ROWS(C$2:C7390)-1,24))</f>
        <v>21.00</v>
      </c>
      <c r="D7390" s="8">
        <f t="shared" ca="1" si="347"/>
        <v>6</v>
      </c>
      <c r="E7390" s="16">
        <f t="shared" ca="1" si="348"/>
        <v>0</v>
      </c>
    </row>
    <row r="7391" spans="1:5" x14ac:dyDescent="0.25">
      <c r="A7391" s="3">
        <f t="shared" si="346"/>
        <v>78989</v>
      </c>
      <c r="B7391" t="str">
        <f ca="1">TEXT(DATE(YEAR(Invoer!$A$5),1,1)+INT((ROWS(B$2:B7391)-1)/24),"""18""jjmmdd")</f>
        <v>18981104</v>
      </c>
      <c r="C7391" s="11" t="str">
        <f>INDEX(Data,2,2+MOD(ROWS(C$2:C7391)-1,24))</f>
        <v>22.00</v>
      </c>
      <c r="D7391" s="8">
        <f t="shared" ca="1" si="347"/>
        <v>6</v>
      </c>
      <c r="E7391" s="16">
        <f t="shared" ca="1" si="348"/>
        <v>0</v>
      </c>
    </row>
    <row r="7392" spans="1:5" x14ac:dyDescent="0.25">
      <c r="A7392" s="3">
        <f t="shared" si="346"/>
        <v>78989</v>
      </c>
      <c r="B7392" t="str">
        <f ca="1">TEXT(DATE(YEAR(Invoer!$A$5),1,1)+INT((ROWS(B$2:B7392)-1)/24),"""18""jjmmdd")</f>
        <v>18981104</v>
      </c>
      <c r="C7392" s="11" t="str">
        <f>INDEX(Data,2,2+MOD(ROWS(C$2:C7392)-1,24))</f>
        <v>23.00</v>
      </c>
      <c r="D7392" s="8">
        <f t="shared" ca="1" si="347"/>
        <v>7</v>
      </c>
      <c r="E7392" s="16">
        <f t="shared" ca="1" si="348"/>
        <v>0</v>
      </c>
    </row>
    <row r="7393" spans="1:5" x14ac:dyDescent="0.25">
      <c r="A7393" s="3">
        <f t="shared" si="346"/>
        <v>78989</v>
      </c>
      <c r="B7393" t="str">
        <f ca="1">TEXT(DATE(YEAR(Invoer!$A$5),1,1)+INT((ROWS(B$2:B7393)-1)/24),"""18""jjmmdd")</f>
        <v>18981104</v>
      </c>
      <c r="C7393" s="11" t="str">
        <f>INDEX(Data,2,2+MOD(ROWS(C$2:C7393)-1,24))</f>
        <v>24.00</v>
      </c>
      <c r="D7393" s="8">
        <f t="shared" ca="1" si="347"/>
        <v>6</v>
      </c>
      <c r="E7393" s="16">
        <f t="shared" ca="1" si="348"/>
        <v>0</v>
      </c>
    </row>
    <row r="7394" spans="1:5" x14ac:dyDescent="0.25">
      <c r="A7394" s="3">
        <f t="shared" si="346"/>
        <v>78989</v>
      </c>
      <c r="B7394" t="str">
        <f ca="1">TEXT(DATE(YEAR(Invoer!$A$5),1,1)+INT((ROWS(B$2:B7394)-1)/24),"""18""jjmmdd")</f>
        <v>18981105</v>
      </c>
      <c r="C7394" s="11" t="str">
        <f>INDEX(Data,2,2+MOD(ROWS(C$2:C7394)-1,24))</f>
        <v>01.00</v>
      </c>
      <c r="D7394" s="8">
        <f t="shared" ca="1" si="347"/>
        <v>4</v>
      </c>
      <c r="E7394" s="16">
        <f t="shared" ca="1" si="348"/>
        <v>0</v>
      </c>
    </row>
    <row r="7395" spans="1:5" x14ac:dyDescent="0.25">
      <c r="A7395" s="3">
        <f t="shared" si="346"/>
        <v>78989</v>
      </c>
      <c r="B7395" t="str">
        <f ca="1">TEXT(DATE(YEAR(Invoer!$A$5),1,1)+INT((ROWS(B$2:B7395)-1)/24),"""18""jjmmdd")</f>
        <v>18981105</v>
      </c>
      <c r="C7395" s="11" t="str">
        <f>INDEX(Data,2,2+MOD(ROWS(C$2:C7395)-1,24))</f>
        <v>02.00</v>
      </c>
      <c r="D7395" s="8">
        <f t="shared" ca="1" si="347"/>
        <v>3</v>
      </c>
      <c r="E7395" s="16">
        <f t="shared" ca="1" si="348"/>
        <v>0</v>
      </c>
    </row>
    <row r="7396" spans="1:5" x14ac:dyDescent="0.25">
      <c r="A7396" s="3">
        <f t="shared" si="346"/>
        <v>78989</v>
      </c>
      <c r="B7396" t="str">
        <f ca="1">TEXT(DATE(YEAR(Invoer!$A$5),1,1)+INT((ROWS(B$2:B7396)-1)/24),"""18""jjmmdd")</f>
        <v>18981105</v>
      </c>
      <c r="C7396" s="11" t="str">
        <f>INDEX(Data,2,2+MOD(ROWS(C$2:C7396)-1,24))</f>
        <v>03.00</v>
      </c>
      <c r="D7396" s="8">
        <f t="shared" ca="1" si="347"/>
        <v>5</v>
      </c>
      <c r="E7396" s="16">
        <f t="shared" ca="1" si="348"/>
        <v>0</v>
      </c>
    </row>
    <row r="7397" spans="1:5" x14ac:dyDescent="0.25">
      <c r="A7397" s="3">
        <f t="shared" si="346"/>
        <v>78989</v>
      </c>
      <c r="B7397" t="str">
        <f ca="1">TEXT(DATE(YEAR(Invoer!$A$5),1,1)+INT((ROWS(B$2:B7397)-1)/24),"""18""jjmmdd")</f>
        <v>18981105</v>
      </c>
      <c r="C7397" s="11" t="str">
        <f>INDEX(Data,2,2+MOD(ROWS(C$2:C7397)-1,24))</f>
        <v>04.00</v>
      </c>
      <c r="D7397" s="8">
        <f t="shared" ca="1" si="347"/>
        <v>4</v>
      </c>
      <c r="E7397" s="16">
        <f t="shared" ca="1" si="348"/>
        <v>0</v>
      </c>
    </row>
    <row r="7398" spans="1:5" x14ac:dyDescent="0.25">
      <c r="A7398" s="3">
        <f t="shared" si="346"/>
        <v>78989</v>
      </c>
      <c r="B7398" t="str">
        <f ca="1">TEXT(DATE(YEAR(Invoer!$A$5),1,1)+INT((ROWS(B$2:B7398)-1)/24),"""18""jjmmdd")</f>
        <v>18981105</v>
      </c>
      <c r="C7398" s="11" t="str">
        <f>INDEX(Data,2,2+MOD(ROWS(C$2:C7398)-1,24))</f>
        <v>05.00</v>
      </c>
      <c r="D7398" s="8">
        <f t="shared" ca="1" si="347"/>
        <v>4</v>
      </c>
      <c r="E7398" s="16">
        <f t="shared" ca="1" si="348"/>
        <v>0</v>
      </c>
    </row>
    <row r="7399" spans="1:5" x14ac:dyDescent="0.25">
      <c r="A7399" s="3">
        <f t="shared" si="346"/>
        <v>78989</v>
      </c>
      <c r="B7399" t="str">
        <f ca="1">TEXT(DATE(YEAR(Invoer!$A$5),1,1)+INT((ROWS(B$2:B7399)-1)/24),"""18""jjmmdd")</f>
        <v>18981105</v>
      </c>
      <c r="C7399" s="11" t="str">
        <f>INDEX(Data,2,2+MOD(ROWS(C$2:C7399)-1,24))</f>
        <v>06.00</v>
      </c>
      <c r="D7399" s="8">
        <f t="shared" ca="1" si="347"/>
        <v>5</v>
      </c>
      <c r="E7399" s="16">
        <f t="shared" ca="1" si="348"/>
        <v>0</v>
      </c>
    </row>
    <row r="7400" spans="1:5" x14ac:dyDescent="0.25">
      <c r="A7400" s="3">
        <f t="shared" si="346"/>
        <v>78989</v>
      </c>
      <c r="B7400" t="str">
        <f ca="1">TEXT(DATE(YEAR(Invoer!$A$5),1,1)+INT((ROWS(B$2:B7400)-1)/24),"""18""jjmmdd")</f>
        <v>18981105</v>
      </c>
      <c r="C7400" s="11" t="str">
        <f>INDEX(Data,2,2+MOD(ROWS(C$2:C7400)-1,24))</f>
        <v>07.00</v>
      </c>
      <c r="D7400" s="8">
        <f t="shared" ca="1" si="347"/>
        <v>6</v>
      </c>
      <c r="E7400" s="16">
        <f t="shared" ca="1" si="348"/>
        <v>0</v>
      </c>
    </row>
    <row r="7401" spans="1:5" x14ac:dyDescent="0.25">
      <c r="A7401" s="3">
        <f t="shared" si="346"/>
        <v>78989</v>
      </c>
      <c r="B7401" t="str">
        <f ca="1">TEXT(DATE(YEAR(Invoer!$A$5),1,1)+INT((ROWS(B$2:B7401)-1)/24),"""18""jjmmdd")</f>
        <v>18981105</v>
      </c>
      <c r="C7401" s="11" t="str">
        <f>INDEX(Data,2,2+MOD(ROWS(C$2:C7401)-1,24))</f>
        <v>08.00</v>
      </c>
      <c r="D7401" s="8">
        <f t="shared" ca="1" si="347"/>
        <v>8</v>
      </c>
      <c r="E7401" s="16">
        <f t="shared" ca="1" si="348"/>
        <v>0</v>
      </c>
    </row>
    <row r="7402" spans="1:5" x14ac:dyDescent="0.25">
      <c r="A7402" s="3">
        <f t="shared" si="346"/>
        <v>78989</v>
      </c>
      <c r="B7402" t="str">
        <f ca="1">TEXT(DATE(YEAR(Invoer!$A$5),1,1)+INT((ROWS(B$2:B7402)-1)/24),"""18""jjmmdd")</f>
        <v>18981105</v>
      </c>
      <c r="C7402" s="11" t="str">
        <f>INDEX(Data,2,2+MOD(ROWS(C$2:C7402)-1,24))</f>
        <v>09.00</v>
      </c>
      <c r="D7402" s="8">
        <f t="shared" ca="1" si="347"/>
        <v>10</v>
      </c>
      <c r="E7402" s="16">
        <f t="shared" ca="1" si="348"/>
        <v>0</v>
      </c>
    </row>
    <row r="7403" spans="1:5" x14ac:dyDescent="0.25">
      <c r="A7403" s="3">
        <f t="shared" si="346"/>
        <v>78989</v>
      </c>
      <c r="B7403" t="str">
        <f ca="1">TEXT(DATE(YEAR(Invoer!$A$5),1,1)+INT((ROWS(B$2:B7403)-1)/24),"""18""jjmmdd")</f>
        <v>18981105</v>
      </c>
      <c r="C7403" s="11" t="str">
        <f>INDEX(Data,2,2+MOD(ROWS(C$2:C7403)-1,24))</f>
        <v>10.00</v>
      </c>
      <c r="D7403" s="8">
        <f t="shared" ca="1" si="347"/>
        <v>10</v>
      </c>
      <c r="E7403" s="16">
        <f t="shared" ca="1" si="348"/>
        <v>0</v>
      </c>
    </row>
    <row r="7404" spans="1:5" x14ac:dyDescent="0.25">
      <c r="A7404" s="3">
        <f t="shared" si="346"/>
        <v>78989</v>
      </c>
      <c r="B7404" t="str">
        <f ca="1">TEXT(DATE(YEAR(Invoer!$A$5),1,1)+INT((ROWS(B$2:B7404)-1)/24),"""18""jjmmdd")</f>
        <v>18981105</v>
      </c>
      <c r="C7404" s="11" t="str">
        <f>INDEX(Data,2,2+MOD(ROWS(C$2:C7404)-1,24))</f>
        <v>11.00</v>
      </c>
      <c r="D7404" s="8">
        <f t="shared" ca="1" si="347"/>
        <v>11</v>
      </c>
      <c r="E7404" s="16">
        <f t="shared" ca="1" si="348"/>
        <v>0</v>
      </c>
    </row>
    <row r="7405" spans="1:5" x14ac:dyDescent="0.25">
      <c r="A7405" s="3">
        <f t="shared" si="346"/>
        <v>78989</v>
      </c>
      <c r="B7405" t="str">
        <f ca="1">TEXT(DATE(YEAR(Invoer!$A$5),1,1)+INT((ROWS(B$2:B7405)-1)/24),"""18""jjmmdd")</f>
        <v>18981105</v>
      </c>
      <c r="C7405" s="11" t="str">
        <f>INDEX(Data,2,2+MOD(ROWS(C$2:C7405)-1,24))</f>
        <v>12.00</v>
      </c>
      <c r="D7405" s="8">
        <f t="shared" ca="1" si="347"/>
        <v>10</v>
      </c>
      <c r="E7405" s="16">
        <f t="shared" ca="1" si="348"/>
        <v>0</v>
      </c>
    </row>
    <row r="7406" spans="1:5" x14ac:dyDescent="0.25">
      <c r="A7406" s="3">
        <f t="shared" si="346"/>
        <v>78989</v>
      </c>
      <c r="B7406" t="str">
        <f ca="1">TEXT(DATE(YEAR(Invoer!$A$5),1,1)+INT((ROWS(B$2:B7406)-1)/24),"""18""jjmmdd")</f>
        <v>18981105</v>
      </c>
      <c r="C7406" s="11" t="str">
        <f>INDEX(Data,2,2+MOD(ROWS(C$2:C7406)-1,24))</f>
        <v>13.00</v>
      </c>
      <c r="D7406" s="8">
        <f t="shared" ca="1" si="347"/>
        <v>10</v>
      </c>
      <c r="E7406" s="16">
        <f t="shared" ca="1" si="348"/>
        <v>0</v>
      </c>
    </row>
    <row r="7407" spans="1:5" x14ac:dyDescent="0.25">
      <c r="A7407" s="3">
        <f t="shared" si="346"/>
        <v>78989</v>
      </c>
      <c r="B7407" t="str">
        <f ca="1">TEXT(DATE(YEAR(Invoer!$A$5),1,1)+INT((ROWS(B$2:B7407)-1)/24),"""18""jjmmdd")</f>
        <v>18981105</v>
      </c>
      <c r="C7407" s="11" t="str">
        <f>INDEX(Data,2,2+MOD(ROWS(C$2:C7407)-1,24))</f>
        <v>14.00</v>
      </c>
      <c r="D7407" s="8">
        <f t="shared" ca="1" si="347"/>
        <v>11</v>
      </c>
      <c r="E7407" s="16">
        <f t="shared" ca="1" si="348"/>
        <v>0</v>
      </c>
    </row>
    <row r="7408" spans="1:5" x14ac:dyDescent="0.25">
      <c r="A7408" s="3">
        <f t="shared" si="346"/>
        <v>78989</v>
      </c>
      <c r="B7408" t="str">
        <f ca="1">TEXT(DATE(YEAR(Invoer!$A$5),1,1)+INT((ROWS(B$2:B7408)-1)/24),"""18""jjmmdd")</f>
        <v>18981105</v>
      </c>
      <c r="C7408" s="11" t="str">
        <f>INDEX(Data,2,2+MOD(ROWS(C$2:C7408)-1,24))</f>
        <v>15.00</v>
      </c>
      <c r="D7408" s="8">
        <f t="shared" ca="1" si="347"/>
        <v>9</v>
      </c>
      <c r="E7408" s="16">
        <f t="shared" ca="1" si="348"/>
        <v>0</v>
      </c>
    </row>
    <row r="7409" spans="1:5" x14ac:dyDescent="0.25">
      <c r="A7409" s="3">
        <f t="shared" si="346"/>
        <v>78989</v>
      </c>
      <c r="B7409" t="str">
        <f ca="1">TEXT(DATE(YEAR(Invoer!$A$5),1,1)+INT((ROWS(B$2:B7409)-1)/24),"""18""jjmmdd")</f>
        <v>18981105</v>
      </c>
      <c r="C7409" s="11" t="str">
        <f>INDEX(Data,2,2+MOD(ROWS(C$2:C7409)-1,24))</f>
        <v>16.00</v>
      </c>
      <c r="D7409" s="8">
        <f t="shared" ca="1" si="347"/>
        <v>8</v>
      </c>
      <c r="E7409" s="16">
        <f t="shared" ca="1" si="348"/>
        <v>0</v>
      </c>
    </row>
    <row r="7410" spans="1:5" x14ac:dyDescent="0.25">
      <c r="A7410" s="3">
        <f t="shared" si="346"/>
        <v>78989</v>
      </c>
      <c r="B7410" t="str">
        <f ca="1">TEXT(DATE(YEAR(Invoer!$A$5),1,1)+INT((ROWS(B$2:B7410)-1)/24),"""18""jjmmdd")</f>
        <v>18981105</v>
      </c>
      <c r="C7410" s="11" t="str">
        <f>INDEX(Data,2,2+MOD(ROWS(C$2:C7410)-1,24))</f>
        <v>17.00</v>
      </c>
      <c r="D7410" s="8">
        <f t="shared" ca="1" si="347"/>
        <v>8</v>
      </c>
      <c r="E7410" s="16">
        <f t="shared" ca="1" si="348"/>
        <v>0</v>
      </c>
    </row>
    <row r="7411" spans="1:5" x14ac:dyDescent="0.25">
      <c r="A7411" s="3">
        <f t="shared" si="346"/>
        <v>78989</v>
      </c>
      <c r="B7411" t="str">
        <f ca="1">TEXT(DATE(YEAR(Invoer!$A$5),1,1)+INT((ROWS(B$2:B7411)-1)/24),"""18""jjmmdd")</f>
        <v>18981105</v>
      </c>
      <c r="C7411" s="11" t="str">
        <f>INDEX(Data,2,2+MOD(ROWS(C$2:C7411)-1,24))</f>
        <v>18.00</v>
      </c>
      <c r="D7411" s="8">
        <f t="shared" ca="1" si="347"/>
        <v>6</v>
      </c>
      <c r="E7411" s="16">
        <f t="shared" ca="1" si="348"/>
        <v>0</v>
      </c>
    </row>
    <row r="7412" spans="1:5" x14ac:dyDescent="0.25">
      <c r="A7412" s="3">
        <f t="shared" si="346"/>
        <v>78989</v>
      </c>
      <c r="B7412" t="str">
        <f ca="1">TEXT(DATE(YEAR(Invoer!$A$5),1,1)+INT((ROWS(B$2:B7412)-1)/24),"""18""jjmmdd")</f>
        <v>18981105</v>
      </c>
      <c r="C7412" s="11" t="str">
        <f>INDEX(Data,2,2+MOD(ROWS(C$2:C7412)-1,24))</f>
        <v>19.00</v>
      </c>
      <c r="D7412" s="8">
        <f t="shared" ca="1" si="347"/>
        <v>9</v>
      </c>
      <c r="E7412" s="16">
        <f t="shared" ca="1" si="348"/>
        <v>0</v>
      </c>
    </row>
    <row r="7413" spans="1:5" x14ac:dyDescent="0.25">
      <c r="A7413" s="3">
        <f t="shared" si="346"/>
        <v>78989</v>
      </c>
      <c r="B7413" t="str">
        <f ca="1">TEXT(DATE(YEAR(Invoer!$A$5),1,1)+INT((ROWS(B$2:B7413)-1)/24),"""18""jjmmdd")</f>
        <v>18981105</v>
      </c>
      <c r="C7413" s="11" t="str">
        <f>INDEX(Data,2,2+MOD(ROWS(C$2:C7413)-1,24))</f>
        <v>20.00</v>
      </c>
      <c r="D7413" s="8">
        <f t="shared" ca="1" si="347"/>
        <v>9</v>
      </c>
      <c r="E7413" s="16">
        <f t="shared" ca="1" si="348"/>
        <v>0</v>
      </c>
    </row>
    <row r="7414" spans="1:5" x14ac:dyDescent="0.25">
      <c r="A7414" s="3">
        <f t="shared" si="346"/>
        <v>78989</v>
      </c>
      <c r="B7414" t="str">
        <f ca="1">TEXT(DATE(YEAR(Invoer!$A$5),1,1)+INT((ROWS(B$2:B7414)-1)/24),"""18""jjmmdd")</f>
        <v>18981105</v>
      </c>
      <c r="C7414" s="11" t="str">
        <f>INDEX(Data,2,2+MOD(ROWS(C$2:C7414)-1,24))</f>
        <v>21.00</v>
      </c>
      <c r="D7414" s="8">
        <f t="shared" ca="1" si="347"/>
        <v>7</v>
      </c>
      <c r="E7414" s="16">
        <f t="shared" ca="1" si="348"/>
        <v>0</v>
      </c>
    </row>
    <row r="7415" spans="1:5" x14ac:dyDescent="0.25">
      <c r="A7415" s="3">
        <f t="shared" si="346"/>
        <v>78989</v>
      </c>
      <c r="B7415" t="str">
        <f ca="1">TEXT(DATE(YEAR(Invoer!$A$5),1,1)+INT((ROWS(B$2:B7415)-1)/24),"""18""jjmmdd")</f>
        <v>18981105</v>
      </c>
      <c r="C7415" s="11" t="str">
        <f>INDEX(Data,2,2+MOD(ROWS(C$2:C7415)-1,24))</f>
        <v>22.00</v>
      </c>
      <c r="D7415" s="8">
        <f t="shared" ca="1" si="347"/>
        <v>10</v>
      </c>
      <c r="E7415" s="16">
        <f t="shared" ca="1" si="348"/>
        <v>0</v>
      </c>
    </row>
    <row r="7416" spans="1:5" x14ac:dyDescent="0.25">
      <c r="A7416" s="3">
        <f t="shared" si="346"/>
        <v>78989</v>
      </c>
      <c r="B7416" t="str">
        <f ca="1">TEXT(DATE(YEAR(Invoer!$A$5),1,1)+INT((ROWS(B$2:B7416)-1)/24),"""18""jjmmdd")</f>
        <v>18981105</v>
      </c>
      <c r="C7416" s="11" t="str">
        <f>INDEX(Data,2,2+MOD(ROWS(C$2:C7416)-1,24))</f>
        <v>23.00</v>
      </c>
      <c r="D7416" s="8">
        <f t="shared" ca="1" si="347"/>
        <v>6</v>
      </c>
      <c r="E7416" s="16">
        <f t="shared" ca="1" si="348"/>
        <v>0</v>
      </c>
    </row>
    <row r="7417" spans="1:5" x14ac:dyDescent="0.25">
      <c r="A7417" s="3">
        <f t="shared" si="346"/>
        <v>78989</v>
      </c>
      <c r="B7417" t="str">
        <f ca="1">TEXT(DATE(YEAR(Invoer!$A$5),1,1)+INT((ROWS(B$2:B7417)-1)/24),"""18""jjmmdd")</f>
        <v>18981105</v>
      </c>
      <c r="C7417" s="11" t="str">
        <f>INDEX(Data,2,2+MOD(ROWS(C$2:C7417)-1,24))</f>
        <v>24.00</v>
      </c>
      <c r="D7417" s="8">
        <f t="shared" ca="1" si="347"/>
        <v>5</v>
      </c>
      <c r="E7417" s="16">
        <f t="shared" ca="1" si="348"/>
        <v>0</v>
      </c>
    </row>
    <row r="7418" spans="1:5" x14ac:dyDescent="0.25">
      <c r="A7418" s="3">
        <f t="shared" si="346"/>
        <v>78989</v>
      </c>
      <c r="B7418" t="str">
        <f ca="1">TEXT(DATE(YEAR(Invoer!$A$5),1,1)+INT((ROWS(B$2:B7418)-1)/24),"""18""jjmmdd")</f>
        <v>18981106</v>
      </c>
      <c r="C7418" s="11" t="str">
        <f>INDEX(Data,2,2+MOD(ROWS(C$2:C7418)-1,24))</f>
        <v>01.00</v>
      </c>
      <c r="D7418" s="8">
        <f t="shared" ca="1" si="347"/>
        <v>4</v>
      </c>
      <c r="E7418" s="16">
        <f t="shared" ca="1" si="348"/>
        <v>0</v>
      </c>
    </row>
    <row r="7419" spans="1:5" x14ac:dyDescent="0.25">
      <c r="A7419" s="3">
        <f t="shared" si="346"/>
        <v>78989</v>
      </c>
      <c r="B7419" t="str">
        <f ca="1">TEXT(DATE(YEAR(Invoer!$A$5),1,1)+INT((ROWS(B$2:B7419)-1)/24),"""18""jjmmdd")</f>
        <v>18981106</v>
      </c>
      <c r="C7419" s="11" t="str">
        <f>INDEX(Data,2,2+MOD(ROWS(C$2:C7419)-1,24))</f>
        <v>02.00</v>
      </c>
      <c r="D7419" s="8">
        <f t="shared" ca="1" si="347"/>
        <v>5</v>
      </c>
      <c r="E7419" s="16">
        <f t="shared" ca="1" si="348"/>
        <v>0</v>
      </c>
    </row>
    <row r="7420" spans="1:5" x14ac:dyDescent="0.25">
      <c r="A7420" s="3">
        <f t="shared" si="346"/>
        <v>78989</v>
      </c>
      <c r="B7420" t="str">
        <f ca="1">TEXT(DATE(YEAR(Invoer!$A$5),1,1)+INT((ROWS(B$2:B7420)-1)/24),"""18""jjmmdd")</f>
        <v>18981106</v>
      </c>
      <c r="C7420" s="11" t="str">
        <f>INDEX(Data,2,2+MOD(ROWS(C$2:C7420)-1,24))</f>
        <v>03.00</v>
      </c>
      <c r="D7420" s="8">
        <f t="shared" ca="1" si="347"/>
        <v>5</v>
      </c>
      <c r="E7420" s="16">
        <f t="shared" ca="1" si="348"/>
        <v>0</v>
      </c>
    </row>
    <row r="7421" spans="1:5" x14ac:dyDescent="0.25">
      <c r="A7421" s="3">
        <f t="shared" si="346"/>
        <v>78989</v>
      </c>
      <c r="B7421" t="str">
        <f ca="1">TEXT(DATE(YEAR(Invoer!$A$5),1,1)+INT((ROWS(B$2:B7421)-1)/24),"""18""jjmmdd")</f>
        <v>18981106</v>
      </c>
      <c r="C7421" s="11" t="str">
        <f>INDEX(Data,2,2+MOD(ROWS(C$2:C7421)-1,24))</f>
        <v>04.00</v>
      </c>
      <c r="D7421" s="8">
        <f t="shared" ca="1" si="347"/>
        <v>4</v>
      </c>
      <c r="E7421" s="16">
        <f t="shared" ca="1" si="348"/>
        <v>0</v>
      </c>
    </row>
    <row r="7422" spans="1:5" x14ac:dyDescent="0.25">
      <c r="A7422" s="3">
        <f t="shared" si="346"/>
        <v>78989</v>
      </c>
      <c r="B7422" t="str">
        <f ca="1">TEXT(DATE(YEAR(Invoer!$A$5),1,1)+INT((ROWS(B$2:B7422)-1)/24),"""18""jjmmdd")</f>
        <v>18981106</v>
      </c>
      <c r="C7422" s="11" t="str">
        <f>INDEX(Data,2,2+MOD(ROWS(C$2:C7422)-1,24))</f>
        <v>05.00</v>
      </c>
      <c r="D7422" s="8">
        <f t="shared" ca="1" si="347"/>
        <v>4</v>
      </c>
      <c r="E7422" s="16">
        <f t="shared" ca="1" si="348"/>
        <v>0</v>
      </c>
    </row>
    <row r="7423" spans="1:5" x14ac:dyDescent="0.25">
      <c r="A7423" s="3">
        <f t="shared" si="346"/>
        <v>78989</v>
      </c>
      <c r="B7423" t="str">
        <f ca="1">TEXT(DATE(YEAR(Invoer!$A$5),1,1)+INT((ROWS(B$2:B7423)-1)/24),"""18""jjmmdd")</f>
        <v>18981106</v>
      </c>
      <c r="C7423" s="11" t="str">
        <f>INDEX(Data,2,2+MOD(ROWS(C$2:C7423)-1,24))</f>
        <v>06.00</v>
      </c>
      <c r="D7423" s="8">
        <f t="shared" ca="1" si="347"/>
        <v>5</v>
      </c>
      <c r="E7423" s="16">
        <f t="shared" ca="1" si="348"/>
        <v>0</v>
      </c>
    </row>
    <row r="7424" spans="1:5" x14ac:dyDescent="0.25">
      <c r="A7424" s="3">
        <f t="shared" si="346"/>
        <v>78989</v>
      </c>
      <c r="B7424" t="str">
        <f ca="1">TEXT(DATE(YEAR(Invoer!$A$5),1,1)+INT((ROWS(B$2:B7424)-1)/24),"""18""jjmmdd")</f>
        <v>18981106</v>
      </c>
      <c r="C7424" s="11" t="str">
        <f>INDEX(Data,2,2+MOD(ROWS(C$2:C7424)-1,24))</f>
        <v>07.00</v>
      </c>
      <c r="D7424" s="8">
        <f t="shared" ca="1" si="347"/>
        <v>5</v>
      </c>
      <c r="E7424" s="16">
        <f t="shared" ca="1" si="348"/>
        <v>0</v>
      </c>
    </row>
    <row r="7425" spans="1:5" x14ac:dyDescent="0.25">
      <c r="A7425" s="3">
        <f t="shared" si="346"/>
        <v>78989</v>
      </c>
      <c r="B7425" t="str">
        <f ca="1">TEXT(DATE(YEAR(Invoer!$A$5),1,1)+INT((ROWS(B$2:B7425)-1)/24),"""18""jjmmdd")</f>
        <v>18981106</v>
      </c>
      <c r="C7425" s="11" t="str">
        <f>INDEX(Data,2,2+MOD(ROWS(C$2:C7425)-1,24))</f>
        <v>08.00</v>
      </c>
      <c r="D7425" s="8">
        <f t="shared" ca="1" si="347"/>
        <v>6</v>
      </c>
      <c r="E7425" s="16">
        <f t="shared" ca="1" si="348"/>
        <v>0</v>
      </c>
    </row>
    <row r="7426" spans="1:5" x14ac:dyDescent="0.25">
      <c r="A7426" s="3">
        <f t="shared" ref="A7426:A7489" si="349">INDEX(Stations,2,1)</f>
        <v>78989</v>
      </c>
      <c r="B7426" t="str">
        <f ca="1">TEXT(DATE(YEAR(Invoer!$A$5),1,1)+INT((ROWS(B$2:B7426)-1)/24),"""18""jjmmdd")</f>
        <v>18981106</v>
      </c>
      <c r="C7426" s="11" t="str">
        <f>INDEX(Data,2,2+MOD(ROWS(C$2:C7426)-1,24))</f>
        <v>09.00</v>
      </c>
      <c r="D7426" s="8">
        <f t="shared" ref="D7426:D7489" ca="1" si="350">IF(OR(ISBLANK(VLOOKUP(DATEVALUE("37"&amp;MID($B7426,3,2)&amp;"-"&amp;MID($B7426,5,2)&amp;"-"&amp;RIGHT($B7426,2)),Data,MATCH(LEFT(VLOOKUP(D$1,Parameters,2,FALSE()),4)&amp;"*",OFFSET(Data,0,0,1),0)+MATCH($C7426,OFFSET(Data,1,0,1),0)-2,FALSE())),ISTEXT(VLOOKUP(DATEVALUE("37"&amp;MID($B7426,3,2)&amp;"-"&amp;MID($B7426,5,2)&amp;"-"&amp;RIGHT($B7426,2)),Data,MATCH(LEFT(VLOOKUP(D$1,Parameters,2,FALSE()),4)&amp;"*",OFFSET(Data,0,0,1),0)+MATCH($C7426,OFFSET(Data,1,0,1),0)-2,FALSE()))),"—",VLOOKUP(DATEVALUE("37"&amp;MID($B7426,3,2)&amp;"-"&amp;MID($B7426,5,2)&amp;"-"&amp;RIGHT($B7426,2)),Data,MATCH(LEFT(VLOOKUP(D$1,Parameters,2,FALSE()),4)&amp;"*",OFFSET(Data,0,0,1),0)+MATCH($C7426,OFFSET(Data,1,0,1),0)-2,FALSE()))</f>
        <v>5</v>
      </c>
      <c r="E7426" s="16">
        <f t="shared" ca="1" si="348"/>
        <v>0</v>
      </c>
    </row>
    <row r="7427" spans="1:5" x14ac:dyDescent="0.25">
      <c r="A7427" s="3">
        <f t="shared" si="349"/>
        <v>78989</v>
      </c>
      <c r="B7427" t="str">
        <f ca="1">TEXT(DATE(YEAR(Invoer!$A$5),1,1)+INT((ROWS(B$2:B7427)-1)/24),"""18""jjmmdd")</f>
        <v>18981106</v>
      </c>
      <c r="C7427" s="11" t="str">
        <f>INDEX(Data,2,2+MOD(ROWS(C$2:C7427)-1,24))</f>
        <v>10.00</v>
      </c>
      <c r="D7427" s="8">
        <f t="shared" ca="1" si="350"/>
        <v>8</v>
      </c>
      <c r="E7427" s="16">
        <f t="shared" ref="E7427:E7490" ca="1" si="351">IF(OR(ISBLANK(VLOOKUP(DATEVALUE("37"&amp;MID($B7427,3,2)&amp;"-"&amp;MID($B7427,5,2)&amp;"-"&amp;RIGHT($B7427,2)),Data,MATCH(LEFT(VLOOKUP(D$1,Parameters,2,FALSE()),4)&amp;"*",OFFSET(Data,0,0,1),0)+MATCH($C7427,OFFSET(Data,1,0,1),0)-2,FALSE())),ISTEXT(VLOOKUP(DATEVALUE("37"&amp;MID($B7427,3,2)&amp;"-"&amp;MID($B7427,5,2)&amp;"-"&amp;RIGHT($B7427,2)),Data,MATCH(LEFT(VLOOKUP(D$1,Parameters,2,FALSE()),4)&amp;"*",OFFSET(Data,0,0,1),0)+MATCH($C7427,OFFSET(Data,1,0,1),0)-2,FALSE()))),Lacking,IF(ISNA(MATCH(DATEVALUE("37"&amp;MID($B7427,3,2)&amp;"-"&amp;MID($B7427,5,2)&amp;"-"&amp;RIGHT($B7427,2)),OFFSET(Catalogus,0,0,,1),0)),Ok,VLOOKUP(DATEVALUE("37"&amp;MID($B7427,3,2)&amp;"-"&amp;MID($B7427,5,2)&amp;"-"&amp;RIGHT($B7427,2)),Catalogus,MATCH(LEFT(VLOOKUP(MID(E$1,2,LEN(E$1)-1),Parameters,2,FALSE()),4)&amp;"*",OFFSET(Catalogus,0,0,1),0)+MATCH($C7427,OFFSET(Catalogus,1,0,1),0)-2,FALSE())))</f>
        <v>0</v>
      </c>
    </row>
    <row r="7428" spans="1:5" x14ac:dyDescent="0.25">
      <c r="A7428" s="3">
        <f t="shared" si="349"/>
        <v>78989</v>
      </c>
      <c r="B7428" t="str">
        <f ca="1">TEXT(DATE(YEAR(Invoer!$A$5),1,1)+INT((ROWS(B$2:B7428)-1)/24),"""18""jjmmdd")</f>
        <v>18981106</v>
      </c>
      <c r="C7428" s="11" t="str">
        <f>INDEX(Data,2,2+MOD(ROWS(C$2:C7428)-1,24))</f>
        <v>11.00</v>
      </c>
      <c r="D7428" s="8">
        <f t="shared" ca="1" si="350"/>
        <v>8</v>
      </c>
      <c r="E7428" s="16">
        <f t="shared" ca="1" si="351"/>
        <v>0</v>
      </c>
    </row>
    <row r="7429" spans="1:5" x14ac:dyDescent="0.25">
      <c r="A7429" s="3">
        <f t="shared" si="349"/>
        <v>78989</v>
      </c>
      <c r="B7429" t="str">
        <f ca="1">TEXT(DATE(YEAR(Invoer!$A$5),1,1)+INT((ROWS(B$2:B7429)-1)/24),"""18""jjmmdd")</f>
        <v>18981106</v>
      </c>
      <c r="C7429" s="11" t="str">
        <f>INDEX(Data,2,2+MOD(ROWS(C$2:C7429)-1,24))</f>
        <v>12.00</v>
      </c>
      <c r="D7429" s="8">
        <f t="shared" ca="1" si="350"/>
        <v>7</v>
      </c>
      <c r="E7429" s="16">
        <f t="shared" ca="1" si="351"/>
        <v>0</v>
      </c>
    </row>
    <row r="7430" spans="1:5" x14ac:dyDescent="0.25">
      <c r="A7430" s="3">
        <f t="shared" si="349"/>
        <v>78989</v>
      </c>
      <c r="B7430" t="str">
        <f ca="1">TEXT(DATE(YEAR(Invoer!$A$5),1,1)+INT((ROWS(B$2:B7430)-1)/24),"""18""jjmmdd")</f>
        <v>18981106</v>
      </c>
      <c r="C7430" s="11" t="str">
        <f>INDEX(Data,2,2+MOD(ROWS(C$2:C7430)-1,24))</f>
        <v>13.00</v>
      </c>
      <c r="D7430" s="8">
        <f t="shared" ca="1" si="350"/>
        <v>4</v>
      </c>
      <c r="E7430" s="16">
        <f t="shared" ca="1" si="351"/>
        <v>0</v>
      </c>
    </row>
    <row r="7431" spans="1:5" x14ac:dyDescent="0.25">
      <c r="A7431" s="3">
        <f t="shared" si="349"/>
        <v>78989</v>
      </c>
      <c r="B7431" t="str">
        <f ca="1">TEXT(DATE(YEAR(Invoer!$A$5),1,1)+INT((ROWS(B$2:B7431)-1)/24),"""18""jjmmdd")</f>
        <v>18981106</v>
      </c>
      <c r="C7431" s="11" t="str">
        <f>INDEX(Data,2,2+MOD(ROWS(C$2:C7431)-1,24))</f>
        <v>14.00</v>
      </c>
      <c r="D7431" s="8">
        <f t="shared" ca="1" si="350"/>
        <v>8</v>
      </c>
      <c r="E7431" s="16">
        <f t="shared" ca="1" si="351"/>
        <v>0</v>
      </c>
    </row>
    <row r="7432" spans="1:5" x14ac:dyDescent="0.25">
      <c r="A7432" s="3">
        <f t="shared" si="349"/>
        <v>78989</v>
      </c>
      <c r="B7432" t="str">
        <f ca="1">TEXT(DATE(YEAR(Invoer!$A$5),1,1)+INT((ROWS(B$2:B7432)-1)/24),"""18""jjmmdd")</f>
        <v>18981106</v>
      </c>
      <c r="C7432" s="11" t="str">
        <f>INDEX(Data,2,2+MOD(ROWS(C$2:C7432)-1,24))</f>
        <v>15.00</v>
      </c>
      <c r="D7432" s="8">
        <f t="shared" ca="1" si="350"/>
        <v>9</v>
      </c>
      <c r="E7432" s="16">
        <f t="shared" ca="1" si="351"/>
        <v>0</v>
      </c>
    </row>
    <row r="7433" spans="1:5" x14ac:dyDescent="0.25">
      <c r="A7433" s="3">
        <f t="shared" si="349"/>
        <v>78989</v>
      </c>
      <c r="B7433" t="str">
        <f ca="1">TEXT(DATE(YEAR(Invoer!$A$5),1,1)+INT((ROWS(B$2:B7433)-1)/24),"""18""jjmmdd")</f>
        <v>18981106</v>
      </c>
      <c r="C7433" s="11" t="str">
        <f>INDEX(Data,2,2+MOD(ROWS(C$2:C7433)-1,24))</f>
        <v>16.00</v>
      </c>
      <c r="D7433" s="8">
        <f t="shared" ca="1" si="350"/>
        <v>10</v>
      </c>
      <c r="E7433" s="16">
        <f t="shared" ca="1" si="351"/>
        <v>0</v>
      </c>
    </row>
    <row r="7434" spans="1:5" x14ac:dyDescent="0.25">
      <c r="A7434" s="3">
        <f t="shared" si="349"/>
        <v>78989</v>
      </c>
      <c r="B7434" t="str">
        <f ca="1">TEXT(DATE(YEAR(Invoer!$A$5),1,1)+INT((ROWS(B$2:B7434)-1)/24),"""18""jjmmdd")</f>
        <v>18981106</v>
      </c>
      <c r="C7434" s="11" t="str">
        <f>INDEX(Data,2,2+MOD(ROWS(C$2:C7434)-1,24))</f>
        <v>17.00</v>
      </c>
      <c r="D7434" s="8">
        <f t="shared" ca="1" si="350"/>
        <v>8</v>
      </c>
      <c r="E7434" s="16">
        <f t="shared" ca="1" si="351"/>
        <v>0</v>
      </c>
    </row>
    <row r="7435" spans="1:5" x14ac:dyDescent="0.25">
      <c r="A7435" s="3">
        <f t="shared" si="349"/>
        <v>78989</v>
      </c>
      <c r="B7435" t="str">
        <f ca="1">TEXT(DATE(YEAR(Invoer!$A$5),1,1)+INT((ROWS(B$2:B7435)-1)/24),"""18""jjmmdd")</f>
        <v>18981106</v>
      </c>
      <c r="C7435" s="11" t="str">
        <f>INDEX(Data,2,2+MOD(ROWS(C$2:C7435)-1,24))</f>
        <v>18.00</v>
      </c>
      <c r="D7435" s="8">
        <f t="shared" ca="1" si="350"/>
        <v>7</v>
      </c>
      <c r="E7435" s="16">
        <f t="shared" ca="1" si="351"/>
        <v>0</v>
      </c>
    </row>
    <row r="7436" spans="1:5" x14ac:dyDescent="0.25">
      <c r="A7436" s="3">
        <f t="shared" si="349"/>
        <v>78989</v>
      </c>
      <c r="B7436" t="str">
        <f ca="1">TEXT(DATE(YEAR(Invoer!$A$5),1,1)+INT((ROWS(B$2:B7436)-1)/24),"""18""jjmmdd")</f>
        <v>18981106</v>
      </c>
      <c r="C7436" s="11" t="str">
        <f>INDEX(Data,2,2+MOD(ROWS(C$2:C7436)-1,24))</f>
        <v>19.00</v>
      </c>
      <c r="D7436" s="8">
        <f t="shared" ca="1" si="350"/>
        <v>7</v>
      </c>
      <c r="E7436" s="16">
        <f t="shared" ca="1" si="351"/>
        <v>0</v>
      </c>
    </row>
    <row r="7437" spans="1:5" x14ac:dyDescent="0.25">
      <c r="A7437" s="3">
        <f t="shared" si="349"/>
        <v>78989</v>
      </c>
      <c r="B7437" t="str">
        <f ca="1">TEXT(DATE(YEAR(Invoer!$A$5),1,1)+INT((ROWS(B$2:B7437)-1)/24),"""18""jjmmdd")</f>
        <v>18981106</v>
      </c>
      <c r="C7437" s="11" t="str">
        <f>INDEX(Data,2,2+MOD(ROWS(C$2:C7437)-1,24))</f>
        <v>20.00</v>
      </c>
      <c r="D7437" s="8">
        <f t="shared" ca="1" si="350"/>
        <v>8</v>
      </c>
      <c r="E7437" s="16">
        <f t="shared" ca="1" si="351"/>
        <v>0</v>
      </c>
    </row>
    <row r="7438" spans="1:5" x14ac:dyDescent="0.25">
      <c r="A7438" s="3">
        <f t="shared" si="349"/>
        <v>78989</v>
      </c>
      <c r="B7438" t="str">
        <f ca="1">TEXT(DATE(YEAR(Invoer!$A$5),1,1)+INT((ROWS(B$2:B7438)-1)/24),"""18""jjmmdd")</f>
        <v>18981106</v>
      </c>
      <c r="C7438" s="11" t="str">
        <f>INDEX(Data,2,2+MOD(ROWS(C$2:C7438)-1,24))</f>
        <v>21.00</v>
      </c>
      <c r="D7438" s="8">
        <f t="shared" ca="1" si="350"/>
        <v>7</v>
      </c>
      <c r="E7438" s="16">
        <f t="shared" ca="1" si="351"/>
        <v>0</v>
      </c>
    </row>
    <row r="7439" spans="1:5" x14ac:dyDescent="0.25">
      <c r="A7439" s="3">
        <f t="shared" si="349"/>
        <v>78989</v>
      </c>
      <c r="B7439" t="str">
        <f ca="1">TEXT(DATE(YEAR(Invoer!$A$5),1,1)+INT((ROWS(B$2:B7439)-1)/24),"""18""jjmmdd")</f>
        <v>18981106</v>
      </c>
      <c r="C7439" s="11" t="str">
        <f>INDEX(Data,2,2+MOD(ROWS(C$2:C7439)-1,24))</f>
        <v>22.00</v>
      </c>
      <c r="D7439" s="8">
        <f t="shared" ca="1" si="350"/>
        <v>7</v>
      </c>
      <c r="E7439" s="16">
        <f t="shared" ca="1" si="351"/>
        <v>0</v>
      </c>
    </row>
    <row r="7440" spans="1:5" x14ac:dyDescent="0.25">
      <c r="A7440" s="3">
        <f t="shared" si="349"/>
        <v>78989</v>
      </c>
      <c r="B7440" t="str">
        <f ca="1">TEXT(DATE(YEAR(Invoer!$A$5),1,1)+INT((ROWS(B$2:B7440)-1)/24),"""18""jjmmdd")</f>
        <v>18981106</v>
      </c>
      <c r="C7440" s="11" t="str">
        <f>INDEX(Data,2,2+MOD(ROWS(C$2:C7440)-1,24))</f>
        <v>23.00</v>
      </c>
      <c r="D7440" s="8">
        <f t="shared" ca="1" si="350"/>
        <v>6</v>
      </c>
      <c r="E7440" s="16">
        <f t="shared" ca="1" si="351"/>
        <v>0</v>
      </c>
    </row>
    <row r="7441" spans="1:5" x14ac:dyDescent="0.25">
      <c r="A7441" s="3">
        <f t="shared" si="349"/>
        <v>78989</v>
      </c>
      <c r="B7441" t="str">
        <f ca="1">TEXT(DATE(YEAR(Invoer!$A$5),1,1)+INT((ROWS(B$2:B7441)-1)/24),"""18""jjmmdd")</f>
        <v>18981106</v>
      </c>
      <c r="C7441" s="11" t="str">
        <f>INDEX(Data,2,2+MOD(ROWS(C$2:C7441)-1,24))</f>
        <v>24.00</v>
      </c>
      <c r="D7441" s="8">
        <f t="shared" ca="1" si="350"/>
        <v>5</v>
      </c>
      <c r="E7441" s="16">
        <f t="shared" ca="1" si="351"/>
        <v>0</v>
      </c>
    </row>
    <row r="7442" spans="1:5" x14ac:dyDescent="0.25">
      <c r="A7442" s="3">
        <f t="shared" si="349"/>
        <v>78989</v>
      </c>
      <c r="B7442" t="str">
        <f ca="1">TEXT(DATE(YEAR(Invoer!$A$5),1,1)+INT((ROWS(B$2:B7442)-1)/24),"""18""jjmmdd")</f>
        <v>18981107</v>
      </c>
      <c r="C7442" s="11" t="str">
        <f>INDEX(Data,2,2+MOD(ROWS(C$2:C7442)-1,24))</f>
        <v>01.00</v>
      </c>
      <c r="D7442" s="8">
        <f t="shared" ca="1" si="350"/>
        <v>5</v>
      </c>
      <c r="E7442" s="16">
        <f t="shared" ca="1" si="351"/>
        <v>0</v>
      </c>
    </row>
    <row r="7443" spans="1:5" x14ac:dyDescent="0.25">
      <c r="A7443" s="3">
        <f t="shared" si="349"/>
        <v>78989</v>
      </c>
      <c r="B7443" t="str">
        <f ca="1">TEXT(DATE(YEAR(Invoer!$A$5),1,1)+INT((ROWS(B$2:B7443)-1)/24),"""18""jjmmdd")</f>
        <v>18981107</v>
      </c>
      <c r="C7443" s="11" t="str">
        <f>INDEX(Data,2,2+MOD(ROWS(C$2:C7443)-1,24))</f>
        <v>02.00</v>
      </c>
      <c r="D7443" s="8">
        <f t="shared" ca="1" si="350"/>
        <v>2</v>
      </c>
      <c r="E7443" s="16">
        <f t="shared" ca="1" si="351"/>
        <v>0</v>
      </c>
    </row>
    <row r="7444" spans="1:5" x14ac:dyDescent="0.25">
      <c r="A7444" s="3">
        <f t="shared" si="349"/>
        <v>78989</v>
      </c>
      <c r="B7444" t="str">
        <f ca="1">TEXT(DATE(YEAR(Invoer!$A$5),1,1)+INT((ROWS(B$2:B7444)-1)/24),"""18""jjmmdd")</f>
        <v>18981107</v>
      </c>
      <c r="C7444" s="11" t="str">
        <f>INDEX(Data,2,2+MOD(ROWS(C$2:C7444)-1,24))</f>
        <v>03.00</v>
      </c>
      <c r="D7444" s="8">
        <f t="shared" ca="1" si="350"/>
        <v>3</v>
      </c>
      <c r="E7444" s="16">
        <f t="shared" ca="1" si="351"/>
        <v>0</v>
      </c>
    </row>
    <row r="7445" spans="1:5" x14ac:dyDescent="0.25">
      <c r="A7445" s="3">
        <f t="shared" si="349"/>
        <v>78989</v>
      </c>
      <c r="B7445" t="str">
        <f ca="1">TEXT(DATE(YEAR(Invoer!$A$5),1,1)+INT((ROWS(B$2:B7445)-1)/24),"""18""jjmmdd")</f>
        <v>18981107</v>
      </c>
      <c r="C7445" s="11" t="str">
        <f>INDEX(Data,2,2+MOD(ROWS(C$2:C7445)-1,24))</f>
        <v>04.00</v>
      </c>
      <c r="D7445" s="8">
        <f t="shared" ca="1" si="350"/>
        <v>4</v>
      </c>
      <c r="E7445" s="16">
        <f t="shared" ca="1" si="351"/>
        <v>0</v>
      </c>
    </row>
    <row r="7446" spans="1:5" x14ac:dyDescent="0.25">
      <c r="A7446" s="3">
        <f t="shared" si="349"/>
        <v>78989</v>
      </c>
      <c r="B7446" t="str">
        <f ca="1">TEXT(DATE(YEAR(Invoer!$A$5),1,1)+INT((ROWS(B$2:B7446)-1)/24),"""18""jjmmdd")</f>
        <v>18981107</v>
      </c>
      <c r="C7446" s="11" t="str">
        <f>INDEX(Data,2,2+MOD(ROWS(C$2:C7446)-1,24))</f>
        <v>05.00</v>
      </c>
      <c r="D7446" s="8">
        <f t="shared" ca="1" si="350"/>
        <v>3</v>
      </c>
      <c r="E7446" s="16">
        <f t="shared" ca="1" si="351"/>
        <v>0</v>
      </c>
    </row>
    <row r="7447" spans="1:5" x14ac:dyDescent="0.25">
      <c r="A7447" s="3">
        <f t="shared" si="349"/>
        <v>78989</v>
      </c>
      <c r="B7447" t="str">
        <f ca="1">TEXT(DATE(YEAR(Invoer!$A$5),1,1)+INT((ROWS(B$2:B7447)-1)/24),"""18""jjmmdd")</f>
        <v>18981107</v>
      </c>
      <c r="C7447" s="11" t="str">
        <f>INDEX(Data,2,2+MOD(ROWS(C$2:C7447)-1,24))</f>
        <v>06.00</v>
      </c>
      <c r="D7447" s="8">
        <f t="shared" ca="1" si="350"/>
        <v>3</v>
      </c>
      <c r="E7447" s="16">
        <f t="shared" ca="1" si="351"/>
        <v>0</v>
      </c>
    </row>
    <row r="7448" spans="1:5" x14ac:dyDescent="0.25">
      <c r="A7448" s="3">
        <f t="shared" si="349"/>
        <v>78989</v>
      </c>
      <c r="B7448" t="str">
        <f ca="1">TEXT(DATE(YEAR(Invoer!$A$5),1,1)+INT((ROWS(B$2:B7448)-1)/24),"""18""jjmmdd")</f>
        <v>18981107</v>
      </c>
      <c r="C7448" s="11" t="str">
        <f>INDEX(Data,2,2+MOD(ROWS(C$2:C7448)-1,24))</f>
        <v>07.00</v>
      </c>
      <c r="D7448" s="8">
        <f t="shared" ca="1" si="350"/>
        <v>2</v>
      </c>
      <c r="E7448" s="16">
        <f t="shared" ca="1" si="351"/>
        <v>0</v>
      </c>
    </row>
    <row r="7449" spans="1:5" x14ac:dyDescent="0.25">
      <c r="A7449" s="3">
        <f t="shared" si="349"/>
        <v>78989</v>
      </c>
      <c r="B7449" t="str">
        <f ca="1">TEXT(DATE(YEAR(Invoer!$A$5),1,1)+INT((ROWS(B$2:B7449)-1)/24),"""18""jjmmdd")</f>
        <v>18981107</v>
      </c>
      <c r="C7449" s="11" t="str">
        <f>INDEX(Data,2,2+MOD(ROWS(C$2:C7449)-1,24))</f>
        <v>08.00</v>
      </c>
      <c r="D7449" s="8">
        <f t="shared" ca="1" si="350"/>
        <v>4</v>
      </c>
      <c r="E7449" s="16">
        <f t="shared" ca="1" si="351"/>
        <v>0</v>
      </c>
    </row>
    <row r="7450" spans="1:5" x14ac:dyDescent="0.25">
      <c r="A7450" s="3">
        <f t="shared" si="349"/>
        <v>78989</v>
      </c>
      <c r="B7450" t="str">
        <f ca="1">TEXT(DATE(YEAR(Invoer!$A$5),1,1)+INT((ROWS(B$2:B7450)-1)/24),"""18""jjmmdd")</f>
        <v>18981107</v>
      </c>
      <c r="C7450" s="11" t="str">
        <f>INDEX(Data,2,2+MOD(ROWS(C$2:C7450)-1,24))</f>
        <v>09.00</v>
      </c>
      <c r="D7450" s="8">
        <f t="shared" ca="1" si="350"/>
        <v>6</v>
      </c>
      <c r="E7450" s="16">
        <f t="shared" ca="1" si="351"/>
        <v>0</v>
      </c>
    </row>
    <row r="7451" spans="1:5" x14ac:dyDescent="0.25">
      <c r="A7451" s="3">
        <f t="shared" si="349"/>
        <v>78989</v>
      </c>
      <c r="B7451" t="str">
        <f ca="1">TEXT(DATE(YEAR(Invoer!$A$5),1,1)+INT((ROWS(B$2:B7451)-1)/24),"""18""jjmmdd")</f>
        <v>18981107</v>
      </c>
      <c r="C7451" s="11" t="str">
        <f>INDEX(Data,2,2+MOD(ROWS(C$2:C7451)-1,24))</f>
        <v>10.00</v>
      </c>
      <c r="D7451" s="8">
        <f t="shared" ca="1" si="350"/>
        <v>6</v>
      </c>
      <c r="E7451" s="16">
        <f t="shared" ca="1" si="351"/>
        <v>0</v>
      </c>
    </row>
    <row r="7452" spans="1:5" x14ac:dyDescent="0.25">
      <c r="A7452" s="3">
        <f t="shared" si="349"/>
        <v>78989</v>
      </c>
      <c r="B7452" t="str">
        <f ca="1">TEXT(DATE(YEAR(Invoer!$A$5),1,1)+INT((ROWS(B$2:B7452)-1)/24),"""18""jjmmdd")</f>
        <v>18981107</v>
      </c>
      <c r="C7452" s="11" t="str">
        <f>INDEX(Data,2,2+MOD(ROWS(C$2:C7452)-1,24))</f>
        <v>11.00</v>
      </c>
      <c r="D7452" s="8">
        <f t="shared" ca="1" si="350"/>
        <v>7</v>
      </c>
      <c r="E7452" s="16">
        <f t="shared" ca="1" si="351"/>
        <v>0</v>
      </c>
    </row>
    <row r="7453" spans="1:5" x14ac:dyDescent="0.25">
      <c r="A7453" s="3">
        <f t="shared" si="349"/>
        <v>78989</v>
      </c>
      <c r="B7453" t="str">
        <f ca="1">TEXT(DATE(YEAR(Invoer!$A$5),1,1)+INT((ROWS(B$2:B7453)-1)/24),"""18""jjmmdd")</f>
        <v>18981107</v>
      </c>
      <c r="C7453" s="11" t="str">
        <f>INDEX(Data,2,2+MOD(ROWS(C$2:C7453)-1,24))</f>
        <v>12.00</v>
      </c>
      <c r="D7453" s="8">
        <f t="shared" ca="1" si="350"/>
        <v>8</v>
      </c>
      <c r="E7453" s="16">
        <f t="shared" ca="1" si="351"/>
        <v>0</v>
      </c>
    </row>
    <row r="7454" spans="1:5" x14ac:dyDescent="0.25">
      <c r="A7454" s="3">
        <f t="shared" si="349"/>
        <v>78989</v>
      </c>
      <c r="B7454" t="str">
        <f ca="1">TEXT(DATE(YEAR(Invoer!$A$5),1,1)+INT((ROWS(B$2:B7454)-1)/24),"""18""jjmmdd")</f>
        <v>18981107</v>
      </c>
      <c r="C7454" s="11" t="str">
        <f>INDEX(Data,2,2+MOD(ROWS(C$2:C7454)-1,24))</f>
        <v>13.00</v>
      </c>
      <c r="D7454" s="8">
        <f t="shared" ca="1" si="350"/>
        <v>8</v>
      </c>
      <c r="E7454" s="16">
        <f t="shared" ca="1" si="351"/>
        <v>0</v>
      </c>
    </row>
    <row r="7455" spans="1:5" x14ac:dyDescent="0.25">
      <c r="A7455" s="3">
        <f t="shared" si="349"/>
        <v>78989</v>
      </c>
      <c r="B7455" t="str">
        <f ca="1">TEXT(DATE(YEAR(Invoer!$A$5),1,1)+INT((ROWS(B$2:B7455)-1)/24),"""18""jjmmdd")</f>
        <v>18981107</v>
      </c>
      <c r="C7455" s="11" t="str">
        <f>INDEX(Data,2,2+MOD(ROWS(C$2:C7455)-1,24))</f>
        <v>14.00</v>
      </c>
      <c r="D7455" s="8">
        <f t="shared" ca="1" si="350"/>
        <v>10</v>
      </c>
      <c r="E7455" s="16">
        <f t="shared" ca="1" si="351"/>
        <v>0</v>
      </c>
    </row>
    <row r="7456" spans="1:5" x14ac:dyDescent="0.25">
      <c r="A7456" s="3">
        <f t="shared" si="349"/>
        <v>78989</v>
      </c>
      <c r="B7456" t="str">
        <f ca="1">TEXT(DATE(YEAR(Invoer!$A$5),1,1)+INT((ROWS(B$2:B7456)-1)/24),"""18""jjmmdd")</f>
        <v>18981107</v>
      </c>
      <c r="C7456" s="11" t="str">
        <f>INDEX(Data,2,2+MOD(ROWS(C$2:C7456)-1,24))</f>
        <v>15.00</v>
      </c>
      <c r="D7456" s="8">
        <f t="shared" ca="1" si="350"/>
        <v>9</v>
      </c>
      <c r="E7456" s="16">
        <f t="shared" ca="1" si="351"/>
        <v>0</v>
      </c>
    </row>
    <row r="7457" spans="1:5" x14ac:dyDescent="0.25">
      <c r="A7457" s="3">
        <f t="shared" si="349"/>
        <v>78989</v>
      </c>
      <c r="B7457" t="str">
        <f ca="1">TEXT(DATE(YEAR(Invoer!$A$5),1,1)+INT((ROWS(B$2:B7457)-1)/24),"""18""jjmmdd")</f>
        <v>18981107</v>
      </c>
      <c r="C7457" s="11" t="str">
        <f>INDEX(Data,2,2+MOD(ROWS(C$2:C7457)-1,24))</f>
        <v>16.00</v>
      </c>
      <c r="D7457" s="8">
        <f t="shared" ca="1" si="350"/>
        <v>11</v>
      </c>
      <c r="E7457" s="16">
        <f t="shared" ca="1" si="351"/>
        <v>0</v>
      </c>
    </row>
    <row r="7458" spans="1:5" x14ac:dyDescent="0.25">
      <c r="A7458" s="3">
        <f t="shared" si="349"/>
        <v>78989</v>
      </c>
      <c r="B7458" t="str">
        <f ca="1">TEXT(DATE(YEAR(Invoer!$A$5),1,1)+INT((ROWS(B$2:B7458)-1)/24),"""18""jjmmdd")</f>
        <v>18981107</v>
      </c>
      <c r="C7458" s="11" t="str">
        <f>INDEX(Data,2,2+MOD(ROWS(C$2:C7458)-1,24))</f>
        <v>17.00</v>
      </c>
      <c r="D7458" s="8">
        <f t="shared" ca="1" si="350"/>
        <v>11</v>
      </c>
      <c r="E7458" s="16">
        <f t="shared" ca="1" si="351"/>
        <v>0</v>
      </c>
    </row>
    <row r="7459" spans="1:5" x14ac:dyDescent="0.25">
      <c r="A7459" s="3">
        <f t="shared" si="349"/>
        <v>78989</v>
      </c>
      <c r="B7459" t="str">
        <f ca="1">TEXT(DATE(YEAR(Invoer!$A$5),1,1)+INT((ROWS(B$2:B7459)-1)/24),"""18""jjmmdd")</f>
        <v>18981107</v>
      </c>
      <c r="C7459" s="11" t="str">
        <f>INDEX(Data,2,2+MOD(ROWS(C$2:C7459)-1,24))</f>
        <v>18.00</v>
      </c>
      <c r="D7459" s="8">
        <f t="shared" ca="1" si="350"/>
        <v>12</v>
      </c>
      <c r="E7459" s="16">
        <f t="shared" ca="1" si="351"/>
        <v>0</v>
      </c>
    </row>
    <row r="7460" spans="1:5" x14ac:dyDescent="0.25">
      <c r="A7460" s="3">
        <f t="shared" si="349"/>
        <v>78989</v>
      </c>
      <c r="B7460" t="str">
        <f ca="1">TEXT(DATE(YEAR(Invoer!$A$5),1,1)+INT((ROWS(B$2:B7460)-1)/24),"""18""jjmmdd")</f>
        <v>18981107</v>
      </c>
      <c r="C7460" s="11" t="str">
        <f>INDEX(Data,2,2+MOD(ROWS(C$2:C7460)-1,24))</f>
        <v>19.00</v>
      </c>
      <c r="D7460" s="8">
        <f t="shared" ca="1" si="350"/>
        <v>11</v>
      </c>
      <c r="E7460" s="16">
        <f t="shared" ca="1" si="351"/>
        <v>0</v>
      </c>
    </row>
    <row r="7461" spans="1:5" x14ac:dyDescent="0.25">
      <c r="A7461" s="3">
        <f t="shared" si="349"/>
        <v>78989</v>
      </c>
      <c r="B7461" t="str">
        <f ca="1">TEXT(DATE(YEAR(Invoer!$A$5),1,1)+INT((ROWS(B$2:B7461)-1)/24),"""18""jjmmdd")</f>
        <v>18981107</v>
      </c>
      <c r="C7461" s="11" t="str">
        <f>INDEX(Data,2,2+MOD(ROWS(C$2:C7461)-1,24))</f>
        <v>20.00</v>
      </c>
      <c r="D7461" s="8">
        <f t="shared" ca="1" si="350"/>
        <v>11</v>
      </c>
      <c r="E7461" s="16">
        <f t="shared" ca="1" si="351"/>
        <v>0</v>
      </c>
    </row>
    <row r="7462" spans="1:5" x14ac:dyDescent="0.25">
      <c r="A7462" s="3">
        <f t="shared" si="349"/>
        <v>78989</v>
      </c>
      <c r="B7462" t="str">
        <f ca="1">TEXT(DATE(YEAR(Invoer!$A$5),1,1)+INT((ROWS(B$2:B7462)-1)/24),"""18""jjmmdd")</f>
        <v>18981107</v>
      </c>
      <c r="C7462" s="11" t="str">
        <f>INDEX(Data,2,2+MOD(ROWS(C$2:C7462)-1,24))</f>
        <v>21.00</v>
      </c>
      <c r="D7462" s="8">
        <f t="shared" ca="1" si="350"/>
        <v>12</v>
      </c>
      <c r="E7462" s="16">
        <f t="shared" ca="1" si="351"/>
        <v>0</v>
      </c>
    </row>
    <row r="7463" spans="1:5" x14ac:dyDescent="0.25">
      <c r="A7463" s="3">
        <f t="shared" si="349"/>
        <v>78989</v>
      </c>
      <c r="B7463" t="str">
        <f ca="1">TEXT(DATE(YEAR(Invoer!$A$5),1,1)+INT((ROWS(B$2:B7463)-1)/24),"""18""jjmmdd")</f>
        <v>18981107</v>
      </c>
      <c r="C7463" s="11" t="str">
        <f>INDEX(Data,2,2+MOD(ROWS(C$2:C7463)-1,24))</f>
        <v>22.00</v>
      </c>
      <c r="D7463" s="8">
        <f t="shared" ca="1" si="350"/>
        <v>11</v>
      </c>
      <c r="E7463" s="16">
        <f t="shared" ca="1" si="351"/>
        <v>0</v>
      </c>
    </row>
    <row r="7464" spans="1:5" x14ac:dyDescent="0.25">
      <c r="A7464" s="3">
        <f t="shared" si="349"/>
        <v>78989</v>
      </c>
      <c r="B7464" t="str">
        <f ca="1">TEXT(DATE(YEAR(Invoer!$A$5),1,1)+INT((ROWS(B$2:B7464)-1)/24),"""18""jjmmdd")</f>
        <v>18981107</v>
      </c>
      <c r="C7464" s="11" t="str">
        <f>INDEX(Data,2,2+MOD(ROWS(C$2:C7464)-1,24))</f>
        <v>23.00</v>
      </c>
      <c r="D7464" s="8">
        <f t="shared" ca="1" si="350"/>
        <v>11</v>
      </c>
      <c r="E7464" s="16">
        <f t="shared" ca="1" si="351"/>
        <v>0</v>
      </c>
    </row>
    <row r="7465" spans="1:5" x14ac:dyDescent="0.25">
      <c r="A7465" s="3">
        <f t="shared" si="349"/>
        <v>78989</v>
      </c>
      <c r="B7465" t="str">
        <f ca="1">TEXT(DATE(YEAR(Invoer!$A$5),1,1)+INT((ROWS(B$2:B7465)-1)/24),"""18""jjmmdd")</f>
        <v>18981107</v>
      </c>
      <c r="C7465" s="11" t="str">
        <f>INDEX(Data,2,2+MOD(ROWS(C$2:C7465)-1,24))</f>
        <v>24.00</v>
      </c>
      <c r="D7465" s="8">
        <f t="shared" ca="1" si="350"/>
        <v>9</v>
      </c>
      <c r="E7465" s="16">
        <f t="shared" ca="1" si="351"/>
        <v>0</v>
      </c>
    </row>
    <row r="7466" spans="1:5" x14ac:dyDescent="0.25">
      <c r="A7466" s="3">
        <f t="shared" si="349"/>
        <v>78989</v>
      </c>
      <c r="B7466" t="str">
        <f ca="1">TEXT(DATE(YEAR(Invoer!$A$5),1,1)+INT((ROWS(B$2:B7466)-1)/24),"""18""jjmmdd")</f>
        <v>18981108</v>
      </c>
      <c r="C7466" s="11" t="str">
        <f>INDEX(Data,2,2+MOD(ROWS(C$2:C7466)-1,24))</f>
        <v>01.00</v>
      </c>
      <c r="D7466" s="8">
        <f t="shared" ca="1" si="350"/>
        <v>8</v>
      </c>
      <c r="E7466" s="16">
        <f t="shared" ca="1" si="351"/>
        <v>0</v>
      </c>
    </row>
    <row r="7467" spans="1:5" x14ac:dyDescent="0.25">
      <c r="A7467" s="3">
        <f t="shared" si="349"/>
        <v>78989</v>
      </c>
      <c r="B7467" t="str">
        <f ca="1">TEXT(DATE(YEAR(Invoer!$A$5),1,1)+INT((ROWS(B$2:B7467)-1)/24),"""18""jjmmdd")</f>
        <v>18981108</v>
      </c>
      <c r="C7467" s="11" t="str">
        <f>INDEX(Data,2,2+MOD(ROWS(C$2:C7467)-1,24))</f>
        <v>02.00</v>
      </c>
      <c r="D7467" s="8">
        <f t="shared" ca="1" si="350"/>
        <v>8</v>
      </c>
      <c r="E7467" s="16">
        <f t="shared" ca="1" si="351"/>
        <v>0</v>
      </c>
    </row>
    <row r="7468" spans="1:5" x14ac:dyDescent="0.25">
      <c r="A7468" s="3">
        <f t="shared" si="349"/>
        <v>78989</v>
      </c>
      <c r="B7468" t="str">
        <f ca="1">TEXT(DATE(YEAR(Invoer!$A$5),1,1)+INT((ROWS(B$2:B7468)-1)/24),"""18""jjmmdd")</f>
        <v>18981108</v>
      </c>
      <c r="C7468" s="11" t="str">
        <f>INDEX(Data,2,2+MOD(ROWS(C$2:C7468)-1,24))</f>
        <v>03.00</v>
      </c>
      <c r="D7468" s="8">
        <f t="shared" ca="1" si="350"/>
        <v>9</v>
      </c>
      <c r="E7468" s="16">
        <f t="shared" ca="1" si="351"/>
        <v>0</v>
      </c>
    </row>
    <row r="7469" spans="1:5" x14ac:dyDescent="0.25">
      <c r="A7469" s="3">
        <f t="shared" si="349"/>
        <v>78989</v>
      </c>
      <c r="B7469" t="str">
        <f ca="1">TEXT(DATE(YEAR(Invoer!$A$5),1,1)+INT((ROWS(B$2:B7469)-1)/24),"""18""jjmmdd")</f>
        <v>18981108</v>
      </c>
      <c r="C7469" s="11" t="str">
        <f>INDEX(Data,2,2+MOD(ROWS(C$2:C7469)-1,24))</f>
        <v>04.00</v>
      </c>
      <c r="D7469" s="8">
        <f t="shared" ca="1" si="350"/>
        <v>6</v>
      </c>
      <c r="E7469" s="16">
        <f t="shared" ca="1" si="351"/>
        <v>0</v>
      </c>
    </row>
    <row r="7470" spans="1:5" x14ac:dyDescent="0.25">
      <c r="A7470" s="3">
        <f t="shared" si="349"/>
        <v>78989</v>
      </c>
      <c r="B7470" t="str">
        <f ca="1">TEXT(DATE(YEAR(Invoer!$A$5),1,1)+INT((ROWS(B$2:B7470)-1)/24),"""18""jjmmdd")</f>
        <v>18981108</v>
      </c>
      <c r="C7470" s="11" t="str">
        <f>INDEX(Data,2,2+MOD(ROWS(C$2:C7470)-1,24))</f>
        <v>05.00</v>
      </c>
      <c r="D7470" s="8">
        <f t="shared" ca="1" si="350"/>
        <v>7</v>
      </c>
      <c r="E7470" s="16">
        <f t="shared" ca="1" si="351"/>
        <v>0</v>
      </c>
    </row>
    <row r="7471" spans="1:5" x14ac:dyDescent="0.25">
      <c r="A7471" s="3">
        <f t="shared" si="349"/>
        <v>78989</v>
      </c>
      <c r="B7471" t="str">
        <f ca="1">TEXT(DATE(YEAR(Invoer!$A$5),1,1)+INT((ROWS(B$2:B7471)-1)/24),"""18""jjmmdd")</f>
        <v>18981108</v>
      </c>
      <c r="C7471" s="11" t="str">
        <f>INDEX(Data,2,2+MOD(ROWS(C$2:C7471)-1,24))</f>
        <v>06.00</v>
      </c>
      <c r="D7471" s="8">
        <f t="shared" ca="1" si="350"/>
        <v>4</v>
      </c>
      <c r="E7471" s="16">
        <f t="shared" ca="1" si="351"/>
        <v>0</v>
      </c>
    </row>
    <row r="7472" spans="1:5" x14ac:dyDescent="0.25">
      <c r="A7472" s="3">
        <f t="shared" si="349"/>
        <v>78989</v>
      </c>
      <c r="B7472" t="str">
        <f ca="1">TEXT(DATE(YEAR(Invoer!$A$5),1,1)+INT((ROWS(B$2:B7472)-1)/24),"""18""jjmmdd")</f>
        <v>18981108</v>
      </c>
      <c r="C7472" s="11" t="str">
        <f>INDEX(Data,2,2+MOD(ROWS(C$2:C7472)-1,24))</f>
        <v>07.00</v>
      </c>
      <c r="D7472" s="8">
        <f t="shared" ca="1" si="350"/>
        <v>5</v>
      </c>
      <c r="E7472" s="16">
        <f t="shared" ca="1" si="351"/>
        <v>0</v>
      </c>
    </row>
    <row r="7473" spans="1:5" x14ac:dyDescent="0.25">
      <c r="A7473" s="3">
        <f t="shared" si="349"/>
        <v>78989</v>
      </c>
      <c r="B7473" t="str">
        <f ca="1">TEXT(DATE(YEAR(Invoer!$A$5),1,1)+INT((ROWS(B$2:B7473)-1)/24),"""18""jjmmdd")</f>
        <v>18981108</v>
      </c>
      <c r="C7473" s="11" t="str">
        <f>INDEX(Data,2,2+MOD(ROWS(C$2:C7473)-1,24))</f>
        <v>08.00</v>
      </c>
      <c r="D7473" s="8">
        <f t="shared" ca="1" si="350"/>
        <v>8</v>
      </c>
      <c r="E7473" s="16">
        <f t="shared" ca="1" si="351"/>
        <v>0</v>
      </c>
    </row>
    <row r="7474" spans="1:5" x14ac:dyDescent="0.25">
      <c r="A7474" s="3">
        <f t="shared" si="349"/>
        <v>78989</v>
      </c>
      <c r="B7474" t="str">
        <f ca="1">TEXT(DATE(YEAR(Invoer!$A$5),1,1)+INT((ROWS(B$2:B7474)-1)/24),"""18""jjmmdd")</f>
        <v>18981108</v>
      </c>
      <c r="C7474" s="11" t="str">
        <f>INDEX(Data,2,2+MOD(ROWS(C$2:C7474)-1,24))</f>
        <v>09.00</v>
      </c>
      <c r="D7474" s="8">
        <f t="shared" ca="1" si="350"/>
        <v>7</v>
      </c>
      <c r="E7474" s="16">
        <f t="shared" ca="1" si="351"/>
        <v>0</v>
      </c>
    </row>
    <row r="7475" spans="1:5" x14ac:dyDescent="0.25">
      <c r="A7475" s="3">
        <f t="shared" si="349"/>
        <v>78989</v>
      </c>
      <c r="B7475" t="str">
        <f ca="1">TEXT(DATE(YEAR(Invoer!$A$5),1,1)+INT((ROWS(B$2:B7475)-1)/24),"""18""jjmmdd")</f>
        <v>18981108</v>
      </c>
      <c r="C7475" s="11" t="str">
        <f>INDEX(Data,2,2+MOD(ROWS(C$2:C7475)-1,24))</f>
        <v>10.00</v>
      </c>
      <c r="D7475" s="8">
        <f t="shared" ca="1" si="350"/>
        <v>6</v>
      </c>
      <c r="E7475" s="16">
        <f t="shared" ca="1" si="351"/>
        <v>0</v>
      </c>
    </row>
    <row r="7476" spans="1:5" x14ac:dyDescent="0.25">
      <c r="A7476" s="3">
        <f t="shared" si="349"/>
        <v>78989</v>
      </c>
      <c r="B7476" t="str">
        <f ca="1">TEXT(DATE(YEAR(Invoer!$A$5),1,1)+INT((ROWS(B$2:B7476)-1)/24),"""18""jjmmdd")</f>
        <v>18981108</v>
      </c>
      <c r="C7476" s="11" t="str">
        <f>INDEX(Data,2,2+MOD(ROWS(C$2:C7476)-1,24))</f>
        <v>11.00</v>
      </c>
      <c r="D7476" s="8">
        <f t="shared" ca="1" si="350"/>
        <v>5</v>
      </c>
      <c r="E7476" s="16">
        <f t="shared" ca="1" si="351"/>
        <v>0</v>
      </c>
    </row>
    <row r="7477" spans="1:5" x14ac:dyDescent="0.25">
      <c r="A7477" s="3">
        <f t="shared" si="349"/>
        <v>78989</v>
      </c>
      <c r="B7477" t="str">
        <f ca="1">TEXT(DATE(YEAR(Invoer!$A$5),1,1)+INT((ROWS(B$2:B7477)-1)/24),"""18""jjmmdd")</f>
        <v>18981108</v>
      </c>
      <c r="C7477" s="11" t="str">
        <f>INDEX(Data,2,2+MOD(ROWS(C$2:C7477)-1,24))</f>
        <v>12.00</v>
      </c>
      <c r="D7477" s="8">
        <f t="shared" ca="1" si="350"/>
        <v>7</v>
      </c>
      <c r="E7477" s="16">
        <f t="shared" ca="1" si="351"/>
        <v>0</v>
      </c>
    </row>
    <row r="7478" spans="1:5" x14ac:dyDescent="0.25">
      <c r="A7478" s="3">
        <f t="shared" si="349"/>
        <v>78989</v>
      </c>
      <c r="B7478" t="str">
        <f ca="1">TEXT(DATE(YEAR(Invoer!$A$5),1,1)+INT((ROWS(B$2:B7478)-1)/24),"""18""jjmmdd")</f>
        <v>18981108</v>
      </c>
      <c r="C7478" s="11" t="str">
        <f>INDEX(Data,2,2+MOD(ROWS(C$2:C7478)-1,24))</f>
        <v>13.00</v>
      </c>
      <c r="D7478" s="8">
        <f t="shared" ca="1" si="350"/>
        <v>8</v>
      </c>
      <c r="E7478" s="16">
        <f t="shared" ca="1" si="351"/>
        <v>0</v>
      </c>
    </row>
    <row r="7479" spans="1:5" x14ac:dyDescent="0.25">
      <c r="A7479" s="3">
        <f t="shared" si="349"/>
        <v>78989</v>
      </c>
      <c r="B7479" t="str">
        <f ca="1">TEXT(DATE(YEAR(Invoer!$A$5),1,1)+INT((ROWS(B$2:B7479)-1)/24),"""18""jjmmdd")</f>
        <v>18981108</v>
      </c>
      <c r="C7479" s="11" t="str">
        <f>INDEX(Data,2,2+MOD(ROWS(C$2:C7479)-1,24))</f>
        <v>14.00</v>
      </c>
      <c r="D7479" s="8">
        <f t="shared" ca="1" si="350"/>
        <v>10</v>
      </c>
      <c r="E7479" s="16">
        <f t="shared" ca="1" si="351"/>
        <v>0</v>
      </c>
    </row>
    <row r="7480" spans="1:5" x14ac:dyDescent="0.25">
      <c r="A7480" s="3">
        <f t="shared" si="349"/>
        <v>78989</v>
      </c>
      <c r="B7480" t="str">
        <f ca="1">TEXT(DATE(YEAR(Invoer!$A$5),1,1)+INT((ROWS(B$2:B7480)-1)/24),"""18""jjmmdd")</f>
        <v>18981108</v>
      </c>
      <c r="C7480" s="11" t="str">
        <f>INDEX(Data,2,2+MOD(ROWS(C$2:C7480)-1,24))</f>
        <v>15.00</v>
      </c>
      <c r="D7480" s="8">
        <f t="shared" ca="1" si="350"/>
        <v>10</v>
      </c>
      <c r="E7480" s="16">
        <f t="shared" ca="1" si="351"/>
        <v>0</v>
      </c>
    </row>
    <row r="7481" spans="1:5" x14ac:dyDescent="0.25">
      <c r="A7481" s="3">
        <f t="shared" si="349"/>
        <v>78989</v>
      </c>
      <c r="B7481" t="str">
        <f ca="1">TEXT(DATE(YEAR(Invoer!$A$5),1,1)+INT((ROWS(B$2:B7481)-1)/24),"""18""jjmmdd")</f>
        <v>18981108</v>
      </c>
      <c r="C7481" s="11" t="str">
        <f>INDEX(Data,2,2+MOD(ROWS(C$2:C7481)-1,24))</f>
        <v>16.00</v>
      </c>
      <c r="D7481" s="8">
        <f t="shared" ca="1" si="350"/>
        <v>12</v>
      </c>
      <c r="E7481" s="16">
        <f t="shared" ca="1" si="351"/>
        <v>0</v>
      </c>
    </row>
    <row r="7482" spans="1:5" x14ac:dyDescent="0.25">
      <c r="A7482" s="3">
        <f t="shared" si="349"/>
        <v>78989</v>
      </c>
      <c r="B7482" t="str">
        <f ca="1">TEXT(DATE(YEAR(Invoer!$A$5),1,1)+INT((ROWS(B$2:B7482)-1)/24),"""18""jjmmdd")</f>
        <v>18981108</v>
      </c>
      <c r="C7482" s="11" t="str">
        <f>INDEX(Data,2,2+MOD(ROWS(C$2:C7482)-1,24))</f>
        <v>17.00</v>
      </c>
      <c r="D7482" s="8">
        <f t="shared" ca="1" si="350"/>
        <v>11</v>
      </c>
      <c r="E7482" s="16">
        <f t="shared" ca="1" si="351"/>
        <v>0</v>
      </c>
    </row>
    <row r="7483" spans="1:5" x14ac:dyDescent="0.25">
      <c r="A7483" s="3">
        <f t="shared" si="349"/>
        <v>78989</v>
      </c>
      <c r="B7483" t="str">
        <f ca="1">TEXT(DATE(YEAR(Invoer!$A$5),1,1)+INT((ROWS(B$2:B7483)-1)/24),"""18""jjmmdd")</f>
        <v>18981108</v>
      </c>
      <c r="C7483" s="11" t="str">
        <f>INDEX(Data,2,2+MOD(ROWS(C$2:C7483)-1,24))</f>
        <v>18.00</v>
      </c>
      <c r="D7483" s="8">
        <f t="shared" ca="1" si="350"/>
        <v>10</v>
      </c>
      <c r="E7483" s="16">
        <f t="shared" ca="1" si="351"/>
        <v>0</v>
      </c>
    </row>
    <row r="7484" spans="1:5" x14ac:dyDescent="0.25">
      <c r="A7484" s="3">
        <f t="shared" si="349"/>
        <v>78989</v>
      </c>
      <c r="B7484" t="str">
        <f ca="1">TEXT(DATE(YEAR(Invoer!$A$5),1,1)+INT((ROWS(B$2:B7484)-1)/24),"""18""jjmmdd")</f>
        <v>18981108</v>
      </c>
      <c r="C7484" s="11" t="str">
        <f>INDEX(Data,2,2+MOD(ROWS(C$2:C7484)-1,24))</f>
        <v>19.00</v>
      </c>
      <c r="D7484" s="8">
        <f t="shared" ca="1" si="350"/>
        <v>11</v>
      </c>
      <c r="E7484" s="16">
        <f t="shared" ca="1" si="351"/>
        <v>0</v>
      </c>
    </row>
    <row r="7485" spans="1:5" x14ac:dyDescent="0.25">
      <c r="A7485" s="3">
        <f t="shared" si="349"/>
        <v>78989</v>
      </c>
      <c r="B7485" t="str">
        <f ca="1">TEXT(DATE(YEAR(Invoer!$A$5),1,1)+INT((ROWS(B$2:B7485)-1)/24),"""18""jjmmdd")</f>
        <v>18981108</v>
      </c>
      <c r="C7485" s="11" t="str">
        <f>INDEX(Data,2,2+MOD(ROWS(C$2:C7485)-1,24))</f>
        <v>20.00</v>
      </c>
      <c r="D7485" s="8">
        <f t="shared" ca="1" si="350"/>
        <v>13</v>
      </c>
      <c r="E7485" s="16">
        <f t="shared" ca="1" si="351"/>
        <v>0</v>
      </c>
    </row>
    <row r="7486" spans="1:5" x14ac:dyDescent="0.25">
      <c r="A7486" s="3">
        <f t="shared" si="349"/>
        <v>78989</v>
      </c>
      <c r="B7486" t="str">
        <f ca="1">TEXT(DATE(YEAR(Invoer!$A$5),1,1)+INT((ROWS(B$2:B7486)-1)/24),"""18""jjmmdd")</f>
        <v>18981108</v>
      </c>
      <c r="C7486" s="11" t="str">
        <f>INDEX(Data,2,2+MOD(ROWS(C$2:C7486)-1,24))</f>
        <v>21.00</v>
      </c>
      <c r="D7486" s="8">
        <f t="shared" ca="1" si="350"/>
        <v>11</v>
      </c>
      <c r="E7486" s="16">
        <f t="shared" ca="1" si="351"/>
        <v>0</v>
      </c>
    </row>
    <row r="7487" spans="1:5" x14ac:dyDescent="0.25">
      <c r="A7487" s="3">
        <f t="shared" si="349"/>
        <v>78989</v>
      </c>
      <c r="B7487" t="str">
        <f ca="1">TEXT(DATE(YEAR(Invoer!$A$5),1,1)+INT((ROWS(B$2:B7487)-1)/24),"""18""jjmmdd")</f>
        <v>18981108</v>
      </c>
      <c r="C7487" s="11" t="str">
        <f>INDEX(Data,2,2+MOD(ROWS(C$2:C7487)-1,24))</f>
        <v>22.00</v>
      </c>
      <c r="D7487" s="8">
        <f t="shared" ca="1" si="350"/>
        <v>9</v>
      </c>
      <c r="E7487" s="16">
        <f t="shared" ca="1" si="351"/>
        <v>0</v>
      </c>
    </row>
    <row r="7488" spans="1:5" x14ac:dyDescent="0.25">
      <c r="A7488" s="3">
        <f t="shared" si="349"/>
        <v>78989</v>
      </c>
      <c r="B7488" t="str">
        <f ca="1">TEXT(DATE(YEAR(Invoer!$A$5),1,1)+INT((ROWS(B$2:B7488)-1)/24),"""18""jjmmdd")</f>
        <v>18981108</v>
      </c>
      <c r="C7488" s="11" t="str">
        <f>INDEX(Data,2,2+MOD(ROWS(C$2:C7488)-1,24))</f>
        <v>23.00</v>
      </c>
      <c r="D7488" s="8">
        <f t="shared" ca="1" si="350"/>
        <v>10</v>
      </c>
      <c r="E7488" s="16">
        <f t="shared" ca="1" si="351"/>
        <v>0</v>
      </c>
    </row>
    <row r="7489" spans="1:5" x14ac:dyDescent="0.25">
      <c r="A7489" s="3">
        <f t="shared" si="349"/>
        <v>78989</v>
      </c>
      <c r="B7489" t="str">
        <f ca="1">TEXT(DATE(YEAR(Invoer!$A$5),1,1)+INT((ROWS(B$2:B7489)-1)/24),"""18""jjmmdd")</f>
        <v>18981108</v>
      </c>
      <c r="C7489" s="11" t="str">
        <f>INDEX(Data,2,2+MOD(ROWS(C$2:C7489)-1,24))</f>
        <v>24.00</v>
      </c>
      <c r="D7489" s="8">
        <f t="shared" ca="1" si="350"/>
        <v>10</v>
      </c>
      <c r="E7489" s="16">
        <f t="shared" ca="1" si="351"/>
        <v>0</v>
      </c>
    </row>
    <row r="7490" spans="1:5" x14ac:dyDescent="0.25">
      <c r="A7490" s="3">
        <f t="shared" ref="A7490:A7553" si="352">INDEX(Stations,2,1)</f>
        <v>78989</v>
      </c>
      <c r="B7490" t="str">
        <f ca="1">TEXT(DATE(YEAR(Invoer!$A$5),1,1)+INT((ROWS(B$2:B7490)-1)/24),"""18""jjmmdd")</f>
        <v>18981109</v>
      </c>
      <c r="C7490" s="11" t="str">
        <f>INDEX(Data,2,2+MOD(ROWS(C$2:C7490)-1,24))</f>
        <v>01.00</v>
      </c>
      <c r="D7490" s="8">
        <f t="shared" ref="D7490:D7553" ca="1" si="353">IF(OR(ISBLANK(VLOOKUP(DATEVALUE("37"&amp;MID($B7490,3,2)&amp;"-"&amp;MID($B7490,5,2)&amp;"-"&amp;RIGHT($B7490,2)),Data,MATCH(LEFT(VLOOKUP(D$1,Parameters,2,FALSE()),4)&amp;"*",OFFSET(Data,0,0,1),0)+MATCH($C7490,OFFSET(Data,1,0,1),0)-2,FALSE())),ISTEXT(VLOOKUP(DATEVALUE("37"&amp;MID($B7490,3,2)&amp;"-"&amp;MID($B7490,5,2)&amp;"-"&amp;RIGHT($B7490,2)),Data,MATCH(LEFT(VLOOKUP(D$1,Parameters,2,FALSE()),4)&amp;"*",OFFSET(Data,0,0,1),0)+MATCH($C7490,OFFSET(Data,1,0,1),0)-2,FALSE()))),"—",VLOOKUP(DATEVALUE("37"&amp;MID($B7490,3,2)&amp;"-"&amp;MID($B7490,5,2)&amp;"-"&amp;RIGHT($B7490,2)),Data,MATCH(LEFT(VLOOKUP(D$1,Parameters,2,FALSE()),4)&amp;"*",OFFSET(Data,0,0,1),0)+MATCH($C7490,OFFSET(Data,1,0,1),0)-2,FALSE()))</f>
        <v>8</v>
      </c>
      <c r="E7490" s="16">
        <f t="shared" ca="1" si="351"/>
        <v>0</v>
      </c>
    </row>
    <row r="7491" spans="1:5" x14ac:dyDescent="0.25">
      <c r="A7491" s="3">
        <f t="shared" si="352"/>
        <v>78989</v>
      </c>
      <c r="B7491" t="str">
        <f ca="1">TEXT(DATE(YEAR(Invoer!$A$5),1,1)+INT((ROWS(B$2:B7491)-1)/24),"""18""jjmmdd")</f>
        <v>18981109</v>
      </c>
      <c r="C7491" s="11" t="str">
        <f>INDEX(Data,2,2+MOD(ROWS(C$2:C7491)-1,24))</f>
        <v>02.00</v>
      </c>
      <c r="D7491" s="8">
        <f t="shared" ca="1" si="353"/>
        <v>9</v>
      </c>
      <c r="E7491" s="16">
        <f t="shared" ref="E7491:E7554" ca="1" si="354">IF(OR(ISBLANK(VLOOKUP(DATEVALUE("37"&amp;MID($B7491,3,2)&amp;"-"&amp;MID($B7491,5,2)&amp;"-"&amp;RIGHT($B7491,2)),Data,MATCH(LEFT(VLOOKUP(D$1,Parameters,2,FALSE()),4)&amp;"*",OFFSET(Data,0,0,1),0)+MATCH($C7491,OFFSET(Data,1,0,1),0)-2,FALSE())),ISTEXT(VLOOKUP(DATEVALUE("37"&amp;MID($B7491,3,2)&amp;"-"&amp;MID($B7491,5,2)&amp;"-"&amp;RIGHT($B7491,2)),Data,MATCH(LEFT(VLOOKUP(D$1,Parameters,2,FALSE()),4)&amp;"*",OFFSET(Data,0,0,1),0)+MATCH($C7491,OFFSET(Data,1,0,1),0)-2,FALSE()))),Lacking,IF(ISNA(MATCH(DATEVALUE("37"&amp;MID($B7491,3,2)&amp;"-"&amp;MID($B7491,5,2)&amp;"-"&amp;RIGHT($B7491,2)),OFFSET(Catalogus,0,0,,1),0)),Ok,VLOOKUP(DATEVALUE("37"&amp;MID($B7491,3,2)&amp;"-"&amp;MID($B7491,5,2)&amp;"-"&amp;RIGHT($B7491,2)),Catalogus,MATCH(LEFT(VLOOKUP(MID(E$1,2,LEN(E$1)-1),Parameters,2,FALSE()),4)&amp;"*",OFFSET(Catalogus,0,0,1),0)+MATCH($C7491,OFFSET(Catalogus,1,0,1),0)-2,FALSE())))</f>
        <v>0</v>
      </c>
    </row>
    <row r="7492" spans="1:5" x14ac:dyDescent="0.25">
      <c r="A7492" s="3">
        <f t="shared" si="352"/>
        <v>78989</v>
      </c>
      <c r="B7492" t="str">
        <f ca="1">TEXT(DATE(YEAR(Invoer!$A$5),1,1)+INT((ROWS(B$2:B7492)-1)/24),"""18""jjmmdd")</f>
        <v>18981109</v>
      </c>
      <c r="C7492" s="11" t="str">
        <f>INDEX(Data,2,2+MOD(ROWS(C$2:C7492)-1,24))</f>
        <v>03.00</v>
      </c>
      <c r="D7492" s="8">
        <f t="shared" ca="1" si="353"/>
        <v>8</v>
      </c>
      <c r="E7492" s="16">
        <f t="shared" ca="1" si="354"/>
        <v>0</v>
      </c>
    </row>
    <row r="7493" spans="1:5" x14ac:dyDescent="0.25">
      <c r="A7493" s="3">
        <f t="shared" si="352"/>
        <v>78989</v>
      </c>
      <c r="B7493" t="str">
        <f ca="1">TEXT(DATE(YEAR(Invoer!$A$5),1,1)+INT((ROWS(B$2:B7493)-1)/24),"""18""jjmmdd")</f>
        <v>18981109</v>
      </c>
      <c r="C7493" s="11" t="str">
        <f>INDEX(Data,2,2+MOD(ROWS(C$2:C7493)-1,24))</f>
        <v>04.00</v>
      </c>
      <c r="D7493" s="8">
        <f t="shared" ca="1" si="353"/>
        <v>6</v>
      </c>
      <c r="E7493" s="16">
        <f t="shared" ca="1" si="354"/>
        <v>0</v>
      </c>
    </row>
    <row r="7494" spans="1:5" x14ac:dyDescent="0.25">
      <c r="A7494" s="3">
        <f t="shared" si="352"/>
        <v>78989</v>
      </c>
      <c r="B7494" t="str">
        <f ca="1">TEXT(DATE(YEAR(Invoer!$A$5),1,1)+INT((ROWS(B$2:B7494)-1)/24),"""18""jjmmdd")</f>
        <v>18981109</v>
      </c>
      <c r="C7494" s="11" t="str">
        <f>INDEX(Data,2,2+MOD(ROWS(C$2:C7494)-1,24))</f>
        <v>05.00</v>
      </c>
      <c r="D7494" s="8">
        <f t="shared" ca="1" si="353"/>
        <v>7</v>
      </c>
      <c r="E7494" s="16">
        <f t="shared" ca="1" si="354"/>
        <v>0</v>
      </c>
    </row>
    <row r="7495" spans="1:5" x14ac:dyDescent="0.25">
      <c r="A7495" s="3">
        <f t="shared" si="352"/>
        <v>78989</v>
      </c>
      <c r="B7495" t="str">
        <f ca="1">TEXT(DATE(YEAR(Invoer!$A$5),1,1)+INT((ROWS(B$2:B7495)-1)/24),"""18""jjmmdd")</f>
        <v>18981109</v>
      </c>
      <c r="C7495" s="11" t="str">
        <f>INDEX(Data,2,2+MOD(ROWS(C$2:C7495)-1,24))</f>
        <v>06.00</v>
      </c>
      <c r="D7495" s="8">
        <f t="shared" ca="1" si="353"/>
        <v>9</v>
      </c>
      <c r="E7495" s="16">
        <f t="shared" ca="1" si="354"/>
        <v>0</v>
      </c>
    </row>
    <row r="7496" spans="1:5" x14ac:dyDescent="0.25">
      <c r="A7496" s="3">
        <f t="shared" si="352"/>
        <v>78989</v>
      </c>
      <c r="B7496" t="str">
        <f ca="1">TEXT(DATE(YEAR(Invoer!$A$5),1,1)+INT((ROWS(B$2:B7496)-1)/24),"""18""jjmmdd")</f>
        <v>18981109</v>
      </c>
      <c r="C7496" s="11" t="str">
        <f>INDEX(Data,2,2+MOD(ROWS(C$2:C7496)-1,24))</f>
        <v>07.00</v>
      </c>
      <c r="D7496" s="8">
        <f t="shared" ca="1" si="353"/>
        <v>9</v>
      </c>
      <c r="E7496" s="16">
        <f t="shared" ca="1" si="354"/>
        <v>0</v>
      </c>
    </row>
    <row r="7497" spans="1:5" x14ac:dyDescent="0.25">
      <c r="A7497" s="3">
        <f t="shared" si="352"/>
        <v>78989</v>
      </c>
      <c r="B7497" t="str">
        <f ca="1">TEXT(DATE(YEAR(Invoer!$A$5),1,1)+INT((ROWS(B$2:B7497)-1)/24),"""18""jjmmdd")</f>
        <v>18981109</v>
      </c>
      <c r="C7497" s="11" t="str">
        <f>INDEX(Data,2,2+MOD(ROWS(C$2:C7497)-1,24))</f>
        <v>08.00</v>
      </c>
      <c r="D7497" s="8">
        <f t="shared" ca="1" si="353"/>
        <v>11</v>
      </c>
      <c r="E7497" s="16">
        <f t="shared" ca="1" si="354"/>
        <v>0</v>
      </c>
    </row>
    <row r="7498" spans="1:5" x14ac:dyDescent="0.25">
      <c r="A7498" s="3">
        <f t="shared" si="352"/>
        <v>78989</v>
      </c>
      <c r="B7498" t="str">
        <f ca="1">TEXT(DATE(YEAR(Invoer!$A$5),1,1)+INT((ROWS(B$2:B7498)-1)/24),"""18""jjmmdd")</f>
        <v>18981109</v>
      </c>
      <c r="C7498" s="11" t="str">
        <f>INDEX(Data,2,2+MOD(ROWS(C$2:C7498)-1,24))</f>
        <v>09.00</v>
      </c>
      <c r="D7498" s="8">
        <f t="shared" ca="1" si="353"/>
        <v>11</v>
      </c>
      <c r="E7498" s="16">
        <f t="shared" ca="1" si="354"/>
        <v>0</v>
      </c>
    </row>
    <row r="7499" spans="1:5" x14ac:dyDescent="0.25">
      <c r="A7499" s="3">
        <f t="shared" si="352"/>
        <v>78989</v>
      </c>
      <c r="B7499" t="str">
        <f ca="1">TEXT(DATE(YEAR(Invoer!$A$5),1,1)+INT((ROWS(B$2:B7499)-1)/24),"""18""jjmmdd")</f>
        <v>18981109</v>
      </c>
      <c r="C7499" s="11" t="str">
        <f>INDEX(Data,2,2+MOD(ROWS(C$2:C7499)-1,24))</f>
        <v>10.00</v>
      </c>
      <c r="D7499" s="8">
        <f t="shared" ca="1" si="353"/>
        <v>10</v>
      </c>
      <c r="E7499" s="16">
        <f t="shared" ca="1" si="354"/>
        <v>0</v>
      </c>
    </row>
    <row r="7500" spans="1:5" x14ac:dyDescent="0.25">
      <c r="A7500" s="3">
        <f t="shared" si="352"/>
        <v>78989</v>
      </c>
      <c r="B7500" t="str">
        <f ca="1">TEXT(DATE(YEAR(Invoer!$A$5),1,1)+INT((ROWS(B$2:B7500)-1)/24),"""18""jjmmdd")</f>
        <v>18981109</v>
      </c>
      <c r="C7500" s="11" t="str">
        <f>INDEX(Data,2,2+MOD(ROWS(C$2:C7500)-1,24))</f>
        <v>11.00</v>
      </c>
      <c r="D7500" s="8">
        <f t="shared" ca="1" si="353"/>
        <v>7</v>
      </c>
      <c r="E7500" s="16">
        <f t="shared" ca="1" si="354"/>
        <v>0</v>
      </c>
    </row>
    <row r="7501" spans="1:5" x14ac:dyDescent="0.25">
      <c r="A7501" s="3">
        <f t="shared" si="352"/>
        <v>78989</v>
      </c>
      <c r="B7501" t="str">
        <f ca="1">TEXT(DATE(YEAR(Invoer!$A$5),1,1)+INT((ROWS(B$2:B7501)-1)/24),"""18""jjmmdd")</f>
        <v>18981109</v>
      </c>
      <c r="C7501" s="11" t="str">
        <f>INDEX(Data,2,2+MOD(ROWS(C$2:C7501)-1,24))</f>
        <v>12.00</v>
      </c>
      <c r="D7501" s="8">
        <f t="shared" ca="1" si="353"/>
        <v>11</v>
      </c>
      <c r="E7501" s="16">
        <f t="shared" ca="1" si="354"/>
        <v>0</v>
      </c>
    </row>
    <row r="7502" spans="1:5" x14ac:dyDescent="0.25">
      <c r="A7502" s="3">
        <f t="shared" si="352"/>
        <v>78989</v>
      </c>
      <c r="B7502" t="str">
        <f ca="1">TEXT(DATE(YEAR(Invoer!$A$5),1,1)+INT((ROWS(B$2:B7502)-1)/24),"""18""jjmmdd")</f>
        <v>18981109</v>
      </c>
      <c r="C7502" s="11" t="str">
        <f>INDEX(Data,2,2+MOD(ROWS(C$2:C7502)-1,24))</f>
        <v>13.00</v>
      </c>
      <c r="D7502" s="8">
        <f t="shared" ca="1" si="353"/>
        <v>11</v>
      </c>
      <c r="E7502" s="16">
        <f t="shared" ca="1" si="354"/>
        <v>0</v>
      </c>
    </row>
    <row r="7503" spans="1:5" x14ac:dyDescent="0.25">
      <c r="A7503" s="3">
        <f t="shared" si="352"/>
        <v>78989</v>
      </c>
      <c r="B7503" t="str">
        <f ca="1">TEXT(DATE(YEAR(Invoer!$A$5),1,1)+INT((ROWS(B$2:B7503)-1)/24),"""18""jjmmdd")</f>
        <v>18981109</v>
      </c>
      <c r="C7503" s="11" t="str">
        <f>INDEX(Data,2,2+MOD(ROWS(C$2:C7503)-1,24))</f>
        <v>14.00</v>
      </c>
      <c r="D7503" s="8">
        <f t="shared" ca="1" si="353"/>
        <v>11</v>
      </c>
      <c r="E7503" s="16">
        <f t="shared" ca="1" si="354"/>
        <v>0</v>
      </c>
    </row>
    <row r="7504" spans="1:5" x14ac:dyDescent="0.25">
      <c r="A7504" s="3">
        <f t="shared" si="352"/>
        <v>78989</v>
      </c>
      <c r="B7504" t="str">
        <f ca="1">TEXT(DATE(YEAR(Invoer!$A$5),1,1)+INT((ROWS(B$2:B7504)-1)/24),"""18""jjmmdd")</f>
        <v>18981109</v>
      </c>
      <c r="C7504" s="11" t="str">
        <f>INDEX(Data,2,2+MOD(ROWS(C$2:C7504)-1,24))</f>
        <v>15.00</v>
      </c>
      <c r="D7504" s="8">
        <f t="shared" ca="1" si="353"/>
        <v>9</v>
      </c>
      <c r="E7504" s="16">
        <f t="shared" ca="1" si="354"/>
        <v>0</v>
      </c>
    </row>
    <row r="7505" spans="1:5" x14ac:dyDescent="0.25">
      <c r="A7505" s="3">
        <f t="shared" si="352"/>
        <v>78989</v>
      </c>
      <c r="B7505" t="str">
        <f ca="1">TEXT(DATE(YEAR(Invoer!$A$5),1,1)+INT((ROWS(B$2:B7505)-1)/24),"""18""jjmmdd")</f>
        <v>18981109</v>
      </c>
      <c r="C7505" s="11" t="str">
        <f>INDEX(Data,2,2+MOD(ROWS(C$2:C7505)-1,24))</f>
        <v>16.00</v>
      </c>
      <c r="D7505" s="8">
        <f t="shared" ca="1" si="353"/>
        <v>13</v>
      </c>
      <c r="E7505" s="16">
        <f t="shared" ca="1" si="354"/>
        <v>0</v>
      </c>
    </row>
    <row r="7506" spans="1:5" x14ac:dyDescent="0.25">
      <c r="A7506" s="3">
        <f t="shared" si="352"/>
        <v>78989</v>
      </c>
      <c r="B7506" t="str">
        <f ca="1">TEXT(DATE(YEAR(Invoer!$A$5),1,1)+INT((ROWS(B$2:B7506)-1)/24),"""18""jjmmdd")</f>
        <v>18981109</v>
      </c>
      <c r="C7506" s="11" t="str">
        <f>INDEX(Data,2,2+MOD(ROWS(C$2:C7506)-1,24))</f>
        <v>17.00</v>
      </c>
      <c r="D7506" s="8">
        <f t="shared" ca="1" si="353"/>
        <v>13</v>
      </c>
      <c r="E7506" s="16">
        <f t="shared" ca="1" si="354"/>
        <v>0</v>
      </c>
    </row>
    <row r="7507" spans="1:5" x14ac:dyDescent="0.25">
      <c r="A7507" s="3">
        <f t="shared" si="352"/>
        <v>78989</v>
      </c>
      <c r="B7507" t="str">
        <f ca="1">TEXT(DATE(YEAR(Invoer!$A$5),1,1)+INT((ROWS(B$2:B7507)-1)/24),"""18""jjmmdd")</f>
        <v>18981109</v>
      </c>
      <c r="C7507" s="11" t="str">
        <f>INDEX(Data,2,2+MOD(ROWS(C$2:C7507)-1,24))</f>
        <v>18.00</v>
      </c>
      <c r="D7507" s="8">
        <f t="shared" ca="1" si="353"/>
        <v>11</v>
      </c>
      <c r="E7507" s="16">
        <f t="shared" ca="1" si="354"/>
        <v>0</v>
      </c>
    </row>
    <row r="7508" spans="1:5" x14ac:dyDescent="0.25">
      <c r="A7508" s="3">
        <f t="shared" si="352"/>
        <v>78989</v>
      </c>
      <c r="B7508" t="str">
        <f ca="1">TEXT(DATE(YEAR(Invoer!$A$5),1,1)+INT((ROWS(B$2:B7508)-1)/24),"""18""jjmmdd")</f>
        <v>18981109</v>
      </c>
      <c r="C7508" s="11" t="str">
        <f>INDEX(Data,2,2+MOD(ROWS(C$2:C7508)-1,24))</f>
        <v>19.00</v>
      </c>
      <c r="D7508" s="8">
        <f t="shared" ca="1" si="353"/>
        <v>11</v>
      </c>
      <c r="E7508" s="16">
        <f t="shared" ca="1" si="354"/>
        <v>0</v>
      </c>
    </row>
    <row r="7509" spans="1:5" x14ac:dyDescent="0.25">
      <c r="A7509" s="3">
        <f t="shared" si="352"/>
        <v>78989</v>
      </c>
      <c r="B7509" t="str">
        <f ca="1">TEXT(DATE(YEAR(Invoer!$A$5),1,1)+INT((ROWS(B$2:B7509)-1)/24),"""18""jjmmdd")</f>
        <v>18981109</v>
      </c>
      <c r="C7509" s="11" t="str">
        <f>INDEX(Data,2,2+MOD(ROWS(C$2:C7509)-1,24))</f>
        <v>20.00</v>
      </c>
      <c r="D7509" s="8">
        <f t="shared" ca="1" si="353"/>
        <v>11</v>
      </c>
      <c r="E7509" s="16">
        <f t="shared" ca="1" si="354"/>
        <v>0</v>
      </c>
    </row>
    <row r="7510" spans="1:5" x14ac:dyDescent="0.25">
      <c r="A7510" s="3">
        <f t="shared" si="352"/>
        <v>78989</v>
      </c>
      <c r="B7510" t="str">
        <f ca="1">TEXT(DATE(YEAR(Invoer!$A$5),1,1)+INT((ROWS(B$2:B7510)-1)/24),"""18""jjmmdd")</f>
        <v>18981109</v>
      </c>
      <c r="C7510" s="11" t="str">
        <f>INDEX(Data,2,2+MOD(ROWS(C$2:C7510)-1,24))</f>
        <v>21.00</v>
      </c>
      <c r="D7510" s="8">
        <f t="shared" ca="1" si="353"/>
        <v>13</v>
      </c>
      <c r="E7510" s="16">
        <f t="shared" ca="1" si="354"/>
        <v>0</v>
      </c>
    </row>
    <row r="7511" spans="1:5" x14ac:dyDescent="0.25">
      <c r="A7511" s="3">
        <f t="shared" si="352"/>
        <v>78989</v>
      </c>
      <c r="B7511" t="str">
        <f ca="1">TEXT(DATE(YEAR(Invoer!$A$5),1,1)+INT((ROWS(B$2:B7511)-1)/24),"""18""jjmmdd")</f>
        <v>18981109</v>
      </c>
      <c r="C7511" s="11" t="str">
        <f>INDEX(Data,2,2+MOD(ROWS(C$2:C7511)-1,24))</f>
        <v>22.00</v>
      </c>
      <c r="D7511" s="8">
        <f t="shared" ca="1" si="353"/>
        <v>10</v>
      </c>
      <c r="E7511" s="16">
        <f t="shared" ca="1" si="354"/>
        <v>0</v>
      </c>
    </row>
    <row r="7512" spans="1:5" x14ac:dyDescent="0.25">
      <c r="A7512" s="3">
        <f t="shared" si="352"/>
        <v>78989</v>
      </c>
      <c r="B7512" t="str">
        <f ca="1">TEXT(DATE(YEAR(Invoer!$A$5),1,1)+INT((ROWS(B$2:B7512)-1)/24),"""18""jjmmdd")</f>
        <v>18981109</v>
      </c>
      <c r="C7512" s="11" t="str">
        <f>INDEX(Data,2,2+MOD(ROWS(C$2:C7512)-1,24))</f>
        <v>23.00</v>
      </c>
      <c r="D7512" s="8">
        <f t="shared" ca="1" si="353"/>
        <v>9</v>
      </c>
      <c r="E7512" s="16">
        <f t="shared" ca="1" si="354"/>
        <v>0</v>
      </c>
    </row>
    <row r="7513" spans="1:5" x14ac:dyDescent="0.25">
      <c r="A7513" s="3">
        <f t="shared" si="352"/>
        <v>78989</v>
      </c>
      <c r="B7513" t="str">
        <f ca="1">TEXT(DATE(YEAR(Invoer!$A$5),1,1)+INT((ROWS(B$2:B7513)-1)/24),"""18""jjmmdd")</f>
        <v>18981109</v>
      </c>
      <c r="C7513" s="11" t="str">
        <f>INDEX(Data,2,2+MOD(ROWS(C$2:C7513)-1,24))</f>
        <v>24.00</v>
      </c>
      <c r="D7513" s="8">
        <f t="shared" ca="1" si="353"/>
        <v>10</v>
      </c>
      <c r="E7513" s="16">
        <f t="shared" ca="1" si="354"/>
        <v>0</v>
      </c>
    </row>
    <row r="7514" spans="1:5" x14ac:dyDescent="0.25">
      <c r="A7514" s="3">
        <f t="shared" si="352"/>
        <v>78989</v>
      </c>
      <c r="B7514" t="str">
        <f ca="1">TEXT(DATE(YEAR(Invoer!$A$5),1,1)+INT((ROWS(B$2:B7514)-1)/24),"""18""jjmmdd")</f>
        <v>18981110</v>
      </c>
      <c r="C7514" s="11" t="str">
        <f>INDEX(Data,2,2+MOD(ROWS(C$2:C7514)-1,24))</f>
        <v>01.00</v>
      </c>
      <c r="D7514" s="8">
        <f t="shared" ca="1" si="353"/>
        <v>8</v>
      </c>
      <c r="E7514" s="16">
        <f t="shared" ca="1" si="354"/>
        <v>0</v>
      </c>
    </row>
    <row r="7515" spans="1:5" x14ac:dyDescent="0.25">
      <c r="A7515" s="3">
        <f t="shared" si="352"/>
        <v>78989</v>
      </c>
      <c r="B7515" t="str">
        <f ca="1">TEXT(DATE(YEAR(Invoer!$A$5),1,1)+INT((ROWS(B$2:B7515)-1)/24),"""18""jjmmdd")</f>
        <v>18981110</v>
      </c>
      <c r="C7515" s="11" t="str">
        <f>INDEX(Data,2,2+MOD(ROWS(C$2:C7515)-1,24))</f>
        <v>02.00</v>
      </c>
      <c r="D7515" s="8">
        <f t="shared" ca="1" si="353"/>
        <v>6</v>
      </c>
      <c r="E7515" s="16">
        <f t="shared" ca="1" si="354"/>
        <v>0</v>
      </c>
    </row>
    <row r="7516" spans="1:5" x14ac:dyDescent="0.25">
      <c r="A7516" s="3">
        <f t="shared" si="352"/>
        <v>78989</v>
      </c>
      <c r="B7516" t="str">
        <f ca="1">TEXT(DATE(YEAR(Invoer!$A$5),1,1)+INT((ROWS(B$2:B7516)-1)/24),"""18""jjmmdd")</f>
        <v>18981110</v>
      </c>
      <c r="C7516" s="11" t="str">
        <f>INDEX(Data,2,2+MOD(ROWS(C$2:C7516)-1,24))</f>
        <v>03.00</v>
      </c>
      <c r="D7516" s="8">
        <f t="shared" ca="1" si="353"/>
        <v>7</v>
      </c>
      <c r="E7516" s="16">
        <f t="shared" ca="1" si="354"/>
        <v>0</v>
      </c>
    </row>
    <row r="7517" spans="1:5" x14ac:dyDescent="0.25">
      <c r="A7517" s="3">
        <f t="shared" si="352"/>
        <v>78989</v>
      </c>
      <c r="B7517" t="str">
        <f ca="1">TEXT(DATE(YEAR(Invoer!$A$5),1,1)+INT((ROWS(B$2:B7517)-1)/24),"""18""jjmmdd")</f>
        <v>18981110</v>
      </c>
      <c r="C7517" s="11" t="str">
        <f>INDEX(Data,2,2+MOD(ROWS(C$2:C7517)-1,24))</f>
        <v>04.00</v>
      </c>
      <c r="D7517" s="8">
        <f t="shared" ca="1" si="353"/>
        <v>9</v>
      </c>
      <c r="E7517" s="16">
        <f t="shared" ca="1" si="354"/>
        <v>0</v>
      </c>
    </row>
    <row r="7518" spans="1:5" x14ac:dyDescent="0.25">
      <c r="A7518" s="3">
        <f t="shared" si="352"/>
        <v>78989</v>
      </c>
      <c r="B7518" t="str">
        <f ca="1">TEXT(DATE(YEAR(Invoer!$A$5),1,1)+INT((ROWS(B$2:B7518)-1)/24),"""18""jjmmdd")</f>
        <v>18981110</v>
      </c>
      <c r="C7518" s="11" t="str">
        <f>INDEX(Data,2,2+MOD(ROWS(C$2:C7518)-1,24))</f>
        <v>05.00</v>
      </c>
      <c r="D7518" s="8">
        <f t="shared" ca="1" si="353"/>
        <v>8</v>
      </c>
      <c r="E7518" s="16">
        <f t="shared" ca="1" si="354"/>
        <v>0</v>
      </c>
    </row>
    <row r="7519" spans="1:5" x14ac:dyDescent="0.25">
      <c r="A7519" s="3">
        <f t="shared" si="352"/>
        <v>78989</v>
      </c>
      <c r="B7519" t="str">
        <f ca="1">TEXT(DATE(YEAR(Invoer!$A$5),1,1)+INT((ROWS(B$2:B7519)-1)/24),"""18""jjmmdd")</f>
        <v>18981110</v>
      </c>
      <c r="C7519" s="11" t="str">
        <f>INDEX(Data,2,2+MOD(ROWS(C$2:C7519)-1,24))</f>
        <v>06.00</v>
      </c>
      <c r="D7519" s="8">
        <f t="shared" ca="1" si="353"/>
        <v>7</v>
      </c>
      <c r="E7519" s="16">
        <f t="shared" ca="1" si="354"/>
        <v>0</v>
      </c>
    </row>
    <row r="7520" spans="1:5" x14ac:dyDescent="0.25">
      <c r="A7520" s="3">
        <f t="shared" si="352"/>
        <v>78989</v>
      </c>
      <c r="B7520" t="str">
        <f ca="1">TEXT(DATE(YEAR(Invoer!$A$5),1,1)+INT((ROWS(B$2:B7520)-1)/24),"""18""jjmmdd")</f>
        <v>18981110</v>
      </c>
      <c r="C7520" s="11" t="str">
        <f>INDEX(Data,2,2+MOD(ROWS(C$2:C7520)-1,24))</f>
        <v>07.00</v>
      </c>
      <c r="D7520" s="8">
        <f t="shared" ca="1" si="353"/>
        <v>8</v>
      </c>
      <c r="E7520" s="16">
        <f t="shared" ca="1" si="354"/>
        <v>0</v>
      </c>
    </row>
    <row r="7521" spans="1:5" x14ac:dyDescent="0.25">
      <c r="A7521" s="3">
        <f t="shared" si="352"/>
        <v>78989</v>
      </c>
      <c r="B7521" t="str">
        <f ca="1">TEXT(DATE(YEAR(Invoer!$A$5),1,1)+INT((ROWS(B$2:B7521)-1)/24),"""18""jjmmdd")</f>
        <v>18981110</v>
      </c>
      <c r="C7521" s="11" t="str">
        <f>INDEX(Data,2,2+MOD(ROWS(C$2:C7521)-1,24))</f>
        <v>08.00</v>
      </c>
      <c r="D7521" s="8">
        <f t="shared" ca="1" si="353"/>
        <v>11</v>
      </c>
      <c r="E7521" s="16">
        <f t="shared" ca="1" si="354"/>
        <v>0</v>
      </c>
    </row>
    <row r="7522" spans="1:5" x14ac:dyDescent="0.25">
      <c r="A7522" s="3">
        <f t="shared" si="352"/>
        <v>78989</v>
      </c>
      <c r="B7522" t="str">
        <f ca="1">TEXT(DATE(YEAR(Invoer!$A$5),1,1)+INT((ROWS(B$2:B7522)-1)/24),"""18""jjmmdd")</f>
        <v>18981110</v>
      </c>
      <c r="C7522" s="11" t="str">
        <f>INDEX(Data,2,2+MOD(ROWS(C$2:C7522)-1,24))</f>
        <v>09.00</v>
      </c>
      <c r="D7522" s="8">
        <f t="shared" ca="1" si="353"/>
        <v>9</v>
      </c>
      <c r="E7522" s="16">
        <f t="shared" ca="1" si="354"/>
        <v>0</v>
      </c>
    </row>
    <row r="7523" spans="1:5" x14ac:dyDescent="0.25">
      <c r="A7523" s="3">
        <f t="shared" si="352"/>
        <v>78989</v>
      </c>
      <c r="B7523" t="str">
        <f ca="1">TEXT(DATE(YEAR(Invoer!$A$5),1,1)+INT((ROWS(B$2:B7523)-1)/24),"""18""jjmmdd")</f>
        <v>18981110</v>
      </c>
      <c r="C7523" s="11" t="str">
        <f>INDEX(Data,2,2+MOD(ROWS(C$2:C7523)-1,24))</f>
        <v>10.00</v>
      </c>
      <c r="D7523" s="8">
        <f t="shared" ca="1" si="353"/>
        <v>8</v>
      </c>
      <c r="E7523" s="16">
        <f t="shared" ca="1" si="354"/>
        <v>0</v>
      </c>
    </row>
    <row r="7524" spans="1:5" x14ac:dyDescent="0.25">
      <c r="A7524" s="3">
        <f t="shared" si="352"/>
        <v>78989</v>
      </c>
      <c r="B7524" t="str">
        <f ca="1">TEXT(DATE(YEAR(Invoer!$A$5),1,1)+INT((ROWS(B$2:B7524)-1)/24),"""18""jjmmdd")</f>
        <v>18981110</v>
      </c>
      <c r="C7524" s="11" t="str">
        <f>INDEX(Data,2,2+MOD(ROWS(C$2:C7524)-1,24))</f>
        <v>11.00</v>
      </c>
      <c r="D7524" s="8">
        <f t="shared" ca="1" si="353"/>
        <v>9</v>
      </c>
      <c r="E7524" s="16">
        <f t="shared" ca="1" si="354"/>
        <v>0</v>
      </c>
    </row>
    <row r="7525" spans="1:5" x14ac:dyDescent="0.25">
      <c r="A7525" s="3">
        <f t="shared" si="352"/>
        <v>78989</v>
      </c>
      <c r="B7525" t="str">
        <f ca="1">TEXT(DATE(YEAR(Invoer!$A$5),1,1)+INT((ROWS(B$2:B7525)-1)/24),"""18""jjmmdd")</f>
        <v>18981110</v>
      </c>
      <c r="C7525" s="11" t="str">
        <f>INDEX(Data,2,2+MOD(ROWS(C$2:C7525)-1,24))</f>
        <v>12.00</v>
      </c>
      <c r="D7525" s="8">
        <f t="shared" ca="1" si="353"/>
        <v>8</v>
      </c>
      <c r="E7525" s="16">
        <f t="shared" ca="1" si="354"/>
        <v>0</v>
      </c>
    </row>
    <row r="7526" spans="1:5" x14ac:dyDescent="0.25">
      <c r="A7526" s="3">
        <f t="shared" si="352"/>
        <v>78989</v>
      </c>
      <c r="B7526" t="str">
        <f ca="1">TEXT(DATE(YEAR(Invoer!$A$5),1,1)+INT((ROWS(B$2:B7526)-1)/24),"""18""jjmmdd")</f>
        <v>18981110</v>
      </c>
      <c r="C7526" s="11" t="str">
        <f>INDEX(Data,2,2+MOD(ROWS(C$2:C7526)-1,24))</f>
        <v>13.00</v>
      </c>
      <c r="D7526" s="8">
        <f t="shared" ca="1" si="353"/>
        <v>10</v>
      </c>
      <c r="E7526" s="16">
        <f t="shared" ca="1" si="354"/>
        <v>0</v>
      </c>
    </row>
    <row r="7527" spans="1:5" x14ac:dyDescent="0.25">
      <c r="A7527" s="3">
        <f t="shared" si="352"/>
        <v>78989</v>
      </c>
      <c r="B7527" t="str">
        <f ca="1">TEXT(DATE(YEAR(Invoer!$A$5),1,1)+INT((ROWS(B$2:B7527)-1)/24),"""18""jjmmdd")</f>
        <v>18981110</v>
      </c>
      <c r="C7527" s="11" t="str">
        <f>INDEX(Data,2,2+MOD(ROWS(C$2:C7527)-1,24))</f>
        <v>14.00</v>
      </c>
      <c r="D7527" s="8">
        <f t="shared" ca="1" si="353"/>
        <v>11</v>
      </c>
      <c r="E7527" s="16">
        <f t="shared" ca="1" si="354"/>
        <v>0</v>
      </c>
    </row>
    <row r="7528" spans="1:5" x14ac:dyDescent="0.25">
      <c r="A7528" s="3">
        <f t="shared" si="352"/>
        <v>78989</v>
      </c>
      <c r="B7528" t="str">
        <f ca="1">TEXT(DATE(YEAR(Invoer!$A$5),1,1)+INT((ROWS(B$2:B7528)-1)/24),"""18""jjmmdd")</f>
        <v>18981110</v>
      </c>
      <c r="C7528" s="11" t="str">
        <f>INDEX(Data,2,2+MOD(ROWS(C$2:C7528)-1,24))</f>
        <v>15.00</v>
      </c>
      <c r="D7528" s="8">
        <f t="shared" ca="1" si="353"/>
        <v>8</v>
      </c>
      <c r="E7528" s="16">
        <f t="shared" ca="1" si="354"/>
        <v>0</v>
      </c>
    </row>
    <row r="7529" spans="1:5" x14ac:dyDescent="0.25">
      <c r="A7529" s="3">
        <f t="shared" si="352"/>
        <v>78989</v>
      </c>
      <c r="B7529" t="str">
        <f ca="1">TEXT(DATE(YEAR(Invoer!$A$5),1,1)+INT((ROWS(B$2:B7529)-1)/24),"""18""jjmmdd")</f>
        <v>18981110</v>
      </c>
      <c r="C7529" s="11" t="str">
        <f>INDEX(Data,2,2+MOD(ROWS(C$2:C7529)-1,24))</f>
        <v>16.00</v>
      </c>
      <c r="D7529" s="8">
        <f t="shared" ca="1" si="353"/>
        <v>10</v>
      </c>
      <c r="E7529" s="16">
        <f t="shared" ca="1" si="354"/>
        <v>0</v>
      </c>
    </row>
    <row r="7530" spans="1:5" x14ac:dyDescent="0.25">
      <c r="A7530" s="3">
        <f t="shared" si="352"/>
        <v>78989</v>
      </c>
      <c r="B7530" t="str">
        <f ca="1">TEXT(DATE(YEAR(Invoer!$A$5),1,1)+INT((ROWS(B$2:B7530)-1)/24),"""18""jjmmdd")</f>
        <v>18981110</v>
      </c>
      <c r="C7530" s="11" t="str">
        <f>INDEX(Data,2,2+MOD(ROWS(C$2:C7530)-1,24))</f>
        <v>17.00</v>
      </c>
      <c r="D7530" s="8">
        <f t="shared" ca="1" si="353"/>
        <v>10</v>
      </c>
      <c r="E7530" s="16">
        <f t="shared" ca="1" si="354"/>
        <v>0</v>
      </c>
    </row>
    <row r="7531" spans="1:5" x14ac:dyDescent="0.25">
      <c r="A7531" s="3">
        <f t="shared" si="352"/>
        <v>78989</v>
      </c>
      <c r="B7531" t="str">
        <f ca="1">TEXT(DATE(YEAR(Invoer!$A$5),1,1)+INT((ROWS(B$2:B7531)-1)/24),"""18""jjmmdd")</f>
        <v>18981110</v>
      </c>
      <c r="C7531" s="11" t="str">
        <f>INDEX(Data,2,2+MOD(ROWS(C$2:C7531)-1,24))</f>
        <v>18.00</v>
      </c>
      <c r="D7531" s="8">
        <f t="shared" ca="1" si="353"/>
        <v>12</v>
      </c>
      <c r="E7531" s="16">
        <f t="shared" ca="1" si="354"/>
        <v>0</v>
      </c>
    </row>
    <row r="7532" spans="1:5" x14ac:dyDescent="0.25">
      <c r="A7532" s="3">
        <f t="shared" si="352"/>
        <v>78989</v>
      </c>
      <c r="B7532" t="str">
        <f ca="1">TEXT(DATE(YEAR(Invoer!$A$5),1,1)+INT((ROWS(B$2:B7532)-1)/24),"""18""jjmmdd")</f>
        <v>18981110</v>
      </c>
      <c r="C7532" s="11" t="str">
        <f>INDEX(Data,2,2+MOD(ROWS(C$2:C7532)-1,24))</f>
        <v>19.00</v>
      </c>
      <c r="D7532" s="8">
        <f t="shared" ca="1" si="353"/>
        <v>10</v>
      </c>
      <c r="E7532" s="16">
        <f t="shared" ca="1" si="354"/>
        <v>0</v>
      </c>
    </row>
    <row r="7533" spans="1:5" x14ac:dyDescent="0.25">
      <c r="A7533" s="3">
        <f t="shared" si="352"/>
        <v>78989</v>
      </c>
      <c r="B7533" t="str">
        <f ca="1">TEXT(DATE(YEAR(Invoer!$A$5),1,1)+INT((ROWS(B$2:B7533)-1)/24),"""18""jjmmdd")</f>
        <v>18981110</v>
      </c>
      <c r="C7533" s="11" t="str">
        <f>INDEX(Data,2,2+MOD(ROWS(C$2:C7533)-1,24))</f>
        <v>20.00</v>
      </c>
      <c r="D7533" s="8">
        <f t="shared" ca="1" si="353"/>
        <v>10</v>
      </c>
      <c r="E7533" s="16">
        <f t="shared" ca="1" si="354"/>
        <v>0</v>
      </c>
    </row>
    <row r="7534" spans="1:5" x14ac:dyDescent="0.25">
      <c r="A7534" s="3">
        <f t="shared" si="352"/>
        <v>78989</v>
      </c>
      <c r="B7534" t="str">
        <f ca="1">TEXT(DATE(YEAR(Invoer!$A$5),1,1)+INT((ROWS(B$2:B7534)-1)/24),"""18""jjmmdd")</f>
        <v>18981110</v>
      </c>
      <c r="C7534" s="11" t="str">
        <f>INDEX(Data,2,2+MOD(ROWS(C$2:C7534)-1,24))</f>
        <v>21.00</v>
      </c>
      <c r="D7534" s="8">
        <f t="shared" ca="1" si="353"/>
        <v>8</v>
      </c>
      <c r="E7534" s="16">
        <f t="shared" ca="1" si="354"/>
        <v>0</v>
      </c>
    </row>
    <row r="7535" spans="1:5" x14ac:dyDescent="0.25">
      <c r="A7535" s="3">
        <f t="shared" si="352"/>
        <v>78989</v>
      </c>
      <c r="B7535" t="str">
        <f ca="1">TEXT(DATE(YEAR(Invoer!$A$5),1,1)+INT((ROWS(B$2:B7535)-1)/24),"""18""jjmmdd")</f>
        <v>18981110</v>
      </c>
      <c r="C7535" s="11" t="str">
        <f>INDEX(Data,2,2+MOD(ROWS(C$2:C7535)-1,24))</f>
        <v>22.00</v>
      </c>
      <c r="D7535" s="8">
        <f t="shared" ca="1" si="353"/>
        <v>10</v>
      </c>
      <c r="E7535" s="16">
        <f t="shared" ca="1" si="354"/>
        <v>0</v>
      </c>
    </row>
    <row r="7536" spans="1:5" x14ac:dyDescent="0.25">
      <c r="A7536" s="3">
        <f t="shared" si="352"/>
        <v>78989</v>
      </c>
      <c r="B7536" t="str">
        <f ca="1">TEXT(DATE(YEAR(Invoer!$A$5),1,1)+INT((ROWS(B$2:B7536)-1)/24),"""18""jjmmdd")</f>
        <v>18981110</v>
      </c>
      <c r="C7536" s="11" t="str">
        <f>INDEX(Data,2,2+MOD(ROWS(C$2:C7536)-1,24))</f>
        <v>23.00</v>
      </c>
      <c r="D7536" s="8">
        <f t="shared" ca="1" si="353"/>
        <v>8</v>
      </c>
      <c r="E7536" s="16">
        <f t="shared" ca="1" si="354"/>
        <v>0</v>
      </c>
    </row>
    <row r="7537" spans="1:5" x14ac:dyDescent="0.25">
      <c r="A7537" s="3">
        <f t="shared" si="352"/>
        <v>78989</v>
      </c>
      <c r="B7537" t="str">
        <f ca="1">TEXT(DATE(YEAR(Invoer!$A$5),1,1)+INT((ROWS(B$2:B7537)-1)/24),"""18""jjmmdd")</f>
        <v>18981110</v>
      </c>
      <c r="C7537" s="11" t="str">
        <f>INDEX(Data,2,2+MOD(ROWS(C$2:C7537)-1,24))</f>
        <v>24.00</v>
      </c>
      <c r="D7537" s="8">
        <f t="shared" ca="1" si="353"/>
        <v>9</v>
      </c>
      <c r="E7537" s="16">
        <f t="shared" ca="1" si="354"/>
        <v>0</v>
      </c>
    </row>
    <row r="7538" spans="1:5" x14ac:dyDescent="0.25">
      <c r="A7538" s="3">
        <f t="shared" si="352"/>
        <v>78989</v>
      </c>
      <c r="B7538" t="str">
        <f ca="1">TEXT(DATE(YEAR(Invoer!$A$5),1,1)+INT((ROWS(B$2:B7538)-1)/24),"""18""jjmmdd")</f>
        <v>18981111</v>
      </c>
      <c r="C7538" s="11" t="str">
        <f>INDEX(Data,2,2+MOD(ROWS(C$2:C7538)-1,24))</f>
        <v>01.00</v>
      </c>
      <c r="D7538" s="8">
        <f t="shared" ca="1" si="353"/>
        <v>7</v>
      </c>
      <c r="E7538" s="16">
        <f t="shared" ca="1" si="354"/>
        <v>0</v>
      </c>
    </row>
    <row r="7539" spans="1:5" x14ac:dyDescent="0.25">
      <c r="A7539" s="3">
        <f t="shared" si="352"/>
        <v>78989</v>
      </c>
      <c r="B7539" t="str">
        <f ca="1">TEXT(DATE(YEAR(Invoer!$A$5),1,1)+INT((ROWS(B$2:B7539)-1)/24),"""18""jjmmdd")</f>
        <v>18981111</v>
      </c>
      <c r="C7539" s="11" t="str">
        <f>INDEX(Data,2,2+MOD(ROWS(C$2:C7539)-1,24))</f>
        <v>02.00</v>
      </c>
      <c r="D7539" s="8">
        <f t="shared" ca="1" si="353"/>
        <v>7</v>
      </c>
      <c r="E7539" s="16">
        <f t="shared" ca="1" si="354"/>
        <v>0</v>
      </c>
    </row>
    <row r="7540" spans="1:5" x14ac:dyDescent="0.25">
      <c r="A7540" s="3">
        <f t="shared" si="352"/>
        <v>78989</v>
      </c>
      <c r="B7540" t="str">
        <f ca="1">TEXT(DATE(YEAR(Invoer!$A$5),1,1)+INT((ROWS(B$2:B7540)-1)/24),"""18""jjmmdd")</f>
        <v>18981111</v>
      </c>
      <c r="C7540" s="11" t="str">
        <f>INDEX(Data,2,2+MOD(ROWS(C$2:C7540)-1,24))</f>
        <v>03.00</v>
      </c>
      <c r="D7540" s="8">
        <f t="shared" ca="1" si="353"/>
        <v>5</v>
      </c>
      <c r="E7540" s="16">
        <f t="shared" ca="1" si="354"/>
        <v>0</v>
      </c>
    </row>
    <row r="7541" spans="1:5" x14ac:dyDescent="0.25">
      <c r="A7541" s="3">
        <f t="shared" si="352"/>
        <v>78989</v>
      </c>
      <c r="B7541" t="str">
        <f ca="1">TEXT(DATE(YEAR(Invoer!$A$5),1,1)+INT((ROWS(B$2:B7541)-1)/24),"""18""jjmmdd")</f>
        <v>18981111</v>
      </c>
      <c r="C7541" s="11" t="str">
        <f>INDEX(Data,2,2+MOD(ROWS(C$2:C7541)-1,24))</f>
        <v>04.00</v>
      </c>
      <c r="D7541" s="8">
        <f t="shared" ca="1" si="353"/>
        <v>5</v>
      </c>
      <c r="E7541" s="16">
        <f t="shared" ca="1" si="354"/>
        <v>0</v>
      </c>
    </row>
    <row r="7542" spans="1:5" x14ac:dyDescent="0.25">
      <c r="A7542" s="3">
        <f t="shared" si="352"/>
        <v>78989</v>
      </c>
      <c r="B7542" t="str">
        <f ca="1">TEXT(DATE(YEAR(Invoer!$A$5),1,1)+INT((ROWS(B$2:B7542)-1)/24),"""18""jjmmdd")</f>
        <v>18981111</v>
      </c>
      <c r="C7542" s="11" t="str">
        <f>INDEX(Data,2,2+MOD(ROWS(C$2:C7542)-1,24))</f>
        <v>05.00</v>
      </c>
      <c r="D7542" s="8">
        <f t="shared" ca="1" si="353"/>
        <v>7</v>
      </c>
      <c r="E7542" s="16">
        <f t="shared" ca="1" si="354"/>
        <v>0</v>
      </c>
    </row>
    <row r="7543" spans="1:5" x14ac:dyDescent="0.25">
      <c r="A7543" s="3">
        <f t="shared" si="352"/>
        <v>78989</v>
      </c>
      <c r="B7543" t="str">
        <f ca="1">TEXT(DATE(YEAR(Invoer!$A$5),1,1)+INT((ROWS(B$2:B7543)-1)/24),"""18""jjmmdd")</f>
        <v>18981111</v>
      </c>
      <c r="C7543" s="11" t="str">
        <f>INDEX(Data,2,2+MOD(ROWS(C$2:C7543)-1,24))</f>
        <v>06.00</v>
      </c>
      <c r="D7543" s="8">
        <f t="shared" ca="1" si="353"/>
        <v>6</v>
      </c>
      <c r="E7543" s="16">
        <f t="shared" ca="1" si="354"/>
        <v>0</v>
      </c>
    </row>
    <row r="7544" spans="1:5" x14ac:dyDescent="0.25">
      <c r="A7544" s="3">
        <f t="shared" si="352"/>
        <v>78989</v>
      </c>
      <c r="B7544" t="str">
        <f ca="1">TEXT(DATE(YEAR(Invoer!$A$5),1,1)+INT((ROWS(B$2:B7544)-1)/24),"""18""jjmmdd")</f>
        <v>18981111</v>
      </c>
      <c r="C7544" s="11" t="str">
        <f>INDEX(Data,2,2+MOD(ROWS(C$2:C7544)-1,24))</f>
        <v>07.00</v>
      </c>
      <c r="D7544" s="8">
        <f t="shared" ca="1" si="353"/>
        <v>5</v>
      </c>
      <c r="E7544" s="16">
        <f t="shared" ca="1" si="354"/>
        <v>0</v>
      </c>
    </row>
    <row r="7545" spans="1:5" x14ac:dyDescent="0.25">
      <c r="A7545" s="3">
        <f t="shared" si="352"/>
        <v>78989</v>
      </c>
      <c r="B7545" t="str">
        <f ca="1">TEXT(DATE(YEAR(Invoer!$A$5),1,1)+INT((ROWS(B$2:B7545)-1)/24),"""18""jjmmdd")</f>
        <v>18981111</v>
      </c>
      <c r="C7545" s="11" t="str">
        <f>INDEX(Data,2,2+MOD(ROWS(C$2:C7545)-1,24))</f>
        <v>08.00</v>
      </c>
      <c r="D7545" s="8">
        <f t="shared" ca="1" si="353"/>
        <v>7</v>
      </c>
      <c r="E7545" s="16">
        <f t="shared" ca="1" si="354"/>
        <v>0</v>
      </c>
    </row>
    <row r="7546" spans="1:5" x14ac:dyDescent="0.25">
      <c r="A7546" s="3">
        <f t="shared" si="352"/>
        <v>78989</v>
      </c>
      <c r="B7546" t="str">
        <f ca="1">TEXT(DATE(YEAR(Invoer!$A$5),1,1)+INT((ROWS(B$2:B7546)-1)/24),"""18""jjmmdd")</f>
        <v>18981111</v>
      </c>
      <c r="C7546" s="11" t="str">
        <f>INDEX(Data,2,2+MOD(ROWS(C$2:C7546)-1,24))</f>
        <v>09.00</v>
      </c>
      <c r="D7546" s="8">
        <f t="shared" ca="1" si="353"/>
        <v>9</v>
      </c>
      <c r="E7546" s="16">
        <f t="shared" ca="1" si="354"/>
        <v>0</v>
      </c>
    </row>
    <row r="7547" spans="1:5" x14ac:dyDescent="0.25">
      <c r="A7547" s="3">
        <f t="shared" si="352"/>
        <v>78989</v>
      </c>
      <c r="B7547" t="str">
        <f ca="1">TEXT(DATE(YEAR(Invoer!$A$5),1,1)+INT((ROWS(B$2:B7547)-1)/24),"""18""jjmmdd")</f>
        <v>18981111</v>
      </c>
      <c r="C7547" s="11" t="str">
        <f>INDEX(Data,2,2+MOD(ROWS(C$2:C7547)-1,24))</f>
        <v>10.00</v>
      </c>
      <c r="D7547" s="8">
        <f t="shared" ca="1" si="353"/>
        <v>8</v>
      </c>
      <c r="E7547" s="16">
        <f t="shared" ca="1" si="354"/>
        <v>0</v>
      </c>
    </row>
    <row r="7548" spans="1:5" x14ac:dyDescent="0.25">
      <c r="A7548" s="3">
        <f t="shared" si="352"/>
        <v>78989</v>
      </c>
      <c r="B7548" t="str">
        <f ca="1">TEXT(DATE(YEAR(Invoer!$A$5),1,1)+INT((ROWS(B$2:B7548)-1)/24),"""18""jjmmdd")</f>
        <v>18981111</v>
      </c>
      <c r="C7548" s="11" t="str">
        <f>INDEX(Data,2,2+MOD(ROWS(C$2:C7548)-1,24))</f>
        <v>11.00</v>
      </c>
      <c r="D7548" s="8">
        <f t="shared" ca="1" si="353"/>
        <v>10</v>
      </c>
      <c r="E7548" s="16">
        <f t="shared" ca="1" si="354"/>
        <v>0</v>
      </c>
    </row>
    <row r="7549" spans="1:5" x14ac:dyDescent="0.25">
      <c r="A7549" s="3">
        <f t="shared" si="352"/>
        <v>78989</v>
      </c>
      <c r="B7549" t="str">
        <f ca="1">TEXT(DATE(YEAR(Invoer!$A$5),1,1)+INT((ROWS(B$2:B7549)-1)/24),"""18""jjmmdd")</f>
        <v>18981111</v>
      </c>
      <c r="C7549" s="11" t="str">
        <f>INDEX(Data,2,2+MOD(ROWS(C$2:C7549)-1,24))</f>
        <v>12.00</v>
      </c>
      <c r="D7549" s="8">
        <f t="shared" ca="1" si="353"/>
        <v>11</v>
      </c>
      <c r="E7549" s="16">
        <f t="shared" ca="1" si="354"/>
        <v>0</v>
      </c>
    </row>
    <row r="7550" spans="1:5" x14ac:dyDescent="0.25">
      <c r="A7550" s="3">
        <f t="shared" si="352"/>
        <v>78989</v>
      </c>
      <c r="B7550" t="str">
        <f ca="1">TEXT(DATE(YEAR(Invoer!$A$5),1,1)+INT((ROWS(B$2:B7550)-1)/24),"""18""jjmmdd")</f>
        <v>18981111</v>
      </c>
      <c r="C7550" s="11" t="str">
        <f>INDEX(Data,2,2+MOD(ROWS(C$2:C7550)-1,24))</f>
        <v>13.00</v>
      </c>
      <c r="D7550" s="8">
        <f t="shared" ca="1" si="353"/>
        <v>11</v>
      </c>
      <c r="E7550" s="16">
        <f t="shared" ca="1" si="354"/>
        <v>0</v>
      </c>
    </row>
    <row r="7551" spans="1:5" x14ac:dyDescent="0.25">
      <c r="A7551" s="3">
        <f t="shared" si="352"/>
        <v>78989</v>
      </c>
      <c r="B7551" t="str">
        <f ca="1">TEXT(DATE(YEAR(Invoer!$A$5),1,1)+INT((ROWS(B$2:B7551)-1)/24),"""18""jjmmdd")</f>
        <v>18981111</v>
      </c>
      <c r="C7551" s="11" t="str">
        <f>INDEX(Data,2,2+MOD(ROWS(C$2:C7551)-1,24))</f>
        <v>14.00</v>
      </c>
      <c r="D7551" s="8">
        <f t="shared" ca="1" si="353"/>
        <v>11</v>
      </c>
      <c r="E7551" s="16">
        <f t="shared" ca="1" si="354"/>
        <v>0</v>
      </c>
    </row>
    <row r="7552" spans="1:5" x14ac:dyDescent="0.25">
      <c r="A7552" s="3">
        <f t="shared" si="352"/>
        <v>78989</v>
      </c>
      <c r="B7552" t="str">
        <f ca="1">TEXT(DATE(YEAR(Invoer!$A$5),1,1)+INT((ROWS(B$2:B7552)-1)/24),"""18""jjmmdd")</f>
        <v>18981111</v>
      </c>
      <c r="C7552" s="11" t="str">
        <f>INDEX(Data,2,2+MOD(ROWS(C$2:C7552)-1,24))</f>
        <v>15.00</v>
      </c>
      <c r="D7552" s="8">
        <f t="shared" ca="1" si="353"/>
        <v>13</v>
      </c>
      <c r="E7552" s="16">
        <f t="shared" ca="1" si="354"/>
        <v>0</v>
      </c>
    </row>
    <row r="7553" spans="1:5" x14ac:dyDescent="0.25">
      <c r="A7553" s="3">
        <f t="shared" si="352"/>
        <v>78989</v>
      </c>
      <c r="B7553" t="str">
        <f ca="1">TEXT(DATE(YEAR(Invoer!$A$5),1,1)+INT((ROWS(B$2:B7553)-1)/24),"""18""jjmmdd")</f>
        <v>18981111</v>
      </c>
      <c r="C7553" s="11" t="str">
        <f>INDEX(Data,2,2+MOD(ROWS(C$2:C7553)-1,24))</f>
        <v>16.00</v>
      </c>
      <c r="D7553" s="8">
        <f t="shared" ca="1" si="353"/>
        <v>13</v>
      </c>
      <c r="E7553" s="16">
        <f t="shared" ca="1" si="354"/>
        <v>0</v>
      </c>
    </row>
    <row r="7554" spans="1:5" x14ac:dyDescent="0.25">
      <c r="A7554" s="3">
        <f t="shared" ref="A7554:A7617" si="355">INDEX(Stations,2,1)</f>
        <v>78989</v>
      </c>
      <c r="B7554" t="str">
        <f ca="1">TEXT(DATE(YEAR(Invoer!$A$5),1,1)+INT((ROWS(B$2:B7554)-1)/24),"""18""jjmmdd")</f>
        <v>18981111</v>
      </c>
      <c r="C7554" s="11" t="str">
        <f>INDEX(Data,2,2+MOD(ROWS(C$2:C7554)-1,24))</f>
        <v>17.00</v>
      </c>
      <c r="D7554" s="8">
        <f t="shared" ref="D7554:D7617" ca="1" si="356">IF(OR(ISBLANK(VLOOKUP(DATEVALUE("37"&amp;MID($B7554,3,2)&amp;"-"&amp;MID($B7554,5,2)&amp;"-"&amp;RIGHT($B7554,2)),Data,MATCH(LEFT(VLOOKUP(D$1,Parameters,2,FALSE()),4)&amp;"*",OFFSET(Data,0,0,1),0)+MATCH($C7554,OFFSET(Data,1,0,1),0)-2,FALSE())),ISTEXT(VLOOKUP(DATEVALUE("37"&amp;MID($B7554,3,2)&amp;"-"&amp;MID($B7554,5,2)&amp;"-"&amp;RIGHT($B7554,2)),Data,MATCH(LEFT(VLOOKUP(D$1,Parameters,2,FALSE()),4)&amp;"*",OFFSET(Data,0,0,1),0)+MATCH($C7554,OFFSET(Data,1,0,1),0)-2,FALSE()))),"—",VLOOKUP(DATEVALUE("37"&amp;MID($B7554,3,2)&amp;"-"&amp;MID($B7554,5,2)&amp;"-"&amp;RIGHT($B7554,2)),Data,MATCH(LEFT(VLOOKUP(D$1,Parameters,2,FALSE()),4)&amp;"*",OFFSET(Data,0,0,1),0)+MATCH($C7554,OFFSET(Data,1,0,1),0)-2,FALSE()))</f>
        <v>13</v>
      </c>
      <c r="E7554" s="16">
        <f t="shared" ca="1" si="354"/>
        <v>0</v>
      </c>
    </row>
    <row r="7555" spans="1:5" x14ac:dyDescent="0.25">
      <c r="A7555" s="3">
        <f t="shared" si="355"/>
        <v>78989</v>
      </c>
      <c r="B7555" t="str">
        <f ca="1">TEXT(DATE(YEAR(Invoer!$A$5),1,1)+INT((ROWS(B$2:B7555)-1)/24),"""18""jjmmdd")</f>
        <v>18981111</v>
      </c>
      <c r="C7555" s="11" t="str">
        <f>INDEX(Data,2,2+MOD(ROWS(C$2:C7555)-1,24))</f>
        <v>18.00</v>
      </c>
      <c r="D7555" s="8">
        <f t="shared" ca="1" si="356"/>
        <v>14</v>
      </c>
      <c r="E7555" s="16">
        <f t="shared" ref="E7555:E7618" ca="1" si="357">IF(OR(ISBLANK(VLOOKUP(DATEVALUE("37"&amp;MID($B7555,3,2)&amp;"-"&amp;MID($B7555,5,2)&amp;"-"&amp;RIGHT($B7555,2)),Data,MATCH(LEFT(VLOOKUP(D$1,Parameters,2,FALSE()),4)&amp;"*",OFFSET(Data,0,0,1),0)+MATCH($C7555,OFFSET(Data,1,0,1),0)-2,FALSE())),ISTEXT(VLOOKUP(DATEVALUE("37"&amp;MID($B7555,3,2)&amp;"-"&amp;MID($B7555,5,2)&amp;"-"&amp;RIGHT($B7555,2)),Data,MATCH(LEFT(VLOOKUP(D$1,Parameters,2,FALSE()),4)&amp;"*",OFFSET(Data,0,0,1),0)+MATCH($C7555,OFFSET(Data,1,0,1),0)-2,FALSE()))),Lacking,IF(ISNA(MATCH(DATEVALUE("37"&amp;MID($B7555,3,2)&amp;"-"&amp;MID($B7555,5,2)&amp;"-"&amp;RIGHT($B7555,2)),OFFSET(Catalogus,0,0,,1),0)),Ok,VLOOKUP(DATEVALUE("37"&amp;MID($B7555,3,2)&amp;"-"&amp;MID($B7555,5,2)&amp;"-"&amp;RIGHT($B7555,2)),Catalogus,MATCH(LEFT(VLOOKUP(MID(E$1,2,LEN(E$1)-1),Parameters,2,FALSE()),4)&amp;"*",OFFSET(Catalogus,0,0,1),0)+MATCH($C7555,OFFSET(Catalogus,1,0,1),0)-2,FALSE())))</f>
        <v>0</v>
      </c>
    </row>
    <row r="7556" spans="1:5" x14ac:dyDescent="0.25">
      <c r="A7556" s="3">
        <f t="shared" si="355"/>
        <v>78989</v>
      </c>
      <c r="B7556" t="str">
        <f ca="1">TEXT(DATE(YEAR(Invoer!$A$5),1,1)+INT((ROWS(B$2:B7556)-1)/24),"""18""jjmmdd")</f>
        <v>18981111</v>
      </c>
      <c r="C7556" s="11" t="str">
        <f>INDEX(Data,2,2+MOD(ROWS(C$2:C7556)-1,24))</f>
        <v>19.00</v>
      </c>
      <c r="D7556" s="8">
        <f t="shared" ca="1" si="356"/>
        <v>11</v>
      </c>
      <c r="E7556" s="16">
        <f t="shared" ca="1" si="357"/>
        <v>0</v>
      </c>
    </row>
    <row r="7557" spans="1:5" x14ac:dyDescent="0.25">
      <c r="A7557" s="3">
        <f t="shared" si="355"/>
        <v>78989</v>
      </c>
      <c r="B7557" t="str">
        <f ca="1">TEXT(DATE(YEAR(Invoer!$A$5),1,1)+INT((ROWS(B$2:B7557)-1)/24),"""18""jjmmdd")</f>
        <v>18981111</v>
      </c>
      <c r="C7557" s="11" t="str">
        <f>INDEX(Data,2,2+MOD(ROWS(C$2:C7557)-1,24))</f>
        <v>20.00</v>
      </c>
      <c r="D7557" s="8">
        <f t="shared" ca="1" si="356"/>
        <v>12</v>
      </c>
      <c r="E7557" s="16">
        <f t="shared" ca="1" si="357"/>
        <v>0</v>
      </c>
    </row>
    <row r="7558" spans="1:5" x14ac:dyDescent="0.25">
      <c r="A7558" s="3">
        <f t="shared" si="355"/>
        <v>78989</v>
      </c>
      <c r="B7558" t="str">
        <f ca="1">TEXT(DATE(YEAR(Invoer!$A$5),1,1)+INT((ROWS(B$2:B7558)-1)/24),"""18""jjmmdd")</f>
        <v>18981111</v>
      </c>
      <c r="C7558" s="11" t="str">
        <f>INDEX(Data,2,2+MOD(ROWS(C$2:C7558)-1,24))</f>
        <v>21.00</v>
      </c>
      <c r="D7558" s="8">
        <f t="shared" ca="1" si="356"/>
        <v>13</v>
      </c>
      <c r="E7558" s="16">
        <f t="shared" ca="1" si="357"/>
        <v>0</v>
      </c>
    </row>
    <row r="7559" spans="1:5" x14ac:dyDescent="0.25">
      <c r="A7559" s="3">
        <f t="shared" si="355"/>
        <v>78989</v>
      </c>
      <c r="B7559" t="str">
        <f ca="1">TEXT(DATE(YEAR(Invoer!$A$5),1,1)+INT((ROWS(B$2:B7559)-1)/24),"""18""jjmmdd")</f>
        <v>18981111</v>
      </c>
      <c r="C7559" s="11" t="str">
        <f>INDEX(Data,2,2+MOD(ROWS(C$2:C7559)-1,24))</f>
        <v>22.00</v>
      </c>
      <c r="D7559" s="8">
        <f t="shared" ca="1" si="356"/>
        <v>11</v>
      </c>
      <c r="E7559" s="16">
        <f t="shared" ca="1" si="357"/>
        <v>0</v>
      </c>
    </row>
    <row r="7560" spans="1:5" x14ac:dyDescent="0.25">
      <c r="A7560" s="3">
        <f t="shared" si="355"/>
        <v>78989</v>
      </c>
      <c r="B7560" t="str">
        <f ca="1">TEXT(DATE(YEAR(Invoer!$A$5),1,1)+INT((ROWS(B$2:B7560)-1)/24),"""18""jjmmdd")</f>
        <v>18981111</v>
      </c>
      <c r="C7560" s="11" t="str">
        <f>INDEX(Data,2,2+MOD(ROWS(C$2:C7560)-1,24))</f>
        <v>23.00</v>
      </c>
      <c r="D7560" s="8">
        <f t="shared" ca="1" si="356"/>
        <v>9</v>
      </c>
      <c r="E7560" s="16">
        <f t="shared" ca="1" si="357"/>
        <v>0</v>
      </c>
    </row>
    <row r="7561" spans="1:5" x14ac:dyDescent="0.25">
      <c r="A7561" s="3">
        <f t="shared" si="355"/>
        <v>78989</v>
      </c>
      <c r="B7561" t="str">
        <f ca="1">TEXT(DATE(YEAR(Invoer!$A$5),1,1)+INT((ROWS(B$2:B7561)-1)/24),"""18""jjmmdd")</f>
        <v>18981111</v>
      </c>
      <c r="C7561" s="11" t="str">
        <f>INDEX(Data,2,2+MOD(ROWS(C$2:C7561)-1,24))</f>
        <v>24.00</v>
      </c>
      <c r="D7561" s="8">
        <f t="shared" ca="1" si="356"/>
        <v>7</v>
      </c>
      <c r="E7561" s="16">
        <f t="shared" ca="1" si="357"/>
        <v>0</v>
      </c>
    </row>
    <row r="7562" spans="1:5" x14ac:dyDescent="0.25">
      <c r="A7562" s="3">
        <f t="shared" si="355"/>
        <v>78989</v>
      </c>
      <c r="B7562" t="str">
        <f ca="1">TEXT(DATE(YEAR(Invoer!$A$5),1,1)+INT((ROWS(B$2:B7562)-1)/24),"""18""jjmmdd")</f>
        <v>18981112</v>
      </c>
      <c r="C7562" s="11" t="str">
        <f>INDEX(Data,2,2+MOD(ROWS(C$2:C7562)-1,24))</f>
        <v>01.00</v>
      </c>
      <c r="D7562" s="8">
        <f t="shared" ca="1" si="356"/>
        <v>8</v>
      </c>
      <c r="E7562" s="16">
        <f t="shared" ca="1" si="357"/>
        <v>0</v>
      </c>
    </row>
    <row r="7563" spans="1:5" x14ac:dyDescent="0.25">
      <c r="A7563" s="3">
        <f t="shared" si="355"/>
        <v>78989</v>
      </c>
      <c r="B7563" t="str">
        <f ca="1">TEXT(DATE(YEAR(Invoer!$A$5),1,1)+INT((ROWS(B$2:B7563)-1)/24),"""18""jjmmdd")</f>
        <v>18981112</v>
      </c>
      <c r="C7563" s="11" t="str">
        <f>INDEX(Data,2,2+MOD(ROWS(C$2:C7563)-1,24))</f>
        <v>02.00</v>
      </c>
      <c r="D7563" s="8">
        <f t="shared" ca="1" si="356"/>
        <v>6</v>
      </c>
      <c r="E7563" s="16">
        <f t="shared" ca="1" si="357"/>
        <v>0</v>
      </c>
    </row>
    <row r="7564" spans="1:5" x14ac:dyDescent="0.25">
      <c r="A7564" s="3">
        <f t="shared" si="355"/>
        <v>78989</v>
      </c>
      <c r="B7564" t="str">
        <f ca="1">TEXT(DATE(YEAR(Invoer!$A$5),1,1)+INT((ROWS(B$2:B7564)-1)/24),"""18""jjmmdd")</f>
        <v>18981112</v>
      </c>
      <c r="C7564" s="11" t="str">
        <f>INDEX(Data,2,2+MOD(ROWS(C$2:C7564)-1,24))</f>
        <v>03.00</v>
      </c>
      <c r="D7564" s="8">
        <f t="shared" ca="1" si="356"/>
        <v>5</v>
      </c>
      <c r="E7564" s="16">
        <f t="shared" ca="1" si="357"/>
        <v>0</v>
      </c>
    </row>
    <row r="7565" spans="1:5" x14ac:dyDescent="0.25">
      <c r="A7565" s="3">
        <f t="shared" si="355"/>
        <v>78989</v>
      </c>
      <c r="B7565" t="str">
        <f ca="1">TEXT(DATE(YEAR(Invoer!$A$5),1,1)+INT((ROWS(B$2:B7565)-1)/24),"""18""jjmmdd")</f>
        <v>18981112</v>
      </c>
      <c r="C7565" s="11" t="str">
        <f>INDEX(Data,2,2+MOD(ROWS(C$2:C7565)-1,24))</f>
        <v>04.00</v>
      </c>
      <c r="D7565" s="8">
        <f t="shared" ca="1" si="356"/>
        <v>4</v>
      </c>
      <c r="E7565" s="16">
        <f t="shared" ca="1" si="357"/>
        <v>0</v>
      </c>
    </row>
    <row r="7566" spans="1:5" x14ac:dyDescent="0.25">
      <c r="A7566" s="3">
        <f t="shared" si="355"/>
        <v>78989</v>
      </c>
      <c r="B7566" t="str">
        <f ca="1">TEXT(DATE(YEAR(Invoer!$A$5),1,1)+INT((ROWS(B$2:B7566)-1)/24),"""18""jjmmdd")</f>
        <v>18981112</v>
      </c>
      <c r="C7566" s="11" t="str">
        <f>INDEX(Data,2,2+MOD(ROWS(C$2:C7566)-1,24))</f>
        <v>05.00</v>
      </c>
      <c r="D7566" s="8">
        <f t="shared" ca="1" si="356"/>
        <v>6</v>
      </c>
      <c r="E7566" s="16">
        <f t="shared" ca="1" si="357"/>
        <v>0</v>
      </c>
    </row>
    <row r="7567" spans="1:5" x14ac:dyDescent="0.25">
      <c r="A7567" s="3">
        <f t="shared" si="355"/>
        <v>78989</v>
      </c>
      <c r="B7567" t="str">
        <f ca="1">TEXT(DATE(YEAR(Invoer!$A$5),1,1)+INT((ROWS(B$2:B7567)-1)/24),"""18""jjmmdd")</f>
        <v>18981112</v>
      </c>
      <c r="C7567" s="11" t="str">
        <f>INDEX(Data,2,2+MOD(ROWS(C$2:C7567)-1,24))</f>
        <v>06.00</v>
      </c>
      <c r="D7567" s="8">
        <f t="shared" ca="1" si="356"/>
        <v>6</v>
      </c>
      <c r="E7567" s="16">
        <f t="shared" ca="1" si="357"/>
        <v>0</v>
      </c>
    </row>
    <row r="7568" spans="1:5" x14ac:dyDescent="0.25">
      <c r="A7568" s="3">
        <f t="shared" si="355"/>
        <v>78989</v>
      </c>
      <c r="B7568" t="str">
        <f ca="1">TEXT(DATE(YEAR(Invoer!$A$5),1,1)+INT((ROWS(B$2:B7568)-1)/24),"""18""jjmmdd")</f>
        <v>18981112</v>
      </c>
      <c r="C7568" s="11" t="str">
        <f>INDEX(Data,2,2+MOD(ROWS(C$2:C7568)-1,24))</f>
        <v>07.00</v>
      </c>
      <c r="D7568" s="8">
        <f t="shared" ca="1" si="356"/>
        <v>8</v>
      </c>
      <c r="E7568" s="16">
        <f t="shared" ca="1" si="357"/>
        <v>0</v>
      </c>
    </row>
    <row r="7569" spans="1:5" x14ac:dyDescent="0.25">
      <c r="A7569" s="3">
        <f t="shared" si="355"/>
        <v>78989</v>
      </c>
      <c r="B7569" t="str">
        <f ca="1">TEXT(DATE(YEAR(Invoer!$A$5),1,1)+INT((ROWS(B$2:B7569)-1)/24),"""18""jjmmdd")</f>
        <v>18981112</v>
      </c>
      <c r="C7569" s="11" t="str">
        <f>INDEX(Data,2,2+MOD(ROWS(C$2:C7569)-1,24))</f>
        <v>08.00</v>
      </c>
      <c r="D7569" s="8">
        <f t="shared" ca="1" si="356"/>
        <v>11</v>
      </c>
      <c r="E7569" s="16">
        <f t="shared" ca="1" si="357"/>
        <v>0</v>
      </c>
    </row>
    <row r="7570" spans="1:5" x14ac:dyDescent="0.25">
      <c r="A7570" s="3">
        <f t="shared" si="355"/>
        <v>78989</v>
      </c>
      <c r="B7570" t="str">
        <f ca="1">TEXT(DATE(YEAR(Invoer!$A$5),1,1)+INT((ROWS(B$2:B7570)-1)/24),"""18""jjmmdd")</f>
        <v>18981112</v>
      </c>
      <c r="C7570" s="11" t="str">
        <f>INDEX(Data,2,2+MOD(ROWS(C$2:C7570)-1,24))</f>
        <v>09.00</v>
      </c>
      <c r="D7570" s="8">
        <f t="shared" ca="1" si="356"/>
        <v>11</v>
      </c>
      <c r="E7570" s="16">
        <f t="shared" ca="1" si="357"/>
        <v>0</v>
      </c>
    </row>
    <row r="7571" spans="1:5" x14ac:dyDescent="0.25">
      <c r="A7571" s="3">
        <f t="shared" si="355"/>
        <v>78989</v>
      </c>
      <c r="B7571" t="str">
        <f ca="1">TEXT(DATE(YEAR(Invoer!$A$5),1,1)+INT((ROWS(B$2:B7571)-1)/24),"""18""jjmmdd")</f>
        <v>18981112</v>
      </c>
      <c r="C7571" s="11" t="str">
        <f>INDEX(Data,2,2+MOD(ROWS(C$2:C7571)-1,24))</f>
        <v>10.00</v>
      </c>
      <c r="D7571" s="8">
        <f t="shared" ca="1" si="356"/>
        <v>11</v>
      </c>
      <c r="E7571" s="16">
        <f t="shared" ca="1" si="357"/>
        <v>0</v>
      </c>
    </row>
    <row r="7572" spans="1:5" x14ac:dyDescent="0.25">
      <c r="A7572" s="3">
        <f t="shared" si="355"/>
        <v>78989</v>
      </c>
      <c r="B7572" t="str">
        <f ca="1">TEXT(DATE(YEAR(Invoer!$A$5),1,1)+INT((ROWS(B$2:B7572)-1)/24),"""18""jjmmdd")</f>
        <v>18981112</v>
      </c>
      <c r="C7572" s="11" t="str">
        <f>INDEX(Data,2,2+MOD(ROWS(C$2:C7572)-1,24))</f>
        <v>11.00</v>
      </c>
      <c r="D7572" s="8">
        <f t="shared" ca="1" si="356"/>
        <v>8</v>
      </c>
      <c r="E7572" s="16">
        <f t="shared" ca="1" si="357"/>
        <v>0</v>
      </c>
    </row>
    <row r="7573" spans="1:5" x14ac:dyDescent="0.25">
      <c r="A7573" s="3">
        <f t="shared" si="355"/>
        <v>78989</v>
      </c>
      <c r="B7573" t="str">
        <f ca="1">TEXT(DATE(YEAR(Invoer!$A$5),1,1)+INT((ROWS(B$2:B7573)-1)/24),"""18""jjmmdd")</f>
        <v>18981112</v>
      </c>
      <c r="C7573" s="11" t="str">
        <f>INDEX(Data,2,2+MOD(ROWS(C$2:C7573)-1,24))</f>
        <v>12.00</v>
      </c>
      <c r="D7573" s="8">
        <f t="shared" ca="1" si="356"/>
        <v>12</v>
      </c>
      <c r="E7573" s="16">
        <f t="shared" ca="1" si="357"/>
        <v>0</v>
      </c>
    </row>
    <row r="7574" spans="1:5" x14ac:dyDescent="0.25">
      <c r="A7574" s="3">
        <f t="shared" si="355"/>
        <v>78989</v>
      </c>
      <c r="B7574" t="str">
        <f ca="1">TEXT(DATE(YEAR(Invoer!$A$5),1,1)+INT((ROWS(B$2:B7574)-1)/24),"""18""jjmmdd")</f>
        <v>18981112</v>
      </c>
      <c r="C7574" s="11" t="str">
        <f>INDEX(Data,2,2+MOD(ROWS(C$2:C7574)-1,24))</f>
        <v>13.00</v>
      </c>
      <c r="D7574" s="8">
        <f t="shared" ca="1" si="356"/>
        <v>13</v>
      </c>
      <c r="E7574" s="16">
        <f t="shared" ca="1" si="357"/>
        <v>0</v>
      </c>
    </row>
    <row r="7575" spans="1:5" x14ac:dyDescent="0.25">
      <c r="A7575" s="3">
        <f t="shared" si="355"/>
        <v>78989</v>
      </c>
      <c r="B7575" t="str">
        <f ca="1">TEXT(DATE(YEAR(Invoer!$A$5),1,1)+INT((ROWS(B$2:B7575)-1)/24),"""18""jjmmdd")</f>
        <v>18981112</v>
      </c>
      <c r="C7575" s="11" t="str">
        <f>INDEX(Data,2,2+MOD(ROWS(C$2:C7575)-1,24))</f>
        <v>14.00</v>
      </c>
      <c r="D7575" s="8">
        <f t="shared" ca="1" si="356"/>
        <v>13</v>
      </c>
      <c r="E7575" s="16">
        <f t="shared" ca="1" si="357"/>
        <v>0</v>
      </c>
    </row>
    <row r="7576" spans="1:5" x14ac:dyDescent="0.25">
      <c r="A7576" s="3">
        <f t="shared" si="355"/>
        <v>78989</v>
      </c>
      <c r="B7576" t="str">
        <f ca="1">TEXT(DATE(YEAR(Invoer!$A$5),1,1)+INT((ROWS(B$2:B7576)-1)/24),"""18""jjmmdd")</f>
        <v>18981112</v>
      </c>
      <c r="C7576" s="11" t="str">
        <f>INDEX(Data,2,2+MOD(ROWS(C$2:C7576)-1,24))</f>
        <v>15.00</v>
      </c>
      <c r="D7576" s="8">
        <f t="shared" ca="1" si="356"/>
        <v>11</v>
      </c>
      <c r="E7576" s="16">
        <f t="shared" ca="1" si="357"/>
        <v>0</v>
      </c>
    </row>
    <row r="7577" spans="1:5" x14ac:dyDescent="0.25">
      <c r="A7577" s="3">
        <f t="shared" si="355"/>
        <v>78989</v>
      </c>
      <c r="B7577" t="str">
        <f ca="1">TEXT(DATE(YEAR(Invoer!$A$5),1,1)+INT((ROWS(B$2:B7577)-1)/24),"""18""jjmmdd")</f>
        <v>18981112</v>
      </c>
      <c r="C7577" s="11" t="str">
        <f>INDEX(Data,2,2+MOD(ROWS(C$2:C7577)-1,24))</f>
        <v>16.00</v>
      </c>
      <c r="D7577" s="8">
        <f t="shared" ca="1" si="356"/>
        <v>10</v>
      </c>
      <c r="E7577" s="16">
        <f t="shared" ca="1" si="357"/>
        <v>0</v>
      </c>
    </row>
    <row r="7578" spans="1:5" x14ac:dyDescent="0.25">
      <c r="A7578" s="3">
        <f t="shared" si="355"/>
        <v>78989</v>
      </c>
      <c r="B7578" t="str">
        <f ca="1">TEXT(DATE(YEAR(Invoer!$A$5),1,1)+INT((ROWS(B$2:B7578)-1)/24),"""18""jjmmdd")</f>
        <v>18981112</v>
      </c>
      <c r="C7578" s="11" t="str">
        <f>INDEX(Data,2,2+MOD(ROWS(C$2:C7578)-1,24))</f>
        <v>17.00</v>
      </c>
      <c r="D7578" s="8">
        <f t="shared" ca="1" si="356"/>
        <v>9</v>
      </c>
      <c r="E7578" s="16">
        <f t="shared" ca="1" si="357"/>
        <v>0</v>
      </c>
    </row>
    <row r="7579" spans="1:5" x14ac:dyDescent="0.25">
      <c r="A7579" s="3">
        <f t="shared" si="355"/>
        <v>78989</v>
      </c>
      <c r="B7579" t="str">
        <f ca="1">TEXT(DATE(YEAR(Invoer!$A$5),1,1)+INT((ROWS(B$2:B7579)-1)/24),"""18""jjmmdd")</f>
        <v>18981112</v>
      </c>
      <c r="C7579" s="11" t="str">
        <f>INDEX(Data,2,2+MOD(ROWS(C$2:C7579)-1,24))</f>
        <v>18.00</v>
      </c>
      <c r="D7579" s="8">
        <f t="shared" ca="1" si="356"/>
        <v>9</v>
      </c>
      <c r="E7579" s="16">
        <f t="shared" ca="1" si="357"/>
        <v>0</v>
      </c>
    </row>
    <row r="7580" spans="1:5" x14ac:dyDescent="0.25">
      <c r="A7580" s="3">
        <f t="shared" si="355"/>
        <v>78989</v>
      </c>
      <c r="B7580" t="str">
        <f ca="1">TEXT(DATE(YEAR(Invoer!$A$5),1,1)+INT((ROWS(B$2:B7580)-1)/24),"""18""jjmmdd")</f>
        <v>18981112</v>
      </c>
      <c r="C7580" s="11" t="str">
        <f>INDEX(Data,2,2+MOD(ROWS(C$2:C7580)-1,24))</f>
        <v>19.00</v>
      </c>
      <c r="D7580" s="8">
        <f t="shared" ca="1" si="356"/>
        <v>11</v>
      </c>
      <c r="E7580" s="16">
        <f t="shared" ca="1" si="357"/>
        <v>0</v>
      </c>
    </row>
    <row r="7581" spans="1:5" x14ac:dyDescent="0.25">
      <c r="A7581" s="3">
        <f t="shared" si="355"/>
        <v>78989</v>
      </c>
      <c r="B7581" t="str">
        <f ca="1">TEXT(DATE(YEAR(Invoer!$A$5),1,1)+INT((ROWS(B$2:B7581)-1)/24),"""18""jjmmdd")</f>
        <v>18981112</v>
      </c>
      <c r="C7581" s="11" t="str">
        <f>INDEX(Data,2,2+MOD(ROWS(C$2:C7581)-1,24))</f>
        <v>20.00</v>
      </c>
      <c r="D7581" s="8">
        <f t="shared" ca="1" si="356"/>
        <v>12</v>
      </c>
      <c r="E7581" s="16">
        <f t="shared" ca="1" si="357"/>
        <v>0</v>
      </c>
    </row>
    <row r="7582" spans="1:5" x14ac:dyDescent="0.25">
      <c r="A7582" s="3">
        <f t="shared" si="355"/>
        <v>78989</v>
      </c>
      <c r="B7582" t="str">
        <f ca="1">TEXT(DATE(YEAR(Invoer!$A$5),1,1)+INT((ROWS(B$2:B7582)-1)/24),"""18""jjmmdd")</f>
        <v>18981112</v>
      </c>
      <c r="C7582" s="11" t="str">
        <f>INDEX(Data,2,2+MOD(ROWS(C$2:C7582)-1,24))</f>
        <v>21.00</v>
      </c>
      <c r="D7582" s="8">
        <f t="shared" ca="1" si="356"/>
        <v>10</v>
      </c>
      <c r="E7582" s="16">
        <f t="shared" ca="1" si="357"/>
        <v>0</v>
      </c>
    </row>
    <row r="7583" spans="1:5" x14ac:dyDescent="0.25">
      <c r="A7583" s="3">
        <f t="shared" si="355"/>
        <v>78989</v>
      </c>
      <c r="B7583" t="str">
        <f ca="1">TEXT(DATE(YEAR(Invoer!$A$5),1,1)+INT((ROWS(B$2:B7583)-1)/24),"""18""jjmmdd")</f>
        <v>18981112</v>
      </c>
      <c r="C7583" s="11" t="str">
        <f>INDEX(Data,2,2+MOD(ROWS(C$2:C7583)-1,24))</f>
        <v>22.00</v>
      </c>
      <c r="D7583" s="8">
        <f t="shared" ca="1" si="356"/>
        <v>12</v>
      </c>
      <c r="E7583" s="16">
        <f t="shared" ca="1" si="357"/>
        <v>0</v>
      </c>
    </row>
    <row r="7584" spans="1:5" x14ac:dyDescent="0.25">
      <c r="A7584" s="3">
        <f t="shared" si="355"/>
        <v>78989</v>
      </c>
      <c r="B7584" t="str">
        <f ca="1">TEXT(DATE(YEAR(Invoer!$A$5),1,1)+INT((ROWS(B$2:B7584)-1)/24),"""18""jjmmdd")</f>
        <v>18981112</v>
      </c>
      <c r="C7584" s="11" t="str">
        <f>INDEX(Data,2,2+MOD(ROWS(C$2:C7584)-1,24))</f>
        <v>23.00</v>
      </c>
      <c r="D7584" s="8">
        <f t="shared" ca="1" si="356"/>
        <v>11</v>
      </c>
      <c r="E7584" s="16">
        <f t="shared" ca="1" si="357"/>
        <v>0</v>
      </c>
    </row>
    <row r="7585" spans="1:5" x14ac:dyDescent="0.25">
      <c r="A7585" s="3">
        <f t="shared" si="355"/>
        <v>78989</v>
      </c>
      <c r="B7585" t="str">
        <f ca="1">TEXT(DATE(YEAR(Invoer!$A$5),1,1)+INT((ROWS(B$2:B7585)-1)/24),"""18""jjmmdd")</f>
        <v>18981112</v>
      </c>
      <c r="C7585" s="11" t="str">
        <f>INDEX(Data,2,2+MOD(ROWS(C$2:C7585)-1,24))</f>
        <v>24.00</v>
      </c>
      <c r="D7585" s="8">
        <f t="shared" ca="1" si="356"/>
        <v>12</v>
      </c>
      <c r="E7585" s="16">
        <f t="shared" ca="1" si="357"/>
        <v>0</v>
      </c>
    </row>
    <row r="7586" spans="1:5" x14ac:dyDescent="0.25">
      <c r="A7586" s="3">
        <f t="shared" si="355"/>
        <v>78989</v>
      </c>
      <c r="B7586" t="str">
        <f ca="1">TEXT(DATE(YEAR(Invoer!$A$5),1,1)+INT((ROWS(B$2:B7586)-1)/24),"""18""jjmmdd")</f>
        <v>18981113</v>
      </c>
      <c r="C7586" s="11" t="str">
        <f>INDEX(Data,2,2+MOD(ROWS(C$2:C7586)-1,24))</f>
        <v>01.00</v>
      </c>
      <c r="D7586" s="8">
        <f t="shared" ca="1" si="356"/>
        <v>12</v>
      </c>
      <c r="E7586" s="16">
        <f t="shared" ca="1" si="357"/>
        <v>0</v>
      </c>
    </row>
    <row r="7587" spans="1:5" x14ac:dyDescent="0.25">
      <c r="A7587" s="3">
        <f t="shared" si="355"/>
        <v>78989</v>
      </c>
      <c r="B7587" t="str">
        <f ca="1">TEXT(DATE(YEAR(Invoer!$A$5),1,1)+INT((ROWS(B$2:B7587)-1)/24),"""18""jjmmdd")</f>
        <v>18981113</v>
      </c>
      <c r="C7587" s="11" t="str">
        <f>INDEX(Data,2,2+MOD(ROWS(C$2:C7587)-1,24))</f>
        <v>02.00</v>
      </c>
      <c r="D7587" s="8">
        <f t="shared" ca="1" si="356"/>
        <v>10</v>
      </c>
      <c r="E7587" s="16">
        <f t="shared" ca="1" si="357"/>
        <v>0</v>
      </c>
    </row>
    <row r="7588" spans="1:5" x14ac:dyDescent="0.25">
      <c r="A7588" s="3">
        <f t="shared" si="355"/>
        <v>78989</v>
      </c>
      <c r="B7588" t="str">
        <f ca="1">TEXT(DATE(YEAR(Invoer!$A$5),1,1)+INT((ROWS(B$2:B7588)-1)/24),"""18""jjmmdd")</f>
        <v>18981113</v>
      </c>
      <c r="C7588" s="11" t="str">
        <f>INDEX(Data,2,2+MOD(ROWS(C$2:C7588)-1,24))</f>
        <v>03.00</v>
      </c>
      <c r="D7588" s="8">
        <f t="shared" ca="1" si="356"/>
        <v>10</v>
      </c>
      <c r="E7588" s="16">
        <f t="shared" ca="1" si="357"/>
        <v>0</v>
      </c>
    </row>
    <row r="7589" spans="1:5" x14ac:dyDescent="0.25">
      <c r="A7589" s="3">
        <f t="shared" si="355"/>
        <v>78989</v>
      </c>
      <c r="B7589" t="str">
        <f ca="1">TEXT(DATE(YEAR(Invoer!$A$5),1,1)+INT((ROWS(B$2:B7589)-1)/24),"""18""jjmmdd")</f>
        <v>18981113</v>
      </c>
      <c r="C7589" s="11" t="str">
        <f>INDEX(Data,2,2+MOD(ROWS(C$2:C7589)-1,24))</f>
        <v>04.00</v>
      </c>
      <c r="D7589" s="8">
        <f t="shared" ca="1" si="356"/>
        <v>10</v>
      </c>
      <c r="E7589" s="16">
        <f t="shared" ca="1" si="357"/>
        <v>0</v>
      </c>
    </row>
    <row r="7590" spans="1:5" x14ac:dyDescent="0.25">
      <c r="A7590" s="3">
        <f t="shared" si="355"/>
        <v>78989</v>
      </c>
      <c r="B7590" t="str">
        <f ca="1">TEXT(DATE(YEAR(Invoer!$A$5),1,1)+INT((ROWS(B$2:B7590)-1)/24),"""18""jjmmdd")</f>
        <v>18981113</v>
      </c>
      <c r="C7590" s="11" t="str">
        <f>INDEX(Data,2,2+MOD(ROWS(C$2:C7590)-1,24))</f>
        <v>05.00</v>
      </c>
      <c r="D7590" s="8">
        <f t="shared" ca="1" si="356"/>
        <v>10</v>
      </c>
      <c r="E7590" s="16">
        <f t="shared" ca="1" si="357"/>
        <v>0</v>
      </c>
    </row>
    <row r="7591" spans="1:5" x14ac:dyDescent="0.25">
      <c r="A7591" s="3">
        <f t="shared" si="355"/>
        <v>78989</v>
      </c>
      <c r="B7591" t="str">
        <f ca="1">TEXT(DATE(YEAR(Invoer!$A$5),1,1)+INT((ROWS(B$2:B7591)-1)/24),"""18""jjmmdd")</f>
        <v>18981113</v>
      </c>
      <c r="C7591" s="11" t="str">
        <f>INDEX(Data,2,2+MOD(ROWS(C$2:C7591)-1,24))</f>
        <v>06.00</v>
      </c>
      <c r="D7591" s="8">
        <f t="shared" ca="1" si="356"/>
        <v>10</v>
      </c>
      <c r="E7591" s="16">
        <f t="shared" ca="1" si="357"/>
        <v>0</v>
      </c>
    </row>
    <row r="7592" spans="1:5" x14ac:dyDescent="0.25">
      <c r="A7592" s="3">
        <f t="shared" si="355"/>
        <v>78989</v>
      </c>
      <c r="B7592" t="str">
        <f ca="1">TEXT(DATE(YEAR(Invoer!$A$5),1,1)+INT((ROWS(B$2:B7592)-1)/24),"""18""jjmmdd")</f>
        <v>18981113</v>
      </c>
      <c r="C7592" s="11" t="str">
        <f>INDEX(Data,2,2+MOD(ROWS(C$2:C7592)-1,24))</f>
        <v>07.00</v>
      </c>
      <c r="D7592" s="8">
        <f t="shared" ca="1" si="356"/>
        <v>9</v>
      </c>
      <c r="E7592" s="16">
        <f t="shared" ca="1" si="357"/>
        <v>0</v>
      </c>
    </row>
    <row r="7593" spans="1:5" x14ac:dyDescent="0.25">
      <c r="A7593" s="3">
        <f t="shared" si="355"/>
        <v>78989</v>
      </c>
      <c r="B7593" t="str">
        <f ca="1">TEXT(DATE(YEAR(Invoer!$A$5),1,1)+INT((ROWS(B$2:B7593)-1)/24),"""18""jjmmdd")</f>
        <v>18981113</v>
      </c>
      <c r="C7593" s="11" t="str">
        <f>INDEX(Data,2,2+MOD(ROWS(C$2:C7593)-1,24))</f>
        <v>08.00</v>
      </c>
      <c r="D7593" s="8">
        <f t="shared" ca="1" si="356"/>
        <v>13</v>
      </c>
      <c r="E7593" s="16">
        <f t="shared" ca="1" si="357"/>
        <v>0</v>
      </c>
    </row>
    <row r="7594" spans="1:5" x14ac:dyDescent="0.25">
      <c r="A7594" s="3">
        <f t="shared" si="355"/>
        <v>78989</v>
      </c>
      <c r="B7594" t="str">
        <f ca="1">TEXT(DATE(YEAR(Invoer!$A$5),1,1)+INT((ROWS(B$2:B7594)-1)/24),"""18""jjmmdd")</f>
        <v>18981113</v>
      </c>
      <c r="C7594" s="11" t="str">
        <f>INDEX(Data,2,2+MOD(ROWS(C$2:C7594)-1,24))</f>
        <v>09.00</v>
      </c>
      <c r="D7594" s="8">
        <f t="shared" ca="1" si="356"/>
        <v>13</v>
      </c>
      <c r="E7594" s="16">
        <f t="shared" ca="1" si="357"/>
        <v>0</v>
      </c>
    </row>
    <row r="7595" spans="1:5" x14ac:dyDescent="0.25">
      <c r="A7595" s="3">
        <f t="shared" si="355"/>
        <v>78989</v>
      </c>
      <c r="B7595" t="str">
        <f ca="1">TEXT(DATE(YEAR(Invoer!$A$5),1,1)+INT((ROWS(B$2:B7595)-1)/24),"""18""jjmmdd")</f>
        <v>18981113</v>
      </c>
      <c r="C7595" s="11" t="str">
        <f>INDEX(Data,2,2+MOD(ROWS(C$2:C7595)-1,24))</f>
        <v>10.00</v>
      </c>
      <c r="D7595" s="8">
        <f t="shared" ca="1" si="356"/>
        <v>15</v>
      </c>
      <c r="E7595" s="16">
        <f t="shared" ca="1" si="357"/>
        <v>0</v>
      </c>
    </row>
    <row r="7596" spans="1:5" x14ac:dyDescent="0.25">
      <c r="A7596" s="3">
        <f t="shared" si="355"/>
        <v>78989</v>
      </c>
      <c r="B7596" t="str">
        <f ca="1">TEXT(DATE(YEAR(Invoer!$A$5),1,1)+INT((ROWS(B$2:B7596)-1)/24),"""18""jjmmdd")</f>
        <v>18981113</v>
      </c>
      <c r="C7596" s="11" t="str">
        <f>INDEX(Data,2,2+MOD(ROWS(C$2:C7596)-1,24))</f>
        <v>11.00</v>
      </c>
      <c r="D7596" s="8">
        <f t="shared" ca="1" si="356"/>
        <v>15</v>
      </c>
      <c r="E7596" s="16">
        <f t="shared" ca="1" si="357"/>
        <v>0</v>
      </c>
    </row>
    <row r="7597" spans="1:5" x14ac:dyDescent="0.25">
      <c r="A7597" s="3">
        <f t="shared" si="355"/>
        <v>78989</v>
      </c>
      <c r="B7597" t="str">
        <f ca="1">TEXT(DATE(YEAR(Invoer!$A$5),1,1)+INT((ROWS(B$2:B7597)-1)/24),"""18""jjmmdd")</f>
        <v>18981113</v>
      </c>
      <c r="C7597" s="11" t="str">
        <f>INDEX(Data,2,2+MOD(ROWS(C$2:C7597)-1,24))</f>
        <v>12.00</v>
      </c>
      <c r="D7597" s="8">
        <f t="shared" ca="1" si="356"/>
        <v>16</v>
      </c>
      <c r="E7597" s="16">
        <f t="shared" ca="1" si="357"/>
        <v>0</v>
      </c>
    </row>
    <row r="7598" spans="1:5" x14ac:dyDescent="0.25">
      <c r="A7598" s="3">
        <f t="shared" si="355"/>
        <v>78989</v>
      </c>
      <c r="B7598" t="str">
        <f ca="1">TEXT(DATE(YEAR(Invoer!$A$5),1,1)+INT((ROWS(B$2:B7598)-1)/24),"""18""jjmmdd")</f>
        <v>18981113</v>
      </c>
      <c r="C7598" s="11" t="str">
        <f>INDEX(Data,2,2+MOD(ROWS(C$2:C7598)-1,24))</f>
        <v>13.00</v>
      </c>
      <c r="D7598" s="8">
        <f t="shared" ca="1" si="356"/>
        <v>13</v>
      </c>
      <c r="E7598" s="16">
        <f t="shared" ca="1" si="357"/>
        <v>0</v>
      </c>
    </row>
    <row r="7599" spans="1:5" x14ac:dyDescent="0.25">
      <c r="A7599" s="3">
        <f t="shared" si="355"/>
        <v>78989</v>
      </c>
      <c r="B7599" t="str">
        <f ca="1">TEXT(DATE(YEAR(Invoer!$A$5),1,1)+INT((ROWS(B$2:B7599)-1)/24),"""18""jjmmdd")</f>
        <v>18981113</v>
      </c>
      <c r="C7599" s="11" t="str">
        <f>INDEX(Data,2,2+MOD(ROWS(C$2:C7599)-1,24))</f>
        <v>14.00</v>
      </c>
      <c r="D7599" s="8">
        <f t="shared" ca="1" si="356"/>
        <v>16</v>
      </c>
      <c r="E7599" s="16">
        <f t="shared" ca="1" si="357"/>
        <v>0</v>
      </c>
    </row>
    <row r="7600" spans="1:5" x14ac:dyDescent="0.25">
      <c r="A7600" s="3">
        <f t="shared" si="355"/>
        <v>78989</v>
      </c>
      <c r="B7600" t="str">
        <f ca="1">TEXT(DATE(YEAR(Invoer!$A$5),1,1)+INT((ROWS(B$2:B7600)-1)/24),"""18""jjmmdd")</f>
        <v>18981113</v>
      </c>
      <c r="C7600" s="11" t="str">
        <f>INDEX(Data,2,2+MOD(ROWS(C$2:C7600)-1,24))</f>
        <v>15.00</v>
      </c>
      <c r="D7600" s="8">
        <f t="shared" ca="1" si="356"/>
        <v>16</v>
      </c>
      <c r="E7600" s="16">
        <f t="shared" ca="1" si="357"/>
        <v>0</v>
      </c>
    </row>
    <row r="7601" spans="1:5" x14ac:dyDescent="0.25">
      <c r="A7601" s="3">
        <f t="shared" si="355"/>
        <v>78989</v>
      </c>
      <c r="B7601" t="str">
        <f ca="1">TEXT(DATE(YEAR(Invoer!$A$5),1,1)+INT((ROWS(B$2:B7601)-1)/24),"""18""jjmmdd")</f>
        <v>18981113</v>
      </c>
      <c r="C7601" s="11" t="str">
        <f>INDEX(Data,2,2+MOD(ROWS(C$2:C7601)-1,24))</f>
        <v>16.00</v>
      </c>
      <c r="D7601" s="8">
        <f t="shared" ca="1" si="356"/>
        <v>15</v>
      </c>
      <c r="E7601" s="16">
        <f t="shared" ca="1" si="357"/>
        <v>0</v>
      </c>
    </row>
    <row r="7602" spans="1:5" x14ac:dyDescent="0.25">
      <c r="A7602" s="3">
        <f t="shared" si="355"/>
        <v>78989</v>
      </c>
      <c r="B7602" t="str">
        <f ca="1">TEXT(DATE(YEAR(Invoer!$A$5),1,1)+INT((ROWS(B$2:B7602)-1)/24),"""18""jjmmdd")</f>
        <v>18981113</v>
      </c>
      <c r="C7602" s="11" t="str">
        <f>INDEX(Data,2,2+MOD(ROWS(C$2:C7602)-1,24))</f>
        <v>17.00</v>
      </c>
      <c r="D7602" s="8">
        <f t="shared" ca="1" si="356"/>
        <v>15</v>
      </c>
      <c r="E7602" s="16">
        <f t="shared" ca="1" si="357"/>
        <v>0</v>
      </c>
    </row>
    <row r="7603" spans="1:5" x14ac:dyDescent="0.25">
      <c r="A7603" s="3">
        <f t="shared" si="355"/>
        <v>78989</v>
      </c>
      <c r="B7603" t="str">
        <f ca="1">TEXT(DATE(YEAR(Invoer!$A$5),1,1)+INT((ROWS(B$2:B7603)-1)/24),"""18""jjmmdd")</f>
        <v>18981113</v>
      </c>
      <c r="C7603" s="11" t="str">
        <f>INDEX(Data,2,2+MOD(ROWS(C$2:C7603)-1,24))</f>
        <v>18.00</v>
      </c>
      <c r="D7603" s="8">
        <f t="shared" ca="1" si="356"/>
        <v>13</v>
      </c>
      <c r="E7603" s="16">
        <f t="shared" ca="1" si="357"/>
        <v>0</v>
      </c>
    </row>
    <row r="7604" spans="1:5" x14ac:dyDescent="0.25">
      <c r="A7604" s="3">
        <f t="shared" si="355"/>
        <v>78989</v>
      </c>
      <c r="B7604" t="str">
        <f ca="1">TEXT(DATE(YEAR(Invoer!$A$5),1,1)+INT((ROWS(B$2:B7604)-1)/24),"""18""jjmmdd")</f>
        <v>18981113</v>
      </c>
      <c r="C7604" s="11" t="str">
        <f>INDEX(Data,2,2+MOD(ROWS(C$2:C7604)-1,24))</f>
        <v>19.00</v>
      </c>
      <c r="D7604" s="8">
        <f t="shared" ca="1" si="356"/>
        <v>13</v>
      </c>
      <c r="E7604" s="16">
        <f t="shared" ca="1" si="357"/>
        <v>0</v>
      </c>
    </row>
    <row r="7605" spans="1:5" x14ac:dyDescent="0.25">
      <c r="A7605" s="3">
        <f t="shared" si="355"/>
        <v>78989</v>
      </c>
      <c r="B7605" t="str">
        <f ca="1">TEXT(DATE(YEAR(Invoer!$A$5),1,1)+INT((ROWS(B$2:B7605)-1)/24),"""18""jjmmdd")</f>
        <v>18981113</v>
      </c>
      <c r="C7605" s="11" t="str">
        <f>INDEX(Data,2,2+MOD(ROWS(C$2:C7605)-1,24))</f>
        <v>20.00</v>
      </c>
      <c r="D7605" s="8">
        <f t="shared" ca="1" si="356"/>
        <v>12</v>
      </c>
      <c r="E7605" s="16">
        <f t="shared" ca="1" si="357"/>
        <v>0</v>
      </c>
    </row>
    <row r="7606" spans="1:5" x14ac:dyDescent="0.25">
      <c r="A7606" s="3">
        <f t="shared" si="355"/>
        <v>78989</v>
      </c>
      <c r="B7606" t="str">
        <f ca="1">TEXT(DATE(YEAR(Invoer!$A$5),1,1)+INT((ROWS(B$2:B7606)-1)/24),"""18""jjmmdd")</f>
        <v>18981113</v>
      </c>
      <c r="C7606" s="11" t="str">
        <f>INDEX(Data,2,2+MOD(ROWS(C$2:C7606)-1,24))</f>
        <v>21.00</v>
      </c>
      <c r="D7606" s="8">
        <f t="shared" ca="1" si="356"/>
        <v>14</v>
      </c>
      <c r="E7606" s="16">
        <f t="shared" ca="1" si="357"/>
        <v>0</v>
      </c>
    </row>
    <row r="7607" spans="1:5" x14ac:dyDescent="0.25">
      <c r="A7607" s="3">
        <f t="shared" si="355"/>
        <v>78989</v>
      </c>
      <c r="B7607" t="str">
        <f ca="1">TEXT(DATE(YEAR(Invoer!$A$5),1,1)+INT((ROWS(B$2:B7607)-1)/24),"""18""jjmmdd")</f>
        <v>18981113</v>
      </c>
      <c r="C7607" s="11" t="str">
        <f>INDEX(Data,2,2+MOD(ROWS(C$2:C7607)-1,24))</f>
        <v>22.00</v>
      </c>
      <c r="D7607" s="8">
        <f t="shared" ca="1" si="356"/>
        <v>13</v>
      </c>
      <c r="E7607" s="16">
        <f t="shared" ca="1" si="357"/>
        <v>0</v>
      </c>
    </row>
    <row r="7608" spans="1:5" x14ac:dyDescent="0.25">
      <c r="A7608" s="3">
        <f t="shared" si="355"/>
        <v>78989</v>
      </c>
      <c r="B7608" t="str">
        <f ca="1">TEXT(DATE(YEAR(Invoer!$A$5),1,1)+INT((ROWS(B$2:B7608)-1)/24),"""18""jjmmdd")</f>
        <v>18981113</v>
      </c>
      <c r="C7608" s="11" t="str">
        <f>INDEX(Data,2,2+MOD(ROWS(C$2:C7608)-1,24))</f>
        <v>23.00</v>
      </c>
      <c r="D7608" s="8">
        <f t="shared" ca="1" si="356"/>
        <v>13</v>
      </c>
      <c r="E7608" s="16">
        <f t="shared" ca="1" si="357"/>
        <v>0</v>
      </c>
    </row>
    <row r="7609" spans="1:5" x14ac:dyDescent="0.25">
      <c r="A7609" s="3">
        <f t="shared" si="355"/>
        <v>78989</v>
      </c>
      <c r="B7609" t="str">
        <f ca="1">TEXT(DATE(YEAR(Invoer!$A$5),1,1)+INT((ROWS(B$2:B7609)-1)/24),"""18""jjmmdd")</f>
        <v>18981113</v>
      </c>
      <c r="C7609" s="11" t="str">
        <f>INDEX(Data,2,2+MOD(ROWS(C$2:C7609)-1,24))</f>
        <v>24.00</v>
      </c>
      <c r="D7609" s="8">
        <f t="shared" ca="1" si="356"/>
        <v>13</v>
      </c>
      <c r="E7609" s="16">
        <f t="shared" ca="1" si="357"/>
        <v>0</v>
      </c>
    </row>
    <row r="7610" spans="1:5" x14ac:dyDescent="0.25">
      <c r="A7610" s="3">
        <f t="shared" si="355"/>
        <v>78989</v>
      </c>
      <c r="B7610" t="str">
        <f ca="1">TEXT(DATE(YEAR(Invoer!$A$5),1,1)+INT((ROWS(B$2:B7610)-1)/24),"""18""jjmmdd")</f>
        <v>18981114</v>
      </c>
      <c r="C7610" s="11" t="str">
        <f>INDEX(Data,2,2+MOD(ROWS(C$2:C7610)-1,24))</f>
        <v>01.00</v>
      </c>
      <c r="D7610" s="8">
        <f t="shared" ca="1" si="356"/>
        <v>12</v>
      </c>
      <c r="E7610" s="16">
        <f t="shared" ca="1" si="357"/>
        <v>0</v>
      </c>
    </row>
    <row r="7611" spans="1:5" x14ac:dyDescent="0.25">
      <c r="A7611" s="3">
        <f t="shared" si="355"/>
        <v>78989</v>
      </c>
      <c r="B7611" t="str">
        <f ca="1">TEXT(DATE(YEAR(Invoer!$A$5),1,1)+INT((ROWS(B$2:B7611)-1)/24),"""18""jjmmdd")</f>
        <v>18981114</v>
      </c>
      <c r="C7611" s="11" t="str">
        <f>INDEX(Data,2,2+MOD(ROWS(C$2:C7611)-1,24))</f>
        <v>02.00</v>
      </c>
      <c r="D7611" s="8">
        <f t="shared" ca="1" si="356"/>
        <v>13</v>
      </c>
      <c r="E7611" s="16">
        <f t="shared" ca="1" si="357"/>
        <v>0</v>
      </c>
    </row>
    <row r="7612" spans="1:5" x14ac:dyDescent="0.25">
      <c r="A7612" s="3">
        <f t="shared" si="355"/>
        <v>78989</v>
      </c>
      <c r="B7612" t="str">
        <f ca="1">TEXT(DATE(YEAR(Invoer!$A$5),1,1)+INT((ROWS(B$2:B7612)-1)/24),"""18""jjmmdd")</f>
        <v>18981114</v>
      </c>
      <c r="C7612" s="11" t="str">
        <f>INDEX(Data,2,2+MOD(ROWS(C$2:C7612)-1,24))</f>
        <v>03.00</v>
      </c>
      <c r="D7612" s="8">
        <f t="shared" ca="1" si="356"/>
        <v>11</v>
      </c>
      <c r="E7612" s="16">
        <f t="shared" ca="1" si="357"/>
        <v>0</v>
      </c>
    </row>
    <row r="7613" spans="1:5" x14ac:dyDescent="0.25">
      <c r="A7613" s="3">
        <f t="shared" si="355"/>
        <v>78989</v>
      </c>
      <c r="B7613" t="str">
        <f ca="1">TEXT(DATE(YEAR(Invoer!$A$5),1,1)+INT((ROWS(B$2:B7613)-1)/24),"""18""jjmmdd")</f>
        <v>18981114</v>
      </c>
      <c r="C7613" s="11" t="str">
        <f>INDEX(Data,2,2+MOD(ROWS(C$2:C7613)-1,24))</f>
        <v>04.00</v>
      </c>
      <c r="D7613" s="8">
        <f t="shared" ca="1" si="356"/>
        <v>12</v>
      </c>
      <c r="E7613" s="16">
        <f t="shared" ca="1" si="357"/>
        <v>0</v>
      </c>
    </row>
    <row r="7614" spans="1:5" x14ac:dyDescent="0.25">
      <c r="A7614" s="3">
        <f t="shared" si="355"/>
        <v>78989</v>
      </c>
      <c r="B7614" t="str">
        <f ca="1">TEXT(DATE(YEAR(Invoer!$A$5),1,1)+INT((ROWS(B$2:B7614)-1)/24),"""18""jjmmdd")</f>
        <v>18981114</v>
      </c>
      <c r="C7614" s="11" t="str">
        <f>INDEX(Data,2,2+MOD(ROWS(C$2:C7614)-1,24))</f>
        <v>05.00</v>
      </c>
      <c r="D7614" s="8">
        <f t="shared" ca="1" si="356"/>
        <v>13</v>
      </c>
      <c r="E7614" s="16">
        <f t="shared" ca="1" si="357"/>
        <v>0</v>
      </c>
    </row>
    <row r="7615" spans="1:5" x14ac:dyDescent="0.25">
      <c r="A7615" s="3">
        <f t="shared" si="355"/>
        <v>78989</v>
      </c>
      <c r="B7615" t="str">
        <f ca="1">TEXT(DATE(YEAR(Invoer!$A$5),1,1)+INT((ROWS(B$2:B7615)-1)/24),"""18""jjmmdd")</f>
        <v>18981114</v>
      </c>
      <c r="C7615" s="11" t="str">
        <f>INDEX(Data,2,2+MOD(ROWS(C$2:C7615)-1,24))</f>
        <v>06.00</v>
      </c>
      <c r="D7615" s="8">
        <f t="shared" ca="1" si="356"/>
        <v>12</v>
      </c>
      <c r="E7615" s="16">
        <f t="shared" ca="1" si="357"/>
        <v>0</v>
      </c>
    </row>
    <row r="7616" spans="1:5" x14ac:dyDescent="0.25">
      <c r="A7616" s="3">
        <f t="shared" si="355"/>
        <v>78989</v>
      </c>
      <c r="B7616" t="str">
        <f ca="1">TEXT(DATE(YEAR(Invoer!$A$5),1,1)+INT((ROWS(B$2:B7616)-1)/24),"""18""jjmmdd")</f>
        <v>18981114</v>
      </c>
      <c r="C7616" s="11" t="str">
        <f>INDEX(Data,2,2+MOD(ROWS(C$2:C7616)-1,24))</f>
        <v>07.00</v>
      </c>
      <c r="D7616" s="8">
        <f t="shared" ca="1" si="356"/>
        <v>13</v>
      </c>
      <c r="E7616" s="16">
        <f t="shared" ca="1" si="357"/>
        <v>0</v>
      </c>
    </row>
    <row r="7617" spans="1:5" x14ac:dyDescent="0.25">
      <c r="A7617" s="3">
        <f t="shared" si="355"/>
        <v>78989</v>
      </c>
      <c r="B7617" t="str">
        <f ca="1">TEXT(DATE(YEAR(Invoer!$A$5),1,1)+INT((ROWS(B$2:B7617)-1)/24),"""18""jjmmdd")</f>
        <v>18981114</v>
      </c>
      <c r="C7617" s="11" t="str">
        <f>INDEX(Data,2,2+MOD(ROWS(C$2:C7617)-1,24))</f>
        <v>08.00</v>
      </c>
      <c r="D7617" s="8">
        <f t="shared" ca="1" si="356"/>
        <v>14</v>
      </c>
      <c r="E7617" s="16">
        <f t="shared" ca="1" si="357"/>
        <v>0</v>
      </c>
    </row>
    <row r="7618" spans="1:5" x14ac:dyDescent="0.25">
      <c r="A7618" s="3">
        <f t="shared" ref="A7618:A7681" si="358">INDEX(Stations,2,1)</f>
        <v>78989</v>
      </c>
      <c r="B7618" t="str">
        <f ca="1">TEXT(DATE(YEAR(Invoer!$A$5),1,1)+INT((ROWS(B$2:B7618)-1)/24),"""18""jjmmdd")</f>
        <v>18981114</v>
      </c>
      <c r="C7618" s="11" t="str">
        <f>INDEX(Data,2,2+MOD(ROWS(C$2:C7618)-1,24))</f>
        <v>09.00</v>
      </c>
      <c r="D7618" s="8">
        <f t="shared" ref="D7618:D7681" ca="1" si="359">IF(OR(ISBLANK(VLOOKUP(DATEVALUE("37"&amp;MID($B7618,3,2)&amp;"-"&amp;MID($B7618,5,2)&amp;"-"&amp;RIGHT($B7618,2)),Data,MATCH(LEFT(VLOOKUP(D$1,Parameters,2,FALSE()),4)&amp;"*",OFFSET(Data,0,0,1),0)+MATCH($C7618,OFFSET(Data,1,0,1),0)-2,FALSE())),ISTEXT(VLOOKUP(DATEVALUE("37"&amp;MID($B7618,3,2)&amp;"-"&amp;MID($B7618,5,2)&amp;"-"&amp;RIGHT($B7618,2)),Data,MATCH(LEFT(VLOOKUP(D$1,Parameters,2,FALSE()),4)&amp;"*",OFFSET(Data,0,0,1),0)+MATCH($C7618,OFFSET(Data,1,0,1),0)-2,FALSE()))),"—",VLOOKUP(DATEVALUE("37"&amp;MID($B7618,3,2)&amp;"-"&amp;MID($B7618,5,2)&amp;"-"&amp;RIGHT($B7618,2)),Data,MATCH(LEFT(VLOOKUP(D$1,Parameters,2,FALSE()),4)&amp;"*",OFFSET(Data,0,0,1),0)+MATCH($C7618,OFFSET(Data,1,0,1),0)-2,FALSE()))</f>
        <v>15</v>
      </c>
      <c r="E7618" s="16">
        <f t="shared" ca="1" si="357"/>
        <v>0</v>
      </c>
    </row>
    <row r="7619" spans="1:5" x14ac:dyDescent="0.25">
      <c r="A7619" s="3">
        <f t="shared" si="358"/>
        <v>78989</v>
      </c>
      <c r="B7619" t="str">
        <f ca="1">TEXT(DATE(YEAR(Invoer!$A$5),1,1)+INT((ROWS(B$2:B7619)-1)/24),"""18""jjmmdd")</f>
        <v>18981114</v>
      </c>
      <c r="C7619" s="11" t="str">
        <f>INDEX(Data,2,2+MOD(ROWS(C$2:C7619)-1,24))</f>
        <v>10.00</v>
      </c>
      <c r="D7619" s="8">
        <f t="shared" ca="1" si="359"/>
        <v>15</v>
      </c>
      <c r="E7619" s="16">
        <f t="shared" ref="E7619:E7682" ca="1" si="360">IF(OR(ISBLANK(VLOOKUP(DATEVALUE("37"&amp;MID($B7619,3,2)&amp;"-"&amp;MID($B7619,5,2)&amp;"-"&amp;RIGHT($B7619,2)),Data,MATCH(LEFT(VLOOKUP(D$1,Parameters,2,FALSE()),4)&amp;"*",OFFSET(Data,0,0,1),0)+MATCH($C7619,OFFSET(Data,1,0,1),0)-2,FALSE())),ISTEXT(VLOOKUP(DATEVALUE("37"&amp;MID($B7619,3,2)&amp;"-"&amp;MID($B7619,5,2)&amp;"-"&amp;RIGHT($B7619,2)),Data,MATCH(LEFT(VLOOKUP(D$1,Parameters,2,FALSE()),4)&amp;"*",OFFSET(Data,0,0,1),0)+MATCH($C7619,OFFSET(Data,1,0,1),0)-2,FALSE()))),Lacking,IF(ISNA(MATCH(DATEVALUE("37"&amp;MID($B7619,3,2)&amp;"-"&amp;MID($B7619,5,2)&amp;"-"&amp;RIGHT($B7619,2)),OFFSET(Catalogus,0,0,,1),0)),Ok,VLOOKUP(DATEVALUE("37"&amp;MID($B7619,3,2)&amp;"-"&amp;MID($B7619,5,2)&amp;"-"&amp;RIGHT($B7619,2)),Catalogus,MATCH(LEFT(VLOOKUP(MID(E$1,2,LEN(E$1)-1),Parameters,2,FALSE()),4)&amp;"*",OFFSET(Catalogus,0,0,1),0)+MATCH($C7619,OFFSET(Catalogus,1,0,1),0)-2,FALSE())))</f>
        <v>0</v>
      </c>
    </row>
    <row r="7620" spans="1:5" x14ac:dyDescent="0.25">
      <c r="A7620" s="3">
        <f t="shared" si="358"/>
        <v>78989</v>
      </c>
      <c r="B7620" t="str">
        <f ca="1">TEXT(DATE(YEAR(Invoer!$A$5),1,1)+INT((ROWS(B$2:B7620)-1)/24),"""18""jjmmdd")</f>
        <v>18981114</v>
      </c>
      <c r="C7620" s="11" t="str">
        <f>INDEX(Data,2,2+MOD(ROWS(C$2:C7620)-1,24))</f>
        <v>11.00</v>
      </c>
      <c r="D7620" s="8">
        <f t="shared" ca="1" si="359"/>
        <v>16</v>
      </c>
      <c r="E7620" s="16">
        <f t="shared" ca="1" si="360"/>
        <v>0</v>
      </c>
    </row>
    <row r="7621" spans="1:5" x14ac:dyDescent="0.25">
      <c r="A7621" s="3">
        <f t="shared" si="358"/>
        <v>78989</v>
      </c>
      <c r="B7621" t="str">
        <f ca="1">TEXT(DATE(YEAR(Invoer!$A$5),1,1)+INT((ROWS(B$2:B7621)-1)/24),"""18""jjmmdd")</f>
        <v>18981114</v>
      </c>
      <c r="C7621" s="11" t="str">
        <f>INDEX(Data,2,2+MOD(ROWS(C$2:C7621)-1,24))</f>
        <v>12.00</v>
      </c>
      <c r="D7621" s="8">
        <f t="shared" ca="1" si="359"/>
        <v>16</v>
      </c>
      <c r="E7621" s="16">
        <f t="shared" ca="1" si="360"/>
        <v>0</v>
      </c>
    </row>
    <row r="7622" spans="1:5" x14ac:dyDescent="0.25">
      <c r="A7622" s="3">
        <f t="shared" si="358"/>
        <v>78989</v>
      </c>
      <c r="B7622" t="str">
        <f ca="1">TEXT(DATE(YEAR(Invoer!$A$5),1,1)+INT((ROWS(B$2:B7622)-1)/24),"""18""jjmmdd")</f>
        <v>18981114</v>
      </c>
      <c r="C7622" s="11" t="str">
        <f>INDEX(Data,2,2+MOD(ROWS(C$2:C7622)-1,24))</f>
        <v>13.00</v>
      </c>
      <c r="D7622" s="8">
        <f t="shared" ca="1" si="359"/>
        <v>15</v>
      </c>
      <c r="E7622" s="16">
        <f t="shared" ca="1" si="360"/>
        <v>0</v>
      </c>
    </row>
    <row r="7623" spans="1:5" x14ac:dyDescent="0.25">
      <c r="A7623" s="3">
        <f t="shared" si="358"/>
        <v>78989</v>
      </c>
      <c r="B7623" t="str">
        <f ca="1">TEXT(DATE(YEAR(Invoer!$A$5),1,1)+INT((ROWS(B$2:B7623)-1)/24),"""18""jjmmdd")</f>
        <v>18981114</v>
      </c>
      <c r="C7623" s="11" t="str">
        <f>INDEX(Data,2,2+MOD(ROWS(C$2:C7623)-1,24))</f>
        <v>14.00</v>
      </c>
      <c r="D7623" s="8">
        <f t="shared" ca="1" si="359"/>
        <v>15</v>
      </c>
      <c r="E7623" s="16">
        <f t="shared" ca="1" si="360"/>
        <v>0</v>
      </c>
    </row>
    <row r="7624" spans="1:5" x14ac:dyDescent="0.25">
      <c r="A7624" s="3">
        <f t="shared" si="358"/>
        <v>78989</v>
      </c>
      <c r="B7624" t="str">
        <f ca="1">TEXT(DATE(YEAR(Invoer!$A$5),1,1)+INT((ROWS(B$2:B7624)-1)/24),"""18""jjmmdd")</f>
        <v>18981114</v>
      </c>
      <c r="C7624" s="11" t="str">
        <f>INDEX(Data,2,2+MOD(ROWS(C$2:C7624)-1,24))</f>
        <v>15.00</v>
      </c>
      <c r="D7624" s="8">
        <f t="shared" ca="1" si="359"/>
        <v>15</v>
      </c>
      <c r="E7624" s="16">
        <f t="shared" ca="1" si="360"/>
        <v>0</v>
      </c>
    </row>
    <row r="7625" spans="1:5" x14ac:dyDescent="0.25">
      <c r="A7625" s="3">
        <f t="shared" si="358"/>
        <v>78989</v>
      </c>
      <c r="B7625" t="str">
        <f ca="1">TEXT(DATE(YEAR(Invoer!$A$5),1,1)+INT((ROWS(B$2:B7625)-1)/24),"""18""jjmmdd")</f>
        <v>18981114</v>
      </c>
      <c r="C7625" s="11" t="str">
        <f>INDEX(Data,2,2+MOD(ROWS(C$2:C7625)-1,24))</f>
        <v>16.00</v>
      </c>
      <c r="D7625" s="8">
        <f t="shared" ca="1" si="359"/>
        <v>15</v>
      </c>
      <c r="E7625" s="16">
        <f t="shared" ca="1" si="360"/>
        <v>0</v>
      </c>
    </row>
    <row r="7626" spans="1:5" x14ac:dyDescent="0.25">
      <c r="A7626" s="3">
        <f t="shared" si="358"/>
        <v>78989</v>
      </c>
      <c r="B7626" t="str">
        <f ca="1">TEXT(DATE(YEAR(Invoer!$A$5),1,1)+INT((ROWS(B$2:B7626)-1)/24),"""18""jjmmdd")</f>
        <v>18981114</v>
      </c>
      <c r="C7626" s="11" t="str">
        <f>INDEX(Data,2,2+MOD(ROWS(C$2:C7626)-1,24))</f>
        <v>17.00</v>
      </c>
      <c r="D7626" s="8">
        <f t="shared" ca="1" si="359"/>
        <v>16</v>
      </c>
      <c r="E7626" s="16">
        <f t="shared" ca="1" si="360"/>
        <v>0</v>
      </c>
    </row>
    <row r="7627" spans="1:5" x14ac:dyDescent="0.25">
      <c r="A7627" s="3">
        <f t="shared" si="358"/>
        <v>78989</v>
      </c>
      <c r="B7627" t="str">
        <f ca="1">TEXT(DATE(YEAR(Invoer!$A$5),1,1)+INT((ROWS(B$2:B7627)-1)/24),"""18""jjmmdd")</f>
        <v>18981114</v>
      </c>
      <c r="C7627" s="11" t="str">
        <f>INDEX(Data,2,2+MOD(ROWS(C$2:C7627)-1,24))</f>
        <v>18.00</v>
      </c>
      <c r="D7627" s="8">
        <f t="shared" ca="1" si="359"/>
        <v>14</v>
      </c>
      <c r="E7627" s="16">
        <f t="shared" ca="1" si="360"/>
        <v>0</v>
      </c>
    </row>
    <row r="7628" spans="1:5" x14ac:dyDescent="0.25">
      <c r="A7628" s="3">
        <f t="shared" si="358"/>
        <v>78989</v>
      </c>
      <c r="B7628" t="str">
        <f ca="1">TEXT(DATE(YEAR(Invoer!$A$5),1,1)+INT((ROWS(B$2:B7628)-1)/24),"""18""jjmmdd")</f>
        <v>18981114</v>
      </c>
      <c r="C7628" s="11" t="str">
        <f>INDEX(Data,2,2+MOD(ROWS(C$2:C7628)-1,24))</f>
        <v>19.00</v>
      </c>
      <c r="D7628" s="8">
        <f t="shared" ca="1" si="359"/>
        <v>12</v>
      </c>
      <c r="E7628" s="16">
        <f t="shared" ca="1" si="360"/>
        <v>0</v>
      </c>
    </row>
    <row r="7629" spans="1:5" x14ac:dyDescent="0.25">
      <c r="A7629" s="3">
        <f t="shared" si="358"/>
        <v>78989</v>
      </c>
      <c r="B7629" t="str">
        <f ca="1">TEXT(DATE(YEAR(Invoer!$A$5),1,1)+INT((ROWS(B$2:B7629)-1)/24),"""18""jjmmdd")</f>
        <v>18981114</v>
      </c>
      <c r="C7629" s="11" t="str">
        <f>INDEX(Data,2,2+MOD(ROWS(C$2:C7629)-1,24))</f>
        <v>20.00</v>
      </c>
      <c r="D7629" s="8">
        <f t="shared" ca="1" si="359"/>
        <v>11</v>
      </c>
      <c r="E7629" s="16">
        <f t="shared" ca="1" si="360"/>
        <v>0</v>
      </c>
    </row>
    <row r="7630" spans="1:5" x14ac:dyDescent="0.25">
      <c r="A7630" s="3">
        <f t="shared" si="358"/>
        <v>78989</v>
      </c>
      <c r="B7630" t="str">
        <f ca="1">TEXT(DATE(YEAR(Invoer!$A$5),1,1)+INT((ROWS(B$2:B7630)-1)/24),"""18""jjmmdd")</f>
        <v>18981114</v>
      </c>
      <c r="C7630" s="11" t="str">
        <f>INDEX(Data,2,2+MOD(ROWS(C$2:C7630)-1,24))</f>
        <v>21.00</v>
      </c>
      <c r="D7630" s="8">
        <f t="shared" ca="1" si="359"/>
        <v>10</v>
      </c>
      <c r="E7630" s="16">
        <f t="shared" ca="1" si="360"/>
        <v>0</v>
      </c>
    </row>
    <row r="7631" spans="1:5" x14ac:dyDescent="0.25">
      <c r="A7631" s="3">
        <f t="shared" si="358"/>
        <v>78989</v>
      </c>
      <c r="B7631" t="str">
        <f ca="1">TEXT(DATE(YEAR(Invoer!$A$5),1,1)+INT((ROWS(B$2:B7631)-1)/24),"""18""jjmmdd")</f>
        <v>18981114</v>
      </c>
      <c r="C7631" s="11" t="str">
        <f>INDEX(Data,2,2+MOD(ROWS(C$2:C7631)-1,24))</f>
        <v>22.00</v>
      </c>
      <c r="D7631" s="8">
        <f t="shared" ca="1" si="359"/>
        <v>9</v>
      </c>
      <c r="E7631" s="16">
        <f t="shared" ca="1" si="360"/>
        <v>0</v>
      </c>
    </row>
    <row r="7632" spans="1:5" x14ac:dyDescent="0.25">
      <c r="A7632" s="3">
        <f t="shared" si="358"/>
        <v>78989</v>
      </c>
      <c r="B7632" t="str">
        <f ca="1">TEXT(DATE(YEAR(Invoer!$A$5),1,1)+INT((ROWS(B$2:B7632)-1)/24),"""18""jjmmdd")</f>
        <v>18981114</v>
      </c>
      <c r="C7632" s="11" t="str">
        <f>INDEX(Data,2,2+MOD(ROWS(C$2:C7632)-1,24))</f>
        <v>23.00</v>
      </c>
      <c r="D7632" s="8">
        <f t="shared" ca="1" si="359"/>
        <v>8</v>
      </c>
      <c r="E7632" s="16">
        <f t="shared" ca="1" si="360"/>
        <v>0</v>
      </c>
    </row>
    <row r="7633" spans="1:5" x14ac:dyDescent="0.25">
      <c r="A7633" s="3">
        <f t="shared" si="358"/>
        <v>78989</v>
      </c>
      <c r="B7633" t="str">
        <f ca="1">TEXT(DATE(YEAR(Invoer!$A$5),1,1)+INT((ROWS(B$2:B7633)-1)/24),"""18""jjmmdd")</f>
        <v>18981114</v>
      </c>
      <c r="C7633" s="11" t="str">
        <f>INDEX(Data,2,2+MOD(ROWS(C$2:C7633)-1,24))</f>
        <v>24.00</v>
      </c>
      <c r="D7633" s="8">
        <f t="shared" ca="1" si="359"/>
        <v>8</v>
      </c>
      <c r="E7633" s="16">
        <f t="shared" ca="1" si="360"/>
        <v>0</v>
      </c>
    </row>
    <row r="7634" spans="1:5" x14ac:dyDescent="0.25">
      <c r="A7634" s="3">
        <f t="shared" si="358"/>
        <v>78989</v>
      </c>
      <c r="B7634" t="str">
        <f ca="1">TEXT(DATE(YEAR(Invoer!$A$5),1,1)+INT((ROWS(B$2:B7634)-1)/24),"""18""jjmmdd")</f>
        <v>18981115</v>
      </c>
      <c r="C7634" s="11" t="str">
        <f>INDEX(Data,2,2+MOD(ROWS(C$2:C7634)-1,24))</f>
        <v>01.00</v>
      </c>
      <c r="D7634" s="8">
        <f t="shared" ca="1" si="359"/>
        <v>10</v>
      </c>
      <c r="E7634" s="16">
        <f t="shared" ca="1" si="360"/>
        <v>0</v>
      </c>
    </row>
    <row r="7635" spans="1:5" x14ac:dyDescent="0.25">
      <c r="A7635" s="3">
        <f t="shared" si="358"/>
        <v>78989</v>
      </c>
      <c r="B7635" t="str">
        <f ca="1">TEXT(DATE(YEAR(Invoer!$A$5),1,1)+INT((ROWS(B$2:B7635)-1)/24),"""18""jjmmdd")</f>
        <v>18981115</v>
      </c>
      <c r="C7635" s="11" t="str">
        <f>INDEX(Data,2,2+MOD(ROWS(C$2:C7635)-1,24))</f>
        <v>02.00</v>
      </c>
      <c r="D7635" s="8">
        <f t="shared" ca="1" si="359"/>
        <v>10</v>
      </c>
      <c r="E7635" s="16">
        <f t="shared" ca="1" si="360"/>
        <v>0</v>
      </c>
    </row>
    <row r="7636" spans="1:5" x14ac:dyDescent="0.25">
      <c r="A7636" s="3">
        <f t="shared" si="358"/>
        <v>78989</v>
      </c>
      <c r="B7636" t="str">
        <f ca="1">TEXT(DATE(YEAR(Invoer!$A$5),1,1)+INT((ROWS(B$2:B7636)-1)/24),"""18""jjmmdd")</f>
        <v>18981115</v>
      </c>
      <c r="C7636" s="11" t="str">
        <f>INDEX(Data,2,2+MOD(ROWS(C$2:C7636)-1,24))</f>
        <v>03.00</v>
      </c>
      <c r="D7636" s="8">
        <f t="shared" ca="1" si="359"/>
        <v>8</v>
      </c>
      <c r="E7636" s="16">
        <f t="shared" ca="1" si="360"/>
        <v>0</v>
      </c>
    </row>
    <row r="7637" spans="1:5" x14ac:dyDescent="0.25">
      <c r="A7637" s="3">
        <f t="shared" si="358"/>
        <v>78989</v>
      </c>
      <c r="B7637" t="str">
        <f ca="1">TEXT(DATE(YEAR(Invoer!$A$5),1,1)+INT((ROWS(B$2:B7637)-1)/24),"""18""jjmmdd")</f>
        <v>18981115</v>
      </c>
      <c r="C7637" s="11" t="str">
        <f>INDEX(Data,2,2+MOD(ROWS(C$2:C7637)-1,24))</f>
        <v>04.00</v>
      </c>
      <c r="D7637" s="8">
        <f t="shared" ca="1" si="359"/>
        <v>9</v>
      </c>
      <c r="E7637" s="16">
        <f t="shared" ca="1" si="360"/>
        <v>0</v>
      </c>
    </row>
    <row r="7638" spans="1:5" x14ac:dyDescent="0.25">
      <c r="A7638" s="3">
        <f t="shared" si="358"/>
        <v>78989</v>
      </c>
      <c r="B7638" t="str">
        <f ca="1">TEXT(DATE(YEAR(Invoer!$A$5),1,1)+INT((ROWS(B$2:B7638)-1)/24),"""18""jjmmdd")</f>
        <v>18981115</v>
      </c>
      <c r="C7638" s="11" t="str">
        <f>INDEX(Data,2,2+MOD(ROWS(C$2:C7638)-1,24))</f>
        <v>05.00</v>
      </c>
      <c r="D7638" s="8">
        <f t="shared" ca="1" si="359"/>
        <v>9</v>
      </c>
      <c r="E7638" s="16">
        <f t="shared" ca="1" si="360"/>
        <v>0</v>
      </c>
    </row>
    <row r="7639" spans="1:5" x14ac:dyDescent="0.25">
      <c r="A7639" s="3">
        <f t="shared" si="358"/>
        <v>78989</v>
      </c>
      <c r="B7639" t="str">
        <f ca="1">TEXT(DATE(YEAR(Invoer!$A$5),1,1)+INT((ROWS(B$2:B7639)-1)/24),"""18""jjmmdd")</f>
        <v>18981115</v>
      </c>
      <c r="C7639" s="11" t="str">
        <f>INDEX(Data,2,2+MOD(ROWS(C$2:C7639)-1,24))</f>
        <v>06.00</v>
      </c>
      <c r="D7639" s="8">
        <f t="shared" ca="1" si="359"/>
        <v>11</v>
      </c>
      <c r="E7639" s="16">
        <f t="shared" ca="1" si="360"/>
        <v>0</v>
      </c>
    </row>
    <row r="7640" spans="1:5" x14ac:dyDescent="0.25">
      <c r="A7640" s="3">
        <f t="shared" si="358"/>
        <v>78989</v>
      </c>
      <c r="B7640" t="str">
        <f ca="1">TEXT(DATE(YEAR(Invoer!$A$5),1,1)+INT((ROWS(B$2:B7640)-1)/24),"""18""jjmmdd")</f>
        <v>18981115</v>
      </c>
      <c r="C7640" s="11" t="str">
        <f>INDEX(Data,2,2+MOD(ROWS(C$2:C7640)-1,24))</f>
        <v>07.00</v>
      </c>
      <c r="D7640" s="8">
        <f t="shared" ca="1" si="359"/>
        <v>9</v>
      </c>
      <c r="E7640" s="16">
        <f t="shared" ca="1" si="360"/>
        <v>0</v>
      </c>
    </row>
    <row r="7641" spans="1:5" x14ac:dyDescent="0.25">
      <c r="A7641" s="3">
        <f t="shared" si="358"/>
        <v>78989</v>
      </c>
      <c r="B7641" t="str">
        <f ca="1">TEXT(DATE(YEAR(Invoer!$A$5),1,1)+INT((ROWS(B$2:B7641)-1)/24),"""18""jjmmdd")</f>
        <v>18981115</v>
      </c>
      <c r="C7641" s="11" t="str">
        <f>INDEX(Data,2,2+MOD(ROWS(C$2:C7641)-1,24))</f>
        <v>08.00</v>
      </c>
      <c r="D7641" s="8">
        <f t="shared" ca="1" si="359"/>
        <v>11</v>
      </c>
      <c r="E7641" s="16">
        <f t="shared" ca="1" si="360"/>
        <v>0</v>
      </c>
    </row>
    <row r="7642" spans="1:5" x14ac:dyDescent="0.25">
      <c r="A7642" s="3">
        <f t="shared" si="358"/>
        <v>78989</v>
      </c>
      <c r="B7642" t="str">
        <f ca="1">TEXT(DATE(YEAR(Invoer!$A$5),1,1)+INT((ROWS(B$2:B7642)-1)/24),"""18""jjmmdd")</f>
        <v>18981115</v>
      </c>
      <c r="C7642" s="11" t="str">
        <f>INDEX(Data,2,2+MOD(ROWS(C$2:C7642)-1,24))</f>
        <v>09.00</v>
      </c>
      <c r="D7642" s="8">
        <f t="shared" ca="1" si="359"/>
        <v>14</v>
      </c>
      <c r="E7642" s="16">
        <f t="shared" ca="1" si="360"/>
        <v>0</v>
      </c>
    </row>
    <row r="7643" spans="1:5" x14ac:dyDescent="0.25">
      <c r="A7643" s="3">
        <f t="shared" si="358"/>
        <v>78989</v>
      </c>
      <c r="B7643" t="str">
        <f ca="1">TEXT(DATE(YEAR(Invoer!$A$5),1,1)+INT((ROWS(B$2:B7643)-1)/24),"""18""jjmmdd")</f>
        <v>18981115</v>
      </c>
      <c r="C7643" s="11" t="str">
        <f>INDEX(Data,2,2+MOD(ROWS(C$2:C7643)-1,24))</f>
        <v>10.00</v>
      </c>
      <c r="D7643" s="8">
        <f t="shared" ca="1" si="359"/>
        <v>14</v>
      </c>
      <c r="E7643" s="16">
        <f t="shared" ca="1" si="360"/>
        <v>0</v>
      </c>
    </row>
    <row r="7644" spans="1:5" x14ac:dyDescent="0.25">
      <c r="A7644" s="3">
        <f t="shared" si="358"/>
        <v>78989</v>
      </c>
      <c r="B7644" t="str">
        <f ca="1">TEXT(DATE(YEAR(Invoer!$A$5),1,1)+INT((ROWS(B$2:B7644)-1)/24),"""18""jjmmdd")</f>
        <v>18981115</v>
      </c>
      <c r="C7644" s="11" t="str">
        <f>INDEX(Data,2,2+MOD(ROWS(C$2:C7644)-1,24))</f>
        <v>11.00</v>
      </c>
      <c r="D7644" s="8">
        <f t="shared" ca="1" si="359"/>
        <v>14</v>
      </c>
      <c r="E7644" s="16">
        <f t="shared" ca="1" si="360"/>
        <v>0</v>
      </c>
    </row>
    <row r="7645" spans="1:5" x14ac:dyDescent="0.25">
      <c r="A7645" s="3">
        <f t="shared" si="358"/>
        <v>78989</v>
      </c>
      <c r="B7645" t="str">
        <f ca="1">TEXT(DATE(YEAR(Invoer!$A$5),1,1)+INT((ROWS(B$2:B7645)-1)/24),"""18""jjmmdd")</f>
        <v>18981115</v>
      </c>
      <c r="C7645" s="11" t="str">
        <f>INDEX(Data,2,2+MOD(ROWS(C$2:C7645)-1,24))</f>
        <v>12.00</v>
      </c>
      <c r="D7645" s="8">
        <f t="shared" ca="1" si="359"/>
        <v>15</v>
      </c>
      <c r="E7645" s="16">
        <f t="shared" ca="1" si="360"/>
        <v>0</v>
      </c>
    </row>
    <row r="7646" spans="1:5" x14ac:dyDescent="0.25">
      <c r="A7646" s="3">
        <f t="shared" si="358"/>
        <v>78989</v>
      </c>
      <c r="B7646" t="str">
        <f ca="1">TEXT(DATE(YEAR(Invoer!$A$5),1,1)+INT((ROWS(B$2:B7646)-1)/24),"""18""jjmmdd")</f>
        <v>18981115</v>
      </c>
      <c r="C7646" s="11" t="str">
        <f>INDEX(Data,2,2+MOD(ROWS(C$2:C7646)-1,24))</f>
        <v>13.00</v>
      </c>
      <c r="D7646" s="8">
        <f t="shared" ca="1" si="359"/>
        <v>13</v>
      </c>
      <c r="E7646" s="16">
        <f t="shared" ca="1" si="360"/>
        <v>0</v>
      </c>
    </row>
    <row r="7647" spans="1:5" x14ac:dyDescent="0.25">
      <c r="A7647" s="3">
        <f t="shared" si="358"/>
        <v>78989</v>
      </c>
      <c r="B7647" t="str">
        <f ca="1">TEXT(DATE(YEAR(Invoer!$A$5),1,1)+INT((ROWS(B$2:B7647)-1)/24),"""18""jjmmdd")</f>
        <v>18981115</v>
      </c>
      <c r="C7647" s="11" t="str">
        <f>INDEX(Data,2,2+MOD(ROWS(C$2:C7647)-1,24))</f>
        <v>14.00</v>
      </c>
      <c r="D7647" s="8">
        <f t="shared" ca="1" si="359"/>
        <v>13</v>
      </c>
      <c r="E7647" s="16">
        <f t="shared" ca="1" si="360"/>
        <v>0</v>
      </c>
    </row>
    <row r="7648" spans="1:5" x14ac:dyDescent="0.25">
      <c r="A7648" s="3">
        <f t="shared" si="358"/>
        <v>78989</v>
      </c>
      <c r="B7648" t="str">
        <f ca="1">TEXT(DATE(YEAR(Invoer!$A$5),1,1)+INT((ROWS(B$2:B7648)-1)/24),"""18""jjmmdd")</f>
        <v>18981115</v>
      </c>
      <c r="C7648" s="11" t="str">
        <f>INDEX(Data,2,2+MOD(ROWS(C$2:C7648)-1,24))</f>
        <v>15.00</v>
      </c>
      <c r="D7648" s="8">
        <f t="shared" ca="1" si="359"/>
        <v>13</v>
      </c>
      <c r="E7648" s="16">
        <f t="shared" ca="1" si="360"/>
        <v>0</v>
      </c>
    </row>
    <row r="7649" spans="1:5" x14ac:dyDescent="0.25">
      <c r="A7649" s="3">
        <f t="shared" si="358"/>
        <v>78989</v>
      </c>
      <c r="B7649" t="str">
        <f ca="1">TEXT(DATE(YEAR(Invoer!$A$5),1,1)+INT((ROWS(B$2:B7649)-1)/24),"""18""jjmmdd")</f>
        <v>18981115</v>
      </c>
      <c r="C7649" s="11" t="str">
        <f>INDEX(Data,2,2+MOD(ROWS(C$2:C7649)-1,24))</f>
        <v>16.00</v>
      </c>
      <c r="D7649" s="8">
        <f t="shared" ca="1" si="359"/>
        <v>12</v>
      </c>
      <c r="E7649" s="16">
        <f t="shared" ca="1" si="360"/>
        <v>0</v>
      </c>
    </row>
    <row r="7650" spans="1:5" x14ac:dyDescent="0.25">
      <c r="A7650" s="3">
        <f t="shared" si="358"/>
        <v>78989</v>
      </c>
      <c r="B7650" t="str">
        <f ca="1">TEXT(DATE(YEAR(Invoer!$A$5),1,1)+INT((ROWS(B$2:B7650)-1)/24),"""18""jjmmdd")</f>
        <v>18981115</v>
      </c>
      <c r="C7650" s="11" t="str">
        <f>INDEX(Data,2,2+MOD(ROWS(C$2:C7650)-1,24))</f>
        <v>17.00</v>
      </c>
      <c r="D7650" s="8">
        <f t="shared" ca="1" si="359"/>
        <v>12</v>
      </c>
      <c r="E7650" s="16">
        <f t="shared" ca="1" si="360"/>
        <v>0</v>
      </c>
    </row>
    <row r="7651" spans="1:5" x14ac:dyDescent="0.25">
      <c r="A7651" s="3">
        <f t="shared" si="358"/>
        <v>78989</v>
      </c>
      <c r="B7651" t="str">
        <f ca="1">TEXT(DATE(YEAR(Invoer!$A$5),1,1)+INT((ROWS(B$2:B7651)-1)/24),"""18""jjmmdd")</f>
        <v>18981115</v>
      </c>
      <c r="C7651" s="11" t="str">
        <f>INDEX(Data,2,2+MOD(ROWS(C$2:C7651)-1,24))</f>
        <v>18.00</v>
      </c>
      <c r="D7651" s="8">
        <f t="shared" ca="1" si="359"/>
        <v>11</v>
      </c>
      <c r="E7651" s="16">
        <f t="shared" ca="1" si="360"/>
        <v>0</v>
      </c>
    </row>
    <row r="7652" spans="1:5" x14ac:dyDescent="0.25">
      <c r="A7652" s="3">
        <f t="shared" si="358"/>
        <v>78989</v>
      </c>
      <c r="B7652" t="str">
        <f ca="1">TEXT(DATE(YEAR(Invoer!$A$5),1,1)+INT((ROWS(B$2:B7652)-1)/24),"""18""jjmmdd")</f>
        <v>18981115</v>
      </c>
      <c r="C7652" s="11" t="str">
        <f>INDEX(Data,2,2+MOD(ROWS(C$2:C7652)-1,24))</f>
        <v>19.00</v>
      </c>
      <c r="D7652" s="8">
        <f t="shared" ca="1" si="359"/>
        <v>13</v>
      </c>
      <c r="E7652" s="16">
        <f t="shared" ca="1" si="360"/>
        <v>0</v>
      </c>
    </row>
    <row r="7653" spans="1:5" x14ac:dyDescent="0.25">
      <c r="A7653" s="3">
        <f t="shared" si="358"/>
        <v>78989</v>
      </c>
      <c r="B7653" t="str">
        <f ca="1">TEXT(DATE(YEAR(Invoer!$A$5),1,1)+INT((ROWS(B$2:B7653)-1)/24),"""18""jjmmdd")</f>
        <v>18981115</v>
      </c>
      <c r="C7653" s="11" t="str">
        <f>INDEX(Data,2,2+MOD(ROWS(C$2:C7653)-1,24))</f>
        <v>20.00</v>
      </c>
      <c r="D7653" s="8">
        <f t="shared" ca="1" si="359"/>
        <v>12</v>
      </c>
      <c r="E7653" s="16">
        <f t="shared" ca="1" si="360"/>
        <v>0</v>
      </c>
    </row>
    <row r="7654" spans="1:5" x14ac:dyDescent="0.25">
      <c r="A7654" s="3">
        <f t="shared" si="358"/>
        <v>78989</v>
      </c>
      <c r="B7654" t="str">
        <f ca="1">TEXT(DATE(YEAR(Invoer!$A$5),1,1)+INT((ROWS(B$2:B7654)-1)/24),"""18""jjmmdd")</f>
        <v>18981115</v>
      </c>
      <c r="C7654" s="11" t="str">
        <f>INDEX(Data,2,2+MOD(ROWS(C$2:C7654)-1,24))</f>
        <v>21.00</v>
      </c>
      <c r="D7654" s="8">
        <f t="shared" ca="1" si="359"/>
        <v>12</v>
      </c>
      <c r="E7654" s="16">
        <f t="shared" ca="1" si="360"/>
        <v>0</v>
      </c>
    </row>
    <row r="7655" spans="1:5" x14ac:dyDescent="0.25">
      <c r="A7655" s="3">
        <f t="shared" si="358"/>
        <v>78989</v>
      </c>
      <c r="B7655" t="str">
        <f ca="1">TEXT(DATE(YEAR(Invoer!$A$5),1,1)+INT((ROWS(B$2:B7655)-1)/24),"""18""jjmmdd")</f>
        <v>18981115</v>
      </c>
      <c r="C7655" s="11" t="str">
        <f>INDEX(Data,2,2+MOD(ROWS(C$2:C7655)-1,24))</f>
        <v>22.00</v>
      </c>
      <c r="D7655" s="8">
        <f t="shared" ca="1" si="359"/>
        <v>12</v>
      </c>
      <c r="E7655" s="16">
        <f t="shared" ca="1" si="360"/>
        <v>0</v>
      </c>
    </row>
    <row r="7656" spans="1:5" x14ac:dyDescent="0.25">
      <c r="A7656" s="3">
        <f t="shared" si="358"/>
        <v>78989</v>
      </c>
      <c r="B7656" t="str">
        <f ca="1">TEXT(DATE(YEAR(Invoer!$A$5),1,1)+INT((ROWS(B$2:B7656)-1)/24),"""18""jjmmdd")</f>
        <v>18981115</v>
      </c>
      <c r="C7656" s="11" t="str">
        <f>INDEX(Data,2,2+MOD(ROWS(C$2:C7656)-1,24))</f>
        <v>23.00</v>
      </c>
      <c r="D7656" s="8">
        <f t="shared" ca="1" si="359"/>
        <v>11</v>
      </c>
      <c r="E7656" s="16">
        <f t="shared" ca="1" si="360"/>
        <v>0</v>
      </c>
    </row>
    <row r="7657" spans="1:5" x14ac:dyDescent="0.25">
      <c r="A7657" s="3">
        <f t="shared" si="358"/>
        <v>78989</v>
      </c>
      <c r="B7657" t="str">
        <f ca="1">TEXT(DATE(YEAR(Invoer!$A$5),1,1)+INT((ROWS(B$2:B7657)-1)/24),"""18""jjmmdd")</f>
        <v>18981115</v>
      </c>
      <c r="C7657" s="11" t="str">
        <f>INDEX(Data,2,2+MOD(ROWS(C$2:C7657)-1,24))</f>
        <v>24.00</v>
      </c>
      <c r="D7657" s="8">
        <f t="shared" ca="1" si="359"/>
        <v>11</v>
      </c>
      <c r="E7657" s="16">
        <f t="shared" ca="1" si="360"/>
        <v>0</v>
      </c>
    </row>
    <row r="7658" spans="1:5" x14ac:dyDescent="0.25">
      <c r="A7658" s="3">
        <f t="shared" si="358"/>
        <v>78989</v>
      </c>
      <c r="B7658" t="str">
        <f ca="1">TEXT(DATE(YEAR(Invoer!$A$5),1,1)+INT((ROWS(B$2:B7658)-1)/24),"""18""jjmmdd")</f>
        <v>18981116</v>
      </c>
      <c r="C7658" s="11" t="str">
        <f>INDEX(Data,2,2+MOD(ROWS(C$2:C7658)-1,24))</f>
        <v>01.00</v>
      </c>
      <c r="D7658" s="8">
        <f t="shared" ca="1" si="359"/>
        <v>10</v>
      </c>
      <c r="E7658" s="16">
        <f t="shared" ca="1" si="360"/>
        <v>0</v>
      </c>
    </row>
    <row r="7659" spans="1:5" x14ac:dyDescent="0.25">
      <c r="A7659" s="3">
        <f t="shared" si="358"/>
        <v>78989</v>
      </c>
      <c r="B7659" t="str">
        <f ca="1">TEXT(DATE(YEAR(Invoer!$A$5),1,1)+INT((ROWS(B$2:B7659)-1)/24),"""18""jjmmdd")</f>
        <v>18981116</v>
      </c>
      <c r="C7659" s="11" t="str">
        <f>INDEX(Data,2,2+MOD(ROWS(C$2:C7659)-1,24))</f>
        <v>02.00</v>
      </c>
      <c r="D7659" s="8">
        <f t="shared" ca="1" si="359"/>
        <v>9</v>
      </c>
      <c r="E7659" s="16">
        <f t="shared" ca="1" si="360"/>
        <v>0</v>
      </c>
    </row>
    <row r="7660" spans="1:5" x14ac:dyDescent="0.25">
      <c r="A7660" s="3">
        <f t="shared" si="358"/>
        <v>78989</v>
      </c>
      <c r="B7660" t="str">
        <f ca="1">TEXT(DATE(YEAR(Invoer!$A$5),1,1)+INT((ROWS(B$2:B7660)-1)/24),"""18""jjmmdd")</f>
        <v>18981116</v>
      </c>
      <c r="C7660" s="11" t="str">
        <f>INDEX(Data,2,2+MOD(ROWS(C$2:C7660)-1,24))</f>
        <v>03.00</v>
      </c>
      <c r="D7660" s="8">
        <f t="shared" ca="1" si="359"/>
        <v>10</v>
      </c>
      <c r="E7660" s="16">
        <f t="shared" ca="1" si="360"/>
        <v>0</v>
      </c>
    </row>
    <row r="7661" spans="1:5" x14ac:dyDescent="0.25">
      <c r="A7661" s="3">
        <f t="shared" si="358"/>
        <v>78989</v>
      </c>
      <c r="B7661" t="str">
        <f ca="1">TEXT(DATE(YEAR(Invoer!$A$5),1,1)+INT((ROWS(B$2:B7661)-1)/24),"""18""jjmmdd")</f>
        <v>18981116</v>
      </c>
      <c r="C7661" s="11" t="str">
        <f>INDEX(Data,2,2+MOD(ROWS(C$2:C7661)-1,24))</f>
        <v>04.00</v>
      </c>
      <c r="D7661" s="8">
        <f t="shared" ca="1" si="359"/>
        <v>11</v>
      </c>
      <c r="E7661" s="16">
        <f t="shared" ca="1" si="360"/>
        <v>0</v>
      </c>
    </row>
    <row r="7662" spans="1:5" x14ac:dyDescent="0.25">
      <c r="A7662" s="3">
        <f t="shared" si="358"/>
        <v>78989</v>
      </c>
      <c r="B7662" t="str">
        <f ca="1">TEXT(DATE(YEAR(Invoer!$A$5),1,1)+INT((ROWS(B$2:B7662)-1)/24),"""18""jjmmdd")</f>
        <v>18981116</v>
      </c>
      <c r="C7662" s="11" t="str">
        <f>INDEX(Data,2,2+MOD(ROWS(C$2:C7662)-1,24))</f>
        <v>05.00</v>
      </c>
      <c r="D7662" s="8">
        <f t="shared" ca="1" si="359"/>
        <v>13</v>
      </c>
      <c r="E7662" s="16">
        <f t="shared" ca="1" si="360"/>
        <v>0</v>
      </c>
    </row>
    <row r="7663" spans="1:5" x14ac:dyDescent="0.25">
      <c r="A7663" s="3">
        <f t="shared" si="358"/>
        <v>78989</v>
      </c>
      <c r="B7663" t="str">
        <f ca="1">TEXT(DATE(YEAR(Invoer!$A$5),1,1)+INT((ROWS(B$2:B7663)-1)/24),"""18""jjmmdd")</f>
        <v>18981116</v>
      </c>
      <c r="C7663" s="11" t="str">
        <f>INDEX(Data,2,2+MOD(ROWS(C$2:C7663)-1,24))</f>
        <v>06.00</v>
      </c>
      <c r="D7663" s="8">
        <f t="shared" ca="1" si="359"/>
        <v>13</v>
      </c>
      <c r="E7663" s="16">
        <f t="shared" ca="1" si="360"/>
        <v>0</v>
      </c>
    </row>
    <row r="7664" spans="1:5" x14ac:dyDescent="0.25">
      <c r="A7664" s="3">
        <f t="shared" si="358"/>
        <v>78989</v>
      </c>
      <c r="B7664" t="str">
        <f ca="1">TEXT(DATE(YEAR(Invoer!$A$5),1,1)+INT((ROWS(B$2:B7664)-1)/24),"""18""jjmmdd")</f>
        <v>18981116</v>
      </c>
      <c r="C7664" s="11" t="str">
        <f>INDEX(Data,2,2+MOD(ROWS(C$2:C7664)-1,24))</f>
        <v>07.00</v>
      </c>
      <c r="D7664" s="8">
        <f t="shared" ca="1" si="359"/>
        <v>12</v>
      </c>
      <c r="E7664" s="16">
        <f t="shared" ca="1" si="360"/>
        <v>0</v>
      </c>
    </row>
    <row r="7665" spans="1:5" x14ac:dyDescent="0.25">
      <c r="A7665" s="3">
        <f t="shared" si="358"/>
        <v>78989</v>
      </c>
      <c r="B7665" t="str">
        <f ca="1">TEXT(DATE(YEAR(Invoer!$A$5),1,1)+INT((ROWS(B$2:B7665)-1)/24),"""18""jjmmdd")</f>
        <v>18981116</v>
      </c>
      <c r="C7665" s="11" t="str">
        <f>INDEX(Data,2,2+MOD(ROWS(C$2:C7665)-1,24))</f>
        <v>08.00</v>
      </c>
      <c r="D7665" s="8">
        <f t="shared" ca="1" si="359"/>
        <v>14</v>
      </c>
      <c r="E7665" s="16">
        <f t="shared" ca="1" si="360"/>
        <v>0</v>
      </c>
    </row>
    <row r="7666" spans="1:5" x14ac:dyDescent="0.25">
      <c r="A7666" s="3">
        <f t="shared" si="358"/>
        <v>78989</v>
      </c>
      <c r="B7666" t="str">
        <f ca="1">TEXT(DATE(YEAR(Invoer!$A$5),1,1)+INT((ROWS(B$2:B7666)-1)/24),"""18""jjmmdd")</f>
        <v>18981116</v>
      </c>
      <c r="C7666" s="11" t="str">
        <f>INDEX(Data,2,2+MOD(ROWS(C$2:C7666)-1,24))</f>
        <v>09.00</v>
      </c>
      <c r="D7666" s="8">
        <f t="shared" ca="1" si="359"/>
        <v>14</v>
      </c>
      <c r="E7666" s="16">
        <f t="shared" ca="1" si="360"/>
        <v>0</v>
      </c>
    </row>
    <row r="7667" spans="1:5" x14ac:dyDescent="0.25">
      <c r="A7667" s="3">
        <f t="shared" si="358"/>
        <v>78989</v>
      </c>
      <c r="B7667" t="str">
        <f ca="1">TEXT(DATE(YEAR(Invoer!$A$5),1,1)+INT((ROWS(B$2:B7667)-1)/24),"""18""jjmmdd")</f>
        <v>18981116</v>
      </c>
      <c r="C7667" s="11" t="str">
        <f>INDEX(Data,2,2+MOD(ROWS(C$2:C7667)-1,24))</f>
        <v>10.00</v>
      </c>
      <c r="D7667" s="8">
        <f t="shared" ca="1" si="359"/>
        <v>13</v>
      </c>
      <c r="E7667" s="16">
        <f t="shared" ca="1" si="360"/>
        <v>0</v>
      </c>
    </row>
    <row r="7668" spans="1:5" x14ac:dyDescent="0.25">
      <c r="A7668" s="3">
        <f t="shared" si="358"/>
        <v>78989</v>
      </c>
      <c r="B7668" t="str">
        <f ca="1">TEXT(DATE(YEAR(Invoer!$A$5),1,1)+INT((ROWS(B$2:B7668)-1)/24),"""18""jjmmdd")</f>
        <v>18981116</v>
      </c>
      <c r="C7668" s="11" t="str">
        <f>INDEX(Data,2,2+MOD(ROWS(C$2:C7668)-1,24))</f>
        <v>11.00</v>
      </c>
      <c r="D7668" s="8">
        <f t="shared" ca="1" si="359"/>
        <v>12</v>
      </c>
      <c r="E7668" s="16">
        <f t="shared" ca="1" si="360"/>
        <v>0</v>
      </c>
    </row>
    <row r="7669" spans="1:5" x14ac:dyDescent="0.25">
      <c r="A7669" s="3">
        <f t="shared" si="358"/>
        <v>78989</v>
      </c>
      <c r="B7669" t="str">
        <f ca="1">TEXT(DATE(YEAR(Invoer!$A$5),1,1)+INT((ROWS(B$2:B7669)-1)/24),"""18""jjmmdd")</f>
        <v>18981116</v>
      </c>
      <c r="C7669" s="11" t="str">
        <f>INDEX(Data,2,2+MOD(ROWS(C$2:C7669)-1,24))</f>
        <v>12.00</v>
      </c>
      <c r="D7669" s="8">
        <f t="shared" ca="1" si="359"/>
        <v>13</v>
      </c>
      <c r="E7669" s="16">
        <f t="shared" ca="1" si="360"/>
        <v>0</v>
      </c>
    </row>
    <row r="7670" spans="1:5" x14ac:dyDescent="0.25">
      <c r="A7670" s="3">
        <f t="shared" si="358"/>
        <v>78989</v>
      </c>
      <c r="B7670" t="str">
        <f ca="1">TEXT(DATE(YEAR(Invoer!$A$5),1,1)+INT((ROWS(B$2:B7670)-1)/24),"""18""jjmmdd")</f>
        <v>18981116</v>
      </c>
      <c r="C7670" s="11" t="str">
        <f>INDEX(Data,2,2+MOD(ROWS(C$2:C7670)-1,24))</f>
        <v>13.00</v>
      </c>
      <c r="D7670" s="8">
        <f t="shared" ca="1" si="359"/>
        <v>13</v>
      </c>
      <c r="E7670" s="16">
        <f t="shared" ca="1" si="360"/>
        <v>0</v>
      </c>
    </row>
    <row r="7671" spans="1:5" x14ac:dyDescent="0.25">
      <c r="A7671" s="3">
        <f t="shared" si="358"/>
        <v>78989</v>
      </c>
      <c r="B7671" t="str">
        <f ca="1">TEXT(DATE(YEAR(Invoer!$A$5),1,1)+INT((ROWS(B$2:B7671)-1)/24),"""18""jjmmdd")</f>
        <v>18981116</v>
      </c>
      <c r="C7671" s="11" t="str">
        <f>INDEX(Data,2,2+MOD(ROWS(C$2:C7671)-1,24))</f>
        <v>14.00</v>
      </c>
      <c r="D7671" s="8">
        <f t="shared" ca="1" si="359"/>
        <v>11</v>
      </c>
      <c r="E7671" s="16">
        <f t="shared" ca="1" si="360"/>
        <v>0</v>
      </c>
    </row>
    <row r="7672" spans="1:5" x14ac:dyDescent="0.25">
      <c r="A7672" s="3">
        <f t="shared" si="358"/>
        <v>78989</v>
      </c>
      <c r="B7672" t="str">
        <f ca="1">TEXT(DATE(YEAR(Invoer!$A$5),1,1)+INT((ROWS(B$2:B7672)-1)/24),"""18""jjmmdd")</f>
        <v>18981116</v>
      </c>
      <c r="C7672" s="11" t="str">
        <f>INDEX(Data,2,2+MOD(ROWS(C$2:C7672)-1,24))</f>
        <v>15.00</v>
      </c>
      <c r="D7672" s="8">
        <f t="shared" ca="1" si="359"/>
        <v>12</v>
      </c>
      <c r="E7672" s="16">
        <f t="shared" ca="1" si="360"/>
        <v>0</v>
      </c>
    </row>
    <row r="7673" spans="1:5" x14ac:dyDescent="0.25">
      <c r="A7673" s="3">
        <f t="shared" si="358"/>
        <v>78989</v>
      </c>
      <c r="B7673" t="str">
        <f ca="1">TEXT(DATE(YEAR(Invoer!$A$5),1,1)+INT((ROWS(B$2:B7673)-1)/24),"""18""jjmmdd")</f>
        <v>18981116</v>
      </c>
      <c r="C7673" s="11" t="str">
        <f>INDEX(Data,2,2+MOD(ROWS(C$2:C7673)-1,24))</f>
        <v>16.00</v>
      </c>
      <c r="D7673" s="8">
        <f t="shared" ca="1" si="359"/>
        <v>13</v>
      </c>
      <c r="E7673" s="16">
        <f t="shared" ca="1" si="360"/>
        <v>0</v>
      </c>
    </row>
    <row r="7674" spans="1:5" x14ac:dyDescent="0.25">
      <c r="A7674" s="3">
        <f t="shared" si="358"/>
        <v>78989</v>
      </c>
      <c r="B7674" t="str">
        <f ca="1">TEXT(DATE(YEAR(Invoer!$A$5),1,1)+INT((ROWS(B$2:B7674)-1)/24),"""18""jjmmdd")</f>
        <v>18981116</v>
      </c>
      <c r="C7674" s="11" t="str">
        <f>INDEX(Data,2,2+MOD(ROWS(C$2:C7674)-1,24))</f>
        <v>17.00</v>
      </c>
      <c r="D7674" s="8">
        <f t="shared" ca="1" si="359"/>
        <v>13</v>
      </c>
      <c r="E7674" s="16">
        <f t="shared" ca="1" si="360"/>
        <v>0</v>
      </c>
    </row>
    <row r="7675" spans="1:5" x14ac:dyDescent="0.25">
      <c r="A7675" s="3">
        <f t="shared" si="358"/>
        <v>78989</v>
      </c>
      <c r="B7675" t="str">
        <f ca="1">TEXT(DATE(YEAR(Invoer!$A$5),1,1)+INT((ROWS(B$2:B7675)-1)/24),"""18""jjmmdd")</f>
        <v>18981116</v>
      </c>
      <c r="C7675" s="11" t="str">
        <f>INDEX(Data,2,2+MOD(ROWS(C$2:C7675)-1,24))</f>
        <v>18.00</v>
      </c>
      <c r="D7675" s="8">
        <f t="shared" ca="1" si="359"/>
        <v>11</v>
      </c>
      <c r="E7675" s="16">
        <f t="shared" ca="1" si="360"/>
        <v>0</v>
      </c>
    </row>
    <row r="7676" spans="1:5" x14ac:dyDescent="0.25">
      <c r="A7676" s="3">
        <f t="shared" si="358"/>
        <v>78989</v>
      </c>
      <c r="B7676" t="str">
        <f ca="1">TEXT(DATE(YEAR(Invoer!$A$5),1,1)+INT((ROWS(B$2:B7676)-1)/24),"""18""jjmmdd")</f>
        <v>18981116</v>
      </c>
      <c r="C7676" s="11" t="str">
        <f>INDEX(Data,2,2+MOD(ROWS(C$2:C7676)-1,24))</f>
        <v>19.00</v>
      </c>
      <c r="D7676" s="8">
        <f t="shared" ca="1" si="359"/>
        <v>11</v>
      </c>
      <c r="E7676" s="16">
        <f t="shared" ca="1" si="360"/>
        <v>0</v>
      </c>
    </row>
    <row r="7677" spans="1:5" x14ac:dyDescent="0.25">
      <c r="A7677" s="3">
        <f t="shared" si="358"/>
        <v>78989</v>
      </c>
      <c r="B7677" t="str">
        <f ca="1">TEXT(DATE(YEAR(Invoer!$A$5),1,1)+INT((ROWS(B$2:B7677)-1)/24),"""18""jjmmdd")</f>
        <v>18981116</v>
      </c>
      <c r="C7677" s="11" t="str">
        <f>INDEX(Data,2,2+MOD(ROWS(C$2:C7677)-1,24))</f>
        <v>20.00</v>
      </c>
      <c r="D7677" s="8">
        <f t="shared" ca="1" si="359"/>
        <v>10</v>
      </c>
      <c r="E7677" s="16">
        <f t="shared" ca="1" si="360"/>
        <v>0</v>
      </c>
    </row>
    <row r="7678" spans="1:5" x14ac:dyDescent="0.25">
      <c r="A7678" s="3">
        <f t="shared" si="358"/>
        <v>78989</v>
      </c>
      <c r="B7678" t="str">
        <f ca="1">TEXT(DATE(YEAR(Invoer!$A$5),1,1)+INT((ROWS(B$2:B7678)-1)/24),"""18""jjmmdd")</f>
        <v>18981116</v>
      </c>
      <c r="C7678" s="11" t="str">
        <f>INDEX(Data,2,2+MOD(ROWS(C$2:C7678)-1,24))</f>
        <v>21.00</v>
      </c>
      <c r="D7678" s="8">
        <f t="shared" ca="1" si="359"/>
        <v>12</v>
      </c>
      <c r="E7678" s="16">
        <f t="shared" ca="1" si="360"/>
        <v>0</v>
      </c>
    </row>
    <row r="7679" spans="1:5" x14ac:dyDescent="0.25">
      <c r="A7679" s="3">
        <f t="shared" si="358"/>
        <v>78989</v>
      </c>
      <c r="B7679" t="str">
        <f ca="1">TEXT(DATE(YEAR(Invoer!$A$5),1,1)+INT((ROWS(B$2:B7679)-1)/24),"""18""jjmmdd")</f>
        <v>18981116</v>
      </c>
      <c r="C7679" s="11" t="str">
        <f>INDEX(Data,2,2+MOD(ROWS(C$2:C7679)-1,24))</f>
        <v>22.00</v>
      </c>
      <c r="D7679" s="8">
        <f t="shared" ca="1" si="359"/>
        <v>13</v>
      </c>
      <c r="E7679" s="16">
        <f t="shared" ca="1" si="360"/>
        <v>0</v>
      </c>
    </row>
    <row r="7680" spans="1:5" x14ac:dyDescent="0.25">
      <c r="A7680" s="3">
        <f t="shared" si="358"/>
        <v>78989</v>
      </c>
      <c r="B7680" t="str">
        <f ca="1">TEXT(DATE(YEAR(Invoer!$A$5),1,1)+INT((ROWS(B$2:B7680)-1)/24),"""18""jjmmdd")</f>
        <v>18981116</v>
      </c>
      <c r="C7680" s="11" t="str">
        <f>INDEX(Data,2,2+MOD(ROWS(C$2:C7680)-1,24))</f>
        <v>23.00</v>
      </c>
      <c r="D7680" s="8">
        <f t="shared" ca="1" si="359"/>
        <v>12</v>
      </c>
      <c r="E7680" s="16">
        <f t="shared" ca="1" si="360"/>
        <v>0</v>
      </c>
    </row>
    <row r="7681" spans="1:5" x14ac:dyDescent="0.25">
      <c r="A7681" s="3">
        <f t="shared" si="358"/>
        <v>78989</v>
      </c>
      <c r="B7681" t="str">
        <f ca="1">TEXT(DATE(YEAR(Invoer!$A$5),1,1)+INT((ROWS(B$2:B7681)-1)/24),"""18""jjmmdd")</f>
        <v>18981116</v>
      </c>
      <c r="C7681" s="11" t="str">
        <f>INDEX(Data,2,2+MOD(ROWS(C$2:C7681)-1,24))</f>
        <v>24.00</v>
      </c>
      <c r="D7681" s="8">
        <f t="shared" ca="1" si="359"/>
        <v>11</v>
      </c>
      <c r="E7681" s="16">
        <f t="shared" ca="1" si="360"/>
        <v>0</v>
      </c>
    </row>
    <row r="7682" spans="1:5" x14ac:dyDescent="0.25">
      <c r="A7682" s="3">
        <f t="shared" ref="A7682:A7745" si="361">INDEX(Stations,2,1)</f>
        <v>78989</v>
      </c>
      <c r="B7682" t="str">
        <f ca="1">TEXT(DATE(YEAR(Invoer!$A$5),1,1)+INT((ROWS(B$2:B7682)-1)/24),"""18""jjmmdd")</f>
        <v>18981117</v>
      </c>
      <c r="C7682" s="11" t="str">
        <f>INDEX(Data,2,2+MOD(ROWS(C$2:C7682)-1,24))</f>
        <v>01.00</v>
      </c>
      <c r="D7682" s="8">
        <f t="shared" ref="D7682:D7745" ca="1" si="362">IF(OR(ISBLANK(VLOOKUP(DATEVALUE("37"&amp;MID($B7682,3,2)&amp;"-"&amp;MID($B7682,5,2)&amp;"-"&amp;RIGHT($B7682,2)),Data,MATCH(LEFT(VLOOKUP(D$1,Parameters,2,FALSE()),4)&amp;"*",OFFSET(Data,0,0,1),0)+MATCH($C7682,OFFSET(Data,1,0,1),0)-2,FALSE())),ISTEXT(VLOOKUP(DATEVALUE("37"&amp;MID($B7682,3,2)&amp;"-"&amp;MID($B7682,5,2)&amp;"-"&amp;RIGHT($B7682,2)),Data,MATCH(LEFT(VLOOKUP(D$1,Parameters,2,FALSE()),4)&amp;"*",OFFSET(Data,0,0,1),0)+MATCH($C7682,OFFSET(Data,1,0,1),0)-2,FALSE()))),"—",VLOOKUP(DATEVALUE("37"&amp;MID($B7682,3,2)&amp;"-"&amp;MID($B7682,5,2)&amp;"-"&amp;RIGHT($B7682,2)),Data,MATCH(LEFT(VLOOKUP(D$1,Parameters,2,FALSE()),4)&amp;"*",OFFSET(Data,0,0,1),0)+MATCH($C7682,OFFSET(Data,1,0,1),0)-2,FALSE()))</f>
        <v>10</v>
      </c>
      <c r="E7682" s="16">
        <f t="shared" ca="1" si="360"/>
        <v>0</v>
      </c>
    </row>
    <row r="7683" spans="1:5" x14ac:dyDescent="0.25">
      <c r="A7683" s="3">
        <f t="shared" si="361"/>
        <v>78989</v>
      </c>
      <c r="B7683" t="str">
        <f ca="1">TEXT(DATE(YEAR(Invoer!$A$5),1,1)+INT((ROWS(B$2:B7683)-1)/24),"""18""jjmmdd")</f>
        <v>18981117</v>
      </c>
      <c r="C7683" s="11" t="str">
        <f>INDEX(Data,2,2+MOD(ROWS(C$2:C7683)-1,24))</f>
        <v>02.00</v>
      </c>
      <c r="D7683" s="8">
        <f t="shared" ca="1" si="362"/>
        <v>11</v>
      </c>
      <c r="E7683" s="16">
        <f t="shared" ref="E7683:E7746" ca="1" si="363">IF(OR(ISBLANK(VLOOKUP(DATEVALUE("37"&amp;MID($B7683,3,2)&amp;"-"&amp;MID($B7683,5,2)&amp;"-"&amp;RIGHT($B7683,2)),Data,MATCH(LEFT(VLOOKUP(D$1,Parameters,2,FALSE()),4)&amp;"*",OFFSET(Data,0,0,1),0)+MATCH($C7683,OFFSET(Data,1,0,1),0)-2,FALSE())),ISTEXT(VLOOKUP(DATEVALUE("37"&amp;MID($B7683,3,2)&amp;"-"&amp;MID($B7683,5,2)&amp;"-"&amp;RIGHT($B7683,2)),Data,MATCH(LEFT(VLOOKUP(D$1,Parameters,2,FALSE()),4)&amp;"*",OFFSET(Data,0,0,1),0)+MATCH($C7683,OFFSET(Data,1,0,1),0)-2,FALSE()))),Lacking,IF(ISNA(MATCH(DATEVALUE("37"&amp;MID($B7683,3,2)&amp;"-"&amp;MID($B7683,5,2)&amp;"-"&amp;RIGHT($B7683,2)),OFFSET(Catalogus,0,0,,1),0)),Ok,VLOOKUP(DATEVALUE("37"&amp;MID($B7683,3,2)&amp;"-"&amp;MID($B7683,5,2)&amp;"-"&amp;RIGHT($B7683,2)),Catalogus,MATCH(LEFT(VLOOKUP(MID(E$1,2,LEN(E$1)-1),Parameters,2,FALSE()),4)&amp;"*",OFFSET(Catalogus,0,0,1),0)+MATCH($C7683,OFFSET(Catalogus,1,0,1),0)-2,FALSE())))</f>
        <v>0</v>
      </c>
    </row>
    <row r="7684" spans="1:5" x14ac:dyDescent="0.25">
      <c r="A7684" s="3">
        <f t="shared" si="361"/>
        <v>78989</v>
      </c>
      <c r="B7684" t="str">
        <f ca="1">TEXT(DATE(YEAR(Invoer!$A$5),1,1)+INT((ROWS(B$2:B7684)-1)/24),"""18""jjmmdd")</f>
        <v>18981117</v>
      </c>
      <c r="C7684" s="11" t="str">
        <f>INDEX(Data,2,2+MOD(ROWS(C$2:C7684)-1,24))</f>
        <v>03.00</v>
      </c>
      <c r="D7684" s="8">
        <f t="shared" ca="1" si="362"/>
        <v>11</v>
      </c>
      <c r="E7684" s="16">
        <f t="shared" ca="1" si="363"/>
        <v>0</v>
      </c>
    </row>
    <row r="7685" spans="1:5" x14ac:dyDescent="0.25">
      <c r="A7685" s="3">
        <f t="shared" si="361"/>
        <v>78989</v>
      </c>
      <c r="B7685" t="str">
        <f ca="1">TEXT(DATE(YEAR(Invoer!$A$5),1,1)+INT((ROWS(B$2:B7685)-1)/24),"""18""jjmmdd")</f>
        <v>18981117</v>
      </c>
      <c r="C7685" s="11" t="str">
        <f>INDEX(Data,2,2+MOD(ROWS(C$2:C7685)-1,24))</f>
        <v>04.00</v>
      </c>
      <c r="D7685" s="8">
        <f t="shared" ca="1" si="362"/>
        <v>10</v>
      </c>
      <c r="E7685" s="16">
        <f t="shared" ca="1" si="363"/>
        <v>0</v>
      </c>
    </row>
    <row r="7686" spans="1:5" x14ac:dyDescent="0.25">
      <c r="A7686" s="3">
        <f t="shared" si="361"/>
        <v>78989</v>
      </c>
      <c r="B7686" t="str">
        <f ca="1">TEXT(DATE(YEAR(Invoer!$A$5),1,1)+INT((ROWS(B$2:B7686)-1)/24),"""18""jjmmdd")</f>
        <v>18981117</v>
      </c>
      <c r="C7686" s="11" t="str">
        <f>INDEX(Data,2,2+MOD(ROWS(C$2:C7686)-1,24))</f>
        <v>05.00</v>
      </c>
      <c r="D7686" s="8">
        <f t="shared" ca="1" si="362"/>
        <v>10</v>
      </c>
      <c r="E7686" s="16">
        <f t="shared" ca="1" si="363"/>
        <v>0</v>
      </c>
    </row>
    <row r="7687" spans="1:5" x14ac:dyDescent="0.25">
      <c r="A7687" s="3">
        <f t="shared" si="361"/>
        <v>78989</v>
      </c>
      <c r="B7687" t="str">
        <f ca="1">TEXT(DATE(YEAR(Invoer!$A$5),1,1)+INT((ROWS(B$2:B7687)-1)/24),"""18""jjmmdd")</f>
        <v>18981117</v>
      </c>
      <c r="C7687" s="11" t="str">
        <f>INDEX(Data,2,2+MOD(ROWS(C$2:C7687)-1,24))</f>
        <v>06.00</v>
      </c>
      <c r="D7687" s="8">
        <f t="shared" ca="1" si="362"/>
        <v>10</v>
      </c>
      <c r="E7687" s="16">
        <f t="shared" ca="1" si="363"/>
        <v>0</v>
      </c>
    </row>
    <row r="7688" spans="1:5" x14ac:dyDescent="0.25">
      <c r="A7688" s="3">
        <f t="shared" si="361"/>
        <v>78989</v>
      </c>
      <c r="B7688" t="str">
        <f ca="1">TEXT(DATE(YEAR(Invoer!$A$5),1,1)+INT((ROWS(B$2:B7688)-1)/24),"""18""jjmmdd")</f>
        <v>18981117</v>
      </c>
      <c r="C7688" s="11" t="str">
        <f>INDEX(Data,2,2+MOD(ROWS(C$2:C7688)-1,24))</f>
        <v>07.00</v>
      </c>
      <c r="D7688" s="8">
        <f t="shared" ca="1" si="362"/>
        <v>12</v>
      </c>
      <c r="E7688" s="16">
        <f t="shared" ca="1" si="363"/>
        <v>0</v>
      </c>
    </row>
    <row r="7689" spans="1:5" x14ac:dyDescent="0.25">
      <c r="A7689" s="3">
        <f t="shared" si="361"/>
        <v>78989</v>
      </c>
      <c r="B7689" t="str">
        <f ca="1">TEXT(DATE(YEAR(Invoer!$A$5),1,1)+INT((ROWS(B$2:B7689)-1)/24),"""18""jjmmdd")</f>
        <v>18981117</v>
      </c>
      <c r="C7689" s="11" t="str">
        <f>INDEX(Data,2,2+MOD(ROWS(C$2:C7689)-1,24))</f>
        <v>08.00</v>
      </c>
      <c r="D7689" s="8">
        <f t="shared" ca="1" si="362"/>
        <v>13</v>
      </c>
      <c r="E7689" s="16">
        <f t="shared" ca="1" si="363"/>
        <v>0</v>
      </c>
    </row>
    <row r="7690" spans="1:5" x14ac:dyDescent="0.25">
      <c r="A7690" s="3">
        <f t="shared" si="361"/>
        <v>78989</v>
      </c>
      <c r="B7690" t="str">
        <f ca="1">TEXT(DATE(YEAR(Invoer!$A$5),1,1)+INT((ROWS(B$2:B7690)-1)/24),"""18""jjmmdd")</f>
        <v>18981117</v>
      </c>
      <c r="C7690" s="11" t="str">
        <f>INDEX(Data,2,2+MOD(ROWS(C$2:C7690)-1,24))</f>
        <v>09.00</v>
      </c>
      <c r="D7690" s="8">
        <f t="shared" ca="1" si="362"/>
        <v>13</v>
      </c>
      <c r="E7690" s="16">
        <f t="shared" ca="1" si="363"/>
        <v>0</v>
      </c>
    </row>
    <row r="7691" spans="1:5" x14ac:dyDescent="0.25">
      <c r="A7691" s="3">
        <f t="shared" si="361"/>
        <v>78989</v>
      </c>
      <c r="B7691" t="str">
        <f ca="1">TEXT(DATE(YEAR(Invoer!$A$5),1,1)+INT((ROWS(B$2:B7691)-1)/24),"""18""jjmmdd")</f>
        <v>18981117</v>
      </c>
      <c r="C7691" s="11" t="str">
        <f>INDEX(Data,2,2+MOD(ROWS(C$2:C7691)-1,24))</f>
        <v>10.00</v>
      </c>
      <c r="D7691" s="8">
        <f t="shared" ca="1" si="362"/>
        <v>13</v>
      </c>
      <c r="E7691" s="16">
        <f t="shared" ca="1" si="363"/>
        <v>0</v>
      </c>
    </row>
    <row r="7692" spans="1:5" x14ac:dyDescent="0.25">
      <c r="A7692" s="3">
        <f t="shared" si="361"/>
        <v>78989</v>
      </c>
      <c r="B7692" t="str">
        <f ca="1">TEXT(DATE(YEAR(Invoer!$A$5),1,1)+INT((ROWS(B$2:B7692)-1)/24),"""18""jjmmdd")</f>
        <v>18981117</v>
      </c>
      <c r="C7692" s="11" t="str">
        <f>INDEX(Data,2,2+MOD(ROWS(C$2:C7692)-1,24))</f>
        <v>11.00</v>
      </c>
      <c r="D7692" s="8">
        <f t="shared" ca="1" si="362"/>
        <v>12</v>
      </c>
      <c r="E7692" s="16">
        <f t="shared" ca="1" si="363"/>
        <v>0</v>
      </c>
    </row>
    <row r="7693" spans="1:5" x14ac:dyDescent="0.25">
      <c r="A7693" s="3">
        <f t="shared" si="361"/>
        <v>78989</v>
      </c>
      <c r="B7693" t="str">
        <f ca="1">TEXT(DATE(YEAR(Invoer!$A$5),1,1)+INT((ROWS(B$2:B7693)-1)/24),"""18""jjmmdd")</f>
        <v>18981117</v>
      </c>
      <c r="C7693" s="11" t="str">
        <f>INDEX(Data,2,2+MOD(ROWS(C$2:C7693)-1,24))</f>
        <v>12.00</v>
      </c>
      <c r="D7693" s="8">
        <f t="shared" ca="1" si="362"/>
        <v>13</v>
      </c>
      <c r="E7693" s="16">
        <f t="shared" ca="1" si="363"/>
        <v>0</v>
      </c>
    </row>
    <row r="7694" spans="1:5" x14ac:dyDescent="0.25">
      <c r="A7694" s="3">
        <f t="shared" si="361"/>
        <v>78989</v>
      </c>
      <c r="B7694" t="str">
        <f ca="1">TEXT(DATE(YEAR(Invoer!$A$5),1,1)+INT((ROWS(B$2:B7694)-1)/24),"""18""jjmmdd")</f>
        <v>18981117</v>
      </c>
      <c r="C7694" s="11" t="str">
        <f>INDEX(Data,2,2+MOD(ROWS(C$2:C7694)-1,24))</f>
        <v>13.00</v>
      </c>
      <c r="D7694" s="8">
        <f t="shared" ca="1" si="362"/>
        <v>12</v>
      </c>
      <c r="E7694" s="16">
        <f t="shared" ca="1" si="363"/>
        <v>0</v>
      </c>
    </row>
    <row r="7695" spans="1:5" x14ac:dyDescent="0.25">
      <c r="A7695" s="3">
        <f t="shared" si="361"/>
        <v>78989</v>
      </c>
      <c r="B7695" t="str">
        <f ca="1">TEXT(DATE(YEAR(Invoer!$A$5),1,1)+INT((ROWS(B$2:B7695)-1)/24),"""18""jjmmdd")</f>
        <v>18981117</v>
      </c>
      <c r="C7695" s="11" t="str">
        <f>INDEX(Data,2,2+MOD(ROWS(C$2:C7695)-1,24))</f>
        <v>14.00</v>
      </c>
      <c r="D7695" s="8">
        <f t="shared" ca="1" si="362"/>
        <v>13</v>
      </c>
      <c r="E7695" s="16">
        <f t="shared" ca="1" si="363"/>
        <v>0</v>
      </c>
    </row>
    <row r="7696" spans="1:5" x14ac:dyDescent="0.25">
      <c r="A7696" s="3">
        <f t="shared" si="361"/>
        <v>78989</v>
      </c>
      <c r="B7696" t="str">
        <f ca="1">TEXT(DATE(YEAR(Invoer!$A$5),1,1)+INT((ROWS(B$2:B7696)-1)/24),"""18""jjmmdd")</f>
        <v>18981117</v>
      </c>
      <c r="C7696" s="11" t="str">
        <f>INDEX(Data,2,2+MOD(ROWS(C$2:C7696)-1,24))</f>
        <v>15.00</v>
      </c>
      <c r="D7696" s="8">
        <f t="shared" ca="1" si="362"/>
        <v>11</v>
      </c>
      <c r="E7696" s="16">
        <f t="shared" ca="1" si="363"/>
        <v>0</v>
      </c>
    </row>
    <row r="7697" spans="1:5" x14ac:dyDescent="0.25">
      <c r="A7697" s="3">
        <f t="shared" si="361"/>
        <v>78989</v>
      </c>
      <c r="B7697" t="str">
        <f ca="1">TEXT(DATE(YEAR(Invoer!$A$5),1,1)+INT((ROWS(B$2:B7697)-1)/24),"""18""jjmmdd")</f>
        <v>18981117</v>
      </c>
      <c r="C7697" s="11" t="str">
        <f>INDEX(Data,2,2+MOD(ROWS(C$2:C7697)-1,24))</f>
        <v>16.00</v>
      </c>
      <c r="D7697" s="8">
        <f t="shared" ca="1" si="362"/>
        <v>14</v>
      </c>
      <c r="E7697" s="16">
        <f t="shared" ca="1" si="363"/>
        <v>0</v>
      </c>
    </row>
    <row r="7698" spans="1:5" x14ac:dyDescent="0.25">
      <c r="A7698" s="3">
        <f t="shared" si="361"/>
        <v>78989</v>
      </c>
      <c r="B7698" t="str">
        <f ca="1">TEXT(DATE(YEAR(Invoer!$A$5),1,1)+INT((ROWS(B$2:B7698)-1)/24),"""18""jjmmdd")</f>
        <v>18981117</v>
      </c>
      <c r="C7698" s="11" t="str">
        <f>INDEX(Data,2,2+MOD(ROWS(C$2:C7698)-1,24))</f>
        <v>17.00</v>
      </c>
      <c r="D7698" s="8">
        <f t="shared" ca="1" si="362"/>
        <v>12</v>
      </c>
      <c r="E7698" s="16">
        <f t="shared" ca="1" si="363"/>
        <v>0</v>
      </c>
    </row>
    <row r="7699" spans="1:5" x14ac:dyDescent="0.25">
      <c r="A7699" s="3">
        <f t="shared" si="361"/>
        <v>78989</v>
      </c>
      <c r="B7699" t="str">
        <f ca="1">TEXT(DATE(YEAR(Invoer!$A$5),1,1)+INT((ROWS(B$2:B7699)-1)/24),"""18""jjmmdd")</f>
        <v>18981117</v>
      </c>
      <c r="C7699" s="11" t="str">
        <f>INDEX(Data,2,2+MOD(ROWS(C$2:C7699)-1,24))</f>
        <v>18.00</v>
      </c>
      <c r="D7699" s="8">
        <f t="shared" ca="1" si="362"/>
        <v>10</v>
      </c>
      <c r="E7699" s="16">
        <f t="shared" ca="1" si="363"/>
        <v>0</v>
      </c>
    </row>
    <row r="7700" spans="1:5" x14ac:dyDescent="0.25">
      <c r="A7700" s="3">
        <f t="shared" si="361"/>
        <v>78989</v>
      </c>
      <c r="B7700" t="str">
        <f ca="1">TEXT(DATE(YEAR(Invoer!$A$5),1,1)+INT((ROWS(B$2:B7700)-1)/24),"""18""jjmmdd")</f>
        <v>18981117</v>
      </c>
      <c r="C7700" s="11" t="str">
        <f>INDEX(Data,2,2+MOD(ROWS(C$2:C7700)-1,24))</f>
        <v>19.00</v>
      </c>
      <c r="D7700" s="8">
        <f t="shared" ca="1" si="362"/>
        <v>11</v>
      </c>
      <c r="E7700" s="16">
        <f t="shared" ca="1" si="363"/>
        <v>0</v>
      </c>
    </row>
    <row r="7701" spans="1:5" x14ac:dyDescent="0.25">
      <c r="A7701" s="3">
        <f t="shared" si="361"/>
        <v>78989</v>
      </c>
      <c r="B7701" t="str">
        <f ca="1">TEXT(DATE(YEAR(Invoer!$A$5),1,1)+INT((ROWS(B$2:B7701)-1)/24),"""18""jjmmdd")</f>
        <v>18981117</v>
      </c>
      <c r="C7701" s="11" t="str">
        <f>INDEX(Data,2,2+MOD(ROWS(C$2:C7701)-1,24))</f>
        <v>20.00</v>
      </c>
      <c r="D7701" s="8">
        <f t="shared" ca="1" si="362"/>
        <v>10</v>
      </c>
      <c r="E7701" s="16">
        <f t="shared" ca="1" si="363"/>
        <v>0</v>
      </c>
    </row>
    <row r="7702" spans="1:5" x14ac:dyDescent="0.25">
      <c r="A7702" s="3">
        <f t="shared" si="361"/>
        <v>78989</v>
      </c>
      <c r="B7702" t="str">
        <f ca="1">TEXT(DATE(YEAR(Invoer!$A$5),1,1)+INT((ROWS(B$2:B7702)-1)/24),"""18""jjmmdd")</f>
        <v>18981117</v>
      </c>
      <c r="C7702" s="11" t="str">
        <f>INDEX(Data,2,2+MOD(ROWS(C$2:C7702)-1,24))</f>
        <v>21.00</v>
      </c>
      <c r="D7702" s="8">
        <f t="shared" ca="1" si="362"/>
        <v>10</v>
      </c>
      <c r="E7702" s="16">
        <f t="shared" ca="1" si="363"/>
        <v>0</v>
      </c>
    </row>
    <row r="7703" spans="1:5" x14ac:dyDescent="0.25">
      <c r="A7703" s="3">
        <f t="shared" si="361"/>
        <v>78989</v>
      </c>
      <c r="B7703" t="str">
        <f ca="1">TEXT(DATE(YEAR(Invoer!$A$5),1,1)+INT((ROWS(B$2:B7703)-1)/24),"""18""jjmmdd")</f>
        <v>18981117</v>
      </c>
      <c r="C7703" s="11" t="str">
        <f>INDEX(Data,2,2+MOD(ROWS(C$2:C7703)-1,24))</f>
        <v>22.00</v>
      </c>
      <c r="D7703" s="8">
        <f t="shared" ca="1" si="362"/>
        <v>13</v>
      </c>
      <c r="E7703" s="16">
        <f t="shared" ca="1" si="363"/>
        <v>0</v>
      </c>
    </row>
    <row r="7704" spans="1:5" x14ac:dyDescent="0.25">
      <c r="A7704" s="3">
        <f t="shared" si="361"/>
        <v>78989</v>
      </c>
      <c r="B7704" t="str">
        <f ca="1">TEXT(DATE(YEAR(Invoer!$A$5),1,1)+INT((ROWS(B$2:B7704)-1)/24),"""18""jjmmdd")</f>
        <v>18981117</v>
      </c>
      <c r="C7704" s="11" t="str">
        <f>INDEX(Data,2,2+MOD(ROWS(C$2:C7704)-1,24))</f>
        <v>23.00</v>
      </c>
      <c r="D7704" s="8">
        <f t="shared" ca="1" si="362"/>
        <v>11</v>
      </c>
      <c r="E7704" s="16">
        <f t="shared" ca="1" si="363"/>
        <v>0</v>
      </c>
    </row>
    <row r="7705" spans="1:5" x14ac:dyDescent="0.25">
      <c r="A7705" s="3">
        <f t="shared" si="361"/>
        <v>78989</v>
      </c>
      <c r="B7705" t="str">
        <f ca="1">TEXT(DATE(YEAR(Invoer!$A$5),1,1)+INT((ROWS(B$2:B7705)-1)/24),"""18""jjmmdd")</f>
        <v>18981117</v>
      </c>
      <c r="C7705" s="11" t="str">
        <f>INDEX(Data,2,2+MOD(ROWS(C$2:C7705)-1,24))</f>
        <v>24.00</v>
      </c>
      <c r="D7705" s="8">
        <f t="shared" ca="1" si="362"/>
        <v>7</v>
      </c>
      <c r="E7705" s="16">
        <f t="shared" ca="1" si="363"/>
        <v>0</v>
      </c>
    </row>
    <row r="7706" spans="1:5" x14ac:dyDescent="0.25">
      <c r="A7706" s="3">
        <f t="shared" si="361"/>
        <v>78989</v>
      </c>
      <c r="B7706" t="str">
        <f ca="1">TEXT(DATE(YEAR(Invoer!$A$5),1,1)+INT((ROWS(B$2:B7706)-1)/24),"""18""jjmmdd")</f>
        <v>18981118</v>
      </c>
      <c r="C7706" s="11" t="str">
        <f>INDEX(Data,2,2+MOD(ROWS(C$2:C7706)-1,24))</f>
        <v>01.00</v>
      </c>
      <c r="D7706" s="8">
        <f t="shared" ca="1" si="362"/>
        <v>12</v>
      </c>
      <c r="E7706" s="16">
        <f t="shared" ca="1" si="363"/>
        <v>0</v>
      </c>
    </row>
    <row r="7707" spans="1:5" x14ac:dyDescent="0.25">
      <c r="A7707" s="3">
        <f t="shared" si="361"/>
        <v>78989</v>
      </c>
      <c r="B7707" t="str">
        <f ca="1">TEXT(DATE(YEAR(Invoer!$A$5),1,1)+INT((ROWS(B$2:B7707)-1)/24),"""18""jjmmdd")</f>
        <v>18981118</v>
      </c>
      <c r="C7707" s="11" t="str">
        <f>INDEX(Data,2,2+MOD(ROWS(C$2:C7707)-1,24))</f>
        <v>02.00</v>
      </c>
      <c r="D7707" s="8">
        <f t="shared" ca="1" si="362"/>
        <v>11</v>
      </c>
      <c r="E7707" s="16">
        <f t="shared" ca="1" si="363"/>
        <v>0</v>
      </c>
    </row>
    <row r="7708" spans="1:5" x14ac:dyDescent="0.25">
      <c r="A7708" s="3">
        <f t="shared" si="361"/>
        <v>78989</v>
      </c>
      <c r="B7708" t="str">
        <f ca="1">TEXT(DATE(YEAR(Invoer!$A$5),1,1)+INT((ROWS(B$2:B7708)-1)/24),"""18""jjmmdd")</f>
        <v>18981118</v>
      </c>
      <c r="C7708" s="11" t="str">
        <f>INDEX(Data,2,2+MOD(ROWS(C$2:C7708)-1,24))</f>
        <v>03.00</v>
      </c>
      <c r="D7708" s="8">
        <f t="shared" ca="1" si="362"/>
        <v>9</v>
      </c>
      <c r="E7708" s="16">
        <f t="shared" ca="1" si="363"/>
        <v>0</v>
      </c>
    </row>
    <row r="7709" spans="1:5" x14ac:dyDescent="0.25">
      <c r="A7709" s="3">
        <f t="shared" si="361"/>
        <v>78989</v>
      </c>
      <c r="B7709" t="str">
        <f ca="1">TEXT(DATE(YEAR(Invoer!$A$5),1,1)+INT((ROWS(B$2:B7709)-1)/24),"""18""jjmmdd")</f>
        <v>18981118</v>
      </c>
      <c r="C7709" s="11" t="str">
        <f>INDEX(Data,2,2+MOD(ROWS(C$2:C7709)-1,24))</f>
        <v>04.00</v>
      </c>
      <c r="D7709" s="8">
        <f t="shared" ca="1" si="362"/>
        <v>10</v>
      </c>
      <c r="E7709" s="16">
        <f t="shared" ca="1" si="363"/>
        <v>0</v>
      </c>
    </row>
    <row r="7710" spans="1:5" x14ac:dyDescent="0.25">
      <c r="A7710" s="3">
        <f t="shared" si="361"/>
        <v>78989</v>
      </c>
      <c r="B7710" t="str">
        <f ca="1">TEXT(DATE(YEAR(Invoer!$A$5),1,1)+INT((ROWS(B$2:B7710)-1)/24),"""18""jjmmdd")</f>
        <v>18981118</v>
      </c>
      <c r="C7710" s="11" t="str">
        <f>INDEX(Data,2,2+MOD(ROWS(C$2:C7710)-1,24))</f>
        <v>05.00</v>
      </c>
      <c r="D7710" s="8">
        <f t="shared" ca="1" si="362"/>
        <v>11</v>
      </c>
      <c r="E7710" s="16">
        <f t="shared" ca="1" si="363"/>
        <v>0</v>
      </c>
    </row>
    <row r="7711" spans="1:5" x14ac:dyDescent="0.25">
      <c r="A7711" s="3">
        <f t="shared" si="361"/>
        <v>78989</v>
      </c>
      <c r="B7711" t="str">
        <f ca="1">TEXT(DATE(YEAR(Invoer!$A$5),1,1)+INT((ROWS(B$2:B7711)-1)/24),"""18""jjmmdd")</f>
        <v>18981118</v>
      </c>
      <c r="C7711" s="11" t="str">
        <f>INDEX(Data,2,2+MOD(ROWS(C$2:C7711)-1,24))</f>
        <v>06.00</v>
      </c>
      <c r="D7711" s="8">
        <f t="shared" ca="1" si="362"/>
        <v>10</v>
      </c>
      <c r="E7711" s="16">
        <f t="shared" ca="1" si="363"/>
        <v>0</v>
      </c>
    </row>
    <row r="7712" spans="1:5" x14ac:dyDescent="0.25">
      <c r="A7712" s="3">
        <f t="shared" si="361"/>
        <v>78989</v>
      </c>
      <c r="B7712" t="str">
        <f ca="1">TEXT(DATE(YEAR(Invoer!$A$5),1,1)+INT((ROWS(B$2:B7712)-1)/24),"""18""jjmmdd")</f>
        <v>18981118</v>
      </c>
      <c r="C7712" s="11" t="str">
        <f>INDEX(Data,2,2+MOD(ROWS(C$2:C7712)-1,24))</f>
        <v>07.00</v>
      </c>
      <c r="D7712" s="8">
        <f t="shared" ca="1" si="362"/>
        <v>9</v>
      </c>
      <c r="E7712" s="16">
        <f t="shared" ca="1" si="363"/>
        <v>0</v>
      </c>
    </row>
    <row r="7713" spans="1:5" x14ac:dyDescent="0.25">
      <c r="A7713" s="3">
        <f t="shared" si="361"/>
        <v>78989</v>
      </c>
      <c r="B7713" t="str">
        <f ca="1">TEXT(DATE(YEAR(Invoer!$A$5),1,1)+INT((ROWS(B$2:B7713)-1)/24),"""18""jjmmdd")</f>
        <v>18981118</v>
      </c>
      <c r="C7713" s="11" t="str">
        <f>INDEX(Data,2,2+MOD(ROWS(C$2:C7713)-1,24))</f>
        <v>08.00</v>
      </c>
      <c r="D7713" s="8">
        <f t="shared" ca="1" si="362"/>
        <v>12</v>
      </c>
      <c r="E7713" s="16">
        <f t="shared" ca="1" si="363"/>
        <v>0</v>
      </c>
    </row>
    <row r="7714" spans="1:5" x14ac:dyDescent="0.25">
      <c r="A7714" s="3">
        <f t="shared" si="361"/>
        <v>78989</v>
      </c>
      <c r="B7714" t="str">
        <f ca="1">TEXT(DATE(YEAR(Invoer!$A$5),1,1)+INT((ROWS(B$2:B7714)-1)/24),"""18""jjmmdd")</f>
        <v>18981118</v>
      </c>
      <c r="C7714" s="11" t="str">
        <f>INDEX(Data,2,2+MOD(ROWS(C$2:C7714)-1,24))</f>
        <v>09.00</v>
      </c>
      <c r="D7714" s="8">
        <f t="shared" ca="1" si="362"/>
        <v>12</v>
      </c>
      <c r="E7714" s="16">
        <f t="shared" ca="1" si="363"/>
        <v>0</v>
      </c>
    </row>
    <row r="7715" spans="1:5" x14ac:dyDescent="0.25">
      <c r="A7715" s="3">
        <f t="shared" si="361"/>
        <v>78989</v>
      </c>
      <c r="B7715" t="str">
        <f ca="1">TEXT(DATE(YEAR(Invoer!$A$5),1,1)+INT((ROWS(B$2:B7715)-1)/24),"""18""jjmmdd")</f>
        <v>18981118</v>
      </c>
      <c r="C7715" s="11" t="str">
        <f>INDEX(Data,2,2+MOD(ROWS(C$2:C7715)-1,24))</f>
        <v>10.00</v>
      </c>
      <c r="D7715" s="8">
        <f t="shared" ca="1" si="362"/>
        <v>13</v>
      </c>
      <c r="E7715" s="16">
        <f t="shared" ca="1" si="363"/>
        <v>0</v>
      </c>
    </row>
    <row r="7716" spans="1:5" x14ac:dyDescent="0.25">
      <c r="A7716" s="3">
        <f t="shared" si="361"/>
        <v>78989</v>
      </c>
      <c r="B7716" t="str">
        <f ca="1">TEXT(DATE(YEAR(Invoer!$A$5),1,1)+INT((ROWS(B$2:B7716)-1)/24),"""18""jjmmdd")</f>
        <v>18981118</v>
      </c>
      <c r="C7716" s="11" t="str">
        <f>INDEX(Data,2,2+MOD(ROWS(C$2:C7716)-1,24))</f>
        <v>11.00</v>
      </c>
      <c r="D7716" s="8">
        <f t="shared" ca="1" si="362"/>
        <v>12</v>
      </c>
      <c r="E7716" s="16">
        <f t="shared" ca="1" si="363"/>
        <v>0</v>
      </c>
    </row>
    <row r="7717" spans="1:5" x14ac:dyDescent="0.25">
      <c r="A7717" s="3">
        <f t="shared" si="361"/>
        <v>78989</v>
      </c>
      <c r="B7717" t="str">
        <f ca="1">TEXT(DATE(YEAR(Invoer!$A$5),1,1)+INT((ROWS(B$2:B7717)-1)/24),"""18""jjmmdd")</f>
        <v>18981118</v>
      </c>
      <c r="C7717" s="11" t="str">
        <f>INDEX(Data,2,2+MOD(ROWS(C$2:C7717)-1,24))</f>
        <v>12.00</v>
      </c>
      <c r="D7717" s="8">
        <f t="shared" ca="1" si="362"/>
        <v>13</v>
      </c>
      <c r="E7717" s="16">
        <f t="shared" ca="1" si="363"/>
        <v>0</v>
      </c>
    </row>
    <row r="7718" spans="1:5" x14ac:dyDescent="0.25">
      <c r="A7718" s="3">
        <f t="shared" si="361"/>
        <v>78989</v>
      </c>
      <c r="B7718" t="str">
        <f ca="1">TEXT(DATE(YEAR(Invoer!$A$5),1,1)+INT((ROWS(B$2:B7718)-1)/24),"""18""jjmmdd")</f>
        <v>18981118</v>
      </c>
      <c r="C7718" s="11" t="str">
        <f>INDEX(Data,2,2+MOD(ROWS(C$2:C7718)-1,24))</f>
        <v>13.00</v>
      </c>
      <c r="D7718" s="8">
        <f t="shared" ca="1" si="362"/>
        <v>12</v>
      </c>
      <c r="E7718" s="16">
        <f t="shared" ca="1" si="363"/>
        <v>0</v>
      </c>
    </row>
    <row r="7719" spans="1:5" x14ac:dyDescent="0.25">
      <c r="A7719" s="3">
        <f t="shared" si="361"/>
        <v>78989</v>
      </c>
      <c r="B7719" t="str">
        <f ca="1">TEXT(DATE(YEAR(Invoer!$A$5),1,1)+INT((ROWS(B$2:B7719)-1)/24),"""18""jjmmdd")</f>
        <v>18981118</v>
      </c>
      <c r="C7719" s="11" t="str">
        <f>INDEX(Data,2,2+MOD(ROWS(C$2:C7719)-1,24))</f>
        <v>14.00</v>
      </c>
      <c r="D7719" s="8">
        <f t="shared" ca="1" si="362"/>
        <v>12</v>
      </c>
      <c r="E7719" s="16">
        <f t="shared" ca="1" si="363"/>
        <v>0</v>
      </c>
    </row>
    <row r="7720" spans="1:5" x14ac:dyDescent="0.25">
      <c r="A7720" s="3">
        <f t="shared" si="361"/>
        <v>78989</v>
      </c>
      <c r="B7720" t="str">
        <f ca="1">TEXT(DATE(YEAR(Invoer!$A$5),1,1)+INT((ROWS(B$2:B7720)-1)/24),"""18""jjmmdd")</f>
        <v>18981118</v>
      </c>
      <c r="C7720" s="11" t="str">
        <f>INDEX(Data,2,2+MOD(ROWS(C$2:C7720)-1,24))</f>
        <v>15.00</v>
      </c>
      <c r="D7720" s="8">
        <f t="shared" ca="1" si="362"/>
        <v>13</v>
      </c>
      <c r="E7720" s="16">
        <f t="shared" ca="1" si="363"/>
        <v>0</v>
      </c>
    </row>
    <row r="7721" spans="1:5" x14ac:dyDescent="0.25">
      <c r="A7721" s="3">
        <f t="shared" si="361"/>
        <v>78989</v>
      </c>
      <c r="B7721" t="str">
        <f ca="1">TEXT(DATE(YEAR(Invoer!$A$5),1,1)+INT((ROWS(B$2:B7721)-1)/24),"""18""jjmmdd")</f>
        <v>18981118</v>
      </c>
      <c r="C7721" s="11" t="str">
        <f>INDEX(Data,2,2+MOD(ROWS(C$2:C7721)-1,24))</f>
        <v>16.00</v>
      </c>
      <c r="D7721" s="8">
        <f t="shared" ca="1" si="362"/>
        <v>12</v>
      </c>
      <c r="E7721" s="16">
        <f t="shared" ca="1" si="363"/>
        <v>0</v>
      </c>
    </row>
    <row r="7722" spans="1:5" x14ac:dyDescent="0.25">
      <c r="A7722" s="3">
        <f t="shared" si="361"/>
        <v>78989</v>
      </c>
      <c r="B7722" t="str">
        <f ca="1">TEXT(DATE(YEAR(Invoer!$A$5),1,1)+INT((ROWS(B$2:B7722)-1)/24),"""18""jjmmdd")</f>
        <v>18981118</v>
      </c>
      <c r="C7722" s="11" t="str">
        <f>INDEX(Data,2,2+MOD(ROWS(C$2:C7722)-1,24))</f>
        <v>17.00</v>
      </c>
      <c r="D7722" s="8">
        <f t="shared" ca="1" si="362"/>
        <v>11</v>
      </c>
      <c r="E7722" s="16">
        <f t="shared" ca="1" si="363"/>
        <v>0</v>
      </c>
    </row>
    <row r="7723" spans="1:5" x14ac:dyDescent="0.25">
      <c r="A7723" s="3">
        <f t="shared" si="361"/>
        <v>78989</v>
      </c>
      <c r="B7723" t="str">
        <f ca="1">TEXT(DATE(YEAR(Invoer!$A$5),1,1)+INT((ROWS(B$2:B7723)-1)/24),"""18""jjmmdd")</f>
        <v>18981118</v>
      </c>
      <c r="C7723" s="11" t="str">
        <f>INDEX(Data,2,2+MOD(ROWS(C$2:C7723)-1,24))</f>
        <v>18.00</v>
      </c>
      <c r="D7723" s="8">
        <f t="shared" ca="1" si="362"/>
        <v>9</v>
      </c>
      <c r="E7723" s="16">
        <f t="shared" ca="1" si="363"/>
        <v>0</v>
      </c>
    </row>
    <row r="7724" spans="1:5" x14ac:dyDescent="0.25">
      <c r="A7724" s="3">
        <f t="shared" si="361"/>
        <v>78989</v>
      </c>
      <c r="B7724" t="str">
        <f ca="1">TEXT(DATE(YEAR(Invoer!$A$5),1,1)+INT((ROWS(B$2:B7724)-1)/24),"""18""jjmmdd")</f>
        <v>18981118</v>
      </c>
      <c r="C7724" s="11" t="str">
        <f>INDEX(Data,2,2+MOD(ROWS(C$2:C7724)-1,24))</f>
        <v>19.00</v>
      </c>
      <c r="D7724" s="8">
        <f t="shared" ca="1" si="362"/>
        <v>9</v>
      </c>
      <c r="E7724" s="16">
        <f t="shared" ca="1" si="363"/>
        <v>0</v>
      </c>
    </row>
    <row r="7725" spans="1:5" x14ac:dyDescent="0.25">
      <c r="A7725" s="3">
        <f t="shared" si="361"/>
        <v>78989</v>
      </c>
      <c r="B7725" t="str">
        <f ca="1">TEXT(DATE(YEAR(Invoer!$A$5),1,1)+INT((ROWS(B$2:B7725)-1)/24),"""18""jjmmdd")</f>
        <v>18981118</v>
      </c>
      <c r="C7725" s="11" t="str">
        <f>INDEX(Data,2,2+MOD(ROWS(C$2:C7725)-1,24))</f>
        <v>20.00</v>
      </c>
      <c r="D7725" s="8">
        <f t="shared" ca="1" si="362"/>
        <v>10</v>
      </c>
      <c r="E7725" s="16">
        <f t="shared" ca="1" si="363"/>
        <v>0</v>
      </c>
    </row>
    <row r="7726" spans="1:5" x14ac:dyDescent="0.25">
      <c r="A7726" s="3">
        <f t="shared" si="361"/>
        <v>78989</v>
      </c>
      <c r="B7726" t="str">
        <f ca="1">TEXT(DATE(YEAR(Invoer!$A$5),1,1)+INT((ROWS(B$2:B7726)-1)/24),"""18""jjmmdd")</f>
        <v>18981118</v>
      </c>
      <c r="C7726" s="11" t="str">
        <f>INDEX(Data,2,2+MOD(ROWS(C$2:C7726)-1,24))</f>
        <v>21.00</v>
      </c>
      <c r="D7726" s="8">
        <f t="shared" ca="1" si="362"/>
        <v>10</v>
      </c>
      <c r="E7726" s="16">
        <f t="shared" ca="1" si="363"/>
        <v>0</v>
      </c>
    </row>
    <row r="7727" spans="1:5" x14ac:dyDescent="0.25">
      <c r="A7727" s="3">
        <f t="shared" si="361"/>
        <v>78989</v>
      </c>
      <c r="B7727" t="str">
        <f ca="1">TEXT(DATE(YEAR(Invoer!$A$5),1,1)+INT((ROWS(B$2:B7727)-1)/24),"""18""jjmmdd")</f>
        <v>18981118</v>
      </c>
      <c r="C7727" s="11" t="str">
        <f>INDEX(Data,2,2+MOD(ROWS(C$2:C7727)-1,24))</f>
        <v>22.00</v>
      </c>
      <c r="D7727" s="8">
        <f t="shared" ca="1" si="362"/>
        <v>11</v>
      </c>
      <c r="E7727" s="16">
        <f t="shared" ca="1" si="363"/>
        <v>0</v>
      </c>
    </row>
    <row r="7728" spans="1:5" x14ac:dyDescent="0.25">
      <c r="A7728" s="3">
        <f t="shared" si="361"/>
        <v>78989</v>
      </c>
      <c r="B7728" t="str">
        <f ca="1">TEXT(DATE(YEAR(Invoer!$A$5),1,1)+INT((ROWS(B$2:B7728)-1)/24),"""18""jjmmdd")</f>
        <v>18981118</v>
      </c>
      <c r="C7728" s="11" t="str">
        <f>INDEX(Data,2,2+MOD(ROWS(C$2:C7728)-1,24))</f>
        <v>23.00</v>
      </c>
      <c r="D7728" s="8">
        <f t="shared" ca="1" si="362"/>
        <v>9</v>
      </c>
      <c r="E7728" s="16">
        <f t="shared" ca="1" si="363"/>
        <v>0</v>
      </c>
    </row>
    <row r="7729" spans="1:5" x14ac:dyDescent="0.25">
      <c r="A7729" s="3">
        <f t="shared" si="361"/>
        <v>78989</v>
      </c>
      <c r="B7729" t="str">
        <f ca="1">TEXT(DATE(YEAR(Invoer!$A$5),1,1)+INT((ROWS(B$2:B7729)-1)/24),"""18""jjmmdd")</f>
        <v>18981118</v>
      </c>
      <c r="C7729" s="11" t="str">
        <f>INDEX(Data,2,2+MOD(ROWS(C$2:C7729)-1,24))</f>
        <v>24.00</v>
      </c>
      <c r="D7729" s="8">
        <f t="shared" ca="1" si="362"/>
        <v>8</v>
      </c>
      <c r="E7729" s="16">
        <f t="shared" ca="1" si="363"/>
        <v>0</v>
      </c>
    </row>
    <row r="7730" spans="1:5" x14ac:dyDescent="0.25">
      <c r="A7730" s="3">
        <f t="shared" si="361"/>
        <v>78989</v>
      </c>
      <c r="B7730" t="str">
        <f ca="1">TEXT(DATE(YEAR(Invoer!$A$5),1,1)+INT((ROWS(B$2:B7730)-1)/24),"""18""jjmmdd")</f>
        <v>18981119</v>
      </c>
      <c r="C7730" s="11" t="str">
        <f>INDEX(Data,2,2+MOD(ROWS(C$2:C7730)-1,24))</f>
        <v>01.00</v>
      </c>
      <c r="D7730" s="8">
        <f t="shared" ca="1" si="362"/>
        <v>7</v>
      </c>
      <c r="E7730" s="16">
        <f t="shared" ca="1" si="363"/>
        <v>0</v>
      </c>
    </row>
    <row r="7731" spans="1:5" x14ac:dyDescent="0.25">
      <c r="A7731" s="3">
        <f t="shared" si="361"/>
        <v>78989</v>
      </c>
      <c r="B7731" t="str">
        <f ca="1">TEXT(DATE(YEAR(Invoer!$A$5),1,1)+INT((ROWS(B$2:B7731)-1)/24),"""18""jjmmdd")</f>
        <v>18981119</v>
      </c>
      <c r="C7731" s="11" t="str">
        <f>INDEX(Data,2,2+MOD(ROWS(C$2:C7731)-1,24))</f>
        <v>02.00</v>
      </c>
      <c r="D7731" s="8">
        <f t="shared" ca="1" si="362"/>
        <v>6</v>
      </c>
      <c r="E7731" s="16">
        <f t="shared" ca="1" si="363"/>
        <v>0</v>
      </c>
    </row>
    <row r="7732" spans="1:5" x14ac:dyDescent="0.25">
      <c r="A7732" s="3">
        <f t="shared" si="361"/>
        <v>78989</v>
      </c>
      <c r="B7732" t="str">
        <f ca="1">TEXT(DATE(YEAR(Invoer!$A$5),1,1)+INT((ROWS(B$2:B7732)-1)/24),"""18""jjmmdd")</f>
        <v>18981119</v>
      </c>
      <c r="C7732" s="11" t="str">
        <f>INDEX(Data,2,2+MOD(ROWS(C$2:C7732)-1,24))</f>
        <v>03.00</v>
      </c>
      <c r="D7732" s="8">
        <f t="shared" ca="1" si="362"/>
        <v>6</v>
      </c>
      <c r="E7732" s="16">
        <f t="shared" ca="1" si="363"/>
        <v>0</v>
      </c>
    </row>
    <row r="7733" spans="1:5" x14ac:dyDescent="0.25">
      <c r="A7733" s="3">
        <f t="shared" si="361"/>
        <v>78989</v>
      </c>
      <c r="B7733" t="str">
        <f ca="1">TEXT(DATE(YEAR(Invoer!$A$5),1,1)+INT((ROWS(B$2:B7733)-1)/24),"""18""jjmmdd")</f>
        <v>18981119</v>
      </c>
      <c r="C7733" s="11" t="str">
        <f>INDEX(Data,2,2+MOD(ROWS(C$2:C7733)-1,24))</f>
        <v>04.00</v>
      </c>
      <c r="D7733" s="8">
        <f t="shared" ca="1" si="362"/>
        <v>7</v>
      </c>
      <c r="E7733" s="16">
        <f t="shared" ca="1" si="363"/>
        <v>0</v>
      </c>
    </row>
    <row r="7734" spans="1:5" x14ac:dyDescent="0.25">
      <c r="A7734" s="3">
        <f t="shared" si="361"/>
        <v>78989</v>
      </c>
      <c r="B7734" t="str">
        <f ca="1">TEXT(DATE(YEAR(Invoer!$A$5),1,1)+INT((ROWS(B$2:B7734)-1)/24),"""18""jjmmdd")</f>
        <v>18981119</v>
      </c>
      <c r="C7734" s="11" t="str">
        <f>INDEX(Data,2,2+MOD(ROWS(C$2:C7734)-1,24))</f>
        <v>05.00</v>
      </c>
      <c r="D7734" s="8">
        <f t="shared" ca="1" si="362"/>
        <v>8</v>
      </c>
      <c r="E7734" s="16">
        <f t="shared" ca="1" si="363"/>
        <v>0</v>
      </c>
    </row>
    <row r="7735" spans="1:5" x14ac:dyDescent="0.25">
      <c r="A7735" s="3">
        <f t="shared" si="361"/>
        <v>78989</v>
      </c>
      <c r="B7735" t="str">
        <f ca="1">TEXT(DATE(YEAR(Invoer!$A$5),1,1)+INT((ROWS(B$2:B7735)-1)/24),"""18""jjmmdd")</f>
        <v>18981119</v>
      </c>
      <c r="C7735" s="11" t="str">
        <f>INDEX(Data,2,2+MOD(ROWS(C$2:C7735)-1,24))</f>
        <v>06.00</v>
      </c>
      <c r="D7735" s="8">
        <f t="shared" ca="1" si="362"/>
        <v>9</v>
      </c>
      <c r="E7735" s="16">
        <f t="shared" ca="1" si="363"/>
        <v>0</v>
      </c>
    </row>
    <row r="7736" spans="1:5" x14ac:dyDescent="0.25">
      <c r="A7736" s="3">
        <f t="shared" si="361"/>
        <v>78989</v>
      </c>
      <c r="B7736" t="str">
        <f ca="1">TEXT(DATE(YEAR(Invoer!$A$5),1,1)+INT((ROWS(B$2:B7736)-1)/24),"""18""jjmmdd")</f>
        <v>18981119</v>
      </c>
      <c r="C7736" s="11" t="str">
        <f>INDEX(Data,2,2+MOD(ROWS(C$2:C7736)-1,24))</f>
        <v>07.00</v>
      </c>
      <c r="D7736" s="8">
        <f t="shared" ca="1" si="362"/>
        <v>9</v>
      </c>
      <c r="E7736" s="16">
        <f t="shared" ca="1" si="363"/>
        <v>0</v>
      </c>
    </row>
    <row r="7737" spans="1:5" x14ac:dyDescent="0.25">
      <c r="A7737" s="3">
        <f t="shared" si="361"/>
        <v>78989</v>
      </c>
      <c r="B7737" t="str">
        <f ca="1">TEXT(DATE(YEAR(Invoer!$A$5),1,1)+INT((ROWS(B$2:B7737)-1)/24),"""18""jjmmdd")</f>
        <v>18981119</v>
      </c>
      <c r="C7737" s="11" t="str">
        <f>INDEX(Data,2,2+MOD(ROWS(C$2:C7737)-1,24))</f>
        <v>08.00</v>
      </c>
      <c r="D7737" s="8">
        <f t="shared" ca="1" si="362"/>
        <v>10</v>
      </c>
      <c r="E7737" s="16">
        <f t="shared" ca="1" si="363"/>
        <v>0</v>
      </c>
    </row>
    <row r="7738" spans="1:5" x14ac:dyDescent="0.25">
      <c r="A7738" s="3">
        <f t="shared" si="361"/>
        <v>78989</v>
      </c>
      <c r="B7738" t="str">
        <f ca="1">TEXT(DATE(YEAR(Invoer!$A$5),1,1)+INT((ROWS(B$2:B7738)-1)/24),"""18""jjmmdd")</f>
        <v>18981119</v>
      </c>
      <c r="C7738" s="11" t="str">
        <f>INDEX(Data,2,2+MOD(ROWS(C$2:C7738)-1,24))</f>
        <v>09.00</v>
      </c>
      <c r="D7738" s="8">
        <f t="shared" ca="1" si="362"/>
        <v>12</v>
      </c>
      <c r="E7738" s="16">
        <f t="shared" ca="1" si="363"/>
        <v>0</v>
      </c>
    </row>
    <row r="7739" spans="1:5" x14ac:dyDescent="0.25">
      <c r="A7739" s="3">
        <f t="shared" si="361"/>
        <v>78989</v>
      </c>
      <c r="B7739" t="str">
        <f ca="1">TEXT(DATE(YEAR(Invoer!$A$5),1,1)+INT((ROWS(B$2:B7739)-1)/24),"""18""jjmmdd")</f>
        <v>18981119</v>
      </c>
      <c r="C7739" s="11" t="str">
        <f>INDEX(Data,2,2+MOD(ROWS(C$2:C7739)-1,24))</f>
        <v>10.00</v>
      </c>
      <c r="D7739" s="8">
        <f t="shared" ca="1" si="362"/>
        <v>11</v>
      </c>
      <c r="E7739" s="16">
        <f t="shared" ca="1" si="363"/>
        <v>0</v>
      </c>
    </row>
    <row r="7740" spans="1:5" x14ac:dyDescent="0.25">
      <c r="A7740" s="3">
        <f t="shared" si="361"/>
        <v>78989</v>
      </c>
      <c r="B7740" t="str">
        <f ca="1">TEXT(DATE(YEAR(Invoer!$A$5),1,1)+INT((ROWS(B$2:B7740)-1)/24),"""18""jjmmdd")</f>
        <v>18981119</v>
      </c>
      <c r="C7740" s="11" t="str">
        <f>INDEX(Data,2,2+MOD(ROWS(C$2:C7740)-1,24))</f>
        <v>11.00</v>
      </c>
      <c r="D7740" s="8">
        <f t="shared" ca="1" si="362"/>
        <v>12</v>
      </c>
      <c r="E7740" s="16">
        <f t="shared" ca="1" si="363"/>
        <v>0</v>
      </c>
    </row>
    <row r="7741" spans="1:5" x14ac:dyDescent="0.25">
      <c r="A7741" s="3">
        <f t="shared" si="361"/>
        <v>78989</v>
      </c>
      <c r="B7741" t="str">
        <f ca="1">TEXT(DATE(YEAR(Invoer!$A$5),1,1)+INT((ROWS(B$2:B7741)-1)/24),"""18""jjmmdd")</f>
        <v>18981119</v>
      </c>
      <c r="C7741" s="11" t="str">
        <f>INDEX(Data,2,2+MOD(ROWS(C$2:C7741)-1,24))</f>
        <v>12.00</v>
      </c>
      <c r="D7741" s="8">
        <f t="shared" ca="1" si="362"/>
        <v>13</v>
      </c>
      <c r="E7741" s="16">
        <f t="shared" ca="1" si="363"/>
        <v>0</v>
      </c>
    </row>
    <row r="7742" spans="1:5" x14ac:dyDescent="0.25">
      <c r="A7742" s="3">
        <f t="shared" si="361"/>
        <v>78989</v>
      </c>
      <c r="B7742" t="str">
        <f ca="1">TEXT(DATE(YEAR(Invoer!$A$5),1,1)+INT((ROWS(B$2:B7742)-1)/24),"""18""jjmmdd")</f>
        <v>18981119</v>
      </c>
      <c r="C7742" s="11" t="str">
        <f>INDEX(Data,2,2+MOD(ROWS(C$2:C7742)-1,24))</f>
        <v>13.00</v>
      </c>
      <c r="D7742" s="8">
        <f t="shared" ca="1" si="362"/>
        <v>12</v>
      </c>
      <c r="E7742" s="16">
        <f t="shared" ca="1" si="363"/>
        <v>0</v>
      </c>
    </row>
    <row r="7743" spans="1:5" x14ac:dyDescent="0.25">
      <c r="A7743" s="3">
        <f t="shared" si="361"/>
        <v>78989</v>
      </c>
      <c r="B7743" t="str">
        <f ca="1">TEXT(DATE(YEAR(Invoer!$A$5),1,1)+INT((ROWS(B$2:B7743)-1)/24),"""18""jjmmdd")</f>
        <v>18981119</v>
      </c>
      <c r="C7743" s="11" t="str">
        <f>INDEX(Data,2,2+MOD(ROWS(C$2:C7743)-1,24))</f>
        <v>14.00</v>
      </c>
      <c r="D7743" s="8">
        <f t="shared" ca="1" si="362"/>
        <v>11</v>
      </c>
      <c r="E7743" s="16">
        <f t="shared" ca="1" si="363"/>
        <v>0</v>
      </c>
    </row>
    <row r="7744" spans="1:5" x14ac:dyDescent="0.25">
      <c r="A7744" s="3">
        <f t="shared" si="361"/>
        <v>78989</v>
      </c>
      <c r="B7744" t="str">
        <f ca="1">TEXT(DATE(YEAR(Invoer!$A$5),1,1)+INT((ROWS(B$2:B7744)-1)/24),"""18""jjmmdd")</f>
        <v>18981119</v>
      </c>
      <c r="C7744" s="11" t="str">
        <f>INDEX(Data,2,2+MOD(ROWS(C$2:C7744)-1,24))</f>
        <v>15.00</v>
      </c>
      <c r="D7744" s="8">
        <f t="shared" ca="1" si="362"/>
        <v>11</v>
      </c>
      <c r="E7744" s="16">
        <f t="shared" ca="1" si="363"/>
        <v>0</v>
      </c>
    </row>
    <row r="7745" spans="1:5" x14ac:dyDescent="0.25">
      <c r="A7745" s="3">
        <f t="shared" si="361"/>
        <v>78989</v>
      </c>
      <c r="B7745" t="str">
        <f ca="1">TEXT(DATE(YEAR(Invoer!$A$5),1,1)+INT((ROWS(B$2:B7745)-1)/24),"""18""jjmmdd")</f>
        <v>18981119</v>
      </c>
      <c r="C7745" s="11" t="str">
        <f>INDEX(Data,2,2+MOD(ROWS(C$2:C7745)-1,24))</f>
        <v>16.00</v>
      </c>
      <c r="D7745" s="8">
        <f t="shared" ca="1" si="362"/>
        <v>11</v>
      </c>
      <c r="E7745" s="16">
        <f t="shared" ca="1" si="363"/>
        <v>0</v>
      </c>
    </row>
    <row r="7746" spans="1:5" x14ac:dyDescent="0.25">
      <c r="A7746" s="3">
        <f t="shared" ref="A7746:A7809" si="364">INDEX(Stations,2,1)</f>
        <v>78989</v>
      </c>
      <c r="B7746" t="str">
        <f ca="1">TEXT(DATE(YEAR(Invoer!$A$5),1,1)+INT((ROWS(B$2:B7746)-1)/24),"""18""jjmmdd")</f>
        <v>18981119</v>
      </c>
      <c r="C7746" s="11" t="str">
        <f>INDEX(Data,2,2+MOD(ROWS(C$2:C7746)-1,24))</f>
        <v>17.00</v>
      </c>
      <c r="D7746" s="8">
        <f t="shared" ref="D7746:D7809" ca="1" si="365">IF(OR(ISBLANK(VLOOKUP(DATEVALUE("37"&amp;MID($B7746,3,2)&amp;"-"&amp;MID($B7746,5,2)&amp;"-"&amp;RIGHT($B7746,2)),Data,MATCH(LEFT(VLOOKUP(D$1,Parameters,2,FALSE()),4)&amp;"*",OFFSET(Data,0,0,1),0)+MATCH($C7746,OFFSET(Data,1,0,1),0)-2,FALSE())),ISTEXT(VLOOKUP(DATEVALUE("37"&amp;MID($B7746,3,2)&amp;"-"&amp;MID($B7746,5,2)&amp;"-"&amp;RIGHT($B7746,2)),Data,MATCH(LEFT(VLOOKUP(D$1,Parameters,2,FALSE()),4)&amp;"*",OFFSET(Data,0,0,1),0)+MATCH($C7746,OFFSET(Data,1,0,1),0)-2,FALSE()))),"—",VLOOKUP(DATEVALUE("37"&amp;MID($B7746,3,2)&amp;"-"&amp;MID($B7746,5,2)&amp;"-"&amp;RIGHT($B7746,2)),Data,MATCH(LEFT(VLOOKUP(D$1,Parameters,2,FALSE()),4)&amp;"*",OFFSET(Data,0,0,1),0)+MATCH($C7746,OFFSET(Data,1,0,1),0)-2,FALSE()))</f>
        <v>10</v>
      </c>
      <c r="E7746" s="16">
        <f t="shared" ca="1" si="363"/>
        <v>0</v>
      </c>
    </row>
    <row r="7747" spans="1:5" x14ac:dyDescent="0.25">
      <c r="A7747" s="3">
        <f t="shared" si="364"/>
        <v>78989</v>
      </c>
      <c r="B7747" t="str">
        <f ca="1">TEXT(DATE(YEAR(Invoer!$A$5),1,1)+INT((ROWS(B$2:B7747)-1)/24),"""18""jjmmdd")</f>
        <v>18981119</v>
      </c>
      <c r="C7747" s="11" t="str">
        <f>INDEX(Data,2,2+MOD(ROWS(C$2:C7747)-1,24))</f>
        <v>18.00</v>
      </c>
      <c r="D7747" s="8">
        <f t="shared" ca="1" si="365"/>
        <v>9</v>
      </c>
      <c r="E7747" s="16">
        <f t="shared" ref="E7747:E7810" ca="1" si="366">IF(OR(ISBLANK(VLOOKUP(DATEVALUE("37"&amp;MID($B7747,3,2)&amp;"-"&amp;MID($B7747,5,2)&amp;"-"&amp;RIGHT($B7747,2)),Data,MATCH(LEFT(VLOOKUP(D$1,Parameters,2,FALSE()),4)&amp;"*",OFFSET(Data,0,0,1),0)+MATCH($C7747,OFFSET(Data,1,0,1),0)-2,FALSE())),ISTEXT(VLOOKUP(DATEVALUE("37"&amp;MID($B7747,3,2)&amp;"-"&amp;MID($B7747,5,2)&amp;"-"&amp;RIGHT($B7747,2)),Data,MATCH(LEFT(VLOOKUP(D$1,Parameters,2,FALSE()),4)&amp;"*",OFFSET(Data,0,0,1),0)+MATCH($C7747,OFFSET(Data,1,0,1),0)-2,FALSE()))),Lacking,IF(ISNA(MATCH(DATEVALUE("37"&amp;MID($B7747,3,2)&amp;"-"&amp;MID($B7747,5,2)&amp;"-"&amp;RIGHT($B7747,2)),OFFSET(Catalogus,0,0,,1),0)),Ok,VLOOKUP(DATEVALUE("37"&amp;MID($B7747,3,2)&amp;"-"&amp;MID($B7747,5,2)&amp;"-"&amp;RIGHT($B7747,2)),Catalogus,MATCH(LEFT(VLOOKUP(MID(E$1,2,LEN(E$1)-1),Parameters,2,FALSE()),4)&amp;"*",OFFSET(Catalogus,0,0,1),0)+MATCH($C7747,OFFSET(Catalogus,1,0,1),0)-2,FALSE())))</f>
        <v>0</v>
      </c>
    </row>
    <row r="7748" spans="1:5" x14ac:dyDescent="0.25">
      <c r="A7748" s="3">
        <f t="shared" si="364"/>
        <v>78989</v>
      </c>
      <c r="B7748" t="str">
        <f ca="1">TEXT(DATE(YEAR(Invoer!$A$5),1,1)+INT((ROWS(B$2:B7748)-1)/24),"""18""jjmmdd")</f>
        <v>18981119</v>
      </c>
      <c r="C7748" s="11" t="str">
        <f>INDEX(Data,2,2+MOD(ROWS(C$2:C7748)-1,24))</f>
        <v>19.00</v>
      </c>
      <c r="D7748" s="8">
        <f t="shared" ca="1" si="365"/>
        <v>9</v>
      </c>
      <c r="E7748" s="16">
        <f t="shared" ca="1" si="366"/>
        <v>0</v>
      </c>
    </row>
    <row r="7749" spans="1:5" x14ac:dyDescent="0.25">
      <c r="A7749" s="3">
        <f t="shared" si="364"/>
        <v>78989</v>
      </c>
      <c r="B7749" t="str">
        <f ca="1">TEXT(DATE(YEAR(Invoer!$A$5),1,1)+INT((ROWS(B$2:B7749)-1)/24),"""18""jjmmdd")</f>
        <v>18981119</v>
      </c>
      <c r="C7749" s="11" t="str">
        <f>INDEX(Data,2,2+MOD(ROWS(C$2:C7749)-1,24))</f>
        <v>20.00</v>
      </c>
      <c r="D7749" s="8">
        <f t="shared" ca="1" si="365"/>
        <v>10</v>
      </c>
      <c r="E7749" s="16">
        <f t="shared" ca="1" si="366"/>
        <v>0</v>
      </c>
    </row>
    <row r="7750" spans="1:5" x14ac:dyDescent="0.25">
      <c r="A7750" s="3">
        <f t="shared" si="364"/>
        <v>78989</v>
      </c>
      <c r="B7750" t="str">
        <f ca="1">TEXT(DATE(YEAR(Invoer!$A$5),1,1)+INT((ROWS(B$2:B7750)-1)/24),"""18""jjmmdd")</f>
        <v>18981119</v>
      </c>
      <c r="C7750" s="11" t="str">
        <f>INDEX(Data,2,2+MOD(ROWS(C$2:C7750)-1,24))</f>
        <v>21.00</v>
      </c>
      <c r="D7750" s="8">
        <f t="shared" ca="1" si="365"/>
        <v>8</v>
      </c>
      <c r="E7750" s="16">
        <f t="shared" ca="1" si="366"/>
        <v>0</v>
      </c>
    </row>
    <row r="7751" spans="1:5" x14ac:dyDescent="0.25">
      <c r="A7751" s="3">
        <f t="shared" si="364"/>
        <v>78989</v>
      </c>
      <c r="B7751" t="str">
        <f ca="1">TEXT(DATE(YEAR(Invoer!$A$5),1,1)+INT((ROWS(B$2:B7751)-1)/24),"""18""jjmmdd")</f>
        <v>18981119</v>
      </c>
      <c r="C7751" s="11" t="str">
        <f>INDEX(Data,2,2+MOD(ROWS(C$2:C7751)-1,24))</f>
        <v>22.00</v>
      </c>
      <c r="D7751" s="8">
        <f t="shared" ca="1" si="365"/>
        <v>6</v>
      </c>
      <c r="E7751" s="16">
        <f t="shared" ca="1" si="366"/>
        <v>0</v>
      </c>
    </row>
    <row r="7752" spans="1:5" x14ac:dyDescent="0.25">
      <c r="A7752" s="3">
        <f t="shared" si="364"/>
        <v>78989</v>
      </c>
      <c r="B7752" t="str">
        <f ca="1">TEXT(DATE(YEAR(Invoer!$A$5),1,1)+INT((ROWS(B$2:B7752)-1)/24),"""18""jjmmdd")</f>
        <v>18981119</v>
      </c>
      <c r="C7752" s="11" t="str">
        <f>INDEX(Data,2,2+MOD(ROWS(C$2:C7752)-1,24))</f>
        <v>23.00</v>
      </c>
      <c r="D7752" s="8">
        <f t="shared" ca="1" si="365"/>
        <v>6</v>
      </c>
      <c r="E7752" s="16">
        <f t="shared" ca="1" si="366"/>
        <v>0</v>
      </c>
    </row>
    <row r="7753" spans="1:5" x14ac:dyDescent="0.25">
      <c r="A7753" s="3">
        <f t="shared" si="364"/>
        <v>78989</v>
      </c>
      <c r="B7753" t="str">
        <f ca="1">TEXT(DATE(YEAR(Invoer!$A$5),1,1)+INT((ROWS(B$2:B7753)-1)/24),"""18""jjmmdd")</f>
        <v>18981119</v>
      </c>
      <c r="C7753" s="11" t="str">
        <f>INDEX(Data,2,2+MOD(ROWS(C$2:C7753)-1,24))</f>
        <v>24.00</v>
      </c>
      <c r="D7753" s="8">
        <f t="shared" ca="1" si="365"/>
        <v>6</v>
      </c>
      <c r="E7753" s="16">
        <f t="shared" ca="1" si="366"/>
        <v>0</v>
      </c>
    </row>
    <row r="7754" spans="1:5" x14ac:dyDescent="0.25">
      <c r="A7754" s="3">
        <f t="shared" si="364"/>
        <v>78989</v>
      </c>
      <c r="B7754" t="str">
        <f ca="1">TEXT(DATE(YEAR(Invoer!$A$5),1,1)+INT((ROWS(B$2:B7754)-1)/24),"""18""jjmmdd")</f>
        <v>18981120</v>
      </c>
      <c r="C7754" s="11" t="str">
        <f>INDEX(Data,2,2+MOD(ROWS(C$2:C7754)-1,24))</f>
        <v>01.00</v>
      </c>
      <c r="D7754" s="8">
        <f t="shared" ca="1" si="365"/>
        <v>5</v>
      </c>
      <c r="E7754" s="16">
        <f t="shared" ca="1" si="366"/>
        <v>0</v>
      </c>
    </row>
    <row r="7755" spans="1:5" x14ac:dyDescent="0.25">
      <c r="A7755" s="3">
        <f t="shared" si="364"/>
        <v>78989</v>
      </c>
      <c r="B7755" t="str">
        <f ca="1">TEXT(DATE(YEAR(Invoer!$A$5),1,1)+INT((ROWS(B$2:B7755)-1)/24),"""18""jjmmdd")</f>
        <v>18981120</v>
      </c>
      <c r="C7755" s="11" t="str">
        <f>INDEX(Data,2,2+MOD(ROWS(C$2:C7755)-1,24))</f>
        <v>02.00</v>
      </c>
      <c r="D7755" s="8">
        <f t="shared" ca="1" si="365"/>
        <v>4</v>
      </c>
      <c r="E7755" s="16">
        <f t="shared" ca="1" si="366"/>
        <v>0</v>
      </c>
    </row>
    <row r="7756" spans="1:5" x14ac:dyDescent="0.25">
      <c r="A7756" s="3">
        <f t="shared" si="364"/>
        <v>78989</v>
      </c>
      <c r="B7756" t="str">
        <f ca="1">TEXT(DATE(YEAR(Invoer!$A$5),1,1)+INT((ROWS(B$2:B7756)-1)/24),"""18""jjmmdd")</f>
        <v>18981120</v>
      </c>
      <c r="C7756" s="11" t="str">
        <f>INDEX(Data,2,2+MOD(ROWS(C$2:C7756)-1,24))</f>
        <v>03.00</v>
      </c>
      <c r="D7756" s="8">
        <f t="shared" ca="1" si="365"/>
        <v>5</v>
      </c>
      <c r="E7756" s="16">
        <f t="shared" ca="1" si="366"/>
        <v>0</v>
      </c>
    </row>
    <row r="7757" spans="1:5" x14ac:dyDescent="0.25">
      <c r="A7757" s="3">
        <f t="shared" si="364"/>
        <v>78989</v>
      </c>
      <c r="B7757" t="str">
        <f ca="1">TEXT(DATE(YEAR(Invoer!$A$5),1,1)+INT((ROWS(B$2:B7757)-1)/24),"""18""jjmmdd")</f>
        <v>18981120</v>
      </c>
      <c r="C7757" s="11" t="str">
        <f>INDEX(Data,2,2+MOD(ROWS(C$2:C7757)-1,24))</f>
        <v>04.00</v>
      </c>
      <c r="D7757" s="8">
        <f t="shared" ca="1" si="365"/>
        <v>4</v>
      </c>
      <c r="E7757" s="16">
        <f t="shared" ca="1" si="366"/>
        <v>0</v>
      </c>
    </row>
    <row r="7758" spans="1:5" x14ac:dyDescent="0.25">
      <c r="A7758" s="3">
        <f t="shared" si="364"/>
        <v>78989</v>
      </c>
      <c r="B7758" t="str">
        <f ca="1">TEXT(DATE(YEAR(Invoer!$A$5),1,1)+INT((ROWS(B$2:B7758)-1)/24),"""18""jjmmdd")</f>
        <v>18981120</v>
      </c>
      <c r="C7758" s="11" t="str">
        <f>INDEX(Data,2,2+MOD(ROWS(C$2:C7758)-1,24))</f>
        <v>05.00</v>
      </c>
      <c r="D7758" s="8">
        <f t="shared" ca="1" si="365"/>
        <v>3</v>
      </c>
      <c r="E7758" s="16">
        <f t="shared" ca="1" si="366"/>
        <v>0</v>
      </c>
    </row>
    <row r="7759" spans="1:5" x14ac:dyDescent="0.25">
      <c r="A7759" s="3">
        <f t="shared" si="364"/>
        <v>78989</v>
      </c>
      <c r="B7759" t="str">
        <f ca="1">TEXT(DATE(YEAR(Invoer!$A$5),1,1)+INT((ROWS(B$2:B7759)-1)/24),"""18""jjmmdd")</f>
        <v>18981120</v>
      </c>
      <c r="C7759" s="11" t="str">
        <f>INDEX(Data,2,2+MOD(ROWS(C$2:C7759)-1,24))</f>
        <v>06.00</v>
      </c>
      <c r="D7759" s="8">
        <f t="shared" ca="1" si="365"/>
        <v>6</v>
      </c>
      <c r="E7759" s="16">
        <f t="shared" ca="1" si="366"/>
        <v>0</v>
      </c>
    </row>
    <row r="7760" spans="1:5" x14ac:dyDescent="0.25">
      <c r="A7760" s="3">
        <f t="shared" si="364"/>
        <v>78989</v>
      </c>
      <c r="B7760" t="str">
        <f ca="1">TEXT(DATE(YEAR(Invoer!$A$5),1,1)+INT((ROWS(B$2:B7760)-1)/24),"""18""jjmmdd")</f>
        <v>18981120</v>
      </c>
      <c r="C7760" s="11" t="str">
        <f>INDEX(Data,2,2+MOD(ROWS(C$2:C7760)-1,24))</f>
        <v>07.00</v>
      </c>
      <c r="D7760" s="8">
        <f t="shared" ca="1" si="365"/>
        <v>4</v>
      </c>
      <c r="E7760" s="16">
        <f t="shared" ca="1" si="366"/>
        <v>0</v>
      </c>
    </row>
    <row r="7761" spans="1:5" x14ac:dyDescent="0.25">
      <c r="A7761" s="3">
        <f t="shared" si="364"/>
        <v>78989</v>
      </c>
      <c r="B7761" t="str">
        <f ca="1">TEXT(DATE(YEAR(Invoer!$A$5),1,1)+INT((ROWS(B$2:B7761)-1)/24),"""18""jjmmdd")</f>
        <v>18981120</v>
      </c>
      <c r="C7761" s="11" t="str">
        <f>INDEX(Data,2,2+MOD(ROWS(C$2:C7761)-1,24))</f>
        <v>08.00</v>
      </c>
      <c r="D7761" s="8">
        <f t="shared" ca="1" si="365"/>
        <v>8</v>
      </c>
      <c r="E7761" s="16">
        <f t="shared" ca="1" si="366"/>
        <v>0</v>
      </c>
    </row>
    <row r="7762" spans="1:5" x14ac:dyDescent="0.25">
      <c r="A7762" s="3">
        <f t="shared" si="364"/>
        <v>78989</v>
      </c>
      <c r="B7762" t="str">
        <f ca="1">TEXT(DATE(YEAR(Invoer!$A$5),1,1)+INT((ROWS(B$2:B7762)-1)/24),"""18""jjmmdd")</f>
        <v>18981120</v>
      </c>
      <c r="C7762" s="11" t="str">
        <f>INDEX(Data,2,2+MOD(ROWS(C$2:C7762)-1,24))</f>
        <v>09.00</v>
      </c>
      <c r="D7762" s="8">
        <f t="shared" ca="1" si="365"/>
        <v>11</v>
      </c>
      <c r="E7762" s="16">
        <f t="shared" ca="1" si="366"/>
        <v>0</v>
      </c>
    </row>
    <row r="7763" spans="1:5" x14ac:dyDescent="0.25">
      <c r="A7763" s="3">
        <f t="shared" si="364"/>
        <v>78989</v>
      </c>
      <c r="B7763" t="str">
        <f ca="1">TEXT(DATE(YEAR(Invoer!$A$5),1,1)+INT((ROWS(B$2:B7763)-1)/24),"""18""jjmmdd")</f>
        <v>18981120</v>
      </c>
      <c r="C7763" s="11" t="str">
        <f>INDEX(Data,2,2+MOD(ROWS(C$2:C7763)-1,24))</f>
        <v>10.00</v>
      </c>
      <c r="D7763" s="8">
        <f t="shared" ca="1" si="365"/>
        <v>10</v>
      </c>
      <c r="E7763" s="16">
        <f t="shared" ca="1" si="366"/>
        <v>0</v>
      </c>
    </row>
    <row r="7764" spans="1:5" x14ac:dyDescent="0.25">
      <c r="A7764" s="3">
        <f t="shared" si="364"/>
        <v>78989</v>
      </c>
      <c r="B7764" t="str">
        <f ca="1">TEXT(DATE(YEAR(Invoer!$A$5),1,1)+INT((ROWS(B$2:B7764)-1)/24),"""18""jjmmdd")</f>
        <v>18981120</v>
      </c>
      <c r="C7764" s="11" t="str">
        <f>INDEX(Data,2,2+MOD(ROWS(C$2:C7764)-1,24))</f>
        <v>11.00</v>
      </c>
      <c r="D7764" s="8">
        <f t="shared" ca="1" si="365"/>
        <v>11</v>
      </c>
      <c r="E7764" s="16">
        <f t="shared" ca="1" si="366"/>
        <v>0</v>
      </c>
    </row>
    <row r="7765" spans="1:5" x14ac:dyDescent="0.25">
      <c r="A7765" s="3">
        <f t="shared" si="364"/>
        <v>78989</v>
      </c>
      <c r="B7765" t="str">
        <f ca="1">TEXT(DATE(YEAR(Invoer!$A$5),1,1)+INT((ROWS(B$2:B7765)-1)/24),"""18""jjmmdd")</f>
        <v>18981120</v>
      </c>
      <c r="C7765" s="11" t="str">
        <f>INDEX(Data,2,2+MOD(ROWS(C$2:C7765)-1,24))</f>
        <v>12.00</v>
      </c>
      <c r="D7765" s="8">
        <f t="shared" ca="1" si="365"/>
        <v>11</v>
      </c>
      <c r="E7765" s="16">
        <f t="shared" ca="1" si="366"/>
        <v>0</v>
      </c>
    </row>
    <row r="7766" spans="1:5" x14ac:dyDescent="0.25">
      <c r="A7766" s="3">
        <f t="shared" si="364"/>
        <v>78989</v>
      </c>
      <c r="B7766" t="str">
        <f ca="1">TEXT(DATE(YEAR(Invoer!$A$5),1,1)+INT((ROWS(B$2:B7766)-1)/24),"""18""jjmmdd")</f>
        <v>18981120</v>
      </c>
      <c r="C7766" s="11" t="str">
        <f>INDEX(Data,2,2+MOD(ROWS(C$2:C7766)-1,24))</f>
        <v>13.00</v>
      </c>
      <c r="D7766" s="8">
        <f t="shared" ca="1" si="365"/>
        <v>10</v>
      </c>
      <c r="E7766" s="16">
        <f t="shared" ca="1" si="366"/>
        <v>0</v>
      </c>
    </row>
    <row r="7767" spans="1:5" x14ac:dyDescent="0.25">
      <c r="A7767" s="3">
        <f t="shared" si="364"/>
        <v>78989</v>
      </c>
      <c r="B7767" t="str">
        <f ca="1">TEXT(DATE(YEAR(Invoer!$A$5),1,1)+INT((ROWS(B$2:B7767)-1)/24),"""18""jjmmdd")</f>
        <v>18981120</v>
      </c>
      <c r="C7767" s="11" t="str">
        <f>INDEX(Data,2,2+MOD(ROWS(C$2:C7767)-1,24))</f>
        <v>14.00</v>
      </c>
      <c r="D7767" s="8">
        <f t="shared" ca="1" si="365"/>
        <v>10</v>
      </c>
      <c r="E7767" s="16">
        <f t="shared" ca="1" si="366"/>
        <v>0</v>
      </c>
    </row>
    <row r="7768" spans="1:5" x14ac:dyDescent="0.25">
      <c r="A7768" s="3">
        <f t="shared" si="364"/>
        <v>78989</v>
      </c>
      <c r="B7768" t="str">
        <f ca="1">TEXT(DATE(YEAR(Invoer!$A$5),1,1)+INT((ROWS(B$2:B7768)-1)/24),"""18""jjmmdd")</f>
        <v>18981120</v>
      </c>
      <c r="C7768" s="11" t="str">
        <f>INDEX(Data,2,2+MOD(ROWS(C$2:C7768)-1,24))</f>
        <v>15.00</v>
      </c>
      <c r="D7768" s="8">
        <f t="shared" ca="1" si="365"/>
        <v>9</v>
      </c>
      <c r="E7768" s="16">
        <f t="shared" ca="1" si="366"/>
        <v>0</v>
      </c>
    </row>
    <row r="7769" spans="1:5" x14ac:dyDescent="0.25">
      <c r="A7769" s="3">
        <f t="shared" si="364"/>
        <v>78989</v>
      </c>
      <c r="B7769" t="str">
        <f ca="1">TEXT(DATE(YEAR(Invoer!$A$5),1,1)+INT((ROWS(B$2:B7769)-1)/24),"""18""jjmmdd")</f>
        <v>18981120</v>
      </c>
      <c r="C7769" s="11" t="str">
        <f>INDEX(Data,2,2+MOD(ROWS(C$2:C7769)-1,24))</f>
        <v>16.00</v>
      </c>
      <c r="D7769" s="8">
        <f t="shared" ca="1" si="365"/>
        <v>9</v>
      </c>
      <c r="E7769" s="16">
        <f t="shared" ca="1" si="366"/>
        <v>0</v>
      </c>
    </row>
    <row r="7770" spans="1:5" x14ac:dyDescent="0.25">
      <c r="A7770" s="3">
        <f t="shared" si="364"/>
        <v>78989</v>
      </c>
      <c r="B7770" t="str">
        <f ca="1">TEXT(DATE(YEAR(Invoer!$A$5),1,1)+INT((ROWS(B$2:B7770)-1)/24),"""18""jjmmdd")</f>
        <v>18981120</v>
      </c>
      <c r="C7770" s="11" t="str">
        <f>INDEX(Data,2,2+MOD(ROWS(C$2:C7770)-1,24))</f>
        <v>17.00</v>
      </c>
      <c r="D7770" s="8">
        <f t="shared" ca="1" si="365"/>
        <v>8</v>
      </c>
      <c r="E7770" s="16">
        <f t="shared" ca="1" si="366"/>
        <v>0</v>
      </c>
    </row>
    <row r="7771" spans="1:5" x14ac:dyDescent="0.25">
      <c r="A7771" s="3">
        <f t="shared" si="364"/>
        <v>78989</v>
      </c>
      <c r="B7771" t="str">
        <f ca="1">TEXT(DATE(YEAR(Invoer!$A$5),1,1)+INT((ROWS(B$2:B7771)-1)/24),"""18""jjmmdd")</f>
        <v>18981120</v>
      </c>
      <c r="C7771" s="11" t="str">
        <f>INDEX(Data,2,2+MOD(ROWS(C$2:C7771)-1,24))</f>
        <v>18.00</v>
      </c>
      <c r="D7771" s="8">
        <f t="shared" ca="1" si="365"/>
        <v>7</v>
      </c>
      <c r="E7771" s="16">
        <f t="shared" ca="1" si="366"/>
        <v>0</v>
      </c>
    </row>
    <row r="7772" spans="1:5" x14ac:dyDescent="0.25">
      <c r="A7772" s="3">
        <f t="shared" si="364"/>
        <v>78989</v>
      </c>
      <c r="B7772" t="str">
        <f ca="1">TEXT(DATE(YEAR(Invoer!$A$5),1,1)+INT((ROWS(B$2:B7772)-1)/24),"""18""jjmmdd")</f>
        <v>18981120</v>
      </c>
      <c r="C7772" s="11" t="str">
        <f>INDEX(Data,2,2+MOD(ROWS(C$2:C7772)-1,24))</f>
        <v>19.00</v>
      </c>
      <c r="D7772" s="8">
        <f t="shared" ca="1" si="365"/>
        <v>6</v>
      </c>
      <c r="E7772" s="16">
        <f t="shared" ca="1" si="366"/>
        <v>0</v>
      </c>
    </row>
    <row r="7773" spans="1:5" x14ac:dyDescent="0.25">
      <c r="A7773" s="3">
        <f t="shared" si="364"/>
        <v>78989</v>
      </c>
      <c r="B7773" t="str">
        <f ca="1">TEXT(DATE(YEAR(Invoer!$A$5),1,1)+INT((ROWS(B$2:B7773)-1)/24),"""18""jjmmdd")</f>
        <v>18981120</v>
      </c>
      <c r="C7773" s="11" t="str">
        <f>INDEX(Data,2,2+MOD(ROWS(C$2:C7773)-1,24))</f>
        <v>20.00</v>
      </c>
      <c r="D7773" s="8">
        <f t="shared" ca="1" si="365"/>
        <v>6</v>
      </c>
      <c r="E7773" s="16">
        <f t="shared" ca="1" si="366"/>
        <v>0</v>
      </c>
    </row>
    <row r="7774" spans="1:5" x14ac:dyDescent="0.25">
      <c r="A7774" s="3">
        <f t="shared" si="364"/>
        <v>78989</v>
      </c>
      <c r="B7774" t="str">
        <f ca="1">TEXT(DATE(YEAR(Invoer!$A$5),1,1)+INT((ROWS(B$2:B7774)-1)/24),"""18""jjmmdd")</f>
        <v>18981120</v>
      </c>
      <c r="C7774" s="11" t="str">
        <f>INDEX(Data,2,2+MOD(ROWS(C$2:C7774)-1,24))</f>
        <v>21.00</v>
      </c>
      <c r="D7774" s="8">
        <f t="shared" ca="1" si="365"/>
        <v>8</v>
      </c>
      <c r="E7774" s="16">
        <f t="shared" ca="1" si="366"/>
        <v>0</v>
      </c>
    </row>
    <row r="7775" spans="1:5" x14ac:dyDescent="0.25">
      <c r="A7775" s="3">
        <f t="shared" si="364"/>
        <v>78989</v>
      </c>
      <c r="B7775" t="str">
        <f ca="1">TEXT(DATE(YEAR(Invoer!$A$5),1,1)+INT((ROWS(B$2:B7775)-1)/24),"""18""jjmmdd")</f>
        <v>18981120</v>
      </c>
      <c r="C7775" s="11" t="str">
        <f>INDEX(Data,2,2+MOD(ROWS(C$2:C7775)-1,24))</f>
        <v>22.00</v>
      </c>
      <c r="D7775" s="8">
        <f t="shared" ca="1" si="365"/>
        <v>7</v>
      </c>
      <c r="E7775" s="16">
        <f t="shared" ca="1" si="366"/>
        <v>0</v>
      </c>
    </row>
    <row r="7776" spans="1:5" x14ac:dyDescent="0.25">
      <c r="A7776" s="3">
        <f t="shared" si="364"/>
        <v>78989</v>
      </c>
      <c r="B7776" t="str">
        <f ca="1">TEXT(DATE(YEAR(Invoer!$A$5),1,1)+INT((ROWS(B$2:B7776)-1)/24),"""18""jjmmdd")</f>
        <v>18981120</v>
      </c>
      <c r="C7776" s="11" t="str">
        <f>INDEX(Data,2,2+MOD(ROWS(C$2:C7776)-1,24))</f>
        <v>23.00</v>
      </c>
      <c r="D7776" s="8">
        <f t="shared" ca="1" si="365"/>
        <v>6</v>
      </c>
      <c r="E7776" s="16">
        <f t="shared" ca="1" si="366"/>
        <v>0</v>
      </c>
    </row>
    <row r="7777" spans="1:5" x14ac:dyDescent="0.25">
      <c r="A7777" s="3">
        <f t="shared" si="364"/>
        <v>78989</v>
      </c>
      <c r="B7777" t="str">
        <f ca="1">TEXT(DATE(YEAR(Invoer!$A$5),1,1)+INT((ROWS(B$2:B7777)-1)/24),"""18""jjmmdd")</f>
        <v>18981120</v>
      </c>
      <c r="C7777" s="11" t="str">
        <f>INDEX(Data,2,2+MOD(ROWS(C$2:C7777)-1,24))</f>
        <v>24.00</v>
      </c>
      <c r="D7777" s="8">
        <f t="shared" ca="1" si="365"/>
        <v>7</v>
      </c>
      <c r="E7777" s="16">
        <f t="shared" ca="1" si="366"/>
        <v>0</v>
      </c>
    </row>
    <row r="7778" spans="1:5" x14ac:dyDescent="0.25">
      <c r="A7778" s="3">
        <f t="shared" si="364"/>
        <v>78989</v>
      </c>
      <c r="B7778" t="str">
        <f ca="1">TEXT(DATE(YEAR(Invoer!$A$5),1,1)+INT((ROWS(B$2:B7778)-1)/24),"""18""jjmmdd")</f>
        <v>18981121</v>
      </c>
      <c r="C7778" s="11" t="str">
        <f>INDEX(Data,2,2+MOD(ROWS(C$2:C7778)-1,24))</f>
        <v>01.00</v>
      </c>
      <c r="D7778" s="8">
        <f t="shared" ca="1" si="365"/>
        <v>7</v>
      </c>
      <c r="E7778" s="16">
        <f t="shared" ca="1" si="366"/>
        <v>0</v>
      </c>
    </row>
    <row r="7779" spans="1:5" x14ac:dyDescent="0.25">
      <c r="A7779" s="3">
        <f t="shared" si="364"/>
        <v>78989</v>
      </c>
      <c r="B7779" t="str">
        <f ca="1">TEXT(DATE(YEAR(Invoer!$A$5),1,1)+INT((ROWS(B$2:B7779)-1)/24),"""18""jjmmdd")</f>
        <v>18981121</v>
      </c>
      <c r="C7779" s="11" t="str">
        <f>INDEX(Data,2,2+MOD(ROWS(C$2:C7779)-1,24))</f>
        <v>02.00</v>
      </c>
      <c r="D7779" s="8">
        <f t="shared" ca="1" si="365"/>
        <v>4</v>
      </c>
      <c r="E7779" s="16">
        <f t="shared" ca="1" si="366"/>
        <v>0</v>
      </c>
    </row>
    <row r="7780" spans="1:5" x14ac:dyDescent="0.25">
      <c r="A7780" s="3">
        <f t="shared" si="364"/>
        <v>78989</v>
      </c>
      <c r="B7780" t="str">
        <f ca="1">TEXT(DATE(YEAR(Invoer!$A$5),1,1)+INT((ROWS(B$2:B7780)-1)/24),"""18""jjmmdd")</f>
        <v>18981121</v>
      </c>
      <c r="C7780" s="11" t="str">
        <f>INDEX(Data,2,2+MOD(ROWS(C$2:C7780)-1,24))</f>
        <v>03.00</v>
      </c>
      <c r="D7780" s="8">
        <f t="shared" ca="1" si="365"/>
        <v>5</v>
      </c>
      <c r="E7780" s="16">
        <f t="shared" ca="1" si="366"/>
        <v>0</v>
      </c>
    </row>
    <row r="7781" spans="1:5" x14ac:dyDescent="0.25">
      <c r="A7781" s="3">
        <f t="shared" si="364"/>
        <v>78989</v>
      </c>
      <c r="B7781" t="str">
        <f ca="1">TEXT(DATE(YEAR(Invoer!$A$5),1,1)+INT((ROWS(B$2:B7781)-1)/24),"""18""jjmmdd")</f>
        <v>18981121</v>
      </c>
      <c r="C7781" s="11" t="str">
        <f>INDEX(Data,2,2+MOD(ROWS(C$2:C7781)-1,24))</f>
        <v>04.00</v>
      </c>
      <c r="D7781" s="8">
        <f t="shared" ca="1" si="365"/>
        <v>5</v>
      </c>
      <c r="E7781" s="16">
        <f t="shared" ca="1" si="366"/>
        <v>0</v>
      </c>
    </row>
    <row r="7782" spans="1:5" x14ac:dyDescent="0.25">
      <c r="A7782" s="3">
        <f t="shared" si="364"/>
        <v>78989</v>
      </c>
      <c r="B7782" t="str">
        <f ca="1">TEXT(DATE(YEAR(Invoer!$A$5),1,1)+INT((ROWS(B$2:B7782)-1)/24),"""18""jjmmdd")</f>
        <v>18981121</v>
      </c>
      <c r="C7782" s="11" t="str">
        <f>INDEX(Data,2,2+MOD(ROWS(C$2:C7782)-1,24))</f>
        <v>05.00</v>
      </c>
      <c r="D7782" s="8">
        <f t="shared" ca="1" si="365"/>
        <v>5</v>
      </c>
      <c r="E7782" s="16">
        <f t="shared" ca="1" si="366"/>
        <v>0</v>
      </c>
    </row>
    <row r="7783" spans="1:5" x14ac:dyDescent="0.25">
      <c r="A7783" s="3">
        <f t="shared" si="364"/>
        <v>78989</v>
      </c>
      <c r="B7783" t="str">
        <f ca="1">TEXT(DATE(YEAR(Invoer!$A$5),1,1)+INT((ROWS(B$2:B7783)-1)/24),"""18""jjmmdd")</f>
        <v>18981121</v>
      </c>
      <c r="C7783" s="11" t="str">
        <f>INDEX(Data,2,2+MOD(ROWS(C$2:C7783)-1,24))</f>
        <v>06.00</v>
      </c>
      <c r="D7783" s="8">
        <f t="shared" ca="1" si="365"/>
        <v>5</v>
      </c>
      <c r="E7783" s="16">
        <f t="shared" ca="1" si="366"/>
        <v>0</v>
      </c>
    </row>
    <row r="7784" spans="1:5" x14ac:dyDescent="0.25">
      <c r="A7784" s="3">
        <f t="shared" si="364"/>
        <v>78989</v>
      </c>
      <c r="B7784" t="str">
        <f ca="1">TEXT(DATE(YEAR(Invoer!$A$5),1,1)+INT((ROWS(B$2:B7784)-1)/24),"""18""jjmmdd")</f>
        <v>18981121</v>
      </c>
      <c r="C7784" s="11" t="str">
        <f>INDEX(Data,2,2+MOD(ROWS(C$2:C7784)-1,24))</f>
        <v>07.00</v>
      </c>
      <c r="D7784" s="8">
        <f t="shared" ca="1" si="365"/>
        <v>6</v>
      </c>
      <c r="E7784" s="16">
        <f t="shared" ca="1" si="366"/>
        <v>0</v>
      </c>
    </row>
    <row r="7785" spans="1:5" x14ac:dyDescent="0.25">
      <c r="A7785" s="3">
        <f t="shared" si="364"/>
        <v>78989</v>
      </c>
      <c r="B7785" t="str">
        <f ca="1">TEXT(DATE(YEAR(Invoer!$A$5),1,1)+INT((ROWS(B$2:B7785)-1)/24),"""18""jjmmdd")</f>
        <v>18981121</v>
      </c>
      <c r="C7785" s="11" t="str">
        <f>INDEX(Data,2,2+MOD(ROWS(C$2:C7785)-1,24))</f>
        <v>08.00</v>
      </c>
      <c r="D7785" s="8">
        <f t="shared" ca="1" si="365"/>
        <v>9</v>
      </c>
      <c r="E7785" s="16">
        <f t="shared" ca="1" si="366"/>
        <v>0</v>
      </c>
    </row>
    <row r="7786" spans="1:5" x14ac:dyDescent="0.25">
      <c r="A7786" s="3">
        <f t="shared" si="364"/>
        <v>78989</v>
      </c>
      <c r="B7786" t="str">
        <f ca="1">TEXT(DATE(YEAR(Invoer!$A$5),1,1)+INT((ROWS(B$2:B7786)-1)/24),"""18""jjmmdd")</f>
        <v>18981121</v>
      </c>
      <c r="C7786" s="11" t="str">
        <f>INDEX(Data,2,2+MOD(ROWS(C$2:C7786)-1,24))</f>
        <v>09.00</v>
      </c>
      <c r="D7786" s="8">
        <f t="shared" ca="1" si="365"/>
        <v>10</v>
      </c>
      <c r="E7786" s="16">
        <f t="shared" ca="1" si="366"/>
        <v>0</v>
      </c>
    </row>
    <row r="7787" spans="1:5" x14ac:dyDescent="0.25">
      <c r="A7787" s="3">
        <f t="shared" si="364"/>
        <v>78989</v>
      </c>
      <c r="B7787" t="str">
        <f ca="1">TEXT(DATE(YEAR(Invoer!$A$5),1,1)+INT((ROWS(B$2:B7787)-1)/24),"""18""jjmmdd")</f>
        <v>18981121</v>
      </c>
      <c r="C7787" s="11" t="str">
        <f>INDEX(Data,2,2+MOD(ROWS(C$2:C7787)-1,24))</f>
        <v>10.00</v>
      </c>
      <c r="D7787" s="8">
        <f t="shared" ca="1" si="365"/>
        <v>10</v>
      </c>
      <c r="E7787" s="16">
        <f t="shared" ca="1" si="366"/>
        <v>0</v>
      </c>
    </row>
    <row r="7788" spans="1:5" x14ac:dyDescent="0.25">
      <c r="A7788" s="3">
        <f t="shared" si="364"/>
        <v>78989</v>
      </c>
      <c r="B7788" t="str">
        <f ca="1">TEXT(DATE(YEAR(Invoer!$A$5),1,1)+INT((ROWS(B$2:B7788)-1)/24),"""18""jjmmdd")</f>
        <v>18981121</v>
      </c>
      <c r="C7788" s="11" t="str">
        <f>INDEX(Data,2,2+MOD(ROWS(C$2:C7788)-1,24))</f>
        <v>11.00</v>
      </c>
      <c r="D7788" s="8">
        <f t="shared" ca="1" si="365"/>
        <v>11</v>
      </c>
      <c r="E7788" s="16">
        <f t="shared" ca="1" si="366"/>
        <v>0</v>
      </c>
    </row>
    <row r="7789" spans="1:5" x14ac:dyDescent="0.25">
      <c r="A7789" s="3">
        <f t="shared" si="364"/>
        <v>78989</v>
      </c>
      <c r="B7789" t="str">
        <f ca="1">TEXT(DATE(YEAR(Invoer!$A$5),1,1)+INT((ROWS(B$2:B7789)-1)/24),"""18""jjmmdd")</f>
        <v>18981121</v>
      </c>
      <c r="C7789" s="11" t="str">
        <f>INDEX(Data,2,2+MOD(ROWS(C$2:C7789)-1,24))</f>
        <v>12.00</v>
      </c>
      <c r="D7789" s="8">
        <f t="shared" ca="1" si="365"/>
        <v>13</v>
      </c>
      <c r="E7789" s="16">
        <f t="shared" ca="1" si="366"/>
        <v>0</v>
      </c>
    </row>
    <row r="7790" spans="1:5" x14ac:dyDescent="0.25">
      <c r="A7790" s="3">
        <f t="shared" si="364"/>
        <v>78989</v>
      </c>
      <c r="B7790" t="str">
        <f ca="1">TEXT(DATE(YEAR(Invoer!$A$5),1,1)+INT((ROWS(B$2:B7790)-1)/24),"""18""jjmmdd")</f>
        <v>18981121</v>
      </c>
      <c r="C7790" s="11" t="str">
        <f>INDEX(Data,2,2+MOD(ROWS(C$2:C7790)-1,24))</f>
        <v>13.00</v>
      </c>
      <c r="D7790" s="8">
        <f t="shared" ca="1" si="365"/>
        <v>12</v>
      </c>
      <c r="E7790" s="16">
        <f t="shared" ca="1" si="366"/>
        <v>0</v>
      </c>
    </row>
    <row r="7791" spans="1:5" x14ac:dyDescent="0.25">
      <c r="A7791" s="3">
        <f t="shared" si="364"/>
        <v>78989</v>
      </c>
      <c r="B7791" t="str">
        <f ca="1">TEXT(DATE(YEAR(Invoer!$A$5),1,1)+INT((ROWS(B$2:B7791)-1)/24),"""18""jjmmdd")</f>
        <v>18981121</v>
      </c>
      <c r="C7791" s="11" t="str">
        <f>INDEX(Data,2,2+MOD(ROWS(C$2:C7791)-1,24))</f>
        <v>14.00</v>
      </c>
      <c r="D7791" s="8">
        <f t="shared" ca="1" si="365"/>
        <v>12</v>
      </c>
      <c r="E7791" s="16">
        <f t="shared" ca="1" si="366"/>
        <v>0</v>
      </c>
    </row>
    <row r="7792" spans="1:5" x14ac:dyDescent="0.25">
      <c r="A7792" s="3">
        <f t="shared" si="364"/>
        <v>78989</v>
      </c>
      <c r="B7792" t="str">
        <f ca="1">TEXT(DATE(YEAR(Invoer!$A$5),1,1)+INT((ROWS(B$2:B7792)-1)/24),"""18""jjmmdd")</f>
        <v>18981121</v>
      </c>
      <c r="C7792" s="11" t="str">
        <f>INDEX(Data,2,2+MOD(ROWS(C$2:C7792)-1,24))</f>
        <v>15.00</v>
      </c>
      <c r="D7792" s="8">
        <f t="shared" ca="1" si="365"/>
        <v>13</v>
      </c>
      <c r="E7792" s="16">
        <f t="shared" ca="1" si="366"/>
        <v>0</v>
      </c>
    </row>
    <row r="7793" spans="1:5" x14ac:dyDescent="0.25">
      <c r="A7793" s="3">
        <f t="shared" si="364"/>
        <v>78989</v>
      </c>
      <c r="B7793" t="str">
        <f ca="1">TEXT(DATE(YEAR(Invoer!$A$5),1,1)+INT((ROWS(B$2:B7793)-1)/24),"""18""jjmmdd")</f>
        <v>18981121</v>
      </c>
      <c r="C7793" s="11" t="str">
        <f>INDEX(Data,2,2+MOD(ROWS(C$2:C7793)-1,24))</f>
        <v>16.00</v>
      </c>
      <c r="D7793" s="8">
        <f t="shared" ca="1" si="365"/>
        <v>13</v>
      </c>
      <c r="E7793" s="16">
        <f t="shared" ca="1" si="366"/>
        <v>0</v>
      </c>
    </row>
    <row r="7794" spans="1:5" x14ac:dyDescent="0.25">
      <c r="A7794" s="3">
        <f t="shared" si="364"/>
        <v>78989</v>
      </c>
      <c r="B7794" t="str">
        <f ca="1">TEXT(DATE(YEAR(Invoer!$A$5),1,1)+INT((ROWS(B$2:B7794)-1)/24),"""18""jjmmdd")</f>
        <v>18981121</v>
      </c>
      <c r="C7794" s="11" t="str">
        <f>INDEX(Data,2,2+MOD(ROWS(C$2:C7794)-1,24))</f>
        <v>17.00</v>
      </c>
      <c r="D7794" s="8">
        <f t="shared" ca="1" si="365"/>
        <v>12</v>
      </c>
      <c r="E7794" s="16">
        <f t="shared" ca="1" si="366"/>
        <v>0</v>
      </c>
    </row>
    <row r="7795" spans="1:5" x14ac:dyDescent="0.25">
      <c r="A7795" s="3">
        <f t="shared" si="364"/>
        <v>78989</v>
      </c>
      <c r="B7795" t="str">
        <f ca="1">TEXT(DATE(YEAR(Invoer!$A$5),1,1)+INT((ROWS(B$2:B7795)-1)/24),"""18""jjmmdd")</f>
        <v>18981121</v>
      </c>
      <c r="C7795" s="11" t="str">
        <f>INDEX(Data,2,2+MOD(ROWS(C$2:C7795)-1,24))</f>
        <v>18.00</v>
      </c>
      <c r="D7795" s="8">
        <f t="shared" ca="1" si="365"/>
        <v>10</v>
      </c>
      <c r="E7795" s="16">
        <f t="shared" ca="1" si="366"/>
        <v>0</v>
      </c>
    </row>
    <row r="7796" spans="1:5" x14ac:dyDescent="0.25">
      <c r="A7796" s="3">
        <f t="shared" si="364"/>
        <v>78989</v>
      </c>
      <c r="B7796" t="str">
        <f ca="1">TEXT(DATE(YEAR(Invoer!$A$5),1,1)+INT((ROWS(B$2:B7796)-1)/24),"""18""jjmmdd")</f>
        <v>18981121</v>
      </c>
      <c r="C7796" s="11" t="str">
        <f>INDEX(Data,2,2+MOD(ROWS(C$2:C7796)-1,24))</f>
        <v>19.00</v>
      </c>
      <c r="D7796" s="8">
        <f t="shared" ca="1" si="365"/>
        <v>9</v>
      </c>
      <c r="E7796" s="16">
        <f t="shared" ca="1" si="366"/>
        <v>0</v>
      </c>
    </row>
    <row r="7797" spans="1:5" x14ac:dyDescent="0.25">
      <c r="A7797" s="3">
        <f t="shared" si="364"/>
        <v>78989</v>
      </c>
      <c r="B7797" t="str">
        <f ca="1">TEXT(DATE(YEAR(Invoer!$A$5),1,1)+INT((ROWS(B$2:B7797)-1)/24),"""18""jjmmdd")</f>
        <v>18981121</v>
      </c>
      <c r="C7797" s="11" t="str">
        <f>INDEX(Data,2,2+MOD(ROWS(C$2:C7797)-1,24))</f>
        <v>20.00</v>
      </c>
      <c r="D7797" s="8">
        <f t="shared" ca="1" si="365"/>
        <v>9</v>
      </c>
      <c r="E7797" s="16">
        <f t="shared" ca="1" si="366"/>
        <v>0</v>
      </c>
    </row>
    <row r="7798" spans="1:5" x14ac:dyDescent="0.25">
      <c r="A7798" s="3">
        <f t="shared" si="364"/>
        <v>78989</v>
      </c>
      <c r="B7798" t="str">
        <f ca="1">TEXT(DATE(YEAR(Invoer!$A$5),1,1)+INT((ROWS(B$2:B7798)-1)/24),"""18""jjmmdd")</f>
        <v>18981121</v>
      </c>
      <c r="C7798" s="11" t="str">
        <f>INDEX(Data,2,2+MOD(ROWS(C$2:C7798)-1,24))</f>
        <v>21.00</v>
      </c>
      <c r="D7798" s="8">
        <f t="shared" ca="1" si="365"/>
        <v>9</v>
      </c>
      <c r="E7798" s="16">
        <f t="shared" ca="1" si="366"/>
        <v>0</v>
      </c>
    </row>
    <row r="7799" spans="1:5" x14ac:dyDescent="0.25">
      <c r="A7799" s="3">
        <f t="shared" si="364"/>
        <v>78989</v>
      </c>
      <c r="B7799" t="str">
        <f ca="1">TEXT(DATE(YEAR(Invoer!$A$5),1,1)+INT((ROWS(B$2:B7799)-1)/24),"""18""jjmmdd")</f>
        <v>18981121</v>
      </c>
      <c r="C7799" s="11" t="str">
        <f>INDEX(Data,2,2+MOD(ROWS(C$2:C7799)-1,24))</f>
        <v>22.00</v>
      </c>
      <c r="D7799" s="8">
        <f t="shared" ca="1" si="365"/>
        <v>9</v>
      </c>
      <c r="E7799" s="16">
        <f t="shared" ca="1" si="366"/>
        <v>0</v>
      </c>
    </row>
    <row r="7800" spans="1:5" x14ac:dyDescent="0.25">
      <c r="A7800" s="3">
        <f t="shared" si="364"/>
        <v>78989</v>
      </c>
      <c r="B7800" t="str">
        <f ca="1">TEXT(DATE(YEAR(Invoer!$A$5),1,1)+INT((ROWS(B$2:B7800)-1)/24),"""18""jjmmdd")</f>
        <v>18981121</v>
      </c>
      <c r="C7800" s="11" t="str">
        <f>INDEX(Data,2,2+MOD(ROWS(C$2:C7800)-1,24))</f>
        <v>23.00</v>
      </c>
      <c r="D7800" s="8">
        <f t="shared" ca="1" si="365"/>
        <v>8</v>
      </c>
      <c r="E7800" s="16">
        <f t="shared" ca="1" si="366"/>
        <v>0</v>
      </c>
    </row>
    <row r="7801" spans="1:5" x14ac:dyDescent="0.25">
      <c r="A7801" s="3">
        <f t="shared" si="364"/>
        <v>78989</v>
      </c>
      <c r="B7801" t="str">
        <f ca="1">TEXT(DATE(YEAR(Invoer!$A$5),1,1)+INT((ROWS(B$2:B7801)-1)/24),"""18""jjmmdd")</f>
        <v>18981121</v>
      </c>
      <c r="C7801" s="11" t="str">
        <f>INDEX(Data,2,2+MOD(ROWS(C$2:C7801)-1,24))</f>
        <v>24.00</v>
      </c>
      <c r="D7801" s="8">
        <f t="shared" ca="1" si="365"/>
        <v>8</v>
      </c>
      <c r="E7801" s="16">
        <f t="shared" ca="1" si="366"/>
        <v>0</v>
      </c>
    </row>
    <row r="7802" spans="1:5" x14ac:dyDescent="0.25">
      <c r="A7802" s="3">
        <f t="shared" si="364"/>
        <v>78989</v>
      </c>
      <c r="B7802" t="str">
        <f ca="1">TEXT(DATE(YEAR(Invoer!$A$5),1,1)+INT((ROWS(B$2:B7802)-1)/24),"""18""jjmmdd")</f>
        <v>18981122</v>
      </c>
      <c r="C7802" s="11" t="str">
        <f>INDEX(Data,2,2+MOD(ROWS(C$2:C7802)-1,24))</f>
        <v>01.00</v>
      </c>
      <c r="D7802" s="8">
        <f t="shared" ca="1" si="365"/>
        <v>8</v>
      </c>
      <c r="E7802" s="16">
        <f t="shared" ca="1" si="366"/>
        <v>0</v>
      </c>
    </row>
    <row r="7803" spans="1:5" x14ac:dyDescent="0.25">
      <c r="A7803" s="3">
        <f t="shared" si="364"/>
        <v>78989</v>
      </c>
      <c r="B7803" t="str">
        <f ca="1">TEXT(DATE(YEAR(Invoer!$A$5),1,1)+INT((ROWS(B$2:B7803)-1)/24),"""18""jjmmdd")</f>
        <v>18981122</v>
      </c>
      <c r="C7803" s="11" t="str">
        <f>INDEX(Data,2,2+MOD(ROWS(C$2:C7803)-1,24))</f>
        <v>02.00</v>
      </c>
      <c r="D7803" s="8">
        <f t="shared" ca="1" si="365"/>
        <v>9</v>
      </c>
      <c r="E7803" s="16">
        <f t="shared" ca="1" si="366"/>
        <v>0</v>
      </c>
    </row>
    <row r="7804" spans="1:5" x14ac:dyDescent="0.25">
      <c r="A7804" s="3">
        <f t="shared" si="364"/>
        <v>78989</v>
      </c>
      <c r="B7804" t="str">
        <f ca="1">TEXT(DATE(YEAR(Invoer!$A$5),1,1)+INT((ROWS(B$2:B7804)-1)/24),"""18""jjmmdd")</f>
        <v>18981122</v>
      </c>
      <c r="C7804" s="11" t="str">
        <f>INDEX(Data,2,2+MOD(ROWS(C$2:C7804)-1,24))</f>
        <v>03.00</v>
      </c>
      <c r="D7804" s="8">
        <f t="shared" ca="1" si="365"/>
        <v>8</v>
      </c>
      <c r="E7804" s="16">
        <f t="shared" ca="1" si="366"/>
        <v>0</v>
      </c>
    </row>
    <row r="7805" spans="1:5" x14ac:dyDescent="0.25">
      <c r="A7805" s="3">
        <f t="shared" si="364"/>
        <v>78989</v>
      </c>
      <c r="B7805" t="str">
        <f ca="1">TEXT(DATE(YEAR(Invoer!$A$5),1,1)+INT((ROWS(B$2:B7805)-1)/24),"""18""jjmmdd")</f>
        <v>18981122</v>
      </c>
      <c r="C7805" s="11" t="str">
        <f>INDEX(Data,2,2+MOD(ROWS(C$2:C7805)-1,24))</f>
        <v>04.00</v>
      </c>
      <c r="D7805" s="8">
        <f t="shared" ca="1" si="365"/>
        <v>7</v>
      </c>
      <c r="E7805" s="16">
        <f t="shared" ca="1" si="366"/>
        <v>0</v>
      </c>
    </row>
    <row r="7806" spans="1:5" x14ac:dyDescent="0.25">
      <c r="A7806" s="3">
        <f t="shared" si="364"/>
        <v>78989</v>
      </c>
      <c r="B7806" t="str">
        <f ca="1">TEXT(DATE(YEAR(Invoer!$A$5),1,1)+INT((ROWS(B$2:B7806)-1)/24),"""18""jjmmdd")</f>
        <v>18981122</v>
      </c>
      <c r="C7806" s="11" t="str">
        <f>INDEX(Data,2,2+MOD(ROWS(C$2:C7806)-1,24))</f>
        <v>05.00</v>
      </c>
      <c r="D7806" s="8">
        <f t="shared" ca="1" si="365"/>
        <v>6</v>
      </c>
      <c r="E7806" s="16">
        <f t="shared" ca="1" si="366"/>
        <v>0</v>
      </c>
    </row>
    <row r="7807" spans="1:5" x14ac:dyDescent="0.25">
      <c r="A7807" s="3">
        <f t="shared" si="364"/>
        <v>78989</v>
      </c>
      <c r="B7807" t="str">
        <f ca="1">TEXT(DATE(YEAR(Invoer!$A$5),1,1)+INT((ROWS(B$2:B7807)-1)/24),"""18""jjmmdd")</f>
        <v>18981122</v>
      </c>
      <c r="C7807" s="11" t="str">
        <f>INDEX(Data,2,2+MOD(ROWS(C$2:C7807)-1,24))</f>
        <v>06.00</v>
      </c>
      <c r="D7807" s="8">
        <f t="shared" ca="1" si="365"/>
        <v>5</v>
      </c>
      <c r="E7807" s="16">
        <f t="shared" ca="1" si="366"/>
        <v>0</v>
      </c>
    </row>
    <row r="7808" spans="1:5" x14ac:dyDescent="0.25">
      <c r="A7808" s="3">
        <f t="shared" si="364"/>
        <v>78989</v>
      </c>
      <c r="B7808" t="str">
        <f ca="1">TEXT(DATE(YEAR(Invoer!$A$5),1,1)+INT((ROWS(B$2:B7808)-1)/24),"""18""jjmmdd")</f>
        <v>18981122</v>
      </c>
      <c r="C7808" s="11" t="str">
        <f>INDEX(Data,2,2+MOD(ROWS(C$2:C7808)-1,24))</f>
        <v>07.00</v>
      </c>
      <c r="D7808" s="8">
        <f t="shared" ca="1" si="365"/>
        <v>7</v>
      </c>
      <c r="E7808" s="16">
        <f t="shared" ca="1" si="366"/>
        <v>0</v>
      </c>
    </row>
    <row r="7809" spans="1:5" x14ac:dyDescent="0.25">
      <c r="A7809" s="3">
        <f t="shared" si="364"/>
        <v>78989</v>
      </c>
      <c r="B7809" t="str">
        <f ca="1">TEXT(DATE(YEAR(Invoer!$A$5),1,1)+INT((ROWS(B$2:B7809)-1)/24),"""18""jjmmdd")</f>
        <v>18981122</v>
      </c>
      <c r="C7809" s="11" t="str">
        <f>INDEX(Data,2,2+MOD(ROWS(C$2:C7809)-1,24))</f>
        <v>08.00</v>
      </c>
      <c r="D7809" s="8">
        <f t="shared" ca="1" si="365"/>
        <v>11</v>
      </c>
      <c r="E7809" s="16">
        <f t="shared" ca="1" si="366"/>
        <v>0</v>
      </c>
    </row>
    <row r="7810" spans="1:5" x14ac:dyDescent="0.25">
      <c r="A7810" s="3">
        <f t="shared" ref="A7810:A7873" si="367">INDEX(Stations,2,1)</f>
        <v>78989</v>
      </c>
      <c r="B7810" t="str">
        <f ca="1">TEXT(DATE(YEAR(Invoer!$A$5),1,1)+INT((ROWS(B$2:B7810)-1)/24),"""18""jjmmdd")</f>
        <v>18981122</v>
      </c>
      <c r="C7810" s="11" t="str">
        <f>INDEX(Data,2,2+MOD(ROWS(C$2:C7810)-1,24))</f>
        <v>09.00</v>
      </c>
      <c r="D7810" s="8">
        <f t="shared" ref="D7810:D7873" ca="1" si="368">IF(OR(ISBLANK(VLOOKUP(DATEVALUE("37"&amp;MID($B7810,3,2)&amp;"-"&amp;MID($B7810,5,2)&amp;"-"&amp;RIGHT($B7810,2)),Data,MATCH(LEFT(VLOOKUP(D$1,Parameters,2,FALSE()),4)&amp;"*",OFFSET(Data,0,0,1),0)+MATCH($C7810,OFFSET(Data,1,0,1),0)-2,FALSE())),ISTEXT(VLOOKUP(DATEVALUE("37"&amp;MID($B7810,3,2)&amp;"-"&amp;MID($B7810,5,2)&amp;"-"&amp;RIGHT($B7810,2)),Data,MATCH(LEFT(VLOOKUP(D$1,Parameters,2,FALSE()),4)&amp;"*",OFFSET(Data,0,0,1),0)+MATCH($C7810,OFFSET(Data,1,0,1),0)-2,FALSE()))),"—",VLOOKUP(DATEVALUE("37"&amp;MID($B7810,3,2)&amp;"-"&amp;MID($B7810,5,2)&amp;"-"&amp;RIGHT($B7810,2)),Data,MATCH(LEFT(VLOOKUP(D$1,Parameters,2,FALSE()),4)&amp;"*",OFFSET(Data,0,0,1),0)+MATCH($C7810,OFFSET(Data,1,0,1),0)-2,FALSE()))</f>
        <v>11</v>
      </c>
      <c r="E7810" s="16">
        <f t="shared" ca="1" si="366"/>
        <v>0</v>
      </c>
    </row>
    <row r="7811" spans="1:5" x14ac:dyDescent="0.25">
      <c r="A7811" s="3">
        <f t="shared" si="367"/>
        <v>78989</v>
      </c>
      <c r="B7811" t="str">
        <f ca="1">TEXT(DATE(YEAR(Invoer!$A$5),1,1)+INT((ROWS(B$2:B7811)-1)/24),"""18""jjmmdd")</f>
        <v>18981122</v>
      </c>
      <c r="C7811" s="11" t="str">
        <f>INDEX(Data,2,2+MOD(ROWS(C$2:C7811)-1,24))</f>
        <v>10.00</v>
      </c>
      <c r="D7811" s="8">
        <f t="shared" ca="1" si="368"/>
        <v>13</v>
      </c>
      <c r="E7811" s="16">
        <f t="shared" ref="E7811:E7874" ca="1" si="369">IF(OR(ISBLANK(VLOOKUP(DATEVALUE("37"&amp;MID($B7811,3,2)&amp;"-"&amp;MID($B7811,5,2)&amp;"-"&amp;RIGHT($B7811,2)),Data,MATCH(LEFT(VLOOKUP(D$1,Parameters,2,FALSE()),4)&amp;"*",OFFSET(Data,0,0,1),0)+MATCH($C7811,OFFSET(Data,1,0,1),0)-2,FALSE())),ISTEXT(VLOOKUP(DATEVALUE("37"&amp;MID($B7811,3,2)&amp;"-"&amp;MID($B7811,5,2)&amp;"-"&amp;RIGHT($B7811,2)),Data,MATCH(LEFT(VLOOKUP(D$1,Parameters,2,FALSE()),4)&amp;"*",OFFSET(Data,0,0,1),0)+MATCH($C7811,OFFSET(Data,1,0,1),0)-2,FALSE()))),Lacking,IF(ISNA(MATCH(DATEVALUE("37"&amp;MID($B7811,3,2)&amp;"-"&amp;MID($B7811,5,2)&amp;"-"&amp;RIGHT($B7811,2)),OFFSET(Catalogus,0,0,,1),0)),Ok,VLOOKUP(DATEVALUE("37"&amp;MID($B7811,3,2)&amp;"-"&amp;MID($B7811,5,2)&amp;"-"&amp;RIGHT($B7811,2)),Catalogus,MATCH(LEFT(VLOOKUP(MID(E$1,2,LEN(E$1)-1),Parameters,2,FALSE()),4)&amp;"*",OFFSET(Catalogus,0,0,1),0)+MATCH($C7811,OFFSET(Catalogus,1,0,1),0)-2,FALSE())))</f>
        <v>0</v>
      </c>
    </row>
    <row r="7812" spans="1:5" x14ac:dyDescent="0.25">
      <c r="A7812" s="3">
        <f t="shared" si="367"/>
        <v>78989</v>
      </c>
      <c r="B7812" t="str">
        <f ca="1">TEXT(DATE(YEAR(Invoer!$A$5),1,1)+INT((ROWS(B$2:B7812)-1)/24),"""18""jjmmdd")</f>
        <v>18981122</v>
      </c>
      <c r="C7812" s="11" t="str">
        <f>INDEX(Data,2,2+MOD(ROWS(C$2:C7812)-1,24))</f>
        <v>11.00</v>
      </c>
      <c r="D7812" s="8">
        <f t="shared" ca="1" si="368"/>
        <v>13</v>
      </c>
      <c r="E7812" s="16">
        <f t="shared" ca="1" si="369"/>
        <v>0</v>
      </c>
    </row>
    <row r="7813" spans="1:5" x14ac:dyDescent="0.25">
      <c r="A7813" s="3">
        <f t="shared" si="367"/>
        <v>78989</v>
      </c>
      <c r="B7813" t="str">
        <f ca="1">TEXT(DATE(YEAR(Invoer!$A$5),1,1)+INT((ROWS(B$2:B7813)-1)/24),"""18""jjmmdd")</f>
        <v>18981122</v>
      </c>
      <c r="C7813" s="11" t="str">
        <f>INDEX(Data,2,2+MOD(ROWS(C$2:C7813)-1,24))</f>
        <v>12.00</v>
      </c>
      <c r="D7813" s="8">
        <f t="shared" ca="1" si="368"/>
        <v>15</v>
      </c>
      <c r="E7813" s="16">
        <f t="shared" ca="1" si="369"/>
        <v>0</v>
      </c>
    </row>
    <row r="7814" spans="1:5" x14ac:dyDescent="0.25">
      <c r="A7814" s="3">
        <f t="shared" si="367"/>
        <v>78989</v>
      </c>
      <c r="B7814" t="str">
        <f ca="1">TEXT(DATE(YEAR(Invoer!$A$5),1,1)+INT((ROWS(B$2:B7814)-1)/24),"""18""jjmmdd")</f>
        <v>18981122</v>
      </c>
      <c r="C7814" s="11" t="str">
        <f>INDEX(Data,2,2+MOD(ROWS(C$2:C7814)-1,24))</f>
        <v>13.00</v>
      </c>
      <c r="D7814" s="8">
        <f t="shared" ca="1" si="368"/>
        <v>12</v>
      </c>
      <c r="E7814" s="16">
        <f t="shared" ca="1" si="369"/>
        <v>0</v>
      </c>
    </row>
    <row r="7815" spans="1:5" x14ac:dyDescent="0.25">
      <c r="A7815" s="3">
        <f t="shared" si="367"/>
        <v>78989</v>
      </c>
      <c r="B7815" t="str">
        <f ca="1">TEXT(DATE(YEAR(Invoer!$A$5),1,1)+INT((ROWS(B$2:B7815)-1)/24),"""18""jjmmdd")</f>
        <v>18981122</v>
      </c>
      <c r="C7815" s="11" t="str">
        <f>INDEX(Data,2,2+MOD(ROWS(C$2:C7815)-1,24))</f>
        <v>14.00</v>
      </c>
      <c r="D7815" s="8">
        <f t="shared" ca="1" si="368"/>
        <v>12</v>
      </c>
      <c r="E7815" s="16">
        <f t="shared" ca="1" si="369"/>
        <v>0</v>
      </c>
    </row>
    <row r="7816" spans="1:5" x14ac:dyDescent="0.25">
      <c r="A7816" s="3">
        <f t="shared" si="367"/>
        <v>78989</v>
      </c>
      <c r="B7816" t="str">
        <f ca="1">TEXT(DATE(YEAR(Invoer!$A$5),1,1)+INT((ROWS(B$2:B7816)-1)/24),"""18""jjmmdd")</f>
        <v>18981122</v>
      </c>
      <c r="C7816" s="11" t="str">
        <f>INDEX(Data,2,2+MOD(ROWS(C$2:C7816)-1,24))</f>
        <v>15.00</v>
      </c>
      <c r="D7816" s="8">
        <f t="shared" ca="1" si="368"/>
        <v>12</v>
      </c>
      <c r="E7816" s="16">
        <f t="shared" ca="1" si="369"/>
        <v>0</v>
      </c>
    </row>
    <row r="7817" spans="1:5" x14ac:dyDescent="0.25">
      <c r="A7817" s="3">
        <f t="shared" si="367"/>
        <v>78989</v>
      </c>
      <c r="B7817" t="str">
        <f ca="1">TEXT(DATE(YEAR(Invoer!$A$5),1,1)+INT((ROWS(B$2:B7817)-1)/24),"""18""jjmmdd")</f>
        <v>18981122</v>
      </c>
      <c r="C7817" s="11" t="str">
        <f>INDEX(Data,2,2+MOD(ROWS(C$2:C7817)-1,24))</f>
        <v>16.00</v>
      </c>
      <c r="D7817" s="8">
        <f t="shared" ca="1" si="368"/>
        <v>12</v>
      </c>
      <c r="E7817" s="16">
        <f t="shared" ca="1" si="369"/>
        <v>0</v>
      </c>
    </row>
    <row r="7818" spans="1:5" x14ac:dyDescent="0.25">
      <c r="A7818" s="3">
        <f t="shared" si="367"/>
        <v>78989</v>
      </c>
      <c r="B7818" t="str">
        <f ca="1">TEXT(DATE(YEAR(Invoer!$A$5),1,1)+INT((ROWS(B$2:B7818)-1)/24),"""18""jjmmdd")</f>
        <v>18981122</v>
      </c>
      <c r="C7818" s="11" t="str">
        <f>INDEX(Data,2,2+MOD(ROWS(C$2:C7818)-1,24))</f>
        <v>17.00</v>
      </c>
      <c r="D7818" s="8">
        <f t="shared" ca="1" si="368"/>
        <v>9</v>
      </c>
      <c r="E7818" s="16">
        <f t="shared" ca="1" si="369"/>
        <v>0</v>
      </c>
    </row>
    <row r="7819" spans="1:5" x14ac:dyDescent="0.25">
      <c r="A7819" s="3">
        <f t="shared" si="367"/>
        <v>78989</v>
      </c>
      <c r="B7819" t="str">
        <f ca="1">TEXT(DATE(YEAR(Invoer!$A$5),1,1)+INT((ROWS(B$2:B7819)-1)/24),"""18""jjmmdd")</f>
        <v>18981122</v>
      </c>
      <c r="C7819" s="11" t="str">
        <f>INDEX(Data,2,2+MOD(ROWS(C$2:C7819)-1,24))</f>
        <v>18.00</v>
      </c>
      <c r="D7819" s="8">
        <f t="shared" ca="1" si="368"/>
        <v>11</v>
      </c>
      <c r="E7819" s="16">
        <f t="shared" ca="1" si="369"/>
        <v>0</v>
      </c>
    </row>
    <row r="7820" spans="1:5" x14ac:dyDescent="0.25">
      <c r="A7820" s="3">
        <f t="shared" si="367"/>
        <v>78989</v>
      </c>
      <c r="B7820" t="str">
        <f ca="1">TEXT(DATE(YEAR(Invoer!$A$5),1,1)+INT((ROWS(B$2:B7820)-1)/24),"""18""jjmmdd")</f>
        <v>18981122</v>
      </c>
      <c r="C7820" s="11" t="str">
        <f>INDEX(Data,2,2+MOD(ROWS(C$2:C7820)-1,24))</f>
        <v>19.00</v>
      </c>
      <c r="D7820" s="8">
        <f t="shared" ca="1" si="368"/>
        <v>11</v>
      </c>
      <c r="E7820" s="16">
        <f t="shared" ca="1" si="369"/>
        <v>0</v>
      </c>
    </row>
    <row r="7821" spans="1:5" x14ac:dyDescent="0.25">
      <c r="A7821" s="3">
        <f t="shared" si="367"/>
        <v>78989</v>
      </c>
      <c r="B7821" t="str">
        <f ca="1">TEXT(DATE(YEAR(Invoer!$A$5),1,1)+INT((ROWS(B$2:B7821)-1)/24),"""18""jjmmdd")</f>
        <v>18981122</v>
      </c>
      <c r="C7821" s="11" t="str">
        <f>INDEX(Data,2,2+MOD(ROWS(C$2:C7821)-1,24))</f>
        <v>20.00</v>
      </c>
      <c r="D7821" s="8">
        <f t="shared" ca="1" si="368"/>
        <v>15</v>
      </c>
      <c r="E7821" s="16">
        <f t="shared" ca="1" si="369"/>
        <v>0</v>
      </c>
    </row>
    <row r="7822" spans="1:5" x14ac:dyDescent="0.25">
      <c r="A7822" s="3">
        <f t="shared" si="367"/>
        <v>78989</v>
      </c>
      <c r="B7822" t="str">
        <f ca="1">TEXT(DATE(YEAR(Invoer!$A$5),1,1)+INT((ROWS(B$2:B7822)-1)/24),"""18""jjmmdd")</f>
        <v>18981122</v>
      </c>
      <c r="C7822" s="11" t="str">
        <f>INDEX(Data,2,2+MOD(ROWS(C$2:C7822)-1,24))</f>
        <v>21.00</v>
      </c>
      <c r="D7822" s="8">
        <f t="shared" ca="1" si="368"/>
        <v>15</v>
      </c>
      <c r="E7822" s="16">
        <f t="shared" ca="1" si="369"/>
        <v>0</v>
      </c>
    </row>
    <row r="7823" spans="1:5" x14ac:dyDescent="0.25">
      <c r="A7823" s="3">
        <f t="shared" si="367"/>
        <v>78989</v>
      </c>
      <c r="B7823" t="str">
        <f ca="1">TEXT(DATE(YEAR(Invoer!$A$5),1,1)+INT((ROWS(B$2:B7823)-1)/24),"""18""jjmmdd")</f>
        <v>18981122</v>
      </c>
      <c r="C7823" s="11" t="str">
        <f>INDEX(Data,2,2+MOD(ROWS(C$2:C7823)-1,24))</f>
        <v>22.00</v>
      </c>
      <c r="D7823" s="8">
        <f t="shared" ca="1" si="368"/>
        <v>12</v>
      </c>
      <c r="E7823" s="16">
        <f t="shared" ca="1" si="369"/>
        <v>0</v>
      </c>
    </row>
    <row r="7824" spans="1:5" x14ac:dyDescent="0.25">
      <c r="A7824" s="3">
        <f t="shared" si="367"/>
        <v>78989</v>
      </c>
      <c r="B7824" t="str">
        <f ca="1">TEXT(DATE(YEAR(Invoer!$A$5),1,1)+INT((ROWS(B$2:B7824)-1)/24),"""18""jjmmdd")</f>
        <v>18981122</v>
      </c>
      <c r="C7824" s="11" t="str">
        <f>INDEX(Data,2,2+MOD(ROWS(C$2:C7824)-1,24))</f>
        <v>23.00</v>
      </c>
      <c r="D7824" s="8">
        <f t="shared" ca="1" si="368"/>
        <v>9</v>
      </c>
      <c r="E7824" s="16">
        <f t="shared" ca="1" si="369"/>
        <v>0</v>
      </c>
    </row>
    <row r="7825" spans="1:5" x14ac:dyDescent="0.25">
      <c r="A7825" s="3">
        <f t="shared" si="367"/>
        <v>78989</v>
      </c>
      <c r="B7825" t="str">
        <f ca="1">TEXT(DATE(YEAR(Invoer!$A$5),1,1)+INT((ROWS(B$2:B7825)-1)/24),"""18""jjmmdd")</f>
        <v>18981122</v>
      </c>
      <c r="C7825" s="11" t="str">
        <f>INDEX(Data,2,2+MOD(ROWS(C$2:C7825)-1,24))</f>
        <v>24.00</v>
      </c>
      <c r="D7825" s="8">
        <f t="shared" ca="1" si="368"/>
        <v>2</v>
      </c>
      <c r="E7825" s="16">
        <f t="shared" ca="1" si="369"/>
        <v>0</v>
      </c>
    </row>
    <row r="7826" spans="1:5" x14ac:dyDescent="0.25">
      <c r="A7826" s="3">
        <f t="shared" si="367"/>
        <v>78989</v>
      </c>
      <c r="B7826" t="str">
        <f ca="1">TEXT(DATE(YEAR(Invoer!$A$5),1,1)+INT((ROWS(B$2:B7826)-1)/24),"""18""jjmmdd")</f>
        <v>18981123</v>
      </c>
      <c r="C7826" s="11" t="str">
        <f>INDEX(Data,2,2+MOD(ROWS(C$2:C7826)-1,24))</f>
        <v>01.00</v>
      </c>
      <c r="D7826" s="8">
        <f t="shared" ca="1" si="368"/>
        <v>3</v>
      </c>
      <c r="E7826" s="16">
        <f t="shared" ca="1" si="369"/>
        <v>0</v>
      </c>
    </row>
    <row r="7827" spans="1:5" x14ac:dyDescent="0.25">
      <c r="A7827" s="3">
        <f t="shared" si="367"/>
        <v>78989</v>
      </c>
      <c r="B7827" t="str">
        <f ca="1">TEXT(DATE(YEAR(Invoer!$A$5),1,1)+INT((ROWS(B$2:B7827)-1)/24),"""18""jjmmdd")</f>
        <v>18981123</v>
      </c>
      <c r="C7827" s="11" t="str">
        <f>INDEX(Data,2,2+MOD(ROWS(C$2:C7827)-1,24))</f>
        <v>02.00</v>
      </c>
      <c r="D7827" s="8">
        <f t="shared" ca="1" si="368"/>
        <v>4</v>
      </c>
      <c r="E7827" s="16">
        <f t="shared" ca="1" si="369"/>
        <v>0</v>
      </c>
    </row>
    <row r="7828" spans="1:5" x14ac:dyDescent="0.25">
      <c r="A7828" s="3">
        <f t="shared" si="367"/>
        <v>78989</v>
      </c>
      <c r="B7828" t="str">
        <f ca="1">TEXT(DATE(YEAR(Invoer!$A$5),1,1)+INT((ROWS(B$2:B7828)-1)/24),"""18""jjmmdd")</f>
        <v>18981123</v>
      </c>
      <c r="C7828" s="11" t="str">
        <f>INDEX(Data,2,2+MOD(ROWS(C$2:C7828)-1,24))</f>
        <v>03.00</v>
      </c>
      <c r="D7828" s="8">
        <f t="shared" ca="1" si="368"/>
        <v>4</v>
      </c>
      <c r="E7828" s="16">
        <f t="shared" ca="1" si="369"/>
        <v>0</v>
      </c>
    </row>
    <row r="7829" spans="1:5" x14ac:dyDescent="0.25">
      <c r="A7829" s="3">
        <f t="shared" si="367"/>
        <v>78989</v>
      </c>
      <c r="B7829" t="str">
        <f ca="1">TEXT(DATE(YEAR(Invoer!$A$5),1,1)+INT((ROWS(B$2:B7829)-1)/24),"""18""jjmmdd")</f>
        <v>18981123</v>
      </c>
      <c r="C7829" s="11" t="str">
        <f>INDEX(Data,2,2+MOD(ROWS(C$2:C7829)-1,24))</f>
        <v>04.00</v>
      </c>
      <c r="D7829" s="8">
        <f t="shared" ca="1" si="368"/>
        <v>5</v>
      </c>
      <c r="E7829" s="16">
        <f t="shared" ca="1" si="369"/>
        <v>0</v>
      </c>
    </row>
    <row r="7830" spans="1:5" x14ac:dyDescent="0.25">
      <c r="A7830" s="3">
        <f t="shared" si="367"/>
        <v>78989</v>
      </c>
      <c r="B7830" t="str">
        <f ca="1">TEXT(DATE(YEAR(Invoer!$A$5),1,1)+INT((ROWS(B$2:B7830)-1)/24),"""18""jjmmdd")</f>
        <v>18981123</v>
      </c>
      <c r="C7830" s="11" t="str">
        <f>INDEX(Data,2,2+MOD(ROWS(C$2:C7830)-1,24))</f>
        <v>05.00</v>
      </c>
      <c r="D7830" s="8">
        <f t="shared" ca="1" si="368"/>
        <v>10</v>
      </c>
      <c r="E7830" s="16">
        <f t="shared" ca="1" si="369"/>
        <v>0</v>
      </c>
    </row>
    <row r="7831" spans="1:5" x14ac:dyDescent="0.25">
      <c r="A7831" s="3">
        <f t="shared" si="367"/>
        <v>78989</v>
      </c>
      <c r="B7831" t="str">
        <f ca="1">TEXT(DATE(YEAR(Invoer!$A$5),1,1)+INT((ROWS(B$2:B7831)-1)/24),"""18""jjmmdd")</f>
        <v>18981123</v>
      </c>
      <c r="C7831" s="11" t="str">
        <f>INDEX(Data,2,2+MOD(ROWS(C$2:C7831)-1,24))</f>
        <v>06.00</v>
      </c>
      <c r="D7831" s="8">
        <f t="shared" ca="1" si="368"/>
        <v>12</v>
      </c>
      <c r="E7831" s="16">
        <f t="shared" ca="1" si="369"/>
        <v>0</v>
      </c>
    </row>
    <row r="7832" spans="1:5" x14ac:dyDescent="0.25">
      <c r="A7832" s="3">
        <f t="shared" si="367"/>
        <v>78989</v>
      </c>
      <c r="B7832" t="str">
        <f ca="1">TEXT(DATE(YEAR(Invoer!$A$5),1,1)+INT((ROWS(B$2:B7832)-1)/24),"""18""jjmmdd")</f>
        <v>18981123</v>
      </c>
      <c r="C7832" s="11" t="str">
        <f>INDEX(Data,2,2+MOD(ROWS(C$2:C7832)-1,24))</f>
        <v>07.00</v>
      </c>
      <c r="D7832" s="8">
        <f t="shared" ca="1" si="368"/>
        <v>12</v>
      </c>
      <c r="E7832" s="16">
        <f t="shared" ca="1" si="369"/>
        <v>0</v>
      </c>
    </row>
    <row r="7833" spans="1:5" x14ac:dyDescent="0.25">
      <c r="A7833" s="3">
        <f t="shared" si="367"/>
        <v>78989</v>
      </c>
      <c r="B7833" t="str">
        <f ca="1">TEXT(DATE(YEAR(Invoer!$A$5),1,1)+INT((ROWS(B$2:B7833)-1)/24),"""18""jjmmdd")</f>
        <v>18981123</v>
      </c>
      <c r="C7833" s="11" t="str">
        <f>INDEX(Data,2,2+MOD(ROWS(C$2:C7833)-1,24))</f>
        <v>08.00</v>
      </c>
      <c r="D7833" s="8">
        <f t="shared" ca="1" si="368"/>
        <v>10</v>
      </c>
      <c r="E7833" s="16">
        <f t="shared" ca="1" si="369"/>
        <v>0</v>
      </c>
    </row>
    <row r="7834" spans="1:5" x14ac:dyDescent="0.25">
      <c r="A7834" s="3">
        <f t="shared" si="367"/>
        <v>78989</v>
      </c>
      <c r="B7834" t="str">
        <f ca="1">TEXT(DATE(YEAR(Invoer!$A$5),1,1)+INT((ROWS(B$2:B7834)-1)/24),"""18""jjmmdd")</f>
        <v>18981123</v>
      </c>
      <c r="C7834" s="11" t="str">
        <f>INDEX(Data,2,2+MOD(ROWS(C$2:C7834)-1,24))</f>
        <v>09.00</v>
      </c>
      <c r="D7834" s="8">
        <f t="shared" ca="1" si="368"/>
        <v>11</v>
      </c>
      <c r="E7834" s="16">
        <f t="shared" ca="1" si="369"/>
        <v>0</v>
      </c>
    </row>
    <row r="7835" spans="1:5" x14ac:dyDescent="0.25">
      <c r="A7835" s="3">
        <f t="shared" si="367"/>
        <v>78989</v>
      </c>
      <c r="B7835" t="str">
        <f ca="1">TEXT(DATE(YEAR(Invoer!$A$5),1,1)+INT((ROWS(B$2:B7835)-1)/24),"""18""jjmmdd")</f>
        <v>18981123</v>
      </c>
      <c r="C7835" s="11" t="str">
        <f>INDEX(Data,2,2+MOD(ROWS(C$2:C7835)-1,24))</f>
        <v>10.00</v>
      </c>
      <c r="D7835" s="8">
        <f t="shared" ca="1" si="368"/>
        <v>11</v>
      </c>
      <c r="E7835" s="16">
        <f t="shared" ca="1" si="369"/>
        <v>0</v>
      </c>
    </row>
    <row r="7836" spans="1:5" x14ac:dyDescent="0.25">
      <c r="A7836" s="3">
        <f t="shared" si="367"/>
        <v>78989</v>
      </c>
      <c r="B7836" t="str">
        <f ca="1">TEXT(DATE(YEAR(Invoer!$A$5),1,1)+INT((ROWS(B$2:B7836)-1)/24),"""18""jjmmdd")</f>
        <v>18981123</v>
      </c>
      <c r="C7836" s="11" t="str">
        <f>INDEX(Data,2,2+MOD(ROWS(C$2:C7836)-1,24))</f>
        <v>11.00</v>
      </c>
      <c r="D7836" s="8">
        <f t="shared" ca="1" si="368"/>
        <v>9</v>
      </c>
      <c r="E7836" s="16">
        <f t="shared" ca="1" si="369"/>
        <v>0</v>
      </c>
    </row>
    <row r="7837" spans="1:5" x14ac:dyDescent="0.25">
      <c r="A7837" s="3">
        <f t="shared" si="367"/>
        <v>78989</v>
      </c>
      <c r="B7837" t="str">
        <f ca="1">TEXT(DATE(YEAR(Invoer!$A$5),1,1)+INT((ROWS(B$2:B7837)-1)/24),"""18""jjmmdd")</f>
        <v>18981123</v>
      </c>
      <c r="C7837" s="11" t="str">
        <f>INDEX(Data,2,2+MOD(ROWS(C$2:C7837)-1,24))</f>
        <v>12.00</v>
      </c>
      <c r="D7837" s="8">
        <f t="shared" ca="1" si="368"/>
        <v>11</v>
      </c>
      <c r="E7837" s="16">
        <f t="shared" ca="1" si="369"/>
        <v>0</v>
      </c>
    </row>
    <row r="7838" spans="1:5" x14ac:dyDescent="0.25">
      <c r="A7838" s="3">
        <f t="shared" si="367"/>
        <v>78989</v>
      </c>
      <c r="B7838" t="str">
        <f ca="1">TEXT(DATE(YEAR(Invoer!$A$5),1,1)+INT((ROWS(B$2:B7838)-1)/24),"""18""jjmmdd")</f>
        <v>18981123</v>
      </c>
      <c r="C7838" s="11" t="str">
        <f>INDEX(Data,2,2+MOD(ROWS(C$2:C7838)-1,24))</f>
        <v>13.00</v>
      </c>
      <c r="D7838" s="8">
        <f t="shared" ca="1" si="368"/>
        <v>14</v>
      </c>
      <c r="E7838" s="16">
        <f t="shared" ca="1" si="369"/>
        <v>0</v>
      </c>
    </row>
    <row r="7839" spans="1:5" x14ac:dyDescent="0.25">
      <c r="A7839" s="3">
        <f t="shared" si="367"/>
        <v>78989</v>
      </c>
      <c r="B7839" t="str">
        <f ca="1">TEXT(DATE(YEAR(Invoer!$A$5),1,1)+INT((ROWS(B$2:B7839)-1)/24),"""18""jjmmdd")</f>
        <v>18981123</v>
      </c>
      <c r="C7839" s="11" t="str">
        <f>INDEX(Data,2,2+MOD(ROWS(C$2:C7839)-1,24))</f>
        <v>14.00</v>
      </c>
      <c r="D7839" s="8">
        <f t="shared" ca="1" si="368"/>
        <v>15</v>
      </c>
      <c r="E7839" s="16">
        <f t="shared" ca="1" si="369"/>
        <v>0</v>
      </c>
    </row>
    <row r="7840" spans="1:5" x14ac:dyDescent="0.25">
      <c r="A7840" s="3">
        <f t="shared" si="367"/>
        <v>78989</v>
      </c>
      <c r="B7840" t="str">
        <f ca="1">TEXT(DATE(YEAR(Invoer!$A$5),1,1)+INT((ROWS(B$2:B7840)-1)/24),"""18""jjmmdd")</f>
        <v>18981123</v>
      </c>
      <c r="C7840" s="11" t="str">
        <f>INDEX(Data,2,2+MOD(ROWS(C$2:C7840)-1,24))</f>
        <v>15.00</v>
      </c>
      <c r="D7840" s="8">
        <f t="shared" ca="1" si="368"/>
        <v>14</v>
      </c>
      <c r="E7840" s="16">
        <f t="shared" ca="1" si="369"/>
        <v>0</v>
      </c>
    </row>
    <row r="7841" spans="1:5" x14ac:dyDescent="0.25">
      <c r="A7841" s="3">
        <f t="shared" si="367"/>
        <v>78989</v>
      </c>
      <c r="B7841" t="str">
        <f ca="1">TEXT(DATE(YEAR(Invoer!$A$5),1,1)+INT((ROWS(B$2:B7841)-1)/24),"""18""jjmmdd")</f>
        <v>18981123</v>
      </c>
      <c r="C7841" s="11" t="str">
        <f>INDEX(Data,2,2+MOD(ROWS(C$2:C7841)-1,24))</f>
        <v>16.00</v>
      </c>
      <c r="D7841" s="8">
        <f t="shared" ca="1" si="368"/>
        <v>15</v>
      </c>
      <c r="E7841" s="16">
        <f t="shared" ca="1" si="369"/>
        <v>0</v>
      </c>
    </row>
    <row r="7842" spans="1:5" x14ac:dyDescent="0.25">
      <c r="A7842" s="3">
        <f t="shared" si="367"/>
        <v>78989</v>
      </c>
      <c r="B7842" t="str">
        <f ca="1">TEXT(DATE(YEAR(Invoer!$A$5),1,1)+INT((ROWS(B$2:B7842)-1)/24),"""18""jjmmdd")</f>
        <v>18981123</v>
      </c>
      <c r="C7842" s="11" t="str">
        <f>INDEX(Data,2,2+MOD(ROWS(C$2:C7842)-1,24))</f>
        <v>17.00</v>
      </c>
      <c r="D7842" s="8">
        <f t="shared" ca="1" si="368"/>
        <v>11</v>
      </c>
      <c r="E7842" s="16">
        <f t="shared" ca="1" si="369"/>
        <v>0</v>
      </c>
    </row>
    <row r="7843" spans="1:5" x14ac:dyDescent="0.25">
      <c r="A7843" s="3">
        <f t="shared" si="367"/>
        <v>78989</v>
      </c>
      <c r="B7843" t="str">
        <f ca="1">TEXT(DATE(YEAR(Invoer!$A$5),1,1)+INT((ROWS(B$2:B7843)-1)/24),"""18""jjmmdd")</f>
        <v>18981123</v>
      </c>
      <c r="C7843" s="11" t="str">
        <f>INDEX(Data,2,2+MOD(ROWS(C$2:C7843)-1,24))</f>
        <v>18.00</v>
      </c>
      <c r="D7843" s="8">
        <f t="shared" ca="1" si="368"/>
        <v>10</v>
      </c>
      <c r="E7843" s="16">
        <f t="shared" ca="1" si="369"/>
        <v>0</v>
      </c>
    </row>
    <row r="7844" spans="1:5" x14ac:dyDescent="0.25">
      <c r="A7844" s="3">
        <f t="shared" si="367"/>
        <v>78989</v>
      </c>
      <c r="B7844" t="str">
        <f ca="1">TEXT(DATE(YEAR(Invoer!$A$5),1,1)+INT((ROWS(B$2:B7844)-1)/24),"""18""jjmmdd")</f>
        <v>18981123</v>
      </c>
      <c r="C7844" s="11" t="str">
        <f>INDEX(Data,2,2+MOD(ROWS(C$2:C7844)-1,24))</f>
        <v>19.00</v>
      </c>
      <c r="D7844" s="8">
        <f t="shared" ca="1" si="368"/>
        <v>10</v>
      </c>
      <c r="E7844" s="16">
        <f t="shared" ca="1" si="369"/>
        <v>0</v>
      </c>
    </row>
    <row r="7845" spans="1:5" x14ac:dyDescent="0.25">
      <c r="A7845" s="3">
        <f t="shared" si="367"/>
        <v>78989</v>
      </c>
      <c r="B7845" t="str">
        <f ca="1">TEXT(DATE(YEAR(Invoer!$A$5),1,1)+INT((ROWS(B$2:B7845)-1)/24),"""18""jjmmdd")</f>
        <v>18981123</v>
      </c>
      <c r="C7845" s="11" t="str">
        <f>INDEX(Data,2,2+MOD(ROWS(C$2:C7845)-1,24))</f>
        <v>20.00</v>
      </c>
      <c r="D7845" s="8">
        <f t="shared" ca="1" si="368"/>
        <v>10</v>
      </c>
      <c r="E7845" s="16">
        <f t="shared" ca="1" si="369"/>
        <v>0</v>
      </c>
    </row>
    <row r="7846" spans="1:5" x14ac:dyDescent="0.25">
      <c r="A7846" s="3">
        <f t="shared" si="367"/>
        <v>78989</v>
      </c>
      <c r="B7846" t="str">
        <f ca="1">TEXT(DATE(YEAR(Invoer!$A$5),1,1)+INT((ROWS(B$2:B7846)-1)/24),"""18""jjmmdd")</f>
        <v>18981123</v>
      </c>
      <c r="C7846" s="11" t="str">
        <f>INDEX(Data,2,2+MOD(ROWS(C$2:C7846)-1,24))</f>
        <v>21.00</v>
      </c>
      <c r="D7846" s="8">
        <f t="shared" ca="1" si="368"/>
        <v>10</v>
      </c>
      <c r="E7846" s="16">
        <f t="shared" ca="1" si="369"/>
        <v>0</v>
      </c>
    </row>
    <row r="7847" spans="1:5" x14ac:dyDescent="0.25">
      <c r="A7847" s="3">
        <f t="shared" si="367"/>
        <v>78989</v>
      </c>
      <c r="B7847" t="str">
        <f ca="1">TEXT(DATE(YEAR(Invoer!$A$5),1,1)+INT((ROWS(B$2:B7847)-1)/24),"""18""jjmmdd")</f>
        <v>18981123</v>
      </c>
      <c r="C7847" s="11" t="str">
        <f>INDEX(Data,2,2+MOD(ROWS(C$2:C7847)-1,24))</f>
        <v>22.00</v>
      </c>
      <c r="D7847" s="8">
        <f t="shared" ca="1" si="368"/>
        <v>11</v>
      </c>
      <c r="E7847" s="16">
        <f t="shared" ca="1" si="369"/>
        <v>0</v>
      </c>
    </row>
    <row r="7848" spans="1:5" x14ac:dyDescent="0.25">
      <c r="A7848" s="3">
        <f t="shared" si="367"/>
        <v>78989</v>
      </c>
      <c r="B7848" t="str">
        <f ca="1">TEXT(DATE(YEAR(Invoer!$A$5),1,1)+INT((ROWS(B$2:B7848)-1)/24),"""18""jjmmdd")</f>
        <v>18981123</v>
      </c>
      <c r="C7848" s="11" t="str">
        <f>INDEX(Data,2,2+MOD(ROWS(C$2:C7848)-1,24))</f>
        <v>23.00</v>
      </c>
      <c r="D7848" s="8">
        <f t="shared" ca="1" si="368"/>
        <v>10</v>
      </c>
      <c r="E7848" s="16">
        <f t="shared" ca="1" si="369"/>
        <v>0</v>
      </c>
    </row>
    <row r="7849" spans="1:5" x14ac:dyDescent="0.25">
      <c r="A7849" s="3">
        <f t="shared" si="367"/>
        <v>78989</v>
      </c>
      <c r="B7849" t="str">
        <f ca="1">TEXT(DATE(YEAR(Invoer!$A$5),1,1)+INT((ROWS(B$2:B7849)-1)/24),"""18""jjmmdd")</f>
        <v>18981123</v>
      </c>
      <c r="C7849" s="11" t="str">
        <f>INDEX(Data,2,2+MOD(ROWS(C$2:C7849)-1,24))</f>
        <v>24.00</v>
      </c>
      <c r="D7849" s="8">
        <f t="shared" ca="1" si="368"/>
        <v>9</v>
      </c>
      <c r="E7849" s="16">
        <f t="shared" ca="1" si="369"/>
        <v>0</v>
      </c>
    </row>
    <row r="7850" spans="1:5" x14ac:dyDescent="0.25">
      <c r="A7850" s="3">
        <f t="shared" si="367"/>
        <v>78989</v>
      </c>
      <c r="B7850" t="str">
        <f ca="1">TEXT(DATE(YEAR(Invoer!$A$5),1,1)+INT((ROWS(B$2:B7850)-1)/24),"""18""jjmmdd")</f>
        <v>18981124</v>
      </c>
      <c r="C7850" s="11" t="str">
        <f>INDEX(Data,2,2+MOD(ROWS(C$2:C7850)-1,24))</f>
        <v>01.00</v>
      </c>
      <c r="D7850" s="8">
        <f t="shared" ca="1" si="368"/>
        <v>10</v>
      </c>
      <c r="E7850" s="16">
        <f t="shared" ca="1" si="369"/>
        <v>0</v>
      </c>
    </row>
    <row r="7851" spans="1:5" x14ac:dyDescent="0.25">
      <c r="A7851" s="3">
        <f t="shared" si="367"/>
        <v>78989</v>
      </c>
      <c r="B7851" t="str">
        <f ca="1">TEXT(DATE(YEAR(Invoer!$A$5),1,1)+INT((ROWS(B$2:B7851)-1)/24),"""18""jjmmdd")</f>
        <v>18981124</v>
      </c>
      <c r="C7851" s="11" t="str">
        <f>INDEX(Data,2,2+MOD(ROWS(C$2:C7851)-1,24))</f>
        <v>02.00</v>
      </c>
      <c r="D7851" s="8">
        <f t="shared" ca="1" si="368"/>
        <v>7</v>
      </c>
      <c r="E7851" s="16">
        <f t="shared" ca="1" si="369"/>
        <v>0</v>
      </c>
    </row>
    <row r="7852" spans="1:5" x14ac:dyDescent="0.25">
      <c r="A7852" s="3">
        <f t="shared" si="367"/>
        <v>78989</v>
      </c>
      <c r="B7852" t="str">
        <f ca="1">TEXT(DATE(YEAR(Invoer!$A$5),1,1)+INT((ROWS(B$2:B7852)-1)/24),"""18""jjmmdd")</f>
        <v>18981124</v>
      </c>
      <c r="C7852" s="11" t="str">
        <f>INDEX(Data,2,2+MOD(ROWS(C$2:C7852)-1,24))</f>
        <v>03.00</v>
      </c>
      <c r="D7852" s="8">
        <f t="shared" ca="1" si="368"/>
        <v>6</v>
      </c>
      <c r="E7852" s="16">
        <f t="shared" ca="1" si="369"/>
        <v>0</v>
      </c>
    </row>
    <row r="7853" spans="1:5" x14ac:dyDescent="0.25">
      <c r="A7853" s="3">
        <f t="shared" si="367"/>
        <v>78989</v>
      </c>
      <c r="B7853" t="str">
        <f ca="1">TEXT(DATE(YEAR(Invoer!$A$5),1,1)+INT((ROWS(B$2:B7853)-1)/24),"""18""jjmmdd")</f>
        <v>18981124</v>
      </c>
      <c r="C7853" s="11" t="str">
        <f>INDEX(Data,2,2+MOD(ROWS(C$2:C7853)-1,24))</f>
        <v>04.00</v>
      </c>
      <c r="D7853" s="8">
        <f t="shared" ca="1" si="368"/>
        <v>7</v>
      </c>
      <c r="E7853" s="16">
        <f t="shared" ca="1" si="369"/>
        <v>0</v>
      </c>
    </row>
    <row r="7854" spans="1:5" x14ac:dyDescent="0.25">
      <c r="A7854" s="3">
        <f t="shared" si="367"/>
        <v>78989</v>
      </c>
      <c r="B7854" t="str">
        <f ca="1">TEXT(DATE(YEAR(Invoer!$A$5),1,1)+INT((ROWS(B$2:B7854)-1)/24),"""18""jjmmdd")</f>
        <v>18981124</v>
      </c>
      <c r="C7854" s="11" t="str">
        <f>INDEX(Data,2,2+MOD(ROWS(C$2:C7854)-1,24))</f>
        <v>05.00</v>
      </c>
      <c r="D7854" s="8">
        <f t="shared" ca="1" si="368"/>
        <v>8</v>
      </c>
      <c r="E7854" s="16">
        <f t="shared" ca="1" si="369"/>
        <v>0</v>
      </c>
    </row>
    <row r="7855" spans="1:5" x14ac:dyDescent="0.25">
      <c r="A7855" s="3">
        <f t="shared" si="367"/>
        <v>78989</v>
      </c>
      <c r="B7855" t="str">
        <f ca="1">TEXT(DATE(YEAR(Invoer!$A$5),1,1)+INT((ROWS(B$2:B7855)-1)/24),"""18""jjmmdd")</f>
        <v>18981124</v>
      </c>
      <c r="C7855" s="11" t="str">
        <f>INDEX(Data,2,2+MOD(ROWS(C$2:C7855)-1,24))</f>
        <v>06.00</v>
      </c>
      <c r="D7855" s="8">
        <f t="shared" ca="1" si="368"/>
        <v>7</v>
      </c>
      <c r="E7855" s="16">
        <f t="shared" ca="1" si="369"/>
        <v>0</v>
      </c>
    </row>
    <row r="7856" spans="1:5" x14ac:dyDescent="0.25">
      <c r="A7856" s="3">
        <f t="shared" si="367"/>
        <v>78989</v>
      </c>
      <c r="B7856" t="str">
        <f ca="1">TEXT(DATE(YEAR(Invoer!$A$5),1,1)+INT((ROWS(B$2:B7856)-1)/24),"""18""jjmmdd")</f>
        <v>18981124</v>
      </c>
      <c r="C7856" s="11" t="str">
        <f>INDEX(Data,2,2+MOD(ROWS(C$2:C7856)-1,24))</f>
        <v>07.00</v>
      </c>
      <c r="D7856" s="8">
        <f t="shared" ca="1" si="368"/>
        <v>8</v>
      </c>
      <c r="E7856" s="16">
        <f t="shared" ca="1" si="369"/>
        <v>0</v>
      </c>
    </row>
    <row r="7857" spans="1:5" x14ac:dyDescent="0.25">
      <c r="A7857" s="3">
        <f t="shared" si="367"/>
        <v>78989</v>
      </c>
      <c r="B7857" t="str">
        <f ca="1">TEXT(DATE(YEAR(Invoer!$A$5),1,1)+INT((ROWS(B$2:B7857)-1)/24),"""18""jjmmdd")</f>
        <v>18981124</v>
      </c>
      <c r="C7857" s="11" t="str">
        <f>INDEX(Data,2,2+MOD(ROWS(C$2:C7857)-1,24))</f>
        <v>08.00</v>
      </c>
      <c r="D7857" s="8">
        <f t="shared" ca="1" si="368"/>
        <v>11</v>
      </c>
      <c r="E7857" s="16">
        <f t="shared" ca="1" si="369"/>
        <v>0</v>
      </c>
    </row>
    <row r="7858" spans="1:5" x14ac:dyDescent="0.25">
      <c r="A7858" s="3">
        <f t="shared" si="367"/>
        <v>78989</v>
      </c>
      <c r="B7858" t="str">
        <f ca="1">TEXT(DATE(YEAR(Invoer!$A$5),1,1)+INT((ROWS(B$2:B7858)-1)/24),"""18""jjmmdd")</f>
        <v>18981124</v>
      </c>
      <c r="C7858" s="11" t="str">
        <f>INDEX(Data,2,2+MOD(ROWS(C$2:C7858)-1,24))</f>
        <v>09.00</v>
      </c>
      <c r="D7858" s="8">
        <f t="shared" ca="1" si="368"/>
        <v>13</v>
      </c>
      <c r="E7858" s="16">
        <f t="shared" ca="1" si="369"/>
        <v>0</v>
      </c>
    </row>
    <row r="7859" spans="1:5" x14ac:dyDescent="0.25">
      <c r="A7859" s="3">
        <f t="shared" si="367"/>
        <v>78989</v>
      </c>
      <c r="B7859" t="str">
        <f ca="1">TEXT(DATE(YEAR(Invoer!$A$5),1,1)+INT((ROWS(B$2:B7859)-1)/24),"""18""jjmmdd")</f>
        <v>18981124</v>
      </c>
      <c r="C7859" s="11" t="str">
        <f>INDEX(Data,2,2+MOD(ROWS(C$2:C7859)-1,24))</f>
        <v>10.00</v>
      </c>
      <c r="D7859" s="8">
        <f t="shared" ca="1" si="368"/>
        <v>13</v>
      </c>
      <c r="E7859" s="16">
        <f t="shared" ca="1" si="369"/>
        <v>0</v>
      </c>
    </row>
    <row r="7860" spans="1:5" x14ac:dyDescent="0.25">
      <c r="A7860" s="3">
        <f t="shared" si="367"/>
        <v>78989</v>
      </c>
      <c r="B7860" t="str">
        <f ca="1">TEXT(DATE(YEAR(Invoer!$A$5),1,1)+INT((ROWS(B$2:B7860)-1)/24),"""18""jjmmdd")</f>
        <v>18981124</v>
      </c>
      <c r="C7860" s="11" t="str">
        <f>INDEX(Data,2,2+MOD(ROWS(C$2:C7860)-1,24))</f>
        <v>11.00</v>
      </c>
      <c r="D7860" s="8">
        <f t="shared" ca="1" si="368"/>
        <v>13</v>
      </c>
      <c r="E7860" s="16">
        <f t="shared" ca="1" si="369"/>
        <v>0</v>
      </c>
    </row>
    <row r="7861" spans="1:5" x14ac:dyDescent="0.25">
      <c r="A7861" s="3">
        <f t="shared" si="367"/>
        <v>78989</v>
      </c>
      <c r="B7861" t="str">
        <f ca="1">TEXT(DATE(YEAR(Invoer!$A$5),1,1)+INT((ROWS(B$2:B7861)-1)/24),"""18""jjmmdd")</f>
        <v>18981124</v>
      </c>
      <c r="C7861" s="11" t="str">
        <f>INDEX(Data,2,2+MOD(ROWS(C$2:C7861)-1,24))</f>
        <v>12.00</v>
      </c>
      <c r="D7861" s="8">
        <f t="shared" ca="1" si="368"/>
        <v>13</v>
      </c>
      <c r="E7861" s="16">
        <f t="shared" ca="1" si="369"/>
        <v>0</v>
      </c>
    </row>
    <row r="7862" spans="1:5" x14ac:dyDescent="0.25">
      <c r="A7862" s="3">
        <f t="shared" si="367"/>
        <v>78989</v>
      </c>
      <c r="B7862" t="str">
        <f ca="1">TEXT(DATE(YEAR(Invoer!$A$5),1,1)+INT((ROWS(B$2:B7862)-1)/24),"""18""jjmmdd")</f>
        <v>18981124</v>
      </c>
      <c r="C7862" s="11" t="str">
        <f>INDEX(Data,2,2+MOD(ROWS(C$2:C7862)-1,24))</f>
        <v>13.00</v>
      </c>
      <c r="D7862" s="8">
        <f t="shared" ca="1" si="368"/>
        <v>12</v>
      </c>
      <c r="E7862" s="16">
        <f t="shared" ca="1" si="369"/>
        <v>0</v>
      </c>
    </row>
    <row r="7863" spans="1:5" x14ac:dyDescent="0.25">
      <c r="A7863" s="3">
        <f t="shared" si="367"/>
        <v>78989</v>
      </c>
      <c r="B7863" t="str">
        <f ca="1">TEXT(DATE(YEAR(Invoer!$A$5),1,1)+INT((ROWS(B$2:B7863)-1)/24),"""18""jjmmdd")</f>
        <v>18981124</v>
      </c>
      <c r="C7863" s="11" t="str">
        <f>INDEX(Data,2,2+MOD(ROWS(C$2:C7863)-1,24))</f>
        <v>14.00</v>
      </c>
      <c r="D7863" s="8">
        <f t="shared" ca="1" si="368"/>
        <v>12</v>
      </c>
      <c r="E7863" s="16">
        <f t="shared" ca="1" si="369"/>
        <v>0</v>
      </c>
    </row>
    <row r="7864" spans="1:5" x14ac:dyDescent="0.25">
      <c r="A7864" s="3">
        <f t="shared" si="367"/>
        <v>78989</v>
      </c>
      <c r="B7864" t="str">
        <f ca="1">TEXT(DATE(YEAR(Invoer!$A$5),1,1)+INT((ROWS(B$2:B7864)-1)/24),"""18""jjmmdd")</f>
        <v>18981124</v>
      </c>
      <c r="C7864" s="11" t="str">
        <f>INDEX(Data,2,2+MOD(ROWS(C$2:C7864)-1,24))</f>
        <v>15.00</v>
      </c>
      <c r="D7864" s="8">
        <f t="shared" ca="1" si="368"/>
        <v>12</v>
      </c>
      <c r="E7864" s="16">
        <f t="shared" ca="1" si="369"/>
        <v>0</v>
      </c>
    </row>
    <row r="7865" spans="1:5" x14ac:dyDescent="0.25">
      <c r="A7865" s="3">
        <f t="shared" si="367"/>
        <v>78989</v>
      </c>
      <c r="B7865" t="str">
        <f ca="1">TEXT(DATE(YEAR(Invoer!$A$5),1,1)+INT((ROWS(B$2:B7865)-1)/24),"""18""jjmmdd")</f>
        <v>18981124</v>
      </c>
      <c r="C7865" s="11" t="str">
        <f>INDEX(Data,2,2+MOD(ROWS(C$2:C7865)-1,24))</f>
        <v>16.00</v>
      </c>
      <c r="D7865" s="8">
        <f t="shared" ca="1" si="368"/>
        <v>13</v>
      </c>
      <c r="E7865" s="16">
        <f t="shared" ca="1" si="369"/>
        <v>0</v>
      </c>
    </row>
    <row r="7866" spans="1:5" x14ac:dyDescent="0.25">
      <c r="A7866" s="3">
        <f t="shared" si="367"/>
        <v>78989</v>
      </c>
      <c r="B7866" t="str">
        <f ca="1">TEXT(DATE(YEAR(Invoer!$A$5),1,1)+INT((ROWS(B$2:B7866)-1)/24),"""18""jjmmdd")</f>
        <v>18981124</v>
      </c>
      <c r="C7866" s="11" t="str">
        <f>INDEX(Data,2,2+MOD(ROWS(C$2:C7866)-1,24))</f>
        <v>17.00</v>
      </c>
      <c r="D7866" s="8">
        <f t="shared" ca="1" si="368"/>
        <v>12</v>
      </c>
      <c r="E7866" s="16">
        <f t="shared" ca="1" si="369"/>
        <v>0</v>
      </c>
    </row>
    <row r="7867" spans="1:5" x14ac:dyDescent="0.25">
      <c r="A7867" s="3">
        <f t="shared" si="367"/>
        <v>78989</v>
      </c>
      <c r="B7867" t="str">
        <f ca="1">TEXT(DATE(YEAR(Invoer!$A$5),1,1)+INT((ROWS(B$2:B7867)-1)/24),"""18""jjmmdd")</f>
        <v>18981124</v>
      </c>
      <c r="C7867" s="11" t="str">
        <f>INDEX(Data,2,2+MOD(ROWS(C$2:C7867)-1,24))</f>
        <v>18.00</v>
      </c>
      <c r="D7867" s="8">
        <f t="shared" ca="1" si="368"/>
        <v>10</v>
      </c>
      <c r="E7867" s="16">
        <f t="shared" ca="1" si="369"/>
        <v>0</v>
      </c>
    </row>
    <row r="7868" spans="1:5" x14ac:dyDescent="0.25">
      <c r="A7868" s="3">
        <f t="shared" si="367"/>
        <v>78989</v>
      </c>
      <c r="B7868" t="str">
        <f ca="1">TEXT(DATE(YEAR(Invoer!$A$5),1,1)+INT((ROWS(B$2:B7868)-1)/24),"""18""jjmmdd")</f>
        <v>18981124</v>
      </c>
      <c r="C7868" s="11" t="str">
        <f>INDEX(Data,2,2+MOD(ROWS(C$2:C7868)-1,24))</f>
        <v>19.00</v>
      </c>
      <c r="D7868" s="8">
        <f t="shared" ca="1" si="368"/>
        <v>10</v>
      </c>
      <c r="E7868" s="16">
        <f t="shared" ca="1" si="369"/>
        <v>0</v>
      </c>
    </row>
    <row r="7869" spans="1:5" x14ac:dyDescent="0.25">
      <c r="A7869" s="3">
        <f t="shared" si="367"/>
        <v>78989</v>
      </c>
      <c r="B7869" t="str">
        <f ca="1">TEXT(DATE(YEAR(Invoer!$A$5),1,1)+INT((ROWS(B$2:B7869)-1)/24),"""18""jjmmdd")</f>
        <v>18981124</v>
      </c>
      <c r="C7869" s="11" t="str">
        <f>INDEX(Data,2,2+MOD(ROWS(C$2:C7869)-1,24))</f>
        <v>20.00</v>
      </c>
      <c r="D7869" s="8">
        <f t="shared" ca="1" si="368"/>
        <v>11</v>
      </c>
      <c r="E7869" s="16">
        <f t="shared" ca="1" si="369"/>
        <v>0</v>
      </c>
    </row>
    <row r="7870" spans="1:5" x14ac:dyDescent="0.25">
      <c r="A7870" s="3">
        <f t="shared" si="367"/>
        <v>78989</v>
      </c>
      <c r="B7870" t="str">
        <f ca="1">TEXT(DATE(YEAR(Invoer!$A$5),1,1)+INT((ROWS(B$2:B7870)-1)/24),"""18""jjmmdd")</f>
        <v>18981124</v>
      </c>
      <c r="C7870" s="11" t="str">
        <f>INDEX(Data,2,2+MOD(ROWS(C$2:C7870)-1,24))</f>
        <v>21.00</v>
      </c>
      <c r="D7870" s="8">
        <f t="shared" ca="1" si="368"/>
        <v>10</v>
      </c>
      <c r="E7870" s="16">
        <f t="shared" ca="1" si="369"/>
        <v>0</v>
      </c>
    </row>
    <row r="7871" spans="1:5" x14ac:dyDescent="0.25">
      <c r="A7871" s="3">
        <f t="shared" si="367"/>
        <v>78989</v>
      </c>
      <c r="B7871" t="str">
        <f ca="1">TEXT(DATE(YEAR(Invoer!$A$5),1,1)+INT((ROWS(B$2:B7871)-1)/24),"""18""jjmmdd")</f>
        <v>18981124</v>
      </c>
      <c r="C7871" s="11" t="str">
        <f>INDEX(Data,2,2+MOD(ROWS(C$2:C7871)-1,24))</f>
        <v>22.00</v>
      </c>
      <c r="D7871" s="8">
        <f t="shared" ca="1" si="368"/>
        <v>11</v>
      </c>
      <c r="E7871" s="16">
        <f t="shared" ca="1" si="369"/>
        <v>0</v>
      </c>
    </row>
    <row r="7872" spans="1:5" x14ac:dyDescent="0.25">
      <c r="A7872" s="3">
        <f t="shared" si="367"/>
        <v>78989</v>
      </c>
      <c r="B7872" t="str">
        <f ca="1">TEXT(DATE(YEAR(Invoer!$A$5),1,1)+INT((ROWS(B$2:B7872)-1)/24),"""18""jjmmdd")</f>
        <v>18981124</v>
      </c>
      <c r="C7872" s="11" t="str">
        <f>INDEX(Data,2,2+MOD(ROWS(C$2:C7872)-1,24))</f>
        <v>23.00</v>
      </c>
      <c r="D7872" s="8">
        <f t="shared" ca="1" si="368"/>
        <v>11</v>
      </c>
      <c r="E7872" s="16">
        <f t="shared" ca="1" si="369"/>
        <v>0</v>
      </c>
    </row>
    <row r="7873" spans="1:5" x14ac:dyDescent="0.25">
      <c r="A7873" s="3">
        <f t="shared" si="367"/>
        <v>78989</v>
      </c>
      <c r="B7873" t="str">
        <f ca="1">TEXT(DATE(YEAR(Invoer!$A$5),1,1)+INT((ROWS(B$2:B7873)-1)/24),"""18""jjmmdd")</f>
        <v>18981124</v>
      </c>
      <c r="C7873" s="11" t="str">
        <f>INDEX(Data,2,2+MOD(ROWS(C$2:C7873)-1,24))</f>
        <v>24.00</v>
      </c>
      <c r="D7873" s="8">
        <f t="shared" ca="1" si="368"/>
        <v>11</v>
      </c>
      <c r="E7873" s="16">
        <f t="shared" ca="1" si="369"/>
        <v>0</v>
      </c>
    </row>
    <row r="7874" spans="1:5" x14ac:dyDescent="0.25">
      <c r="A7874" s="3">
        <f t="shared" ref="A7874:A7937" si="370">INDEX(Stations,2,1)</f>
        <v>78989</v>
      </c>
      <c r="B7874" t="str">
        <f ca="1">TEXT(DATE(YEAR(Invoer!$A$5),1,1)+INT((ROWS(B$2:B7874)-1)/24),"""18""jjmmdd")</f>
        <v>18981125</v>
      </c>
      <c r="C7874" s="11" t="str">
        <f>INDEX(Data,2,2+MOD(ROWS(C$2:C7874)-1,24))</f>
        <v>01.00</v>
      </c>
      <c r="D7874" s="8">
        <f t="shared" ref="D7874:D7937" ca="1" si="371">IF(OR(ISBLANK(VLOOKUP(DATEVALUE("37"&amp;MID($B7874,3,2)&amp;"-"&amp;MID($B7874,5,2)&amp;"-"&amp;RIGHT($B7874,2)),Data,MATCH(LEFT(VLOOKUP(D$1,Parameters,2,FALSE()),4)&amp;"*",OFFSET(Data,0,0,1),0)+MATCH($C7874,OFFSET(Data,1,0,1),0)-2,FALSE())),ISTEXT(VLOOKUP(DATEVALUE("37"&amp;MID($B7874,3,2)&amp;"-"&amp;MID($B7874,5,2)&amp;"-"&amp;RIGHT($B7874,2)),Data,MATCH(LEFT(VLOOKUP(D$1,Parameters,2,FALSE()),4)&amp;"*",OFFSET(Data,0,0,1),0)+MATCH($C7874,OFFSET(Data,1,0,1),0)-2,FALSE()))),"—",VLOOKUP(DATEVALUE("37"&amp;MID($B7874,3,2)&amp;"-"&amp;MID($B7874,5,2)&amp;"-"&amp;RIGHT($B7874,2)),Data,MATCH(LEFT(VLOOKUP(D$1,Parameters,2,FALSE()),4)&amp;"*",OFFSET(Data,0,0,1),0)+MATCH($C7874,OFFSET(Data,1,0,1),0)-2,FALSE()))</f>
        <v>9</v>
      </c>
      <c r="E7874" s="16">
        <f t="shared" ca="1" si="369"/>
        <v>0</v>
      </c>
    </row>
    <row r="7875" spans="1:5" x14ac:dyDescent="0.25">
      <c r="A7875" s="3">
        <f t="shared" si="370"/>
        <v>78989</v>
      </c>
      <c r="B7875" t="str">
        <f ca="1">TEXT(DATE(YEAR(Invoer!$A$5),1,1)+INT((ROWS(B$2:B7875)-1)/24),"""18""jjmmdd")</f>
        <v>18981125</v>
      </c>
      <c r="C7875" s="11" t="str">
        <f>INDEX(Data,2,2+MOD(ROWS(C$2:C7875)-1,24))</f>
        <v>02.00</v>
      </c>
      <c r="D7875" s="8">
        <f t="shared" ca="1" si="371"/>
        <v>10</v>
      </c>
      <c r="E7875" s="16">
        <f t="shared" ref="E7875:E7938" ca="1" si="372">IF(OR(ISBLANK(VLOOKUP(DATEVALUE("37"&amp;MID($B7875,3,2)&amp;"-"&amp;MID($B7875,5,2)&amp;"-"&amp;RIGHT($B7875,2)),Data,MATCH(LEFT(VLOOKUP(D$1,Parameters,2,FALSE()),4)&amp;"*",OFFSET(Data,0,0,1),0)+MATCH($C7875,OFFSET(Data,1,0,1),0)-2,FALSE())),ISTEXT(VLOOKUP(DATEVALUE("37"&amp;MID($B7875,3,2)&amp;"-"&amp;MID($B7875,5,2)&amp;"-"&amp;RIGHT($B7875,2)),Data,MATCH(LEFT(VLOOKUP(D$1,Parameters,2,FALSE()),4)&amp;"*",OFFSET(Data,0,0,1),0)+MATCH($C7875,OFFSET(Data,1,0,1),0)-2,FALSE()))),Lacking,IF(ISNA(MATCH(DATEVALUE("37"&amp;MID($B7875,3,2)&amp;"-"&amp;MID($B7875,5,2)&amp;"-"&amp;RIGHT($B7875,2)),OFFSET(Catalogus,0,0,,1),0)),Ok,VLOOKUP(DATEVALUE("37"&amp;MID($B7875,3,2)&amp;"-"&amp;MID($B7875,5,2)&amp;"-"&amp;RIGHT($B7875,2)),Catalogus,MATCH(LEFT(VLOOKUP(MID(E$1,2,LEN(E$1)-1),Parameters,2,FALSE()),4)&amp;"*",OFFSET(Catalogus,0,0,1),0)+MATCH($C7875,OFFSET(Catalogus,1,0,1),0)-2,FALSE())))</f>
        <v>0</v>
      </c>
    </row>
    <row r="7876" spans="1:5" x14ac:dyDescent="0.25">
      <c r="A7876" s="3">
        <f t="shared" si="370"/>
        <v>78989</v>
      </c>
      <c r="B7876" t="str">
        <f ca="1">TEXT(DATE(YEAR(Invoer!$A$5),1,1)+INT((ROWS(B$2:B7876)-1)/24),"""18""jjmmdd")</f>
        <v>18981125</v>
      </c>
      <c r="C7876" s="11" t="str">
        <f>INDEX(Data,2,2+MOD(ROWS(C$2:C7876)-1,24))</f>
        <v>03.00</v>
      </c>
      <c r="D7876" s="8">
        <f t="shared" ca="1" si="371"/>
        <v>7</v>
      </c>
      <c r="E7876" s="16">
        <f t="shared" ca="1" si="372"/>
        <v>0</v>
      </c>
    </row>
    <row r="7877" spans="1:5" x14ac:dyDescent="0.25">
      <c r="A7877" s="3">
        <f t="shared" si="370"/>
        <v>78989</v>
      </c>
      <c r="B7877" t="str">
        <f ca="1">TEXT(DATE(YEAR(Invoer!$A$5),1,1)+INT((ROWS(B$2:B7877)-1)/24),"""18""jjmmdd")</f>
        <v>18981125</v>
      </c>
      <c r="C7877" s="11" t="str">
        <f>INDEX(Data,2,2+MOD(ROWS(C$2:C7877)-1,24))</f>
        <v>04.00</v>
      </c>
      <c r="D7877" s="8">
        <f t="shared" ca="1" si="371"/>
        <v>8</v>
      </c>
      <c r="E7877" s="16">
        <f t="shared" ca="1" si="372"/>
        <v>0</v>
      </c>
    </row>
    <row r="7878" spans="1:5" x14ac:dyDescent="0.25">
      <c r="A7878" s="3">
        <f t="shared" si="370"/>
        <v>78989</v>
      </c>
      <c r="B7878" t="str">
        <f ca="1">TEXT(DATE(YEAR(Invoer!$A$5),1,1)+INT((ROWS(B$2:B7878)-1)/24),"""18""jjmmdd")</f>
        <v>18981125</v>
      </c>
      <c r="C7878" s="11" t="str">
        <f>INDEX(Data,2,2+MOD(ROWS(C$2:C7878)-1,24))</f>
        <v>05.00</v>
      </c>
      <c r="D7878" s="8">
        <f t="shared" ca="1" si="371"/>
        <v>6</v>
      </c>
      <c r="E7878" s="16">
        <f t="shared" ca="1" si="372"/>
        <v>0</v>
      </c>
    </row>
    <row r="7879" spans="1:5" x14ac:dyDescent="0.25">
      <c r="A7879" s="3">
        <f t="shared" si="370"/>
        <v>78989</v>
      </c>
      <c r="B7879" t="str">
        <f ca="1">TEXT(DATE(YEAR(Invoer!$A$5),1,1)+INT((ROWS(B$2:B7879)-1)/24),"""18""jjmmdd")</f>
        <v>18981125</v>
      </c>
      <c r="C7879" s="11" t="str">
        <f>INDEX(Data,2,2+MOD(ROWS(C$2:C7879)-1,24))</f>
        <v>06.00</v>
      </c>
      <c r="D7879" s="8">
        <f t="shared" ca="1" si="371"/>
        <v>8</v>
      </c>
      <c r="E7879" s="16">
        <f t="shared" ca="1" si="372"/>
        <v>0</v>
      </c>
    </row>
    <row r="7880" spans="1:5" x14ac:dyDescent="0.25">
      <c r="A7880" s="3">
        <f t="shared" si="370"/>
        <v>78989</v>
      </c>
      <c r="B7880" t="str">
        <f ca="1">TEXT(DATE(YEAR(Invoer!$A$5),1,1)+INT((ROWS(B$2:B7880)-1)/24),"""18""jjmmdd")</f>
        <v>18981125</v>
      </c>
      <c r="C7880" s="11" t="str">
        <f>INDEX(Data,2,2+MOD(ROWS(C$2:C7880)-1,24))</f>
        <v>07.00</v>
      </c>
      <c r="D7880" s="8">
        <f t="shared" ca="1" si="371"/>
        <v>8</v>
      </c>
      <c r="E7880" s="16">
        <f t="shared" ca="1" si="372"/>
        <v>0</v>
      </c>
    </row>
    <row r="7881" spans="1:5" x14ac:dyDescent="0.25">
      <c r="A7881" s="3">
        <f t="shared" si="370"/>
        <v>78989</v>
      </c>
      <c r="B7881" t="str">
        <f ca="1">TEXT(DATE(YEAR(Invoer!$A$5),1,1)+INT((ROWS(B$2:B7881)-1)/24),"""18""jjmmdd")</f>
        <v>18981125</v>
      </c>
      <c r="C7881" s="11" t="str">
        <f>INDEX(Data,2,2+MOD(ROWS(C$2:C7881)-1,24))</f>
        <v>08.00</v>
      </c>
      <c r="D7881" s="8">
        <f t="shared" ca="1" si="371"/>
        <v>11</v>
      </c>
      <c r="E7881" s="16">
        <f t="shared" ca="1" si="372"/>
        <v>0</v>
      </c>
    </row>
    <row r="7882" spans="1:5" x14ac:dyDescent="0.25">
      <c r="A7882" s="3">
        <f t="shared" si="370"/>
        <v>78989</v>
      </c>
      <c r="B7882" t="str">
        <f ca="1">TEXT(DATE(YEAR(Invoer!$A$5),1,1)+INT((ROWS(B$2:B7882)-1)/24),"""18""jjmmdd")</f>
        <v>18981125</v>
      </c>
      <c r="C7882" s="11" t="str">
        <f>INDEX(Data,2,2+MOD(ROWS(C$2:C7882)-1,24))</f>
        <v>09.00</v>
      </c>
      <c r="D7882" s="8">
        <f t="shared" ca="1" si="371"/>
        <v>11</v>
      </c>
      <c r="E7882" s="16">
        <f t="shared" ca="1" si="372"/>
        <v>0</v>
      </c>
    </row>
    <row r="7883" spans="1:5" x14ac:dyDescent="0.25">
      <c r="A7883" s="3">
        <f t="shared" si="370"/>
        <v>78989</v>
      </c>
      <c r="B7883" t="str">
        <f ca="1">TEXT(DATE(YEAR(Invoer!$A$5),1,1)+INT((ROWS(B$2:B7883)-1)/24),"""18""jjmmdd")</f>
        <v>18981125</v>
      </c>
      <c r="C7883" s="11" t="str">
        <f>INDEX(Data,2,2+MOD(ROWS(C$2:C7883)-1,24))</f>
        <v>10.00</v>
      </c>
      <c r="D7883" s="8">
        <f t="shared" ca="1" si="371"/>
        <v>11</v>
      </c>
      <c r="E7883" s="16">
        <f t="shared" ca="1" si="372"/>
        <v>0</v>
      </c>
    </row>
    <row r="7884" spans="1:5" x14ac:dyDescent="0.25">
      <c r="A7884" s="3">
        <f t="shared" si="370"/>
        <v>78989</v>
      </c>
      <c r="B7884" t="str">
        <f ca="1">TEXT(DATE(YEAR(Invoer!$A$5),1,1)+INT((ROWS(B$2:B7884)-1)/24),"""18""jjmmdd")</f>
        <v>18981125</v>
      </c>
      <c r="C7884" s="11" t="str">
        <f>INDEX(Data,2,2+MOD(ROWS(C$2:C7884)-1,24))</f>
        <v>11.00</v>
      </c>
      <c r="D7884" s="8">
        <f t="shared" ca="1" si="371"/>
        <v>12</v>
      </c>
      <c r="E7884" s="16">
        <f t="shared" ca="1" si="372"/>
        <v>0</v>
      </c>
    </row>
    <row r="7885" spans="1:5" x14ac:dyDescent="0.25">
      <c r="A7885" s="3">
        <f t="shared" si="370"/>
        <v>78989</v>
      </c>
      <c r="B7885" t="str">
        <f ca="1">TEXT(DATE(YEAR(Invoer!$A$5),1,1)+INT((ROWS(B$2:B7885)-1)/24),"""18""jjmmdd")</f>
        <v>18981125</v>
      </c>
      <c r="C7885" s="11" t="str">
        <f>INDEX(Data,2,2+MOD(ROWS(C$2:C7885)-1,24))</f>
        <v>12.00</v>
      </c>
      <c r="D7885" s="8">
        <f t="shared" ca="1" si="371"/>
        <v>14</v>
      </c>
      <c r="E7885" s="16">
        <f t="shared" ca="1" si="372"/>
        <v>0</v>
      </c>
    </row>
    <row r="7886" spans="1:5" x14ac:dyDescent="0.25">
      <c r="A7886" s="3">
        <f t="shared" si="370"/>
        <v>78989</v>
      </c>
      <c r="B7886" t="str">
        <f ca="1">TEXT(DATE(YEAR(Invoer!$A$5),1,1)+INT((ROWS(B$2:B7886)-1)/24),"""18""jjmmdd")</f>
        <v>18981125</v>
      </c>
      <c r="C7886" s="11" t="str">
        <f>INDEX(Data,2,2+MOD(ROWS(C$2:C7886)-1,24))</f>
        <v>13.00</v>
      </c>
      <c r="D7886" s="8">
        <f t="shared" ca="1" si="371"/>
        <v>12</v>
      </c>
      <c r="E7886" s="16">
        <f t="shared" ca="1" si="372"/>
        <v>0</v>
      </c>
    </row>
    <row r="7887" spans="1:5" x14ac:dyDescent="0.25">
      <c r="A7887" s="3">
        <f t="shared" si="370"/>
        <v>78989</v>
      </c>
      <c r="B7887" t="str">
        <f ca="1">TEXT(DATE(YEAR(Invoer!$A$5),1,1)+INT((ROWS(B$2:B7887)-1)/24),"""18""jjmmdd")</f>
        <v>18981125</v>
      </c>
      <c r="C7887" s="11" t="str">
        <f>INDEX(Data,2,2+MOD(ROWS(C$2:C7887)-1,24))</f>
        <v>14.00</v>
      </c>
      <c r="D7887" s="8">
        <f t="shared" ca="1" si="371"/>
        <v>14</v>
      </c>
      <c r="E7887" s="16">
        <f t="shared" ca="1" si="372"/>
        <v>0</v>
      </c>
    </row>
    <row r="7888" spans="1:5" x14ac:dyDescent="0.25">
      <c r="A7888" s="3">
        <f t="shared" si="370"/>
        <v>78989</v>
      </c>
      <c r="B7888" t="str">
        <f ca="1">TEXT(DATE(YEAR(Invoer!$A$5),1,1)+INT((ROWS(B$2:B7888)-1)/24),"""18""jjmmdd")</f>
        <v>18981125</v>
      </c>
      <c r="C7888" s="11" t="str">
        <f>INDEX(Data,2,2+MOD(ROWS(C$2:C7888)-1,24))</f>
        <v>15.00</v>
      </c>
      <c r="D7888" s="8">
        <f t="shared" ca="1" si="371"/>
        <v>13</v>
      </c>
      <c r="E7888" s="16">
        <f t="shared" ca="1" si="372"/>
        <v>0</v>
      </c>
    </row>
    <row r="7889" spans="1:5" x14ac:dyDescent="0.25">
      <c r="A7889" s="3">
        <f t="shared" si="370"/>
        <v>78989</v>
      </c>
      <c r="B7889" t="str">
        <f ca="1">TEXT(DATE(YEAR(Invoer!$A$5),1,1)+INT((ROWS(B$2:B7889)-1)/24),"""18""jjmmdd")</f>
        <v>18981125</v>
      </c>
      <c r="C7889" s="11" t="str">
        <f>INDEX(Data,2,2+MOD(ROWS(C$2:C7889)-1,24))</f>
        <v>16.00</v>
      </c>
      <c r="D7889" s="8">
        <f t="shared" ca="1" si="371"/>
        <v>15</v>
      </c>
      <c r="E7889" s="16">
        <f t="shared" ca="1" si="372"/>
        <v>0</v>
      </c>
    </row>
    <row r="7890" spans="1:5" x14ac:dyDescent="0.25">
      <c r="A7890" s="3">
        <f t="shared" si="370"/>
        <v>78989</v>
      </c>
      <c r="B7890" t="str">
        <f ca="1">TEXT(DATE(YEAR(Invoer!$A$5),1,1)+INT((ROWS(B$2:B7890)-1)/24),"""18""jjmmdd")</f>
        <v>18981125</v>
      </c>
      <c r="C7890" s="11" t="str">
        <f>INDEX(Data,2,2+MOD(ROWS(C$2:C7890)-1,24))</f>
        <v>17.00</v>
      </c>
      <c r="D7890" s="8">
        <f t="shared" ca="1" si="371"/>
        <v>15</v>
      </c>
      <c r="E7890" s="16">
        <f t="shared" ca="1" si="372"/>
        <v>0</v>
      </c>
    </row>
    <row r="7891" spans="1:5" x14ac:dyDescent="0.25">
      <c r="A7891" s="3">
        <f t="shared" si="370"/>
        <v>78989</v>
      </c>
      <c r="B7891" t="str">
        <f ca="1">TEXT(DATE(YEAR(Invoer!$A$5),1,1)+INT((ROWS(B$2:B7891)-1)/24),"""18""jjmmdd")</f>
        <v>18981125</v>
      </c>
      <c r="C7891" s="11" t="str">
        <f>INDEX(Data,2,2+MOD(ROWS(C$2:C7891)-1,24))</f>
        <v>18.00</v>
      </c>
      <c r="D7891" s="8">
        <f t="shared" ca="1" si="371"/>
        <v>13</v>
      </c>
      <c r="E7891" s="16">
        <f t="shared" ca="1" si="372"/>
        <v>0</v>
      </c>
    </row>
    <row r="7892" spans="1:5" x14ac:dyDescent="0.25">
      <c r="A7892" s="3">
        <f t="shared" si="370"/>
        <v>78989</v>
      </c>
      <c r="B7892" t="str">
        <f ca="1">TEXT(DATE(YEAR(Invoer!$A$5),1,1)+INT((ROWS(B$2:B7892)-1)/24),"""18""jjmmdd")</f>
        <v>18981125</v>
      </c>
      <c r="C7892" s="11" t="str">
        <f>INDEX(Data,2,2+MOD(ROWS(C$2:C7892)-1,24))</f>
        <v>19.00</v>
      </c>
      <c r="D7892" s="8">
        <f t="shared" ca="1" si="371"/>
        <v>14</v>
      </c>
      <c r="E7892" s="16">
        <f t="shared" ca="1" si="372"/>
        <v>0</v>
      </c>
    </row>
    <row r="7893" spans="1:5" x14ac:dyDescent="0.25">
      <c r="A7893" s="3">
        <f t="shared" si="370"/>
        <v>78989</v>
      </c>
      <c r="B7893" t="str">
        <f ca="1">TEXT(DATE(YEAR(Invoer!$A$5),1,1)+INT((ROWS(B$2:B7893)-1)/24),"""18""jjmmdd")</f>
        <v>18981125</v>
      </c>
      <c r="C7893" s="11" t="str">
        <f>INDEX(Data,2,2+MOD(ROWS(C$2:C7893)-1,24))</f>
        <v>20.00</v>
      </c>
      <c r="D7893" s="8">
        <f t="shared" ca="1" si="371"/>
        <v>11</v>
      </c>
      <c r="E7893" s="16">
        <f t="shared" ca="1" si="372"/>
        <v>0</v>
      </c>
    </row>
    <row r="7894" spans="1:5" x14ac:dyDescent="0.25">
      <c r="A7894" s="3">
        <f t="shared" si="370"/>
        <v>78989</v>
      </c>
      <c r="B7894" t="str">
        <f ca="1">TEXT(DATE(YEAR(Invoer!$A$5),1,1)+INT((ROWS(B$2:B7894)-1)/24),"""18""jjmmdd")</f>
        <v>18981125</v>
      </c>
      <c r="C7894" s="11" t="str">
        <f>INDEX(Data,2,2+MOD(ROWS(C$2:C7894)-1,24))</f>
        <v>21.00</v>
      </c>
      <c r="D7894" s="8">
        <f t="shared" ca="1" si="371"/>
        <v>11</v>
      </c>
      <c r="E7894" s="16">
        <f t="shared" ca="1" si="372"/>
        <v>0</v>
      </c>
    </row>
    <row r="7895" spans="1:5" x14ac:dyDescent="0.25">
      <c r="A7895" s="3">
        <f t="shared" si="370"/>
        <v>78989</v>
      </c>
      <c r="B7895" t="str">
        <f ca="1">TEXT(DATE(YEAR(Invoer!$A$5),1,1)+INT((ROWS(B$2:B7895)-1)/24),"""18""jjmmdd")</f>
        <v>18981125</v>
      </c>
      <c r="C7895" s="11" t="str">
        <f>INDEX(Data,2,2+MOD(ROWS(C$2:C7895)-1,24))</f>
        <v>22.00</v>
      </c>
      <c r="D7895" s="8">
        <f t="shared" ca="1" si="371"/>
        <v>13</v>
      </c>
      <c r="E7895" s="16">
        <f t="shared" ca="1" si="372"/>
        <v>0</v>
      </c>
    </row>
    <row r="7896" spans="1:5" x14ac:dyDescent="0.25">
      <c r="A7896" s="3">
        <f t="shared" si="370"/>
        <v>78989</v>
      </c>
      <c r="B7896" t="str">
        <f ca="1">TEXT(DATE(YEAR(Invoer!$A$5),1,1)+INT((ROWS(B$2:B7896)-1)/24),"""18""jjmmdd")</f>
        <v>18981125</v>
      </c>
      <c r="C7896" s="11" t="str">
        <f>INDEX(Data,2,2+MOD(ROWS(C$2:C7896)-1,24))</f>
        <v>23.00</v>
      </c>
      <c r="D7896" s="8">
        <f t="shared" ca="1" si="371"/>
        <v>12</v>
      </c>
      <c r="E7896" s="16">
        <f t="shared" ca="1" si="372"/>
        <v>0</v>
      </c>
    </row>
    <row r="7897" spans="1:5" x14ac:dyDescent="0.25">
      <c r="A7897" s="3">
        <f t="shared" si="370"/>
        <v>78989</v>
      </c>
      <c r="B7897" t="str">
        <f ca="1">TEXT(DATE(YEAR(Invoer!$A$5),1,1)+INT((ROWS(B$2:B7897)-1)/24),"""18""jjmmdd")</f>
        <v>18981125</v>
      </c>
      <c r="C7897" s="11" t="str">
        <f>INDEX(Data,2,2+MOD(ROWS(C$2:C7897)-1,24))</f>
        <v>24.00</v>
      </c>
      <c r="D7897" s="8">
        <f t="shared" ca="1" si="371"/>
        <v>13</v>
      </c>
      <c r="E7897" s="16">
        <f t="shared" ca="1" si="372"/>
        <v>0</v>
      </c>
    </row>
    <row r="7898" spans="1:5" x14ac:dyDescent="0.25">
      <c r="A7898" s="3">
        <f t="shared" si="370"/>
        <v>78989</v>
      </c>
      <c r="B7898" t="str">
        <f ca="1">TEXT(DATE(YEAR(Invoer!$A$5),1,1)+INT((ROWS(B$2:B7898)-1)/24),"""18""jjmmdd")</f>
        <v>18981126</v>
      </c>
      <c r="C7898" s="11" t="str">
        <f>INDEX(Data,2,2+MOD(ROWS(C$2:C7898)-1,24))</f>
        <v>01.00</v>
      </c>
      <c r="D7898" s="8">
        <f t="shared" ca="1" si="371"/>
        <v>11</v>
      </c>
      <c r="E7898" s="16">
        <f t="shared" ca="1" si="372"/>
        <v>0</v>
      </c>
    </row>
    <row r="7899" spans="1:5" x14ac:dyDescent="0.25">
      <c r="A7899" s="3">
        <f t="shared" si="370"/>
        <v>78989</v>
      </c>
      <c r="B7899" t="str">
        <f ca="1">TEXT(DATE(YEAR(Invoer!$A$5),1,1)+INT((ROWS(B$2:B7899)-1)/24),"""18""jjmmdd")</f>
        <v>18981126</v>
      </c>
      <c r="C7899" s="11" t="str">
        <f>INDEX(Data,2,2+MOD(ROWS(C$2:C7899)-1,24))</f>
        <v>02.00</v>
      </c>
      <c r="D7899" s="8">
        <f t="shared" ca="1" si="371"/>
        <v>10</v>
      </c>
      <c r="E7899" s="16">
        <f t="shared" ca="1" si="372"/>
        <v>0</v>
      </c>
    </row>
    <row r="7900" spans="1:5" x14ac:dyDescent="0.25">
      <c r="A7900" s="3">
        <f t="shared" si="370"/>
        <v>78989</v>
      </c>
      <c r="B7900" t="str">
        <f ca="1">TEXT(DATE(YEAR(Invoer!$A$5),1,1)+INT((ROWS(B$2:B7900)-1)/24),"""18""jjmmdd")</f>
        <v>18981126</v>
      </c>
      <c r="C7900" s="11" t="str">
        <f>INDEX(Data,2,2+MOD(ROWS(C$2:C7900)-1,24))</f>
        <v>03.00</v>
      </c>
      <c r="D7900" s="8">
        <f t="shared" ca="1" si="371"/>
        <v>11</v>
      </c>
      <c r="E7900" s="16">
        <f t="shared" ca="1" si="372"/>
        <v>0</v>
      </c>
    </row>
    <row r="7901" spans="1:5" x14ac:dyDescent="0.25">
      <c r="A7901" s="3">
        <f t="shared" si="370"/>
        <v>78989</v>
      </c>
      <c r="B7901" t="str">
        <f ca="1">TEXT(DATE(YEAR(Invoer!$A$5),1,1)+INT((ROWS(B$2:B7901)-1)/24),"""18""jjmmdd")</f>
        <v>18981126</v>
      </c>
      <c r="C7901" s="11" t="str">
        <f>INDEX(Data,2,2+MOD(ROWS(C$2:C7901)-1,24))</f>
        <v>04.00</v>
      </c>
      <c r="D7901" s="8">
        <f t="shared" ca="1" si="371"/>
        <v>10</v>
      </c>
      <c r="E7901" s="16">
        <f t="shared" ca="1" si="372"/>
        <v>0</v>
      </c>
    </row>
    <row r="7902" spans="1:5" x14ac:dyDescent="0.25">
      <c r="A7902" s="3">
        <f t="shared" si="370"/>
        <v>78989</v>
      </c>
      <c r="B7902" t="str">
        <f ca="1">TEXT(DATE(YEAR(Invoer!$A$5),1,1)+INT((ROWS(B$2:B7902)-1)/24),"""18""jjmmdd")</f>
        <v>18981126</v>
      </c>
      <c r="C7902" s="11" t="str">
        <f>INDEX(Data,2,2+MOD(ROWS(C$2:C7902)-1,24))</f>
        <v>05.00</v>
      </c>
      <c r="D7902" s="8">
        <f t="shared" ca="1" si="371"/>
        <v>11</v>
      </c>
      <c r="E7902" s="16">
        <f t="shared" ca="1" si="372"/>
        <v>0</v>
      </c>
    </row>
    <row r="7903" spans="1:5" x14ac:dyDescent="0.25">
      <c r="A7903" s="3">
        <f t="shared" si="370"/>
        <v>78989</v>
      </c>
      <c r="B7903" t="str">
        <f ca="1">TEXT(DATE(YEAR(Invoer!$A$5),1,1)+INT((ROWS(B$2:B7903)-1)/24),"""18""jjmmdd")</f>
        <v>18981126</v>
      </c>
      <c r="C7903" s="11" t="str">
        <f>INDEX(Data,2,2+MOD(ROWS(C$2:C7903)-1,24))</f>
        <v>06.00</v>
      </c>
      <c r="D7903" s="8">
        <f t="shared" ca="1" si="371"/>
        <v>9</v>
      </c>
      <c r="E7903" s="16">
        <f t="shared" ca="1" si="372"/>
        <v>0</v>
      </c>
    </row>
    <row r="7904" spans="1:5" x14ac:dyDescent="0.25">
      <c r="A7904" s="3">
        <f t="shared" si="370"/>
        <v>78989</v>
      </c>
      <c r="B7904" t="str">
        <f ca="1">TEXT(DATE(YEAR(Invoer!$A$5),1,1)+INT((ROWS(B$2:B7904)-1)/24),"""18""jjmmdd")</f>
        <v>18981126</v>
      </c>
      <c r="C7904" s="11" t="str">
        <f>INDEX(Data,2,2+MOD(ROWS(C$2:C7904)-1,24))</f>
        <v>07.00</v>
      </c>
      <c r="D7904" s="8">
        <f t="shared" ca="1" si="371"/>
        <v>10</v>
      </c>
      <c r="E7904" s="16">
        <f t="shared" ca="1" si="372"/>
        <v>0</v>
      </c>
    </row>
    <row r="7905" spans="1:5" x14ac:dyDescent="0.25">
      <c r="A7905" s="3">
        <f t="shared" si="370"/>
        <v>78989</v>
      </c>
      <c r="B7905" t="str">
        <f ca="1">TEXT(DATE(YEAR(Invoer!$A$5),1,1)+INT((ROWS(B$2:B7905)-1)/24),"""18""jjmmdd")</f>
        <v>18981126</v>
      </c>
      <c r="C7905" s="11" t="str">
        <f>INDEX(Data,2,2+MOD(ROWS(C$2:C7905)-1,24))</f>
        <v>08.00</v>
      </c>
      <c r="D7905" s="8">
        <f t="shared" ca="1" si="371"/>
        <v>15</v>
      </c>
      <c r="E7905" s="16">
        <f t="shared" ca="1" si="372"/>
        <v>0</v>
      </c>
    </row>
    <row r="7906" spans="1:5" x14ac:dyDescent="0.25">
      <c r="A7906" s="3">
        <f t="shared" si="370"/>
        <v>78989</v>
      </c>
      <c r="B7906" t="str">
        <f ca="1">TEXT(DATE(YEAR(Invoer!$A$5),1,1)+INT((ROWS(B$2:B7906)-1)/24),"""18""jjmmdd")</f>
        <v>18981126</v>
      </c>
      <c r="C7906" s="11" t="str">
        <f>INDEX(Data,2,2+MOD(ROWS(C$2:C7906)-1,24))</f>
        <v>09.00</v>
      </c>
      <c r="D7906" s="8">
        <f t="shared" ca="1" si="371"/>
        <v>17</v>
      </c>
      <c r="E7906" s="16">
        <f t="shared" ca="1" si="372"/>
        <v>0</v>
      </c>
    </row>
    <row r="7907" spans="1:5" x14ac:dyDescent="0.25">
      <c r="A7907" s="3">
        <f t="shared" si="370"/>
        <v>78989</v>
      </c>
      <c r="B7907" t="str">
        <f ca="1">TEXT(DATE(YEAR(Invoer!$A$5),1,1)+INT((ROWS(B$2:B7907)-1)/24),"""18""jjmmdd")</f>
        <v>18981126</v>
      </c>
      <c r="C7907" s="11" t="str">
        <f>INDEX(Data,2,2+MOD(ROWS(C$2:C7907)-1,24))</f>
        <v>10.00</v>
      </c>
      <c r="D7907" s="8">
        <f t="shared" ca="1" si="371"/>
        <v>15</v>
      </c>
      <c r="E7907" s="16">
        <f t="shared" ca="1" si="372"/>
        <v>0</v>
      </c>
    </row>
    <row r="7908" spans="1:5" x14ac:dyDescent="0.25">
      <c r="A7908" s="3">
        <f t="shared" si="370"/>
        <v>78989</v>
      </c>
      <c r="B7908" t="str">
        <f ca="1">TEXT(DATE(YEAR(Invoer!$A$5),1,1)+INT((ROWS(B$2:B7908)-1)/24),"""18""jjmmdd")</f>
        <v>18981126</v>
      </c>
      <c r="C7908" s="11" t="str">
        <f>INDEX(Data,2,2+MOD(ROWS(C$2:C7908)-1,24))</f>
        <v>11.00</v>
      </c>
      <c r="D7908" s="8">
        <f t="shared" ca="1" si="371"/>
        <v>15</v>
      </c>
      <c r="E7908" s="16">
        <f t="shared" ca="1" si="372"/>
        <v>0</v>
      </c>
    </row>
    <row r="7909" spans="1:5" x14ac:dyDescent="0.25">
      <c r="A7909" s="3">
        <f t="shared" si="370"/>
        <v>78989</v>
      </c>
      <c r="B7909" t="str">
        <f ca="1">TEXT(DATE(YEAR(Invoer!$A$5),1,1)+INT((ROWS(B$2:B7909)-1)/24),"""18""jjmmdd")</f>
        <v>18981126</v>
      </c>
      <c r="C7909" s="11" t="str">
        <f>INDEX(Data,2,2+MOD(ROWS(C$2:C7909)-1,24))</f>
        <v>12.00</v>
      </c>
      <c r="D7909" s="8">
        <f t="shared" ca="1" si="371"/>
        <v>18</v>
      </c>
      <c r="E7909" s="16">
        <f t="shared" ca="1" si="372"/>
        <v>0</v>
      </c>
    </row>
    <row r="7910" spans="1:5" x14ac:dyDescent="0.25">
      <c r="A7910" s="3">
        <f t="shared" si="370"/>
        <v>78989</v>
      </c>
      <c r="B7910" t="str">
        <f ca="1">TEXT(DATE(YEAR(Invoer!$A$5),1,1)+INT((ROWS(B$2:B7910)-1)/24),"""18""jjmmdd")</f>
        <v>18981126</v>
      </c>
      <c r="C7910" s="11" t="str">
        <f>INDEX(Data,2,2+MOD(ROWS(C$2:C7910)-1,24))</f>
        <v>13.00</v>
      </c>
      <c r="D7910" s="8">
        <f t="shared" ca="1" si="371"/>
        <v>17</v>
      </c>
      <c r="E7910" s="16">
        <f t="shared" ca="1" si="372"/>
        <v>0</v>
      </c>
    </row>
    <row r="7911" spans="1:5" x14ac:dyDescent="0.25">
      <c r="A7911" s="3">
        <f t="shared" si="370"/>
        <v>78989</v>
      </c>
      <c r="B7911" t="str">
        <f ca="1">TEXT(DATE(YEAR(Invoer!$A$5),1,1)+INT((ROWS(B$2:B7911)-1)/24),"""18""jjmmdd")</f>
        <v>18981126</v>
      </c>
      <c r="C7911" s="11" t="str">
        <f>INDEX(Data,2,2+MOD(ROWS(C$2:C7911)-1,24))</f>
        <v>14.00</v>
      </c>
      <c r="D7911" s="8">
        <f t="shared" ca="1" si="371"/>
        <v>16</v>
      </c>
      <c r="E7911" s="16">
        <f t="shared" ca="1" si="372"/>
        <v>0</v>
      </c>
    </row>
    <row r="7912" spans="1:5" x14ac:dyDescent="0.25">
      <c r="A7912" s="3">
        <f t="shared" si="370"/>
        <v>78989</v>
      </c>
      <c r="B7912" t="str">
        <f ca="1">TEXT(DATE(YEAR(Invoer!$A$5),1,1)+INT((ROWS(B$2:B7912)-1)/24),"""18""jjmmdd")</f>
        <v>18981126</v>
      </c>
      <c r="C7912" s="11" t="str">
        <f>INDEX(Data,2,2+MOD(ROWS(C$2:C7912)-1,24))</f>
        <v>15.00</v>
      </c>
      <c r="D7912" s="8">
        <f t="shared" ca="1" si="371"/>
        <v>16</v>
      </c>
      <c r="E7912" s="16">
        <f t="shared" ca="1" si="372"/>
        <v>0</v>
      </c>
    </row>
    <row r="7913" spans="1:5" x14ac:dyDescent="0.25">
      <c r="A7913" s="3">
        <f t="shared" si="370"/>
        <v>78989</v>
      </c>
      <c r="B7913" t="str">
        <f ca="1">TEXT(DATE(YEAR(Invoer!$A$5),1,1)+INT((ROWS(B$2:B7913)-1)/24),"""18""jjmmdd")</f>
        <v>18981126</v>
      </c>
      <c r="C7913" s="11" t="str">
        <f>INDEX(Data,2,2+MOD(ROWS(C$2:C7913)-1,24))</f>
        <v>16.00</v>
      </c>
      <c r="D7913" s="8">
        <f t="shared" ca="1" si="371"/>
        <v>16</v>
      </c>
      <c r="E7913" s="16">
        <f t="shared" ca="1" si="372"/>
        <v>0</v>
      </c>
    </row>
    <row r="7914" spans="1:5" x14ac:dyDescent="0.25">
      <c r="A7914" s="3">
        <f t="shared" si="370"/>
        <v>78989</v>
      </c>
      <c r="B7914" t="str">
        <f ca="1">TEXT(DATE(YEAR(Invoer!$A$5),1,1)+INT((ROWS(B$2:B7914)-1)/24),"""18""jjmmdd")</f>
        <v>18981126</v>
      </c>
      <c r="C7914" s="11" t="str">
        <f>INDEX(Data,2,2+MOD(ROWS(C$2:C7914)-1,24))</f>
        <v>17.00</v>
      </c>
      <c r="D7914" s="8">
        <f t="shared" ca="1" si="371"/>
        <v>13</v>
      </c>
      <c r="E7914" s="16">
        <f t="shared" ca="1" si="372"/>
        <v>0</v>
      </c>
    </row>
    <row r="7915" spans="1:5" x14ac:dyDescent="0.25">
      <c r="A7915" s="3">
        <f t="shared" si="370"/>
        <v>78989</v>
      </c>
      <c r="B7915" t="str">
        <f ca="1">TEXT(DATE(YEAR(Invoer!$A$5),1,1)+INT((ROWS(B$2:B7915)-1)/24),"""18""jjmmdd")</f>
        <v>18981126</v>
      </c>
      <c r="C7915" s="11" t="str">
        <f>INDEX(Data,2,2+MOD(ROWS(C$2:C7915)-1,24))</f>
        <v>18.00</v>
      </c>
      <c r="D7915" s="8">
        <f t="shared" ca="1" si="371"/>
        <v>12</v>
      </c>
      <c r="E7915" s="16">
        <f t="shared" ca="1" si="372"/>
        <v>0</v>
      </c>
    </row>
    <row r="7916" spans="1:5" x14ac:dyDescent="0.25">
      <c r="A7916" s="3">
        <f t="shared" si="370"/>
        <v>78989</v>
      </c>
      <c r="B7916" t="str">
        <f ca="1">TEXT(DATE(YEAR(Invoer!$A$5),1,1)+INT((ROWS(B$2:B7916)-1)/24),"""18""jjmmdd")</f>
        <v>18981126</v>
      </c>
      <c r="C7916" s="11" t="str">
        <f>INDEX(Data,2,2+MOD(ROWS(C$2:C7916)-1,24))</f>
        <v>19.00</v>
      </c>
      <c r="D7916" s="8">
        <f t="shared" ca="1" si="371"/>
        <v>10</v>
      </c>
      <c r="E7916" s="16">
        <f t="shared" ca="1" si="372"/>
        <v>0</v>
      </c>
    </row>
    <row r="7917" spans="1:5" x14ac:dyDescent="0.25">
      <c r="A7917" s="3">
        <f t="shared" si="370"/>
        <v>78989</v>
      </c>
      <c r="B7917" t="str">
        <f ca="1">TEXT(DATE(YEAR(Invoer!$A$5),1,1)+INT((ROWS(B$2:B7917)-1)/24),"""18""jjmmdd")</f>
        <v>18981126</v>
      </c>
      <c r="C7917" s="11" t="str">
        <f>INDEX(Data,2,2+MOD(ROWS(C$2:C7917)-1,24))</f>
        <v>20.00</v>
      </c>
      <c r="D7917" s="8">
        <f t="shared" ca="1" si="371"/>
        <v>11</v>
      </c>
      <c r="E7917" s="16">
        <f t="shared" ca="1" si="372"/>
        <v>0</v>
      </c>
    </row>
    <row r="7918" spans="1:5" x14ac:dyDescent="0.25">
      <c r="A7918" s="3">
        <f t="shared" si="370"/>
        <v>78989</v>
      </c>
      <c r="B7918" t="str">
        <f ca="1">TEXT(DATE(YEAR(Invoer!$A$5),1,1)+INT((ROWS(B$2:B7918)-1)/24),"""18""jjmmdd")</f>
        <v>18981126</v>
      </c>
      <c r="C7918" s="11" t="str">
        <f>INDEX(Data,2,2+MOD(ROWS(C$2:C7918)-1,24))</f>
        <v>21.00</v>
      </c>
      <c r="D7918" s="8">
        <f t="shared" ca="1" si="371"/>
        <v>11</v>
      </c>
      <c r="E7918" s="16">
        <f t="shared" ca="1" si="372"/>
        <v>0</v>
      </c>
    </row>
    <row r="7919" spans="1:5" x14ac:dyDescent="0.25">
      <c r="A7919" s="3">
        <f t="shared" si="370"/>
        <v>78989</v>
      </c>
      <c r="B7919" t="str">
        <f ca="1">TEXT(DATE(YEAR(Invoer!$A$5),1,1)+INT((ROWS(B$2:B7919)-1)/24),"""18""jjmmdd")</f>
        <v>18981126</v>
      </c>
      <c r="C7919" s="11" t="str">
        <f>INDEX(Data,2,2+MOD(ROWS(C$2:C7919)-1,24))</f>
        <v>22.00</v>
      </c>
      <c r="D7919" s="8">
        <f t="shared" ca="1" si="371"/>
        <v>10</v>
      </c>
      <c r="E7919" s="16">
        <f t="shared" ca="1" si="372"/>
        <v>0</v>
      </c>
    </row>
    <row r="7920" spans="1:5" x14ac:dyDescent="0.25">
      <c r="A7920" s="3">
        <f t="shared" si="370"/>
        <v>78989</v>
      </c>
      <c r="B7920" t="str">
        <f ca="1">TEXT(DATE(YEAR(Invoer!$A$5),1,1)+INT((ROWS(B$2:B7920)-1)/24),"""18""jjmmdd")</f>
        <v>18981126</v>
      </c>
      <c r="C7920" s="11" t="str">
        <f>INDEX(Data,2,2+MOD(ROWS(C$2:C7920)-1,24))</f>
        <v>23.00</v>
      </c>
      <c r="D7920" s="8">
        <f t="shared" ca="1" si="371"/>
        <v>9</v>
      </c>
      <c r="E7920" s="16">
        <f t="shared" ca="1" si="372"/>
        <v>0</v>
      </c>
    </row>
    <row r="7921" spans="1:5" x14ac:dyDescent="0.25">
      <c r="A7921" s="3">
        <f t="shared" si="370"/>
        <v>78989</v>
      </c>
      <c r="B7921" t="str">
        <f ca="1">TEXT(DATE(YEAR(Invoer!$A$5),1,1)+INT((ROWS(B$2:B7921)-1)/24),"""18""jjmmdd")</f>
        <v>18981126</v>
      </c>
      <c r="C7921" s="11" t="str">
        <f>INDEX(Data,2,2+MOD(ROWS(C$2:C7921)-1,24))</f>
        <v>24.00</v>
      </c>
      <c r="D7921" s="8">
        <f t="shared" ca="1" si="371"/>
        <v>9</v>
      </c>
      <c r="E7921" s="16">
        <f t="shared" ca="1" si="372"/>
        <v>0</v>
      </c>
    </row>
    <row r="7922" spans="1:5" x14ac:dyDescent="0.25">
      <c r="A7922" s="3">
        <f t="shared" si="370"/>
        <v>78989</v>
      </c>
      <c r="B7922" t="str">
        <f ca="1">TEXT(DATE(YEAR(Invoer!$A$5),1,1)+INT((ROWS(B$2:B7922)-1)/24),"""18""jjmmdd")</f>
        <v>18981127</v>
      </c>
      <c r="C7922" s="11" t="str">
        <f>INDEX(Data,2,2+MOD(ROWS(C$2:C7922)-1,24))</f>
        <v>01.00</v>
      </c>
      <c r="D7922" s="8">
        <f t="shared" ca="1" si="371"/>
        <v>7</v>
      </c>
      <c r="E7922" s="16">
        <f t="shared" ca="1" si="372"/>
        <v>0</v>
      </c>
    </row>
    <row r="7923" spans="1:5" x14ac:dyDescent="0.25">
      <c r="A7923" s="3">
        <f t="shared" si="370"/>
        <v>78989</v>
      </c>
      <c r="B7923" t="str">
        <f ca="1">TEXT(DATE(YEAR(Invoer!$A$5),1,1)+INT((ROWS(B$2:B7923)-1)/24),"""18""jjmmdd")</f>
        <v>18981127</v>
      </c>
      <c r="C7923" s="11" t="str">
        <f>INDEX(Data,2,2+MOD(ROWS(C$2:C7923)-1,24))</f>
        <v>02.00</v>
      </c>
      <c r="D7923" s="8">
        <f t="shared" ca="1" si="371"/>
        <v>8</v>
      </c>
      <c r="E7923" s="16">
        <f t="shared" ca="1" si="372"/>
        <v>0</v>
      </c>
    </row>
    <row r="7924" spans="1:5" x14ac:dyDescent="0.25">
      <c r="A7924" s="3">
        <f t="shared" si="370"/>
        <v>78989</v>
      </c>
      <c r="B7924" t="str">
        <f ca="1">TEXT(DATE(YEAR(Invoer!$A$5),1,1)+INT((ROWS(B$2:B7924)-1)/24),"""18""jjmmdd")</f>
        <v>18981127</v>
      </c>
      <c r="C7924" s="11" t="str">
        <f>INDEX(Data,2,2+MOD(ROWS(C$2:C7924)-1,24))</f>
        <v>03.00</v>
      </c>
      <c r="D7924" s="8">
        <f t="shared" ca="1" si="371"/>
        <v>6</v>
      </c>
      <c r="E7924" s="16">
        <f t="shared" ca="1" si="372"/>
        <v>0</v>
      </c>
    </row>
    <row r="7925" spans="1:5" x14ac:dyDescent="0.25">
      <c r="A7925" s="3">
        <f t="shared" si="370"/>
        <v>78989</v>
      </c>
      <c r="B7925" t="str">
        <f ca="1">TEXT(DATE(YEAR(Invoer!$A$5),1,1)+INT((ROWS(B$2:B7925)-1)/24),"""18""jjmmdd")</f>
        <v>18981127</v>
      </c>
      <c r="C7925" s="11" t="str">
        <f>INDEX(Data,2,2+MOD(ROWS(C$2:C7925)-1,24))</f>
        <v>04.00</v>
      </c>
      <c r="D7925" s="8">
        <f t="shared" ca="1" si="371"/>
        <v>6</v>
      </c>
      <c r="E7925" s="16">
        <f t="shared" ca="1" si="372"/>
        <v>0</v>
      </c>
    </row>
    <row r="7926" spans="1:5" x14ac:dyDescent="0.25">
      <c r="A7926" s="3">
        <f t="shared" si="370"/>
        <v>78989</v>
      </c>
      <c r="B7926" t="str">
        <f ca="1">TEXT(DATE(YEAR(Invoer!$A$5),1,1)+INT((ROWS(B$2:B7926)-1)/24),"""18""jjmmdd")</f>
        <v>18981127</v>
      </c>
      <c r="C7926" s="11" t="str">
        <f>INDEX(Data,2,2+MOD(ROWS(C$2:C7926)-1,24))</f>
        <v>05.00</v>
      </c>
      <c r="D7926" s="8">
        <f t="shared" ca="1" si="371"/>
        <v>7</v>
      </c>
      <c r="E7926" s="16">
        <f t="shared" ca="1" si="372"/>
        <v>0</v>
      </c>
    </row>
    <row r="7927" spans="1:5" x14ac:dyDescent="0.25">
      <c r="A7927" s="3">
        <f t="shared" si="370"/>
        <v>78989</v>
      </c>
      <c r="B7927" t="str">
        <f ca="1">TEXT(DATE(YEAR(Invoer!$A$5),1,1)+INT((ROWS(B$2:B7927)-1)/24),"""18""jjmmdd")</f>
        <v>18981127</v>
      </c>
      <c r="C7927" s="11" t="str">
        <f>INDEX(Data,2,2+MOD(ROWS(C$2:C7927)-1,24))</f>
        <v>06.00</v>
      </c>
      <c r="D7927" s="8">
        <f t="shared" ca="1" si="371"/>
        <v>8</v>
      </c>
      <c r="E7927" s="16">
        <f t="shared" ca="1" si="372"/>
        <v>0</v>
      </c>
    </row>
    <row r="7928" spans="1:5" x14ac:dyDescent="0.25">
      <c r="A7928" s="3">
        <f t="shared" si="370"/>
        <v>78989</v>
      </c>
      <c r="B7928" t="str">
        <f ca="1">TEXT(DATE(YEAR(Invoer!$A$5),1,1)+INT((ROWS(B$2:B7928)-1)/24),"""18""jjmmdd")</f>
        <v>18981127</v>
      </c>
      <c r="C7928" s="11" t="str">
        <f>INDEX(Data,2,2+MOD(ROWS(C$2:C7928)-1,24))</f>
        <v>07.00</v>
      </c>
      <c r="D7928" s="8">
        <f t="shared" ca="1" si="371"/>
        <v>6</v>
      </c>
      <c r="E7928" s="16">
        <f t="shared" ca="1" si="372"/>
        <v>0</v>
      </c>
    </row>
    <row r="7929" spans="1:5" x14ac:dyDescent="0.25">
      <c r="A7929" s="3">
        <f t="shared" si="370"/>
        <v>78989</v>
      </c>
      <c r="B7929" t="str">
        <f ca="1">TEXT(DATE(YEAR(Invoer!$A$5),1,1)+INT((ROWS(B$2:B7929)-1)/24),"""18""jjmmdd")</f>
        <v>18981127</v>
      </c>
      <c r="C7929" s="11" t="str">
        <f>INDEX(Data,2,2+MOD(ROWS(C$2:C7929)-1,24))</f>
        <v>08.00</v>
      </c>
      <c r="D7929" s="8">
        <f t="shared" ca="1" si="371"/>
        <v>10</v>
      </c>
      <c r="E7929" s="16">
        <f t="shared" ca="1" si="372"/>
        <v>0</v>
      </c>
    </row>
    <row r="7930" spans="1:5" x14ac:dyDescent="0.25">
      <c r="A7930" s="3">
        <f t="shared" si="370"/>
        <v>78989</v>
      </c>
      <c r="B7930" t="str">
        <f ca="1">TEXT(DATE(YEAR(Invoer!$A$5),1,1)+INT((ROWS(B$2:B7930)-1)/24),"""18""jjmmdd")</f>
        <v>18981127</v>
      </c>
      <c r="C7930" s="11" t="str">
        <f>INDEX(Data,2,2+MOD(ROWS(C$2:C7930)-1,24))</f>
        <v>09.00</v>
      </c>
      <c r="D7930" s="8">
        <f t="shared" ca="1" si="371"/>
        <v>12</v>
      </c>
      <c r="E7930" s="16">
        <f t="shared" ca="1" si="372"/>
        <v>0</v>
      </c>
    </row>
    <row r="7931" spans="1:5" x14ac:dyDescent="0.25">
      <c r="A7931" s="3">
        <f t="shared" si="370"/>
        <v>78989</v>
      </c>
      <c r="B7931" t="str">
        <f ca="1">TEXT(DATE(YEAR(Invoer!$A$5),1,1)+INT((ROWS(B$2:B7931)-1)/24),"""18""jjmmdd")</f>
        <v>18981127</v>
      </c>
      <c r="C7931" s="11" t="str">
        <f>INDEX(Data,2,2+MOD(ROWS(C$2:C7931)-1,24))</f>
        <v>10.00</v>
      </c>
      <c r="D7931" s="8">
        <f t="shared" ca="1" si="371"/>
        <v>14</v>
      </c>
      <c r="E7931" s="16">
        <f t="shared" ca="1" si="372"/>
        <v>0</v>
      </c>
    </row>
    <row r="7932" spans="1:5" x14ac:dyDescent="0.25">
      <c r="A7932" s="3">
        <f t="shared" si="370"/>
        <v>78989</v>
      </c>
      <c r="B7932" t="str">
        <f ca="1">TEXT(DATE(YEAR(Invoer!$A$5),1,1)+INT((ROWS(B$2:B7932)-1)/24),"""18""jjmmdd")</f>
        <v>18981127</v>
      </c>
      <c r="C7932" s="11" t="str">
        <f>INDEX(Data,2,2+MOD(ROWS(C$2:C7932)-1,24))</f>
        <v>11.00</v>
      </c>
      <c r="D7932" s="8">
        <f t="shared" ca="1" si="371"/>
        <v>12</v>
      </c>
      <c r="E7932" s="16">
        <f t="shared" ca="1" si="372"/>
        <v>0</v>
      </c>
    </row>
    <row r="7933" spans="1:5" x14ac:dyDescent="0.25">
      <c r="A7933" s="3">
        <f t="shared" si="370"/>
        <v>78989</v>
      </c>
      <c r="B7933" t="str">
        <f ca="1">TEXT(DATE(YEAR(Invoer!$A$5),1,1)+INT((ROWS(B$2:B7933)-1)/24),"""18""jjmmdd")</f>
        <v>18981127</v>
      </c>
      <c r="C7933" s="11" t="str">
        <f>INDEX(Data,2,2+MOD(ROWS(C$2:C7933)-1,24))</f>
        <v>12.00</v>
      </c>
      <c r="D7933" s="8">
        <f t="shared" ca="1" si="371"/>
        <v>14</v>
      </c>
      <c r="E7933" s="16">
        <f t="shared" ca="1" si="372"/>
        <v>0</v>
      </c>
    </row>
    <row r="7934" spans="1:5" x14ac:dyDescent="0.25">
      <c r="A7934" s="3">
        <f t="shared" si="370"/>
        <v>78989</v>
      </c>
      <c r="B7934" t="str">
        <f ca="1">TEXT(DATE(YEAR(Invoer!$A$5),1,1)+INT((ROWS(B$2:B7934)-1)/24),"""18""jjmmdd")</f>
        <v>18981127</v>
      </c>
      <c r="C7934" s="11" t="str">
        <f>INDEX(Data,2,2+MOD(ROWS(C$2:C7934)-1,24))</f>
        <v>13.00</v>
      </c>
      <c r="D7934" s="8">
        <f t="shared" ca="1" si="371"/>
        <v>13</v>
      </c>
      <c r="E7934" s="16">
        <f t="shared" ca="1" si="372"/>
        <v>0</v>
      </c>
    </row>
    <row r="7935" spans="1:5" x14ac:dyDescent="0.25">
      <c r="A7935" s="3">
        <f t="shared" si="370"/>
        <v>78989</v>
      </c>
      <c r="B7935" t="str">
        <f ca="1">TEXT(DATE(YEAR(Invoer!$A$5),1,1)+INT((ROWS(B$2:B7935)-1)/24),"""18""jjmmdd")</f>
        <v>18981127</v>
      </c>
      <c r="C7935" s="11" t="str">
        <f>INDEX(Data,2,2+MOD(ROWS(C$2:C7935)-1,24))</f>
        <v>14.00</v>
      </c>
      <c r="D7935" s="8">
        <f t="shared" ca="1" si="371"/>
        <v>13</v>
      </c>
      <c r="E7935" s="16">
        <f t="shared" ca="1" si="372"/>
        <v>0</v>
      </c>
    </row>
    <row r="7936" spans="1:5" x14ac:dyDescent="0.25">
      <c r="A7936" s="3">
        <f t="shared" si="370"/>
        <v>78989</v>
      </c>
      <c r="B7936" t="str">
        <f ca="1">TEXT(DATE(YEAR(Invoer!$A$5),1,1)+INT((ROWS(B$2:B7936)-1)/24),"""18""jjmmdd")</f>
        <v>18981127</v>
      </c>
      <c r="C7936" s="11" t="str">
        <f>INDEX(Data,2,2+MOD(ROWS(C$2:C7936)-1,24))</f>
        <v>15.00</v>
      </c>
      <c r="D7936" s="8">
        <f t="shared" ca="1" si="371"/>
        <v>14</v>
      </c>
      <c r="E7936" s="16">
        <f t="shared" ca="1" si="372"/>
        <v>0</v>
      </c>
    </row>
    <row r="7937" spans="1:5" x14ac:dyDescent="0.25">
      <c r="A7937" s="3">
        <f t="shared" si="370"/>
        <v>78989</v>
      </c>
      <c r="B7937" t="str">
        <f ca="1">TEXT(DATE(YEAR(Invoer!$A$5),1,1)+INT((ROWS(B$2:B7937)-1)/24),"""18""jjmmdd")</f>
        <v>18981127</v>
      </c>
      <c r="C7937" s="11" t="str">
        <f>INDEX(Data,2,2+MOD(ROWS(C$2:C7937)-1,24))</f>
        <v>16.00</v>
      </c>
      <c r="D7937" s="8">
        <f t="shared" ca="1" si="371"/>
        <v>13</v>
      </c>
      <c r="E7937" s="16">
        <f t="shared" ca="1" si="372"/>
        <v>0</v>
      </c>
    </row>
    <row r="7938" spans="1:5" x14ac:dyDescent="0.25">
      <c r="A7938" s="3">
        <f t="shared" ref="A7938:A8001" si="373">INDEX(Stations,2,1)</f>
        <v>78989</v>
      </c>
      <c r="B7938" t="str">
        <f ca="1">TEXT(DATE(YEAR(Invoer!$A$5),1,1)+INT((ROWS(B$2:B7938)-1)/24),"""18""jjmmdd")</f>
        <v>18981127</v>
      </c>
      <c r="C7938" s="11" t="str">
        <f>INDEX(Data,2,2+MOD(ROWS(C$2:C7938)-1,24))</f>
        <v>17.00</v>
      </c>
      <c r="D7938" s="8">
        <f t="shared" ref="D7938:D8001" ca="1" si="374">IF(OR(ISBLANK(VLOOKUP(DATEVALUE("37"&amp;MID($B7938,3,2)&amp;"-"&amp;MID($B7938,5,2)&amp;"-"&amp;RIGHT($B7938,2)),Data,MATCH(LEFT(VLOOKUP(D$1,Parameters,2,FALSE()),4)&amp;"*",OFFSET(Data,0,0,1),0)+MATCH($C7938,OFFSET(Data,1,0,1),0)-2,FALSE())),ISTEXT(VLOOKUP(DATEVALUE("37"&amp;MID($B7938,3,2)&amp;"-"&amp;MID($B7938,5,2)&amp;"-"&amp;RIGHT($B7938,2)),Data,MATCH(LEFT(VLOOKUP(D$1,Parameters,2,FALSE()),4)&amp;"*",OFFSET(Data,0,0,1),0)+MATCH($C7938,OFFSET(Data,1,0,1),0)-2,FALSE()))),"—",VLOOKUP(DATEVALUE("37"&amp;MID($B7938,3,2)&amp;"-"&amp;MID($B7938,5,2)&amp;"-"&amp;RIGHT($B7938,2)),Data,MATCH(LEFT(VLOOKUP(D$1,Parameters,2,FALSE()),4)&amp;"*",OFFSET(Data,0,0,1),0)+MATCH($C7938,OFFSET(Data,1,0,1),0)-2,FALSE()))</f>
        <v>12</v>
      </c>
      <c r="E7938" s="16">
        <f t="shared" ca="1" si="372"/>
        <v>0</v>
      </c>
    </row>
    <row r="7939" spans="1:5" x14ac:dyDescent="0.25">
      <c r="A7939" s="3">
        <f t="shared" si="373"/>
        <v>78989</v>
      </c>
      <c r="B7939" t="str">
        <f ca="1">TEXT(DATE(YEAR(Invoer!$A$5),1,1)+INT((ROWS(B$2:B7939)-1)/24),"""18""jjmmdd")</f>
        <v>18981127</v>
      </c>
      <c r="C7939" s="11" t="str">
        <f>INDEX(Data,2,2+MOD(ROWS(C$2:C7939)-1,24))</f>
        <v>18.00</v>
      </c>
      <c r="D7939" s="8">
        <f t="shared" ca="1" si="374"/>
        <v>10</v>
      </c>
      <c r="E7939" s="16">
        <f t="shared" ref="E7939:E8002" ca="1" si="375">IF(OR(ISBLANK(VLOOKUP(DATEVALUE("37"&amp;MID($B7939,3,2)&amp;"-"&amp;MID($B7939,5,2)&amp;"-"&amp;RIGHT($B7939,2)),Data,MATCH(LEFT(VLOOKUP(D$1,Parameters,2,FALSE()),4)&amp;"*",OFFSET(Data,0,0,1),0)+MATCH($C7939,OFFSET(Data,1,0,1),0)-2,FALSE())),ISTEXT(VLOOKUP(DATEVALUE("37"&amp;MID($B7939,3,2)&amp;"-"&amp;MID($B7939,5,2)&amp;"-"&amp;RIGHT($B7939,2)),Data,MATCH(LEFT(VLOOKUP(D$1,Parameters,2,FALSE()),4)&amp;"*",OFFSET(Data,0,0,1),0)+MATCH($C7939,OFFSET(Data,1,0,1),0)-2,FALSE()))),Lacking,IF(ISNA(MATCH(DATEVALUE("37"&amp;MID($B7939,3,2)&amp;"-"&amp;MID($B7939,5,2)&amp;"-"&amp;RIGHT($B7939,2)),OFFSET(Catalogus,0,0,,1),0)),Ok,VLOOKUP(DATEVALUE("37"&amp;MID($B7939,3,2)&amp;"-"&amp;MID($B7939,5,2)&amp;"-"&amp;RIGHT($B7939,2)),Catalogus,MATCH(LEFT(VLOOKUP(MID(E$1,2,LEN(E$1)-1),Parameters,2,FALSE()),4)&amp;"*",OFFSET(Catalogus,0,0,1),0)+MATCH($C7939,OFFSET(Catalogus,1,0,1),0)-2,FALSE())))</f>
        <v>0</v>
      </c>
    </row>
    <row r="7940" spans="1:5" x14ac:dyDescent="0.25">
      <c r="A7940" s="3">
        <f t="shared" si="373"/>
        <v>78989</v>
      </c>
      <c r="B7940" t="str">
        <f ca="1">TEXT(DATE(YEAR(Invoer!$A$5),1,1)+INT((ROWS(B$2:B7940)-1)/24),"""18""jjmmdd")</f>
        <v>18981127</v>
      </c>
      <c r="C7940" s="11" t="str">
        <f>INDEX(Data,2,2+MOD(ROWS(C$2:C7940)-1,24))</f>
        <v>19.00</v>
      </c>
      <c r="D7940" s="8">
        <f t="shared" ca="1" si="374"/>
        <v>9</v>
      </c>
      <c r="E7940" s="16">
        <f t="shared" ca="1" si="375"/>
        <v>0</v>
      </c>
    </row>
    <row r="7941" spans="1:5" x14ac:dyDescent="0.25">
      <c r="A7941" s="3">
        <f t="shared" si="373"/>
        <v>78989</v>
      </c>
      <c r="B7941" t="str">
        <f ca="1">TEXT(DATE(YEAR(Invoer!$A$5),1,1)+INT((ROWS(B$2:B7941)-1)/24),"""18""jjmmdd")</f>
        <v>18981127</v>
      </c>
      <c r="C7941" s="11" t="str">
        <f>INDEX(Data,2,2+MOD(ROWS(C$2:C7941)-1,24))</f>
        <v>20.00</v>
      </c>
      <c r="D7941" s="8">
        <f t="shared" ca="1" si="374"/>
        <v>10</v>
      </c>
      <c r="E7941" s="16">
        <f t="shared" ca="1" si="375"/>
        <v>0</v>
      </c>
    </row>
    <row r="7942" spans="1:5" x14ac:dyDescent="0.25">
      <c r="A7942" s="3">
        <f t="shared" si="373"/>
        <v>78989</v>
      </c>
      <c r="B7942" t="str">
        <f ca="1">TEXT(DATE(YEAR(Invoer!$A$5),1,1)+INT((ROWS(B$2:B7942)-1)/24),"""18""jjmmdd")</f>
        <v>18981127</v>
      </c>
      <c r="C7942" s="11" t="str">
        <f>INDEX(Data,2,2+MOD(ROWS(C$2:C7942)-1,24))</f>
        <v>21.00</v>
      </c>
      <c r="D7942" s="8">
        <f t="shared" ca="1" si="374"/>
        <v>10</v>
      </c>
      <c r="E7942" s="16">
        <f t="shared" ca="1" si="375"/>
        <v>0</v>
      </c>
    </row>
    <row r="7943" spans="1:5" x14ac:dyDescent="0.25">
      <c r="A7943" s="3">
        <f t="shared" si="373"/>
        <v>78989</v>
      </c>
      <c r="B7943" t="str">
        <f ca="1">TEXT(DATE(YEAR(Invoer!$A$5),1,1)+INT((ROWS(B$2:B7943)-1)/24),"""18""jjmmdd")</f>
        <v>18981127</v>
      </c>
      <c r="C7943" s="11" t="str">
        <f>INDEX(Data,2,2+MOD(ROWS(C$2:C7943)-1,24))</f>
        <v>22.00</v>
      </c>
      <c r="D7943" s="8">
        <f t="shared" ca="1" si="374"/>
        <v>8</v>
      </c>
      <c r="E7943" s="16">
        <f t="shared" ca="1" si="375"/>
        <v>0</v>
      </c>
    </row>
    <row r="7944" spans="1:5" x14ac:dyDescent="0.25">
      <c r="A7944" s="3">
        <f t="shared" si="373"/>
        <v>78989</v>
      </c>
      <c r="B7944" t="str">
        <f ca="1">TEXT(DATE(YEAR(Invoer!$A$5),1,1)+INT((ROWS(B$2:B7944)-1)/24),"""18""jjmmdd")</f>
        <v>18981127</v>
      </c>
      <c r="C7944" s="11" t="str">
        <f>INDEX(Data,2,2+MOD(ROWS(C$2:C7944)-1,24))</f>
        <v>23.00</v>
      </c>
      <c r="D7944" s="8">
        <f t="shared" ca="1" si="374"/>
        <v>8</v>
      </c>
      <c r="E7944" s="16">
        <f t="shared" ca="1" si="375"/>
        <v>0</v>
      </c>
    </row>
    <row r="7945" spans="1:5" x14ac:dyDescent="0.25">
      <c r="A7945" s="3">
        <f t="shared" si="373"/>
        <v>78989</v>
      </c>
      <c r="B7945" t="str">
        <f ca="1">TEXT(DATE(YEAR(Invoer!$A$5),1,1)+INT((ROWS(B$2:B7945)-1)/24),"""18""jjmmdd")</f>
        <v>18981127</v>
      </c>
      <c r="C7945" s="11" t="str">
        <f>INDEX(Data,2,2+MOD(ROWS(C$2:C7945)-1,24))</f>
        <v>24.00</v>
      </c>
      <c r="D7945" s="8">
        <f t="shared" ca="1" si="374"/>
        <v>8</v>
      </c>
      <c r="E7945" s="16">
        <f t="shared" ca="1" si="375"/>
        <v>0</v>
      </c>
    </row>
    <row r="7946" spans="1:5" x14ac:dyDescent="0.25">
      <c r="A7946" s="3">
        <f t="shared" si="373"/>
        <v>78989</v>
      </c>
      <c r="B7946" t="str">
        <f ca="1">TEXT(DATE(YEAR(Invoer!$A$5),1,1)+INT((ROWS(B$2:B7946)-1)/24),"""18""jjmmdd")</f>
        <v>18981128</v>
      </c>
      <c r="C7946" s="11" t="str">
        <f>INDEX(Data,2,2+MOD(ROWS(C$2:C7946)-1,24))</f>
        <v>01.00</v>
      </c>
      <c r="D7946" s="8">
        <f t="shared" ca="1" si="374"/>
        <v>7</v>
      </c>
      <c r="E7946" s="16">
        <f t="shared" ca="1" si="375"/>
        <v>0</v>
      </c>
    </row>
    <row r="7947" spans="1:5" x14ac:dyDescent="0.25">
      <c r="A7947" s="3">
        <f t="shared" si="373"/>
        <v>78989</v>
      </c>
      <c r="B7947" t="str">
        <f ca="1">TEXT(DATE(YEAR(Invoer!$A$5),1,1)+INT((ROWS(B$2:B7947)-1)/24),"""18""jjmmdd")</f>
        <v>18981128</v>
      </c>
      <c r="C7947" s="11" t="str">
        <f>INDEX(Data,2,2+MOD(ROWS(C$2:C7947)-1,24))</f>
        <v>02.00</v>
      </c>
      <c r="D7947" s="8">
        <f t="shared" ca="1" si="374"/>
        <v>7</v>
      </c>
      <c r="E7947" s="16">
        <f t="shared" ca="1" si="375"/>
        <v>0</v>
      </c>
    </row>
    <row r="7948" spans="1:5" x14ac:dyDescent="0.25">
      <c r="A7948" s="3">
        <f t="shared" si="373"/>
        <v>78989</v>
      </c>
      <c r="B7948" t="str">
        <f ca="1">TEXT(DATE(YEAR(Invoer!$A$5),1,1)+INT((ROWS(B$2:B7948)-1)/24),"""18""jjmmdd")</f>
        <v>18981128</v>
      </c>
      <c r="C7948" s="11" t="str">
        <f>INDEX(Data,2,2+MOD(ROWS(C$2:C7948)-1,24))</f>
        <v>03.00</v>
      </c>
      <c r="D7948" s="8">
        <f t="shared" ca="1" si="374"/>
        <v>6</v>
      </c>
      <c r="E7948" s="16">
        <f t="shared" ca="1" si="375"/>
        <v>0</v>
      </c>
    </row>
    <row r="7949" spans="1:5" x14ac:dyDescent="0.25">
      <c r="A7949" s="3">
        <f t="shared" si="373"/>
        <v>78989</v>
      </c>
      <c r="B7949" t="str">
        <f ca="1">TEXT(DATE(YEAR(Invoer!$A$5),1,1)+INT((ROWS(B$2:B7949)-1)/24),"""18""jjmmdd")</f>
        <v>18981128</v>
      </c>
      <c r="C7949" s="11" t="str">
        <f>INDEX(Data,2,2+MOD(ROWS(C$2:C7949)-1,24))</f>
        <v>04.00</v>
      </c>
      <c r="D7949" s="8">
        <f t="shared" ca="1" si="374"/>
        <v>7</v>
      </c>
      <c r="E7949" s="16">
        <f t="shared" ca="1" si="375"/>
        <v>0</v>
      </c>
    </row>
    <row r="7950" spans="1:5" x14ac:dyDescent="0.25">
      <c r="A7950" s="3">
        <f t="shared" si="373"/>
        <v>78989</v>
      </c>
      <c r="B7950" t="str">
        <f ca="1">TEXT(DATE(YEAR(Invoer!$A$5),1,1)+INT((ROWS(B$2:B7950)-1)/24),"""18""jjmmdd")</f>
        <v>18981128</v>
      </c>
      <c r="C7950" s="11" t="str">
        <f>INDEX(Data,2,2+MOD(ROWS(C$2:C7950)-1,24))</f>
        <v>05.00</v>
      </c>
      <c r="D7950" s="8">
        <f t="shared" ca="1" si="374"/>
        <v>5</v>
      </c>
      <c r="E7950" s="16">
        <f t="shared" ca="1" si="375"/>
        <v>0</v>
      </c>
    </row>
    <row r="7951" spans="1:5" x14ac:dyDescent="0.25">
      <c r="A7951" s="3">
        <f t="shared" si="373"/>
        <v>78989</v>
      </c>
      <c r="B7951" t="str">
        <f ca="1">TEXT(DATE(YEAR(Invoer!$A$5),1,1)+INT((ROWS(B$2:B7951)-1)/24),"""18""jjmmdd")</f>
        <v>18981128</v>
      </c>
      <c r="C7951" s="11" t="str">
        <f>INDEX(Data,2,2+MOD(ROWS(C$2:C7951)-1,24))</f>
        <v>06.00</v>
      </c>
      <c r="D7951" s="8">
        <f t="shared" ca="1" si="374"/>
        <v>7</v>
      </c>
      <c r="E7951" s="16">
        <f t="shared" ca="1" si="375"/>
        <v>0</v>
      </c>
    </row>
    <row r="7952" spans="1:5" x14ac:dyDescent="0.25">
      <c r="A7952" s="3">
        <f t="shared" si="373"/>
        <v>78989</v>
      </c>
      <c r="B7952" t="str">
        <f ca="1">TEXT(DATE(YEAR(Invoer!$A$5),1,1)+INT((ROWS(B$2:B7952)-1)/24),"""18""jjmmdd")</f>
        <v>18981128</v>
      </c>
      <c r="C7952" s="11" t="str">
        <f>INDEX(Data,2,2+MOD(ROWS(C$2:C7952)-1,24))</f>
        <v>07.00</v>
      </c>
      <c r="D7952" s="8">
        <f t="shared" ca="1" si="374"/>
        <v>7</v>
      </c>
      <c r="E7952" s="16">
        <f t="shared" ca="1" si="375"/>
        <v>0</v>
      </c>
    </row>
    <row r="7953" spans="1:5" x14ac:dyDescent="0.25">
      <c r="A7953" s="3">
        <f t="shared" si="373"/>
        <v>78989</v>
      </c>
      <c r="B7953" t="str">
        <f ca="1">TEXT(DATE(YEAR(Invoer!$A$5),1,1)+INT((ROWS(B$2:B7953)-1)/24),"""18""jjmmdd")</f>
        <v>18981128</v>
      </c>
      <c r="C7953" s="11" t="str">
        <f>INDEX(Data,2,2+MOD(ROWS(C$2:C7953)-1,24))</f>
        <v>08.00</v>
      </c>
      <c r="D7953" s="8">
        <f t="shared" ca="1" si="374"/>
        <v>11</v>
      </c>
      <c r="E7953" s="16">
        <f t="shared" ca="1" si="375"/>
        <v>0</v>
      </c>
    </row>
    <row r="7954" spans="1:5" x14ac:dyDescent="0.25">
      <c r="A7954" s="3">
        <f t="shared" si="373"/>
        <v>78989</v>
      </c>
      <c r="B7954" t="str">
        <f ca="1">TEXT(DATE(YEAR(Invoer!$A$5),1,1)+INT((ROWS(B$2:B7954)-1)/24),"""18""jjmmdd")</f>
        <v>18981128</v>
      </c>
      <c r="C7954" s="11" t="str">
        <f>INDEX(Data,2,2+MOD(ROWS(C$2:C7954)-1,24))</f>
        <v>09.00</v>
      </c>
      <c r="D7954" s="8">
        <f t="shared" ca="1" si="374"/>
        <v>13</v>
      </c>
      <c r="E7954" s="16">
        <f t="shared" ca="1" si="375"/>
        <v>0</v>
      </c>
    </row>
    <row r="7955" spans="1:5" x14ac:dyDescent="0.25">
      <c r="A7955" s="3">
        <f t="shared" si="373"/>
        <v>78989</v>
      </c>
      <c r="B7955" t="str">
        <f ca="1">TEXT(DATE(YEAR(Invoer!$A$5),1,1)+INT((ROWS(B$2:B7955)-1)/24),"""18""jjmmdd")</f>
        <v>18981128</v>
      </c>
      <c r="C7955" s="11" t="str">
        <f>INDEX(Data,2,2+MOD(ROWS(C$2:C7955)-1,24))</f>
        <v>10.00</v>
      </c>
      <c r="D7955" s="8">
        <f t="shared" ca="1" si="374"/>
        <v>12</v>
      </c>
      <c r="E7955" s="16">
        <f t="shared" ca="1" si="375"/>
        <v>0</v>
      </c>
    </row>
    <row r="7956" spans="1:5" x14ac:dyDescent="0.25">
      <c r="A7956" s="3">
        <f t="shared" si="373"/>
        <v>78989</v>
      </c>
      <c r="B7956" t="str">
        <f ca="1">TEXT(DATE(YEAR(Invoer!$A$5),1,1)+INT((ROWS(B$2:B7956)-1)/24),"""18""jjmmdd")</f>
        <v>18981128</v>
      </c>
      <c r="C7956" s="11" t="str">
        <f>INDEX(Data,2,2+MOD(ROWS(C$2:C7956)-1,24))</f>
        <v>11.00</v>
      </c>
      <c r="D7956" s="8">
        <f t="shared" ca="1" si="374"/>
        <v>12</v>
      </c>
      <c r="E7956" s="16">
        <f t="shared" ca="1" si="375"/>
        <v>0</v>
      </c>
    </row>
    <row r="7957" spans="1:5" x14ac:dyDescent="0.25">
      <c r="A7957" s="3">
        <f t="shared" si="373"/>
        <v>78989</v>
      </c>
      <c r="B7957" t="str">
        <f ca="1">TEXT(DATE(YEAR(Invoer!$A$5),1,1)+INT((ROWS(B$2:B7957)-1)/24),"""18""jjmmdd")</f>
        <v>18981128</v>
      </c>
      <c r="C7957" s="11" t="str">
        <f>INDEX(Data,2,2+MOD(ROWS(C$2:C7957)-1,24))</f>
        <v>12.00</v>
      </c>
      <c r="D7957" s="8">
        <f t="shared" ca="1" si="374"/>
        <v>13</v>
      </c>
      <c r="E7957" s="16">
        <f t="shared" ca="1" si="375"/>
        <v>0</v>
      </c>
    </row>
    <row r="7958" spans="1:5" x14ac:dyDescent="0.25">
      <c r="A7958" s="3">
        <f t="shared" si="373"/>
        <v>78989</v>
      </c>
      <c r="B7958" t="str">
        <f ca="1">TEXT(DATE(YEAR(Invoer!$A$5),1,1)+INT((ROWS(B$2:B7958)-1)/24),"""18""jjmmdd")</f>
        <v>18981128</v>
      </c>
      <c r="C7958" s="11" t="str">
        <f>INDEX(Data,2,2+MOD(ROWS(C$2:C7958)-1,24))</f>
        <v>13.00</v>
      </c>
      <c r="D7958" s="8">
        <f t="shared" ca="1" si="374"/>
        <v>13</v>
      </c>
      <c r="E7958" s="16">
        <f t="shared" ca="1" si="375"/>
        <v>0</v>
      </c>
    </row>
    <row r="7959" spans="1:5" x14ac:dyDescent="0.25">
      <c r="A7959" s="3">
        <f t="shared" si="373"/>
        <v>78989</v>
      </c>
      <c r="B7959" t="str">
        <f ca="1">TEXT(DATE(YEAR(Invoer!$A$5),1,1)+INT((ROWS(B$2:B7959)-1)/24),"""18""jjmmdd")</f>
        <v>18981128</v>
      </c>
      <c r="C7959" s="11" t="str">
        <f>INDEX(Data,2,2+MOD(ROWS(C$2:C7959)-1,24))</f>
        <v>14.00</v>
      </c>
      <c r="D7959" s="8">
        <f t="shared" ca="1" si="374"/>
        <v>13</v>
      </c>
      <c r="E7959" s="16">
        <f t="shared" ca="1" si="375"/>
        <v>0</v>
      </c>
    </row>
    <row r="7960" spans="1:5" x14ac:dyDescent="0.25">
      <c r="A7960" s="3">
        <f t="shared" si="373"/>
        <v>78989</v>
      </c>
      <c r="B7960" t="str">
        <f ca="1">TEXT(DATE(YEAR(Invoer!$A$5),1,1)+INT((ROWS(B$2:B7960)-1)/24),"""18""jjmmdd")</f>
        <v>18981128</v>
      </c>
      <c r="C7960" s="11" t="str">
        <f>INDEX(Data,2,2+MOD(ROWS(C$2:C7960)-1,24))</f>
        <v>15.00</v>
      </c>
      <c r="D7960" s="8">
        <f t="shared" ca="1" si="374"/>
        <v>11</v>
      </c>
      <c r="E7960" s="16">
        <f t="shared" ca="1" si="375"/>
        <v>0</v>
      </c>
    </row>
    <row r="7961" spans="1:5" x14ac:dyDescent="0.25">
      <c r="A7961" s="3">
        <f t="shared" si="373"/>
        <v>78989</v>
      </c>
      <c r="B7961" t="str">
        <f ca="1">TEXT(DATE(YEAR(Invoer!$A$5),1,1)+INT((ROWS(B$2:B7961)-1)/24),"""18""jjmmdd")</f>
        <v>18981128</v>
      </c>
      <c r="C7961" s="11" t="str">
        <f>INDEX(Data,2,2+MOD(ROWS(C$2:C7961)-1,24))</f>
        <v>16.00</v>
      </c>
      <c r="D7961" s="8">
        <f t="shared" ca="1" si="374"/>
        <v>10</v>
      </c>
      <c r="E7961" s="16">
        <f t="shared" ca="1" si="375"/>
        <v>0</v>
      </c>
    </row>
    <row r="7962" spans="1:5" x14ac:dyDescent="0.25">
      <c r="A7962" s="3">
        <f t="shared" si="373"/>
        <v>78989</v>
      </c>
      <c r="B7962" t="str">
        <f ca="1">TEXT(DATE(YEAR(Invoer!$A$5),1,1)+INT((ROWS(B$2:B7962)-1)/24),"""18""jjmmdd")</f>
        <v>18981128</v>
      </c>
      <c r="C7962" s="11" t="str">
        <f>INDEX(Data,2,2+MOD(ROWS(C$2:C7962)-1,24))</f>
        <v>17.00</v>
      </c>
      <c r="D7962" s="8">
        <f t="shared" ca="1" si="374"/>
        <v>9</v>
      </c>
      <c r="E7962" s="16">
        <f t="shared" ca="1" si="375"/>
        <v>0</v>
      </c>
    </row>
    <row r="7963" spans="1:5" x14ac:dyDescent="0.25">
      <c r="A7963" s="3">
        <f t="shared" si="373"/>
        <v>78989</v>
      </c>
      <c r="B7963" t="str">
        <f ca="1">TEXT(DATE(YEAR(Invoer!$A$5),1,1)+INT((ROWS(B$2:B7963)-1)/24),"""18""jjmmdd")</f>
        <v>18981128</v>
      </c>
      <c r="C7963" s="11" t="str">
        <f>INDEX(Data,2,2+MOD(ROWS(C$2:C7963)-1,24))</f>
        <v>18.00</v>
      </c>
      <c r="D7963" s="8">
        <f t="shared" ca="1" si="374"/>
        <v>7</v>
      </c>
      <c r="E7963" s="16">
        <f t="shared" ca="1" si="375"/>
        <v>0</v>
      </c>
    </row>
    <row r="7964" spans="1:5" x14ac:dyDescent="0.25">
      <c r="A7964" s="3">
        <f t="shared" si="373"/>
        <v>78989</v>
      </c>
      <c r="B7964" t="str">
        <f ca="1">TEXT(DATE(YEAR(Invoer!$A$5),1,1)+INT((ROWS(B$2:B7964)-1)/24),"""18""jjmmdd")</f>
        <v>18981128</v>
      </c>
      <c r="C7964" s="11" t="str">
        <f>INDEX(Data,2,2+MOD(ROWS(C$2:C7964)-1,24))</f>
        <v>19.00</v>
      </c>
      <c r="D7964" s="8">
        <f t="shared" ca="1" si="374"/>
        <v>6</v>
      </c>
      <c r="E7964" s="16">
        <f t="shared" ca="1" si="375"/>
        <v>0</v>
      </c>
    </row>
    <row r="7965" spans="1:5" x14ac:dyDescent="0.25">
      <c r="A7965" s="3">
        <f t="shared" si="373"/>
        <v>78989</v>
      </c>
      <c r="B7965" t="str">
        <f ca="1">TEXT(DATE(YEAR(Invoer!$A$5),1,1)+INT((ROWS(B$2:B7965)-1)/24),"""18""jjmmdd")</f>
        <v>18981128</v>
      </c>
      <c r="C7965" s="11" t="str">
        <f>INDEX(Data,2,2+MOD(ROWS(C$2:C7965)-1,24))</f>
        <v>20.00</v>
      </c>
      <c r="D7965" s="8">
        <f t="shared" ca="1" si="374"/>
        <v>8</v>
      </c>
      <c r="E7965" s="16">
        <f t="shared" ca="1" si="375"/>
        <v>0</v>
      </c>
    </row>
    <row r="7966" spans="1:5" x14ac:dyDescent="0.25">
      <c r="A7966" s="3">
        <f t="shared" si="373"/>
        <v>78989</v>
      </c>
      <c r="B7966" t="str">
        <f ca="1">TEXT(DATE(YEAR(Invoer!$A$5),1,1)+INT((ROWS(B$2:B7966)-1)/24),"""18""jjmmdd")</f>
        <v>18981128</v>
      </c>
      <c r="C7966" s="11" t="str">
        <f>INDEX(Data,2,2+MOD(ROWS(C$2:C7966)-1,24))</f>
        <v>21.00</v>
      </c>
      <c r="D7966" s="8">
        <f t="shared" ca="1" si="374"/>
        <v>8</v>
      </c>
      <c r="E7966" s="16">
        <f t="shared" ca="1" si="375"/>
        <v>0</v>
      </c>
    </row>
    <row r="7967" spans="1:5" x14ac:dyDescent="0.25">
      <c r="A7967" s="3">
        <f t="shared" si="373"/>
        <v>78989</v>
      </c>
      <c r="B7967" t="str">
        <f ca="1">TEXT(DATE(YEAR(Invoer!$A$5),1,1)+INT((ROWS(B$2:B7967)-1)/24),"""18""jjmmdd")</f>
        <v>18981128</v>
      </c>
      <c r="C7967" s="11" t="str">
        <f>INDEX(Data,2,2+MOD(ROWS(C$2:C7967)-1,24))</f>
        <v>22.00</v>
      </c>
      <c r="D7967" s="8">
        <f t="shared" ca="1" si="374"/>
        <v>8</v>
      </c>
      <c r="E7967" s="16">
        <f t="shared" ca="1" si="375"/>
        <v>0</v>
      </c>
    </row>
    <row r="7968" spans="1:5" x14ac:dyDescent="0.25">
      <c r="A7968" s="3">
        <f t="shared" si="373"/>
        <v>78989</v>
      </c>
      <c r="B7968" t="str">
        <f ca="1">TEXT(DATE(YEAR(Invoer!$A$5),1,1)+INT((ROWS(B$2:B7968)-1)/24),"""18""jjmmdd")</f>
        <v>18981128</v>
      </c>
      <c r="C7968" s="11" t="str">
        <f>INDEX(Data,2,2+MOD(ROWS(C$2:C7968)-1,24))</f>
        <v>23.00</v>
      </c>
      <c r="D7968" s="8">
        <f t="shared" ca="1" si="374"/>
        <v>8</v>
      </c>
      <c r="E7968" s="16">
        <f t="shared" ca="1" si="375"/>
        <v>0</v>
      </c>
    </row>
    <row r="7969" spans="1:5" x14ac:dyDescent="0.25">
      <c r="A7969" s="3">
        <f t="shared" si="373"/>
        <v>78989</v>
      </c>
      <c r="B7969" t="str">
        <f ca="1">TEXT(DATE(YEAR(Invoer!$A$5),1,1)+INT((ROWS(B$2:B7969)-1)/24),"""18""jjmmdd")</f>
        <v>18981128</v>
      </c>
      <c r="C7969" s="11" t="str">
        <f>INDEX(Data,2,2+MOD(ROWS(C$2:C7969)-1,24))</f>
        <v>24.00</v>
      </c>
      <c r="D7969" s="8">
        <f t="shared" ca="1" si="374"/>
        <v>7</v>
      </c>
      <c r="E7969" s="16">
        <f t="shared" ca="1" si="375"/>
        <v>0</v>
      </c>
    </row>
    <row r="7970" spans="1:5" x14ac:dyDescent="0.25">
      <c r="A7970" s="3">
        <f t="shared" si="373"/>
        <v>78989</v>
      </c>
      <c r="B7970" t="str">
        <f ca="1">TEXT(DATE(YEAR(Invoer!$A$5),1,1)+INT((ROWS(B$2:B7970)-1)/24),"""18""jjmmdd")</f>
        <v>18981129</v>
      </c>
      <c r="C7970" s="11" t="str">
        <f>INDEX(Data,2,2+MOD(ROWS(C$2:C7970)-1,24))</f>
        <v>01.00</v>
      </c>
      <c r="D7970" s="8">
        <f t="shared" ca="1" si="374"/>
        <v>6</v>
      </c>
      <c r="E7970" s="16">
        <f t="shared" ca="1" si="375"/>
        <v>0</v>
      </c>
    </row>
    <row r="7971" spans="1:5" x14ac:dyDescent="0.25">
      <c r="A7971" s="3">
        <f t="shared" si="373"/>
        <v>78989</v>
      </c>
      <c r="B7971" t="str">
        <f ca="1">TEXT(DATE(YEAR(Invoer!$A$5),1,1)+INT((ROWS(B$2:B7971)-1)/24),"""18""jjmmdd")</f>
        <v>18981129</v>
      </c>
      <c r="C7971" s="11" t="str">
        <f>INDEX(Data,2,2+MOD(ROWS(C$2:C7971)-1,24))</f>
        <v>02.00</v>
      </c>
      <c r="D7971" s="8">
        <f t="shared" ca="1" si="374"/>
        <v>5</v>
      </c>
      <c r="E7971" s="16">
        <f t="shared" ca="1" si="375"/>
        <v>0</v>
      </c>
    </row>
    <row r="7972" spans="1:5" x14ac:dyDescent="0.25">
      <c r="A7972" s="3">
        <f t="shared" si="373"/>
        <v>78989</v>
      </c>
      <c r="B7972" t="str">
        <f ca="1">TEXT(DATE(YEAR(Invoer!$A$5),1,1)+INT((ROWS(B$2:B7972)-1)/24),"""18""jjmmdd")</f>
        <v>18981129</v>
      </c>
      <c r="C7972" s="11" t="str">
        <f>INDEX(Data,2,2+MOD(ROWS(C$2:C7972)-1,24))</f>
        <v>03.00</v>
      </c>
      <c r="D7972" s="8">
        <f t="shared" ca="1" si="374"/>
        <v>6</v>
      </c>
      <c r="E7972" s="16">
        <f t="shared" ca="1" si="375"/>
        <v>0</v>
      </c>
    </row>
    <row r="7973" spans="1:5" x14ac:dyDescent="0.25">
      <c r="A7973" s="3">
        <f t="shared" si="373"/>
        <v>78989</v>
      </c>
      <c r="B7973" t="str">
        <f ca="1">TEXT(DATE(YEAR(Invoer!$A$5),1,1)+INT((ROWS(B$2:B7973)-1)/24),"""18""jjmmdd")</f>
        <v>18981129</v>
      </c>
      <c r="C7973" s="11" t="str">
        <f>INDEX(Data,2,2+MOD(ROWS(C$2:C7973)-1,24))</f>
        <v>04.00</v>
      </c>
      <c r="D7973" s="8">
        <f t="shared" ca="1" si="374"/>
        <v>5</v>
      </c>
      <c r="E7973" s="16">
        <f t="shared" ca="1" si="375"/>
        <v>0</v>
      </c>
    </row>
    <row r="7974" spans="1:5" x14ac:dyDescent="0.25">
      <c r="A7974" s="3">
        <f t="shared" si="373"/>
        <v>78989</v>
      </c>
      <c r="B7974" t="str">
        <f ca="1">TEXT(DATE(YEAR(Invoer!$A$5),1,1)+INT((ROWS(B$2:B7974)-1)/24),"""18""jjmmdd")</f>
        <v>18981129</v>
      </c>
      <c r="C7974" s="11" t="str">
        <f>INDEX(Data,2,2+MOD(ROWS(C$2:C7974)-1,24))</f>
        <v>05.00</v>
      </c>
      <c r="D7974" s="8">
        <f t="shared" ca="1" si="374"/>
        <v>5</v>
      </c>
      <c r="E7974" s="16">
        <f t="shared" ca="1" si="375"/>
        <v>0</v>
      </c>
    </row>
    <row r="7975" spans="1:5" x14ac:dyDescent="0.25">
      <c r="A7975" s="3">
        <f t="shared" si="373"/>
        <v>78989</v>
      </c>
      <c r="B7975" t="str">
        <f ca="1">TEXT(DATE(YEAR(Invoer!$A$5),1,1)+INT((ROWS(B$2:B7975)-1)/24),"""18""jjmmdd")</f>
        <v>18981129</v>
      </c>
      <c r="C7975" s="11" t="str">
        <f>INDEX(Data,2,2+MOD(ROWS(C$2:C7975)-1,24))</f>
        <v>06.00</v>
      </c>
      <c r="D7975" s="8">
        <f t="shared" ca="1" si="374"/>
        <v>6</v>
      </c>
      <c r="E7975" s="16">
        <f t="shared" ca="1" si="375"/>
        <v>0</v>
      </c>
    </row>
    <row r="7976" spans="1:5" x14ac:dyDescent="0.25">
      <c r="A7976" s="3">
        <f t="shared" si="373"/>
        <v>78989</v>
      </c>
      <c r="B7976" t="str">
        <f ca="1">TEXT(DATE(YEAR(Invoer!$A$5),1,1)+INT((ROWS(B$2:B7976)-1)/24),"""18""jjmmdd")</f>
        <v>18981129</v>
      </c>
      <c r="C7976" s="11" t="str">
        <f>INDEX(Data,2,2+MOD(ROWS(C$2:C7976)-1,24))</f>
        <v>07.00</v>
      </c>
      <c r="D7976" s="8">
        <f t="shared" ca="1" si="374"/>
        <v>4</v>
      </c>
      <c r="E7976" s="16">
        <f t="shared" ca="1" si="375"/>
        <v>0</v>
      </c>
    </row>
    <row r="7977" spans="1:5" x14ac:dyDescent="0.25">
      <c r="A7977" s="3">
        <f t="shared" si="373"/>
        <v>78989</v>
      </c>
      <c r="B7977" t="str">
        <f ca="1">TEXT(DATE(YEAR(Invoer!$A$5),1,1)+INT((ROWS(B$2:B7977)-1)/24),"""18""jjmmdd")</f>
        <v>18981129</v>
      </c>
      <c r="C7977" s="11" t="str">
        <f>INDEX(Data,2,2+MOD(ROWS(C$2:C7977)-1,24))</f>
        <v>08.00</v>
      </c>
      <c r="D7977" s="8">
        <f t="shared" ca="1" si="374"/>
        <v>9</v>
      </c>
      <c r="E7977" s="16">
        <f t="shared" ca="1" si="375"/>
        <v>0</v>
      </c>
    </row>
    <row r="7978" spans="1:5" x14ac:dyDescent="0.25">
      <c r="A7978" s="3">
        <f t="shared" si="373"/>
        <v>78989</v>
      </c>
      <c r="B7978" t="str">
        <f ca="1">TEXT(DATE(YEAR(Invoer!$A$5),1,1)+INT((ROWS(B$2:B7978)-1)/24),"""18""jjmmdd")</f>
        <v>18981129</v>
      </c>
      <c r="C7978" s="11" t="str">
        <f>INDEX(Data,2,2+MOD(ROWS(C$2:C7978)-1,24))</f>
        <v>09.00</v>
      </c>
      <c r="D7978" s="8">
        <f t="shared" ca="1" si="374"/>
        <v>13</v>
      </c>
      <c r="E7978" s="16">
        <f t="shared" ca="1" si="375"/>
        <v>0</v>
      </c>
    </row>
    <row r="7979" spans="1:5" x14ac:dyDescent="0.25">
      <c r="A7979" s="3">
        <f t="shared" si="373"/>
        <v>78989</v>
      </c>
      <c r="B7979" t="str">
        <f ca="1">TEXT(DATE(YEAR(Invoer!$A$5),1,1)+INT((ROWS(B$2:B7979)-1)/24),"""18""jjmmdd")</f>
        <v>18981129</v>
      </c>
      <c r="C7979" s="11" t="str">
        <f>INDEX(Data,2,2+MOD(ROWS(C$2:C7979)-1,24))</f>
        <v>10.00</v>
      </c>
      <c r="D7979" s="8">
        <f t="shared" ca="1" si="374"/>
        <v>12</v>
      </c>
      <c r="E7979" s="16">
        <f t="shared" ca="1" si="375"/>
        <v>0</v>
      </c>
    </row>
    <row r="7980" spans="1:5" x14ac:dyDescent="0.25">
      <c r="A7980" s="3">
        <f t="shared" si="373"/>
        <v>78989</v>
      </c>
      <c r="B7980" t="str">
        <f ca="1">TEXT(DATE(YEAR(Invoer!$A$5),1,1)+INT((ROWS(B$2:B7980)-1)/24),"""18""jjmmdd")</f>
        <v>18981129</v>
      </c>
      <c r="C7980" s="11" t="str">
        <f>INDEX(Data,2,2+MOD(ROWS(C$2:C7980)-1,24))</f>
        <v>11.00</v>
      </c>
      <c r="D7980" s="8">
        <f t="shared" ca="1" si="374"/>
        <v>11</v>
      </c>
      <c r="E7980" s="16">
        <f t="shared" ca="1" si="375"/>
        <v>0</v>
      </c>
    </row>
    <row r="7981" spans="1:5" x14ac:dyDescent="0.25">
      <c r="A7981" s="3">
        <f t="shared" si="373"/>
        <v>78989</v>
      </c>
      <c r="B7981" t="str">
        <f ca="1">TEXT(DATE(YEAR(Invoer!$A$5),1,1)+INT((ROWS(B$2:B7981)-1)/24),"""18""jjmmdd")</f>
        <v>18981129</v>
      </c>
      <c r="C7981" s="11" t="str">
        <f>INDEX(Data,2,2+MOD(ROWS(C$2:C7981)-1,24))</f>
        <v>12.00</v>
      </c>
      <c r="D7981" s="8">
        <f t="shared" ca="1" si="374"/>
        <v>12</v>
      </c>
      <c r="E7981" s="16">
        <f t="shared" ca="1" si="375"/>
        <v>0</v>
      </c>
    </row>
    <row r="7982" spans="1:5" x14ac:dyDescent="0.25">
      <c r="A7982" s="3">
        <f t="shared" si="373"/>
        <v>78989</v>
      </c>
      <c r="B7982" t="str">
        <f ca="1">TEXT(DATE(YEAR(Invoer!$A$5),1,1)+INT((ROWS(B$2:B7982)-1)/24),"""18""jjmmdd")</f>
        <v>18981129</v>
      </c>
      <c r="C7982" s="11" t="str">
        <f>INDEX(Data,2,2+MOD(ROWS(C$2:C7982)-1,24))</f>
        <v>13.00</v>
      </c>
      <c r="D7982" s="8">
        <f t="shared" ca="1" si="374"/>
        <v>12</v>
      </c>
      <c r="E7982" s="16">
        <f t="shared" ca="1" si="375"/>
        <v>0</v>
      </c>
    </row>
    <row r="7983" spans="1:5" x14ac:dyDescent="0.25">
      <c r="A7983" s="3">
        <f t="shared" si="373"/>
        <v>78989</v>
      </c>
      <c r="B7983" t="str">
        <f ca="1">TEXT(DATE(YEAR(Invoer!$A$5),1,1)+INT((ROWS(B$2:B7983)-1)/24),"""18""jjmmdd")</f>
        <v>18981129</v>
      </c>
      <c r="C7983" s="11" t="str">
        <f>INDEX(Data,2,2+MOD(ROWS(C$2:C7983)-1,24))</f>
        <v>14.00</v>
      </c>
      <c r="D7983" s="8">
        <f t="shared" ca="1" si="374"/>
        <v>12</v>
      </c>
      <c r="E7983" s="16">
        <f t="shared" ca="1" si="375"/>
        <v>0</v>
      </c>
    </row>
    <row r="7984" spans="1:5" x14ac:dyDescent="0.25">
      <c r="A7984" s="3">
        <f t="shared" si="373"/>
        <v>78989</v>
      </c>
      <c r="B7984" t="str">
        <f ca="1">TEXT(DATE(YEAR(Invoer!$A$5),1,1)+INT((ROWS(B$2:B7984)-1)/24),"""18""jjmmdd")</f>
        <v>18981129</v>
      </c>
      <c r="C7984" s="11" t="str">
        <f>INDEX(Data,2,2+MOD(ROWS(C$2:C7984)-1,24))</f>
        <v>15.00</v>
      </c>
      <c r="D7984" s="8">
        <f t="shared" ca="1" si="374"/>
        <v>13</v>
      </c>
      <c r="E7984" s="16">
        <f t="shared" ca="1" si="375"/>
        <v>0</v>
      </c>
    </row>
    <row r="7985" spans="1:5" x14ac:dyDescent="0.25">
      <c r="A7985" s="3">
        <f t="shared" si="373"/>
        <v>78989</v>
      </c>
      <c r="B7985" t="str">
        <f ca="1">TEXT(DATE(YEAR(Invoer!$A$5),1,1)+INT((ROWS(B$2:B7985)-1)/24),"""18""jjmmdd")</f>
        <v>18981129</v>
      </c>
      <c r="C7985" s="11" t="str">
        <f>INDEX(Data,2,2+MOD(ROWS(C$2:C7985)-1,24))</f>
        <v>16.00</v>
      </c>
      <c r="D7985" s="8">
        <f t="shared" ca="1" si="374"/>
        <v>14</v>
      </c>
      <c r="E7985" s="16">
        <f t="shared" ca="1" si="375"/>
        <v>0</v>
      </c>
    </row>
    <row r="7986" spans="1:5" x14ac:dyDescent="0.25">
      <c r="A7986" s="3">
        <f t="shared" si="373"/>
        <v>78989</v>
      </c>
      <c r="B7986" t="str">
        <f ca="1">TEXT(DATE(YEAR(Invoer!$A$5),1,1)+INT((ROWS(B$2:B7986)-1)/24),"""18""jjmmdd")</f>
        <v>18981129</v>
      </c>
      <c r="C7986" s="11" t="str">
        <f>INDEX(Data,2,2+MOD(ROWS(C$2:C7986)-1,24))</f>
        <v>17.00</v>
      </c>
      <c r="D7986" s="8">
        <f t="shared" ca="1" si="374"/>
        <v>13</v>
      </c>
      <c r="E7986" s="16">
        <f t="shared" ca="1" si="375"/>
        <v>0</v>
      </c>
    </row>
    <row r="7987" spans="1:5" x14ac:dyDescent="0.25">
      <c r="A7987" s="3">
        <f t="shared" si="373"/>
        <v>78989</v>
      </c>
      <c r="B7987" t="str">
        <f ca="1">TEXT(DATE(YEAR(Invoer!$A$5),1,1)+INT((ROWS(B$2:B7987)-1)/24),"""18""jjmmdd")</f>
        <v>18981129</v>
      </c>
      <c r="C7987" s="11" t="str">
        <f>INDEX(Data,2,2+MOD(ROWS(C$2:C7987)-1,24))</f>
        <v>18.00</v>
      </c>
      <c r="D7987" s="8">
        <f t="shared" ca="1" si="374"/>
        <v>11</v>
      </c>
      <c r="E7987" s="16">
        <f t="shared" ca="1" si="375"/>
        <v>0</v>
      </c>
    </row>
    <row r="7988" spans="1:5" x14ac:dyDescent="0.25">
      <c r="A7988" s="3">
        <f t="shared" si="373"/>
        <v>78989</v>
      </c>
      <c r="B7988" t="str">
        <f ca="1">TEXT(DATE(YEAR(Invoer!$A$5),1,1)+INT((ROWS(B$2:B7988)-1)/24),"""18""jjmmdd")</f>
        <v>18981129</v>
      </c>
      <c r="C7988" s="11" t="str">
        <f>INDEX(Data,2,2+MOD(ROWS(C$2:C7988)-1,24))</f>
        <v>19.00</v>
      </c>
      <c r="D7988" s="8">
        <f t="shared" ca="1" si="374"/>
        <v>12</v>
      </c>
      <c r="E7988" s="16">
        <f t="shared" ca="1" si="375"/>
        <v>0</v>
      </c>
    </row>
    <row r="7989" spans="1:5" x14ac:dyDescent="0.25">
      <c r="A7989" s="3">
        <f t="shared" si="373"/>
        <v>78989</v>
      </c>
      <c r="B7989" t="str">
        <f ca="1">TEXT(DATE(YEAR(Invoer!$A$5),1,1)+INT((ROWS(B$2:B7989)-1)/24),"""18""jjmmdd")</f>
        <v>18981129</v>
      </c>
      <c r="C7989" s="11" t="str">
        <f>INDEX(Data,2,2+MOD(ROWS(C$2:C7989)-1,24))</f>
        <v>20.00</v>
      </c>
      <c r="D7989" s="8">
        <f t="shared" ca="1" si="374"/>
        <v>12</v>
      </c>
      <c r="E7989" s="16">
        <f t="shared" ca="1" si="375"/>
        <v>0</v>
      </c>
    </row>
    <row r="7990" spans="1:5" x14ac:dyDescent="0.25">
      <c r="A7990" s="3">
        <f t="shared" si="373"/>
        <v>78989</v>
      </c>
      <c r="B7990" t="str">
        <f ca="1">TEXT(DATE(YEAR(Invoer!$A$5),1,1)+INT((ROWS(B$2:B7990)-1)/24),"""18""jjmmdd")</f>
        <v>18981129</v>
      </c>
      <c r="C7990" s="11" t="str">
        <f>INDEX(Data,2,2+MOD(ROWS(C$2:C7990)-1,24))</f>
        <v>21.00</v>
      </c>
      <c r="D7990" s="8">
        <f t="shared" ca="1" si="374"/>
        <v>12</v>
      </c>
      <c r="E7990" s="16">
        <f t="shared" ca="1" si="375"/>
        <v>0</v>
      </c>
    </row>
    <row r="7991" spans="1:5" x14ac:dyDescent="0.25">
      <c r="A7991" s="3">
        <f t="shared" si="373"/>
        <v>78989</v>
      </c>
      <c r="B7991" t="str">
        <f ca="1">TEXT(DATE(YEAR(Invoer!$A$5),1,1)+INT((ROWS(B$2:B7991)-1)/24),"""18""jjmmdd")</f>
        <v>18981129</v>
      </c>
      <c r="C7991" s="11" t="str">
        <f>INDEX(Data,2,2+MOD(ROWS(C$2:C7991)-1,24))</f>
        <v>22.00</v>
      </c>
      <c r="D7991" s="8">
        <f t="shared" ca="1" si="374"/>
        <v>11</v>
      </c>
      <c r="E7991" s="16">
        <f t="shared" ca="1" si="375"/>
        <v>0</v>
      </c>
    </row>
    <row r="7992" spans="1:5" x14ac:dyDescent="0.25">
      <c r="A7992" s="3">
        <f t="shared" si="373"/>
        <v>78989</v>
      </c>
      <c r="B7992" t="str">
        <f ca="1">TEXT(DATE(YEAR(Invoer!$A$5),1,1)+INT((ROWS(B$2:B7992)-1)/24),"""18""jjmmdd")</f>
        <v>18981129</v>
      </c>
      <c r="C7992" s="11" t="str">
        <f>INDEX(Data,2,2+MOD(ROWS(C$2:C7992)-1,24))</f>
        <v>23.00</v>
      </c>
      <c r="D7992" s="8">
        <f t="shared" ca="1" si="374"/>
        <v>11</v>
      </c>
      <c r="E7992" s="16">
        <f t="shared" ca="1" si="375"/>
        <v>0</v>
      </c>
    </row>
    <row r="7993" spans="1:5" x14ac:dyDescent="0.25">
      <c r="A7993" s="3">
        <f t="shared" si="373"/>
        <v>78989</v>
      </c>
      <c r="B7993" t="str">
        <f ca="1">TEXT(DATE(YEAR(Invoer!$A$5),1,1)+INT((ROWS(B$2:B7993)-1)/24),"""18""jjmmdd")</f>
        <v>18981129</v>
      </c>
      <c r="C7993" s="11" t="str">
        <f>INDEX(Data,2,2+MOD(ROWS(C$2:C7993)-1,24))</f>
        <v>24.00</v>
      </c>
      <c r="D7993" s="8">
        <f t="shared" ca="1" si="374"/>
        <v>10</v>
      </c>
      <c r="E7993" s="16">
        <f t="shared" ca="1" si="375"/>
        <v>0</v>
      </c>
    </row>
    <row r="7994" spans="1:5" x14ac:dyDescent="0.25">
      <c r="A7994" s="3">
        <f t="shared" si="373"/>
        <v>78989</v>
      </c>
      <c r="B7994" t="str">
        <f ca="1">TEXT(DATE(YEAR(Invoer!$A$5),1,1)+INT((ROWS(B$2:B7994)-1)/24),"""18""jjmmdd")</f>
        <v>18981130</v>
      </c>
      <c r="C7994" s="11" t="str">
        <f>INDEX(Data,2,2+MOD(ROWS(C$2:C7994)-1,24))</f>
        <v>01.00</v>
      </c>
      <c r="D7994" s="8">
        <f t="shared" ca="1" si="374"/>
        <v>10</v>
      </c>
      <c r="E7994" s="16">
        <f t="shared" ca="1" si="375"/>
        <v>0</v>
      </c>
    </row>
    <row r="7995" spans="1:5" x14ac:dyDescent="0.25">
      <c r="A7995" s="3">
        <f t="shared" si="373"/>
        <v>78989</v>
      </c>
      <c r="B7995" t="str">
        <f ca="1">TEXT(DATE(YEAR(Invoer!$A$5),1,1)+INT((ROWS(B$2:B7995)-1)/24),"""18""jjmmdd")</f>
        <v>18981130</v>
      </c>
      <c r="C7995" s="11" t="str">
        <f>INDEX(Data,2,2+MOD(ROWS(C$2:C7995)-1,24))</f>
        <v>02.00</v>
      </c>
      <c r="D7995" s="8">
        <f t="shared" ca="1" si="374"/>
        <v>11</v>
      </c>
      <c r="E7995" s="16">
        <f t="shared" ca="1" si="375"/>
        <v>0</v>
      </c>
    </row>
    <row r="7996" spans="1:5" x14ac:dyDescent="0.25">
      <c r="A7996" s="3">
        <f t="shared" si="373"/>
        <v>78989</v>
      </c>
      <c r="B7996" t="str">
        <f ca="1">TEXT(DATE(YEAR(Invoer!$A$5),1,1)+INT((ROWS(B$2:B7996)-1)/24),"""18""jjmmdd")</f>
        <v>18981130</v>
      </c>
      <c r="C7996" s="11" t="str">
        <f>INDEX(Data,2,2+MOD(ROWS(C$2:C7996)-1,24))</f>
        <v>03.00</v>
      </c>
      <c r="D7996" s="8">
        <f t="shared" ca="1" si="374"/>
        <v>8</v>
      </c>
      <c r="E7996" s="16">
        <f t="shared" ca="1" si="375"/>
        <v>0</v>
      </c>
    </row>
    <row r="7997" spans="1:5" x14ac:dyDescent="0.25">
      <c r="A7997" s="3">
        <f t="shared" si="373"/>
        <v>78989</v>
      </c>
      <c r="B7997" t="str">
        <f ca="1">TEXT(DATE(YEAR(Invoer!$A$5),1,1)+INT((ROWS(B$2:B7997)-1)/24),"""18""jjmmdd")</f>
        <v>18981130</v>
      </c>
      <c r="C7997" s="11" t="str">
        <f>INDEX(Data,2,2+MOD(ROWS(C$2:C7997)-1,24))</f>
        <v>04.00</v>
      </c>
      <c r="D7997" s="8">
        <f t="shared" ca="1" si="374"/>
        <v>10</v>
      </c>
      <c r="E7997" s="16">
        <f t="shared" ca="1" si="375"/>
        <v>0</v>
      </c>
    </row>
    <row r="7998" spans="1:5" x14ac:dyDescent="0.25">
      <c r="A7998" s="3">
        <f t="shared" si="373"/>
        <v>78989</v>
      </c>
      <c r="B7998" t="str">
        <f ca="1">TEXT(DATE(YEAR(Invoer!$A$5),1,1)+INT((ROWS(B$2:B7998)-1)/24),"""18""jjmmdd")</f>
        <v>18981130</v>
      </c>
      <c r="C7998" s="11" t="str">
        <f>INDEX(Data,2,2+MOD(ROWS(C$2:C7998)-1,24))</f>
        <v>05.00</v>
      </c>
      <c r="D7998" s="8">
        <f t="shared" ca="1" si="374"/>
        <v>11</v>
      </c>
      <c r="E7998" s="16">
        <f t="shared" ca="1" si="375"/>
        <v>0</v>
      </c>
    </row>
    <row r="7999" spans="1:5" x14ac:dyDescent="0.25">
      <c r="A7999" s="3">
        <f t="shared" si="373"/>
        <v>78989</v>
      </c>
      <c r="B7999" t="str">
        <f ca="1">TEXT(DATE(YEAR(Invoer!$A$5),1,1)+INT((ROWS(B$2:B7999)-1)/24),"""18""jjmmdd")</f>
        <v>18981130</v>
      </c>
      <c r="C7999" s="11" t="str">
        <f>INDEX(Data,2,2+MOD(ROWS(C$2:C7999)-1,24))</f>
        <v>06.00</v>
      </c>
      <c r="D7999" s="8">
        <f t="shared" ca="1" si="374"/>
        <v>9</v>
      </c>
      <c r="E7999" s="16">
        <f t="shared" ca="1" si="375"/>
        <v>0</v>
      </c>
    </row>
    <row r="8000" spans="1:5" x14ac:dyDescent="0.25">
      <c r="A8000" s="3">
        <f t="shared" si="373"/>
        <v>78989</v>
      </c>
      <c r="B8000" t="str">
        <f ca="1">TEXT(DATE(YEAR(Invoer!$A$5),1,1)+INT((ROWS(B$2:B8000)-1)/24),"""18""jjmmdd")</f>
        <v>18981130</v>
      </c>
      <c r="C8000" s="11" t="str">
        <f>INDEX(Data,2,2+MOD(ROWS(C$2:C8000)-1,24))</f>
        <v>07.00</v>
      </c>
      <c r="D8000" s="8">
        <f t="shared" ca="1" si="374"/>
        <v>11</v>
      </c>
      <c r="E8000" s="16">
        <f t="shared" ca="1" si="375"/>
        <v>0</v>
      </c>
    </row>
    <row r="8001" spans="1:5" x14ac:dyDescent="0.25">
      <c r="A8001" s="3">
        <f t="shared" si="373"/>
        <v>78989</v>
      </c>
      <c r="B8001" t="str">
        <f ca="1">TEXT(DATE(YEAR(Invoer!$A$5),1,1)+INT((ROWS(B$2:B8001)-1)/24),"""18""jjmmdd")</f>
        <v>18981130</v>
      </c>
      <c r="C8001" s="11" t="str">
        <f>INDEX(Data,2,2+MOD(ROWS(C$2:C8001)-1,24))</f>
        <v>08.00</v>
      </c>
      <c r="D8001" s="8">
        <f t="shared" ca="1" si="374"/>
        <v>14</v>
      </c>
      <c r="E8001" s="16">
        <f t="shared" ca="1" si="375"/>
        <v>0</v>
      </c>
    </row>
    <row r="8002" spans="1:5" x14ac:dyDescent="0.25">
      <c r="A8002" s="3">
        <f t="shared" ref="A8002:A8065" si="376">INDEX(Stations,2,1)</f>
        <v>78989</v>
      </c>
      <c r="B8002" t="str">
        <f ca="1">TEXT(DATE(YEAR(Invoer!$A$5),1,1)+INT((ROWS(B$2:B8002)-1)/24),"""18""jjmmdd")</f>
        <v>18981130</v>
      </c>
      <c r="C8002" s="11" t="str">
        <f>INDEX(Data,2,2+MOD(ROWS(C$2:C8002)-1,24))</f>
        <v>09.00</v>
      </c>
      <c r="D8002" s="8">
        <f t="shared" ref="D8002:D8065" ca="1" si="377">IF(OR(ISBLANK(VLOOKUP(DATEVALUE("37"&amp;MID($B8002,3,2)&amp;"-"&amp;MID($B8002,5,2)&amp;"-"&amp;RIGHT($B8002,2)),Data,MATCH(LEFT(VLOOKUP(D$1,Parameters,2,FALSE()),4)&amp;"*",OFFSET(Data,0,0,1),0)+MATCH($C8002,OFFSET(Data,1,0,1),0)-2,FALSE())),ISTEXT(VLOOKUP(DATEVALUE("37"&amp;MID($B8002,3,2)&amp;"-"&amp;MID($B8002,5,2)&amp;"-"&amp;RIGHT($B8002,2)),Data,MATCH(LEFT(VLOOKUP(D$1,Parameters,2,FALSE()),4)&amp;"*",OFFSET(Data,0,0,1),0)+MATCH($C8002,OFFSET(Data,1,0,1),0)-2,FALSE()))),"—",VLOOKUP(DATEVALUE("37"&amp;MID($B8002,3,2)&amp;"-"&amp;MID($B8002,5,2)&amp;"-"&amp;RIGHT($B8002,2)),Data,MATCH(LEFT(VLOOKUP(D$1,Parameters,2,FALSE()),4)&amp;"*",OFFSET(Data,0,0,1),0)+MATCH($C8002,OFFSET(Data,1,0,1),0)-2,FALSE()))</f>
        <v>14</v>
      </c>
      <c r="E8002" s="16">
        <f t="shared" ca="1" si="375"/>
        <v>0</v>
      </c>
    </row>
    <row r="8003" spans="1:5" x14ac:dyDescent="0.25">
      <c r="A8003" s="3">
        <f t="shared" si="376"/>
        <v>78989</v>
      </c>
      <c r="B8003" t="str">
        <f ca="1">TEXT(DATE(YEAR(Invoer!$A$5),1,1)+INT((ROWS(B$2:B8003)-1)/24),"""18""jjmmdd")</f>
        <v>18981130</v>
      </c>
      <c r="C8003" s="11" t="str">
        <f>INDEX(Data,2,2+MOD(ROWS(C$2:C8003)-1,24))</f>
        <v>10.00</v>
      </c>
      <c r="D8003" s="8">
        <f t="shared" ca="1" si="377"/>
        <v>16</v>
      </c>
      <c r="E8003" s="16">
        <f t="shared" ref="E8003:E8066" ca="1" si="378">IF(OR(ISBLANK(VLOOKUP(DATEVALUE("37"&amp;MID($B8003,3,2)&amp;"-"&amp;MID($B8003,5,2)&amp;"-"&amp;RIGHT($B8003,2)),Data,MATCH(LEFT(VLOOKUP(D$1,Parameters,2,FALSE()),4)&amp;"*",OFFSET(Data,0,0,1),0)+MATCH($C8003,OFFSET(Data,1,0,1),0)-2,FALSE())),ISTEXT(VLOOKUP(DATEVALUE("37"&amp;MID($B8003,3,2)&amp;"-"&amp;MID($B8003,5,2)&amp;"-"&amp;RIGHT($B8003,2)),Data,MATCH(LEFT(VLOOKUP(D$1,Parameters,2,FALSE()),4)&amp;"*",OFFSET(Data,0,0,1),0)+MATCH($C8003,OFFSET(Data,1,0,1),0)-2,FALSE()))),Lacking,IF(ISNA(MATCH(DATEVALUE("37"&amp;MID($B8003,3,2)&amp;"-"&amp;MID($B8003,5,2)&amp;"-"&amp;RIGHT($B8003,2)),OFFSET(Catalogus,0,0,,1),0)),Ok,VLOOKUP(DATEVALUE("37"&amp;MID($B8003,3,2)&amp;"-"&amp;MID($B8003,5,2)&amp;"-"&amp;RIGHT($B8003,2)),Catalogus,MATCH(LEFT(VLOOKUP(MID(E$1,2,LEN(E$1)-1),Parameters,2,FALSE()),4)&amp;"*",OFFSET(Catalogus,0,0,1),0)+MATCH($C8003,OFFSET(Catalogus,1,0,1),0)-2,FALSE())))</f>
        <v>0</v>
      </c>
    </row>
    <row r="8004" spans="1:5" x14ac:dyDescent="0.25">
      <c r="A8004" s="3">
        <f t="shared" si="376"/>
        <v>78989</v>
      </c>
      <c r="B8004" t="str">
        <f ca="1">TEXT(DATE(YEAR(Invoer!$A$5),1,1)+INT((ROWS(B$2:B8004)-1)/24),"""18""jjmmdd")</f>
        <v>18981130</v>
      </c>
      <c r="C8004" s="11" t="str">
        <f>INDEX(Data,2,2+MOD(ROWS(C$2:C8004)-1,24))</f>
        <v>11.00</v>
      </c>
      <c r="D8004" s="8">
        <f t="shared" ca="1" si="377"/>
        <v>16</v>
      </c>
      <c r="E8004" s="16">
        <f t="shared" ca="1" si="378"/>
        <v>0</v>
      </c>
    </row>
    <row r="8005" spans="1:5" x14ac:dyDescent="0.25">
      <c r="A8005" s="3">
        <f t="shared" si="376"/>
        <v>78989</v>
      </c>
      <c r="B8005" t="str">
        <f ca="1">TEXT(DATE(YEAR(Invoer!$A$5),1,1)+INT((ROWS(B$2:B8005)-1)/24),"""18""jjmmdd")</f>
        <v>18981130</v>
      </c>
      <c r="C8005" s="11" t="str">
        <f>INDEX(Data,2,2+MOD(ROWS(C$2:C8005)-1,24))</f>
        <v>12.00</v>
      </c>
      <c r="D8005" s="8">
        <f t="shared" ca="1" si="377"/>
        <v>16</v>
      </c>
      <c r="E8005" s="16">
        <f t="shared" ca="1" si="378"/>
        <v>0</v>
      </c>
    </row>
    <row r="8006" spans="1:5" x14ac:dyDescent="0.25">
      <c r="A8006" s="3">
        <f t="shared" si="376"/>
        <v>78989</v>
      </c>
      <c r="B8006" t="str">
        <f ca="1">TEXT(DATE(YEAR(Invoer!$A$5),1,1)+INT((ROWS(B$2:B8006)-1)/24),"""18""jjmmdd")</f>
        <v>18981130</v>
      </c>
      <c r="C8006" s="11" t="str">
        <f>INDEX(Data,2,2+MOD(ROWS(C$2:C8006)-1,24))</f>
        <v>13.00</v>
      </c>
      <c r="D8006" s="8">
        <f t="shared" ca="1" si="377"/>
        <v>16</v>
      </c>
      <c r="E8006" s="16">
        <f t="shared" ca="1" si="378"/>
        <v>0</v>
      </c>
    </row>
    <row r="8007" spans="1:5" x14ac:dyDescent="0.25">
      <c r="A8007" s="3">
        <f t="shared" si="376"/>
        <v>78989</v>
      </c>
      <c r="B8007" t="str">
        <f ca="1">TEXT(DATE(YEAR(Invoer!$A$5),1,1)+INT((ROWS(B$2:B8007)-1)/24),"""18""jjmmdd")</f>
        <v>18981130</v>
      </c>
      <c r="C8007" s="11" t="str">
        <f>INDEX(Data,2,2+MOD(ROWS(C$2:C8007)-1,24))</f>
        <v>14.00</v>
      </c>
      <c r="D8007" s="8">
        <f t="shared" ca="1" si="377"/>
        <v>16</v>
      </c>
      <c r="E8007" s="16">
        <f t="shared" ca="1" si="378"/>
        <v>0</v>
      </c>
    </row>
    <row r="8008" spans="1:5" x14ac:dyDescent="0.25">
      <c r="A8008" s="3">
        <f t="shared" si="376"/>
        <v>78989</v>
      </c>
      <c r="B8008" t="str">
        <f ca="1">TEXT(DATE(YEAR(Invoer!$A$5),1,1)+INT((ROWS(B$2:B8008)-1)/24),"""18""jjmmdd")</f>
        <v>18981130</v>
      </c>
      <c r="C8008" s="11" t="str">
        <f>INDEX(Data,2,2+MOD(ROWS(C$2:C8008)-1,24))</f>
        <v>15.00</v>
      </c>
      <c r="D8008" s="8">
        <f t="shared" ca="1" si="377"/>
        <v>16</v>
      </c>
      <c r="E8008" s="16">
        <f t="shared" ca="1" si="378"/>
        <v>0</v>
      </c>
    </row>
    <row r="8009" spans="1:5" x14ac:dyDescent="0.25">
      <c r="A8009" s="3">
        <f t="shared" si="376"/>
        <v>78989</v>
      </c>
      <c r="B8009" t="str">
        <f ca="1">TEXT(DATE(YEAR(Invoer!$A$5),1,1)+INT((ROWS(B$2:B8009)-1)/24),"""18""jjmmdd")</f>
        <v>18981130</v>
      </c>
      <c r="C8009" s="11" t="str">
        <f>INDEX(Data,2,2+MOD(ROWS(C$2:C8009)-1,24))</f>
        <v>16.00</v>
      </c>
      <c r="D8009" s="8">
        <f t="shared" ca="1" si="377"/>
        <v>15</v>
      </c>
      <c r="E8009" s="16">
        <f t="shared" ca="1" si="378"/>
        <v>0</v>
      </c>
    </row>
    <row r="8010" spans="1:5" x14ac:dyDescent="0.25">
      <c r="A8010" s="3">
        <f t="shared" si="376"/>
        <v>78989</v>
      </c>
      <c r="B8010" t="str">
        <f ca="1">TEXT(DATE(YEAR(Invoer!$A$5),1,1)+INT((ROWS(B$2:B8010)-1)/24),"""18""jjmmdd")</f>
        <v>18981130</v>
      </c>
      <c r="C8010" s="11" t="str">
        <f>INDEX(Data,2,2+MOD(ROWS(C$2:C8010)-1,24))</f>
        <v>17.00</v>
      </c>
      <c r="D8010" s="8">
        <f t="shared" ca="1" si="377"/>
        <v>14</v>
      </c>
      <c r="E8010" s="16">
        <f t="shared" ca="1" si="378"/>
        <v>0</v>
      </c>
    </row>
    <row r="8011" spans="1:5" x14ac:dyDescent="0.25">
      <c r="A8011" s="3">
        <f t="shared" si="376"/>
        <v>78989</v>
      </c>
      <c r="B8011" t="str">
        <f ca="1">TEXT(DATE(YEAR(Invoer!$A$5),1,1)+INT((ROWS(B$2:B8011)-1)/24),"""18""jjmmdd")</f>
        <v>18981130</v>
      </c>
      <c r="C8011" s="11" t="str">
        <f>INDEX(Data,2,2+MOD(ROWS(C$2:C8011)-1,24))</f>
        <v>18.00</v>
      </c>
      <c r="D8011" s="8">
        <f t="shared" ca="1" si="377"/>
        <v>13</v>
      </c>
      <c r="E8011" s="16">
        <f t="shared" ca="1" si="378"/>
        <v>0</v>
      </c>
    </row>
    <row r="8012" spans="1:5" x14ac:dyDescent="0.25">
      <c r="A8012" s="3">
        <f t="shared" si="376"/>
        <v>78989</v>
      </c>
      <c r="B8012" t="str">
        <f ca="1">TEXT(DATE(YEAR(Invoer!$A$5),1,1)+INT((ROWS(B$2:B8012)-1)/24),"""18""jjmmdd")</f>
        <v>18981130</v>
      </c>
      <c r="C8012" s="11" t="str">
        <f>INDEX(Data,2,2+MOD(ROWS(C$2:C8012)-1,24))</f>
        <v>19.00</v>
      </c>
      <c r="D8012" s="8">
        <f t="shared" ca="1" si="377"/>
        <v>11</v>
      </c>
      <c r="E8012" s="16">
        <f t="shared" ca="1" si="378"/>
        <v>0</v>
      </c>
    </row>
    <row r="8013" spans="1:5" x14ac:dyDescent="0.25">
      <c r="A8013" s="3">
        <f t="shared" si="376"/>
        <v>78989</v>
      </c>
      <c r="B8013" t="str">
        <f ca="1">TEXT(DATE(YEAR(Invoer!$A$5),1,1)+INT((ROWS(B$2:B8013)-1)/24),"""18""jjmmdd")</f>
        <v>18981130</v>
      </c>
      <c r="C8013" s="11" t="str">
        <f>INDEX(Data,2,2+MOD(ROWS(C$2:C8013)-1,24))</f>
        <v>20.00</v>
      </c>
      <c r="D8013" s="8">
        <f t="shared" ca="1" si="377"/>
        <v>12</v>
      </c>
      <c r="E8013" s="16">
        <f t="shared" ca="1" si="378"/>
        <v>0</v>
      </c>
    </row>
    <row r="8014" spans="1:5" x14ac:dyDescent="0.25">
      <c r="A8014" s="3">
        <f t="shared" si="376"/>
        <v>78989</v>
      </c>
      <c r="B8014" t="str">
        <f ca="1">TEXT(DATE(YEAR(Invoer!$A$5),1,1)+INT((ROWS(B$2:B8014)-1)/24),"""18""jjmmdd")</f>
        <v>18981130</v>
      </c>
      <c r="C8014" s="11" t="str">
        <f>INDEX(Data,2,2+MOD(ROWS(C$2:C8014)-1,24))</f>
        <v>21.00</v>
      </c>
      <c r="D8014" s="8">
        <f t="shared" ca="1" si="377"/>
        <v>10</v>
      </c>
      <c r="E8014" s="16">
        <f t="shared" ca="1" si="378"/>
        <v>0</v>
      </c>
    </row>
    <row r="8015" spans="1:5" x14ac:dyDescent="0.25">
      <c r="A8015" s="3">
        <f t="shared" si="376"/>
        <v>78989</v>
      </c>
      <c r="B8015" t="str">
        <f ca="1">TEXT(DATE(YEAR(Invoer!$A$5),1,1)+INT((ROWS(B$2:B8015)-1)/24),"""18""jjmmdd")</f>
        <v>18981130</v>
      </c>
      <c r="C8015" s="11" t="str">
        <f>INDEX(Data,2,2+MOD(ROWS(C$2:C8015)-1,24))</f>
        <v>22.00</v>
      </c>
      <c r="D8015" s="8">
        <f t="shared" ca="1" si="377"/>
        <v>12</v>
      </c>
      <c r="E8015" s="16">
        <f t="shared" ca="1" si="378"/>
        <v>0</v>
      </c>
    </row>
    <row r="8016" spans="1:5" x14ac:dyDescent="0.25">
      <c r="A8016" s="3">
        <f t="shared" si="376"/>
        <v>78989</v>
      </c>
      <c r="B8016" t="str">
        <f ca="1">TEXT(DATE(YEAR(Invoer!$A$5),1,1)+INT((ROWS(B$2:B8016)-1)/24),"""18""jjmmdd")</f>
        <v>18981130</v>
      </c>
      <c r="C8016" s="11" t="str">
        <f>INDEX(Data,2,2+MOD(ROWS(C$2:C8016)-1,24))</f>
        <v>23.00</v>
      </c>
      <c r="D8016" s="8">
        <f t="shared" ca="1" si="377"/>
        <v>11</v>
      </c>
      <c r="E8016" s="16">
        <f t="shared" ca="1" si="378"/>
        <v>0</v>
      </c>
    </row>
    <row r="8017" spans="1:5" x14ac:dyDescent="0.25">
      <c r="A8017" s="3">
        <f t="shared" si="376"/>
        <v>78989</v>
      </c>
      <c r="B8017" t="str">
        <f ca="1">TEXT(DATE(YEAR(Invoer!$A$5),1,1)+INT((ROWS(B$2:B8017)-1)/24),"""18""jjmmdd")</f>
        <v>18981130</v>
      </c>
      <c r="C8017" s="11" t="str">
        <f>INDEX(Data,2,2+MOD(ROWS(C$2:C8017)-1,24))</f>
        <v>24.00</v>
      </c>
      <c r="D8017" s="8">
        <f t="shared" ca="1" si="377"/>
        <v>11</v>
      </c>
      <c r="E8017" s="16">
        <f t="shared" ca="1" si="378"/>
        <v>0</v>
      </c>
    </row>
    <row r="8018" spans="1:5" x14ac:dyDescent="0.25">
      <c r="A8018" s="3">
        <f t="shared" si="376"/>
        <v>78989</v>
      </c>
      <c r="B8018" t="str">
        <f ca="1">TEXT(DATE(YEAR(Invoer!$A$5),1,1)+INT((ROWS(B$2:B8018)-1)/24),"""18""jjmmdd")</f>
        <v>18981201</v>
      </c>
      <c r="C8018" s="11" t="str">
        <f>INDEX(Data,2,2+MOD(ROWS(C$2:C8018)-1,24))</f>
        <v>01.00</v>
      </c>
      <c r="D8018" s="8">
        <f t="shared" ca="1" si="377"/>
        <v>11</v>
      </c>
      <c r="E8018" s="16">
        <f t="shared" ca="1" si="378"/>
        <v>0</v>
      </c>
    </row>
    <row r="8019" spans="1:5" x14ac:dyDescent="0.25">
      <c r="A8019" s="3">
        <f t="shared" si="376"/>
        <v>78989</v>
      </c>
      <c r="B8019" t="str">
        <f ca="1">TEXT(DATE(YEAR(Invoer!$A$5),1,1)+INT((ROWS(B$2:B8019)-1)/24),"""18""jjmmdd")</f>
        <v>18981201</v>
      </c>
      <c r="C8019" s="11" t="str">
        <f>INDEX(Data,2,2+MOD(ROWS(C$2:C8019)-1,24))</f>
        <v>02.00</v>
      </c>
      <c r="D8019" s="8">
        <f t="shared" ca="1" si="377"/>
        <v>10</v>
      </c>
      <c r="E8019" s="16">
        <f t="shared" ca="1" si="378"/>
        <v>0</v>
      </c>
    </row>
    <row r="8020" spans="1:5" x14ac:dyDescent="0.25">
      <c r="A8020" s="3">
        <f t="shared" si="376"/>
        <v>78989</v>
      </c>
      <c r="B8020" t="str">
        <f ca="1">TEXT(DATE(YEAR(Invoer!$A$5),1,1)+INT((ROWS(B$2:B8020)-1)/24),"""18""jjmmdd")</f>
        <v>18981201</v>
      </c>
      <c r="C8020" s="11" t="str">
        <f>INDEX(Data,2,2+MOD(ROWS(C$2:C8020)-1,24))</f>
        <v>03.00</v>
      </c>
      <c r="D8020" s="8">
        <f t="shared" ca="1" si="377"/>
        <v>11</v>
      </c>
      <c r="E8020" s="16">
        <f t="shared" ca="1" si="378"/>
        <v>0</v>
      </c>
    </row>
    <row r="8021" spans="1:5" x14ac:dyDescent="0.25">
      <c r="A8021" s="3">
        <f t="shared" si="376"/>
        <v>78989</v>
      </c>
      <c r="B8021" t="str">
        <f ca="1">TEXT(DATE(YEAR(Invoer!$A$5),1,1)+INT((ROWS(B$2:B8021)-1)/24),"""18""jjmmdd")</f>
        <v>18981201</v>
      </c>
      <c r="C8021" s="11" t="str">
        <f>INDEX(Data,2,2+MOD(ROWS(C$2:C8021)-1,24))</f>
        <v>04.00</v>
      </c>
      <c r="D8021" s="8">
        <f t="shared" ca="1" si="377"/>
        <v>12</v>
      </c>
      <c r="E8021" s="16">
        <f t="shared" ca="1" si="378"/>
        <v>0</v>
      </c>
    </row>
    <row r="8022" spans="1:5" x14ac:dyDescent="0.25">
      <c r="A8022" s="3">
        <f t="shared" si="376"/>
        <v>78989</v>
      </c>
      <c r="B8022" t="str">
        <f ca="1">TEXT(DATE(YEAR(Invoer!$A$5),1,1)+INT((ROWS(B$2:B8022)-1)/24),"""18""jjmmdd")</f>
        <v>18981201</v>
      </c>
      <c r="C8022" s="11" t="str">
        <f>INDEX(Data,2,2+MOD(ROWS(C$2:C8022)-1,24))</f>
        <v>05.00</v>
      </c>
      <c r="D8022" s="8">
        <f t="shared" ca="1" si="377"/>
        <v>11</v>
      </c>
      <c r="E8022" s="16">
        <f t="shared" ca="1" si="378"/>
        <v>0</v>
      </c>
    </row>
    <row r="8023" spans="1:5" x14ac:dyDescent="0.25">
      <c r="A8023" s="3">
        <f t="shared" si="376"/>
        <v>78989</v>
      </c>
      <c r="B8023" t="str">
        <f ca="1">TEXT(DATE(YEAR(Invoer!$A$5),1,1)+INT((ROWS(B$2:B8023)-1)/24),"""18""jjmmdd")</f>
        <v>18981201</v>
      </c>
      <c r="C8023" s="11" t="str">
        <f>INDEX(Data,2,2+MOD(ROWS(C$2:C8023)-1,24))</f>
        <v>06.00</v>
      </c>
      <c r="D8023" s="8">
        <f t="shared" ca="1" si="377"/>
        <v>12</v>
      </c>
      <c r="E8023" s="16">
        <f t="shared" ca="1" si="378"/>
        <v>0</v>
      </c>
    </row>
    <row r="8024" spans="1:5" x14ac:dyDescent="0.25">
      <c r="A8024" s="3">
        <f t="shared" si="376"/>
        <v>78989</v>
      </c>
      <c r="B8024" t="str">
        <f ca="1">TEXT(DATE(YEAR(Invoer!$A$5),1,1)+INT((ROWS(B$2:B8024)-1)/24),"""18""jjmmdd")</f>
        <v>18981201</v>
      </c>
      <c r="C8024" s="11" t="str">
        <f>INDEX(Data,2,2+MOD(ROWS(C$2:C8024)-1,24))</f>
        <v>07.00</v>
      </c>
      <c r="D8024" s="8">
        <f t="shared" ca="1" si="377"/>
        <v>14</v>
      </c>
      <c r="E8024" s="16">
        <f t="shared" ca="1" si="378"/>
        <v>0</v>
      </c>
    </row>
    <row r="8025" spans="1:5" x14ac:dyDescent="0.25">
      <c r="A8025" s="3">
        <f t="shared" si="376"/>
        <v>78989</v>
      </c>
      <c r="B8025" t="str">
        <f ca="1">TEXT(DATE(YEAR(Invoer!$A$5),1,1)+INT((ROWS(B$2:B8025)-1)/24),"""18""jjmmdd")</f>
        <v>18981201</v>
      </c>
      <c r="C8025" s="11" t="str">
        <f>INDEX(Data,2,2+MOD(ROWS(C$2:C8025)-1,24))</f>
        <v>08.00</v>
      </c>
      <c r="D8025" s="8">
        <f t="shared" ca="1" si="377"/>
        <v>16</v>
      </c>
      <c r="E8025" s="16">
        <f t="shared" ca="1" si="378"/>
        <v>0</v>
      </c>
    </row>
    <row r="8026" spans="1:5" x14ac:dyDescent="0.25">
      <c r="A8026" s="3">
        <f t="shared" si="376"/>
        <v>78989</v>
      </c>
      <c r="B8026" t="str">
        <f ca="1">TEXT(DATE(YEAR(Invoer!$A$5),1,1)+INT((ROWS(B$2:B8026)-1)/24),"""18""jjmmdd")</f>
        <v>18981201</v>
      </c>
      <c r="C8026" s="11" t="str">
        <f>INDEX(Data,2,2+MOD(ROWS(C$2:C8026)-1,24))</f>
        <v>09.00</v>
      </c>
      <c r="D8026" s="8">
        <f t="shared" ca="1" si="377"/>
        <v>17</v>
      </c>
      <c r="E8026" s="16">
        <f t="shared" ca="1" si="378"/>
        <v>0</v>
      </c>
    </row>
    <row r="8027" spans="1:5" x14ac:dyDescent="0.25">
      <c r="A8027" s="3">
        <f t="shared" si="376"/>
        <v>78989</v>
      </c>
      <c r="B8027" t="str">
        <f ca="1">TEXT(DATE(YEAR(Invoer!$A$5),1,1)+INT((ROWS(B$2:B8027)-1)/24),"""18""jjmmdd")</f>
        <v>18981201</v>
      </c>
      <c r="C8027" s="11" t="str">
        <f>INDEX(Data,2,2+MOD(ROWS(C$2:C8027)-1,24))</f>
        <v>10.00</v>
      </c>
      <c r="D8027" s="8">
        <f t="shared" ca="1" si="377"/>
        <v>17</v>
      </c>
      <c r="E8027" s="16">
        <f t="shared" ca="1" si="378"/>
        <v>0</v>
      </c>
    </row>
    <row r="8028" spans="1:5" x14ac:dyDescent="0.25">
      <c r="A8028" s="3">
        <f t="shared" si="376"/>
        <v>78989</v>
      </c>
      <c r="B8028" t="str">
        <f ca="1">TEXT(DATE(YEAR(Invoer!$A$5),1,1)+INT((ROWS(B$2:B8028)-1)/24),"""18""jjmmdd")</f>
        <v>18981201</v>
      </c>
      <c r="C8028" s="11" t="str">
        <f>INDEX(Data,2,2+MOD(ROWS(C$2:C8028)-1,24))</f>
        <v>11.00</v>
      </c>
      <c r="D8028" s="8">
        <f t="shared" ca="1" si="377"/>
        <v>17</v>
      </c>
      <c r="E8028" s="16">
        <f t="shared" ca="1" si="378"/>
        <v>0</v>
      </c>
    </row>
    <row r="8029" spans="1:5" x14ac:dyDescent="0.25">
      <c r="A8029" s="3">
        <f t="shared" si="376"/>
        <v>78989</v>
      </c>
      <c r="B8029" t="str">
        <f ca="1">TEXT(DATE(YEAR(Invoer!$A$5),1,1)+INT((ROWS(B$2:B8029)-1)/24),"""18""jjmmdd")</f>
        <v>18981201</v>
      </c>
      <c r="C8029" s="11" t="str">
        <f>INDEX(Data,2,2+MOD(ROWS(C$2:C8029)-1,24))</f>
        <v>12.00</v>
      </c>
      <c r="D8029" s="8">
        <f t="shared" ca="1" si="377"/>
        <v>16</v>
      </c>
      <c r="E8029" s="16">
        <f t="shared" ca="1" si="378"/>
        <v>0</v>
      </c>
    </row>
    <row r="8030" spans="1:5" x14ac:dyDescent="0.25">
      <c r="A8030" s="3">
        <f t="shared" si="376"/>
        <v>78989</v>
      </c>
      <c r="B8030" t="str">
        <f ca="1">TEXT(DATE(YEAR(Invoer!$A$5),1,1)+INT((ROWS(B$2:B8030)-1)/24),"""18""jjmmdd")</f>
        <v>18981201</v>
      </c>
      <c r="C8030" s="11" t="str">
        <f>INDEX(Data,2,2+MOD(ROWS(C$2:C8030)-1,24))</f>
        <v>13.00</v>
      </c>
      <c r="D8030" s="8">
        <f t="shared" ca="1" si="377"/>
        <v>16</v>
      </c>
      <c r="E8030" s="16">
        <f t="shared" ca="1" si="378"/>
        <v>0</v>
      </c>
    </row>
    <row r="8031" spans="1:5" x14ac:dyDescent="0.25">
      <c r="A8031" s="3">
        <f t="shared" si="376"/>
        <v>78989</v>
      </c>
      <c r="B8031" t="str">
        <f ca="1">TEXT(DATE(YEAR(Invoer!$A$5),1,1)+INT((ROWS(B$2:B8031)-1)/24),"""18""jjmmdd")</f>
        <v>18981201</v>
      </c>
      <c r="C8031" s="11" t="str">
        <f>INDEX(Data,2,2+MOD(ROWS(C$2:C8031)-1,24))</f>
        <v>14.00</v>
      </c>
      <c r="D8031" s="8">
        <f t="shared" ca="1" si="377"/>
        <v>17</v>
      </c>
      <c r="E8031" s="16">
        <f t="shared" ca="1" si="378"/>
        <v>0</v>
      </c>
    </row>
    <row r="8032" spans="1:5" x14ac:dyDescent="0.25">
      <c r="A8032" s="3">
        <f t="shared" si="376"/>
        <v>78989</v>
      </c>
      <c r="B8032" t="str">
        <f ca="1">TEXT(DATE(YEAR(Invoer!$A$5),1,1)+INT((ROWS(B$2:B8032)-1)/24),"""18""jjmmdd")</f>
        <v>18981201</v>
      </c>
      <c r="C8032" s="11" t="str">
        <f>INDEX(Data,2,2+MOD(ROWS(C$2:C8032)-1,24))</f>
        <v>15.00</v>
      </c>
      <c r="D8032" s="8">
        <f t="shared" ca="1" si="377"/>
        <v>15</v>
      </c>
      <c r="E8032" s="16">
        <f t="shared" ca="1" si="378"/>
        <v>0</v>
      </c>
    </row>
    <row r="8033" spans="1:5" x14ac:dyDescent="0.25">
      <c r="A8033" s="3">
        <f t="shared" si="376"/>
        <v>78989</v>
      </c>
      <c r="B8033" t="str">
        <f ca="1">TEXT(DATE(YEAR(Invoer!$A$5),1,1)+INT((ROWS(B$2:B8033)-1)/24),"""18""jjmmdd")</f>
        <v>18981201</v>
      </c>
      <c r="C8033" s="11" t="str">
        <f>INDEX(Data,2,2+MOD(ROWS(C$2:C8033)-1,24))</f>
        <v>16.00</v>
      </c>
      <c r="D8033" s="8">
        <f t="shared" ca="1" si="377"/>
        <v>15</v>
      </c>
      <c r="E8033" s="16">
        <f t="shared" ca="1" si="378"/>
        <v>0</v>
      </c>
    </row>
    <row r="8034" spans="1:5" x14ac:dyDescent="0.25">
      <c r="A8034" s="3">
        <f t="shared" si="376"/>
        <v>78989</v>
      </c>
      <c r="B8034" t="str">
        <f ca="1">TEXT(DATE(YEAR(Invoer!$A$5),1,1)+INT((ROWS(B$2:B8034)-1)/24),"""18""jjmmdd")</f>
        <v>18981201</v>
      </c>
      <c r="C8034" s="11" t="str">
        <f>INDEX(Data,2,2+MOD(ROWS(C$2:C8034)-1,24))</f>
        <v>17.00</v>
      </c>
      <c r="D8034" s="8">
        <f t="shared" ca="1" si="377"/>
        <v>14</v>
      </c>
      <c r="E8034" s="16">
        <f t="shared" ca="1" si="378"/>
        <v>0</v>
      </c>
    </row>
    <row r="8035" spans="1:5" x14ac:dyDescent="0.25">
      <c r="A8035" s="3">
        <f t="shared" si="376"/>
        <v>78989</v>
      </c>
      <c r="B8035" t="str">
        <f ca="1">TEXT(DATE(YEAR(Invoer!$A$5),1,1)+INT((ROWS(B$2:B8035)-1)/24),"""18""jjmmdd")</f>
        <v>18981201</v>
      </c>
      <c r="C8035" s="11" t="str">
        <f>INDEX(Data,2,2+MOD(ROWS(C$2:C8035)-1,24))</f>
        <v>18.00</v>
      </c>
      <c r="D8035" s="8">
        <f t="shared" ca="1" si="377"/>
        <v>11</v>
      </c>
      <c r="E8035" s="16">
        <f t="shared" ca="1" si="378"/>
        <v>0</v>
      </c>
    </row>
    <row r="8036" spans="1:5" x14ac:dyDescent="0.25">
      <c r="A8036" s="3">
        <f t="shared" si="376"/>
        <v>78989</v>
      </c>
      <c r="B8036" t="str">
        <f ca="1">TEXT(DATE(YEAR(Invoer!$A$5),1,1)+INT((ROWS(B$2:B8036)-1)/24),"""18""jjmmdd")</f>
        <v>18981201</v>
      </c>
      <c r="C8036" s="11" t="str">
        <f>INDEX(Data,2,2+MOD(ROWS(C$2:C8036)-1,24))</f>
        <v>19.00</v>
      </c>
      <c r="D8036" s="8">
        <f t="shared" ca="1" si="377"/>
        <v>12</v>
      </c>
      <c r="E8036" s="16">
        <f t="shared" ca="1" si="378"/>
        <v>0</v>
      </c>
    </row>
    <row r="8037" spans="1:5" x14ac:dyDescent="0.25">
      <c r="A8037" s="3">
        <f t="shared" si="376"/>
        <v>78989</v>
      </c>
      <c r="B8037" t="str">
        <f ca="1">TEXT(DATE(YEAR(Invoer!$A$5),1,1)+INT((ROWS(B$2:B8037)-1)/24),"""18""jjmmdd")</f>
        <v>18981201</v>
      </c>
      <c r="C8037" s="11" t="str">
        <f>INDEX(Data,2,2+MOD(ROWS(C$2:C8037)-1,24))</f>
        <v>20.00</v>
      </c>
      <c r="D8037" s="8">
        <f t="shared" ca="1" si="377"/>
        <v>12</v>
      </c>
      <c r="E8037" s="16">
        <f t="shared" ca="1" si="378"/>
        <v>0</v>
      </c>
    </row>
    <row r="8038" spans="1:5" x14ac:dyDescent="0.25">
      <c r="A8038" s="3">
        <f t="shared" si="376"/>
        <v>78989</v>
      </c>
      <c r="B8038" t="str">
        <f ca="1">TEXT(DATE(YEAR(Invoer!$A$5),1,1)+INT((ROWS(B$2:B8038)-1)/24),"""18""jjmmdd")</f>
        <v>18981201</v>
      </c>
      <c r="C8038" s="11" t="str">
        <f>INDEX(Data,2,2+MOD(ROWS(C$2:C8038)-1,24))</f>
        <v>21.00</v>
      </c>
      <c r="D8038" s="8">
        <f t="shared" ca="1" si="377"/>
        <v>12</v>
      </c>
      <c r="E8038" s="16">
        <f t="shared" ca="1" si="378"/>
        <v>0</v>
      </c>
    </row>
    <row r="8039" spans="1:5" x14ac:dyDescent="0.25">
      <c r="A8039" s="3">
        <f t="shared" si="376"/>
        <v>78989</v>
      </c>
      <c r="B8039" t="str">
        <f ca="1">TEXT(DATE(YEAR(Invoer!$A$5),1,1)+INT((ROWS(B$2:B8039)-1)/24),"""18""jjmmdd")</f>
        <v>18981201</v>
      </c>
      <c r="C8039" s="11" t="str">
        <f>INDEX(Data,2,2+MOD(ROWS(C$2:C8039)-1,24))</f>
        <v>22.00</v>
      </c>
      <c r="D8039" s="8">
        <f t="shared" ca="1" si="377"/>
        <v>11</v>
      </c>
      <c r="E8039" s="16">
        <f t="shared" ca="1" si="378"/>
        <v>0</v>
      </c>
    </row>
    <row r="8040" spans="1:5" x14ac:dyDescent="0.25">
      <c r="A8040" s="3">
        <f t="shared" si="376"/>
        <v>78989</v>
      </c>
      <c r="B8040" t="str">
        <f ca="1">TEXT(DATE(YEAR(Invoer!$A$5),1,1)+INT((ROWS(B$2:B8040)-1)/24),"""18""jjmmdd")</f>
        <v>18981201</v>
      </c>
      <c r="C8040" s="11" t="str">
        <f>INDEX(Data,2,2+MOD(ROWS(C$2:C8040)-1,24))</f>
        <v>23.00</v>
      </c>
      <c r="D8040" s="8">
        <f t="shared" ca="1" si="377"/>
        <v>10</v>
      </c>
      <c r="E8040" s="16">
        <f t="shared" ca="1" si="378"/>
        <v>0</v>
      </c>
    </row>
    <row r="8041" spans="1:5" x14ac:dyDescent="0.25">
      <c r="A8041" s="3">
        <f t="shared" si="376"/>
        <v>78989</v>
      </c>
      <c r="B8041" t="str">
        <f ca="1">TEXT(DATE(YEAR(Invoer!$A$5),1,1)+INT((ROWS(B$2:B8041)-1)/24),"""18""jjmmdd")</f>
        <v>18981201</v>
      </c>
      <c r="C8041" s="11" t="str">
        <f>INDEX(Data,2,2+MOD(ROWS(C$2:C8041)-1,24))</f>
        <v>24.00</v>
      </c>
      <c r="D8041" s="8">
        <f t="shared" ca="1" si="377"/>
        <v>12</v>
      </c>
      <c r="E8041" s="16">
        <f t="shared" ca="1" si="378"/>
        <v>0</v>
      </c>
    </row>
    <row r="8042" spans="1:5" x14ac:dyDescent="0.25">
      <c r="A8042" s="3">
        <f t="shared" si="376"/>
        <v>78989</v>
      </c>
      <c r="B8042" t="str">
        <f ca="1">TEXT(DATE(YEAR(Invoer!$A$5),1,1)+INT((ROWS(B$2:B8042)-1)/24),"""18""jjmmdd")</f>
        <v>18981202</v>
      </c>
      <c r="C8042" s="11" t="str">
        <f>INDEX(Data,2,2+MOD(ROWS(C$2:C8042)-1,24))</f>
        <v>01.00</v>
      </c>
      <c r="D8042" s="8">
        <f t="shared" ca="1" si="377"/>
        <v>10</v>
      </c>
      <c r="E8042" s="16">
        <f t="shared" ca="1" si="378"/>
        <v>0</v>
      </c>
    </row>
    <row r="8043" spans="1:5" x14ac:dyDescent="0.25">
      <c r="A8043" s="3">
        <f t="shared" si="376"/>
        <v>78989</v>
      </c>
      <c r="B8043" t="str">
        <f ca="1">TEXT(DATE(YEAR(Invoer!$A$5),1,1)+INT((ROWS(B$2:B8043)-1)/24),"""18""jjmmdd")</f>
        <v>18981202</v>
      </c>
      <c r="C8043" s="11" t="str">
        <f>INDEX(Data,2,2+MOD(ROWS(C$2:C8043)-1,24))</f>
        <v>02.00</v>
      </c>
      <c r="D8043" s="8">
        <f t="shared" ca="1" si="377"/>
        <v>11</v>
      </c>
      <c r="E8043" s="16">
        <f t="shared" ca="1" si="378"/>
        <v>0</v>
      </c>
    </row>
    <row r="8044" spans="1:5" x14ac:dyDescent="0.25">
      <c r="A8044" s="3">
        <f t="shared" si="376"/>
        <v>78989</v>
      </c>
      <c r="B8044" t="str">
        <f ca="1">TEXT(DATE(YEAR(Invoer!$A$5),1,1)+INT((ROWS(B$2:B8044)-1)/24),"""18""jjmmdd")</f>
        <v>18981202</v>
      </c>
      <c r="C8044" s="11" t="str">
        <f>INDEX(Data,2,2+MOD(ROWS(C$2:C8044)-1,24))</f>
        <v>03.00</v>
      </c>
      <c r="D8044" s="8">
        <f t="shared" ca="1" si="377"/>
        <v>10</v>
      </c>
      <c r="E8044" s="16">
        <f t="shared" ca="1" si="378"/>
        <v>0</v>
      </c>
    </row>
    <row r="8045" spans="1:5" x14ac:dyDescent="0.25">
      <c r="A8045" s="3">
        <f t="shared" si="376"/>
        <v>78989</v>
      </c>
      <c r="B8045" t="str">
        <f ca="1">TEXT(DATE(YEAR(Invoer!$A$5),1,1)+INT((ROWS(B$2:B8045)-1)/24),"""18""jjmmdd")</f>
        <v>18981202</v>
      </c>
      <c r="C8045" s="11" t="str">
        <f>INDEX(Data,2,2+MOD(ROWS(C$2:C8045)-1,24))</f>
        <v>04.00</v>
      </c>
      <c r="D8045" s="8">
        <f t="shared" ca="1" si="377"/>
        <v>10</v>
      </c>
      <c r="E8045" s="16">
        <f t="shared" ca="1" si="378"/>
        <v>0</v>
      </c>
    </row>
    <row r="8046" spans="1:5" x14ac:dyDescent="0.25">
      <c r="A8046" s="3">
        <f t="shared" si="376"/>
        <v>78989</v>
      </c>
      <c r="B8046" t="str">
        <f ca="1">TEXT(DATE(YEAR(Invoer!$A$5),1,1)+INT((ROWS(B$2:B8046)-1)/24),"""18""jjmmdd")</f>
        <v>18981202</v>
      </c>
      <c r="C8046" s="11" t="str">
        <f>INDEX(Data,2,2+MOD(ROWS(C$2:C8046)-1,24))</f>
        <v>05.00</v>
      </c>
      <c r="D8046" s="8">
        <f t="shared" ca="1" si="377"/>
        <v>11</v>
      </c>
      <c r="E8046" s="16">
        <f t="shared" ca="1" si="378"/>
        <v>0</v>
      </c>
    </row>
    <row r="8047" spans="1:5" x14ac:dyDescent="0.25">
      <c r="A8047" s="3">
        <f t="shared" si="376"/>
        <v>78989</v>
      </c>
      <c r="B8047" t="str">
        <f ca="1">TEXT(DATE(YEAR(Invoer!$A$5),1,1)+INT((ROWS(B$2:B8047)-1)/24),"""18""jjmmdd")</f>
        <v>18981202</v>
      </c>
      <c r="C8047" s="11" t="str">
        <f>INDEX(Data,2,2+MOD(ROWS(C$2:C8047)-1,24))</f>
        <v>06.00</v>
      </c>
      <c r="D8047" s="8">
        <f t="shared" ca="1" si="377"/>
        <v>10</v>
      </c>
      <c r="E8047" s="16">
        <f t="shared" ca="1" si="378"/>
        <v>0</v>
      </c>
    </row>
    <row r="8048" spans="1:5" x14ac:dyDescent="0.25">
      <c r="A8048" s="3">
        <f t="shared" si="376"/>
        <v>78989</v>
      </c>
      <c r="B8048" t="str">
        <f ca="1">TEXT(DATE(YEAR(Invoer!$A$5),1,1)+INT((ROWS(B$2:B8048)-1)/24),"""18""jjmmdd")</f>
        <v>18981202</v>
      </c>
      <c r="C8048" s="11" t="str">
        <f>INDEX(Data,2,2+MOD(ROWS(C$2:C8048)-1,24))</f>
        <v>07.00</v>
      </c>
      <c r="D8048" s="8">
        <f t="shared" ca="1" si="377"/>
        <v>11</v>
      </c>
      <c r="E8048" s="16">
        <f t="shared" ca="1" si="378"/>
        <v>0</v>
      </c>
    </row>
    <row r="8049" spans="1:5" x14ac:dyDescent="0.25">
      <c r="A8049" s="3">
        <f t="shared" si="376"/>
        <v>78989</v>
      </c>
      <c r="B8049" t="str">
        <f ca="1">TEXT(DATE(YEAR(Invoer!$A$5),1,1)+INT((ROWS(B$2:B8049)-1)/24),"""18""jjmmdd")</f>
        <v>18981202</v>
      </c>
      <c r="C8049" s="11" t="str">
        <f>INDEX(Data,2,2+MOD(ROWS(C$2:C8049)-1,24))</f>
        <v>08.00</v>
      </c>
      <c r="D8049" s="8">
        <f t="shared" ca="1" si="377"/>
        <v>13</v>
      </c>
      <c r="E8049" s="16">
        <f t="shared" ca="1" si="378"/>
        <v>0</v>
      </c>
    </row>
    <row r="8050" spans="1:5" x14ac:dyDescent="0.25">
      <c r="A8050" s="3">
        <f t="shared" si="376"/>
        <v>78989</v>
      </c>
      <c r="B8050" t="str">
        <f ca="1">TEXT(DATE(YEAR(Invoer!$A$5),1,1)+INT((ROWS(B$2:B8050)-1)/24),"""18""jjmmdd")</f>
        <v>18981202</v>
      </c>
      <c r="C8050" s="11" t="str">
        <f>INDEX(Data,2,2+MOD(ROWS(C$2:C8050)-1,24))</f>
        <v>09.00</v>
      </c>
      <c r="D8050" s="8">
        <f t="shared" ca="1" si="377"/>
        <v>14</v>
      </c>
      <c r="E8050" s="16">
        <f t="shared" ca="1" si="378"/>
        <v>0</v>
      </c>
    </row>
    <row r="8051" spans="1:5" x14ac:dyDescent="0.25">
      <c r="A8051" s="3">
        <f t="shared" si="376"/>
        <v>78989</v>
      </c>
      <c r="B8051" t="str">
        <f ca="1">TEXT(DATE(YEAR(Invoer!$A$5),1,1)+INT((ROWS(B$2:B8051)-1)/24),"""18""jjmmdd")</f>
        <v>18981202</v>
      </c>
      <c r="C8051" s="11" t="str">
        <f>INDEX(Data,2,2+MOD(ROWS(C$2:C8051)-1,24))</f>
        <v>10.00</v>
      </c>
      <c r="D8051" s="8">
        <f t="shared" ca="1" si="377"/>
        <v>15</v>
      </c>
      <c r="E8051" s="16">
        <f t="shared" ca="1" si="378"/>
        <v>0</v>
      </c>
    </row>
    <row r="8052" spans="1:5" x14ac:dyDescent="0.25">
      <c r="A8052" s="3">
        <f t="shared" si="376"/>
        <v>78989</v>
      </c>
      <c r="B8052" t="str">
        <f ca="1">TEXT(DATE(YEAR(Invoer!$A$5),1,1)+INT((ROWS(B$2:B8052)-1)/24),"""18""jjmmdd")</f>
        <v>18981202</v>
      </c>
      <c r="C8052" s="11" t="str">
        <f>INDEX(Data,2,2+MOD(ROWS(C$2:C8052)-1,24))</f>
        <v>11.00</v>
      </c>
      <c r="D8052" s="8">
        <f t="shared" ca="1" si="377"/>
        <v>16</v>
      </c>
      <c r="E8052" s="16">
        <f t="shared" ca="1" si="378"/>
        <v>0</v>
      </c>
    </row>
    <row r="8053" spans="1:5" x14ac:dyDescent="0.25">
      <c r="A8053" s="3">
        <f t="shared" si="376"/>
        <v>78989</v>
      </c>
      <c r="B8053" t="str">
        <f ca="1">TEXT(DATE(YEAR(Invoer!$A$5),1,1)+INT((ROWS(B$2:B8053)-1)/24),"""18""jjmmdd")</f>
        <v>18981202</v>
      </c>
      <c r="C8053" s="11" t="str">
        <f>INDEX(Data,2,2+MOD(ROWS(C$2:C8053)-1,24))</f>
        <v>12.00</v>
      </c>
      <c r="D8053" s="8">
        <f t="shared" ca="1" si="377"/>
        <v>16</v>
      </c>
      <c r="E8053" s="16">
        <f t="shared" ca="1" si="378"/>
        <v>0</v>
      </c>
    </row>
    <row r="8054" spans="1:5" x14ac:dyDescent="0.25">
      <c r="A8054" s="3">
        <f t="shared" si="376"/>
        <v>78989</v>
      </c>
      <c r="B8054" t="str">
        <f ca="1">TEXT(DATE(YEAR(Invoer!$A$5),1,1)+INT((ROWS(B$2:B8054)-1)/24),"""18""jjmmdd")</f>
        <v>18981202</v>
      </c>
      <c r="C8054" s="11" t="str">
        <f>INDEX(Data,2,2+MOD(ROWS(C$2:C8054)-1,24))</f>
        <v>13.00</v>
      </c>
      <c r="D8054" s="8">
        <f t="shared" ca="1" si="377"/>
        <v>16</v>
      </c>
      <c r="E8054" s="16">
        <f t="shared" ca="1" si="378"/>
        <v>0</v>
      </c>
    </row>
    <row r="8055" spans="1:5" x14ac:dyDescent="0.25">
      <c r="A8055" s="3">
        <f t="shared" si="376"/>
        <v>78989</v>
      </c>
      <c r="B8055" t="str">
        <f ca="1">TEXT(DATE(YEAR(Invoer!$A$5),1,1)+INT((ROWS(B$2:B8055)-1)/24),"""18""jjmmdd")</f>
        <v>18981202</v>
      </c>
      <c r="C8055" s="11" t="str">
        <f>INDEX(Data,2,2+MOD(ROWS(C$2:C8055)-1,24))</f>
        <v>14.00</v>
      </c>
      <c r="D8055" s="8">
        <f t="shared" ca="1" si="377"/>
        <v>18</v>
      </c>
      <c r="E8055" s="16">
        <f t="shared" ca="1" si="378"/>
        <v>0</v>
      </c>
    </row>
    <row r="8056" spans="1:5" x14ac:dyDescent="0.25">
      <c r="A8056" s="3">
        <f t="shared" si="376"/>
        <v>78989</v>
      </c>
      <c r="B8056" t="str">
        <f ca="1">TEXT(DATE(YEAR(Invoer!$A$5),1,1)+INT((ROWS(B$2:B8056)-1)/24),"""18""jjmmdd")</f>
        <v>18981202</v>
      </c>
      <c r="C8056" s="11" t="str">
        <f>INDEX(Data,2,2+MOD(ROWS(C$2:C8056)-1,24))</f>
        <v>15.00</v>
      </c>
      <c r="D8056" s="8">
        <f t="shared" ca="1" si="377"/>
        <v>17</v>
      </c>
      <c r="E8056" s="16">
        <f t="shared" ca="1" si="378"/>
        <v>0</v>
      </c>
    </row>
    <row r="8057" spans="1:5" x14ac:dyDescent="0.25">
      <c r="A8057" s="3">
        <f t="shared" si="376"/>
        <v>78989</v>
      </c>
      <c r="B8057" t="str">
        <f ca="1">TEXT(DATE(YEAR(Invoer!$A$5),1,1)+INT((ROWS(B$2:B8057)-1)/24),"""18""jjmmdd")</f>
        <v>18981202</v>
      </c>
      <c r="C8057" s="11" t="str">
        <f>INDEX(Data,2,2+MOD(ROWS(C$2:C8057)-1,24))</f>
        <v>16.00</v>
      </c>
      <c r="D8057" s="8">
        <f t="shared" ca="1" si="377"/>
        <v>15</v>
      </c>
      <c r="E8057" s="16">
        <f t="shared" ca="1" si="378"/>
        <v>0</v>
      </c>
    </row>
    <row r="8058" spans="1:5" x14ac:dyDescent="0.25">
      <c r="A8058" s="3">
        <f t="shared" si="376"/>
        <v>78989</v>
      </c>
      <c r="B8058" t="str">
        <f ca="1">TEXT(DATE(YEAR(Invoer!$A$5),1,1)+INT((ROWS(B$2:B8058)-1)/24),"""18""jjmmdd")</f>
        <v>18981202</v>
      </c>
      <c r="C8058" s="11" t="str">
        <f>INDEX(Data,2,2+MOD(ROWS(C$2:C8058)-1,24))</f>
        <v>17.00</v>
      </c>
      <c r="D8058" s="8">
        <f t="shared" ca="1" si="377"/>
        <v>16</v>
      </c>
      <c r="E8058" s="16">
        <f t="shared" ca="1" si="378"/>
        <v>0</v>
      </c>
    </row>
    <row r="8059" spans="1:5" x14ac:dyDescent="0.25">
      <c r="A8059" s="3">
        <f t="shared" si="376"/>
        <v>78989</v>
      </c>
      <c r="B8059" t="str">
        <f ca="1">TEXT(DATE(YEAR(Invoer!$A$5),1,1)+INT((ROWS(B$2:B8059)-1)/24),"""18""jjmmdd")</f>
        <v>18981202</v>
      </c>
      <c r="C8059" s="11" t="str">
        <f>INDEX(Data,2,2+MOD(ROWS(C$2:C8059)-1,24))</f>
        <v>18.00</v>
      </c>
      <c r="D8059" s="8">
        <f t="shared" ca="1" si="377"/>
        <v>14</v>
      </c>
      <c r="E8059" s="16">
        <f t="shared" ca="1" si="378"/>
        <v>0</v>
      </c>
    </row>
    <row r="8060" spans="1:5" x14ac:dyDescent="0.25">
      <c r="A8060" s="3">
        <f t="shared" si="376"/>
        <v>78989</v>
      </c>
      <c r="B8060" t="str">
        <f ca="1">TEXT(DATE(YEAR(Invoer!$A$5),1,1)+INT((ROWS(B$2:B8060)-1)/24),"""18""jjmmdd")</f>
        <v>18981202</v>
      </c>
      <c r="C8060" s="11" t="str">
        <f>INDEX(Data,2,2+MOD(ROWS(C$2:C8060)-1,24))</f>
        <v>19.00</v>
      </c>
      <c r="D8060" s="8">
        <f t="shared" ca="1" si="377"/>
        <v>14</v>
      </c>
      <c r="E8060" s="16">
        <f t="shared" ca="1" si="378"/>
        <v>0</v>
      </c>
    </row>
    <row r="8061" spans="1:5" x14ac:dyDescent="0.25">
      <c r="A8061" s="3">
        <f t="shared" si="376"/>
        <v>78989</v>
      </c>
      <c r="B8061" t="str">
        <f ca="1">TEXT(DATE(YEAR(Invoer!$A$5),1,1)+INT((ROWS(B$2:B8061)-1)/24),"""18""jjmmdd")</f>
        <v>18981202</v>
      </c>
      <c r="C8061" s="11" t="str">
        <f>INDEX(Data,2,2+MOD(ROWS(C$2:C8061)-1,24))</f>
        <v>20.00</v>
      </c>
      <c r="D8061" s="8">
        <f t="shared" ca="1" si="377"/>
        <v>15</v>
      </c>
      <c r="E8061" s="16">
        <f t="shared" ca="1" si="378"/>
        <v>0</v>
      </c>
    </row>
    <row r="8062" spans="1:5" x14ac:dyDescent="0.25">
      <c r="A8062" s="3">
        <f t="shared" si="376"/>
        <v>78989</v>
      </c>
      <c r="B8062" t="str">
        <f ca="1">TEXT(DATE(YEAR(Invoer!$A$5),1,1)+INT((ROWS(B$2:B8062)-1)/24),"""18""jjmmdd")</f>
        <v>18981202</v>
      </c>
      <c r="C8062" s="11" t="str">
        <f>INDEX(Data,2,2+MOD(ROWS(C$2:C8062)-1,24))</f>
        <v>21.00</v>
      </c>
      <c r="D8062" s="8">
        <f t="shared" ca="1" si="377"/>
        <v>15</v>
      </c>
      <c r="E8062" s="16">
        <f t="shared" ca="1" si="378"/>
        <v>0</v>
      </c>
    </row>
    <row r="8063" spans="1:5" x14ac:dyDescent="0.25">
      <c r="A8063" s="3">
        <f t="shared" si="376"/>
        <v>78989</v>
      </c>
      <c r="B8063" t="str">
        <f ca="1">TEXT(DATE(YEAR(Invoer!$A$5),1,1)+INT((ROWS(B$2:B8063)-1)/24),"""18""jjmmdd")</f>
        <v>18981202</v>
      </c>
      <c r="C8063" s="11" t="str">
        <f>INDEX(Data,2,2+MOD(ROWS(C$2:C8063)-1,24))</f>
        <v>22.00</v>
      </c>
      <c r="D8063" s="8">
        <f t="shared" ca="1" si="377"/>
        <v>12</v>
      </c>
      <c r="E8063" s="16">
        <f t="shared" ca="1" si="378"/>
        <v>0</v>
      </c>
    </row>
    <row r="8064" spans="1:5" x14ac:dyDescent="0.25">
      <c r="A8064" s="3">
        <f t="shared" si="376"/>
        <v>78989</v>
      </c>
      <c r="B8064" t="str">
        <f ca="1">TEXT(DATE(YEAR(Invoer!$A$5),1,1)+INT((ROWS(B$2:B8064)-1)/24),"""18""jjmmdd")</f>
        <v>18981202</v>
      </c>
      <c r="C8064" s="11" t="str">
        <f>INDEX(Data,2,2+MOD(ROWS(C$2:C8064)-1,24))</f>
        <v>23.00</v>
      </c>
      <c r="D8064" s="8">
        <f t="shared" ca="1" si="377"/>
        <v>13</v>
      </c>
      <c r="E8064" s="16">
        <f t="shared" ca="1" si="378"/>
        <v>0</v>
      </c>
    </row>
    <row r="8065" spans="1:5" x14ac:dyDescent="0.25">
      <c r="A8065" s="3">
        <f t="shared" si="376"/>
        <v>78989</v>
      </c>
      <c r="B8065" t="str">
        <f ca="1">TEXT(DATE(YEAR(Invoer!$A$5),1,1)+INT((ROWS(B$2:B8065)-1)/24),"""18""jjmmdd")</f>
        <v>18981202</v>
      </c>
      <c r="C8065" s="11" t="str">
        <f>INDEX(Data,2,2+MOD(ROWS(C$2:C8065)-1,24))</f>
        <v>24.00</v>
      </c>
      <c r="D8065" s="8">
        <f t="shared" ca="1" si="377"/>
        <v>12</v>
      </c>
      <c r="E8065" s="16">
        <f t="shared" ca="1" si="378"/>
        <v>0</v>
      </c>
    </row>
    <row r="8066" spans="1:5" x14ac:dyDescent="0.25">
      <c r="A8066" s="3">
        <f t="shared" ref="A8066:A8129" si="379">INDEX(Stations,2,1)</f>
        <v>78989</v>
      </c>
      <c r="B8066" t="str">
        <f ca="1">TEXT(DATE(YEAR(Invoer!$A$5),1,1)+INT((ROWS(B$2:B8066)-1)/24),"""18""jjmmdd")</f>
        <v>18981203</v>
      </c>
      <c r="C8066" s="11" t="str">
        <f>INDEX(Data,2,2+MOD(ROWS(C$2:C8066)-1,24))</f>
        <v>01.00</v>
      </c>
      <c r="D8066" s="8">
        <f t="shared" ref="D8066:D8129" ca="1" si="380">IF(OR(ISBLANK(VLOOKUP(DATEVALUE("37"&amp;MID($B8066,3,2)&amp;"-"&amp;MID($B8066,5,2)&amp;"-"&amp;RIGHT($B8066,2)),Data,MATCH(LEFT(VLOOKUP(D$1,Parameters,2,FALSE()),4)&amp;"*",OFFSET(Data,0,0,1),0)+MATCH($C8066,OFFSET(Data,1,0,1),0)-2,FALSE())),ISTEXT(VLOOKUP(DATEVALUE("37"&amp;MID($B8066,3,2)&amp;"-"&amp;MID($B8066,5,2)&amp;"-"&amp;RIGHT($B8066,2)),Data,MATCH(LEFT(VLOOKUP(D$1,Parameters,2,FALSE()),4)&amp;"*",OFFSET(Data,0,0,1),0)+MATCH($C8066,OFFSET(Data,1,0,1),0)-2,FALSE()))),"—",VLOOKUP(DATEVALUE("37"&amp;MID($B8066,3,2)&amp;"-"&amp;MID($B8066,5,2)&amp;"-"&amp;RIGHT($B8066,2)),Data,MATCH(LEFT(VLOOKUP(D$1,Parameters,2,FALSE()),4)&amp;"*",OFFSET(Data,0,0,1),0)+MATCH($C8066,OFFSET(Data,1,0,1),0)-2,FALSE()))</f>
        <v>11</v>
      </c>
      <c r="E8066" s="16">
        <f t="shared" ca="1" si="378"/>
        <v>0</v>
      </c>
    </row>
    <row r="8067" spans="1:5" x14ac:dyDescent="0.25">
      <c r="A8067" s="3">
        <f t="shared" si="379"/>
        <v>78989</v>
      </c>
      <c r="B8067" t="str">
        <f ca="1">TEXT(DATE(YEAR(Invoer!$A$5),1,1)+INT((ROWS(B$2:B8067)-1)/24),"""18""jjmmdd")</f>
        <v>18981203</v>
      </c>
      <c r="C8067" s="11" t="str">
        <f>INDEX(Data,2,2+MOD(ROWS(C$2:C8067)-1,24))</f>
        <v>02.00</v>
      </c>
      <c r="D8067" s="8">
        <f t="shared" ca="1" si="380"/>
        <v>11</v>
      </c>
      <c r="E8067" s="16">
        <f t="shared" ref="E8067:E8130" ca="1" si="381">IF(OR(ISBLANK(VLOOKUP(DATEVALUE("37"&amp;MID($B8067,3,2)&amp;"-"&amp;MID($B8067,5,2)&amp;"-"&amp;RIGHT($B8067,2)),Data,MATCH(LEFT(VLOOKUP(D$1,Parameters,2,FALSE()),4)&amp;"*",OFFSET(Data,0,0,1),0)+MATCH($C8067,OFFSET(Data,1,0,1),0)-2,FALSE())),ISTEXT(VLOOKUP(DATEVALUE("37"&amp;MID($B8067,3,2)&amp;"-"&amp;MID($B8067,5,2)&amp;"-"&amp;RIGHT($B8067,2)),Data,MATCH(LEFT(VLOOKUP(D$1,Parameters,2,FALSE()),4)&amp;"*",OFFSET(Data,0,0,1),0)+MATCH($C8067,OFFSET(Data,1,0,1),0)-2,FALSE()))),Lacking,IF(ISNA(MATCH(DATEVALUE("37"&amp;MID($B8067,3,2)&amp;"-"&amp;MID($B8067,5,2)&amp;"-"&amp;RIGHT($B8067,2)),OFFSET(Catalogus,0,0,,1),0)),Ok,VLOOKUP(DATEVALUE("37"&amp;MID($B8067,3,2)&amp;"-"&amp;MID($B8067,5,2)&amp;"-"&amp;RIGHT($B8067,2)),Catalogus,MATCH(LEFT(VLOOKUP(MID(E$1,2,LEN(E$1)-1),Parameters,2,FALSE()),4)&amp;"*",OFFSET(Catalogus,0,0,1),0)+MATCH($C8067,OFFSET(Catalogus,1,0,1),0)-2,FALSE())))</f>
        <v>0</v>
      </c>
    </row>
    <row r="8068" spans="1:5" x14ac:dyDescent="0.25">
      <c r="A8068" s="3">
        <f t="shared" si="379"/>
        <v>78989</v>
      </c>
      <c r="B8068" t="str">
        <f ca="1">TEXT(DATE(YEAR(Invoer!$A$5),1,1)+INT((ROWS(B$2:B8068)-1)/24),"""18""jjmmdd")</f>
        <v>18981203</v>
      </c>
      <c r="C8068" s="11" t="str">
        <f>INDEX(Data,2,2+MOD(ROWS(C$2:C8068)-1,24))</f>
        <v>03.00</v>
      </c>
      <c r="D8068" s="8">
        <f t="shared" ca="1" si="380"/>
        <v>11</v>
      </c>
      <c r="E8068" s="16">
        <f t="shared" ca="1" si="381"/>
        <v>0</v>
      </c>
    </row>
    <row r="8069" spans="1:5" x14ac:dyDescent="0.25">
      <c r="A8069" s="3">
        <f t="shared" si="379"/>
        <v>78989</v>
      </c>
      <c r="B8069" t="str">
        <f ca="1">TEXT(DATE(YEAR(Invoer!$A$5),1,1)+INT((ROWS(B$2:B8069)-1)/24),"""18""jjmmdd")</f>
        <v>18981203</v>
      </c>
      <c r="C8069" s="11" t="str">
        <f>INDEX(Data,2,2+MOD(ROWS(C$2:C8069)-1,24))</f>
        <v>04.00</v>
      </c>
      <c r="D8069" s="8">
        <f t="shared" ca="1" si="380"/>
        <v>11</v>
      </c>
      <c r="E8069" s="16">
        <f t="shared" ca="1" si="381"/>
        <v>0</v>
      </c>
    </row>
    <row r="8070" spans="1:5" x14ac:dyDescent="0.25">
      <c r="A8070" s="3">
        <f t="shared" si="379"/>
        <v>78989</v>
      </c>
      <c r="B8070" t="str">
        <f ca="1">TEXT(DATE(YEAR(Invoer!$A$5),1,1)+INT((ROWS(B$2:B8070)-1)/24),"""18""jjmmdd")</f>
        <v>18981203</v>
      </c>
      <c r="C8070" s="11" t="str">
        <f>INDEX(Data,2,2+MOD(ROWS(C$2:C8070)-1,24))</f>
        <v>05.00</v>
      </c>
      <c r="D8070" s="8">
        <f t="shared" ca="1" si="380"/>
        <v>10</v>
      </c>
      <c r="E8070" s="16">
        <f t="shared" ca="1" si="381"/>
        <v>0</v>
      </c>
    </row>
    <row r="8071" spans="1:5" x14ac:dyDescent="0.25">
      <c r="A8071" s="3">
        <f t="shared" si="379"/>
        <v>78989</v>
      </c>
      <c r="B8071" t="str">
        <f ca="1">TEXT(DATE(YEAR(Invoer!$A$5),1,1)+INT((ROWS(B$2:B8071)-1)/24),"""18""jjmmdd")</f>
        <v>18981203</v>
      </c>
      <c r="C8071" s="11" t="str">
        <f>INDEX(Data,2,2+MOD(ROWS(C$2:C8071)-1,24))</f>
        <v>06.00</v>
      </c>
      <c r="D8071" s="8">
        <f t="shared" ca="1" si="380"/>
        <v>11</v>
      </c>
      <c r="E8071" s="16">
        <f t="shared" ca="1" si="381"/>
        <v>0</v>
      </c>
    </row>
    <row r="8072" spans="1:5" x14ac:dyDescent="0.25">
      <c r="A8072" s="3">
        <f t="shared" si="379"/>
        <v>78989</v>
      </c>
      <c r="B8072" t="str">
        <f ca="1">TEXT(DATE(YEAR(Invoer!$A$5),1,1)+INT((ROWS(B$2:B8072)-1)/24),"""18""jjmmdd")</f>
        <v>18981203</v>
      </c>
      <c r="C8072" s="11" t="str">
        <f>INDEX(Data,2,2+MOD(ROWS(C$2:C8072)-1,24))</f>
        <v>07.00</v>
      </c>
      <c r="D8072" s="8">
        <f t="shared" ca="1" si="380"/>
        <v>10</v>
      </c>
      <c r="E8072" s="16">
        <f t="shared" ca="1" si="381"/>
        <v>0</v>
      </c>
    </row>
    <row r="8073" spans="1:5" x14ac:dyDescent="0.25">
      <c r="A8073" s="3">
        <f t="shared" si="379"/>
        <v>78989</v>
      </c>
      <c r="B8073" t="str">
        <f ca="1">TEXT(DATE(YEAR(Invoer!$A$5),1,1)+INT((ROWS(B$2:B8073)-1)/24),"""18""jjmmdd")</f>
        <v>18981203</v>
      </c>
      <c r="C8073" s="11" t="str">
        <f>INDEX(Data,2,2+MOD(ROWS(C$2:C8073)-1,24))</f>
        <v>08.00</v>
      </c>
      <c r="D8073" s="8">
        <f t="shared" ca="1" si="380"/>
        <v>13</v>
      </c>
      <c r="E8073" s="16">
        <f t="shared" ca="1" si="381"/>
        <v>0</v>
      </c>
    </row>
    <row r="8074" spans="1:5" x14ac:dyDescent="0.25">
      <c r="A8074" s="3">
        <f t="shared" si="379"/>
        <v>78989</v>
      </c>
      <c r="B8074" t="str">
        <f ca="1">TEXT(DATE(YEAR(Invoer!$A$5),1,1)+INT((ROWS(B$2:B8074)-1)/24),"""18""jjmmdd")</f>
        <v>18981203</v>
      </c>
      <c r="C8074" s="11" t="str">
        <f>INDEX(Data,2,2+MOD(ROWS(C$2:C8074)-1,24))</f>
        <v>09.00</v>
      </c>
      <c r="D8074" s="8">
        <f t="shared" ca="1" si="380"/>
        <v>14</v>
      </c>
      <c r="E8074" s="16">
        <f t="shared" ca="1" si="381"/>
        <v>0</v>
      </c>
    </row>
    <row r="8075" spans="1:5" x14ac:dyDescent="0.25">
      <c r="A8075" s="3">
        <f t="shared" si="379"/>
        <v>78989</v>
      </c>
      <c r="B8075" t="str">
        <f ca="1">TEXT(DATE(YEAR(Invoer!$A$5),1,1)+INT((ROWS(B$2:B8075)-1)/24),"""18""jjmmdd")</f>
        <v>18981203</v>
      </c>
      <c r="C8075" s="11" t="str">
        <f>INDEX(Data,2,2+MOD(ROWS(C$2:C8075)-1,24))</f>
        <v>10.00</v>
      </c>
      <c r="D8075" s="8">
        <f t="shared" ca="1" si="380"/>
        <v>15</v>
      </c>
      <c r="E8075" s="16">
        <f t="shared" ca="1" si="381"/>
        <v>0</v>
      </c>
    </row>
    <row r="8076" spans="1:5" x14ac:dyDescent="0.25">
      <c r="A8076" s="3">
        <f t="shared" si="379"/>
        <v>78989</v>
      </c>
      <c r="B8076" t="str">
        <f ca="1">TEXT(DATE(YEAR(Invoer!$A$5),1,1)+INT((ROWS(B$2:B8076)-1)/24),"""18""jjmmdd")</f>
        <v>18981203</v>
      </c>
      <c r="C8076" s="11" t="str">
        <f>INDEX(Data,2,2+MOD(ROWS(C$2:C8076)-1,24))</f>
        <v>11.00</v>
      </c>
      <c r="D8076" s="8">
        <f t="shared" ca="1" si="380"/>
        <v>17</v>
      </c>
      <c r="E8076" s="16">
        <f t="shared" ca="1" si="381"/>
        <v>0</v>
      </c>
    </row>
    <row r="8077" spans="1:5" x14ac:dyDescent="0.25">
      <c r="A8077" s="3">
        <f t="shared" si="379"/>
        <v>78989</v>
      </c>
      <c r="B8077" t="str">
        <f ca="1">TEXT(DATE(YEAR(Invoer!$A$5),1,1)+INT((ROWS(B$2:B8077)-1)/24),"""18""jjmmdd")</f>
        <v>18981203</v>
      </c>
      <c r="C8077" s="11" t="str">
        <f>INDEX(Data,2,2+MOD(ROWS(C$2:C8077)-1,24))</f>
        <v>12.00</v>
      </c>
      <c r="D8077" s="8">
        <f t="shared" ca="1" si="380"/>
        <v>16</v>
      </c>
      <c r="E8077" s="16">
        <f t="shared" ca="1" si="381"/>
        <v>0</v>
      </c>
    </row>
    <row r="8078" spans="1:5" x14ac:dyDescent="0.25">
      <c r="A8078" s="3">
        <f t="shared" si="379"/>
        <v>78989</v>
      </c>
      <c r="B8078" t="str">
        <f ca="1">TEXT(DATE(YEAR(Invoer!$A$5),1,1)+INT((ROWS(B$2:B8078)-1)/24),"""18""jjmmdd")</f>
        <v>18981203</v>
      </c>
      <c r="C8078" s="11" t="str">
        <f>INDEX(Data,2,2+MOD(ROWS(C$2:C8078)-1,24))</f>
        <v>13.00</v>
      </c>
      <c r="D8078" s="8">
        <f t="shared" ca="1" si="380"/>
        <v>17</v>
      </c>
      <c r="E8078" s="16">
        <f t="shared" ca="1" si="381"/>
        <v>0</v>
      </c>
    </row>
    <row r="8079" spans="1:5" x14ac:dyDescent="0.25">
      <c r="A8079" s="3">
        <f t="shared" si="379"/>
        <v>78989</v>
      </c>
      <c r="B8079" t="str">
        <f ca="1">TEXT(DATE(YEAR(Invoer!$A$5),1,1)+INT((ROWS(B$2:B8079)-1)/24),"""18""jjmmdd")</f>
        <v>18981203</v>
      </c>
      <c r="C8079" s="11" t="str">
        <f>INDEX(Data,2,2+MOD(ROWS(C$2:C8079)-1,24))</f>
        <v>14.00</v>
      </c>
      <c r="D8079" s="8">
        <f t="shared" ca="1" si="380"/>
        <v>16</v>
      </c>
      <c r="E8079" s="16">
        <f t="shared" ca="1" si="381"/>
        <v>0</v>
      </c>
    </row>
    <row r="8080" spans="1:5" x14ac:dyDescent="0.25">
      <c r="A8080" s="3">
        <f t="shared" si="379"/>
        <v>78989</v>
      </c>
      <c r="B8080" t="str">
        <f ca="1">TEXT(DATE(YEAR(Invoer!$A$5),1,1)+INT((ROWS(B$2:B8080)-1)/24),"""18""jjmmdd")</f>
        <v>18981203</v>
      </c>
      <c r="C8080" s="11" t="str">
        <f>INDEX(Data,2,2+MOD(ROWS(C$2:C8080)-1,24))</f>
        <v>15.00</v>
      </c>
      <c r="D8080" s="8">
        <f t="shared" ca="1" si="380"/>
        <v>15</v>
      </c>
      <c r="E8080" s="16">
        <f t="shared" ca="1" si="381"/>
        <v>0</v>
      </c>
    </row>
    <row r="8081" spans="1:5" x14ac:dyDescent="0.25">
      <c r="A8081" s="3">
        <f t="shared" si="379"/>
        <v>78989</v>
      </c>
      <c r="B8081" t="str">
        <f ca="1">TEXT(DATE(YEAR(Invoer!$A$5),1,1)+INT((ROWS(B$2:B8081)-1)/24),"""18""jjmmdd")</f>
        <v>18981203</v>
      </c>
      <c r="C8081" s="11" t="str">
        <f>INDEX(Data,2,2+MOD(ROWS(C$2:C8081)-1,24))</f>
        <v>16.00</v>
      </c>
      <c r="D8081" s="8">
        <f t="shared" ca="1" si="380"/>
        <v>14</v>
      </c>
      <c r="E8081" s="16">
        <f t="shared" ca="1" si="381"/>
        <v>0</v>
      </c>
    </row>
    <row r="8082" spans="1:5" x14ac:dyDescent="0.25">
      <c r="A8082" s="3">
        <f t="shared" si="379"/>
        <v>78989</v>
      </c>
      <c r="B8082" t="str">
        <f ca="1">TEXT(DATE(YEAR(Invoer!$A$5),1,1)+INT((ROWS(B$2:B8082)-1)/24),"""18""jjmmdd")</f>
        <v>18981203</v>
      </c>
      <c r="C8082" s="11" t="str">
        <f>INDEX(Data,2,2+MOD(ROWS(C$2:C8082)-1,24))</f>
        <v>17.00</v>
      </c>
      <c r="D8082" s="8">
        <f t="shared" ca="1" si="380"/>
        <v>13</v>
      </c>
      <c r="E8082" s="16">
        <f t="shared" ca="1" si="381"/>
        <v>0</v>
      </c>
    </row>
    <row r="8083" spans="1:5" x14ac:dyDescent="0.25">
      <c r="A8083" s="3">
        <f t="shared" si="379"/>
        <v>78989</v>
      </c>
      <c r="B8083" t="str">
        <f ca="1">TEXT(DATE(YEAR(Invoer!$A$5),1,1)+INT((ROWS(B$2:B8083)-1)/24),"""18""jjmmdd")</f>
        <v>18981203</v>
      </c>
      <c r="C8083" s="11" t="str">
        <f>INDEX(Data,2,2+MOD(ROWS(C$2:C8083)-1,24))</f>
        <v>18.00</v>
      </c>
      <c r="D8083" s="8">
        <f t="shared" ca="1" si="380"/>
        <v>11</v>
      </c>
      <c r="E8083" s="16">
        <f t="shared" ca="1" si="381"/>
        <v>0</v>
      </c>
    </row>
    <row r="8084" spans="1:5" x14ac:dyDescent="0.25">
      <c r="A8084" s="3">
        <f t="shared" si="379"/>
        <v>78989</v>
      </c>
      <c r="B8084" t="str">
        <f ca="1">TEXT(DATE(YEAR(Invoer!$A$5),1,1)+INT((ROWS(B$2:B8084)-1)/24),"""18""jjmmdd")</f>
        <v>18981203</v>
      </c>
      <c r="C8084" s="11" t="str">
        <f>INDEX(Data,2,2+MOD(ROWS(C$2:C8084)-1,24))</f>
        <v>19.00</v>
      </c>
      <c r="D8084" s="8">
        <f t="shared" ca="1" si="380"/>
        <v>12</v>
      </c>
      <c r="E8084" s="16">
        <f t="shared" ca="1" si="381"/>
        <v>0</v>
      </c>
    </row>
    <row r="8085" spans="1:5" x14ac:dyDescent="0.25">
      <c r="A8085" s="3">
        <f t="shared" si="379"/>
        <v>78989</v>
      </c>
      <c r="B8085" t="str">
        <f ca="1">TEXT(DATE(YEAR(Invoer!$A$5),1,1)+INT((ROWS(B$2:B8085)-1)/24),"""18""jjmmdd")</f>
        <v>18981203</v>
      </c>
      <c r="C8085" s="11" t="str">
        <f>INDEX(Data,2,2+MOD(ROWS(C$2:C8085)-1,24))</f>
        <v>20.00</v>
      </c>
      <c r="D8085" s="8">
        <f t="shared" ca="1" si="380"/>
        <v>12</v>
      </c>
      <c r="E8085" s="16">
        <f t="shared" ca="1" si="381"/>
        <v>0</v>
      </c>
    </row>
    <row r="8086" spans="1:5" x14ac:dyDescent="0.25">
      <c r="A8086" s="3">
        <f t="shared" si="379"/>
        <v>78989</v>
      </c>
      <c r="B8086" t="str">
        <f ca="1">TEXT(DATE(YEAR(Invoer!$A$5),1,1)+INT((ROWS(B$2:B8086)-1)/24),"""18""jjmmdd")</f>
        <v>18981203</v>
      </c>
      <c r="C8086" s="11" t="str">
        <f>INDEX(Data,2,2+MOD(ROWS(C$2:C8086)-1,24))</f>
        <v>21.00</v>
      </c>
      <c r="D8086" s="8">
        <f t="shared" ca="1" si="380"/>
        <v>11</v>
      </c>
      <c r="E8086" s="16">
        <f t="shared" ca="1" si="381"/>
        <v>0</v>
      </c>
    </row>
    <row r="8087" spans="1:5" x14ac:dyDescent="0.25">
      <c r="A8087" s="3">
        <f t="shared" si="379"/>
        <v>78989</v>
      </c>
      <c r="B8087" t="str">
        <f ca="1">TEXT(DATE(YEAR(Invoer!$A$5),1,1)+INT((ROWS(B$2:B8087)-1)/24),"""18""jjmmdd")</f>
        <v>18981203</v>
      </c>
      <c r="C8087" s="11" t="str">
        <f>INDEX(Data,2,2+MOD(ROWS(C$2:C8087)-1,24))</f>
        <v>22.00</v>
      </c>
      <c r="D8087" s="8">
        <f t="shared" ca="1" si="380"/>
        <v>11</v>
      </c>
      <c r="E8087" s="16">
        <f t="shared" ca="1" si="381"/>
        <v>0</v>
      </c>
    </row>
    <row r="8088" spans="1:5" x14ac:dyDescent="0.25">
      <c r="A8088" s="3">
        <f t="shared" si="379"/>
        <v>78989</v>
      </c>
      <c r="B8088" t="str">
        <f ca="1">TEXT(DATE(YEAR(Invoer!$A$5),1,1)+INT((ROWS(B$2:B8088)-1)/24),"""18""jjmmdd")</f>
        <v>18981203</v>
      </c>
      <c r="C8088" s="11" t="str">
        <f>INDEX(Data,2,2+MOD(ROWS(C$2:C8088)-1,24))</f>
        <v>23.00</v>
      </c>
      <c r="D8088" s="8">
        <f t="shared" ca="1" si="380"/>
        <v>9</v>
      </c>
      <c r="E8088" s="16">
        <f t="shared" ca="1" si="381"/>
        <v>0</v>
      </c>
    </row>
    <row r="8089" spans="1:5" x14ac:dyDescent="0.25">
      <c r="A8089" s="3">
        <f t="shared" si="379"/>
        <v>78989</v>
      </c>
      <c r="B8089" t="str">
        <f ca="1">TEXT(DATE(YEAR(Invoer!$A$5),1,1)+INT((ROWS(B$2:B8089)-1)/24),"""18""jjmmdd")</f>
        <v>18981203</v>
      </c>
      <c r="C8089" s="11" t="str">
        <f>INDEX(Data,2,2+MOD(ROWS(C$2:C8089)-1,24))</f>
        <v>24.00</v>
      </c>
      <c r="D8089" s="8">
        <f t="shared" ca="1" si="380"/>
        <v>11</v>
      </c>
      <c r="E8089" s="16">
        <f t="shared" ca="1" si="381"/>
        <v>0</v>
      </c>
    </row>
    <row r="8090" spans="1:5" x14ac:dyDescent="0.25">
      <c r="A8090" s="3">
        <f t="shared" si="379"/>
        <v>78989</v>
      </c>
      <c r="B8090" t="str">
        <f ca="1">TEXT(DATE(YEAR(Invoer!$A$5),1,1)+INT((ROWS(B$2:B8090)-1)/24),"""18""jjmmdd")</f>
        <v>18981204</v>
      </c>
      <c r="C8090" s="11" t="str">
        <f>INDEX(Data,2,2+MOD(ROWS(C$2:C8090)-1,24))</f>
        <v>01.00</v>
      </c>
      <c r="D8090" s="8">
        <f t="shared" ca="1" si="380"/>
        <v>11</v>
      </c>
      <c r="E8090" s="16">
        <f t="shared" ca="1" si="381"/>
        <v>0</v>
      </c>
    </row>
    <row r="8091" spans="1:5" x14ac:dyDescent="0.25">
      <c r="A8091" s="3">
        <f t="shared" si="379"/>
        <v>78989</v>
      </c>
      <c r="B8091" t="str">
        <f ca="1">TEXT(DATE(YEAR(Invoer!$A$5),1,1)+INT((ROWS(B$2:B8091)-1)/24),"""18""jjmmdd")</f>
        <v>18981204</v>
      </c>
      <c r="C8091" s="11" t="str">
        <f>INDEX(Data,2,2+MOD(ROWS(C$2:C8091)-1,24))</f>
        <v>02.00</v>
      </c>
      <c r="D8091" s="8">
        <f t="shared" ca="1" si="380"/>
        <v>8</v>
      </c>
      <c r="E8091" s="16">
        <f t="shared" ca="1" si="381"/>
        <v>0</v>
      </c>
    </row>
    <row r="8092" spans="1:5" x14ac:dyDescent="0.25">
      <c r="A8092" s="3">
        <f t="shared" si="379"/>
        <v>78989</v>
      </c>
      <c r="B8092" t="str">
        <f ca="1">TEXT(DATE(YEAR(Invoer!$A$5),1,1)+INT((ROWS(B$2:B8092)-1)/24),"""18""jjmmdd")</f>
        <v>18981204</v>
      </c>
      <c r="C8092" s="11" t="str">
        <f>INDEX(Data,2,2+MOD(ROWS(C$2:C8092)-1,24))</f>
        <v>03.00</v>
      </c>
      <c r="D8092" s="8">
        <f t="shared" ca="1" si="380"/>
        <v>10</v>
      </c>
      <c r="E8092" s="16">
        <f t="shared" ca="1" si="381"/>
        <v>0</v>
      </c>
    </row>
    <row r="8093" spans="1:5" x14ac:dyDescent="0.25">
      <c r="A8093" s="3">
        <f t="shared" si="379"/>
        <v>78989</v>
      </c>
      <c r="B8093" t="str">
        <f ca="1">TEXT(DATE(YEAR(Invoer!$A$5),1,1)+INT((ROWS(B$2:B8093)-1)/24),"""18""jjmmdd")</f>
        <v>18981204</v>
      </c>
      <c r="C8093" s="11" t="str">
        <f>INDEX(Data,2,2+MOD(ROWS(C$2:C8093)-1,24))</f>
        <v>04.00</v>
      </c>
      <c r="D8093" s="8">
        <f t="shared" ca="1" si="380"/>
        <v>8</v>
      </c>
      <c r="E8093" s="16">
        <f t="shared" ca="1" si="381"/>
        <v>0</v>
      </c>
    </row>
    <row r="8094" spans="1:5" x14ac:dyDescent="0.25">
      <c r="A8094" s="3">
        <f t="shared" si="379"/>
        <v>78989</v>
      </c>
      <c r="B8094" t="str">
        <f ca="1">TEXT(DATE(YEAR(Invoer!$A$5),1,1)+INT((ROWS(B$2:B8094)-1)/24),"""18""jjmmdd")</f>
        <v>18981204</v>
      </c>
      <c r="C8094" s="11" t="str">
        <f>INDEX(Data,2,2+MOD(ROWS(C$2:C8094)-1,24))</f>
        <v>05.00</v>
      </c>
      <c r="D8094" s="8">
        <f t="shared" ca="1" si="380"/>
        <v>8</v>
      </c>
      <c r="E8094" s="16">
        <f t="shared" ca="1" si="381"/>
        <v>0</v>
      </c>
    </row>
    <row r="8095" spans="1:5" x14ac:dyDescent="0.25">
      <c r="A8095" s="3">
        <f t="shared" si="379"/>
        <v>78989</v>
      </c>
      <c r="B8095" t="str">
        <f ca="1">TEXT(DATE(YEAR(Invoer!$A$5),1,1)+INT((ROWS(B$2:B8095)-1)/24),"""18""jjmmdd")</f>
        <v>18981204</v>
      </c>
      <c r="C8095" s="11" t="str">
        <f>INDEX(Data,2,2+MOD(ROWS(C$2:C8095)-1,24))</f>
        <v>06.00</v>
      </c>
      <c r="D8095" s="8">
        <f t="shared" ca="1" si="380"/>
        <v>9</v>
      </c>
      <c r="E8095" s="16">
        <f t="shared" ca="1" si="381"/>
        <v>0</v>
      </c>
    </row>
    <row r="8096" spans="1:5" x14ac:dyDescent="0.25">
      <c r="A8096" s="3">
        <f t="shared" si="379"/>
        <v>78989</v>
      </c>
      <c r="B8096" t="str">
        <f ca="1">TEXT(DATE(YEAR(Invoer!$A$5),1,1)+INT((ROWS(B$2:B8096)-1)/24),"""18""jjmmdd")</f>
        <v>18981204</v>
      </c>
      <c r="C8096" s="11" t="str">
        <f>INDEX(Data,2,2+MOD(ROWS(C$2:C8096)-1,24))</f>
        <v>07.00</v>
      </c>
      <c r="D8096" s="8">
        <f t="shared" ca="1" si="380"/>
        <v>10</v>
      </c>
      <c r="E8096" s="16">
        <f t="shared" ca="1" si="381"/>
        <v>0</v>
      </c>
    </row>
    <row r="8097" spans="1:5" x14ac:dyDescent="0.25">
      <c r="A8097" s="3">
        <f t="shared" si="379"/>
        <v>78989</v>
      </c>
      <c r="B8097" t="str">
        <f ca="1">TEXT(DATE(YEAR(Invoer!$A$5),1,1)+INT((ROWS(B$2:B8097)-1)/24),"""18""jjmmdd")</f>
        <v>18981204</v>
      </c>
      <c r="C8097" s="11" t="str">
        <f>INDEX(Data,2,2+MOD(ROWS(C$2:C8097)-1,24))</f>
        <v>08.00</v>
      </c>
      <c r="D8097" s="8">
        <f t="shared" ca="1" si="380"/>
        <v>14</v>
      </c>
      <c r="E8097" s="16">
        <f t="shared" ca="1" si="381"/>
        <v>0</v>
      </c>
    </row>
    <row r="8098" spans="1:5" x14ac:dyDescent="0.25">
      <c r="A8098" s="3">
        <f t="shared" si="379"/>
        <v>78989</v>
      </c>
      <c r="B8098" t="str">
        <f ca="1">TEXT(DATE(YEAR(Invoer!$A$5),1,1)+INT((ROWS(B$2:B8098)-1)/24),"""18""jjmmdd")</f>
        <v>18981204</v>
      </c>
      <c r="C8098" s="11" t="str">
        <f>INDEX(Data,2,2+MOD(ROWS(C$2:C8098)-1,24))</f>
        <v>09.00</v>
      </c>
      <c r="D8098" s="8">
        <f t="shared" ca="1" si="380"/>
        <v>14</v>
      </c>
      <c r="E8098" s="16">
        <f t="shared" ca="1" si="381"/>
        <v>0</v>
      </c>
    </row>
    <row r="8099" spans="1:5" x14ac:dyDescent="0.25">
      <c r="A8099" s="3">
        <f t="shared" si="379"/>
        <v>78989</v>
      </c>
      <c r="B8099" t="str">
        <f ca="1">TEXT(DATE(YEAR(Invoer!$A$5),1,1)+INT((ROWS(B$2:B8099)-1)/24),"""18""jjmmdd")</f>
        <v>18981204</v>
      </c>
      <c r="C8099" s="11" t="str">
        <f>INDEX(Data,2,2+MOD(ROWS(C$2:C8099)-1,24))</f>
        <v>10.00</v>
      </c>
      <c r="D8099" s="8">
        <f t="shared" ca="1" si="380"/>
        <v>16</v>
      </c>
      <c r="E8099" s="16">
        <f t="shared" ca="1" si="381"/>
        <v>0</v>
      </c>
    </row>
    <row r="8100" spans="1:5" x14ac:dyDescent="0.25">
      <c r="A8100" s="3">
        <f t="shared" si="379"/>
        <v>78989</v>
      </c>
      <c r="B8100" t="str">
        <f ca="1">TEXT(DATE(YEAR(Invoer!$A$5),1,1)+INT((ROWS(B$2:B8100)-1)/24),"""18""jjmmdd")</f>
        <v>18981204</v>
      </c>
      <c r="C8100" s="11" t="str">
        <f>INDEX(Data,2,2+MOD(ROWS(C$2:C8100)-1,24))</f>
        <v>11.00</v>
      </c>
      <c r="D8100" s="8">
        <f t="shared" ca="1" si="380"/>
        <v>14</v>
      </c>
      <c r="E8100" s="16">
        <f t="shared" ca="1" si="381"/>
        <v>0</v>
      </c>
    </row>
    <row r="8101" spans="1:5" x14ac:dyDescent="0.25">
      <c r="A8101" s="3">
        <f t="shared" si="379"/>
        <v>78989</v>
      </c>
      <c r="B8101" t="str">
        <f ca="1">TEXT(DATE(YEAR(Invoer!$A$5),1,1)+INT((ROWS(B$2:B8101)-1)/24),"""18""jjmmdd")</f>
        <v>18981204</v>
      </c>
      <c r="C8101" s="11" t="str">
        <f>INDEX(Data,2,2+MOD(ROWS(C$2:C8101)-1,24))</f>
        <v>12.00</v>
      </c>
      <c r="D8101" s="8">
        <f t="shared" ca="1" si="380"/>
        <v>16</v>
      </c>
      <c r="E8101" s="16">
        <f t="shared" ca="1" si="381"/>
        <v>0</v>
      </c>
    </row>
    <row r="8102" spans="1:5" x14ac:dyDescent="0.25">
      <c r="A8102" s="3">
        <f t="shared" si="379"/>
        <v>78989</v>
      </c>
      <c r="B8102" t="str">
        <f ca="1">TEXT(DATE(YEAR(Invoer!$A$5),1,1)+INT((ROWS(B$2:B8102)-1)/24),"""18""jjmmdd")</f>
        <v>18981204</v>
      </c>
      <c r="C8102" s="11" t="str">
        <f>INDEX(Data,2,2+MOD(ROWS(C$2:C8102)-1,24))</f>
        <v>13.00</v>
      </c>
      <c r="D8102" s="8">
        <f t="shared" ca="1" si="380"/>
        <v>15</v>
      </c>
      <c r="E8102" s="16">
        <f t="shared" ca="1" si="381"/>
        <v>0</v>
      </c>
    </row>
    <row r="8103" spans="1:5" x14ac:dyDescent="0.25">
      <c r="A8103" s="3">
        <f t="shared" si="379"/>
        <v>78989</v>
      </c>
      <c r="B8103" t="str">
        <f ca="1">TEXT(DATE(YEAR(Invoer!$A$5),1,1)+INT((ROWS(B$2:B8103)-1)/24),"""18""jjmmdd")</f>
        <v>18981204</v>
      </c>
      <c r="C8103" s="11" t="str">
        <f>INDEX(Data,2,2+MOD(ROWS(C$2:C8103)-1,24))</f>
        <v>14.00</v>
      </c>
      <c r="D8103" s="8">
        <f t="shared" ca="1" si="380"/>
        <v>14</v>
      </c>
      <c r="E8103" s="16">
        <f t="shared" ca="1" si="381"/>
        <v>0</v>
      </c>
    </row>
    <row r="8104" spans="1:5" x14ac:dyDescent="0.25">
      <c r="A8104" s="3">
        <f t="shared" si="379"/>
        <v>78989</v>
      </c>
      <c r="B8104" t="str">
        <f ca="1">TEXT(DATE(YEAR(Invoer!$A$5),1,1)+INT((ROWS(B$2:B8104)-1)/24),"""18""jjmmdd")</f>
        <v>18981204</v>
      </c>
      <c r="C8104" s="11" t="str">
        <f>INDEX(Data,2,2+MOD(ROWS(C$2:C8104)-1,24))</f>
        <v>15.00</v>
      </c>
      <c r="D8104" s="8">
        <f t="shared" ca="1" si="380"/>
        <v>16</v>
      </c>
      <c r="E8104" s="16">
        <f t="shared" ca="1" si="381"/>
        <v>0</v>
      </c>
    </row>
    <row r="8105" spans="1:5" x14ac:dyDescent="0.25">
      <c r="A8105" s="3">
        <f t="shared" si="379"/>
        <v>78989</v>
      </c>
      <c r="B8105" t="str">
        <f ca="1">TEXT(DATE(YEAR(Invoer!$A$5),1,1)+INT((ROWS(B$2:B8105)-1)/24),"""18""jjmmdd")</f>
        <v>18981204</v>
      </c>
      <c r="C8105" s="11" t="str">
        <f>INDEX(Data,2,2+MOD(ROWS(C$2:C8105)-1,24))</f>
        <v>16.00</v>
      </c>
      <c r="D8105" s="8">
        <f t="shared" ca="1" si="380"/>
        <v>14</v>
      </c>
      <c r="E8105" s="16">
        <f t="shared" ca="1" si="381"/>
        <v>0</v>
      </c>
    </row>
    <row r="8106" spans="1:5" x14ac:dyDescent="0.25">
      <c r="A8106" s="3">
        <f t="shared" si="379"/>
        <v>78989</v>
      </c>
      <c r="B8106" t="str">
        <f ca="1">TEXT(DATE(YEAR(Invoer!$A$5),1,1)+INT((ROWS(B$2:B8106)-1)/24),"""18""jjmmdd")</f>
        <v>18981204</v>
      </c>
      <c r="C8106" s="11" t="str">
        <f>INDEX(Data,2,2+MOD(ROWS(C$2:C8106)-1,24))</f>
        <v>17.00</v>
      </c>
      <c r="D8106" s="8">
        <f t="shared" ca="1" si="380"/>
        <v>12</v>
      </c>
      <c r="E8106" s="16">
        <f t="shared" ca="1" si="381"/>
        <v>0</v>
      </c>
    </row>
    <row r="8107" spans="1:5" x14ac:dyDescent="0.25">
      <c r="A8107" s="3">
        <f t="shared" si="379"/>
        <v>78989</v>
      </c>
      <c r="B8107" t="str">
        <f ca="1">TEXT(DATE(YEAR(Invoer!$A$5),1,1)+INT((ROWS(B$2:B8107)-1)/24),"""18""jjmmdd")</f>
        <v>18981204</v>
      </c>
      <c r="C8107" s="11" t="str">
        <f>INDEX(Data,2,2+MOD(ROWS(C$2:C8107)-1,24))</f>
        <v>18.00</v>
      </c>
      <c r="D8107" s="8">
        <f t="shared" ca="1" si="380"/>
        <v>11</v>
      </c>
      <c r="E8107" s="16">
        <f t="shared" ca="1" si="381"/>
        <v>0</v>
      </c>
    </row>
    <row r="8108" spans="1:5" x14ac:dyDescent="0.25">
      <c r="A8108" s="3">
        <f t="shared" si="379"/>
        <v>78989</v>
      </c>
      <c r="B8108" t="str">
        <f ca="1">TEXT(DATE(YEAR(Invoer!$A$5),1,1)+INT((ROWS(B$2:B8108)-1)/24),"""18""jjmmdd")</f>
        <v>18981204</v>
      </c>
      <c r="C8108" s="11" t="str">
        <f>INDEX(Data,2,2+MOD(ROWS(C$2:C8108)-1,24))</f>
        <v>19.00</v>
      </c>
      <c r="D8108" s="8">
        <f t="shared" ca="1" si="380"/>
        <v>9</v>
      </c>
      <c r="E8108" s="16">
        <f t="shared" ca="1" si="381"/>
        <v>0</v>
      </c>
    </row>
    <row r="8109" spans="1:5" x14ac:dyDescent="0.25">
      <c r="A8109" s="3">
        <f t="shared" si="379"/>
        <v>78989</v>
      </c>
      <c r="B8109" t="str">
        <f ca="1">TEXT(DATE(YEAR(Invoer!$A$5),1,1)+INT((ROWS(B$2:B8109)-1)/24),"""18""jjmmdd")</f>
        <v>18981204</v>
      </c>
      <c r="C8109" s="11" t="str">
        <f>INDEX(Data,2,2+MOD(ROWS(C$2:C8109)-1,24))</f>
        <v>20.00</v>
      </c>
      <c r="D8109" s="8">
        <f t="shared" ca="1" si="380"/>
        <v>9</v>
      </c>
      <c r="E8109" s="16">
        <f t="shared" ca="1" si="381"/>
        <v>0</v>
      </c>
    </row>
    <row r="8110" spans="1:5" x14ac:dyDescent="0.25">
      <c r="A8110" s="3">
        <f t="shared" si="379"/>
        <v>78989</v>
      </c>
      <c r="B8110" t="str">
        <f ca="1">TEXT(DATE(YEAR(Invoer!$A$5),1,1)+INT((ROWS(B$2:B8110)-1)/24),"""18""jjmmdd")</f>
        <v>18981204</v>
      </c>
      <c r="C8110" s="11" t="str">
        <f>INDEX(Data,2,2+MOD(ROWS(C$2:C8110)-1,24))</f>
        <v>21.00</v>
      </c>
      <c r="D8110" s="8">
        <f t="shared" ca="1" si="380"/>
        <v>9</v>
      </c>
      <c r="E8110" s="16">
        <f t="shared" ca="1" si="381"/>
        <v>0</v>
      </c>
    </row>
    <row r="8111" spans="1:5" x14ac:dyDescent="0.25">
      <c r="A8111" s="3">
        <f t="shared" si="379"/>
        <v>78989</v>
      </c>
      <c r="B8111" t="str">
        <f ca="1">TEXT(DATE(YEAR(Invoer!$A$5),1,1)+INT((ROWS(B$2:B8111)-1)/24),"""18""jjmmdd")</f>
        <v>18981204</v>
      </c>
      <c r="C8111" s="11" t="str">
        <f>INDEX(Data,2,2+MOD(ROWS(C$2:C8111)-1,24))</f>
        <v>22.00</v>
      </c>
      <c r="D8111" s="8">
        <f t="shared" ca="1" si="380"/>
        <v>6</v>
      </c>
      <c r="E8111" s="16">
        <f t="shared" ca="1" si="381"/>
        <v>0</v>
      </c>
    </row>
    <row r="8112" spans="1:5" x14ac:dyDescent="0.25">
      <c r="A8112" s="3">
        <f t="shared" si="379"/>
        <v>78989</v>
      </c>
      <c r="B8112" t="str">
        <f ca="1">TEXT(DATE(YEAR(Invoer!$A$5),1,1)+INT((ROWS(B$2:B8112)-1)/24),"""18""jjmmdd")</f>
        <v>18981204</v>
      </c>
      <c r="C8112" s="11" t="str">
        <f>INDEX(Data,2,2+MOD(ROWS(C$2:C8112)-1,24))</f>
        <v>23.00</v>
      </c>
      <c r="D8112" s="8">
        <f t="shared" ca="1" si="380"/>
        <v>5</v>
      </c>
      <c r="E8112" s="16">
        <f t="shared" ca="1" si="381"/>
        <v>0</v>
      </c>
    </row>
    <row r="8113" spans="1:5" x14ac:dyDescent="0.25">
      <c r="A8113" s="3">
        <f t="shared" si="379"/>
        <v>78989</v>
      </c>
      <c r="B8113" t="str">
        <f ca="1">TEXT(DATE(YEAR(Invoer!$A$5),1,1)+INT((ROWS(B$2:B8113)-1)/24),"""18""jjmmdd")</f>
        <v>18981204</v>
      </c>
      <c r="C8113" s="11" t="str">
        <f>INDEX(Data,2,2+MOD(ROWS(C$2:C8113)-1,24))</f>
        <v>24.00</v>
      </c>
      <c r="D8113" s="8">
        <f t="shared" ca="1" si="380"/>
        <v>6</v>
      </c>
      <c r="E8113" s="16">
        <f t="shared" ca="1" si="381"/>
        <v>0</v>
      </c>
    </row>
    <row r="8114" spans="1:5" x14ac:dyDescent="0.25">
      <c r="A8114" s="3">
        <f t="shared" si="379"/>
        <v>78989</v>
      </c>
      <c r="B8114" t="str">
        <f ca="1">TEXT(DATE(YEAR(Invoer!$A$5),1,1)+INT((ROWS(B$2:B8114)-1)/24),"""18""jjmmdd")</f>
        <v>18981205</v>
      </c>
      <c r="C8114" s="11" t="str">
        <f>INDEX(Data,2,2+MOD(ROWS(C$2:C8114)-1,24))</f>
        <v>01.00</v>
      </c>
      <c r="D8114" s="8">
        <f t="shared" ca="1" si="380"/>
        <v>5</v>
      </c>
      <c r="E8114" s="16">
        <f t="shared" ca="1" si="381"/>
        <v>0</v>
      </c>
    </row>
    <row r="8115" spans="1:5" x14ac:dyDescent="0.25">
      <c r="A8115" s="3">
        <f t="shared" si="379"/>
        <v>78989</v>
      </c>
      <c r="B8115" t="str">
        <f ca="1">TEXT(DATE(YEAR(Invoer!$A$5),1,1)+INT((ROWS(B$2:B8115)-1)/24),"""18""jjmmdd")</f>
        <v>18981205</v>
      </c>
      <c r="C8115" s="11" t="str">
        <f>INDEX(Data,2,2+MOD(ROWS(C$2:C8115)-1,24))</f>
        <v>02.00</v>
      </c>
      <c r="D8115" s="8">
        <f t="shared" ca="1" si="380"/>
        <v>6</v>
      </c>
      <c r="E8115" s="16">
        <f t="shared" ca="1" si="381"/>
        <v>0</v>
      </c>
    </row>
    <row r="8116" spans="1:5" x14ac:dyDescent="0.25">
      <c r="A8116" s="3">
        <f t="shared" si="379"/>
        <v>78989</v>
      </c>
      <c r="B8116" t="str">
        <f ca="1">TEXT(DATE(YEAR(Invoer!$A$5),1,1)+INT((ROWS(B$2:B8116)-1)/24),"""18""jjmmdd")</f>
        <v>18981205</v>
      </c>
      <c r="C8116" s="11" t="str">
        <f>INDEX(Data,2,2+MOD(ROWS(C$2:C8116)-1,24))</f>
        <v>03.00</v>
      </c>
      <c r="D8116" s="8">
        <f t="shared" ca="1" si="380"/>
        <v>6</v>
      </c>
      <c r="E8116" s="16">
        <f t="shared" ca="1" si="381"/>
        <v>0</v>
      </c>
    </row>
    <row r="8117" spans="1:5" x14ac:dyDescent="0.25">
      <c r="A8117" s="3">
        <f t="shared" si="379"/>
        <v>78989</v>
      </c>
      <c r="B8117" t="str">
        <f ca="1">TEXT(DATE(YEAR(Invoer!$A$5),1,1)+INT((ROWS(B$2:B8117)-1)/24),"""18""jjmmdd")</f>
        <v>18981205</v>
      </c>
      <c r="C8117" s="11" t="str">
        <f>INDEX(Data,2,2+MOD(ROWS(C$2:C8117)-1,24))</f>
        <v>04.00</v>
      </c>
      <c r="D8117" s="8">
        <f t="shared" ca="1" si="380"/>
        <v>6</v>
      </c>
      <c r="E8117" s="16">
        <f t="shared" ca="1" si="381"/>
        <v>0</v>
      </c>
    </row>
    <row r="8118" spans="1:5" x14ac:dyDescent="0.25">
      <c r="A8118" s="3">
        <f t="shared" si="379"/>
        <v>78989</v>
      </c>
      <c r="B8118" t="str">
        <f ca="1">TEXT(DATE(YEAR(Invoer!$A$5),1,1)+INT((ROWS(B$2:B8118)-1)/24),"""18""jjmmdd")</f>
        <v>18981205</v>
      </c>
      <c r="C8118" s="11" t="str">
        <f>INDEX(Data,2,2+MOD(ROWS(C$2:C8118)-1,24))</f>
        <v>05.00</v>
      </c>
      <c r="D8118" s="8">
        <f t="shared" ca="1" si="380"/>
        <v>7</v>
      </c>
      <c r="E8118" s="16">
        <f t="shared" ca="1" si="381"/>
        <v>0</v>
      </c>
    </row>
    <row r="8119" spans="1:5" x14ac:dyDescent="0.25">
      <c r="A8119" s="3">
        <f t="shared" si="379"/>
        <v>78989</v>
      </c>
      <c r="B8119" t="str">
        <f ca="1">TEXT(DATE(YEAR(Invoer!$A$5),1,1)+INT((ROWS(B$2:B8119)-1)/24),"""18""jjmmdd")</f>
        <v>18981205</v>
      </c>
      <c r="C8119" s="11" t="str">
        <f>INDEX(Data,2,2+MOD(ROWS(C$2:C8119)-1,24))</f>
        <v>06.00</v>
      </c>
      <c r="D8119" s="8">
        <f t="shared" ca="1" si="380"/>
        <v>5</v>
      </c>
      <c r="E8119" s="16">
        <f t="shared" ca="1" si="381"/>
        <v>0</v>
      </c>
    </row>
    <row r="8120" spans="1:5" x14ac:dyDescent="0.25">
      <c r="A8120" s="3">
        <f t="shared" si="379"/>
        <v>78989</v>
      </c>
      <c r="B8120" t="str">
        <f ca="1">TEXT(DATE(YEAR(Invoer!$A$5),1,1)+INT((ROWS(B$2:B8120)-1)/24),"""18""jjmmdd")</f>
        <v>18981205</v>
      </c>
      <c r="C8120" s="11" t="str">
        <f>INDEX(Data,2,2+MOD(ROWS(C$2:C8120)-1,24))</f>
        <v>07.00</v>
      </c>
      <c r="D8120" s="8">
        <f t="shared" ca="1" si="380"/>
        <v>8</v>
      </c>
      <c r="E8120" s="16">
        <f t="shared" ca="1" si="381"/>
        <v>0</v>
      </c>
    </row>
    <row r="8121" spans="1:5" x14ac:dyDescent="0.25">
      <c r="A8121" s="3">
        <f t="shared" si="379"/>
        <v>78989</v>
      </c>
      <c r="B8121" t="str">
        <f ca="1">TEXT(DATE(YEAR(Invoer!$A$5),1,1)+INT((ROWS(B$2:B8121)-1)/24),"""18""jjmmdd")</f>
        <v>18981205</v>
      </c>
      <c r="C8121" s="11" t="str">
        <f>INDEX(Data,2,2+MOD(ROWS(C$2:C8121)-1,24))</f>
        <v>08.00</v>
      </c>
      <c r="D8121" s="8">
        <f t="shared" ca="1" si="380"/>
        <v>11</v>
      </c>
      <c r="E8121" s="16">
        <f t="shared" ca="1" si="381"/>
        <v>0</v>
      </c>
    </row>
    <row r="8122" spans="1:5" x14ac:dyDescent="0.25">
      <c r="A8122" s="3">
        <f t="shared" si="379"/>
        <v>78989</v>
      </c>
      <c r="B8122" t="str">
        <f ca="1">TEXT(DATE(YEAR(Invoer!$A$5),1,1)+INT((ROWS(B$2:B8122)-1)/24),"""18""jjmmdd")</f>
        <v>18981205</v>
      </c>
      <c r="C8122" s="11" t="str">
        <f>INDEX(Data,2,2+MOD(ROWS(C$2:C8122)-1,24))</f>
        <v>09.00</v>
      </c>
      <c r="D8122" s="8">
        <f t="shared" ca="1" si="380"/>
        <v>13</v>
      </c>
      <c r="E8122" s="16">
        <f t="shared" ca="1" si="381"/>
        <v>0</v>
      </c>
    </row>
    <row r="8123" spans="1:5" x14ac:dyDescent="0.25">
      <c r="A8123" s="3">
        <f t="shared" si="379"/>
        <v>78989</v>
      </c>
      <c r="B8123" t="str">
        <f ca="1">TEXT(DATE(YEAR(Invoer!$A$5),1,1)+INT((ROWS(B$2:B8123)-1)/24),"""18""jjmmdd")</f>
        <v>18981205</v>
      </c>
      <c r="C8123" s="11" t="str">
        <f>INDEX(Data,2,2+MOD(ROWS(C$2:C8123)-1,24))</f>
        <v>10.00</v>
      </c>
      <c r="D8123" s="8">
        <f t="shared" ca="1" si="380"/>
        <v>16</v>
      </c>
      <c r="E8123" s="16">
        <f t="shared" ca="1" si="381"/>
        <v>0</v>
      </c>
    </row>
    <row r="8124" spans="1:5" x14ac:dyDescent="0.25">
      <c r="A8124" s="3">
        <f t="shared" si="379"/>
        <v>78989</v>
      </c>
      <c r="B8124" t="str">
        <f ca="1">TEXT(DATE(YEAR(Invoer!$A$5),1,1)+INT((ROWS(B$2:B8124)-1)/24),"""18""jjmmdd")</f>
        <v>18981205</v>
      </c>
      <c r="C8124" s="11" t="str">
        <f>INDEX(Data,2,2+MOD(ROWS(C$2:C8124)-1,24))</f>
        <v>11.00</v>
      </c>
      <c r="D8124" s="8">
        <f t="shared" ca="1" si="380"/>
        <v>16</v>
      </c>
      <c r="E8124" s="16">
        <f t="shared" ca="1" si="381"/>
        <v>0</v>
      </c>
    </row>
    <row r="8125" spans="1:5" x14ac:dyDescent="0.25">
      <c r="A8125" s="3">
        <f t="shared" si="379"/>
        <v>78989</v>
      </c>
      <c r="B8125" t="str">
        <f ca="1">TEXT(DATE(YEAR(Invoer!$A$5),1,1)+INT((ROWS(B$2:B8125)-1)/24),"""18""jjmmdd")</f>
        <v>18981205</v>
      </c>
      <c r="C8125" s="11" t="str">
        <f>INDEX(Data,2,2+MOD(ROWS(C$2:C8125)-1,24))</f>
        <v>12.00</v>
      </c>
      <c r="D8125" s="8">
        <f t="shared" ca="1" si="380"/>
        <v>13</v>
      </c>
      <c r="E8125" s="16">
        <f t="shared" ca="1" si="381"/>
        <v>0</v>
      </c>
    </row>
    <row r="8126" spans="1:5" x14ac:dyDescent="0.25">
      <c r="A8126" s="3">
        <f t="shared" si="379"/>
        <v>78989</v>
      </c>
      <c r="B8126" t="str">
        <f ca="1">TEXT(DATE(YEAR(Invoer!$A$5),1,1)+INT((ROWS(B$2:B8126)-1)/24),"""18""jjmmdd")</f>
        <v>18981205</v>
      </c>
      <c r="C8126" s="11" t="str">
        <f>INDEX(Data,2,2+MOD(ROWS(C$2:C8126)-1,24))</f>
        <v>13.00</v>
      </c>
      <c r="D8126" s="8">
        <f t="shared" ca="1" si="380"/>
        <v>16</v>
      </c>
      <c r="E8126" s="16">
        <f t="shared" ca="1" si="381"/>
        <v>0</v>
      </c>
    </row>
    <row r="8127" spans="1:5" x14ac:dyDescent="0.25">
      <c r="A8127" s="3">
        <f t="shared" si="379"/>
        <v>78989</v>
      </c>
      <c r="B8127" t="str">
        <f ca="1">TEXT(DATE(YEAR(Invoer!$A$5),1,1)+INT((ROWS(B$2:B8127)-1)/24),"""18""jjmmdd")</f>
        <v>18981205</v>
      </c>
      <c r="C8127" s="11" t="str">
        <f>INDEX(Data,2,2+MOD(ROWS(C$2:C8127)-1,24))</f>
        <v>14.00</v>
      </c>
      <c r="D8127" s="8">
        <f t="shared" ca="1" si="380"/>
        <v>14</v>
      </c>
      <c r="E8127" s="16">
        <f t="shared" ca="1" si="381"/>
        <v>0</v>
      </c>
    </row>
    <row r="8128" spans="1:5" x14ac:dyDescent="0.25">
      <c r="A8128" s="3">
        <f t="shared" si="379"/>
        <v>78989</v>
      </c>
      <c r="B8128" t="str">
        <f ca="1">TEXT(DATE(YEAR(Invoer!$A$5),1,1)+INT((ROWS(B$2:B8128)-1)/24),"""18""jjmmdd")</f>
        <v>18981205</v>
      </c>
      <c r="C8128" s="11" t="str">
        <f>INDEX(Data,2,2+MOD(ROWS(C$2:C8128)-1,24))</f>
        <v>15.00</v>
      </c>
      <c r="D8128" s="8">
        <f t="shared" ca="1" si="380"/>
        <v>14</v>
      </c>
      <c r="E8128" s="16">
        <f t="shared" ca="1" si="381"/>
        <v>0</v>
      </c>
    </row>
    <row r="8129" spans="1:5" x14ac:dyDescent="0.25">
      <c r="A8129" s="3">
        <f t="shared" si="379"/>
        <v>78989</v>
      </c>
      <c r="B8129" t="str">
        <f ca="1">TEXT(DATE(YEAR(Invoer!$A$5),1,1)+INT((ROWS(B$2:B8129)-1)/24),"""18""jjmmdd")</f>
        <v>18981205</v>
      </c>
      <c r="C8129" s="11" t="str">
        <f>INDEX(Data,2,2+MOD(ROWS(C$2:C8129)-1,24))</f>
        <v>16.00</v>
      </c>
      <c r="D8129" s="8">
        <f t="shared" ca="1" si="380"/>
        <v>14</v>
      </c>
      <c r="E8129" s="16">
        <f t="shared" ca="1" si="381"/>
        <v>0</v>
      </c>
    </row>
    <row r="8130" spans="1:5" x14ac:dyDescent="0.25">
      <c r="A8130" s="3">
        <f t="shared" ref="A8130:A8193" si="382">INDEX(Stations,2,1)</f>
        <v>78989</v>
      </c>
      <c r="B8130" t="str">
        <f ca="1">TEXT(DATE(YEAR(Invoer!$A$5),1,1)+INT((ROWS(B$2:B8130)-1)/24),"""18""jjmmdd")</f>
        <v>18981205</v>
      </c>
      <c r="C8130" s="11" t="str">
        <f>INDEX(Data,2,2+MOD(ROWS(C$2:C8130)-1,24))</f>
        <v>17.00</v>
      </c>
      <c r="D8130" s="8">
        <f t="shared" ref="D8130:D8193" ca="1" si="383">IF(OR(ISBLANK(VLOOKUP(DATEVALUE("37"&amp;MID($B8130,3,2)&amp;"-"&amp;MID($B8130,5,2)&amp;"-"&amp;RIGHT($B8130,2)),Data,MATCH(LEFT(VLOOKUP(D$1,Parameters,2,FALSE()),4)&amp;"*",OFFSET(Data,0,0,1),0)+MATCH($C8130,OFFSET(Data,1,0,1),0)-2,FALSE())),ISTEXT(VLOOKUP(DATEVALUE("37"&amp;MID($B8130,3,2)&amp;"-"&amp;MID($B8130,5,2)&amp;"-"&amp;RIGHT($B8130,2)),Data,MATCH(LEFT(VLOOKUP(D$1,Parameters,2,FALSE()),4)&amp;"*",OFFSET(Data,0,0,1),0)+MATCH($C8130,OFFSET(Data,1,0,1),0)-2,FALSE()))),"—",VLOOKUP(DATEVALUE("37"&amp;MID($B8130,3,2)&amp;"-"&amp;MID($B8130,5,2)&amp;"-"&amp;RIGHT($B8130,2)),Data,MATCH(LEFT(VLOOKUP(D$1,Parameters,2,FALSE()),4)&amp;"*",OFFSET(Data,0,0,1),0)+MATCH($C8130,OFFSET(Data,1,0,1),0)-2,FALSE()))</f>
        <v>13</v>
      </c>
      <c r="E8130" s="16">
        <f t="shared" ca="1" si="381"/>
        <v>0</v>
      </c>
    </row>
    <row r="8131" spans="1:5" x14ac:dyDescent="0.25">
      <c r="A8131" s="3">
        <f t="shared" si="382"/>
        <v>78989</v>
      </c>
      <c r="B8131" t="str">
        <f ca="1">TEXT(DATE(YEAR(Invoer!$A$5),1,1)+INT((ROWS(B$2:B8131)-1)/24),"""18""jjmmdd")</f>
        <v>18981205</v>
      </c>
      <c r="C8131" s="11" t="str">
        <f>INDEX(Data,2,2+MOD(ROWS(C$2:C8131)-1,24))</f>
        <v>18.00</v>
      </c>
      <c r="D8131" s="8">
        <f t="shared" ca="1" si="383"/>
        <v>10</v>
      </c>
      <c r="E8131" s="16">
        <f t="shared" ref="E8131:E8194" ca="1" si="384">IF(OR(ISBLANK(VLOOKUP(DATEVALUE("37"&amp;MID($B8131,3,2)&amp;"-"&amp;MID($B8131,5,2)&amp;"-"&amp;RIGHT($B8131,2)),Data,MATCH(LEFT(VLOOKUP(D$1,Parameters,2,FALSE()),4)&amp;"*",OFFSET(Data,0,0,1),0)+MATCH($C8131,OFFSET(Data,1,0,1),0)-2,FALSE())),ISTEXT(VLOOKUP(DATEVALUE("37"&amp;MID($B8131,3,2)&amp;"-"&amp;MID($B8131,5,2)&amp;"-"&amp;RIGHT($B8131,2)),Data,MATCH(LEFT(VLOOKUP(D$1,Parameters,2,FALSE()),4)&amp;"*",OFFSET(Data,0,0,1),0)+MATCH($C8131,OFFSET(Data,1,0,1),0)-2,FALSE()))),Lacking,IF(ISNA(MATCH(DATEVALUE("37"&amp;MID($B8131,3,2)&amp;"-"&amp;MID($B8131,5,2)&amp;"-"&amp;RIGHT($B8131,2)),OFFSET(Catalogus,0,0,,1),0)),Ok,VLOOKUP(DATEVALUE("37"&amp;MID($B8131,3,2)&amp;"-"&amp;MID($B8131,5,2)&amp;"-"&amp;RIGHT($B8131,2)),Catalogus,MATCH(LEFT(VLOOKUP(MID(E$1,2,LEN(E$1)-1),Parameters,2,FALSE()),4)&amp;"*",OFFSET(Catalogus,0,0,1),0)+MATCH($C8131,OFFSET(Catalogus,1,0,1),0)-2,FALSE())))</f>
        <v>0</v>
      </c>
    </row>
    <row r="8132" spans="1:5" x14ac:dyDescent="0.25">
      <c r="A8132" s="3">
        <f t="shared" si="382"/>
        <v>78989</v>
      </c>
      <c r="B8132" t="str">
        <f ca="1">TEXT(DATE(YEAR(Invoer!$A$5),1,1)+INT((ROWS(B$2:B8132)-1)/24),"""18""jjmmdd")</f>
        <v>18981205</v>
      </c>
      <c r="C8132" s="11" t="str">
        <f>INDEX(Data,2,2+MOD(ROWS(C$2:C8132)-1,24))</f>
        <v>19.00</v>
      </c>
      <c r="D8132" s="8">
        <f t="shared" ca="1" si="383"/>
        <v>9</v>
      </c>
      <c r="E8132" s="16">
        <f t="shared" ca="1" si="384"/>
        <v>0</v>
      </c>
    </row>
    <row r="8133" spans="1:5" x14ac:dyDescent="0.25">
      <c r="A8133" s="3">
        <f t="shared" si="382"/>
        <v>78989</v>
      </c>
      <c r="B8133" t="str">
        <f ca="1">TEXT(DATE(YEAR(Invoer!$A$5),1,1)+INT((ROWS(B$2:B8133)-1)/24),"""18""jjmmdd")</f>
        <v>18981205</v>
      </c>
      <c r="C8133" s="11" t="str">
        <f>INDEX(Data,2,2+MOD(ROWS(C$2:C8133)-1,24))</f>
        <v>20.00</v>
      </c>
      <c r="D8133" s="8">
        <f t="shared" ca="1" si="383"/>
        <v>10</v>
      </c>
      <c r="E8133" s="16">
        <f t="shared" ca="1" si="384"/>
        <v>0</v>
      </c>
    </row>
    <row r="8134" spans="1:5" x14ac:dyDescent="0.25">
      <c r="A8134" s="3">
        <f t="shared" si="382"/>
        <v>78989</v>
      </c>
      <c r="B8134" t="str">
        <f ca="1">TEXT(DATE(YEAR(Invoer!$A$5),1,1)+INT((ROWS(B$2:B8134)-1)/24),"""18""jjmmdd")</f>
        <v>18981205</v>
      </c>
      <c r="C8134" s="11" t="str">
        <f>INDEX(Data,2,2+MOD(ROWS(C$2:C8134)-1,24))</f>
        <v>21.00</v>
      </c>
      <c r="D8134" s="8">
        <f t="shared" ca="1" si="383"/>
        <v>9</v>
      </c>
      <c r="E8134" s="16">
        <f t="shared" ca="1" si="384"/>
        <v>0</v>
      </c>
    </row>
    <row r="8135" spans="1:5" x14ac:dyDescent="0.25">
      <c r="A8135" s="3">
        <f t="shared" si="382"/>
        <v>78989</v>
      </c>
      <c r="B8135" t="str">
        <f ca="1">TEXT(DATE(YEAR(Invoer!$A$5),1,1)+INT((ROWS(B$2:B8135)-1)/24),"""18""jjmmdd")</f>
        <v>18981205</v>
      </c>
      <c r="C8135" s="11" t="str">
        <f>INDEX(Data,2,2+MOD(ROWS(C$2:C8135)-1,24))</f>
        <v>22.00</v>
      </c>
      <c r="D8135" s="8">
        <f t="shared" ca="1" si="383"/>
        <v>7</v>
      </c>
      <c r="E8135" s="16">
        <f t="shared" ca="1" si="384"/>
        <v>0</v>
      </c>
    </row>
    <row r="8136" spans="1:5" x14ac:dyDescent="0.25">
      <c r="A8136" s="3">
        <f t="shared" si="382"/>
        <v>78989</v>
      </c>
      <c r="B8136" t="str">
        <f ca="1">TEXT(DATE(YEAR(Invoer!$A$5),1,1)+INT((ROWS(B$2:B8136)-1)/24),"""18""jjmmdd")</f>
        <v>18981205</v>
      </c>
      <c r="C8136" s="11" t="str">
        <f>INDEX(Data,2,2+MOD(ROWS(C$2:C8136)-1,24))</f>
        <v>23.00</v>
      </c>
      <c r="D8136" s="8">
        <f t="shared" ca="1" si="383"/>
        <v>6</v>
      </c>
      <c r="E8136" s="16">
        <f t="shared" ca="1" si="384"/>
        <v>0</v>
      </c>
    </row>
    <row r="8137" spans="1:5" x14ac:dyDescent="0.25">
      <c r="A8137" s="3">
        <f t="shared" si="382"/>
        <v>78989</v>
      </c>
      <c r="B8137" t="str">
        <f ca="1">TEXT(DATE(YEAR(Invoer!$A$5),1,1)+INT((ROWS(B$2:B8137)-1)/24),"""18""jjmmdd")</f>
        <v>18981205</v>
      </c>
      <c r="C8137" s="11" t="str">
        <f>INDEX(Data,2,2+MOD(ROWS(C$2:C8137)-1,24))</f>
        <v>24.00</v>
      </c>
      <c r="D8137" s="8">
        <f t="shared" ca="1" si="383"/>
        <v>6</v>
      </c>
      <c r="E8137" s="16">
        <f t="shared" ca="1" si="384"/>
        <v>0</v>
      </c>
    </row>
    <row r="8138" spans="1:5" x14ac:dyDescent="0.25">
      <c r="A8138" s="3">
        <f t="shared" si="382"/>
        <v>78989</v>
      </c>
      <c r="B8138" t="str">
        <f ca="1">TEXT(DATE(YEAR(Invoer!$A$5),1,1)+INT((ROWS(B$2:B8138)-1)/24),"""18""jjmmdd")</f>
        <v>18981206</v>
      </c>
      <c r="C8138" s="11" t="str">
        <f>INDEX(Data,2,2+MOD(ROWS(C$2:C8138)-1,24))</f>
        <v>01.00</v>
      </c>
      <c r="D8138" s="8">
        <f t="shared" ca="1" si="383"/>
        <v>6</v>
      </c>
      <c r="E8138" s="16">
        <f t="shared" ca="1" si="384"/>
        <v>0</v>
      </c>
    </row>
    <row r="8139" spans="1:5" x14ac:dyDescent="0.25">
      <c r="A8139" s="3">
        <f t="shared" si="382"/>
        <v>78989</v>
      </c>
      <c r="B8139" t="str">
        <f ca="1">TEXT(DATE(YEAR(Invoer!$A$5),1,1)+INT((ROWS(B$2:B8139)-1)/24),"""18""jjmmdd")</f>
        <v>18981206</v>
      </c>
      <c r="C8139" s="11" t="str">
        <f>INDEX(Data,2,2+MOD(ROWS(C$2:C8139)-1,24))</f>
        <v>02.00</v>
      </c>
      <c r="D8139" s="8">
        <f t="shared" ca="1" si="383"/>
        <v>7</v>
      </c>
      <c r="E8139" s="16">
        <f t="shared" ca="1" si="384"/>
        <v>0</v>
      </c>
    </row>
    <row r="8140" spans="1:5" x14ac:dyDescent="0.25">
      <c r="A8140" s="3">
        <f t="shared" si="382"/>
        <v>78989</v>
      </c>
      <c r="B8140" t="str">
        <f ca="1">TEXT(DATE(YEAR(Invoer!$A$5),1,1)+INT((ROWS(B$2:B8140)-1)/24),"""18""jjmmdd")</f>
        <v>18981206</v>
      </c>
      <c r="C8140" s="11" t="str">
        <f>INDEX(Data,2,2+MOD(ROWS(C$2:C8140)-1,24))</f>
        <v>03.00</v>
      </c>
      <c r="D8140" s="8">
        <f t="shared" ca="1" si="383"/>
        <v>9</v>
      </c>
      <c r="E8140" s="16">
        <f t="shared" ca="1" si="384"/>
        <v>0</v>
      </c>
    </row>
    <row r="8141" spans="1:5" x14ac:dyDescent="0.25">
      <c r="A8141" s="3">
        <f t="shared" si="382"/>
        <v>78989</v>
      </c>
      <c r="B8141" t="str">
        <f ca="1">TEXT(DATE(YEAR(Invoer!$A$5),1,1)+INT((ROWS(B$2:B8141)-1)/24),"""18""jjmmdd")</f>
        <v>18981206</v>
      </c>
      <c r="C8141" s="11" t="str">
        <f>INDEX(Data,2,2+MOD(ROWS(C$2:C8141)-1,24))</f>
        <v>04.00</v>
      </c>
      <c r="D8141" s="8">
        <f t="shared" ca="1" si="383"/>
        <v>9</v>
      </c>
      <c r="E8141" s="16">
        <f t="shared" ca="1" si="384"/>
        <v>0</v>
      </c>
    </row>
    <row r="8142" spans="1:5" x14ac:dyDescent="0.25">
      <c r="A8142" s="3">
        <f t="shared" si="382"/>
        <v>78989</v>
      </c>
      <c r="B8142" t="str">
        <f ca="1">TEXT(DATE(YEAR(Invoer!$A$5),1,1)+INT((ROWS(B$2:B8142)-1)/24),"""18""jjmmdd")</f>
        <v>18981206</v>
      </c>
      <c r="C8142" s="11" t="str">
        <f>INDEX(Data,2,2+MOD(ROWS(C$2:C8142)-1,24))</f>
        <v>05.00</v>
      </c>
      <c r="D8142" s="8">
        <f t="shared" ca="1" si="383"/>
        <v>11</v>
      </c>
      <c r="E8142" s="16">
        <f t="shared" ca="1" si="384"/>
        <v>0</v>
      </c>
    </row>
    <row r="8143" spans="1:5" x14ac:dyDescent="0.25">
      <c r="A8143" s="3">
        <f t="shared" si="382"/>
        <v>78989</v>
      </c>
      <c r="B8143" t="str">
        <f ca="1">TEXT(DATE(YEAR(Invoer!$A$5),1,1)+INT((ROWS(B$2:B8143)-1)/24),"""18""jjmmdd")</f>
        <v>18981206</v>
      </c>
      <c r="C8143" s="11" t="str">
        <f>INDEX(Data,2,2+MOD(ROWS(C$2:C8143)-1,24))</f>
        <v>06.00</v>
      </c>
      <c r="D8143" s="8">
        <f t="shared" ca="1" si="383"/>
        <v>10</v>
      </c>
      <c r="E8143" s="16">
        <f t="shared" ca="1" si="384"/>
        <v>0</v>
      </c>
    </row>
    <row r="8144" spans="1:5" x14ac:dyDescent="0.25">
      <c r="A8144" s="3">
        <f t="shared" si="382"/>
        <v>78989</v>
      </c>
      <c r="B8144" t="str">
        <f ca="1">TEXT(DATE(YEAR(Invoer!$A$5),1,1)+INT((ROWS(B$2:B8144)-1)/24),"""18""jjmmdd")</f>
        <v>18981206</v>
      </c>
      <c r="C8144" s="11" t="str">
        <f>INDEX(Data,2,2+MOD(ROWS(C$2:C8144)-1,24))</f>
        <v>07.00</v>
      </c>
      <c r="D8144" s="8">
        <f t="shared" ca="1" si="383"/>
        <v>8</v>
      </c>
      <c r="E8144" s="16">
        <f t="shared" ca="1" si="384"/>
        <v>0</v>
      </c>
    </row>
    <row r="8145" spans="1:5" x14ac:dyDescent="0.25">
      <c r="A8145" s="3">
        <f t="shared" si="382"/>
        <v>78989</v>
      </c>
      <c r="B8145" t="str">
        <f ca="1">TEXT(DATE(YEAR(Invoer!$A$5),1,1)+INT((ROWS(B$2:B8145)-1)/24),"""18""jjmmdd")</f>
        <v>18981206</v>
      </c>
      <c r="C8145" s="11" t="str">
        <f>INDEX(Data,2,2+MOD(ROWS(C$2:C8145)-1,24))</f>
        <v>08.00</v>
      </c>
      <c r="D8145" s="8">
        <f t="shared" ca="1" si="383"/>
        <v>13</v>
      </c>
      <c r="E8145" s="16">
        <f t="shared" ca="1" si="384"/>
        <v>0</v>
      </c>
    </row>
    <row r="8146" spans="1:5" x14ac:dyDescent="0.25">
      <c r="A8146" s="3">
        <f t="shared" si="382"/>
        <v>78989</v>
      </c>
      <c r="B8146" t="str">
        <f ca="1">TEXT(DATE(YEAR(Invoer!$A$5),1,1)+INT((ROWS(B$2:B8146)-1)/24),"""18""jjmmdd")</f>
        <v>18981206</v>
      </c>
      <c r="C8146" s="11" t="str">
        <f>INDEX(Data,2,2+MOD(ROWS(C$2:C8146)-1,24))</f>
        <v>09.00</v>
      </c>
      <c r="D8146" s="8">
        <f t="shared" ca="1" si="383"/>
        <v>14</v>
      </c>
      <c r="E8146" s="16">
        <f t="shared" ca="1" si="384"/>
        <v>0</v>
      </c>
    </row>
    <row r="8147" spans="1:5" x14ac:dyDescent="0.25">
      <c r="A8147" s="3">
        <f t="shared" si="382"/>
        <v>78989</v>
      </c>
      <c r="B8147" t="str">
        <f ca="1">TEXT(DATE(YEAR(Invoer!$A$5),1,1)+INT((ROWS(B$2:B8147)-1)/24),"""18""jjmmdd")</f>
        <v>18981206</v>
      </c>
      <c r="C8147" s="11" t="str">
        <f>INDEX(Data,2,2+MOD(ROWS(C$2:C8147)-1,24))</f>
        <v>10.00</v>
      </c>
      <c r="D8147" s="8">
        <f t="shared" ca="1" si="383"/>
        <v>16</v>
      </c>
      <c r="E8147" s="16">
        <f t="shared" ca="1" si="384"/>
        <v>0</v>
      </c>
    </row>
    <row r="8148" spans="1:5" x14ac:dyDescent="0.25">
      <c r="A8148" s="3">
        <f t="shared" si="382"/>
        <v>78989</v>
      </c>
      <c r="B8148" t="str">
        <f ca="1">TEXT(DATE(YEAR(Invoer!$A$5),1,1)+INT((ROWS(B$2:B8148)-1)/24),"""18""jjmmdd")</f>
        <v>18981206</v>
      </c>
      <c r="C8148" s="11" t="str">
        <f>INDEX(Data,2,2+MOD(ROWS(C$2:C8148)-1,24))</f>
        <v>11.00</v>
      </c>
      <c r="D8148" s="8">
        <f t="shared" ca="1" si="383"/>
        <v>15</v>
      </c>
      <c r="E8148" s="16">
        <f t="shared" ca="1" si="384"/>
        <v>0</v>
      </c>
    </row>
    <row r="8149" spans="1:5" x14ac:dyDescent="0.25">
      <c r="A8149" s="3">
        <f t="shared" si="382"/>
        <v>78989</v>
      </c>
      <c r="B8149" t="str">
        <f ca="1">TEXT(DATE(YEAR(Invoer!$A$5),1,1)+INT((ROWS(B$2:B8149)-1)/24),"""18""jjmmdd")</f>
        <v>18981206</v>
      </c>
      <c r="C8149" s="11" t="str">
        <f>INDEX(Data,2,2+MOD(ROWS(C$2:C8149)-1,24))</f>
        <v>12.00</v>
      </c>
      <c r="D8149" s="8">
        <f t="shared" ca="1" si="383"/>
        <v>14</v>
      </c>
      <c r="E8149" s="16">
        <f t="shared" ca="1" si="384"/>
        <v>0</v>
      </c>
    </row>
    <row r="8150" spans="1:5" x14ac:dyDescent="0.25">
      <c r="A8150" s="3">
        <f t="shared" si="382"/>
        <v>78989</v>
      </c>
      <c r="B8150" t="str">
        <f ca="1">TEXT(DATE(YEAR(Invoer!$A$5),1,1)+INT((ROWS(B$2:B8150)-1)/24),"""18""jjmmdd")</f>
        <v>18981206</v>
      </c>
      <c r="C8150" s="11" t="str">
        <f>INDEX(Data,2,2+MOD(ROWS(C$2:C8150)-1,24))</f>
        <v>13.00</v>
      </c>
      <c r="D8150" s="8">
        <f t="shared" ca="1" si="383"/>
        <v>15</v>
      </c>
      <c r="E8150" s="16">
        <f t="shared" ca="1" si="384"/>
        <v>0</v>
      </c>
    </row>
    <row r="8151" spans="1:5" x14ac:dyDescent="0.25">
      <c r="A8151" s="3">
        <f t="shared" si="382"/>
        <v>78989</v>
      </c>
      <c r="B8151" t="str">
        <f ca="1">TEXT(DATE(YEAR(Invoer!$A$5),1,1)+INT((ROWS(B$2:B8151)-1)/24),"""18""jjmmdd")</f>
        <v>18981206</v>
      </c>
      <c r="C8151" s="11" t="str">
        <f>INDEX(Data,2,2+MOD(ROWS(C$2:C8151)-1,24))</f>
        <v>14.00</v>
      </c>
      <c r="D8151" s="8">
        <f t="shared" ca="1" si="383"/>
        <v>11</v>
      </c>
      <c r="E8151" s="16">
        <f t="shared" ca="1" si="384"/>
        <v>0</v>
      </c>
    </row>
    <row r="8152" spans="1:5" x14ac:dyDescent="0.25">
      <c r="A8152" s="3">
        <f t="shared" si="382"/>
        <v>78989</v>
      </c>
      <c r="B8152" t="str">
        <f ca="1">TEXT(DATE(YEAR(Invoer!$A$5),1,1)+INT((ROWS(B$2:B8152)-1)/24),"""18""jjmmdd")</f>
        <v>18981206</v>
      </c>
      <c r="C8152" s="11" t="str">
        <f>INDEX(Data,2,2+MOD(ROWS(C$2:C8152)-1,24))</f>
        <v>15.00</v>
      </c>
      <c r="D8152" s="8">
        <f t="shared" ca="1" si="383"/>
        <v>13</v>
      </c>
      <c r="E8152" s="16">
        <f t="shared" ca="1" si="384"/>
        <v>0</v>
      </c>
    </row>
    <row r="8153" spans="1:5" x14ac:dyDescent="0.25">
      <c r="A8153" s="3">
        <f t="shared" si="382"/>
        <v>78989</v>
      </c>
      <c r="B8153" t="str">
        <f ca="1">TEXT(DATE(YEAR(Invoer!$A$5),1,1)+INT((ROWS(B$2:B8153)-1)/24),"""18""jjmmdd")</f>
        <v>18981206</v>
      </c>
      <c r="C8153" s="11" t="str">
        <f>INDEX(Data,2,2+MOD(ROWS(C$2:C8153)-1,24))</f>
        <v>16.00</v>
      </c>
      <c r="D8153" s="8">
        <f t="shared" ca="1" si="383"/>
        <v>13</v>
      </c>
      <c r="E8153" s="16">
        <f t="shared" ca="1" si="384"/>
        <v>0</v>
      </c>
    </row>
    <row r="8154" spans="1:5" x14ac:dyDescent="0.25">
      <c r="A8154" s="3">
        <f t="shared" si="382"/>
        <v>78989</v>
      </c>
      <c r="B8154" t="str">
        <f ca="1">TEXT(DATE(YEAR(Invoer!$A$5),1,1)+INT((ROWS(B$2:B8154)-1)/24),"""18""jjmmdd")</f>
        <v>18981206</v>
      </c>
      <c r="C8154" s="11" t="str">
        <f>INDEX(Data,2,2+MOD(ROWS(C$2:C8154)-1,24))</f>
        <v>17.00</v>
      </c>
      <c r="D8154" s="8">
        <f t="shared" ca="1" si="383"/>
        <v>12</v>
      </c>
      <c r="E8154" s="16">
        <f t="shared" ca="1" si="384"/>
        <v>0</v>
      </c>
    </row>
    <row r="8155" spans="1:5" x14ac:dyDescent="0.25">
      <c r="A8155" s="3">
        <f t="shared" si="382"/>
        <v>78989</v>
      </c>
      <c r="B8155" t="str">
        <f ca="1">TEXT(DATE(YEAR(Invoer!$A$5),1,1)+INT((ROWS(B$2:B8155)-1)/24),"""18""jjmmdd")</f>
        <v>18981206</v>
      </c>
      <c r="C8155" s="11" t="str">
        <f>INDEX(Data,2,2+MOD(ROWS(C$2:C8155)-1,24))</f>
        <v>18.00</v>
      </c>
      <c r="D8155" s="8">
        <f t="shared" ca="1" si="383"/>
        <v>9</v>
      </c>
      <c r="E8155" s="16">
        <f t="shared" ca="1" si="384"/>
        <v>0</v>
      </c>
    </row>
    <row r="8156" spans="1:5" x14ac:dyDescent="0.25">
      <c r="A8156" s="3">
        <f t="shared" si="382"/>
        <v>78989</v>
      </c>
      <c r="B8156" t="str">
        <f ca="1">TEXT(DATE(YEAR(Invoer!$A$5),1,1)+INT((ROWS(B$2:B8156)-1)/24),"""18""jjmmdd")</f>
        <v>18981206</v>
      </c>
      <c r="C8156" s="11" t="str">
        <f>INDEX(Data,2,2+MOD(ROWS(C$2:C8156)-1,24))</f>
        <v>19.00</v>
      </c>
      <c r="D8156" s="8">
        <f t="shared" ca="1" si="383"/>
        <v>8</v>
      </c>
      <c r="E8156" s="16">
        <f t="shared" ca="1" si="384"/>
        <v>0</v>
      </c>
    </row>
    <row r="8157" spans="1:5" x14ac:dyDescent="0.25">
      <c r="A8157" s="3">
        <f t="shared" si="382"/>
        <v>78989</v>
      </c>
      <c r="B8157" t="str">
        <f ca="1">TEXT(DATE(YEAR(Invoer!$A$5),1,1)+INT((ROWS(B$2:B8157)-1)/24),"""18""jjmmdd")</f>
        <v>18981206</v>
      </c>
      <c r="C8157" s="11" t="str">
        <f>INDEX(Data,2,2+MOD(ROWS(C$2:C8157)-1,24))</f>
        <v>20.00</v>
      </c>
      <c r="D8157" s="8">
        <f t="shared" ca="1" si="383"/>
        <v>8</v>
      </c>
      <c r="E8157" s="16">
        <f t="shared" ca="1" si="384"/>
        <v>0</v>
      </c>
    </row>
    <row r="8158" spans="1:5" x14ac:dyDescent="0.25">
      <c r="A8158" s="3">
        <f t="shared" si="382"/>
        <v>78989</v>
      </c>
      <c r="B8158" t="str">
        <f ca="1">TEXT(DATE(YEAR(Invoer!$A$5),1,1)+INT((ROWS(B$2:B8158)-1)/24),"""18""jjmmdd")</f>
        <v>18981206</v>
      </c>
      <c r="C8158" s="11" t="str">
        <f>INDEX(Data,2,2+MOD(ROWS(C$2:C8158)-1,24))</f>
        <v>21.00</v>
      </c>
      <c r="D8158" s="8">
        <f t="shared" ca="1" si="383"/>
        <v>6</v>
      </c>
      <c r="E8158" s="16">
        <f t="shared" ca="1" si="384"/>
        <v>0</v>
      </c>
    </row>
    <row r="8159" spans="1:5" x14ac:dyDescent="0.25">
      <c r="A8159" s="3">
        <f t="shared" si="382"/>
        <v>78989</v>
      </c>
      <c r="B8159" t="str">
        <f ca="1">TEXT(DATE(YEAR(Invoer!$A$5),1,1)+INT((ROWS(B$2:B8159)-1)/24),"""18""jjmmdd")</f>
        <v>18981206</v>
      </c>
      <c r="C8159" s="11" t="str">
        <f>INDEX(Data,2,2+MOD(ROWS(C$2:C8159)-1,24))</f>
        <v>22.00</v>
      </c>
      <c r="D8159" s="8">
        <f t="shared" ca="1" si="383"/>
        <v>6</v>
      </c>
      <c r="E8159" s="16">
        <f t="shared" ca="1" si="384"/>
        <v>0</v>
      </c>
    </row>
    <row r="8160" spans="1:5" x14ac:dyDescent="0.25">
      <c r="A8160" s="3">
        <f t="shared" si="382"/>
        <v>78989</v>
      </c>
      <c r="B8160" t="str">
        <f ca="1">TEXT(DATE(YEAR(Invoer!$A$5),1,1)+INT((ROWS(B$2:B8160)-1)/24),"""18""jjmmdd")</f>
        <v>18981206</v>
      </c>
      <c r="C8160" s="11" t="str">
        <f>INDEX(Data,2,2+MOD(ROWS(C$2:C8160)-1,24))</f>
        <v>23.00</v>
      </c>
      <c r="D8160" s="8">
        <f t="shared" ca="1" si="383"/>
        <v>6</v>
      </c>
      <c r="E8160" s="16">
        <f t="shared" ca="1" si="384"/>
        <v>0</v>
      </c>
    </row>
    <row r="8161" spans="1:5" x14ac:dyDescent="0.25">
      <c r="A8161" s="3">
        <f t="shared" si="382"/>
        <v>78989</v>
      </c>
      <c r="B8161" t="str">
        <f ca="1">TEXT(DATE(YEAR(Invoer!$A$5),1,1)+INT((ROWS(B$2:B8161)-1)/24),"""18""jjmmdd")</f>
        <v>18981206</v>
      </c>
      <c r="C8161" s="11" t="str">
        <f>INDEX(Data,2,2+MOD(ROWS(C$2:C8161)-1,24))</f>
        <v>24.00</v>
      </c>
      <c r="D8161" s="8">
        <f t="shared" ca="1" si="383"/>
        <v>6</v>
      </c>
      <c r="E8161" s="16">
        <f t="shared" ca="1" si="384"/>
        <v>0</v>
      </c>
    </row>
    <row r="8162" spans="1:5" x14ac:dyDescent="0.25">
      <c r="A8162" s="3">
        <f t="shared" si="382"/>
        <v>78989</v>
      </c>
      <c r="B8162" t="str">
        <f ca="1">TEXT(DATE(YEAR(Invoer!$A$5),1,1)+INT((ROWS(B$2:B8162)-1)/24),"""18""jjmmdd")</f>
        <v>18981207</v>
      </c>
      <c r="C8162" s="11" t="str">
        <f>INDEX(Data,2,2+MOD(ROWS(C$2:C8162)-1,24))</f>
        <v>01.00</v>
      </c>
      <c r="D8162" s="8">
        <f t="shared" ca="1" si="383"/>
        <v>5</v>
      </c>
      <c r="E8162" s="16">
        <f t="shared" ca="1" si="384"/>
        <v>0</v>
      </c>
    </row>
    <row r="8163" spans="1:5" x14ac:dyDescent="0.25">
      <c r="A8163" s="3">
        <f t="shared" si="382"/>
        <v>78989</v>
      </c>
      <c r="B8163" t="str">
        <f ca="1">TEXT(DATE(YEAR(Invoer!$A$5),1,1)+INT((ROWS(B$2:B8163)-1)/24),"""18""jjmmdd")</f>
        <v>18981207</v>
      </c>
      <c r="C8163" s="11" t="str">
        <f>INDEX(Data,2,2+MOD(ROWS(C$2:C8163)-1,24))</f>
        <v>02.00</v>
      </c>
      <c r="D8163" s="8">
        <f t="shared" ca="1" si="383"/>
        <v>6</v>
      </c>
      <c r="E8163" s="16">
        <f t="shared" ca="1" si="384"/>
        <v>0</v>
      </c>
    </row>
    <row r="8164" spans="1:5" x14ac:dyDescent="0.25">
      <c r="A8164" s="3">
        <f t="shared" si="382"/>
        <v>78989</v>
      </c>
      <c r="B8164" t="str">
        <f ca="1">TEXT(DATE(YEAR(Invoer!$A$5),1,1)+INT((ROWS(B$2:B8164)-1)/24),"""18""jjmmdd")</f>
        <v>18981207</v>
      </c>
      <c r="C8164" s="11" t="str">
        <f>INDEX(Data,2,2+MOD(ROWS(C$2:C8164)-1,24))</f>
        <v>03.00</v>
      </c>
      <c r="D8164" s="8">
        <f t="shared" ca="1" si="383"/>
        <v>9</v>
      </c>
      <c r="E8164" s="16">
        <f t="shared" ca="1" si="384"/>
        <v>0</v>
      </c>
    </row>
    <row r="8165" spans="1:5" x14ac:dyDescent="0.25">
      <c r="A8165" s="3">
        <f t="shared" si="382"/>
        <v>78989</v>
      </c>
      <c r="B8165" t="str">
        <f ca="1">TEXT(DATE(YEAR(Invoer!$A$5),1,1)+INT((ROWS(B$2:B8165)-1)/24),"""18""jjmmdd")</f>
        <v>18981207</v>
      </c>
      <c r="C8165" s="11" t="str">
        <f>INDEX(Data,2,2+MOD(ROWS(C$2:C8165)-1,24))</f>
        <v>04.00</v>
      </c>
      <c r="D8165" s="8">
        <f t="shared" ca="1" si="383"/>
        <v>6</v>
      </c>
      <c r="E8165" s="16">
        <f t="shared" ca="1" si="384"/>
        <v>0</v>
      </c>
    </row>
    <row r="8166" spans="1:5" x14ac:dyDescent="0.25">
      <c r="A8166" s="3">
        <f t="shared" si="382"/>
        <v>78989</v>
      </c>
      <c r="B8166" t="str">
        <f ca="1">TEXT(DATE(YEAR(Invoer!$A$5),1,1)+INT((ROWS(B$2:B8166)-1)/24),"""18""jjmmdd")</f>
        <v>18981207</v>
      </c>
      <c r="C8166" s="11" t="str">
        <f>INDEX(Data,2,2+MOD(ROWS(C$2:C8166)-1,24))</f>
        <v>05.00</v>
      </c>
      <c r="D8166" s="8">
        <f t="shared" ca="1" si="383"/>
        <v>6</v>
      </c>
      <c r="E8166" s="16">
        <f t="shared" ca="1" si="384"/>
        <v>0</v>
      </c>
    </row>
    <row r="8167" spans="1:5" x14ac:dyDescent="0.25">
      <c r="A8167" s="3">
        <f t="shared" si="382"/>
        <v>78989</v>
      </c>
      <c r="B8167" t="str">
        <f ca="1">TEXT(DATE(YEAR(Invoer!$A$5),1,1)+INT((ROWS(B$2:B8167)-1)/24),"""18""jjmmdd")</f>
        <v>18981207</v>
      </c>
      <c r="C8167" s="11" t="str">
        <f>INDEX(Data,2,2+MOD(ROWS(C$2:C8167)-1,24))</f>
        <v>06.00</v>
      </c>
      <c r="D8167" s="8">
        <f t="shared" ca="1" si="383"/>
        <v>7</v>
      </c>
      <c r="E8167" s="16">
        <f t="shared" ca="1" si="384"/>
        <v>0</v>
      </c>
    </row>
    <row r="8168" spans="1:5" x14ac:dyDescent="0.25">
      <c r="A8168" s="3">
        <f t="shared" si="382"/>
        <v>78989</v>
      </c>
      <c r="B8168" t="str">
        <f ca="1">TEXT(DATE(YEAR(Invoer!$A$5),1,1)+INT((ROWS(B$2:B8168)-1)/24),"""18""jjmmdd")</f>
        <v>18981207</v>
      </c>
      <c r="C8168" s="11" t="str">
        <f>INDEX(Data,2,2+MOD(ROWS(C$2:C8168)-1,24))</f>
        <v>07.00</v>
      </c>
      <c r="D8168" s="8">
        <f t="shared" ca="1" si="383"/>
        <v>8</v>
      </c>
      <c r="E8168" s="16">
        <f t="shared" ca="1" si="384"/>
        <v>0</v>
      </c>
    </row>
    <row r="8169" spans="1:5" x14ac:dyDescent="0.25">
      <c r="A8169" s="3">
        <f t="shared" si="382"/>
        <v>78989</v>
      </c>
      <c r="B8169" t="str">
        <f ca="1">TEXT(DATE(YEAR(Invoer!$A$5),1,1)+INT((ROWS(B$2:B8169)-1)/24),"""18""jjmmdd")</f>
        <v>18981207</v>
      </c>
      <c r="C8169" s="11" t="str">
        <f>INDEX(Data,2,2+MOD(ROWS(C$2:C8169)-1,24))</f>
        <v>08.00</v>
      </c>
      <c r="D8169" s="8">
        <f t="shared" ca="1" si="383"/>
        <v>13</v>
      </c>
      <c r="E8169" s="16">
        <f t="shared" ca="1" si="384"/>
        <v>0</v>
      </c>
    </row>
    <row r="8170" spans="1:5" x14ac:dyDescent="0.25">
      <c r="A8170" s="3">
        <f t="shared" si="382"/>
        <v>78989</v>
      </c>
      <c r="B8170" t="str">
        <f ca="1">TEXT(DATE(YEAR(Invoer!$A$5),1,1)+INT((ROWS(B$2:B8170)-1)/24),"""18""jjmmdd")</f>
        <v>18981207</v>
      </c>
      <c r="C8170" s="11" t="str">
        <f>INDEX(Data,2,2+MOD(ROWS(C$2:C8170)-1,24))</f>
        <v>09.00</v>
      </c>
      <c r="D8170" s="8">
        <f t="shared" ca="1" si="383"/>
        <v>14</v>
      </c>
      <c r="E8170" s="16">
        <f t="shared" ca="1" si="384"/>
        <v>0</v>
      </c>
    </row>
    <row r="8171" spans="1:5" x14ac:dyDescent="0.25">
      <c r="A8171" s="3">
        <f t="shared" si="382"/>
        <v>78989</v>
      </c>
      <c r="B8171" t="str">
        <f ca="1">TEXT(DATE(YEAR(Invoer!$A$5),1,1)+INT((ROWS(B$2:B8171)-1)/24),"""18""jjmmdd")</f>
        <v>18981207</v>
      </c>
      <c r="C8171" s="11" t="str">
        <f>INDEX(Data,2,2+MOD(ROWS(C$2:C8171)-1,24))</f>
        <v>10.00</v>
      </c>
      <c r="D8171" s="8">
        <f t="shared" ca="1" si="383"/>
        <v>15</v>
      </c>
      <c r="E8171" s="16">
        <f t="shared" ca="1" si="384"/>
        <v>0</v>
      </c>
    </row>
    <row r="8172" spans="1:5" x14ac:dyDescent="0.25">
      <c r="A8172" s="3">
        <f t="shared" si="382"/>
        <v>78989</v>
      </c>
      <c r="B8172" t="str">
        <f ca="1">TEXT(DATE(YEAR(Invoer!$A$5),1,1)+INT((ROWS(B$2:B8172)-1)/24),"""18""jjmmdd")</f>
        <v>18981207</v>
      </c>
      <c r="C8172" s="11" t="str">
        <f>INDEX(Data,2,2+MOD(ROWS(C$2:C8172)-1,24))</f>
        <v>11.00</v>
      </c>
      <c r="D8172" s="8">
        <f t="shared" ca="1" si="383"/>
        <v>15</v>
      </c>
      <c r="E8172" s="16">
        <f t="shared" ca="1" si="384"/>
        <v>0</v>
      </c>
    </row>
    <row r="8173" spans="1:5" x14ac:dyDescent="0.25">
      <c r="A8173" s="3">
        <f t="shared" si="382"/>
        <v>78989</v>
      </c>
      <c r="B8173" t="str">
        <f ca="1">TEXT(DATE(YEAR(Invoer!$A$5),1,1)+INT((ROWS(B$2:B8173)-1)/24),"""18""jjmmdd")</f>
        <v>18981207</v>
      </c>
      <c r="C8173" s="11" t="str">
        <f>INDEX(Data,2,2+MOD(ROWS(C$2:C8173)-1,24))</f>
        <v>12.00</v>
      </c>
      <c r="D8173" s="8">
        <f t="shared" ca="1" si="383"/>
        <v>16</v>
      </c>
      <c r="E8173" s="16">
        <f t="shared" ca="1" si="384"/>
        <v>0</v>
      </c>
    </row>
    <row r="8174" spans="1:5" x14ac:dyDescent="0.25">
      <c r="A8174" s="3">
        <f t="shared" si="382"/>
        <v>78989</v>
      </c>
      <c r="B8174" t="str">
        <f ca="1">TEXT(DATE(YEAR(Invoer!$A$5),1,1)+INT((ROWS(B$2:B8174)-1)/24),"""18""jjmmdd")</f>
        <v>18981207</v>
      </c>
      <c r="C8174" s="11" t="str">
        <f>INDEX(Data,2,2+MOD(ROWS(C$2:C8174)-1,24))</f>
        <v>13.00</v>
      </c>
      <c r="D8174" s="8">
        <f t="shared" ca="1" si="383"/>
        <v>16</v>
      </c>
      <c r="E8174" s="16">
        <f t="shared" ca="1" si="384"/>
        <v>0</v>
      </c>
    </row>
    <row r="8175" spans="1:5" x14ac:dyDescent="0.25">
      <c r="A8175" s="3">
        <f t="shared" si="382"/>
        <v>78989</v>
      </c>
      <c r="B8175" t="str">
        <f ca="1">TEXT(DATE(YEAR(Invoer!$A$5),1,1)+INT((ROWS(B$2:B8175)-1)/24),"""18""jjmmdd")</f>
        <v>18981207</v>
      </c>
      <c r="C8175" s="11" t="str">
        <f>INDEX(Data,2,2+MOD(ROWS(C$2:C8175)-1,24))</f>
        <v>14.00</v>
      </c>
      <c r="D8175" s="8">
        <f t="shared" ca="1" si="383"/>
        <v>15</v>
      </c>
      <c r="E8175" s="16">
        <f t="shared" ca="1" si="384"/>
        <v>0</v>
      </c>
    </row>
    <row r="8176" spans="1:5" x14ac:dyDescent="0.25">
      <c r="A8176" s="3">
        <f t="shared" si="382"/>
        <v>78989</v>
      </c>
      <c r="B8176" t="str">
        <f ca="1">TEXT(DATE(YEAR(Invoer!$A$5),1,1)+INT((ROWS(B$2:B8176)-1)/24),"""18""jjmmdd")</f>
        <v>18981207</v>
      </c>
      <c r="C8176" s="11" t="str">
        <f>INDEX(Data,2,2+MOD(ROWS(C$2:C8176)-1,24))</f>
        <v>15.00</v>
      </c>
      <c r="D8176" s="8">
        <f t="shared" ca="1" si="383"/>
        <v>15</v>
      </c>
      <c r="E8176" s="16">
        <f t="shared" ca="1" si="384"/>
        <v>0</v>
      </c>
    </row>
    <row r="8177" spans="1:5" x14ac:dyDescent="0.25">
      <c r="A8177" s="3">
        <f t="shared" si="382"/>
        <v>78989</v>
      </c>
      <c r="B8177" t="str">
        <f ca="1">TEXT(DATE(YEAR(Invoer!$A$5),1,1)+INT((ROWS(B$2:B8177)-1)/24),"""18""jjmmdd")</f>
        <v>18981207</v>
      </c>
      <c r="C8177" s="11" t="str">
        <f>INDEX(Data,2,2+MOD(ROWS(C$2:C8177)-1,24))</f>
        <v>16.00</v>
      </c>
      <c r="D8177" s="8">
        <f t="shared" ca="1" si="383"/>
        <v>15</v>
      </c>
      <c r="E8177" s="16">
        <f t="shared" ca="1" si="384"/>
        <v>0</v>
      </c>
    </row>
    <row r="8178" spans="1:5" x14ac:dyDescent="0.25">
      <c r="A8178" s="3">
        <f t="shared" si="382"/>
        <v>78989</v>
      </c>
      <c r="B8178" t="str">
        <f ca="1">TEXT(DATE(YEAR(Invoer!$A$5),1,1)+INT((ROWS(B$2:B8178)-1)/24),"""18""jjmmdd")</f>
        <v>18981207</v>
      </c>
      <c r="C8178" s="11" t="str">
        <f>INDEX(Data,2,2+MOD(ROWS(C$2:C8178)-1,24))</f>
        <v>17.00</v>
      </c>
      <c r="D8178" s="8">
        <f t="shared" ca="1" si="383"/>
        <v>13</v>
      </c>
      <c r="E8178" s="16">
        <f t="shared" ca="1" si="384"/>
        <v>0</v>
      </c>
    </row>
    <row r="8179" spans="1:5" x14ac:dyDescent="0.25">
      <c r="A8179" s="3">
        <f t="shared" si="382"/>
        <v>78989</v>
      </c>
      <c r="B8179" t="str">
        <f ca="1">TEXT(DATE(YEAR(Invoer!$A$5),1,1)+INT((ROWS(B$2:B8179)-1)/24),"""18""jjmmdd")</f>
        <v>18981207</v>
      </c>
      <c r="C8179" s="11" t="str">
        <f>INDEX(Data,2,2+MOD(ROWS(C$2:C8179)-1,24))</f>
        <v>18.00</v>
      </c>
      <c r="D8179" s="8">
        <f t="shared" ca="1" si="383"/>
        <v>13</v>
      </c>
      <c r="E8179" s="16">
        <f t="shared" ca="1" si="384"/>
        <v>0</v>
      </c>
    </row>
    <row r="8180" spans="1:5" x14ac:dyDescent="0.25">
      <c r="A8180" s="3">
        <f t="shared" si="382"/>
        <v>78989</v>
      </c>
      <c r="B8180" t="str">
        <f ca="1">TEXT(DATE(YEAR(Invoer!$A$5),1,1)+INT((ROWS(B$2:B8180)-1)/24),"""18""jjmmdd")</f>
        <v>18981207</v>
      </c>
      <c r="C8180" s="11" t="str">
        <f>INDEX(Data,2,2+MOD(ROWS(C$2:C8180)-1,24))</f>
        <v>19.00</v>
      </c>
      <c r="D8180" s="8">
        <f t="shared" ca="1" si="383"/>
        <v>11</v>
      </c>
      <c r="E8180" s="16">
        <f t="shared" ca="1" si="384"/>
        <v>0</v>
      </c>
    </row>
    <row r="8181" spans="1:5" x14ac:dyDescent="0.25">
      <c r="A8181" s="3">
        <f t="shared" si="382"/>
        <v>78989</v>
      </c>
      <c r="B8181" t="str">
        <f ca="1">TEXT(DATE(YEAR(Invoer!$A$5),1,1)+INT((ROWS(B$2:B8181)-1)/24),"""18""jjmmdd")</f>
        <v>18981207</v>
      </c>
      <c r="C8181" s="11" t="str">
        <f>INDEX(Data,2,2+MOD(ROWS(C$2:C8181)-1,24))</f>
        <v>20.00</v>
      </c>
      <c r="D8181" s="8">
        <f t="shared" ca="1" si="383"/>
        <v>10</v>
      </c>
      <c r="E8181" s="16">
        <f t="shared" ca="1" si="384"/>
        <v>0</v>
      </c>
    </row>
    <row r="8182" spans="1:5" x14ac:dyDescent="0.25">
      <c r="A8182" s="3">
        <f t="shared" si="382"/>
        <v>78989</v>
      </c>
      <c r="B8182" t="str">
        <f ca="1">TEXT(DATE(YEAR(Invoer!$A$5),1,1)+INT((ROWS(B$2:B8182)-1)/24),"""18""jjmmdd")</f>
        <v>18981207</v>
      </c>
      <c r="C8182" s="11" t="str">
        <f>INDEX(Data,2,2+MOD(ROWS(C$2:C8182)-1,24))</f>
        <v>21.00</v>
      </c>
      <c r="D8182" s="8">
        <f t="shared" ca="1" si="383"/>
        <v>10</v>
      </c>
      <c r="E8182" s="16">
        <f t="shared" ca="1" si="384"/>
        <v>0</v>
      </c>
    </row>
    <row r="8183" spans="1:5" x14ac:dyDescent="0.25">
      <c r="A8183" s="3">
        <f t="shared" si="382"/>
        <v>78989</v>
      </c>
      <c r="B8183" t="str">
        <f ca="1">TEXT(DATE(YEAR(Invoer!$A$5),1,1)+INT((ROWS(B$2:B8183)-1)/24),"""18""jjmmdd")</f>
        <v>18981207</v>
      </c>
      <c r="C8183" s="11" t="str">
        <f>INDEX(Data,2,2+MOD(ROWS(C$2:C8183)-1,24))</f>
        <v>22.00</v>
      </c>
      <c r="D8183" s="8">
        <f t="shared" ca="1" si="383"/>
        <v>10</v>
      </c>
      <c r="E8183" s="16">
        <f t="shared" ca="1" si="384"/>
        <v>0</v>
      </c>
    </row>
    <row r="8184" spans="1:5" x14ac:dyDescent="0.25">
      <c r="A8184" s="3">
        <f t="shared" si="382"/>
        <v>78989</v>
      </c>
      <c r="B8184" t="str">
        <f ca="1">TEXT(DATE(YEAR(Invoer!$A$5),1,1)+INT((ROWS(B$2:B8184)-1)/24),"""18""jjmmdd")</f>
        <v>18981207</v>
      </c>
      <c r="C8184" s="11" t="str">
        <f>INDEX(Data,2,2+MOD(ROWS(C$2:C8184)-1,24))</f>
        <v>23.00</v>
      </c>
      <c r="D8184" s="8">
        <f t="shared" ca="1" si="383"/>
        <v>9</v>
      </c>
      <c r="E8184" s="16">
        <f t="shared" ca="1" si="384"/>
        <v>0</v>
      </c>
    </row>
    <row r="8185" spans="1:5" x14ac:dyDescent="0.25">
      <c r="A8185" s="3">
        <f t="shared" si="382"/>
        <v>78989</v>
      </c>
      <c r="B8185" t="str">
        <f ca="1">TEXT(DATE(YEAR(Invoer!$A$5),1,1)+INT((ROWS(B$2:B8185)-1)/24),"""18""jjmmdd")</f>
        <v>18981207</v>
      </c>
      <c r="C8185" s="11" t="str">
        <f>INDEX(Data,2,2+MOD(ROWS(C$2:C8185)-1,24))</f>
        <v>24.00</v>
      </c>
      <c r="D8185" s="8">
        <f t="shared" ca="1" si="383"/>
        <v>10</v>
      </c>
      <c r="E8185" s="16">
        <f t="shared" ca="1" si="384"/>
        <v>0</v>
      </c>
    </row>
    <row r="8186" spans="1:5" x14ac:dyDescent="0.25">
      <c r="A8186" s="3">
        <f t="shared" si="382"/>
        <v>78989</v>
      </c>
      <c r="B8186" t="str">
        <f ca="1">TEXT(DATE(YEAR(Invoer!$A$5),1,1)+INT((ROWS(B$2:B8186)-1)/24),"""18""jjmmdd")</f>
        <v>18981208</v>
      </c>
      <c r="C8186" s="11" t="str">
        <f>INDEX(Data,2,2+MOD(ROWS(C$2:C8186)-1,24))</f>
        <v>01.00</v>
      </c>
      <c r="D8186" s="8">
        <f t="shared" ca="1" si="383"/>
        <v>11</v>
      </c>
      <c r="E8186" s="16">
        <f t="shared" ca="1" si="384"/>
        <v>0</v>
      </c>
    </row>
    <row r="8187" spans="1:5" x14ac:dyDescent="0.25">
      <c r="A8187" s="3">
        <f t="shared" si="382"/>
        <v>78989</v>
      </c>
      <c r="B8187" t="str">
        <f ca="1">TEXT(DATE(YEAR(Invoer!$A$5),1,1)+INT((ROWS(B$2:B8187)-1)/24),"""18""jjmmdd")</f>
        <v>18981208</v>
      </c>
      <c r="C8187" s="11" t="str">
        <f>INDEX(Data,2,2+MOD(ROWS(C$2:C8187)-1,24))</f>
        <v>02.00</v>
      </c>
      <c r="D8187" s="8">
        <f t="shared" ca="1" si="383"/>
        <v>11</v>
      </c>
      <c r="E8187" s="16">
        <f t="shared" ca="1" si="384"/>
        <v>0</v>
      </c>
    </row>
    <row r="8188" spans="1:5" x14ac:dyDescent="0.25">
      <c r="A8188" s="3">
        <f t="shared" si="382"/>
        <v>78989</v>
      </c>
      <c r="B8188" t="str">
        <f ca="1">TEXT(DATE(YEAR(Invoer!$A$5),1,1)+INT((ROWS(B$2:B8188)-1)/24),"""18""jjmmdd")</f>
        <v>18981208</v>
      </c>
      <c r="C8188" s="11" t="str">
        <f>INDEX(Data,2,2+MOD(ROWS(C$2:C8188)-1,24))</f>
        <v>03.00</v>
      </c>
      <c r="D8188" s="8">
        <f t="shared" ca="1" si="383"/>
        <v>13</v>
      </c>
      <c r="E8188" s="16">
        <f t="shared" ca="1" si="384"/>
        <v>0</v>
      </c>
    </row>
    <row r="8189" spans="1:5" x14ac:dyDescent="0.25">
      <c r="A8189" s="3">
        <f t="shared" si="382"/>
        <v>78989</v>
      </c>
      <c r="B8189" t="str">
        <f ca="1">TEXT(DATE(YEAR(Invoer!$A$5),1,1)+INT((ROWS(B$2:B8189)-1)/24),"""18""jjmmdd")</f>
        <v>18981208</v>
      </c>
      <c r="C8189" s="11" t="str">
        <f>INDEX(Data,2,2+MOD(ROWS(C$2:C8189)-1,24))</f>
        <v>04.00</v>
      </c>
      <c r="D8189" s="8">
        <f t="shared" ca="1" si="383"/>
        <v>11</v>
      </c>
      <c r="E8189" s="16">
        <f t="shared" ca="1" si="384"/>
        <v>0</v>
      </c>
    </row>
    <row r="8190" spans="1:5" x14ac:dyDescent="0.25">
      <c r="A8190" s="3">
        <f t="shared" si="382"/>
        <v>78989</v>
      </c>
      <c r="B8190" t="str">
        <f ca="1">TEXT(DATE(YEAR(Invoer!$A$5),1,1)+INT((ROWS(B$2:B8190)-1)/24),"""18""jjmmdd")</f>
        <v>18981208</v>
      </c>
      <c r="C8190" s="11" t="str">
        <f>INDEX(Data,2,2+MOD(ROWS(C$2:C8190)-1,24))</f>
        <v>05.00</v>
      </c>
      <c r="D8190" s="8">
        <f t="shared" ca="1" si="383"/>
        <v>11</v>
      </c>
      <c r="E8190" s="16">
        <f t="shared" ca="1" si="384"/>
        <v>0</v>
      </c>
    </row>
    <row r="8191" spans="1:5" x14ac:dyDescent="0.25">
      <c r="A8191" s="3">
        <f t="shared" si="382"/>
        <v>78989</v>
      </c>
      <c r="B8191" t="str">
        <f ca="1">TEXT(DATE(YEAR(Invoer!$A$5),1,1)+INT((ROWS(B$2:B8191)-1)/24),"""18""jjmmdd")</f>
        <v>18981208</v>
      </c>
      <c r="C8191" s="11" t="str">
        <f>INDEX(Data,2,2+MOD(ROWS(C$2:C8191)-1,24))</f>
        <v>06.00</v>
      </c>
      <c r="D8191" s="8">
        <f t="shared" ca="1" si="383"/>
        <v>12</v>
      </c>
      <c r="E8191" s="16">
        <f t="shared" ca="1" si="384"/>
        <v>0</v>
      </c>
    </row>
    <row r="8192" spans="1:5" x14ac:dyDescent="0.25">
      <c r="A8192" s="3">
        <f t="shared" si="382"/>
        <v>78989</v>
      </c>
      <c r="B8192" t="str">
        <f ca="1">TEXT(DATE(YEAR(Invoer!$A$5),1,1)+INT((ROWS(B$2:B8192)-1)/24),"""18""jjmmdd")</f>
        <v>18981208</v>
      </c>
      <c r="C8192" s="11" t="str">
        <f>INDEX(Data,2,2+MOD(ROWS(C$2:C8192)-1,24))</f>
        <v>07.00</v>
      </c>
      <c r="D8192" s="8">
        <f t="shared" ca="1" si="383"/>
        <v>11</v>
      </c>
      <c r="E8192" s="16">
        <f t="shared" ca="1" si="384"/>
        <v>0</v>
      </c>
    </row>
    <row r="8193" spans="1:5" x14ac:dyDescent="0.25">
      <c r="A8193" s="3">
        <f t="shared" si="382"/>
        <v>78989</v>
      </c>
      <c r="B8193" t="str">
        <f ca="1">TEXT(DATE(YEAR(Invoer!$A$5),1,1)+INT((ROWS(B$2:B8193)-1)/24),"""18""jjmmdd")</f>
        <v>18981208</v>
      </c>
      <c r="C8193" s="11" t="str">
        <f>INDEX(Data,2,2+MOD(ROWS(C$2:C8193)-1,24))</f>
        <v>08.00</v>
      </c>
      <c r="D8193" s="8">
        <f t="shared" ca="1" si="383"/>
        <v>12</v>
      </c>
      <c r="E8193" s="16">
        <f t="shared" ca="1" si="384"/>
        <v>0</v>
      </c>
    </row>
    <row r="8194" spans="1:5" x14ac:dyDescent="0.25">
      <c r="A8194" s="3">
        <f t="shared" ref="A8194:A8257" si="385">INDEX(Stations,2,1)</f>
        <v>78989</v>
      </c>
      <c r="B8194" t="str">
        <f ca="1">TEXT(DATE(YEAR(Invoer!$A$5),1,1)+INT((ROWS(B$2:B8194)-1)/24),"""18""jjmmdd")</f>
        <v>18981208</v>
      </c>
      <c r="C8194" s="11" t="str">
        <f>INDEX(Data,2,2+MOD(ROWS(C$2:C8194)-1,24))</f>
        <v>09.00</v>
      </c>
      <c r="D8194" s="8">
        <f t="shared" ref="D8194:D8257" ca="1" si="386">IF(OR(ISBLANK(VLOOKUP(DATEVALUE("37"&amp;MID($B8194,3,2)&amp;"-"&amp;MID($B8194,5,2)&amp;"-"&amp;RIGHT($B8194,2)),Data,MATCH(LEFT(VLOOKUP(D$1,Parameters,2,FALSE()),4)&amp;"*",OFFSET(Data,0,0,1),0)+MATCH($C8194,OFFSET(Data,1,0,1),0)-2,FALSE())),ISTEXT(VLOOKUP(DATEVALUE("37"&amp;MID($B8194,3,2)&amp;"-"&amp;MID($B8194,5,2)&amp;"-"&amp;RIGHT($B8194,2)),Data,MATCH(LEFT(VLOOKUP(D$1,Parameters,2,FALSE()),4)&amp;"*",OFFSET(Data,0,0,1),0)+MATCH($C8194,OFFSET(Data,1,0,1),0)-2,FALSE()))),"—",VLOOKUP(DATEVALUE("37"&amp;MID($B8194,3,2)&amp;"-"&amp;MID($B8194,5,2)&amp;"-"&amp;RIGHT($B8194,2)),Data,MATCH(LEFT(VLOOKUP(D$1,Parameters,2,FALSE()),4)&amp;"*",OFFSET(Data,0,0,1),0)+MATCH($C8194,OFFSET(Data,1,0,1),0)-2,FALSE()))</f>
        <v>15</v>
      </c>
      <c r="E8194" s="16">
        <f t="shared" ca="1" si="384"/>
        <v>0</v>
      </c>
    </row>
    <row r="8195" spans="1:5" x14ac:dyDescent="0.25">
      <c r="A8195" s="3">
        <f t="shared" si="385"/>
        <v>78989</v>
      </c>
      <c r="B8195" t="str">
        <f ca="1">TEXT(DATE(YEAR(Invoer!$A$5),1,1)+INT((ROWS(B$2:B8195)-1)/24),"""18""jjmmdd")</f>
        <v>18981208</v>
      </c>
      <c r="C8195" s="11" t="str">
        <f>INDEX(Data,2,2+MOD(ROWS(C$2:C8195)-1,24))</f>
        <v>10.00</v>
      </c>
      <c r="D8195" s="8">
        <f t="shared" ca="1" si="386"/>
        <v>16</v>
      </c>
      <c r="E8195" s="16">
        <f t="shared" ref="E8195:E8258" ca="1" si="387">IF(OR(ISBLANK(VLOOKUP(DATEVALUE("37"&amp;MID($B8195,3,2)&amp;"-"&amp;MID($B8195,5,2)&amp;"-"&amp;RIGHT($B8195,2)),Data,MATCH(LEFT(VLOOKUP(D$1,Parameters,2,FALSE()),4)&amp;"*",OFFSET(Data,0,0,1),0)+MATCH($C8195,OFFSET(Data,1,0,1),0)-2,FALSE())),ISTEXT(VLOOKUP(DATEVALUE("37"&amp;MID($B8195,3,2)&amp;"-"&amp;MID($B8195,5,2)&amp;"-"&amp;RIGHT($B8195,2)),Data,MATCH(LEFT(VLOOKUP(D$1,Parameters,2,FALSE()),4)&amp;"*",OFFSET(Data,0,0,1),0)+MATCH($C8195,OFFSET(Data,1,0,1),0)-2,FALSE()))),Lacking,IF(ISNA(MATCH(DATEVALUE("37"&amp;MID($B8195,3,2)&amp;"-"&amp;MID($B8195,5,2)&amp;"-"&amp;RIGHT($B8195,2)),OFFSET(Catalogus,0,0,,1),0)),Ok,VLOOKUP(DATEVALUE("37"&amp;MID($B8195,3,2)&amp;"-"&amp;MID($B8195,5,2)&amp;"-"&amp;RIGHT($B8195,2)),Catalogus,MATCH(LEFT(VLOOKUP(MID(E$1,2,LEN(E$1)-1),Parameters,2,FALSE()),4)&amp;"*",OFFSET(Catalogus,0,0,1),0)+MATCH($C8195,OFFSET(Catalogus,1,0,1),0)-2,FALSE())))</f>
        <v>0</v>
      </c>
    </row>
    <row r="8196" spans="1:5" x14ac:dyDescent="0.25">
      <c r="A8196" s="3">
        <f t="shared" si="385"/>
        <v>78989</v>
      </c>
      <c r="B8196" t="str">
        <f ca="1">TEXT(DATE(YEAR(Invoer!$A$5),1,1)+INT((ROWS(B$2:B8196)-1)/24),"""18""jjmmdd")</f>
        <v>18981208</v>
      </c>
      <c r="C8196" s="11" t="str">
        <f>INDEX(Data,2,2+MOD(ROWS(C$2:C8196)-1,24))</f>
        <v>11.00</v>
      </c>
      <c r="D8196" s="8">
        <f t="shared" ca="1" si="386"/>
        <v>16</v>
      </c>
      <c r="E8196" s="16">
        <f t="shared" ca="1" si="387"/>
        <v>0</v>
      </c>
    </row>
    <row r="8197" spans="1:5" x14ac:dyDescent="0.25">
      <c r="A8197" s="3">
        <f t="shared" si="385"/>
        <v>78989</v>
      </c>
      <c r="B8197" t="str">
        <f ca="1">TEXT(DATE(YEAR(Invoer!$A$5),1,1)+INT((ROWS(B$2:B8197)-1)/24),"""18""jjmmdd")</f>
        <v>18981208</v>
      </c>
      <c r="C8197" s="11" t="str">
        <f>INDEX(Data,2,2+MOD(ROWS(C$2:C8197)-1,24))</f>
        <v>12.00</v>
      </c>
      <c r="D8197" s="8">
        <f t="shared" ca="1" si="386"/>
        <v>15</v>
      </c>
      <c r="E8197" s="16">
        <f t="shared" ca="1" si="387"/>
        <v>0</v>
      </c>
    </row>
    <row r="8198" spans="1:5" x14ac:dyDescent="0.25">
      <c r="A8198" s="3">
        <f t="shared" si="385"/>
        <v>78989</v>
      </c>
      <c r="B8198" t="str">
        <f ca="1">TEXT(DATE(YEAR(Invoer!$A$5),1,1)+INT((ROWS(B$2:B8198)-1)/24),"""18""jjmmdd")</f>
        <v>18981208</v>
      </c>
      <c r="C8198" s="11" t="str">
        <f>INDEX(Data,2,2+MOD(ROWS(C$2:C8198)-1,24))</f>
        <v>13.00</v>
      </c>
      <c r="D8198" s="8">
        <f t="shared" ca="1" si="386"/>
        <v>14</v>
      </c>
      <c r="E8198" s="16">
        <f t="shared" ca="1" si="387"/>
        <v>0</v>
      </c>
    </row>
    <row r="8199" spans="1:5" x14ac:dyDescent="0.25">
      <c r="A8199" s="3">
        <f t="shared" si="385"/>
        <v>78989</v>
      </c>
      <c r="B8199" t="str">
        <f ca="1">TEXT(DATE(YEAR(Invoer!$A$5),1,1)+INT((ROWS(B$2:B8199)-1)/24),"""18""jjmmdd")</f>
        <v>18981208</v>
      </c>
      <c r="C8199" s="11" t="str">
        <f>INDEX(Data,2,2+MOD(ROWS(C$2:C8199)-1,24))</f>
        <v>14.00</v>
      </c>
      <c r="D8199" s="8">
        <f t="shared" ca="1" si="386"/>
        <v>16</v>
      </c>
      <c r="E8199" s="16">
        <f t="shared" ca="1" si="387"/>
        <v>0</v>
      </c>
    </row>
    <row r="8200" spans="1:5" x14ac:dyDescent="0.25">
      <c r="A8200" s="3">
        <f t="shared" si="385"/>
        <v>78989</v>
      </c>
      <c r="B8200" t="str">
        <f ca="1">TEXT(DATE(YEAR(Invoer!$A$5),1,1)+INT((ROWS(B$2:B8200)-1)/24),"""18""jjmmdd")</f>
        <v>18981208</v>
      </c>
      <c r="C8200" s="11" t="str">
        <f>INDEX(Data,2,2+MOD(ROWS(C$2:C8200)-1,24))</f>
        <v>15.00</v>
      </c>
      <c r="D8200" s="8">
        <f t="shared" ca="1" si="386"/>
        <v>17</v>
      </c>
      <c r="E8200" s="16">
        <f t="shared" ca="1" si="387"/>
        <v>0</v>
      </c>
    </row>
    <row r="8201" spans="1:5" x14ac:dyDescent="0.25">
      <c r="A8201" s="3">
        <f t="shared" si="385"/>
        <v>78989</v>
      </c>
      <c r="B8201" t="str">
        <f ca="1">TEXT(DATE(YEAR(Invoer!$A$5),1,1)+INT((ROWS(B$2:B8201)-1)/24),"""18""jjmmdd")</f>
        <v>18981208</v>
      </c>
      <c r="C8201" s="11" t="str">
        <f>INDEX(Data,2,2+MOD(ROWS(C$2:C8201)-1,24))</f>
        <v>16.00</v>
      </c>
      <c r="D8201" s="8">
        <f t="shared" ca="1" si="386"/>
        <v>14</v>
      </c>
      <c r="E8201" s="16">
        <f t="shared" ca="1" si="387"/>
        <v>0</v>
      </c>
    </row>
    <row r="8202" spans="1:5" x14ac:dyDescent="0.25">
      <c r="A8202" s="3">
        <f t="shared" si="385"/>
        <v>78989</v>
      </c>
      <c r="B8202" t="str">
        <f ca="1">TEXT(DATE(YEAR(Invoer!$A$5),1,1)+INT((ROWS(B$2:B8202)-1)/24),"""18""jjmmdd")</f>
        <v>18981208</v>
      </c>
      <c r="C8202" s="11" t="str">
        <f>INDEX(Data,2,2+MOD(ROWS(C$2:C8202)-1,24))</f>
        <v>17.00</v>
      </c>
      <c r="D8202" s="8">
        <f t="shared" ca="1" si="386"/>
        <v>14</v>
      </c>
      <c r="E8202" s="16">
        <f t="shared" ca="1" si="387"/>
        <v>0</v>
      </c>
    </row>
    <row r="8203" spans="1:5" x14ac:dyDescent="0.25">
      <c r="A8203" s="3">
        <f t="shared" si="385"/>
        <v>78989</v>
      </c>
      <c r="B8203" t="str">
        <f ca="1">TEXT(DATE(YEAR(Invoer!$A$5),1,1)+INT((ROWS(B$2:B8203)-1)/24),"""18""jjmmdd")</f>
        <v>18981208</v>
      </c>
      <c r="C8203" s="11" t="str">
        <f>INDEX(Data,2,2+MOD(ROWS(C$2:C8203)-1,24))</f>
        <v>18.00</v>
      </c>
      <c r="D8203" s="8">
        <f t="shared" ca="1" si="386"/>
        <v>10</v>
      </c>
      <c r="E8203" s="16">
        <f t="shared" ca="1" si="387"/>
        <v>0</v>
      </c>
    </row>
    <row r="8204" spans="1:5" x14ac:dyDescent="0.25">
      <c r="A8204" s="3">
        <f t="shared" si="385"/>
        <v>78989</v>
      </c>
      <c r="B8204" t="str">
        <f ca="1">TEXT(DATE(YEAR(Invoer!$A$5),1,1)+INT((ROWS(B$2:B8204)-1)/24),"""18""jjmmdd")</f>
        <v>18981208</v>
      </c>
      <c r="C8204" s="11" t="str">
        <f>INDEX(Data,2,2+MOD(ROWS(C$2:C8204)-1,24))</f>
        <v>19.00</v>
      </c>
      <c r="D8204" s="8">
        <f t="shared" ca="1" si="386"/>
        <v>10</v>
      </c>
      <c r="E8204" s="16">
        <f t="shared" ca="1" si="387"/>
        <v>0</v>
      </c>
    </row>
    <row r="8205" spans="1:5" x14ac:dyDescent="0.25">
      <c r="A8205" s="3">
        <f t="shared" si="385"/>
        <v>78989</v>
      </c>
      <c r="B8205" t="str">
        <f ca="1">TEXT(DATE(YEAR(Invoer!$A$5),1,1)+INT((ROWS(B$2:B8205)-1)/24),"""18""jjmmdd")</f>
        <v>18981208</v>
      </c>
      <c r="C8205" s="11" t="str">
        <f>INDEX(Data,2,2+MOD(ROWS(C$2:C8205)-1,24))</f>
        <v>20.00</v>
      </c>
      <c r="D8205" s="8">
        <f t="shared" ca="1" si="386"/>
        <v>10</v>
      </c>
      <c r="E8205" s="16">
        <f t="shared" ca="1" si="387"/>
        <v>0</v>
      </c>
    </row>
    <row r="8206" spans="1:5" x14ac:dyDescent="0.25">
      <c r="A8206" s="3">
        <f t="shared" si="385"/>
        <v>78989</v>
      </c>
      <c r="B8206" t="str">
        <f ca="1">TEXT(DATE(YEAR(Invoer!$A$5),1,1)+INT((ROWS(B$2:B8206)-1)/24),"""18""jjmmdd")</f>
        <v>18981208</v>
      </c>
      <c r="C8206" s="11" t="str">
        <f>INDEX(Data,2,2+MOD(ROWS(C$2:C8206)-1,24))</f>
        <v>21.00</v>
      </c>
      <c r="D8206" s="8">
        <f t="shared" ca="1" si="386"/>
        <v>10</v>
      </c>
      <c r="E8206" s="16">
        <f t="shared" ca="1" si="387"/>
        <v>0</v>
      </c>
    </row>
    <row r="8207" spans="1:5" x14ac:dyDescent="0.25">
      <c r="A8207" s="3">
        <f t="shared" si="385"/>
        <v>78989</v>
      </c>
      <c r="B8207" t="str">
        <f ca="1">TEXT(DATE(YEAR(Invoer!$A$5),1,1)+INT((ROWS(B$2:B8207)-1)/24),"""18""jjmmdd")</f>
        <v>18981208</v>
      </c>
      <c r="C8207" s="11" t="str">
        <f>INDEX(Data,2,2+MOD(ROWS(C$2:C8207)-1,24))</f>
        <v>22.00</v>
      </c>
      <c r="D8207" s="8">
        <f t="shared" ca="1" si="386"/>
        <v>9</v>
      </c>
      <c r="E8207" s="16">
        <f t="shared" ca="1" si="387"/>
        <v>0</v>
      </c>
    </row>
    <row r="8208" spans="1:5" x14ac:dyDescent="0.25">
      <c r="A8208" s="3">
        <f t="shared" si="385"/>
        <v>78989</v>
      </c>
      <c r="B8208" t="str">
        <f ca="1">TEXT(DATE(YEAR(Invoer!$A$5),1,1)+INT((ROWS(B$2:B8208)-1)/24),"""18""jjmmdd")</f>
        <v>18981208</v>
      </c>
      <c r="C8208" s="11" t="str">
        <f>INDEX(Data,2,2+MOD(ROWS(C$2:C8208)-1,24))</f>
        <v>23.00</v>
      </c>
      <c r="D8208" s="8">
        <f t="shared" ca="1" si="386"/>
        <v>10</v>
      </c>
      <c r="E8208" s="16">
        <f t="shared" ca="1" si="387"/>
        <v>0</v>
      </c>
    </row>
    <row r="8209" spans="1:5" x14ac:dyDescent="0.25">
      <c r="A8209" s="3">
        <f t="shared" si="385"/>
        <v>78989</v>
      </c>
      <c r="B8209" t="str">
        <f ca="1">TEXT(DATE(YEAR(Invoer!$A$5),1,1)+INT((ROWS(B$2:B8209)-1)/24),"""18""jjmmdd")</f>
        <v>18981208</v>
      </c>
      <c r="C8209" s="11" t="str">
        <f>INDEX(Data,2,2+MOD(ROWS(C$2:C8209)-1,24))</f>
        <v>24.00</v>
      </c>
      <c r="D8209" s="8">
        <f t="shared" ca="1" si="386"/>
        <v>9</v>
      </c>
      <c r="E8209" s="16">
        <f t="shared" ca="1" si="387"/>
        <v>0</v>
      </c>
    </row>
    <row r="8210" spans="1:5" x14ac:dyDescent="0.25">
      <c r="A8210" s="3">
        <f t="shared" si="385"/>
        <v>78989</v>
      </c>
      <c r="B8210" t="str">
        <f ca="1">TEXT(DATE(YEAR(Invoer!$A$5),1,1)+INT((ROWS(B$2:B8210)-1)/24),"""18""jjmmdd")</f>
        <v>18981209</v>
      </c>
      <c r="C8210" s="11" t="str">
        <f>INDEX(Data,2,2+MOD(ROWS(C$2:C8210)-1,24))</f>
        <v>01.00</v>
      </c>
      <c r="D8210" s="8">
        <f t="shared" ca="1" si="386"/>
        <v>8</v>
      </c>
      <c r="E8210" s="16">
        <f t="shared" ca="1" si="387"/>
        <v>0</v>
      </c>
    </row>
    <row r="8211" spans="1:5" x14ac:dyDescent="0.25">
      <c r="A8211" s="3">
        <f t="shared" si="385"/>
        <v>78989</v>
      </c>
      <c r="B8211" t="str">
        <f ca="1">TEXT(DATE(YEAR(Invoer!$A$5),1,1)+INT((ROWS(B$2:B8211)-1)/24),"""18""jjmmdd")</f>
        <v>18981209</v>
      </c>
      <c r="C8211" s="11" t="str">
        <f>INDEX(Data,2,2+MOD(ROWS(C$2:C8211)-1,24))</f>
        <v>02.00</v>
      </c>
      <c r="D8211" s="8">
        <f t="shared" ca="1" si="386"/>
        <v>6</v>
      </c>
      <c r="E8211" s="16">
        <f t="shared" ca="1" si="387"/>
        <v>0</v>
      </c>
    </row>
    <row r="8212" spans="1:5" x14ac:dyDescent="0.25">
      <c r="A8212" s="3">
        <f t="shared" si="385"/>
        <v>78989</v>
      </c>
      <c r="B8212" t="str">
        <f ca="1">TEXT(DATE(YEAR(Invoer!$A$5),1,1)+INT((ROWS(B$2:B8212)-1)/24),"""18""jjmmdd")</f>
        <v>18981209</v>
      </c>
      <c r="C8212" s="11" t="str">
        <f>INDEX(Data,2,2+MOD(ROWS(C$2:C8212)-1,24))</f>
        <v>03.00</v>
      </c>
      <c r="D8212" s="8">
        <f t="shared" ca="1" si="386"/>
        <v>5</v>
      </c>
      <c r="E8212" s="16">
        <f t="shared" ca="1" si="387"/>
        <v>0</v>
      </c>
    </row>
    <row r="8213" spans="1:5" x14ac:dyDescent="0.25">
      <c r="A8213" s="3">
        <f t="shared" si="385"/>
        <v>78989</v>
      </c>
      <c r="B8213" t="str">
        <f ca="1">TEXT(DATE(YEAR(Invoer!$A$5),1,1)+INT((ROWS(B$2:B8213)-1)/24),"""18""jjmmdd")</f>
        <v>18981209</v>
      </c>
      <c r="C8213" s="11" t="str">
        <f>INDEX(Data,2,2+MOD(ROWS(C$2:C8213)-1,24))</f>
        <v>04.00</v>
      </c>
      <c r="D8213" s="8">
        <f t="shared" ca="1" si="386"/>
        <v>6</v>
      </c>
      <c r="E8213" s="16">
        <f t="shared" ca="1" si="387"/>
        <v>0</v>
      </c>
    </row>
    <row r="8214" spans="1:5" x14ac:dyDescent="0.25">
      <c r="A8214" s="3">
        <f t="shared" si="385"/>
        <v>78989</v>
      </c>
      <c r="B8214" t="str">
        <f ca="1">TEXT(DATE(YEAR(Invoer!$A$5),1,1)+INT((ROWS(B$2:B8214)-1)/24),"""18""jjmmdd")</f>
        <v>18981209</v>
      </c>
      <c r="C8214" s="11" t="str">
        <f>INDEX(Data,2,2+MOD(ROWS(C$2:C8214)-1,24))</f>
        <v>05.00</v>
      </c>
      <c r="D8214" s="8">
        <f t="shared" ca="1" si="386"/>
        <v>5</v>
      </c>
      <c r="E8214" s="16">
        <f t="shared" ca="1" si="387"/>
        <v>0</v>
      </c>
    </row>
    <row r="8215" spans="1:5" x14ac:dyDescent="0.25">
      <c r="A8215" s="3">
        <f t="shared" si="385"/>
        <v>78989</v>
      </c>
      <c r="B8215" t="str">
        <f ca="1">TEXT(DATE(YEAR(Invoer!$A$5),1,1)+INT((ROWS(B$2:B8215)-1)/24),"""18""jjmmdd")</f>
        <v>18981209</v>
      </c>
      <c r="C8215" s="11" t="str">
        <f>INDEX(Data,2,2+MOD(ROWS(C$2:C8215)-1,24))</f>
        <v>06.00</v>
      </c>
      <c r="D8215" s="8">
        <f t="shared" ca="1" si="386"/>
        <v>6</v>
      </c>
      <c r="E8215" s="16">
        <f t="shared" ca="1" si="387"/>
        <v>0</v>
      </c>
    </row>
    <row r="8216" spans="1:5" x14ac:dyDescent="0.25">
      <c r="A8216" s="3">
        <f t="shared" si="385"/>
        <v>78989</v>
      </c>
      <c r="B8216" t="str">
        <f ca="1">TEXT(DATE(YEAR(Invoer!$A$5),1,1)+INT((ROWS(B$2:B8216)-1)/24),"""18""jjmmdd")</f>
        <v>18981209</v>
      </c>
      <c r="C8216" s="11" t="str">
        <f>INDEX(Data,2,2+MOD(ROWS(C$2:C8216)-1,24))</f>
        <v>07.00</v>
      </c>
      <c r="D8216" s="8">
        <f t="shared" ca="1" si="386"/>
        <v>6</v>
      </c>
      <c r="E8216" s="16">
        <f t="shared" ca="1" si="387"/>
        <v>0</v>
      </c>
    </row>
    <row r="8217" spans="1:5" x14ac:dyDescent="0.25">
      <c r="A8217" s="3">
        <f t="shared" si="385"/>
        <v>78989</v>
      </c>
      <c r="B8217" t="str">
        <f ca="1">TEXT(DATE(YEAR(Invoer!$A$5),1,1)+INT((ROWS(B$2:B8217)-1)/24),"""18""jjmmdd")</f>
        <v>18981209</v>
      </c>
      <c r="C8217" s="11" t="str">
        <f>INDEX(Data,2,2+MOD(ROWS(C$2:C8217)-1,24))</f>
        <v>08.00</v>
      </c>
      <c r="D8217" s="8">
        <f t="shared" ca="1" si="386"/>
        <v>9</v>
      </c>
      <c r="E8217" s="16">
        <f t="shared" ca="1" si="387"/>
        <v>0</v>
      </c>
    </row>
    <row r="8218" spans="1:5" x14ac:dyDescent="0.25">
      <c r="A8218" s="3">
        <f t="shared" si="385"/>
        <v>78989</v>
      </c>
      <c r="B8218" t="str">
        <f ca="1">TEXT(DATE(YEAR(Invoer!$A$5),1,1)+INT((ROWS(B$2:B8218)-1)/24),"""18""jjmmdd")</f>
        <v>18981209</v>
      </c>
      <c r="C8218" s="11" t="str">
        <f>INDEX(Data,2,2+MOD(ROWS(C$2:C8218)-1,24))</f>
        <v>09.00</v>
      </c>
      <c r="D8218" s="8">
        <f t="shared" ca="1" si="386"/>
        <v>12</v>
      </c>
      <c r="E8218" s="16">
        <f t="shared" ca="1" si="387"/>
        <v>0</v>
      </c>
    </row>
    <row r="8219" spans="1:5" x14ac:dyDescent="0.25">
      <c r="A8219" s="3">
        <f t="shared" si="385"/>
        <v>78989</v>
      </c>
      <c r="B8219" t="str">
        <f ca="1">TEXT(DATE(YEAR(Invoer!$A$5),1,1)+INT((ROWS(B$2:B8219)-1)/24),"""18""jjmmdd")</f>
        <v>18981209</v>
      </c>
      <c r="C8219" s="11" t="str">
        <f>INDEX(Data,2,2+MOD(ROWS(C$2:C8219)-1,24))</f>
        <v>10.00</v>
      </c>
      <c r="D8219" s="8">
        <f t="shared" ca="1" si="386"/>
        <v>12</v>
      </c>
      <c r="E8219" s="16">
        <f t="shared" ca="1" si="387"/>
        <v>0</v>
      </c>
    </row>
    <row r="8220" spans="1:5" x14ac:dyDescent="0.25">
      <c r="A8220" s="3">
        <f t="shared" si="385"/>
        <v>78989</v>
      </c>
      <c r="B8220" t="str">
        <f ca="1">TEXT(DATE(YEAR(Invoer!$A$5),1,1)+INT((ROWS(B$2:B8220)-1)/24),"""18""jjmmdd")</f>
        <v>18981209</v>
      </c>
      <c r="C8220" s="11" t="str">
        <f>INDEX(Data,2,2+MOD(ROWS(C$2:C8220)-1,24))</f>
        <v>11.00</v>
      </c>
      <c r="D8220" s="8">
        <f t="shared" ca="1" si="386"/>
        <v>15</v>
      </c>
      <c r="E8220" s="16">
        <f t="shared" ca="1" si="387"/>
        <v>0</v>
      </c>
    </row>
    <row r="8221" spans="1:5" x14ac:dyDescent="0.25">
      <c r="A8221" s="3">
        <f t="shared" si="385"/>
        <v>78989</v>
      </c>
      <c r="B8221" t="str">
        <f ca="1">TEXT(DATE(YEAR(Invoer!$A$5),1,1)+INT((ROWS(B$2:B8221)-1)/24),"""18""jjmmdd")</f>
        <v>18981209</v>
      </c>
      <c r="C8221" s="11" t="str">
        <f>INDEX(Data,2,2+MOD(ROWS(C$2:C8221)-1,24))</f>
        <v>12.00</v>
      </c>
      <c r="D8221" s="8">
        <f t="shared" ca="1" si="386"/>
        <v>15</v>
      </c>
      <c r="E8221" s="16">
        <f t="shared" ca="1" si="387"/>
        <v>0</v>
      </c>
    </row>
    <row r="8222" spans="1:5" x14ac:dyDescent="0.25">
      <c r="A8222" s="3">
        <f t="shared" si="385"/>
        <v>78989</v>
      </c>
      <c r="B8222" t="str">
        <f ca="1">TEXT(DATE(YEAR(Invoer!$A$5),1,1)+INT((ROWS(B$2:B8222)-1)/24),"""18""jjmmdd")</f>
        <v>18981209</v>
      </c>
      <c r="C8222" s="11" t="str">
        <f>INDEX(Data,2,2+MOD(ROWS(C$2:C8222)-1,24))</f>
        <v>13.00</v>
      </c>
      <c r="D8222" s="8">
        <f t="shared" ca="1" si="386"/>
        <v>14</v>
      </c>
      <c r="E8222" s="16">
        <f t="shared" ca="1" si="387"/>
        <v>0</v>
      </c>
    </row>
    <row r="8223" spans="1:5" x14ac:dyDescent="0.25">
      <c r="A8223" s="3">
        <f t="shared" si="385"/>
        <v>78989</v>
      </c>
      <c r="B8223" t="str">
        <f ca="1">TEXT(DATE(YEAR(Invoer!$A$5),1,1)+INT((ROWS(B$2:B8223)-1)/24),"""18""jjmmdd")</f>
        <v>18981209</v>
      </c>
      <c r="C8223" s="11" t="str">
        <f>INDEX(Data,2,2+MOD(ROWS(C$2:C8223)-1,24))</f>
        <v>14.00</v>
      </c>
      <c r="D8223" s="8">
        <f t="shared" ca="1" si="386"/>
        <v>12</v>
      </c>
      <c r="E8223" s="16">
        <f t="shared" ca="1" si="387"/>
        <v>0</v>
      </c>
    </row>
    <row r="8224" spans="1:5" x14ac:dyDescent="0.25">
      <c r="A8224" s="3">
        <f t="shared" si="385"/>
        <v>78989</v>
      </c>
      <c r="B8224" t="str">
        <f ca="1">TEXT(DATE(YEAR(Invoer!$A$5),1,1)+INT((ROWS(B$2:B8224)-1)/24),"""18""jjmmdd")</f>
        <v>18981209</v>
      </c>
      <c r="C8224" s="11" t="str">
        <f>INDEX(Data,2,2+MOD(ROWS(C$2:C8224)-1,24))</f>
        <v>15.00</v>
      </c>
      <c r="D8224" s="8">
        <f t="shared" ca="1" si="386"/>
        <v>11</v>
      </c>
      <c r="E8224" s="16">
        <f t="shared" ca="1" si="387"/>
        <v>0</v>
      </c>
    </row>
    <row r="8225" spans="1:5" x14ac:dyDescent="0.25">
      <c r="A8225" s="3">
        <f t="shared" si="385"/>
        <v>78989</v>
      </c>
      <c r="B8225" t="str">
        <f ca="1">TEXT(DATE(YEAR(Invoer!$A$5),1,1)+INT((ROWS(B$2:B8225)-1)/24),"""18""jjmmdd")</f>
        <v>18981209</v>
      </c>
      <c r="C8225" s="11" t="str">
        <f>INDEX(Data,2,2+MOD(ROWS(C$2:C8225)-1,24))</f>
        <v>16.00</v>
      </c>
      <c r="D8225" s="8">
        <f t="shared" ca="1" si="386"/>
        <v>9</v>
      </c>
      <c r="E8225" s="16">
        <f t="shared" ca="1" si="387"/>
        <v>0</v>
      </c>
    </row>
    <row r="8226" spans="1:5" x14ac:dyDescent="0.25">
      <c r="A8226" s="3">
        <f t="shared" si="385"/>
        <v>78989</v>
      </c>
      <c r="B8226" t="str">
        <f ca="1">TEXT(DATE(YEAR(Invoer!$A$5),1,1)+INT((ROWS(B$2:B8226)-1)/24),"""18""jjmmdd")</f>
        <v>18981209</v>
      </c>
      <c r="C8226" s="11" t="str">
        <f>INDEX(Data,2,2+MOD(ROWS(C$2:C8226)-1,24))</f>
        <v>17.00</v>
      </c>
      <c r="D8226" s="8">
        <f t="shared" ca="1" si="386"/>
        <v>8</v>
      </c>
      <c r="E8226" s="16">
        <f t="shared" ca="1" si="387"/>
        <v>0</v>
      </c>
    </row>
    <row r="8227" spans="1:5" x14ac:dyDescent="0.25">
      <c r="A8227" s="3">
        <f t="shared" si="385"/>
        <v>78989</v>
      </c>
      <c r="B8227" t="str">
        <f ca="1">TEXT(DATE(YEAR(Invoer!$A$5),1,1)+INT((ROWS(B$2:B8227)-1)/24),"""18""jjmmdd")</f>
        <v>18981209</v>
      </c>
      <c r="C8227" s="11" t="str">
        <f>INDEX(Data,2,2+MOD(ROWS(C$2:C8227)-1,24))</f>
        <v>18.00</v>
      </c>
      <c r="D8227" s="8">
        <f t="shared" ca="1" si="386"/>
        <v>9</v>
      </c>
      <c r="E8227" s="16">
        <f t="shared" ca="1" si="387"/>
        <v>0</v>
      </c>
    </row>
    <row r="8228" spans="1:5" x14ac:dyDescent="0.25">
      <c r="A8228" s="3">
        <f t="shared" si="385"/>
        <v>78989</v>
      </c>
      <c r="B8228" t="str">
        <f ca="1">TEXT(DATE(YEAR(Invoer!$A$5),1,1)+INT((ROWS(B$2:B8228)-1)/24),"""18""jjmmdd")</f>
        <v>18981209</v>
      </c>
      <c r="C8228" s="11" t="str">
        <f>INDEX(Data,2,2+MOD(ROWS(C$2:C8228)-1,24))</f>
        <v>19.00</v>
      </c>
      <c r="D8228" s="8">
        <f t="shared" ca="1" si="386"/>
        <v>5</v>
      </c>
      <c r="E8228" s="16">
        <f t="shared" ca="1" si="387"/>
        <v>0</v>
      </c>
    </row>
    <row r="8229" spans="1:5" x14ac:dyDescent="0.25">
      <c r="A8229" s="3">
        <f t="shared" si="385"/>
        <v>78989</v>
      </c>
      <c r="B8229" t="str">
        <f ca="1">TEXT(DATE(YEAR(Invoer!$A$5),1,1)+INT((ROWS(B$2:B8229)-1)/24),"""18""jjmmdd")</f>
        <v>18981209</v>
      </c>
      <c r="C8229" s="11" t="str">
        <f>INDEX(Data,2,2+MOD(ROWS(C$2:C8229)-1,24))</f>
        <v>20.00</v>
      </c>
      <c r="D8229" s="8">
        <f t="shared" ca="1" si="386"/>
        <v>6</v>
      </c>
      <c r="E8229" s="16">
        <f t="shared" ca="1" si="387"/>
        <v>0</v>
      </c>
    </row>
    <row r="8230" spans="1:5" x14ac:dyDescent="0.25">
      <c r="A8230" s="3">
        <f t="shared" si="385"/>
        <v>78989</v>
      </c>
      <c r="B8230" t="str">
        <f ca="1">TEXT(DATE(YEAR(Invoer!$A$5),1,1)+INT((ROWS(B$2:B8230)-1)/24),"""18""jjmmdd")</f>
        <v>18981209</v>
      </c>
      <c r="C8230" s="11" t="str">
        <f>INDEX(Data,2,2+MOD(ROWS(C$2:C8230)-1,24))</f>
        <v>21.00</v>
      </c>
      <c r="D8230" s="8">
        <f t="shared" ca="1" si="386"/>
        <v>8</v>
      </c>
      <c r="E8230" s="16">
        <f t="shared" ca="1" si="387"/>
        <v>0</v>
      </c>
    </row>
    <row r="8231" spans="1:5" x14ac:dyDescent="0.25">
      <c r="A8231" s="3">
        <f t="shared" si="385"/>
        <v>78989</v>
      </c>
      <c r="B8231" t="str">
        <f ca="1">TEXT(DATE(YEAR(Invoer!$A$5),1,1)+INT((ROWS(B$2:B8231)-1)/24),"""18""jjmmdd")</f>
        <v>18981209</v>
      </c>
      <c r="C8231" s="11" t="str">
        <f>INDEX(Data,2,2+MOD(ROWS(C$2:C8231)-1,24))</f>
        <v>22.00</v>
      </c>
      <c r="D8231" s="8">
        <f t="shared" ca="1" si="386"/>
        <v>9</v>
      </c>
      <c r="E8231" s="16">
        <f t="shared" ca="1" si="387"/>
        <v>0</v>
      </c>
    </row>
    <row r="8232" spans="1:5" x14ac:dyDescent="0.25">
      <c r="A8232" s="3">
        <f t="shared" si="385"/>
        <v>78989</v>
      </c>
      <c r="B8232" t="str">
        <f ca="1">TEXT(DATE(YEAR(Invoer!$A$5),1,1)+INT((ROWS(B$2:B8232)-1)/24),"""18""jjmmdd")</f>
        <v>18981209</v>
      </c>
      <c r="C8232" s="11" t="str">
        <f>INDEX(Data,2,2+MOD(ROWS(C$2:C8232)-1,24))</f>
        <v>23.00</v>
      </c>
      <c r="D8232" s="8">
        <f t="shared" ca="1" si="386"/>
        <v>9</v>
      </c>
      <c r="E8232" s="16">
        <f t="shared" ca="1" si="387"/>
        <v>0</v>
      </c>
    </row>
    <row r="8233" spans="1:5" x14ac:dyDescent="0.25">
      <c r="A8233" s="3">
        <f t="shared" si="385"/>
        <v>78989</v>
      </c>
      <c r="B8233" t="str">
        <f ca="1">TEXT(DATE(YEAR(Invoer!$A$5),1,1)+INT((ROWS(B$2:B8233)-1)/24),"""18""jjmmdd")</f>
        <v>18981209</v>
      </c>
      <c r="C8233" s="11" t="str">
        <f>INDEX(Data,2,2+MOD(ROWS(C$2:C8233)-1,24))</f>
        <v>24.00</v>
      </c>
      <c r="D8233" s="8">
        <f t="shared" ca="1" si="386"/>
        <v>8</v>
      </c>
      <c r="E8233" s="16">
        <f t="shared" ca="1" si="387"/>
        <v>0</v>
      </c>
    </row>
    <row r="8234" spans="1:5" x14ac:dyDescent="0.25">
      <c r="A8234" s="3">
        <f t="shared" si="385"/>
        <v>78989</v>
      </c>
      <c r="B8234" t="str">
        <f ca="1">TEXT(DATE(YEAR(Invoer!$A$5),1,1)+INT((ROWS(B$2:B8234)-1)/24),"""18""jjmmdd")</f>
        <v>18981210</v>
      </c>
      <c r="C8234" s="11" t="str">
        <f>INDEX(Data,2,2+MOD(ROWS(C$2:C8234)-1,24))</f>
        <v>01.00</v>
      </c>
      <c r="D8234" s="8">
        <f t="shared" ca="1" si="386"/>
        <v>8</v>
      </c>
      <c r="E8234" s="16">
        <f t="shared" ca="1" si="387"/>
        <v>0</v>
      </c>
    </row>
    <row r="8235" spans="1:5" x14ac:dyDescent="0.25">
      <c r="A8235" s="3">
        <f t="shared" si="385"/>
        <v>78989</v>
      </c>
      <c r="B8235" t="str">
        <f ca="1">TEXT(DATE(YEAR(Invoer!$A$5),1,1)+INT((ROWS(B$2:B8235)-1)/24),"""18""jjmmdd")</f>
        <v>18981210</v>
      </c>
      <c r="C8235" s="11" t="str">
        <f>INDEX(Data,2,2+MOD(ROWS(C$2:C8235)-1,24))</f>
        <v>02.00</v>
      </c>
      <c r="D8235" s="8">
        <f t="shared" ca="1" si="386"/>
        <v>7</v>
      </c>
      <c r="E8235" s="16">
        <f t="shared" ca="1" si="387"/>
        <v>0</v>
      </c>
    </row>
    <row r="8236" spans="1:5" x14ac:dyDescent="0.25">
      <c r="A8236" s="3">
        <f t="shared" si="385"/>
        <v>78989</v>
      </c>
      <c r="B8236" t="str">
        <f ca="1">TEXT(DATE(YEAR(Invoer!$A$5),1,1)+INT((ROWS(B$2:B8236)-1)/24),"""18""jjmmdd")</f>
        <v>18981210</v>
      </c>
      <c r="C8236" s="11" t="str">
        <f>INDEX(Data,2,2+MOD(ROWS(C$2:C8236)-1,24))</f>
        <v>03.00</v>
      </c>
      <c r="D8236" s="8">
        <f t="shared" ca="1" si="386"/>
        <v>7</v>
      </c>
      <c r="E8236" s="16">
        <f t="shared" ca="1" si="387"/>
        <v>0</v>
      </c>
    </row>
    <row r="8237" spans="1:5" x14ac:dyDescent="0.25">
      <c r="A8237" s="3">
        <f t="shared" si="385"/>
        <v>78989</v>
      </c>
      <c r="B8237" t="str">
        <f ca="1">TEXT(DATE(YEAR(Invoer!$A$5),1,1)+INT((ROWS(B$2:B8237)-1)/24),"""18""jjmmdd")</f>
        <v>18981210</v>
      </c>
      <c r="C8237" s="11" t="str">
        <f>INDEX(Data,2,2+MOD(ROWS(C$2:C8237)-1,24))</f>
        <v>04.00</v>
      </c>
      <c r="D8237" s="8">
        <f t="shared" ca="1" si="386"/>
        <v>9</v>
      </c>
      <c r="E8237" s="16">
        <f t="shared" ca="1" si="387"/>
        <v>0</v>
      </c>
    </row>
    <row r="8238" spans="1:5" x14ac:dyDescent="0.25">
      <c r="A8238" s="3">
        <f t="shared" si="385"/>
        <v>78989</v>
      </c>
      <c r="B8238" t="str">
        <f ca="1">TEXT(DATE(YEAR(Invoer!$A$5),1,1)+INT((ROWS(B$2:B8238)-1)/24),"""18""jjmmdd")</f>
        <v>18981210</v>
      </c>
      <c r="C8238" s="11" t="str">
        <f>INDEX(Data,2,2+MOD(ROWS(C$2:C8238)-1,24))</f>
        <v>05.00</v>
      </c>
      <c r="D8238" s="8">
        <f t="shared" ca="1" si="386"/>
        <v>8</v>
      </c>
      <c r="E8238" s="16">
        <f t="shared" ca="1" si="387"/>
        <v>0</v>
      </c>
    </row>
    <row r="8239" spans="1:5" x14ac:dyDescent="0.25">
      <c r="A8239" s="3">
        <f t="shared" si="385"/>
        <v>78989</v>
      </c>
      <c r="B8239" t="str">
        <f ca="1">TEXT(DATE(YEAR(Invoer!$A$5),1,1)+INT((ROWS(B$2:B8239)-1)/24),"""18""jjmmdd")</f>
        <v>18981210</v>
      </c>
      <c r="C8239" s="11" t="str">
        <f>INDEX(Data,2,2+MOD(ROWS(C$2:C8239)-1,24))</f>
        <v>06.00</v>
      </c>
      <c r="D8239" s="8">
        <f t="shared" ca="1" si="386"/>
        <v>5</v>
      </c>
      <c r="E8239" s="16">
        <f t="shared" ca="1" si="387"/>
        <v>0</v>
      </c>
    </row>
    <row r="8240" spans="1:5" x14ac:dyDescent="0.25">
      <c r="A8240" s="3">
        <f t="shared" si="385"/>
        <v>78989</v>
      </c>
      <c r="B8240" t="str">
        <f ca="1">TEXT(DATE(YEAR(Invoer!$A$5),1,1)+INT((ROWS(B$2:B8240)-1)/24),"""18""jjmmdd")</f>
        <v>18981210</v>
      </c>
      <c r="C8240" s="11" t="str">
        <f>INDEX(Data,2,2+MOD(ROWS(C$2:C8240)-1,24))</f>
        <v>07.00</v>
      </c>
      <c r="D8240" s="8">
        <f t="shared" ca="1" si="386"/>
        <v>7</v>
      </c>
      <c r="E8240" s="16">
        <f t="shared" ca="1" si="387"/>
        <v>0</v>
      </c>
    </row>
    <row r="8241" spans="1:5" x14ac:dyDescent="0.25">
      <c r="A8241" s="3">
        <f t="shared" si="385"/>
        <v>78989</v>
      </c>
      <c r="B8241" t="str">
        <f ca="1">TEXT(DATE(YEAR(Invoer!$A$5),1,1)+INT((ROWS(B$2:B8241)-1)/24),"""18""jjmmdd")</f>
        <v>18981210</v>
      </c>
      <c r="C8241" s="11" t="str">
        <f>INDEX(Data,2,2+MOD(ROWS(C$2:C8241)-1,24))</f>
        <v>08.00</v>
      </c>
      <c r="D8241" s="8">
        <f t="shared" ca="1" si="386"/>
        <v>13</v>
      </c>
      <c r="E8241" s="16">
        <f t="shared" ca="1" si="387"/>
        <v>0</v>
      </c>
    </row>
    <row r="8242" spans="1:5" x14ac:dyDescent="0.25">
      <c r="A8242" s="3">
        <f t="shared" si="385"/>
        <v>78989</v>
      </c>
      <c r="B8242" t="str">
        <f ca="1">TEXT(DATE(YEAR(Invoer!$A$5),1,1)+INT((ROWS(B$2:B8242)-1)/24),"""18""jjmmdd")</f>
        <v>18981210</v>
      </c>
      <c r="C8242" s="11" t="str">
        <f>INDEX(Data,2,2+MOD(ROWS(C$2:C8242)-1,24))</f>
        <v>09.00</v>
      </c>
      <c r="D8242" s="8">
        <f t="shared" ca="1" si="386"/>
        <v>15</v>
      </c>
      <c r="E8242" s="16">
        <f t="shared" ca="1" si="387"/>
        <v>0</v>
      </c>
    </row>
    <row r="8243" spans="1:5" x14ac:dyDescent="0.25">
      <c r="A8243" s="3">
        <f t="shared" si="385"/>
        <v>78989</v>
      </c>
      <c r="B8243" t="str">
        <f ca="1">TEXT(DATE(YEAR(Invoer!$A$5),1,1)+INT((ROWS(B$2:B8243)-1)/24),"""18""jjmmdd")</f>
        <v>18981210</v>
      </c>
      <c r="C8243" s="11" t="str">
        <f>INDEX(Data,2,2+MOD(ROWS(C$2:C8243)-1,24))</f>
        <v>10.00</v>
      </c>
      <c r="D8243" s="8">
        <f t="shared" ca="1" si="386"/>
        <v>16</v>
      </c>
      <c r="E8243" s="16">
        <f t="shared" ca="1" si="387"/>
        <v>0</v>
      </c>
    </row>
    <row r="8244" spans="1:5" x14ac:dyDescent="0.25">
      <c r="A8244" s="3">
        <f t="shared" si="385"/>
        <v>78989</v>
      </c>
      <c r="B8244" t="str">
        <f ca="1">TEXT(DATE(YEAR(Invoer!$A$5),1,1)+INT((ROWS(B$2:B8244)-1)/24),"""18""jjmmdd")</f>
        <v>18981210</v>
      </c>
      <c r="C8244" s="11" t="str">
        <f>INDEX(Data,2,2+MOD(ROWS(C$2:C8244)-1,24))</f>
        <v>11.00</v>
      </c>
      <c r="D8244" s="8">
        <f t="shared" ca="1" si="386"/>
        <v>14</v>
      </c>
      <c r="E8244" s="16">
        <f t="shared" ca="1" si="387"/>
        <v>0</v>
      </c>
    </row>
    <row r="8245" spans="1:5" x14ac:dyDescent="0.25">
      <c r="A8245" s="3">
        <f t="shared" si="385"/>
        <v>78989</v>
      </c>
      <c r="B8245" t="str">
        <f ca="1">TEXT(DATE(YEAR(Invoer!$A$5),1,1)+INT((ROWS(B$2:B8245)-1)/24),"""18""jjmmdd")</f>
        <v>18981210</v>
      </c>
      <c r="C8245" s="11" t="str">
        <f>INDEX(Data,2,2+MOD(ROWS(C$2:C8245)-1,24))</f>
        <v>12.00</v>
      </c>
      <c r="D8245" s="8">
        <f t="shared" ca="1" si="386"/>
        <v>13</v>
      </c>
      <c r="E8245" s="16">
        <f t="shared" ca="1" si="387"/>
        <v>0</v>
      </c>
    </row>
    <row r="8246" spans="1:5" x14ac:dyDescent="0.25">
      <c r="A8246" s="3">
        <f t="shared" si="385"/>
        <v>78989</v>
      </c>
      <c r="B8246" t="str">
        <f ca="1">TEXT(DATE(YEAR(Invoer!$A$5),1,1)+INT((ROWS(B$2:B8246)-1)/24),"""18""jjmmdd")</f>
        <v>18981210</v>
      </c>
      <c r="C8246" s="11" t="str">
        <f>INDEX(Data,2,2+MOD(ROWS(C$2:C8246)-1,24))</f>
        <v>13.00</v>
      </c>
      <c r="D8246" s="8">
        <f t="shared" ca="1" si="386"/>
        <v>13</v>
      </c>
      <c r="E8246" s="16">
        <f t="shared" ca="1" si="387"/>
        <v>0</v>
      </c>
    </row>
    <row r="8247" spans="1:5" x14ac:dyDescent="0.25">
      <c r="A8247" s="3">
        <f t="shared" si="385"/>
        <v>78989</v>
      </c>
      <c r="B8247" t="str">
        <f ca="1">TEXT(DATE(YEAR(Invoer!$A$5),1,1)+INT((ROWS(B$2:B8247)-1)/24),"""18""jjmmdd")</f>
        <v>18981210</v>
      </c>
      <c r="C8247" s="11" t="str">
        <f>INDEX(Data,2,2+MOD(ROWS(C$2:C8247)-1,24))</f>
        <v>14.00</v>
      </c>
      <c r="D8247" s="8">
        <f t="shared" ca="1" si="386"/>
        <v>11</v>
      </c>
      <c r="E8247" s="16">
        <f t="shared" ca="1" si="387"/>
        <v>0</v>
      </c>
    </row>
    <row r="8248" spans="1:5" x14ac:dyDescent="0.25">
      <c r="A8248" s="3">
        <f t="shared" si="385"/>
        <v>78989</v>
      </c>
      <c r="B8248" t="str">
        <f ca="1">TEXT(DATE(YEAR(Invoer!$A$5),1,1)+INT((ROWS(B$2:B8248)-1)/24),"""18""jjmmdd")</f>
        <v>18981210</v>
      </c>
      <c r="C8248" s="11" t="str">
        <f>INDEX(Data,2,2+MOD(ROWS(C$2:C8248)-1,24))</f>
        <v>15.00</v>
      </c>
      <c r="D8248" s="8">
        <f t="shared" ca="1" si="386"/>
        <v>11</v>
      </c>
      <c r="E8248" s="16">
        <f t="shared" ca="1" si="387"/>
        <v>0</v>
      </c>
    </row>
    <row r="8249" spans="1:5" x14ac:dyDescent="0.25">
      <c r="A8249" s="3">
        <f t="shared" si="385"/>
        <v>78989</v>
      </c>
      <c r="B8249" t="str">
        <f ca="1">TEXT(DATE(YEAR(Invoer!$A$5),1,1)+INT((ROWS(B$2:B8249)-1)/24),"""18""jjmmdd")</f>
        <v>18981210</v>
      </c>
      <c r="C8249" s="11" t="str">
        <f>INDEX(Data,2,2+MOD(ROWS(C$2:C8249)-1,24))</f>
        <v>16.00</v>
      </c>
      <c r="D8249" s="8">
        <f t="shared" ca="1" si="386"/>
        <v>12</v>
      </c>
      <c r="E8249" s="16">
        <f t="shared" ca="1" si="387"/>
        <v>0</v>
      </c>
    </row>
    <row r="8250" spans="1:5" x14ac:dyDescent="0.25">
      <c r="A8250" s="3">
        <f t="shared" si="385"/>
        <v>78989</v>
      </c>
      <c r="B8250" t="str">
        <f ca="1">TEXT(DATE(YEAR(Invoer!$A$5),1,1)+INT((ROWS(B$2:B8250)-1)/24),"""18""jjmmdd")</f>
        <v>18981210</v>
      </c>
      <c r="C8250" s="11" t="str">
        <f>INDEX(Data,2,2+MOD(ROWS(C$2:C8250)-1,24))</f>
        <v>17.00</v>
      </c>
      <c r="D8250" s="8">
        <f t="shared" ca="1" si="386"/>
        <v>10</v>
      </c>
      <c r="E8250" s="16">
        <f t="shared" ca="1" si="387"/>
        <v>0</v>
      </c>
    </row>
    <row r="8251" spans="1:5" x14ac:dyDescent="0.25">
      <c r="A8251" s="3">
        <f t="shared" si="385"/>
        <v>78989</v>
      </c>
      <c r="B8251" t="str">
        <f ca="1">TEXT(DATE(YEAR(Invoer!$A$5),1,1)+INT((ROWS(B$2:B8251)-1)/24),"""18""jjmmdd")</f>
        <v>18981210</v>
      </c>
      <c r="C8251" s="11" t="str">
        <f>INDEX(Data,2,2+MOD(ROWS(C$2:C8251)-1,24))</f>
        <v>18.00</v>
      </c>
      <c r="D8251" s="8">
        <f t="shared" ca="1" si="386"/>
        <v>7</v>
      </c>
      <c r="E8251" s="16">
        <f t="shared" ca="1" si="387"/>
        <v>0</v>
      </c>
    </row>
    <row r="8252" spans="1:5" x14ac:dyDescent="0.25">
      <c r="A8252" s="3">
        <f t="shared" si="385"/>
        <v>78989</v>
      </c>
      <c r="B8252" t="str">
        <f ca="1">TEXT(DATE(YEAR(Invoer!$A$5),1,1)+INT((ROWS(B$2:B8252)-1)/24),"""18""jjmmdd")</f>
        <v>18981210</v>
      </c>
      <c r="C8252" s="11" t="str">
        <f>INDEX(Data,2,2+MOD(ROWS(C$2:C8252)-1,24))</f>
        <v>19.00</v>
      </c>
      <c r="D8252" s="8">
        <f t="shared" ca="1" si="386"/>
        <v>6</v>
      </c>
      <c r="E8252" s="16">
        <f t="shared" ca="1" si="387"/>
        <v>0</v>
      </c>
    </row>
    <row r="8253" spans="1:5" x14ac:dyDescent="0.25">
      <c r="A8253" s="3">
        <f t="shared" si="385"/>
        <v>78989</v>
      </c>
      <c r="B8253" t="str">
        <f ca="1">TEXT(DATE(YEAR(Invoer!$A$5),1,1)+INT((ROWS(B$2:B8253)-1)/24),"""18""jjmmdd")</f>
        <v>18981210</v>
      </c>
      <c r="C8253" s="11" t="str">
        <f>INDEX(Data,2,2+MOD(ROWS(C$2:C8253)-1,24))</f>
        <v>20.00</v>
      </c>
      <c r="D8253" s="8">
        <f t="shared" ca="1" si="386"/>
        <v>6</v>
      </c>
      <c r="E8253" s="16">
        <f t="shared" ca="1" si="387"/>
        <v>0</v>
      </c>
    </row>
    <row r="8254" spans="1:5" x14ac:dyDescent="0.25">
      <c r="A8254" s="3">
        <f t="shared" si="385"/>
        <v>78989</v>
      </c>
      <c r="B8254" t="str">
        <f ca="1">TEXT(DATE(YEAR(Invoer!$A$5),1,1)+INT((ROWS(B$2:B8254)-1)/24),"""18""jjmmdd")</f>
        <v>18981210</v>
      </c>
      <c r="C8254" s="11" t="str">
        <f>INDEX(Data,2,2+MOD(ROWS(C$2:C8254)-1,24))</f>
        <v>21.00</v>
      </c>
      <c r="D8254" s="8">
        <f t="shared" ca="1" si="386"/>
        <v>7</v>
      </c>
      <c r="E8254" s="16">
        <f t="shared" ca="1" si="387"/>
        <v>0</v>
      </c>
    </row>
    <row r="8255" spans="1:5" x14ac:dyDescent="0.25">
      <c r="A8255" s="3">
        <f t="shared" si="385"/>
        <v>78989</v>
      </c>
      <c r="B8255" t="str">
        <f ca="1">TEXT(DATE(YEAR(Invoer!$A$5),1,1)+INT((ROWS(B$2:B8255)-1)/24),"""18""jjmmdd")</f>
        <v>18981210</v>
      </c>
      <c r="C8255" s="11" t="str">
        <f>INDEX(Data,2,2+MOD(ROWS(C$2:C8255)-1,24))</f>
        <v>22.00</v>
      </c>
      <c r="D8255" s="8">
        <f t="shared" ca="1" si="386"/>
        <v>6</v>
      </c>
      <c r="E8255" s="16">
        <f t="shared" ca="1" si="387"/>
        <v>0</v>
      </c>
    </row>
    <row r="8256" spans="1:5" x14ac:dyDescent="0.25">
      <c r="A8256" s="3">
        <f t="shared" si="385"/>
        <v>78989</v>
      </c>
      <c r="B8256" t="str">
        <f ca="1">TEXT(DATE(YEAR(Invoer!$A$5),1,1)+INT((ROWS(B$2:B8256)-1)/24),"""18""jjmmdd")</f>
        <v>18981210</v>
      </c>
      <c r="C8256" s="11" t="str">
        <f>INDEX(Data,2,2+MOD(ROWS(C$2:C8256)-1,24))</f>
        <v>23.00</v>
      </c>
      <c r="D8256" s="8">
        <f t="shared" ca="1" si="386"/>
        <v>8</v>
      </c>
      <c r="E8256" s="16">
        <f t="shared" ca="1" si="387"/>
        <v>0</v>
      </c>
    </row>
    <row r="8257" spans="1:5" x14ac:dyDescent="0.25">
      <c r="A8257" s="3">
        <f t="shared" si="385"/>
        <v>78989</v>
      </c>
      <c r="B8257" t="str">
        <f ca="1">TEXT(DATE(YEAR(Invoer!$A$5),1,1)+INT((ROWS(B$2:B8257)-1)/24),"""18""jjmmdd")</f>
        <v>18981210</v>
      </c>
      <c r="C8257" s="11" t="str">
        <f>INDEX(Data,2,2+MOD(ROWS(C$2:C8257)-1,24))</f>
        <v>24.00</v>
      </c>
      <c r="D8257" s="8">
        <f t="shared" ca="1" si="386"/>
        <v>6</v>
      </c>
      <c r="E8257" s="16">
        <f t="shared" ca="1" si="387"/>
        <v>0</v>
      </c>
    </row>
    <row r="8258" spans="1:5" x14ac:dyDescent="0.25">
      <c r="A8258" s="3">
        <f t="shared" ref="A8258:A8321" si="388">INDEX(Stations,2,1)</f>
        <v>78989</v>
      </c>
      <c r="B8258" t="str">
        <f ca="1">TEXT(DATE(YEAR(Invoer!$A$5),1,1)+INT((ROWS(B$2:B8258)-1)/24),"""18""jjmmdd")</f>
        <v>18981211</v>
      </c>
      <c r="C8258" s="11" t="str">
        <f>INDEX(Data,2,2+MOD(ROWS(C$2:C8258)-1,24))</f>
        <v>01.00</v>
      </c>
      <c r="D8258" s="8">
        <f t="shared" ref="D8258:D8321" ca="1" si="389">IF(OR(ISBLANK(VLOOKUP(DATEVALUE("37"&amp;MID($B8258,3,2)&amp;"-"&amp;MID($B8258,5,2)&amp;"-"&amp;RIGHT($B8258,2)),Data,MATCH(LEFT(VLOOKUP(D$1,Parameters,2,FALSE()),4)&amp;"*",OFFSET(Data,0,0,1),0)+MATCH($C8258,OFFSET(Data,1,0,1),0)-2,FALSE())),ISTEXT(VLOOKUP(DATEVALUE("37"&amp;MID($B8258,3,2)&amp;"-"&amp;MID($B8258,5,2)&amp;"-"&amp;RIGHT($B8258,2)),Data,MATCH(LEFT(VLOOKUP(D$1,Parameters,2,FALSE()),4)&amp;"*",OFFSET(Data,0,0,1),0)+MATCH($C8258,OFFSET(Data,1,0,1),0)-2,FALSE()))),"—",VLOOKUP(DATEVALUE("37"&amp;MID($B8258,3,2)&amp;"-"&amp;MID($B8258,5,2)&amp;"-"&amp;RIGHT($B8258,2)),Data,MATCH(LEFT(VLOOKUP(D$1,Parameters,2,FALSE()),4)&amp;"*",OFFSET(Data,0,0,1),0)+MATCH($C8258,OFFSET(Data,1,0,1),0)-2,FALSE()))</f>
        <v>7</v>
      </c>
      <c r="E8258" s="16">
        <f t="shared" ca="1" si="387"/>
        <v>0</v>
      </c>
    </row>
    <row r="8259" spans="1:5" x14ac:dyDescent="0.25">
      <c r="A8259" s="3">
        <f t="shared" si="388"/>
        <v>78989</v>
      </c>
      <c r="B8259" t="str">
        <f ca="1">TEXT(DATE(YEAR(Invoer!$A$5),1,1)+INT((ROWS(B$2:B8259)-1)/24),"""18""jjmmdd")</f>
        <v>18981211</v>
      </c>
      <c r="C8259" s="11" t="str">
        <f>INDEX(Data,2,2+MOD(ROWS(C$2:C8259)-1,24))</f>
        <v>02.00</v>
      </c>
      <c r="D8259" s="8">
        <f t="shared" ca="1" si="389"/>
        <v>6</v>
      </c>
      <c r="E8259" s="16">
        <f t="shared" ref="E8259:E8322" ca="1" si="390">IF(OR(ISBLANK(VLOOKUP(DATEVALUE("37"&amp;MID($B8259,3,2)&amp;"-"&amp;MID($B8259,5,2)&amp;"-"&amp;RIGHT($B8259,2)),Data,MATCH(LEFT(VLOOKUP(D$1,Parameters,2,FALSE()),4)&amp;"*",OFFSET(Data,0,0,1),0)+MATCH($C8259,OFFSET(Data,1,0,1),0)-2,FALSE())),ISTEXT(VLOOKUP(DATEVALUE("37"&amp;MID($B8259,3,2)&amp;"-"&amp;MID($B8259,5,2)&amp;"-"&amp;RIGHT($B8259,2)),Data,MATCH(LEFT(VLOOKUP(D$1,Parameters,2,FALSE()),4)&amp;"*",OFFSET(Data,0,0,1),0)+MATCH($C8259,OFFSET(Data,1,0,1),0)-2,FALSE()))),Lacking,IF(ISNA(MATCH(DATEVALUE("37"&amp;MID($B8259,3,2)&amp;"-"&amp;MID($B8259,5,2)&amp;"-"&amp;RIGHT($B8259,2)),OFFSET(Catalogus,0,0,,1),0)),Ok,VLOOKUP(DATEVALUE("37"&amp;MID($B8259,3,2)&amp;"-"&amp;MID($B8259,5,2)&amp;"-"&amp;RIGHT($B8259,2)),Catalogus,MATCH(LEFT(VLOOKUP(MID(E$1,2,LEN(E$1)-1),Parameters,2,FALSE()),4)&amp;"*",OFFSET(Catalogus,0,0,1),0)+MATCH($C8259,OFFSET(Catalogus,1,0,1),0)-2,FALSE())))</f>
        <v>0</v>
      </c>
    </row>
    <row r="8260" spans="1:5" x14ac:dyDescent="0.25">
      <c r="A8260" s="3">
        <f t="shared" si="388"/>
        <v>78989</v>
      </c>
      <c r="B8260" t="str">
        <f ca="1">TEXT(DATE(YEAR(Invoer!$A$5),1,1)+INT((ROWS(B$2:B8260)-1)/24),"""18""jjmmdd")</f>
        <v>18981211</v>
      </c>
      <c r="C8260" s="11" t="str">
        <f>INDEX(Data,2,2+MOD(ROWS(C$2:C8260)-1,24))</f>
        <v>03.00</v>
      </c>
      <c r="D8260" s="8">
        <f t="shared" ca="1" si="389"/>
        <v>6</v>
      </c>
      <c r="E8260" s="16">
        <f t="shared" ca="1" si="390"/>
        <v>0</v>
      </c>
    </row>
    <row r="8261" spans="1:5" x14ac:dyDescent="0.25">
      <c r="A8261" s="3">
        <f t="shared" si="388"/>
        <v>78989</v>
      </c>
      <c r="B8261" t="str">
        <f ca="1">TEXT(DATE(YEAR(Invoer!$A$5),1,1)+INT((ROWS(B$2:B8261)-1)/24),"""18""jjmmdd")</f>
        <v>18981211</v>
      </c>
      <c r="C8261" s="11" t="str">
        <f>INDEX(Data,2,2+MOD(ROWS(C$2:C8261)-1,24))</f>
        <v>04.00</v>
      </c>
      <c r="D8261" s="8">
        <f t="shared" ca="1" si="389"/>
        <v>7</v>
      </c>
      <c r="E8261" s="16">
        <f t="shared" ca="1" si="390"/>
        <v>0</v>
      </c>
    </row>
    <row r="8262" spans="1:5" x14ac:dyDescent="0.25">
      <c r="A8262" s="3">
        <f t="shared" si="388"/>
        <v>78989</v>
      </c>
      <c r="B8262" t="str">
        <f ca="1">TEXT(DATE(YEAR(Invoer!$A$5),1,1)+INT((ROWS(B$2:B8262)-1)/24),"""18""jjmmdd")</f>
        <v>18981211</v>
      </c>
      <c r="C8262" s="11" t="str">
        <f>INDEX(Data,2,2+MOD(ROWS(C$2:C8262)-1,24))</f>
        <v>05.00</v>
      </c>
      <c r="D8262" s="8">
        <f t="shared" ca="1" si="389"/>
        <v>6</v>
      </c>
      <c r="E8262" s="16">
        <f t="shared" ca="1" si="390"/>
        <v>0</v>
      </c>
    </row>
    <row r="8263" spans="1:5" x14ac:dyDescent="0.25">
      <c r="A8263" s="3">
        <f t="shared" si="388"/>
        <v>78989</v>
      </c>
      <c r="B8263" t="str">
        <f ca="1">TEXT(DATE(YEAR(Invoer!$A$5),1,1)+INT((ROWS(B$2:B8263)-1)/24),"""18""jjmmdd")</f>
        <v>18981211</v>
      </c>
      <c r="C8263" s="11" t="str">
        <f>INDEX(Data,2,2+MOD(ROWS(C$2:C8263)-1,24))</f>
        <v>06.00</v>
      </c>
      <c r="D8263" s="8">
        <f t="shared" ca="1" si="389"/>
        <v>6</v>
      </c>
      <c r="E8263" s="16">
        <f t="shared" ca="1" si="390"/>
        <v>0</v>
      </c>
    </row>
    <row r="8264" spans="1:5" x14ac:dyDescent="0.25">
      <c r="A8264" s="3">
        <f t="shared" si="388"/>
        <v>78989</v>
      </c>
      <c r="B8264" t="str">
        <f ca="1">TEXT(DATE(YEAR(Invoer!$A$5),1,1)+INT((ROWS(B$2:B8264)-1)/24),"""18""jjmmdd")</f>
        <v>18981211</v>
      </c>
      <c r="C8264" s="11" t="str">
        <f>INDEX(Data,2,2+MOD(ROWS(C$2:C8264)-1,24))</f>
        <v>07.00</v>
      </c>
      <c r="D8264" s="8">
        <f t="shared" ca="1" si="389"/>
        <v>7</v>
      </c>
      <c r="E8264" s="16">
        <f t="shared" ca="1" si="390"/>
        <v>0</v>
      </c>
    </row>
    <row r="8265" spans="1:5" x14ac:dyDescent="0.25">
      <c r="A8265" s="3">
        <f t="shared" si="388"/>
        <v>78989</v>
      </c>
      <c r="B8265" t="str">
        <f ca="1">TEXT(DATE(YEAR(Invoer!$A$5),1,1)+INT((ROWS(B$2:B8265)-1)/24),"""18""jjmmdd")</f>
        <v>18981211</v>
      </c>
      <c r="C8265" s="11" t="str">
        <f>INDEX(Data,2,2+MOD(ROWS(C$2:C8265)-1,24))</f>
        <v>08.00</v>
      </c>
      <c r="D8265" s="8">
        <f t="shared" ca="1" si="389"/>
        <v>9</v>
      </c>
      <c r="E8265" s="16">
        <f t="shared" ca="1" si="390"/>
        <v>0</v>
      </c>
    </row>
    <row r="8266" spans="1:5" x14ac:dyDescent="0.25">
      <c r="A8266" s="3">
        <f t="shared" si="388"/>
        <v>78989</v>
      </c>
      <c r="B8266" t="str">
        <f ca="1">TEXT(DATE(YEAR(Invoer!$A$5),1,1)+INT((ROWS(B$2:B8266)-1)/24),"""18""jjmmdd")</f>
        <v>18981211</v>
      </c>
      <c r="C8266" s="11" t="str">
        <f>INDEX(Data,2,2+MOD(ROWS(C$2:C8266)-1,24))</f>
        <v>09.00</v>
      </c>
      <c r="D8266" s="8">
        <f t="shared" ca="1" si="389"/>
        <v>11</v>
      </c>
      <c r="E8266" s="16">
        <f t="shared" ca="1" si="390"/>
        <v>0</v>
      </c>
    </row>
    <row r="8267" spans="1:5" x14ac:dyDescent="0.25">
      <c r="A8267" s="3">
        <f t="shared" si="388"/>
        <v>78989</v>
      </c>
      <c r="B8267" t="str">
        <f ca="1">TEXT(DATE(YEAR(Invoer!$A$5),1,1)+INT((ROWS(B$2:B8267)-1)/24),"""18""jjmmdd")</f>
        <v>18981211</v>
      </c>
      <c r="C8267" s="11" t="str">
        <f>INDEX(Data,2,2+MOD(ROWS(C$2:C8267)-1,24))</f>
        <v>10.00</v>
      </c>
      <c r="D8267" s="8">
        <f t="shared" ca="1" si="389"/>
        <v>10</v>
      </c>
      <c r="E8267" s="16">
        <f t="shared" ca="1" si="390"/>
        <v>0</v>
      </c>
    </row>
    <row r="8268" spans="1:5" x14ac:dyDescent="0.25">
      <c r="A8268" s="3">
        <f t="shared" si="388"/>
        <v>78989</v>
      </c>
      <c r="B8268" t="str">
        <f ca="1">TEXT(DATE(YEAR(Invoer!$A$5),1,1)+INT((ROWS(B$2:B8268)-1)/24),"""18""jjmmdd")</f>
        <v>18981211</v>
      </c>
      <c r="C8268" s="11" t="str">
        <f>INDEX(Data,2,2+MOD(ROWS(C$2:C8268)-1,24))</f>
        <v>11.00</v>
      </c>
      <c r="D8268" s="8">
        <f t="shared" ca="1" si="389"/>
        <v>11</v>
      </c>
      <c r="E8268" s="16">
        <f t="shared" ca="1" si="390"/>
        <v>0</v>
      </c>
    </row>
    <row r="8269" spans="1:5" x14ac:dyDescent="0.25">
      <c r="A8269" s="3">
        <f t="shared" si="388"/>
        <v>78989</v>
      </c>
      <c r="B8269" t="str">
        <f ca="1">TEXT(DATE(YEAR(Invoer!$A$5),1,1)+INT((ROWS(B$2:B8269)-1)/24),"""18""jjmmdd")</f>
        <v>18981211</v>
      </c>
      <c r="C8269" s="11" t="str">
        <f>INDEX(Data,2,2+MOD(ROWS(C$2:C8269)-1,24))</f>
        <v>12.00</v>
      </c>
      <c r="D8269" s="8">
        <f t="shared" ca="1" si="389"/>
        <v>11</v>
      </c>
      <c r="E8269" s="16">
        <f t="shared" ca="1" si="390"/>
        <v>0</v>
      </c>
    </row>
    <row r="8270" spans="1:5" x14ac:dyDescent="0.25">
      <c r="A8270" s="3">
        <f t="shared" si="388"/>
        <v>78989</v>
      </c>
      <c r="B8270" t="str">
        <f ca="1">TEXT(DATE(YEAR(Invoer!$A$5),1,1)+INT((ROWS(B$2:B8270)-1)/24),"""18""jjmmdd")</f>
        <v>18981211</v>
      </c>
      <c r="C8270" s="11" t="str">
        <f>INDEX(Data,2,2+MOD(ROWS(C$2:C8270)-1,24))</f>
        <v>13.00</v>
      </c>
      <c r="D8270" s="8">
        <f t="shared" ca="1" si="389"/>
        <v>11</v>
      </c>
      <c r="E8270" s="16">
        <f t="shared" ca="1" si="390"/>
        <v>0</v>
      </c>
    </row>
    <row r="8271" spans="1:5" x14ac:dyDescent="0.25">
      <c r="A8271" s="3">
        <f t="shared" si="388"/>
        <v>78989</v>
      </c>
      <c r="B8271" t="str">
        <f ca="1">TEXT(DATE(YEAR(Invoer!$A$5),1,1)+INT((ROWS(B$2:B8271)-1)/24),"""18""jjmmdd")</f>
        <v>18981211</v>
      </c>
      <c r="C8271" s="11" t="str">
        <f>INDEX(Data,2,2+MOD(ROWS(C$2:C8271)-1,24))</f>
        <v>14.00</v>
      </c>
      <c r="D8271" s="8">
        <f t="shared" ca="1" si="389"/>
        <v>10</v>
      </c>
      <c r="E8271" s="16">
        <f t="shared" ca="1" si="390"/>
        <v>0</v>
      </c>
    </row>
    <row r="8272" spans="1:5" x14ac:dyDescent="0.25">
      <c r="A8272" s="3">
        <f t="shared" si="388"/>
        <v>78989</v>
      </c>
      <c r="B8272" t="str">
        <f ca="1">TEXT(DATE(YEAR(Invoer!$A$5),1,1)+INT((ROWS(B$2:B8272)-1)/24),"""18""jjmmdd")</f>
        <v>18981211</v>
      </c>
      <c r="C8272" s="11" t="str">
        <f>INDEX(Data,2,2+MOD(ROWS(C$2:C8272)-1,24))</f>
        <v>15.00</v>
      </c>
      <c r="D8272" s="8">
        <f t="shared" ca="1" si="389"/>
        <v>11</v>
      </c>
      <c r="E8272" s="16">
        <f t="shared" ca="1" si="390"/>
        <v>0</v>
      </c>
    </row>
    <row r="8273" spans="1:5" x14ac:dyDescent="0.25">
      <c r="A8273" s="3">
        <f t="shared" si="388"/>
        <v>78989</v>
      </c>
      <c r="B8273" t="str">
        <f ca="1">TEXT(DATE(YEAR(Invoer!$A$5),1,1)+INT((ROWS(B$2:B8273)-1)/24),"""18""jjmmdd")</f>
        <v>18981211</v>
      </c>
      <c r="C8273" s="11" t="str">
        <f>INDEX(Data,2,2+MOD(ROWS(C$2:C8273)-1,24))</f>
        <v>16.00</v>
      </c>
      <c r="D8273" s="8">
        <f t="shared" ca="1" si="389"/>
        <v>13</v>
      </c>
      <c r="E8273" s="16">
        <f t="shared" ca="1" si="390"/>
        <v>0</v>
      </c>
    </row>
    <row r="8274" spans="1:5" x14ac:dyDescent="0.25">
      <c r="A8274" s="3">
        <f t="shared" si="388"/>
        <v>78989</v>
      </c>
      <c r="B8274" t="str">
        <f ca="1">TEXT(DATE(YEAR(Invoer!$A$5),1,1)+INT((ROWS(B$2:B8274)-1)/24),"""18""jjmmdd")</f>
        <v>18981211</v>
      </c>
      <c r="C8274" s="11" t="str">
        <f>INDEX(Data,2,2+MOD(ROWS(C$2:C8274)-1,24))</f>
        <v>17.00</v>
      </c>
      <c r="D8274" s="8">
        <f t="shared" ca="1" si="389"/>
        <v>10</v>
      </c>
      <c r="E8274" s="16">
        <f t="shared" ca="1" si="390"/>
        <v>0</v>
      </c>
    </row>
    <row r="8275" spans="1:5" x14ac:dyDescent="0.25">
      <c r="A8275" s="3">
        <f t="shared" si="388"/>
        <v>78989</v>
      </c>
      <c r="B8275" t="str">
        <f ca="1">TEXT(DATE(YEAR(Invoer!$A$5),1,1)+INT((ROWS(B$2:B8275)-1)/24),"""18""jjmmdd")</f>
        <v>18981211</v>
      </c>
      <c r="C8275" s="11" t="str">
        <f>INDEX(Data,2,2+MOD(ROWS(C$2:C8275)-1,24))</f>
        <v>18.00</v>
      </c>
      <c r="D8275" s="8">
        <f t="shared" ca="1" si="389"/>
        <v>9</v>
      </c>
      <c r="E8275" s="16">
        <f t="shared" ca="1" si="390"/>
        <v>0</v>
      </c>
    </row>
    <row r="8276" spans="1:5" x14ac:dyDescent="0.25">
      <c r="A8276" s="3">
        <f t="shared" si="388"/>
        <v>78989</v>
      </c>
      <c r="B8276" t="str">
        <f ca="1">TEXT(DATE(YEAR(Invoer!$A$5),1,1)+INT((ROWS(B$2:B8276)-1)/24),"""18""jjmmdd")</f>
        <v>18981211</v>
      </c>
      <c r="C8276" s="11" t="str">
        <f>INDEX(Data,2,2+MOD(ROWS(C$2:C8276)-1,24))</f>
        <v>19.00</v>
      </c>
      <c r="D8276" s="8">
        <f t="shared" ca="1" si="389"/>
        <v>8</v>
      </c>
      <c r="E8276" s="16">
        <f t="shared" ca="1" si="390"/>
        <v>0</v>
      </c>
    </row>
    <row r="8277" spans="1:5" x14ac:dyDescent="0.25">
      <c r="A8277" s="3">
        <f t="shared" si="388"/>
        <v>78989</v>
      </c>
      <c r="B8277" t="str">
        <f ca="1">TEXT(DATE(YEAR(Invoer!$A$5),1,1)+INT((ROWS(B$2:B8277)-1)/24),"""18""jjmmdd")</f>
        <v>18981211</v>
      </c>
      <c r="C8277" s="11" t="str">
        <f>INDEX(Data,2,2+MOD(ROWS(C$2:C8277)-1,24))</f>
        <v>20.00</v>
      </c>
      <c r="D8277" s="8">
        <f t="shared" ca="1" si="389"/>
        <v>7</v>
      </c>
      <c r="E8277" s="16">
        <f t="shared" ca="1" si="390"/>
        <v>0</v>
      </c>
    </row>
    <row r="8278" spans="1:5" x14ac:dyDescent="0.25">
      <c r="A8278" s="3">
        <f t="shared" si="388"/>
        <v>78989</v>
      </c>
      <c r="B8278" t="str">
        <f ca="1">TEXT(DATE(YEAR(Invoer!$A$5),1,1)+INT((ROWS(B$2:B8278)-1)/24),"""18""jjmmdd")</f>
        <v>18981211</v>
      </c>
      <c r="C8278" s="11" t="str">
        <f>INDEX(Data,2,2+MOD(ROWS(C$2:C8278)-1,24))</f>
        <v>21.00</v>
      </c>
      <c r="D8278" s="8">
        <f t="shared" ca="1" si="389"/>
        <v>7</v>
      </c>
      <c r="E8278" s="16">
        <f t="shared" ca="1" si="390"/>
        <v>0</v>
      </c>
    </row>
    <row r="8279" spans="1:5" x14ac:dyDescent="0.25">
      <c r="A8279" s="3">
        <f t="shared" si="388"/>
        <v>78989</v>
      </c>
      <c r="B8279" t="str">
        <f ca="1">TEXT(DATE(YEAR(Invoer!$A$5),1,1)+INT((ROWS(B$2:B8279)-1)/24),"""18""jjmmdd")</f>
        <v>18981211</v>
      </c>
      <c r="C8279" s="11" t="str">
        <f>INDEX(Data,2,2+MOD(ROWS(C$2:C8279)-1,24))</f>
        <v>22.00</v>
      </c>
      <c r="D8279" s="8">
        <f t="shared" ca="1" si="389"/>
        <v>6</v>
      </c>
      <c r="E8279" s="16">
        <f t="shared" ca="1" si="390"/>
        <v>0</v>
      </c>
    </row>
    <row r="8280" spans="1:5" x14ac:dyDescent="0.25">
      <c r="A8280" s="3">
        <f t="shared" si="388"/>
        <v>78989</v>
      </c>
      <c r="B8280" t="str">
        <f ca="1">TEXT(DATE(YEAR(Invoer!$A$5),1,1)+INT((ROWS(B$2:B8280)-1)/24),"""18""jjmmdd")</f>
        <v>18981211</v>
      </c>
      <c r="C8280" s="11" t="str">
        <f>INDEX(Data,2,2+MOD(ROWS(C$2:C8280)-1,24))</f>
        <v>23.00</v>
      </c>
      <c r="D8280" s="8">
        <f t="shared" ca="1" si="389"/>
        <v>6</v>
      </c>
      <c r="E8280" s="16">
        <f t="shared" ca="1" si="390"/>
        <v>0</v>
      </c>
    </row>
    <row r="8281" spans="1:5" x14ac:dyDescent="0.25">
      <c r="A8281" s="3">
        <f t="shared" si="388"/>
        <v>78989</v>
      </c>
      <c r="B8281" t="str">
        <f ca="1">TEXT(DATE(YEAR(Invoer!$A$5),1,1)+INT((ROWS(B$2:B8281)-1)/24),"""18""jjmmdd")</f>
        <v>18981211</v>
      </c>
      <c r="C8281" s="11" t="str">
        <f>INDEX(Data,2,2+MOD(ROWS(C$2:C8281)-1,24))</f>
        <v>24.00</v>
      </c>
      <c r="D8281" s="8">
        <f t="shared" ca="1" si="389"/>
        <v>5</v>
      </c>
      <c r="E8281" s="16">
        <f t="shared" ca="1" si="390"/>
        <v>0</v>
      </c>
    </row>
    <row r="8282" spans="1:5" x14ac:dyDescent="0.25">
      <c r="A8282" s="3">
        <f t="shared" si="388"/>
        <v>78989</v>
      </c>
      <c r="B8282" t="str">
        <f ca="1">TEXT(DATE(YEAR(Invoer!$A$5),1,1)+INT((ROWS(B$2:B8282)-1)/24),"""18""jjmmdd")</f>
        <v>18981212</v>
      </c>
      <c r="C8282" s="11" t="str">
        <f>INDEX(Data,2,2+MOD(ROWS(C$2:C8282)-1,24))</f>
        <v>01.00</v>
      </c>
      <c r="D8282" s="8">
        <f t="shared" ca="1" si="389"/>
        <v>7</v>
      </c>
      <c r="E8282" s="16">
        <f t="shared" ca="1" si="390"/>
        <v>0</v>
      </c>
    </row>
    <row r="8283" spans="1:5" x14ac:dyDescent="0.25">
      <c r="A8283" s="3">
        <f t="shared" si="388"/>
        <v>78989</v>
      </c>
      <c r="B8283" t="str">
        <f ca="1">TEXT(DATE(YEAR(Invoer!$A$5),1,1)+INT((ROWS(B$2:B8283)-1)/24),"""18""jjmmdd")</f>
        <v>18981212</v>
      </c>
      <c r="C8283" s="11" t="str">
        <f>INDEX(Data,2,2+MOD(ROWS(C$2:C8283)-1,24))</f>
        <v>02.00</v>
      </c>
      <c r="D8283" s="8">
        <f t="shared" ca="1" si="389"/>
        <v>7</v>
      </c>
      <c r="E8283" s="16">
        <f t="shared" ca="1" si="390"/>
        <v>0</v>
      </c>
    </row>
    <row r="8284" spans="1:5" x14ac:dyDescent="0.25">
      <c r="A8284" s="3">
        <f t="shared" si="388"/>
        <v>78989</v>
      </c>
      <c r="B8284" t="str">
        <f ca="1">TEXT(DATE(YEAR(Invoer!$A$5),1,1)+INT((ROWS(B$2:B8284)-1)/24),"""18""jjmmdd")</f>
        <v>18981212</v>
      </c>
      <c r="C8284" s="11" t="str">
        <f>INDEX(Data,2,2+MOD(ROWS(C$2:C8284)-1,24))</f>
        <v>03.00</v>
      </c>
      <c r="D8284" s="8">
        <f t="shared" ca="1" si="389"/>
        <v>6</v>
      </c>
      <c r="E8284" s="16">
        <f t="shared" ca="1" si="390"/>
        <v>0</v>
      </c>
    </row>
    <row r="8285" spans="1:5" x14ac:dyDescent="0.25">
      <c r="A8285" s="3">
        <f t="shared" si="388"/>
        <v>78989</v>
      </c>
      <c r="B8285" t="str">
        <f ca="1">TEXT(DATE(YEAR(Invoer!$A$5),1,1)+INT((ROWS(B$2:B8285)-1)/24),"""18""jjmmdd")</f>
        <v>18981212</v>
      </c>
      <c r="C8285" s="11" t="str">
        <f>INDEX(Data,2,2+MOD(ROWS(C$2:C8285)-1,24))</f>
        <v>04.00</v>
      </c>
      <c r="D8285" s="8">
        <f t="shared" ca="1" si="389"/>
        <v>7</v>
      </c>
      <c r="E8285" s="16">
        <f t="shared" ca="1" si="390"/>
        <v>0</v>
      </c>
    </row>
    <row r="8286" spans="1:5" x14ac:dyDescent="0.25">
      <c r="A8286" s="3">
        <f t="shared" si="388"/>
        <v>78989</v>
      </c>
      <c r="B8286" t="str">
        <f ca="1">TEXT(DATE(YEAR(Invoer!$A$5),1,1)+INT((ROWS(B$2:B8286)-1)/24),"""18""jjmmdd")</f>
        <v>18981212</v>
      </c>
      <c r="C8286" s="11" t="str">
        <f>INDEX(Data,2,2+MOD(ROWS(C$2:C8286)-1,24))</f>
        <v>05.00</v>
      </c>
      <c r="D8286" s="8">
        <f t="shared" ca="1" si="389"/>
        <v>6</v>
      </c>
      <c r="E8286" s="16">
        <f t="shared" ca="1" si="390"/>
        <v>0</v>
      </c>
    </row>
    <row r="8287" spans="1:5" x14ac:dyDescent="0.25">
      <c r="A8287" s="3">
        <f t="shared" si="388"/>
        <v>78989</v>
      </c>
      <c r="B8287" t="str">
        <f ca="1">TEXT(DATE(YEAR(Invoer!$A$5),1,1)+INT((ROWS(B$2:B8287)-1)/24),"""18""jjmmdd")</f>
        <v>18981212</v>
      </c>
      <c r="C8287" s="11" t="str">
        <f>INDEX(Data,2,2+MOD(ROWS(C$2:C8287)-1,24))</f>
        <v>06.00</v>
      </c>
      <c r="D8287" s="8">
        <f t="shared" ca="1" si="389"/>
        <v>6</v>
      </c>
      <c r="E8287" s="16">
        <f t="shared" ca="1" si="390"/>
        <v>0</v>
      </c>
    </row>
    <row r="8288" spans="1:5" x14ac:dyDescent="0.25">
      <c r="A8288" s="3">
        <f t="shared" si="388"/>
        <v>78989</v>
      </c>
      <c r="B8288" t="str">
        <f ca="1">TEXT(DATE(YEAR(Invoer!$A$5),1,1)+INT((ROWS(B$2:B8288)-1)/24),"""18""jjmmdd")</f>
        <v>18981212</v>
      </c>
      <c r="C8288" s="11" t="str">
        <f>INDEX(Data,2,2+MOD(ROWS(C$2:C8288)-1,24))</f>
        <v>07.00</v>
      </c>
      <c r="D8288" s="8">
        <f t="shared" ca="1" si="389"/>
        <v>6</v>
      </c>
      <c r="E8288" s="16">
        <f t="shared" ca="1" si="390"/>
        <v>0</v>
      </c>
    </row>
    <row r="8289" spans="1:5" x14ac:dyDescent="0.25">
      <c r="A8289" s="3">
        <f t="shared" si="388"/>
        <v>78989</v>
      </c>
      <c r="B8289" t="str">
        <f ca="1">TEXT(DATE(YEAR(Invoer!$A$5),1,1)+INT((ROWS(B$2:B8289)-1)/24),"""18""jjmmdd")</f>
        <v>18981212</v>
      </c>
      <c r="C8289" s="11" t="str">
        <f>INDEX(Data,2,2+MOD(ROWS(C$2:C8289)-1,24))</f>
        <v>08.00</v>
      </c>
      <c r="D8289" s="8">
        <f t="shared" ca="1" si="389"/>
        <v>9</v>
      </c>
      <c r="E8289" s="16">
        <f t="shared" ca="1" si="390"/>
        <v>0</v>
      </c>
    </row>
    <row r="8290" spans="1:5" x14ac:dyDescent="0.25">
      <c r="A8290" s="3">
        <f t="shared" si="388"/>
        <v>78989</v>
      </c>
      <c r="B8290" t="str">
        <f ca="1">TEXT(DATE(YEAR(Invoer!$A$5),1,1)+INT((ROWS(B$2:B8290)-1)/24),"""18""jjmmdd")</f>
        <v>18981212</v>
      </c>
      <c r="C8290" s="11" t="str">
        <f>INDEX(Data,2,2+MOD(ROWS(C$2:C8290)-1,24))</f>
        <v>09.00</v>
      </c>
      <c r="D8290" s="8">
        <f t="shared" ca="1" si="389"/>
        <v>10</v>
      </c>
      <c r="E8290" s="16">
        <f t="shared" ca="1" si="390"/>
        <v>0</v>
      </c>
    </row>
    <row r="8291" spans="1:5" x14ac:dyDescent="0.25">
      <c r="A8291" s="3">
        <f t="shared" si="388"/>
        <v>78989</v>
      </c>
      <c r="B8291" t="str">
        <f ca="1">TEXT(DATE(YEAR(Invoer!$A$5),1,1)+INT((ROWS(B$2:B8291)-1)/24),"""18""jjmmdd")</f>
        <v>18981212</v>
      </c>
      <c r="C8291" s="11" t="str">
        <f>INDEX(Data,2,2+MOD(ROWS(C$2:C8291)-1,24))</f>
        <v>10.00</v>
      </c>
      <c r="D8291" s="8">
        <f t="shared" ca="1" si="389"/>
        <v>10</v>
      </c>
      <c r="E8291" s="16">
        <f t="shared" ca="1" si="390"/>
        <v>0</v>
      </c>
    </row>
    <row r="8292" spans="1:5" x14ac:dyDescent="0.25">
      <c r="A8292" s="3">
        <f t="shared" si="388"/>
        <v>78989</v>
      </c>
      <c r="B8292" t="str">
        <f ca="1">TEXT(DATE(YEAR(Invoer!$A$5),1,1)+INT((ROWS(B$2:B8292)-1)/24),"""18""jjmmdd")</f>
        <v>18981212</v>
      </c>
      <c r="C8292" s="11" t="str">
        <f>INDEX(Data,2,2+MOD(ROWS(C$2:C8292)-1,24))</f>
        <v>11.00</v>
      </c>
      <c r="D8292" s="8">
        <f t="shared" ca="1" si="389"/>
        <v>14</v>
      </c>
      <c r="E8292" s="16">
        <f t="shared" ca="1" si="390"/>
        <v>0</v>
      </c>
    </row>
    <row r="8293" spans="1:5" x14ac:dyDescent="0.25">
      <c r="A8293" s="3">
        <f t="shared" si="388"/>
        <v>78989</v>
      </c>
      <c r="B8293" t="str">
        <f ca="1">TEXT(DATE(YEAR(Invoer!$A$5),1,1)+INT((ROWS(B$2:B8293)-1)/24),"""18""jjmmdd")</f>
        <v>18981212</v>
      </c>
      <c r="C8293" s="11" t="str">
        <f>INDEX(Data,2,2+MOD(ROWS(C$2:C8293)-1,24))</f>
        <v>12.00</v>
      </c>
      <c r="D8293" s="8">
        <f t="shared" ca="1" si="389"/>
        <v>14</v>
      </c>
      <c r="E8293" s="16">
        <f t="shared" ca="1" si="390"/>
        <v>0</v>
      </c>
    </row>
    <row r="8294" spans="1:5" x14ac:dyDescent="0.25">
      <c r="A8294" s="3">
        <f t="shared" si="388"/>
        <v>78989</v>
      </c>
      <c r="B8294" t="str">
        <f ca="1">TEXT(DATE(YEAR(Invoer!$A$5),1,1)+INT((ROWS(B$2:B8294)-1)/24),"""18""jjmmdd")</f>
        <v>18981212</v>
      </c>
      <c r="C8294" s="11" t="str">
        <f>INDEX(Data,2,2+MOD(ROWS(C$2:C8294)-1,24))</f>
        <v>13.00</v>
      </c>
      <c r="D8294" s="8">
        <f t="shared" ca="1" si="389"/>
        <v>14</v>
      </c>
      <c r="E8294" s="16">
        <f t="shared" ca="1" si="390"/>
        <v>0</v>
      </c>
    </row>
    <row r="8295" spans="1:5" x14ac:dyDescent="0.25">
      <c r="A8295" s="3">
        <f t="shared" si="388"/>
        <v>78989</v>
      </c>
      <c r="B8295" t="str">
        <f ca="1">TEXT(DATE(YEAR(Invoer!$A$5),1,1)+INT((ROWS(B$2:B8295)-1)/24),"""18""jjmmdd")</f>
        <v>18981212</v>
      </c>
      <c r="C8295" s="11" t="str">
        <f>INDEX(Data,2,2+MOD(ROWS(C$2:C8295)-1,24))</f>
        <v>14.00</v>
      </c>
      <c r="D8295" s="8">
        <f t="shared" ca="1" si="389"/>
        <v>13</v>
      </c>
      <c r="E8295" s="16">
        <f t="shared" ca="1" si="390"/>
        <v>0</v>
      </c>
    </row>
    <row r="8296" spans="1:5" x14ac:dyDescent="0.25">
      <c r="A8296" s="3">
        <f t="shared" si="388"/>
        <v>78989</v>
      </c>
      <c r="B8296" t="str">
        <f ca="1">TEXT(DATE(YEAR(Invoer!$A$5),1,1)+INT((ROWS(B$2:B8296)-1)/24),"""18""jjmmdd")</f>
        <v>18981212</v>
      </c>
      <c r="C8296" s="11" t="str">
        <f>INDEX(Data,2,2+MOD(ROWS(C$2:C8296)-1,24))</f>
        <v>15.00</v>
      </c>
      <c r="D8296" s="8">
        <f t="shared" ca="1" si="389"/>
        <v>12</v>
      </c>
      <c r="E8296" s="16">
        <f t="shared" ca="1" si="390"/>
        <v>0</v>
      </c>
    </row>
    <row r="8297" spans="1:5" x14ac:dyDescent="0.25">
      <c r="A8297" s="3">
        <f t="shared" si="388"/>
        <v>78989</v>
      </c>
      <c r="B8297" t="str">
        <f ca="1">TEXT(DATE(YEAR(Invoer!$A$5),1,1)+INT((ROWS(B$2:B8297)-1)/24),"""18""jjmmdd")</f>
        <v>18981212</v>
      </c>
      <c r="C8297" s="11" t="str">
        <f>INDEX(Data,2,2+MOD(ROWS(C$2:C8297)-1,24))</f>
        <v>16.00</v>
      </c>
      <c r="D8297" s="8">
        <f t="shared" ca="1" si="389"/>
        <v>12</v>
      </c>
      <c r="E8297" s="16">
        <f t="shared" ca="1" si="390"/>
        <v>0</v>
      </c>
    </row>
    <row r="8298" spans="1:5" x14ac:dyDescent="0.25">
      <c r="A8298" s="3">
        <f t="shared" si="388"/>
        <v>78989</v>
      </c>
      <c r="B8298" t="str">
        <f ca="1">TEXT(DATE(YEAR(Invoer!$A$5),1,1)+INT((ROWS(B$2:B8298)-1)/24),"""18""jjmmdd")</f>
        <v>18981212</v>
      </c>
      <c r="C8298" s="11" t="str">
        <f>INDEX(Data,2,2+MOD(ROWS(C$2:C8298)-1,24))</f>
        <v>17.00</v>
      </c>
      <c r="D8298" s="8">
        <f t="shared" ca="1" si="389"/>
        <v>10</v>
      </c>
      <c r="E8298" s="16">
        <f t="shared" ca="1" si="390"/>
        <v>0</v>
      </c>
    </row>
    <row r="8299" spans="1:5" x14ac:dyDescent="0.25">
      <c r="A8299" s="3">
        <f t="shared" si="388"/>
        <v>78989</v>
      </c>
      <c r="B8299" t="str">
        <f ca="1">TEXT(DATE(YEAR(Invoer!$A$5),1,1)+INT((ROWS(B$2:B8299)-1)/24),"""18""jjmmdd")</f>
        <v>18981212</v>
      </c>
      <c r="C8299" s="11" t="str">
        <f>INDEX(Data,2,2+MOD(ROWS(C$2:C8299)-1,24))</f>
        <v>18.00</v>
      </c>
      <c r="D8299" s="8">
        <f t="shared" ca="1" si="389"/>
        <v>9</v>
      </c>
      <c r="E8299" s="16">
        <f t="shared" ca="1" si="390"/>
        <v>0</v>
      </c>
    </row>
    <row r="8300" spans="1:5" x14ac:dyDescent="0.25">
      <c r="A8300" s="3">
        <f t="shared" si="388"/>
        <v>78989</v>
      </c>
      <c r="B8300" t="str">
        <f ca="1">TEXT(DATE(YEAR(Invoer!$A$5),1,1)+INT((ROWS(B$2:B8300)-1)/24),"""18""jjmmdd")</f>
        <v>18981212</v>
      </c>
      <c r="C8300" s="11" t="str">
        <f>INDEX(Data,2,2+MOD(ROWS(C$2:C8300)-1,24))</f>
        <v>19.00</v>
      </c>
      <c r="D8300" s="8">
        <f t="shared" ca="1" si="389"/>
        <v>6</v>
      </c>
      <c r="E8300" s="16">
        <f t="shared" ca="1" si="390"/>
        <v>0</v>
      </c>
    </row>
    <row r="8301" spans="1:5" x14ac:dyDescent="0.25">
      <c r="A8301" s="3">
        <f t="shared" si="388"/>
        <v>78989</v>
      </c>
      <c r="B8301" t="str">
        <f ca="1">TEXT(DATE(YEAR(Invoer!$A$5),1,1)+INT((ROWS(B$2:B8301)-1)/24),"""18""jjmmdd")</f>
        <v>18981212</v>
      </c>
      <c r="C8301" s="11" t="str">
        <f>INDEX(Data,2,2+MOD(ROWS(C$2:C8301)-1,24))</f>
        <v>20.00</v>
      </c>
      <c r="D8301" s="8">
        <f t="shared" ca="1" si="389"/>
        <v>8</v>
      </c>
      <c r="E8301" s="16">
        <f t="shared" ca="1" si="390"/>
        <v>0</v>
      </c>
    </row>
    <row r="8302" spans="1:5" x14ac:dyDescent="0.25">
      <c r="A8302" s="3">
        <f t="shared" si="388"/>
        <v>78989</v>
      </c>
      <c r="B8302" t="str">
        <f ca="1">TEXT(DATE(YEAR(Invoer!$A$5),1,1)+INT((ROWS(B$2:B8302)-1)/24),"""18""jjmmdd")</f>
        <v>18981212</v>
      </c>
      <c r="C8302" s="11" t="str">
        <f>INDEX(Data,2,2+MOD(ROWS(C$2:C8302)-1,24))</f>
        <v>21.00</v>
      </c>
      <c r="D8302" s="8">
        <f t="shared" ca="1" si="389"/>
        <v>8</v>
      </c>
      <c r="E8302" s="16">
        <f t="shared" ca="1" si="390"/>
        <v>0</v>
      </c>
    </row>
    <row r="8303" spans="1:5" x14ac:dyDescent="0.25">
      <c r="A8303" s="3">
        <f t="shared" si="388"/>
        <v>78989</v>
      </c>
      <c r="B8303" t="str">
        <f ca="1">TEXT(DATE(YEAR(Invoer!$A$5),1,1)+INT((ROWS(B$2:B8303)-1)/24),"""18""jjmmdd")</f>
        <v>18981212</v>
      </c>
      <c r="C8303" s="11" t="str">
        <f>INDEX(Data,2,2+MOD(ROWS(C$2:C8303)-1,24))</f>
        <v>22.00</v>
      </c>
      <c r="D8303" s="8">
        <f t="shared" ca="1" si="389"/>
        <v>6</v>
      </c>
      <c r="E8303" s="16">
        <f t="shared" ca="1" si="390"/>
        <v>0</v>
      </c>
    </row>
    <row r="8304" spans="1:5" x14ac:dyDescent="0.25">
      <c r="A8304" s="3">
        <f t="shared" si="388"/>
        <v>78989</v>
      </c>
      <c r="B8304" t="str">
        <f ca="1">TEXT(DATE(YEAR(Invoer!$A$5),1,1)+INT((ROWS(B$2:B8304)-1)/24),"""18""jjmmdd")</f>
        <v>18981212</v>
      </c>
      <c r="C8304" s="11" t="str">
        <f>INDEX(Data,2,2+MOD(ROWS(C$2:C8304)-1,24))</f>
        <v>23.00</v>
      </c>
      <c r="D8304" s="8">
        <f t="shared" ca="1" si="389"/>
        <v>7</v>
      </c>
      <c r="E8304" s="16">
        <f t="shared" ca="1" si="390"/>
        <v>0</v>
      </c>
    </row>
    <row r="8305" spans="1:5" x14ac:dyDescent="0.25">
      <c r="A8305" s="3">
        <f t="shared" si="388"/>
        <v>78989</v>
      </c>
      <c r="B8305" t="str">
        <f ca="1">TEXT(DATE(YEAR(Invoer!$A$5),1,1)+INT((ROWS(B$2:B8305)-1)/24),"""18""jjmmdd")</f>
        <v>18981212</v>
      </c>
      <c r="C8305" s="11" t="str">
        <f>INDEX(Data,2,2+MOD(ROWS(C$2:C8305)-1,24))</f>
        <v>24.00</v>
      </c>
      <c r="D8305" s="8">
        <f t="shared" ca="1" si="389"/>
        <v>6</v>
      </c>
      <c r="E8305" s="16">
        <f t="shared" ca="1" si="390"/>
        <v>0</v>
      </c>
    </row>
    <row r="8306" spans="1:5" x14ac:dyDescent="0.25">
      <c r="A8306" s="3">
        <f t="shared" si="388"/>
        <v>78989</v>
      </c>
      <c r="B8306" t="str">
        <f ca="1">TEXT(DATE(YEAR(Invoer!$A$5),1,1)+INT((ROWS(B$2:B8306)-1)/24),"""18""jjmmdd")</f>
        <v>18981213</v>
      </c>
      <c r="C8306" s="11" t="str">
        <f>INDEX(Data,2,2+MOD(ROWS(C$2:C8306)-1,24))</f>
        <v>01.00</v>
      </c>
      <c r="D8306" s="8">
        <f t="shared" ca="1" si="389"/>
        <v>7</v>
      </c>
      <c r="E8306" s="16">
        <f t="shared" ca="1" si="390"/>
        <v>0</v>
      </c>
    </row>
    <row r="8307" spans="1:5" x14ac:dyDescent="0.25">
      <c r="A8307" s="3">
        <f t="shared" si="388"/>
        <v>78989</v>
      </c>
      <c r="B8307" t="str">
        <f ca="1">TEXT(DATE(YEAR(Invoer!$A$5),1,1)+INT((ROWS(B$2:B8307)-1)/24),"""18""jjmmdd")</f>
        <v>18981213</v>
      </c>
      <c r="C8307" s="11" t="str">
        <f>INDEX(Data,2,2+MOD(ROWS(C$2:C8307)-1,24))</f>
        <v>02.00</v>
      </c>
      <c r="D8307" s="8">
        <f t="shared" ca="1" si="389"/>
        <v>8</v>
      </c>
      <c r="E8307" s="16">
        <f t="shared" ca="1" si="390"/>
        <v>0</v>
      </c>
    </row>
    <row r="8308" spans="1:5" x14ac:dyDescent="0.25">
      <c r="A8308" s="3">
        <f t="shared" si="388"/>
        <v>78989</v>
      </c>
      <c r="B8308" t="str">
        <f ca="1">TEXT(DATE(YEAR(Invoer!$A$5),1,1)+INT((ROWS(B$2:B8308)-1)/24),"""18""jjmmdd")</f>
        <v>18981213</v>
      </c>
      <c r="C8308" s="11" t="str">
        <f>INDEX(Data,2,2+MOD(ROWS(C$2:C8308)-1,24))</f>
        <v>03.00</v>
      </c>
      <c r="D8308" s="8">
        <f t="shared" ca="1" si="389"/>
        <v>9</v>
      </c>
      <c r="E8308" s="16">
        <f t="shared" ca="1" si="390"/>
        <v>0</v>
      </c>
    </row>
    <row r="8309" spans="1:5" x14ac:dyDescent="0.25">
      <c r="A8309" s="3">
        <f t="shared" si="388"/>
        <v>78989</v>
      </c>
      <c r="B8309" t="str">
        <f ca="1">TEXT(DATE(YEAR(Invoer!$A$5),1,1)+INT((ROWS(B$2:B8309)-1)/24),"""18""jjmmdd")</f>
        <v>18981213</v>
      </c>
      <c r="C8309" s="11" t="str">
        <f>INDEX(Data,2,2+MOD(ROWS(C$2:C8309)-1,24))</f>
        <v>04.00</v>
      </c>
      <c r="D8309" s="8">
        <f t="shared" ca="1" si="389"/>
        <v>6</v>
      </c>
      <c r="E8309" s="16">
        <f t="shared" ca="1" si="390"/>
        <v>0</v>
      </c>
    </row>
    <row r="8310" spans="1:5" x14ac:dyDescent="0.25">
      <c r="A8310" s="3">
        <f t="shared" si="388"/>
        <v>78989</v>
      </c>
      <c r="B8310" t="str">
        <f ca="1">TEXT(DATE(YEAR(Invoer!$A$5),1,1)+INT((ROWS(B$2:B8310)-1)/24),"""18""jjmmdd")</f>
        <v>18981213</v>
      </c>
      <c r="C8310" s="11" t="str">
        <f>INDEX(Data,2,2+MOD(ROWS(C$2:C8310)-1,24))</f>
        <v>05.00</v>
      </c>
      <c r="D8310" s="8">
        <f t="shared" ca="1" si="389"/>
        <v>7</v>
      </c>
      <c r="E8310" s="16">
        <f t="shared" ca="1" si="390"/>
        <v>0</v>
      </c>
    </row>
    <row r="8311" spans="1:5" x14ac:dyDescent="0.25">
      <c r="A8311" s="3">
        <f t="shared" si="388"/>
        <v>78989</v>
      </c>
      <c r="B8311" t="str">
        <f ca="1">TEXT(DATE(YEAR(Invoer!$A$5),1,1)+INT((ROWS(B$2:B8311)-1)/24),"""18""jjmmdd")</f>
        <v>18981213</v>
      </c>
      <c r="C8311" s="11" t="str">
        <f>INDEX(Data,2,2+MOD(ROWS(C$2:C8311)-1,24))</f>
        <v>06.00</v>
      </c>
      <c r="D8311" s="8">
        <f t="shared" ca="1" si="389"/>
        <v>6</v>
      </c>
      <c r="E8311" s="16">
        <f t="shared" ca="1" si="390"/>
        <v>0</v>
      </c>
    </row>
    <row r="8312" spans="1:5" x14ac:dyDescent="0.25">
      <c r="A8312" s="3">
        <f t="shared" si="388"/>
        <v>78989</v>
      </c>
      <c r="B8312" t="str">
        <f ca="1">TEXT(DATE(YEAR(Invoer!$A$5),1,1)+INT((ROWS(B$2:B8312)-1)/24),"""18""jjmmdd")</f>
        <v>18981213</v>
      </c>
      <c r="C8312" s="11" t="str">
        <f>INDEX(Data,2,2+MOD(ROWS(C$2:C8312)-1,24))</f>
        <v>07.00</v>
      </c>
      <c r="D8312" s="8">
        <f t="shared" ca="1" si="389"/>
        <v>8</v>
      </c>
      <c r="E8312" s="16">
        <f t="shared" ca="1" si="390"/>
        <v>0</v>
      </c>
    </row>
    <row r="8313" spans="1:5" x14ac:dyDescent="0.25">
      <c r="A8313" s="3">
        <f t="shared" si="388"/>
        <v>78989</v>
      </c>
      <c r="B8313" t="str">
        <f ca="1">TEXT(DATE(YEAR(Invoer!$A$5),1,1)+INT((ROWS(B$2:B8313)-1)/24),"""18""jjmmdd")</f>
        <v>18981213</v>
      </c>
      <c r="C8313" s="11" t="str">
        <f>INDEX(Data,2,2+MOD(ROWS(C$2:C8313)-1,24))</f>
        <v>08.00</v>
      </c>
      <c r="D8313" s="8">
        <f t="shared" ca="1" si="389"/>
        <v>9</v>
      </c>
      <c r="E8313" s="16">
        <f t="shared" ca="1" si="390"/>
        <v>0</v>
      </c>
    </row>
    <row r="8314" spans="1:5" x14ac:dyDescent="0.25">
      <c r="A8314" s="3">
        <f t="shared" si="388"/>
        <v>78989</v>
      </c>
      <c r="B8314" t="str">
        <f ca="1">TEXT(DATE(YEAR(Invoer!$A$5),1,1)+INT((ROWS(B$2:B8314)-1)/24),"""18""jjmmdd")</f>
        <v>18981213</v>
      </c>
      <c r="C8314" s="11" t="str">
        <f>INDEX(Data,2,2+MOD(ROWS(C$2:C8314)-1,24))</f>
        <v>09.00</v>
      </c>
      <c r="D8314" s="8">
        <f t="shared" ca="1" si="389"/>
        <v>15</v>
      </c>
      <c r="E8314" s="16">
        <f t="shared" ca="1" si="390"/>
        <v>0</v>
      </c>
    </row>
    <row r="8315" spans="1:5" x14ac:dyDescent="0.25">
      <c r="A8315" s="3">
        <f t="shared" si="388"/>
        <v>78989</v>
      </c>
      <c r="B8315" t="str">
        <f ca="1">TEXT(DATE(YEAR(Invoer!$A$5),1,1)+INT((ROWS(B$2:B8315)-1)/24),"""18""jjmmdd")</f>
        <v>18981213</v>
      </c>
      <c r="C8315" s="11" t="str">
        <f>INDEX(Data,2,2+MOD(ROWS(C$2:C8315)-1,24))</f>
        <v>10.00</v>
      </c>
      <c r="D8315" s="8">
        <f t="shared" ca="1" si="389"/>
        <v>15</v>
      </c>
      <c r="E8315" s="16">
        <f t="shared" ca="1" si="390"/>
        <v>0</v>
      </c>
    </row>
    <row r="8316" spans="1:5" x14ac:dyDescent="0.25">
      <c r="A8316" s="3">
        <f t="shared" si="388"/>
        <v>78989</v>
      </c>
      <c r="B8316" t="str">
        <f ca="1">TEXT(DATE(YEAR(Invoer!$A$5),1,1)+INT((ROWS(B$2:B8316)-1)/24),"""18""jjmmdd")</f>
        <v>18981213</v>
      </c>
      <c r="C8316" s="11" t="str">
        <f>INDEX(Data,2,2+MOD(ROWS(C$2:C8316)-1,24))</f>
        <v>11.00</v>
      </c>
      <c r="D8316" s="8">
        <f t="shared" ca="1" si="389"/>
        <v>16</v>
      </c>
      <c r="E8316" s="16">
        <f t="shared" ca="1" si="390"/>
        <v>0</v>
      </c>
    </row>
    <row r="8317" spans="1:5" x14ac:dyDescent="0.25">
      <c r="A8317" s="3">
        <f t="shared" si="388"/>
        <v>78989</v>
      </c>
      <c r="B8317" t="str">
        <f ca="1">TEXT(DATE(YEAR(Invoer!$A$5),1,1)+INT((ROWS(B$2:B8317)-1)/24),"""18""jjmmdd")</f>
        <v>18981213</v>
      </c>
      <c r="C8317" s="11" t="str">
        <f>INDEX(Data,2,2+MOD(ROWS(C$2:C8317)-1,24))</f>
        <v>12.00</v>
      </c>
      <c r="D8317" s="8">
        <f t="shared" ca="1" si="389"/>
        <v>15</v>
      </c>
      <c r="E8317" s="16">
        <f t="shared" ca="1" si="390"/>
        <v>0</v>
      </c>
    </row>
    <row r="8318" spans="1:5" x14ac:dyDescent="0.25">
      <c r="A8318" s="3">
        <f t="shared" si="388"/>
        <v>78989</v>
      </c>
      <c r="B8318" t="str">
        <f ca="1">TEXT(DATE(YEAR(Invoer!$A$5),1,1)+INT((ROWS(B$2:B8318)-1)/24),"""18""jjmmdd")</f>
        <v>18981213</v>
      </c>
      <c r="C8318" s="11" t="str">
        <f>INDEX(Data,2,2+MOD(ROWS(C$2:C8318)-1,24))</f>
        <v>13.00</v>
      </c>
      <c r="D8318" s="8">
        <f t="shared" ca="1" si="389"/>
        <v>14</v>
      </c>
      <c r="E8318" s="16">
        <f t="shared" ca="1" si="390"/>
        <v>0</v>
      </c>
    </row>
    <row r="8319" spans="1:5" x14ac:dyDescent="0.25">
      <c r="A8319" s="3">
        <f t="shared" si="388"/>
        <v>78989</v>
      </c>
      <c r="B8319" t="str">
        <f ca="1">TEXT(DATE(YEAR(Invoer!$A$5),1,1)+INT((ROWS(B$2:B8319)-1)/24),"""18""jjmmdd")</f>
        <v>18981213</v>
      </c>
      <c r="C8319" s="11" t="str">
        <f>INDEX(Data,2,2+MOD(ROWS(C$2:C8319)-1,24))</f>
        <v>14.00</v>
      </c>
      <c r="D8319" s="8">
        <f t="shared" ca="1" si="389"/>
        <v>15</v>
      </c>
      <c r="E8319" s="16">
        <f t="shared" ca="1" si="390"/>
        <v>0</v>
      </c>
    </row>
    <row r="8320" spans="1:5" x14ac:dyDescent="0.25">
      <c r="A8320" s="3">
        <f t="shared" si="388"/>
        <v>78989</v>
      </c>
      <c r="B8320" t="str">
        <f ca="1">TEXT(DATE(YEAR(Invoer!$A$5),1,1)+INT((ROWS(B$2:B8320)-1)/24),"""18""jjmmdd")</f>
        <v>18981213</v>
      </c>
      <c r="C8320" s="11" t="str">
        <f>INDEX(Data,2,2+MOD(ROWS(C$2:C8320)-1,24))</f>
        <v>15.00</v>
      </c>
      <c r="D8320" s="8">
        <f t="shared" ca="1" si="389"/>
        <v>13</v>
      </c>
      <c r="E8320" s="16">
        <f t="shared" ca="1" si="390"/>
        <v>0</v>
      </c>
    </row>
    <row r="8321" spans="1:5" x14ac:dyDescent="0.25">
      <c r="A8321" s="3">
        <f t="shared" si="388"/>
        <v>78989</v>
      </c>
      <c r="B8321" t="str">
        <f ca="1">TEXT(DATE(YEAR(Invoer!$A$5),1,1)+INT((ROWS(B$2:B8321)-1)/24),"""18""jjmmdd")</f>
        <v>18981213</v>
      </c>
      <c r="C8321" s="11" t="str">
        <f>INDEX(Data,2,2+MOD(ROWS(C$2:C8321)-1,24))</f>
        <v>16.00</v>
      </c>
      <c r="D8321" s="8">
        <f t="shared" ca="1" si="389"/>
        <v>12</v>
      </c>
      <c r="E8321" s="16">
        <f t="shared" ca="1" si="390"/>
        <v>0</v>
      </c>
    </row>
    <row r="8322" spans="1:5" x14ac:dyDescent="0.25">
      <c r="A8322" s="3">
        <f t="shared" ref="A8322:A8385" si="391">INDEX(Stations,2,1)</f>
        <v>78989</v>
      </c>
      <c r="B8322" t="str">
        <f ca="1">TEXT(DATE(YEAR(Invoer!$A$5),1,1)+INT((ROWS(B$2:B8322)-1)/24),"""18""jjmmdd")</f>
        <v>18981213</v>
      </c>
      <c r="C8322" s="11" t="str">
        <f>INDEX(Data,2,2+MOD(ROWS(C$2:C8322)-1,24))</f>
        <v>17.00</v>
      </c>
      <c r="D8322" s="8">
        <f t="shared" ref="D8322:D8385" ca="1" si="392">IF(OR(ISBLANK(VLOOKUP(DATEVALUE("37"&amp;MID($B8322,3,2)&amp;"-"&amp;MID($B8322,5,2)&amp;"-"&amp;RIGHT($B8322,2)),Data,MATCH(LEFT(VLOOKUP(D$1,Parameters,2,FALSE()),4)&amp;"*",OFFSET(Data,0,0,1),0)+MATCH($C8322,OFFSET(Data,1,0,1),0)-2,FALSE())),ISTEXT(VLOOKUP(DATEVALUE("37"&amp;MID($B8322,3,2)&amp;"-"&amp;MID($B8322,5,2)&amp;"-"&amp;RIGHT($B8322,2)),Data,MATCH(LEFT(VLOOKUP(D$1,Parameters,2,FALSE()),4)&amp;"*",OFFSET(Data,0,0,1),0)+MATCH($C8322,OFFSET(Data,1,0,1),0)-2,FALSE()))),"—",VLOOKUP(DATEVALUE("37"&amp;MID($B8322,3,2)&amp;"-"&amp;MID($B8322,5,2)&amp;"-"&amp;RIGHT($B8322,2)),Data,MATCH(LEFT(VLOOKUP(D$1,Parameters,2,FALSE()),4)&amp;"*",OFFSET(Data,0,0,1),0)+MATCH($C8322,OFFSET(Data,1,0,1),0)-2,FALSE()))</f>
        <v>11</v>
      </c>
      <c r="E8322" s="16">
        <f t="shared" ca="1" si="390"/>
        <v>0</v>
      </c>
    </row>
    <row r="8323" spans="1:5" x14ac:dyDescent="0.25">
      <c r="A8323" s="3">
        <f t="shared" si="391"/>
        <v>78989</v>
      </c>
      <c r="B8323" t="str">
        <f ca="1">TEXT(DATE(YEAR(Invoer!$A$5),1,1)+INT((ROWS(B$2:B8323)-1)/24),"""18""jjmmdd")</f>
        <v>18981213</v>
      </c>
      <c r="C8323" s="11" t="str">
        <f>INDEX(Data,2,2+MOD(ROWS(C$2:C8323)-1,24))</f>
        <v>18.00</v>
      </c>
      <c r="D8323" s="8">
        <f t="shared" ca="1" si="392"/>
        <v>9</v>
      </c>
      <c r="E8323" s="16">
        <f t="shared" ref="E8323:E8386" ca="1" si="393">IF(OR(ISBLANK(VLOOKUP(DATEVALUE("37"&amp;MID($B8323,3,2)&amp;"-"&amp;MID($B8323,5,2)&amp;"-"&amp;RIGHT($B8323,2)),Data,MATCH(LEFT(VLOOKUP(D$1,Parameters,2,FALSE()),4)&amp;"*",OFFSET(Data,0,0,1),0)+MATCH($C8323,OFFSET(Data,1,0,1),0)-2,FALSE())),ISTEXT(VLOOKUP(DATEVALUE("37"&amp;MID($B8323,3,2)&amp;"-"&amp;MID($B8323,5,2)&amp;"-"&amp;RIGHT($B8323,2)),Data,MATCH(LEFT(VLOOKUP(D$1,Parameters,2,FALSE()),4)&amp;"*",OFFSET(Data,0,0,1),0)+MATCH($C8323,OFFSET(Data,1,0,1),0)-2,FALSE()))),Lacking,IF(ISNA(MATCH(DATEVALUE("37"&amp;MID($B8323,3,2)&amp;"-"&amp;MID($B8323,5,2)&amp;"-"&amp;RIGHT($B8323,2)),OFFSET(Catalogus,0,0,,1),0)),Ok,VLOOKUP(DATEVALUE("37"&amp;MID($B8323,3,2)&amp;"-"&amp;MID($B8323,5,2)&amp;"-"&amp;RIGHT($B8323,2)),Catalogus,MATCH(LEFT(VLOOKUP(MID(E$1,2,LEN(E$1)-1),Parameters,2,FALSE()),4)&amp;"*",OFFSET(Catalogus,0,0,1),0)+MATCH($C8323,OFFSET(Catalogus,1,0,1),0)-2,FALSE())))</f>
        <v>0</v>
      </c>
    </row>
    <row r="8324" spans="1:5" x14ac:dyDescent="0.25">
      <c r="A8324" s="3">
        <f t="shared" si="391"/>
        <v>78989</v>
      </c>
      <c r="B8324" t="str">
        <f ca="1">TEXT(DATE(YEAR(Invoer!$A$5),1,1)+INT((ROWS(B$2:B8324)-1)/24),"""18""jjmmdd")</f>
        <v>18981213</v>
      </c>
      <c r="C8324" s="11" t="str">
        <f>INDEX(Data,2,2+MOD(ROWS(C$2:C8324)-1,24))</f>
        <v>19.00</v>
      </c>
      <c r="D8324" s="8">
        <f t="shared" ca="1" si="392"/>
        <v>8</v>
      </c>
      <c r="E8324" s="16">
        <f t="shared" ca="1" si="393"/>
        <v>0</v>
      </c>
    </row>
    <row r="8325" spans="1:5" x14ac:dyDescent="0.25">
      <c r="A8325" s="3">
        <f t="shared" si="391"/>
        <v>78989</v>
      </c>
      <c r="B8325" t="str">
        <f ca="1">TEXT(DATE(YEAR(Invoer!$A$5),1,1)+INT((ROWS(B$2:B8325)-1)/24),"""18""jjmmdd")</f>
        <v>18981213</v>
      </c>
      <c r="C8325" s="11" t="str">
        <f>INDEX(Data,2,2+MOD(ROWS(C$2:C8325)-1,24))</f>
        <v>20.00</v>
      </c>
      <c r="D8325" s="8">
        <f t="shared" ca="1" si="392"/>
        <v>8</v>
      </c>
      <c r="E8325" s="16">
        <f t="shared" ca="1" si="393"/>
        <v>0</v>
      </c>
    </row>
    <row r="8326" spans="1:5" x14ac:dyDescent="0.25">
      <c r="A8326" s="3">
        <f t="shared" si="391"/>
        <v>78989</v>
      </c>
      <c r="B8326" t="str">
        <f ca="1">TEXT(DATE(YEAR(Invoer!$A$5),1,1)+INT((ROWS(B$2:B8326)-1)/24),"""18""jjmmdd")</f>
        <v>18981213</v>
      </c>
      <c r="C8326" s="11" t="str">
        <f>INDEX(Data,2,2+MOD(ROWS(C$2:C8326)-1,24))</f>
        <v>21.00</v>
      </c>
      <c r="D8326" s="8">
        <f t="shared" ca="1" si="392"/>
        <v>6</v>
      </c>
      <c r="E8326" s="16">
        <f t="shared" ca="1" si="393"/>
        <v>0</v>
      </c>
    </row>
    <row r="8327" spans="1:5" x14ac:dyDescent="0.25">
      <c r="A8327" s="3">
        <f t="shared" si="391"/>
        <v>78989</v>
      </c>
      <c r="B8327" t="str">
        <f ca="1">TEXT(DATE(YEAR(Invoer!$A$5),1,1)+INT((ROWS(B$2:B8327)-1)/24),"""18""jjmmdd")</f>
        <v>18981213</v>
      </c>
      <c r="C8327" s="11" t="str">
        <f>INDEX(Data,2,2+MOD(ROWS(C$2:C8327)-1,24))</f>
        <v>22.00</v>
      </c>
      <c r="D8327" s="8">
        <f t="shared" ca="1" si="392"/>
        <v>6</v>
      </c>
      <c r="E8327" s="16">
        <f t="shared" ca="1" si="393"/>
        <v>0</v>
      </c>
    </row>
    <row r="8328" spans="1:5" x14ac:dyDescent="0.25">
      <c r="A8328" s="3">
        <f t="shared" si="391"/>
        <v>78989</v>
      </c>
      <c r="B8328" t="str">
        <f ca="1">TEXT(DATE(YEAR(Invoer!$A$5),1,1)+INT((ROWS(B$2:B8328)-1)/24),"""18""jjmmdd")</f>
        <v>18981213</v>
      </c>
      <c r="C8328" s="11" t="str">
        <f>INDEX(Data,2,2+MOD(ROWS(C$2:C8328)-1,24))</f>
        <v>23.00</v>
      </c>
      <c r="D8328" s="8">
        <f t="shared" ca="1" si="392"/>
        <v>6</v>
      </c>
      <c r="E8328" s="16">
        <f t="shared" ca="1" si="393"/>
        <v>0</v>
      </c>
    </row>
    <row r="8329" spans="1:5" x14ac:dyDescent="0.25">
      <c r="A8329" s="3">
        <f t="shared" si="391"/>
        <v>78989</v>
      </c>
      <c r="B8329" t="str">
        <f ca="1">TEXT(DATE(YEAR(Invoer!$A$5),1,1)+INT((ROWS(B$2:B8329)-1)/24),"""18""jjmmdd")</f>
        <v>18981213</v>
      </c>
      <c r="C8329" s="11" t="str">
        <f>INDEX(Data,2,2+MOD(ROWS(C$2:C8329)-1,24))</f>
        <v>24.00</v>
      </c>
      <c r="D8329" s="8">
        <f t="shared" ca="1" si="392"/>
        <v>6</v>
      </c>
      <c r="E8329" s="16">
        <f t="shared" ca="1" si="393"/>
        <v>0</v>
      </c>
    </row>
    <row r="8330" spans="1:5" x14ac:dyDescent="0.25">
      <c r="A8330" s="3">
        <f t="shared" si="391"/>
        <v>78989</v>
      </c>
      <c r="B8330" t="str">
        <f ca="1">TEXT(DATE(YEAR(Invoer!$A$5),1,1)+INT((ROWS(B$2:B8330)-1)/24),"""18""jjmmdd")</f>
        <v>18981214</v>
      </c>
      <c r="C8330" s="11" t="str">
        <f>INDEX(Data,2,2+MOD(ROWS(C$2:C8330)-1,24))</f>
        <v>01.00</v>
      </c>
      <c r="D8330" s="8">
        <f t="shared" ca="1" si="392"/>
        <v>7</v>
      </c>
      <c r="E8330" s="16">
        <f t="shared" ca="1" si="393"/>
        <v>0</v>
      </c>
    </row>
    <row r="8331" spans="1:5" x14ac:dyDescent="0.25">
      <c r="A8331" s="3">
        <f t="shared" si="391"/>
        <v>78989</v>
      </c>
      <c r="B8331" t="str">
        <f ca="1">TEXT(DATE(YEAR(Invoer!$A$5),1,1)+INT((ROWS(B$2:B8331)-1)/24),"""18""jjmmdd")</f>
        <v>18981214</v>
      </c>
      <c r="C8331" s="11" t="str">
        <f>INDEX(Data,2,2+MOD(ROWS(C$2:C8331)-1,24))</f>
        <v>02.00</v>
      </c>
      <c r="D8331" s="8">
        <f t="shared" ca="1" si="392"/>
        <v>5</v>
      </c>
      <c r="E8331" s="16">
        <f t="shared" ca="1" si="393"/>
        <v>0</v>
      </c>
    </row>
    <row r="8332" spans="1:5" x14ac:dyDescent="0.25">
      <c r="A8332" s="3">
        <f t="shared" si="391"/>
        <v>78989</v>
      </c>
      <c r="B8332" t="str">
        <f ca="1">TEXT(DATE(YEAR(Invoer!$A$5),1,1)+INT((ROWS(B$2:B8332)-1)/24),"""18""jjmmdd")</f>
        <v>18981214</v>
      </c>
      <c r="C8332" s="11" t="str">
        <f>INDEX(Data,2,2+MOD(ROWS(C$2:C8332)-1,24))</f>
        <v>03.00</v>
      </c>
      <c r="D8332" s="8">
        <f t="shared" ca="1" si="392"/>
        <v>8</v>
      </c>
      <c r="E8332" s="16">
        <f t="shared" ca="1" si="393"/>
        <v>0</v>
      </c>
    </row>
    <row r="8333" spans="1:5" x14ac:dyDescent="0.25">
      <c r="A8333" s="3">
        <f t="shared" si="391"/>
        <v>78989</v>
      </c>
      <c r="B8333" t="str">
        <f ca="1">TEXT(DATE(YEAR(Invoer!$A$5),1,1)+INT((ROWS(B$2:B8333)-1)/24),"""18""jjmmdd")</f>
        <v>18981214</v>
      </c>
      <c r="C8333" s="11" t="str">
        <f>INDEX(Data,2,2+MOD(ROWS(C$2:C8333)-1,24))</f>
        <v>04.00</v>
      </c>
      <c r="D8333" s="8">
        <f t="shared" ca="1" si="392"/>
        <v>7</v>
      </c>
      <c r="E8333" s="16">
        <f t="shared" ca="1" si="393"/>
        <v>0</v>
      </c>
    </row>
    <row r="8334" spans="1:5" x14ac:dyDescent="0.25">
      <c r="A8334" s="3">
        <f t="shared" si="391"/>
        <v>78989</v>
      </c>
      <c r="B8334" t="str">
        <f ca="1">TEXT(DATE(YEAR(Invoer!$A$5),1,1)+INT((ROWS(B$2:B8334)-1)/24),"""18""jjmmdd")</f>
        <v>18981214</v>
      </c>
      <c r="C8334" s="11" t="str">
        <f>INDEX(Data,2,2+MOD(ROWS(C$2:C8334)-1,24))</f>
        <v>05.00</v>
      </c>
      <c r="D8334" s="8">
        <f t="shared" ca="1" si="392"/>
        <v>5</v>
      </c>
      <c r="E8334" s="16">
        <f t="shared" ca="1" si="393"/>
        <v>0</v>
      </c>
    </row>
    <row r="8335" spans="1:5" x14ac:dyDescent="0.25">
      <c r="A8335" s="3">
        <f t="shared" si="391"/>
        <v>78989</v>
      </c>
      <c r="B8335" t="str">
        <f ca="1">TEXT(DATE(YEAR(Invoer!$A$5),1,1)+INT((ROWS(B$2:B8335)-1)/24),"""18""jjmmdd")</f>
        <v>18981214</v>
      </c>
      <c r="C8335" s="11" t="str">
        <f>INDEX(Data,2,2+MOD(ROWS(C$2:C8335)-1,24))</f>
        <v>06.00</v>
      </c>
      <c r="D8335" s="8">
        <f t="shared" ca="1" si="392"/>
        <v>6</v>
      </c>
      <c r="E8335" s="16">
        <f t="shared" ca="1" si="393"/>
        <v>0</v>
      </c>
    </row>
    <row r="8336" spans="1:5" x14ac:dyDescent="0.25">
      <c r="A8336" s="3">
        <f t="shared" si="391"/>
        <v>78989</v>
      </c>
      <c r="B8336" t="str">
        <f ca="1">TEXT(DATE(YEAR(Invoer!$A$5),1,1)+INT((ROWS(B$2:B8336)-1)/24),"""18""jjmmdd")</f>
        <v>18981214</v>
      </c>
      <c r="C8336" s="11" t="str">
        <f>INDEX(Data,2,2+MOD(ROWS(C$2:C8336)-1,24))</f>
        <v>07.00</v>
      </c>
      <c r="D8336" s="8">
        <f t="shared" ca="1" si="392"/>
        <v>5</v>
      </c>
      <c r="E8336" s="16">
        <f t="shared" ca="1" si="393"/>
        <v>0</v>
      </c>
    </row>
    <row r="8337" spans="1:5" x14ac:dyDescent="0.25">
      <c r="A8337" s="3">
        <f t="shared" si="391"/>
        <v>78989</v>
      </c>
      <c r="B8337" t="str">
        <f ca="1">TEXT(DATE(YEAR(Invoer!$A$5),1,1)+INT((ROWS(B$2:B8337)-1)/24),"""18""jjmmdd")</f>
        <v>18981214</v>
      </c>
      <c r="C8337" s="11" t="str">
        <f>INDEX(Data,2,2+MOD(ROWS(C$2:C8337)-1,24))</f>
        <v>08.00</v>
      </c>
      <c r="D8337" s="8">
        <f t="shared" ca="1" si="392"/>
        <v>7</v>
      </c>
      <c r="E8337" s="16">
        <f t="shared" ca="1" si="393"/>
        <v>0</v>
      </c>
    </row>
    <row r="8338" spans="1:5" x14ac:dyDescent="0.25">
      <c r="A8338" s="3">
        <f t="shared" si="391"/>
        <v>78989</v>
      </c>
      <c r="B8338" t="str">
        <f ca="1">TEXT(DATE(YEAR(Invoer!$A$5),1,1)+INT((ROWS(B$2:B8338)-1)/24),"""18""jjmmdd")</f>
        <v>18981214</v>
      </c>
      <c r="C8338" s="11" t="str">
        <f>INDEX(Data,2,2+MOD(ROWS(C$2:C8338)-1,24))</f>
        <v>09.00</v>
      </c>
      <c r="D8338" s="8">
        <f t="shared" ca="1" si="392"/>
        <v>8</v>
      </c>
      <c r="E8338" s="16">
        <f t="shared" ca="1" si="393"/>
        <v>0</v>
      </c>
    </row>
    <row r="8339" spans="1:5" x14ac:dyDescent="0.25">
      <c r="A8339" s="3">
        <f t="shared" si="391"/>
        <v>78989</v>
      </c>
      <c r="B8339" t="str">
        <f ca="1">TEXT(DATE(YEAR(Invoer!$A$5),1,1)+INT((ROWS(B$2:B8339)-1)/24),"""18""jjmmdd")</f>
        <v>18981214</v>
      </c>
      <c r="C8339" s="11" t="str">
        <f>INDEX(Data,2,2+MOD(ROWS(C$2:C8339)-1,24))</f>
        <v>10.00</v>
      </c>
      <c r="D8339" s="8">
        <f t="shared" ca="1" si="392"/>
        <v>9</v>
      </c>
      <c r="E8339" s="16">
        <f t="shared" ca="1" si="393"/>
        <v>0</v>
      </c>
    </row>
    <row r="8340" spans="1:5" x14ac:dyDescent="0.25">
      <c r="A8340" s="3">
        <f t="shared" si="391"/>
        <v>78989</v>
      </c>
      <c r="B8340" t="str">
        <f ca="1">TEXT(DATE(YEAR(Invoer!$A$5),1,1)+INT((ROWS(B$2:B8340)-1)/24),"""18""jjmmdd")</f>
        <v>18981214</v>
      </c>
      <c r="C8340" s="11" t="str">
        <f>INDEX(Data,2,2+MOD(ROWS(C$2:C8340)-1,24))</f>
        <v>11.00</v>
      </c>
      <c r="D8340" s="8">
        <f t="shared" ca="1" si="392"/>
        <v>12</v>
      </c>
      <c r="E8340" s="16">
        <f t="shared" ca="1" si="393"/>
        <v>0</v>
      </c>
    </row>
    <row r="8341" spans="1:5" x14ac:dyDescent="0.25">
      <c r="A8341" s="3">
        <f t="shared" si="391"/>
        <v>78989</v>
      </c>
      <c r="B8341" t="str">
        <f ca="1">TEXT(DATE(YEAR(Invoer!$A$5),1,1)+INT((ROWS(B$2:B8341)-1)/24),"""18""jjmmdd")</f>
        <v>18981214</v>
      </c>
      <c r="C8341" s="11" t="str">
        <f>INDEX(Data,2,2+MOD(ROWS(C$2:C8341)-1,24))</f>
        <v>12.00</v>
      </c>
      <c r="D8341" s="8">
        <f t="shared" ca="1" si="392"/>
        <v>14</v>
      </c>
      <c r="E8341" s="16">
        <f t="shared" ca="1" si="393"/>
        <v>0</v>
      </c>
    </row>
    <row r="8342" spans="1:5" x14ac:dyDescent="0.25">
      <c r="A8342" s="3">
        <f t="shared" si="391"/>
        <v>78989</v>
      </c>
      <c r="B8342" t="str">
        <f ca="1">TEXT(DATE(YEAR(Invoer!$A$5),1,1)+INT((ROWS(B$2:B8342)-1)/24),"""18""jjmmdd")</f>
        <v>18981214</v>
      </c>
      <c r="C8342" s="11" t="str">
        <f>INDEX(Data,2,2+MOD(ROWS(C$2:C8342)-1,24))</f>
        <v>13.00</v>
      </c>
      <c r="D8342" s="8">
        <f t="shared" ca="1" si="392"/>
        <v>13</v>
      </c>
      <c r="E8342" s="16">
        <f t="shared" ca="1" si="393"/>
        <v>0</v>
      </c>
    </row>
    <row r="8343" spans="1:5" x14ac:dyDescent="0.25">
      <c r="A8343" s="3">
        <f t="shared" si="391"/>
        <v>78989</v>
      </c>
      <c r="B8343" t="str">
        <f ca="1">TEXT(DATE(YEAR(Invoer!$A$5),1,1)+INT((ROWS(B$2:B8343)-1)/24),"""18""jjmmdd")</f>
        <v>18981214</v>
      </c>
      <c r="C8343" s="11" t="str">
        <f>INDEX(Data,2,2+MOD(ROWS(C$2:C8343)-1,24))</f>
        <v>14.00</v>
      </c>
      <c r="D8343" s="8">
        <f t="shared" ca="1" si="392"/>
        <v>12</v>
      </c>
      <c r="E8343" s="16">
        <f t="shared" ca="1" si="393"/>
        <v>0</v>
      </c>
    </row>
    <row r="8344" spans="1:5" x14ac:dyDescent="0.25">
      <c r="A8344" s="3">
        <f t="shared" si="391"/>
        <v>78989</v>
      </c>
      <c r="B8344" t="str">
        <f ca="1">TEXT(DATE(YEAR(Invoer!$A$5),1,1)+INT((ROWS(B$2:B8344)-1)/24),"""18""jjmmdd")</f>
        <v>18981214</v>
      </c>
      <c r="C8344" s="11" t="str">
        <f>INDEX(Data,2,2+MOD(ROWS(C$2:C8344)-1,24))</f>
        <v>15.00</v>
      </c>
      <c r="D8344" s="8">
        <f t="shared" ca="1" si="392"/>
        <v>13</v>
      </c>
      <c r="E8344" s="16">
        <f t="shared" ca="1" si="393"/>
        <v>0</v>
      </c>
    </row>
    <row r="8345" spans="1:5" x14ac:dyDescent="0.25">
      <c r="A8345" s="3">
        <f t="shared" si="391"/>
        <v>78989</v>
      </c>
      <c r="B8345" t="str">
        <f ca="1">TEXT(DATE(YEAR(Invoer!$A$5),1,1)+INT((ROWS(B$2:B8345)-1)/24),"""18""jjmmdd")</f>
        <v>18981214</v>
      </c>
      <c r="C8345" s="11" t="str">
        <f>INDEX(Data,2,2+MOD(ROWS(C$2:C8345)-1,24))</f>
        <v>16.00</v>
      </c>
      <c r="D8345" s="8">
        <f t="shared" ca="1" si="392"/>
        <v>10</v>
      </c>
      <c r="E8345" s="16">
        <f t="shared" ca="1" si="393"/>
        <v>0</v>
      </c>
    </row>
    <row r="8346" spans="1:5" x14ac:dyDescent="0.25">
      <c r="A8346" s="3">
        <f t="shared" si="391"/>
        <v>78989</v>
      </c>
      <c r="B8346" t="str">
        <f ca="1">TEXT(DATE(YEAR(Invoer!$A$5),1,1)+INT((ROWS(B$2:B8346)-1)/24),"""18""jjmmdd")</f>
        <v>18981214</v>
      </c>
      <c r="C8346" s="11" t="str">
        <f>INDEX(Data,2,2+MOD(ROWS(C$2:C8346)-1,24))</f>
        <v>17.00</v>
      </c>
      <c r="D8346" s="8">
        <f t="shared" ca="1" si="392"/>
        <v>11</v>
      </c>
      <c r="E8346" s="16">
        <f t="shared" ca="1" si="393"/>
        <v>0</v>
      </c>
    </row>
    <row r="8347" spans="1:5" x14ac:dyDescent="0.25">
      <c r="A8347" s="3">
        <f t="shared" si="391"/>
        <v>78989</v>
      </c>
      <c r="B8347" t="str">
        <f ca="1">TEXT(DATE(YEAR(Invoer!$A$5),1,1)+INT((ROWS(B$2:B8347)-1)/24),"""18""jjmmdd")</f>
        <v>18981214</v>
      </c>
      <c r="C8347" s="11" t="str">
        <f>INDEX(Data,2,2+MOD(ROWS(C$2:C8347)-1,24))</f>
        <v>18.00</v>
      </c>
      <c r="D8347" s="8">
        <f t="shared" ca="1" si="392"/>
        <v>7</v>
      </c>
      <c r="E8347" s="16">
        <f t="shared" ca="1" si="393"/>
        <v>0</v>
      </c>
    </row>
    <row r="8348" spans="1:5" x14ac:dyDescent="0.25">
      <c r="A8348" s="3">
        <f t="shared" si="391"/>
        <v>78989</v>
      </c>
      <c r="B8348" t="str">
        <f ca="1">TEXT(DATE(YEAR(Invoer!$A$5),1,1)+INT((ROWS(B$2:B8348)-1)/24),"""18""jjmmdd")</f>
        <v>18981214</v>
      </c>
      <c r="C8348" s="11" t="str">
        <f>INDEX(Data,2,2+MOD(ROWS(C$2:C8348)-1,24))</f>
        <v>19.00</v>
      </c>
      <c r="D8348" s="8">
        <f t="shared" ca="1" si="392"/>
        <v>6</v>
      </c>
      <c r="E8348" s="16">
        <f t="shared" ca="1" si="393"/>
        <v>0</v>
      </c>
    </row>
    <row r="8349" spans="1:5" x14ac:dyDescent="0.25">
      <c r="A8349" s="3">
        <f t="shared" si="391"/>
        <v>78989</v>
      </c>
      <c r="B8349" t="str">
        <f ca="1">TEXT(DATE(YEAR(Invoer!$A$5),1,1)+INT((ROWS(B$2:B8349)-1)/24),"""18""jjmmdd")</f>
        <v>18981214</v>
      </c>
      <c r="C8349" s="11" t="str">
        <f>INDEX(Data,2,2+MOD(ROWS(C$2:C8349)-1,24))</f>
        <v>20.00</v>
      </c>
      <c r="D8349" s="8">
        <f t="shared" ca="1" si="392"/>
        <v>6</v>
      </c>
      <c r="E8349" s="16">
        <f t="shared" ca="1" si="393"/>
        <v>0</v>
      </c>
    </row>
    <row r="8350" spans="1:5" x14ac:dyDescent="0.25">
      <c r="A8350" s="3">
        <f t="shared" si="391"/>
        <v>78989</v>
      </c>
      <c r="B8350" t="str">
        <f ca="1">TEXT(DATE(YEAR(Invoer!$A$5),1,1)+INT((ROWS(B$2:B8350)-1)/24),"""18""jjmmdd")</f>
        <v>18981214</v>
      </c>
      <c r="C8350" s="11" t="str">
        <f>INDEX(Data,2,2+MOD(ROWS(C$2:C8350)-1,24))</f>
        <v>21.00</v>
      </c>
      <c r="D8350" s="8">
        <f t="shared" ca="1" si="392"/>
        <v>4</v>
      </c>
      <c r="E8350" s="16">
        <f t="shared" ca="1" si="393"/>
        <v>0</v>
      </c>
    </row>
    <row r="8351" spans="1:5" x14ac:dyDescent="0.25">
      <c r="A8351" s="3">
        <f t="shared" si="391"/>
        <v>78989</v>
      </c>
      <c r="B8351" t="str">
        <f ca="1">TEXT(DATE(YEAR(Invoer!$A$5),1,1)+INT((ROWS(B$2:B8351)-1)/24),"""18""jjmmdd")</f>
        <v>18981214</v>
      </c>
      <c r="C8351" s="11" t="str">
        <f>INDEX(Data,2,2+MOD(ROWS(C$2:C8351)-1,24))</f>
        <v>22.00</v>
      </c>
      <c r="D8351" s="8">
        <f t="shared" ca="1" si="392"/>
        <v>3</v>
      </c>
      <c r="E8351" s="16">
        <f t="shared" ca="1" si="393"/>
        <v>0</v>
      </c>
    </row>
    <row r="8352" spans="1:5" x14ac:dyDescent="0.25">
      <c r="A8352" s="3">
        <f t="shared" si="391"/>
        <v>78989</v>
      </c>
      <c r="B8352" t="str">
        <f ca="1">TEXT(DATE(YEAR(Invoer!$A$5),1,1)+INT((ROWS(B$2:B8352)-1)/24),"""18""jjmmdd")</f>
        <v>18981214</v>
      </c>
      <c r="C8352" s="11" t="str">
        <f>INDEX(Data,2,2+MOD(ROWS(C$2:C8352)-1,24))</f>
        <v>23.00</v>
      </c>
      <c r="D8352" s="8">
        <f t="shared" ca="1" si="392"/>
        <v>5</v>
      </c>
      <c r="E8352" s="16">
        <f t="shared" ca="1" si="393"/>
        <v>0</v>
      </c>
    </row>
    <row r="8353" spans="1:5" x14ac:dyDescent="0.25">
      <c r="A8353" s="3">
        <f t="shared" si="391"/>
        <v>78989</v>
      </c>
      <c r="B8353" t="str">
        <f ca="1">TEXT(DATE(YEAR(Invoer!$A$5),1,1)+INT((ROWS(B$2:B8353)-1)/24),"""18""jjmmdd")</f>
        <v>18981214</v>
      </c>
      <c r="C8353" s="11" t="str">
        <f>INDEX(Data,2,2+MOD(ROWS(C$2:C8353)-1,24))</f>
        <v>24.00</v>
      </c>
      <c r="D8353" s="8">
        <f t="shared" ca="1" si="392"/>
        <v>5</v>
      </c>
      <c r="E8353" s="16">
        <f t="shared" ca="1" si="393"/>
        <v>0</v>
      </c>
    </row>
    <row r="8354" spans="1:5" x14ac:dyDescent="0.25">
      <c r="A8354" s="3">
        <f t="shared" si="391"/>
        <v>78989</v>
      </c>
      <c r="B8354" t="str">
        <f ca="1">TEXT(DATE(YEAR(Invoer!$A$5),1,1)+INT((ROWS(B$2:B8354)-1)/24),"""18""jjmmdd")</f>
        <v>18981215</v>
      </c>
      <c r="C8354" s="11" t="str">
        <f>INDEX(Data,2,2+MOD(ROWS(C$2:C8354)-1,24))</f>
        <v>01.00</v>
      </c>
      <c r="D8354" s="8">
        <f t="shared" ca="1" si="392"/>
        <v>6</v>
      </c>
      <c r="E8354" s="16">
        <f t="shared" ca="1" si="393"/>
        <v>0</v>
      </c>
    </row>
    <row r="8355" spans="1:5" x14ac:dyDescent="0.25">
      <c r="A8355" s="3">
        <f t="shared" si="391"/>
        <v>78989</v>
      </c>
      <c r="B8355" t="str">
        <f ca="1">TEXT(DATE(YEAR(Invoer!$A$5),1,1)+INT((ROWS(B$2:B8355)-1)/24),"""18""jjmmdd")</f>
        <v>18981215</v>
      </c>
      <c r="C8355" s="11" t="str">
        <f>INDEX(Data,2,2+MOD(ROWS(C$2:C8355)-1,24))</f>
        <v>02.00</v>
      </c>
      <c r="D8355" s="8">
        <f t="shared" ca="1" si="392"/>
        <v>4</v>
      </c>
      <c r="E8355" s="16">
        <f t="shared" ca="1" si="393"/>
        <v>0</v>
      </c>
    </row>
    <row r="8356" spans="1:5" x14ac:dyDescent="0.25">
      <c r="A8356" s="3">
        <f t="shared" si="391"/>
        <v>78989</v>
      </c>
      <c r="B8356" t="str">
        <f ca="1">TEXT(DATE(YEAR(Invoer!$A$5),1,1)+INT((ROWS(B$2:B8356)-1)/24),"""18""jjmmdd")</f>
        <v>18981215</v>
      </c>
      <c r="C8356" s="11" t="str">
        <f>INDEX(Data,2,2+MOD(ROWS(C$2:C8356)-1,24))</f>
        <v>03.00</v>
      </c>
      <c r="D8356" s="8">
        <f t="shared" ca="1" si="392"/>
        <v>5</v>
      </c>
      <c r="E8356" s="16">
        <f t="shared" ca="1" si="393"/>
        <v>0</v>
      </c>
    </row>
    <row r="8357" spans="1:5" x14ac:dyDescent="0.25">
      <c r="A8357" s="3">
        <f t="shared" si="391"/>
        <v>78989</v>
      </c>
      <c r="B8357" t="str">
        <f ca="1">TEXT(DATE(YEAR(Invoer!$A$5),1,1)+INT((ROWS(B$2:B8357)-1)/24),"""18""jjmmdd")</f>
        <v>18981215</v>
      </c>
      <c r="C8357" s="11" t="str">
        <f>INDEX(Data,2,2+MOD(ROWS(C$2:C8357)-1,24))</f>
        <v>04.00</v>
      </c>
      <c r="D8357" s="8">
        <f t="shared" ca="1" si="392"/>
        <v>6</v>
      </c>
      <c r="E8357" s="16">
        <f t="shared" ca="1" si="393"/>
        <v>0</v>
      </c>
    </row>
    <row r="8358" spans="1:5" x14ac:dyDescent="0.25">
      <c r="A8358" s="3">
        <f t="shared" si="391"/>
        <v>78989</v>
      </c>
      <c r="B8358" t="str">
        <f ca="1">TEXT(DATE(YEAR(Invoer!$A$5),1,1)+INT((ROWS(B$2:B8358)-1)/24),"""18""jjmmdd")</f>
        <v>18981215</v>
      </c>
      <c r="C8358" s="11" t="str">
        <f>INDEX(Data,2,2+MOD(ROWS(C$2:C8358)-1,24))</f>
        <v>05.00</v>
      </c>
      <c r="D8358" s="8">
        <f t="shared" ca="1" si="392"/>
        <v>6</v>
      </c>
      <c r="E8358" s="16">
        <f t="shared" ca="1" si="393"/>
        <v>0</v>
      </c>
    </row>
    <row r="8359" spans="1:5" x14ac:dyDescent="0.25">
      <c r="A8359" s="3">
        <f t="shared" si="391"/>
        <v>78989</v>
      </c>
      <c r="B8359" t="str">
        <f ca="1">TEXT(DATE(YEAR(Invoer!$A$5),1,1)+INT((ROWS(B$2:B8359)-1)/24),"""18""jjmmdd")</f>
        <v>18981215</v>
      </c>
      <c r="C8359" s="11" t="str">
        <f>INDEX(Data,2,2+MOD(ROWS(C$2:C8359)-1,24))</f>
        <v>06.00</v>
      </c>
      <c r="D8359" s="8">
        <f t="shared" ca="1" si="392"/>
        <v>7</v>
      </c>
      <c r="E8359" s="16">
        <f t="shared" ca="1" si="393"/>
        <v>0</v>
      </c>
    </row>
    <row r="8360" spans="1:5" x14ac:dyDescent="0.25">
      <c r="A8360" s="3">
        <f t="shared" si="391"/>
        <v>78989</v>
      </c>
      <c r="B8360" t="str">
        <f ca="1">TEXT(DATE(YEAR(Invoer!$A$5),1,1)+INT((ROWS(B$2:B8360)-1)/24),"""18""jjmmdd")</f>
        <v>18981215</v>
      </c>
      <c r="C8360" s="11" t="str">
        <f>INDEX(Data,2,2+MOD(ROWS(C$2:C8360)-1,24))</f>
        <v>07.00</v>
      </c>
      <c r="D8360" s="8">
        <f t="shared" ca="1" si="392"/>
        <v>11</v>
      </c>
      <c r="E8360" s="16">
        <f t="shared" ca="1" si="393"/>
        <v>0</v>
      </c>
    </row>
    <row r="8361" spans="1:5" x14ac:dyDescent="0.25">
      <c r="A8361" s="3">
        <f t="shared" si="391"/>
        <v>78989</v>
      </c>
      <c r="B8361" t="str">
        <f ca="1">TEXT(DATE(YEAR(Invoer!$A$5),1,1)+INT((ROWS(B$2:B8361)-1)/24),"""18""jjmmdd")</f>
        <v>18981215</v>
      </c>
      <c r="C8361" s="11" t="str">
        <f>INDEX(Data,2,2+MOD(ROWS(C$2:C8361)-1,24))</f>
        <v>08.00</v>
      </c>
      <c r="D8361" s="8">
        <f t="shared" ca="1" si="392"/>
        <v>11</v>
      </c>
      <c r="E8361" s="16">
        <f t="shared" ca="1" si="393"/>
        <v>0</v>
      </c>
    </row>
    <row r="8362" spans="1:5" x14ac:dyDescent="0.25">
      <c r="A8362" s="3">
        <f t="shared" si="391"/>
        <v>78989</v>
      </c>
      <c r="B8362" t="str">
        <f ca="1">TEXT(DATE(YEAR(Invoer!$A$5),1,1)+INT((ROWS(B$2:B8362)-1)/24),"""18""jjmmdd")</f>
        <v>18981215</v>
      </c>
      <c r="C8362" s="11" t="str">
        <f>INDEX(Data,2,2+MOD(ROWS(C$2:C8362)-1,24))</f>
        <v>09.00</v>
      </c>
      <c r="D8362" s="8">
        <f t="shared" ca="1" si="392"/>
        <v>12</v>
      </c>
      <c r="E8362" s="16">
        <f t="shared" ca="1" si="393"/>
        <v>0</v>
      </c>
    </row>
    <row r="8363" spans="1:5" x14ac:dyDescent="0.25">
      <c r="A8363" s="3">
        <f t="shared" si="391"/>
        <v>78989</v>
      </c>
      <c r="B8363" t="str">
        <f ca="1">TEXT(DATE(YEAR(Invoer!$A$5),1,1)+INT((ROWS(B$2:B8363)-1)/24),"""18""jjmmdd")</f>
        <v>18981215</v>
      </c>
      <c r="C8363" s="11" t="str">
        <f>INDEX(Data,2,2+MOD(ROWS(C$2:C8363)-1,24))</f>
        <v>10.00</v>
      </c>
      <c r="D8363" s="8">
        <f t="shared" ca="1" si="392"/>
        <v>15</v>
      </c>
      <c r="E8363" s="16">
        <f t="shared" ca="1" si="393"/>
        <v>0</v>
      </c>
    </row>
    <row r="8364" spans="1:5" x14ac:dyDescent="0.25">
      <c r="A8364" s="3">
        <f t="shared" si="391"/>
        <v>78989</v>
      </c>
      <c r="B8364" t="str">
        <f ca="1">TEXT(DATE(YEAR(Invoer!$A$5),1,1)+INT((ROWS(B$2:B8364)-1)/24),"""18""jjmmdd")</f>
        <v>18981215</v>
      </c>
      <c r="C8364" s="11" t="str">
        <f>INDEX(Data,2,2+MOD(ROWS(C$2:C8364)-1,24))</f>
        <v>11.00</v>
      </c>
      <c r="D8364" s="8">
        <f t="shared" ca="1" si="392"/>
        <v>15</v>
      </c>
      <c r="E8364" s="16">
        <f t="shared" ca="1" si="393"/>
        <v>0</v>
      </c>
    </row>
    <row r="8365" spans="1:5" x14ac:dyDescent="0.25">
      <c r="A8365" s="3">
        <f t="shared" si="391"/>
        <v>78989</v>
      </c>
      <c r="B8365" t="str">
        <f ca="1">TEXT(DATE(YEAR(Invoer!$A$5),1,1)+INT((ROWS(B$2:B8365)-1)/24),"""18""jjmmdd")</f>
        <v>18981215</v>
      </c>
      <c r="C8365" s="11" t="str">
        <f>INDEX(Data,2,2+MOD(ROWS(C$2:C8365)-1,24))</f>
        <v>12.00</v>
      </c>
      <c r="D8365" s="8">
        <f t="shared" ca="1" si="392"/>
        <v>16</v>
      </c>
      <c r="E8365" s="16">
        <f t="shared" ca="1" si="393"/>
        <v>0</v>
      </c>
    </row>
    <row r="8366" spans="1:5" x14ac:dyDescent="0.25">
      <c r="A8366" s="3">
        <f t="shared" si="391"/>
        <v>78989</v>
      </c>
      <c r="B8366" t="str">
        <f ca="1">TEXT(DATE(YEAR(Invoer!$A$5),1,1)+INT((ROWS(B$2:B8366)-1)/24),"""18""jjmmdd")</f>
        <v>18981215</v>
      </c>
      <c r="C8366" s="11" t="str">
        <f>INDEX(Data,2,2+MOD(ROWS(C$2:C8366)-1,24))</f>
        <v>13.00</v>
      </c>
      <c r="D8366" s="8">
        <f t="shared" ca="1" si="392"/>
        <v>15</v>
      </c>
      <c r="E8366" s="16">
        <f t="shared" ca="1" si="393"/>
        <v>0</v>
      </c>
    </row>
    <row r="8367" spans="1:5" x14ac:dyDescent="0.25">
      <c r="A8367" s="3">
        <f t="shared" si="391"/>
        <v>78989</v>
      </c>
      <c r="B8367" t="str">
        <f ca="1">TEXT(DATE(YEAR(Invoer!$A$5),1,1)+INT((ROWS(B$2:B8367)-1)/24),"""18""jjmmdd")</f>
        <v>18981215</v>
      </c>
      <c r="C8367" s="11" t="str">
        <f>INDEX(Data,2,2+MOD(ROWS(C$2:C8367)-1,24))</f>
        <v>14.00</v>
      </c>
      <c r="D8367" s="8">
        <f t="shared" ca="1" si="392"/>
        <v>13</v>
      </c>
      <c r="E8367" s="16">
        <f t="shared" ca="1" si="393"/>
        <v>0</v>
      </c>
    </row>
    <row r="8368" spans="1:5" x14ac:dyDescent="0.25">
      <c r="A8368" s="3">
        <f t="shared" si="391"/>
        <v>78989</v>
      </c>
      <c r="B8368" t="str">
        <f ca="1">TEXT(DATE(YEAR(Invoer!$A$5),1,1)+INT((ROWS(B$2:B8368)-1)/24),"""18""jjmmdd")</f>
        <v>18981215</v>
      </c>
      <c r="C8368" s="11" t="str">
        <f>INDEX(Data,2,2+MOD(ROWS(C$2:C8368)-1,24))</f>
        <v>15.00</v>
      </c>
      <c r="D8368" s="8">
        <f t="shared" ca="1" si="392"/>
        <v>13</v>
      </c>
      <c r="E8368" s="16">
        <f t="shared" ca="1" si="393"/>
        <v>0</v>
      </c>
    </row>
    <row r="8369" spans="1:5" x14ac:dyDescent="0.25">
      <c r="A8369" s="3">
        <f t="shared" si="391"/>
        <v>78989</v>
      </c>
      <c r="B8369" t="str">
        <f ca="1">TEXT(DATE(YEAR(Invoer!$A$5),1,1)+INT((ROWS(B$2:B8369)-1)/24),"""18""jjmmdd")</f>
        <v>18981215</v>
      </c>
      <c r="C8369" s="11" t="str">
        <f>INDEX(Data,2,2+MOD(ROWS(C$2:C8369)-1,24))</f>
        <v>16.00</v>
      </c>
      <c r="D8369" s="8">
        <f t="shared" ca="1" si="392"/>
        <v>12</v>
      </c>
      <c r="E8369" s="16">
        <f t="shared" ca="1" si="393"/>
        <v>0</v>
      </c>
    </row>
    <row r="8370" spans="1:5" x14ac:dyDescent="0.25">
      <c r="A8370" s="3">
        <f t="shared" si="391"/>
        <v>78989</v>
      </c>
      <c r="B8370" t="str">
        <f ca="1">TEXT(DATE(YEAR(Invoer!$A$5),1,1)+INT((ROWS(B$2:B8370)-1)/24),"""18""jjmmdd")</f>
        <v>18981215</v>
      </c>
      <c r="C8370" s="11" t="str">
        <f>INDEX(Data,2,2+MOD(ROWS(C$2:C8370)-1,24))</f>
        <v>17.00</v>
      </c>
      <c r="D8370" s="8">
        <f t="shared" ca="1" si="392"/>
        <v>11</v>
      </c>
      <c r="E8370" s="16">
        <f t="shared" ca="1" si="393"/>
        <v>0</v>
      </c>
    </row>
    <row r="8371" spans="1:5" x14ac:dyDescent="0.25">
      <c r="A8371" s="3">
        <f t="shared" si="391"/>
        <v>78989</v>
      </c>
      <c r="B8371" t="str">
        <f ca="1">TEXT(DATE(YEAR(Invoer!$A$5),1,1)+INT((ROWS(B$2:B8371)-1)/24),"""18""jjmmdd")</f>
        <v>18981215</v>
      </c>
      <c r="C8371" s="11" t="str">
        <f>INDEX(Data,2,2+MOD(ROWS(C$2:C8371)-1,24))</f>
        <v>18.00</v>
      </c>
      <c r="D8371" s="8">
        <f t="shared" ca="1" si="392"/>
        <v>8</v>
      </c>
      <c r="E8371" s="16">
        <f t="shared" ca="1" si="393"/>
        <v>0</v>
      </c>
    </row>
    <row r="8372" spans="1:5" x14ac:dyDescent="0.25">
      <c r="A8372" s="3">
        <f t="shared" si="391"/>
        <v>78989</v>
      </c>
      <c r="B8372" t="str">
        <f ca="1">TEXT(DATE(YEAR(Invoer!$A$5),1,1)+INT((ROWS(B$2:B8372)-1)/24),"""18""jjmmdd")</f>
        <v>18981215</v>
      </c>
      <c r="C8372" s="11" t="str">
        <f>INDEX(Data,2,2+MOD(ROWS(C$2:C8372)-1,24))</f>
        <v>19.00</v>
      </c>
      <c r="D8372" s="8">
        <f t="shared" ca="1" si="392"/>
        <v>9</v>
      </c>
      <c r="E8372" s="16">
        <f t="shared" ca="1" si="393"/>
        <v>0</v>
      </c>
    </row>
    <row r="8373" spans="1:5" x14ac:dyDescent="0.25">
      <c r="A8373" s="3">
        <f t="shared" si="391"/>
        <v>78989</v>
      </c>
      <c r="B8373" t="str">
        <f ca="1">TEXT(DATE(YEAR(Invoer!$A$5),1,1)+INT((ROWS(B$2:B8373)-1)/24),"""18""jjmmdd")</f>
        <v>18981215</v>
      </c>
      <c r="C8373" s="11" t="str">
        <f>INDEX(Data,2,2+MOD(ROWS(C$2:C8373)-1,24))</f>
        <v>20.00</v>
      </c>
      <c r="D8373" s="8">
        <f t="shared" ca="1" si="392"/>
        <v>9</v>
      </c>
      <c r="E8373" s="16">
        <f t="shared" ca="1" si="393"/>
        <v>0</v>
      </c>
    </row>
    <row r="8374" spans="1:5" x14ac:dyDescent="0.25">
      <c r="A8374" s="3">
        <f t="shared" si="391"/>
        <v>78989</v>
      </c>
      <c r="B8374" t="str">
        <f ca="1">TEXT(DATE(YEAR(Invoer!$A$5),1,1)+INT((ROWS(B$2:B8374)-1)/24),"""18""jjmmdd")</f>
        <v>18981215</v>
      </c>
      <c r="C8374" s="11" t="str">
        <f>INDEX(Data,2,2+MOD(ROWS(C$2:C8374)-1,24))</f>
        <v>21.00</v>
      </c>
      <c r="D8374" s="8">
        <f t="shared" ca="1" si="392"/>
        <v>5</v>
      </c>
      <c r="E8374" s="16">
        <f t="shared" ca="1" si="393"/>
        <v>0</v>
      </c>
    </row>
    <row r="8375" spans="1:5" x14ac:dyDescent="0.25">
      <c r="A8375" s="3">
        <f t="shared" si="391"/>
        <v>78989</v>
      </c>
      <c r="B8375" t="str">
        <f ca="1">TEXT(DATE(YEAR(Invoer!$A$5),1,1)+INT((ROWS(B$2:B8375)-1)/24),"""18""jjmmdd")</f>
        <v>18981215</v>
      </c>
      <c r="C8375" s="11" t="str">
        <f>INDEX(Data,2,2+MOD(ROWS(C$2:C8375)-1,24))</f>
        <v>22.00</v>
      </c>
      <c r="D8375" s="8">
        <f t="shared" ca="1" si="392"/>
        <v>7</v>
      </c>
      <c r="E8375" s="16">
        <f t="shared" ca="1" si="393"/>
        <v>0</v>
      </c>
    </row>
    <row r="8376" spans="1:5" x14ac:dyDescent="0.25">
      <c r="A8376" s="3">
        <f t="shared" si="391"/>
        <v>78989</v>
      </c>
      <c r="B8376" t="str">
        <f ca="1">TEXT(DATE(YEAR(Invoer!$A$5),1,1)+INT((ROWS(B$2:B8376)-1)/24),"""18""jjmmdd")</f>
        <v>18981215</v>
      </c>
      <c r="C8376" s="11" t="str">
        <f>INDEX(Data,2,2+MOD(ROWS(C$2:C8376)-1,24))</f>
        <v>23.00</v>
      </c>
      <c r="D8376" s="8">
        <f t="shared" ca="1" si="392"/>
        <v>6</v>
      </c>
      <c r="E8376" s="16">
        <f t="shared" ca="1" si="393"/>
        <v>0</v>
      </c>
    </row>
    <row r="8377" spans="1:5" x14ac:dyDescent="0.25">
      <c r="A8377" s="3">
        <f t="shared" si="391"/>
        <v>78989</v>
      </c>
      <c r="B8377" t="str">
        <f ca="1">TEXT(DATE(YEAR(Invoer!$A$5),1,1)+INT((ROWS(B$2:B8377)-1)/24),"""18""jjmmdd")</f>
        <v>18981215</v>
      </c>
      <c r="C8377" s="11" t="str">
        <f>INDEX(Data,2,2+MOD(ROWS(C$2:C8377)-1,24))</f>
        <v>24.00</v>
      </c>
      <c r="D8377" s="8">
        <f t="shared" ca="1" si="392"/>
        <v>7</v>
      </c>
      <c r="E8377" s="16">
        <f t="shared" ca="1" si="393"/>
        <v>0</v>
      </c>
    </row>
    <row r="8378" spans="1:5" x14ac:dyDescent="0.25">
      <c r="A8378" s="3">
        <f t="shared" si="391"/>
        <v>78989</v>
      </c>
      <c r="B8378" t="str">
        <f ca="1">TEXT(DATE(YEAR(Invoer!$A$5),1,1)+INT((ROWS(B$2:B8378)-1)/24),"""18""jjmmdd")</f>
        <v>18981216</v>
      </c>
      <c r="C8378" s="11" t="str">
        <f>INDEX(Data,2,2+MOD(ROWS(C$2:C8378)-1,24))</f>
        <v>01.00</v>
      </c>
      <c r="D8378" s="8">
        <f t="shared" ca="1" si="392"/>
        <v>8</v>
      </c>
      <c r="E8378" s="16">
        <f t="shared" ca="1" si="393"/>
        <v>0</v>
      </c>
    </row>
    <row r="8379" spans="1:5" x14ac:dyDescent="0.25">
      <c r="A8379" s="3">
        <f t="shared" si="391"/>
        <v>78989</v>
      </c>
      <c r="B8379" t="str">
        <f ca="1">TEXT(DATE(YEAR(Invoer!$A$5),1,1)+INT((ROWS(B$2:B8379)-1)/24),"""18""jjmmdd")</f>
        <v>18981216</v>
      </c>
      <c r="C8379" s="11" t="str">
        <f>INDEX(Data,2,2+MOD(ROWS(C$2:C8379)-1,24))</f>
        <v>02.00</v>
      </c>
      <c r="D8379" s="8">
        <f t="shared" ca="1" si="392"/>
        <v>7</v>
      </c>
      <c r="E8379" s="16">
        <f t="shared" ca="1" si="393"/>
        <v>0</v>
      </c>
    </row>
    <row r="8380" spans="1:5" x14ac:dyDescent="0.25">
      <c r="A8380" s="3">
        <f t="shared" si="391"/>
        <v>78989</v>
      </c>
      <c r="B8380" t="str">
        <f ca="1">TEXT(DATE(YEAR(Invoer!$A$5),1,1)+INT((ROWS(B$2:B8380)-1)/24),"""18""jjmmdd")</f>
        <v>18981216</v>
      </c>
      <c r="C8380" s="11" t="str">
        <f>INDEX(Data,2,2+MOD(ROWS(C$2:C8380)-1,24))</f>
        <v>03.00</v>
      </c>
      <c r="D8380" s="8">
        <f t="shared" ca="1" si="392"/>
        <v>7</v>
      </c>
      <c r="E8380" s="16">
        <f t="shared" ca="1" si="393"/>
        <v>0</v>
      </c>
    </row>
    <row r="8381" spans="1:5" x14ac:dyDescent="0.25">
      <c r="A8381" s="3">
        <f t="shared" si="391"/>
        <v>78989</v>
      </c>
      <c r="B8381" t="str">
        <f ca="1">TEXT(DATE(YEAR(Invoer!$A$5),1,1)+INT((ROWS(B$2:B8381)-1)/24),"""18""jjmmdd")</f>
        <v>18981216</v>
      </c>
      <c r="C8381" s="11" t="str">
        <f>INDEX(Data,2,2+MOD(ROWS(C$2:C8381)-1,24))</f>
        <v>04.00</v>
      </c>
      <c r="D8381" s="8">
        <f t="shared" ca="1" si="392"/>
        <v>7</v>
      </c>
      <c r="E8381" s="16">
        <f t="shared" ca="1" si="393"/>
        <v>0</v>
      </c>
    </row>
    <row r="8382" spans="1:5" x14ac:dyDescent="0.25">
      <c r="A8382" s="3">
        <f t="shared" si="391"/>
        <v>78989</v>
      </c>
      <c r="B8382" t="str">
        <f ca="1">TEXT(DATE(YEAR(Invoer!$A$5),1,1)+INT((ROWS(B$2:B8382)-1)/24),"""18""jjmmdd")</f>
        <v>18981216</v>
      </c>
      <c r="C8382" s="11" t="str">
        <f>INDEX(Data,2,2+MOD(ROWS(C$2:C8382)-1,24))</f>
        <v>05.00</v>
      </c>
      <c r="D8382" s="8">
        <f t="shared" ca="1" si="392"/>
        <v>10</v>
      </c>
      <c r="E8382" s="16">
        <f t="shared" ca="1" si="393"/>
        <v>0</v>
      </c>
    </row>
    <row r="8383" spans="1:5" x14ac:dyDescent="0.25">
      <c r="A8383" s="3">
        <f t="shared" si="391"/>
        <v>78989</v>
      </c>
      <c r="B8383" t="str">
        <f ca="1">TEXT(DATE(YEAR(Invoer!$A$5),1,1)+INT((ROWS(B$2:B8383)-1)/24),"""18""jjmmdd")</f>
        <v>18981216</v>
      </c>
      <c r="C8383" s="11" t="str">
        <f>INDEX(Data,2,2+MOD(ROWS(C$2:C8383)-1,24))</f>
        <v>06.00</v>
      </c>
      <c r="D8383" s="8">
        <f t="shared" ca="1" si="392"/>
        <v>9</v>
      </c>
      <c r="E8383" s="16">
        <f t="shared" ca="1" si="393"/>
        <v>0</v>
      </c>
    </row>
    <row r="8384" spans="1:5" x14ac:dyDescent="0.25">
      <c r="A8384" s="3">
        <f t="shared" si="391"/>
        <v>78989</v>
      </c>
      <c r="B8384" t="str">
        <f ca="1">TEXT(DATE(YEAR(Invoer!$A$5),1,1)+INT((ROWS(B$2:B8384)-1)/24),"""18""jjmmdd")</f>
        <v>18981216</v>
      </c>
      <c r="C8384" s="11" t="str">
        <f>INDEX(Data,2,2+MOD(ROWS(C$2:C8384)-1,24))</f>
        <v>07.00</v>
      </c>
      <c r="D8384" s="8">
        <f t="shared" ca="1" si="392"/>
        <v>9</v>
      </c>
      <c r="E8384" s="16">
        <f t="shared" ca="1" si="393"/>
        <v>0</v>
      </c>
    </row>
    <row r="8385" spans="1:5" x14ac:dyDescent="0.25">
      <c r="A8385" s="3">
        <f t="shared" si="391"/>
        <v>78989</v>
      </c>
      <c r="B8385" t="str">
        <f ca="1">TEXT(DATE(YEAR(Invoer!$A$5),1,1)+INT((ROWS(B$2:B8385)-1)/24),"""18""jjmmdd")</f>
        <v>18981216</v>
      </c>
      <c r="C8385" s="11" t="str">
        <f>INDEX(Data,2,2+MOD(ROWS(C$2:C8385)-1,24))</f>
        <v>08.00</v>
      </c>
      <c r="D8385" s="8">
        <f t="shared" ca="1" si="392"/>
        <v>9</v>
      </c>
      <c r="E8385" s="16">
        <f t="shared" ca="1" si="393"/>
        <v>0</v>
      </c>
    </row>
    <row r="8386" spans="1:5" x14ac:dyDescent="0.25">
      <c r="A8386" s="3">
        <f t="shared" ref="A8386:A8449" si="394">INDEX(Stations,2,1)</f>
        <v>78989</v>
      </c>
      <c r="B8386" t="str">
        <f ca="1">TEXT(DATE(YEAR(Invoer!$A$5),1,1)+INT((ROWS(B$2:B8386)-1)/24),"""18""jjmmdd")</f>
        <v>18981216</v>
      </c>
      <c r="C8386" s="11" t="str">
        <f>INDEX(Data,2,2+MOD(ROWS(C$2:C8386)-1,24))</f>
        <v>09.00</v>
      </c>
      <c r="D8386" s="8">
        <f t="shared" ref="D8386:D8449" ca="1" si="395">IF(OR(ISBLANK(VLOOKUP(DATEVALUE("37"&amp;MID($B8386,3,2)&amp;"-"&amp;MID($B8386,5,2)&amp;"-"&amp;RIGHT($B8386,2)),Data,MATCH(LEFT(VLOOKUP(D$1,Parameters,2,FALSE()),4)&amp;"*",OFFSET(Data,0,0,1),0)+MATCH($C8386,OFFSET(Data,1,0,1),0)-2,FALSE())),ISTEXT(VLOOKUP(DATEVALUE("37"&amp;MID($B8386,3,2)&amp;"-"&amp;MID($B8386,5,2)&amp;"-"&amp;RIGHT($B8386,2)),Data,MATCH(LEFT(VLOOKUP(D$1,Parameters,2,FALSE()),4)&amp;"*",OFFSET(Data,0,0,1),0)+MATCH($C8386,OFFSET(Data,1,0,1),0)-2,FALSE()))),"—",VLOOKUP(DATEVALUE("37"&amp;MID($B8386,3,2)&amp;"-"&amp;MID($B8386,5,2)&amp;"-"&amp;RIGHT($B8386,2)),Data,MATCH(LEFT(VLOOKUP(D$1,Parameters,2,FALSE()),4)&amp;"*",OFFSET(Data,0,0,1),0)+MATCH($C8386,OFFSET(Data,1,0,1),0)-2,FALSE()))</f>
        <v>11</v>
      </c>
      <c r="E8386" s="16">
        <f t="shared" ca="1" si="393"/>
        <v>0</v>
      </c>
    </row>
    <row r="8387" spans="1:5" x14ac:dyDescent="0.25">
      <c r="A8387" s="3">
        <f t="shared" si="394"/>
        <v>78989</v>
      </c>
      <c r="B8387" t="str">
        <f ca="1">TEXT(DATE(YEAR(Invoer!$A$5),1,1)+INT((ROWS(B$2:B8387)-1)/24),"""18""jjmmdd")</f>
        <v>18981216</v>
      </c>
      <c r="C8387" s="11" t="str">
        <f>INDEX(Data,2,2+MOD(ROWS(C$2:C8387)-1,24))</f>
        <v>10.00</v>
      </c>
      <c r="D8387" s="8">
        <f t="shared" ca="1" si="395"/>
        <v>11</v>
      </c>
      <c r="E8387" s="16">
        <f t="shared" ref="E8387:E8450" ca="1" si="396">IF(OR(ISBLANK(VLOOKUP(DATEVALUE("37"&amp;MID($B8387,3,2)&amp;"-"&amp;MID($B8387,5,2)&amp;"-"&amp;RIGHT($B8387,2)),Data,MATCH(LEFT(VLOOKUP(D$1,Parameters,2,FALSE()),4)&amp;"*",OFFSET(Data,0,0,1),0)+MATCH($C8387,OFFSET(Data,1,0,1),0)-2,FALSE())),ISTEXT(VLOOKUP(DATEVALUE("37"&amp;MID($B8387,3,2)&amp;"-"&amp;MID($B8387,5,2)&amp;"-"&amp;RIGHT($B8387,2)),Data,MATCH(LEFT(VLOOKUP(D$1,Parameters,2,FALSE()),4)&amp;"*",OFFSET(Data,0,0,1),0)+MATCH($C8387,OFFSET(Data,1,0,1),0)-2,FALSE()))),Lacking,IF(ISNA(MATCH(DATEVALUE("37"&amp;MID($B8387,3,2)&amp;"-"&amp;MID($B8387,5,2)&amp;"-"&amp;RIGHT($B8387,2)),OFFSET(Catalogus,0,0,,1),0)),Ok,VLOOKUP(DATEVALUE("37"&amp;MID($B8387,3,2)&amp;"-"&amp;MID($B8387,5,2)&amp;"-"&amp;RIGHT($B8387,2)),Catalogus,MATCH(LEFT(VLOOKUP(MID(E$1,2,LEN(E$1)-1),Parameters,2,FALSE()),4)&amp;"*",OFFSET(Catalogus,0,0,1),0)+MATCH($C8387,OFFSET(Catalogus,1,0,1),0)-2,FALSE())))</f>
        <v>0</v>
      </c>
    </row>
    <row r="8388" spans="1:5" x14ac:dyDescent="0.25">
      <c r="A8388" s="3">
        <f t="shared" si="394"/>
        <v>78989</v>
      </c>
      <c r="B8388" t="str">
        <f ca="1">TEXT(DATE(YEAR(Invoer!$A$5),1,1)+INT((ROWS(B$2:B8388)-1)/24),"""18""jjmmdd")</f>
        <v>18981216</v>
      </c>
      <c r="C8388" s="11" t="str">
        <f>INDEX(Data,2,2+MOD(ROWS(C$2:C8388)-1,24))</f>
        <v>11.00</v>
      </c>
      <c r="D8388" s="8">
        <f t="shared" ca="1" si="395"/>
        <v>11</v>
      </c>
      <c r="E8388" s="16">
        <f t="shared" ca="1" si="396"/>
        <v>0</v>
      </c>
    </row>
    <row r="8389" spans="1:5" x14ac:dyDescent="0.25">
      <c r="A8389" s="3">
        <f t="shared" si="394"/>
        <v>78989</v>
      </c>
      <c r="B8389" t="str">
        <f ca="1">TEXT(DATE(YEAR(Invoer!$A$5),1,1)+INT((ROWS(B$2:B8389)-1)/24),"""18""jjmmdd")</f>
        <v>18981216</v>
      </c>
      <c r="C8389" s="11" t="str">
        <f>INDEX(Data,2,2+MOD(ROWS(C$2:C8389)-1,24))</f>
        <v>12.00</v>
      </c>
      <c r="D8389" s="8">
        <f t="shared" ca="1" si="395"/>
        <v>11</v>
      </c>
      <c r="E8389" s="16">
        <f t="shared" ca="1" si="396"/>
        <v>0</v>
      </c>
    </row>
    <row r="8390" spans="1:5" x14ac:dyDescent="0.25">
      <c r="A8390" s="3">
        <f t="shared" si="394"/>
        <v>78989</v>
      </c>
      <c r="B8390" t="str">
        <f ca="1">TEXT(DATE(YEAR(Invoer!$A$5),1,1)+INT((ROWS(B$2:B8390)-1)/24),"""18""jjmmdd")</f>
        <v>18981216</v>
      </c>
      <c r="C8390" s="11" t="str">
        <f>INDEX(Data,2,2+MOD(ROWS(C$2:C8390)-1,24))</f>
        <v>13.00</v>
      </c>
      <c r="D8390" s="8">
        <f t="shared" ca="1" si="395"/>
        <v>11</v>
      </c>
      <c r="E8390" s="16">
        <f t="shared" ca="1" si="396"/>
        <v>0</v>
      </c>
    </row>
    <row r="8391" spans="1:5" x14ac:dyDescent="0.25">
      <c r="A8391" s="3">
        <f t="shared" si="394"/>
        <v>78989</v>
      </c>
      <c r="B8391" t="str">
        <f ca="1">TEXT(DATE(YEAR(Invoer!$A$5),1,1)+INT((ROWS(B$2:B8391)-1)/24),"""18""jjmmdd")</f>
        <v>18981216</v>
      </c>
      <c r="C8391" s="11" t="str">
        <f>INDEX(Data,2,2+MOD(ROWS(C$2:C8391)-1,24))</f>
        <v>14.00</v>
      </c>
      <c r="D8391" s="8">
        <f t="shared" ca="1" si="395"/>
        <v>9</v>
      </c>
      <c r="E8391" s="16">
        <f t="shared" ca="1" si="396"/>
        <v>0</v>
      </c>
    </row>
    <row r="8392" spans="1:5" x14ac:dyDescent="0.25">
      <c r="A8392" s="3">
        <f t="shared" si="394"/>
        <v>78989</v>
      </c>
      <c r="B8392" t="str">
        <f ca="1">TEXT(DATE(YEAR(Invoer!$A$5),1,1)+INT((ROWS(B$2:B8392)-1)/24),"""18""jjmmdd")</f>
        <v>18981216</v>
      </c>
      <c r="C8392" s="11" t="str">
        <f>INDEX(Data,2,2+MOD(ROWS(C$2:C8392)-1,24))</f>
        <v>15.00</v>
      </c>
      <c r="D8392" s="8">
        <f t="shared" ca="1" si="395"/>
        <v>10</v>
      </c>
      <c r="E8392" s="16">
        <f t="shared" ca="1" si="396"/>
        <v>0</v>
      </c>
    </row>
    <row r="8393" spans="1:5" x14ac:dyDescent="0.25">
      <c r="A8393" s="3">
        <f t="shared" si="394"/>
        <v>78989</v>
      </c>
      <c r="B8393" t="str">
        <f ca="1">TEXT(DATE(YEAR(Invoer!$A$5),1,1)+INT((ROWS(B$2:B8393)-1)/24),"""18""jjmmdd")</f>
        <v>18981216</v>
      </c>
      <c r="C8393" s="11" t="str">
        <f>INDEX(Data,2,2+MOD(ROWS(C$2:C8393)-1,24))</f>
        <v>16.00</v>
      </c>
      <c r="D8393" s="8">
        <f t="shared" ca="1" si="395"/>
        <v>9</v>
      </c>
      <c r="E8393" s="16">
        <f t="shared" ca="1" si="396"/>
        <v>0</v>
      </c>
    </row>
    <row r="8394" spans="1:5" x14ac:dyDescent="0.25">
      <c r="A8394" s="3">
        <f t="shared" si="394"/>
        <v>78989</v>
      </c>
      <c r="B8394" t="str">
        <f ca="1">TEXT(DATE(YEAR(Invoer!$A$5),1,1)+INT((ROWS(B$2:B8394)-1)/24),"""18""jjmmdd")</f>
        <v>18981216</v>
      </c>
      <c r="C8394" s="11" t="str">
        <f>INDEX(Data,2,2+MOD(ROWS(C$2:C8394)-1,24))</f>
        <v>17.00</v>
      </c>
      <c r="D8394" s="8">
        <f t="shared" ca="1" si="395"/>
        <v>9</v>
      </c>
      <c r="E8394" s="16">
        <f t="shared" ca="1" si="396"/>
        <v>0</v>
      </c>
    </row>
    <row r="8395" spans="1:5" x14ac:dyDescent="0.25">
      <c r="A8395" s="3">
        <f t="shared" si="394"/>
        <v>78989</v>
      </c>
      <c r="B8395" t="str">
        <f ca="1">TEXT(DATE(YEAR(Invoer!$A$5),1,1)+INT((ROWS(B$2:B8395)-1)/24),"""18""jjmmdd")</f>
        <v>18981216</v>
      </c>
      <c r="C8395" s="11" t="str">
        <f>INDEX(Data,2,2+MOD(ROWS(C$2:C8395)-1,24))</f>
        <v>18.00</v>
      </c>
      <c r="D8395" s="8">
        <f t="shared" ca="1" si="395"/>
        <v>4</v>
      </c>
      <c r="E8395" s="16">
        <f t="shared" ca="1" si="396"/>
        <v>0</v>
      </c>
    </row>
    <row r="8396" spans="1:5" x14ac:dyDescent="0.25">
      <c r="A8396" s="3">
        <f t="shared" si="394"/>
        <v>78989</v>
      </c>
      <c r="B8396" t="str">
        <f ca="1">TEXT(DATE(YEAR(Invoer!$A$5),1,1)+INT((ROWS(B$2:B8396)-1)/24),"""18""jjmmdd")</f>
        <v>18981216</v>
      </c>
      <c r="C8396" s="11" t="str">
        <f>INDEX(Data,2,2+MOD(ROWS(C$2:C8396)-1,24))</f>
        <v>19.00</v>
      </c>
      <c r="D8396" s="8">
        <f t="shared" ca="1" si="395"/>
        <v>5</v>
      </c>
      <c r="E8396" s="16">
        <f t="shared" ca="1" si="396"/>
        <v>0</v>
      </c>
    </row>
    <row r="8397" spans="1:5" x14ac:dyDescent="0.25">
      <c r="A8397" s="3">
        <f t="shared" si="394"/>
        <v>78989</v>
      </c>
      <c r="B8397" t="str">
        <f ca="1">TEXT(DATE(YEAR(Invoer!$A$5),1,1)+INT((ROWS(B$2:B8397)-1)/24),"""18""jjmmdd")</f>
        <v>18981216</v>
      </c>
      <c r="C8397" s="11" t="str">
        <f>INDEX(Data,2,2+MOD(ROWS(C$2:C8397)-1,24))</f>
        <v>20.00</v>
      </c>
      <c r="D8397" s="8">
        <f t="shared" ca="1" si="395"/>
        <v>6</v>
      </c>
      <c r="E8397" s="16">
        <f t="shared" ca="1" si="396"/>
        <v>0</v>
      </c>
    </row>
    <row r="8398" spans="1:5" x14ac:dyDescent="0.25">
      <c r="A8398" s="3">
        <f t="shared" si="394"/>
        <v>78989</v>
      </c>
      <c r="B8398" t="str">
        <f ca="1">TEXT(DATE(YEAR(Invoer!$A$5),1,1)+INT((ROWS(B$2:B8398)-1)/24),"""18""jjmmdd")</f>
        <v>18981216</v>
      </c>
      <c r="C8398" s="11" t="str">
        <f>INDEX(Data,2,2+MOD(ROWS(C$2:C8398)-1,24))</f>
        <v>21.00</v>
      </c>
      <c r="D8398" s="8">
        <f t="shared" ca="1" si="395"/>
        <v>6</v>
      </c>
      <c r="E8398" s="16">
        <f t="shared" ca="1" si="396"/>
        <v>0</v>
      </c>
    </row>
    <row r="8399" spans="1:5" x14ac:dyDescent="0.25">
      <c r="A8399" s="3">
        <f t="shared" si="394"/>
        <v>78989</v>
      </c>
      <c r="B8399" t="str">
        <f ca="1">TEXT(DATE(YEAR(Invoer!$A$5),1,1)+INT((ROWS(B$2:B8399)-1)/24),"""18""jjmmdd")</f>
        <v>18981216</v>
      </c>
      <c r="C8399" s="11" t="str">
        <f>INDEX(Data,2,2+MOD(ROWS(C$2:C8399)-1,24))</f>
        <v>22.00</v>
      </c>
      <c r="D8399" s="8">
        <f t="shared" ca="1" si="395"/>
        <v>7</v>
      </c>
      <c r="E8399" s="16">
        <f t="shared" ca="1" si="396"/>
        <v>0</v>
      </c>
    </row>
    <row r="8400" spans="1:5" x14ac:dyDescent="0.25">
      <c r="A8400" s="3">
        <f t="shared" si="394"/>
        <v>78989</v>
      </c>
      <c r="B8400" t="str">
        <f ca="1">TEXT(DATE(YEAR(Invoer!$A$5),1,1)+INT((ROWS(B$2:B8400)-1)/24),"""18""jjmmdd")</f>
        <v>18981216</v>
      </c>
      <c r="C8400" s="11" t="str">
        <f>INDEX(Data,2,2+MOD(ROWS(C$2:C8400)-1,24))</f>
        <v>23.00</v>
      </c>
      <c r="D8400" s="8">
        <f t="shared" ca="1" si="395"/>
        <v>8</v>
      </c>
      <c r="E8400" s="16">
        <f t="shared" ca="1" si="396"/>
        <v>0</v>
      </c>
    </row>
    <row r="8401" spans="1:5" x14ac:dyDescent="0.25">
      <c r="A8401" s="3">
        <f t="shared" si="394"/>
        <v>78989</v>
      </c>
      <c r="B8401" t="str">
        <f ca="1">TEXT(DATE(YEAR(Invoer!$A$5),1,1)+INT((ROWS(B$2:B8401)-1)/24),"""18""jjmmdd")</f>
        <v>18981216</v>
      </c>
      <c r="C8401" s="11" t="str">
        <f>INDEX(Data,2,2+MOD(ROWS(C$2:C8401)-1,24))</f>
        <v>24.00</v>
      </c>
      <c r="D8401" s="8">
        <f t="shared" ca="1" si="395"/>
        <v>7</v>
      </c>
      <c r="E8401" s="16">
        <f t="shared" ca="1" si="396"/>
        <v>0</v>
      </c>
    </row>
    <row r="8402" spans="1:5" x14ac:dyDescent="0.25">
      <c r="A8402" s="3">
        <f t="shared" si="394"/>
        <v>78989</v>
      </c>
      <c r="B8402" t="str">
        <f ca="1">TEXT(DATE(YEAR(Invoer!$A$5),1,1)+INT((ROWS(B$2:B8402)-1)/24),"""18""jjmmdd")</f>
        <v>18981217</v>
      </c>
      <c r="C8402" s="11" t="str">
        <f>INDEX(Data,2,2+MOD(ROWS(C$2:C8402)-1,24))</f>
        <v>01.00</v>
      </c>
      <c r="D8402" s="8">
        <f t="shared" ca="1" si="395"/>
        <v>8</v>
      </c>
      <c r="E8402" s="16">
        <f t="shared" ca="1" si="396"/>
        <v>0</v>
      </c>
    </row>
    <row r="8403" spans="1:5" x14ac:dyDescent="0.25">
      <c r="A8403" s="3">
        <f t="shared" si="394"/>
        <v>78989</v>
      </c>
      <c r="B8403" t="str">
        <f ca="1">TEXT(DATE(YEAR(Invoer!$A$5),1,1)+INT((ROWS(B$2:B8403)-1)/24),"""18""jjmmdd")</f>
        <v>18981217</v>
      </c>
      <c r="C8403" s="11" t="str">
        <f>INDEX(Data,2,2+MOD(ROWS(C$2:C8403)-1,24))</f>
        <v>02.00</v>
      </c>
      <c r="D8403" s="8">
        <f t="shared" ca="1" si="395"/>
        <v>8</v>
      </c>
      <c r="E8403" s="16">
        <f t="shared" ca="1" si="396"/>
        <v>0</v>
      </c>
    </row>
    <row r="8404" spans="1:5" x14ac:dyDescent="0.25">
      <c r="A8404" s="3">
        <f t="shared" si="394"/>
        <v>78989</v>
      </c>
      <c r="B8404" t="str">
        <f ca="1">TEXT(DATE(YEAR(Invoer!$A$5),1,1)+INT((ROWS(B$2:B8404)-1)/24),"""18""jjmmdd")</f>
        <v>18981217</v>
      </c>
      <c r="C8404" s="11" t="str">
        <f>INDEX(Data,2,2+MOD(ROWS(C$2:C8404)-1,24))</f>
        <v>03.00</v>
      </c>
      <c r="D8404" s="8">
        <f t="shared" ca="1" si="395"/>
        <v>8</v>
      </c>
      <c r="E8404" s="16">
        <f t="shared" ca="1" si="396"/>
        <v>0</v>
      </c>
    </row>
    <row r="8405" spans="1:5" x14ac:dyDescent="0.25">
      <c r="A8405" s="3">
        <f t="shared" si="394"/>
        <v>78989</v>
      </c>
      <c r="B8405" t="str">
        <f ca="1">TEXT(DATE(YEAR(Invoer!$A$5),1,1)+INT((ROWS(B$2:B8405)-1)/24),"""18""jjmmdd")</f>
        <v>18981217</v>
      </c>
      <c r="C8405" s="11" t="str">
        <f>INDEX(Data,2,2+MOD(ROWS(C$2:C8405)-1,24))</f>
        <v>04.00</v>
      </c>
      <c r="D8405" s="8">
        <f t="shared" ca="1" si="395"/>
        <v>8</v>
      </c>
      <c r="E8405" s="16">
        <f t="shared" ca="1" si="396"/>
        <v>0</v>
      </c>
    </row>
    <row r="8406" spans="1:5" x14ac:dyDescent="0.25">
      <c r="A8406" s="3">
        <f t="shared" si="394"/>
        <v>78989</v>
      </c>
      <c r="B8406" t="str">
        <f ca="1">TEXT(DATE(YEAR(Invoer!$A$5),1,1)+INT((ROWS(B$2:B8406)-1)/24),"""18""jjmmdd")</f>
        <v>18981217</v>
      </c>
      <c r="C8406" s="11" t="str">
        <f>INDEX(Data,2,2+MOD(ROWS(C$2:C8406)-1,24))</f>
        <v>05.00</v>
      </c>
      <c r="D8406" s="8">
        <f t="shared" ca="1" si="395"/>
        <v>11</v>
      </c>
      <c r="E8406" s="16">
        <f t="shared" ca="1" si="396"/>
        <v>0</v>
      </c>
    </row>
    <row r="8407" spans="1:5" x14ac:dyDescent="0.25">
      <c r="A8407" s="3">
        <f t="shared" si="394"/>
        <v>78989</v>
      </c>
      <c r="B8407" t="str">
        <f ca="1">TEXT(DATE(YEAR(Invoer!$A$5),1,1)+INT((ROWS(B$2:B8407)-1)/24),"""18""jjmmdd")</f>
        <v>18981217</v>
      </c>
      <c r="C8407" s="11" t="str">
        <f>INDEX(Data,2,2+MOD(ROWS(C$2:C8407)-1,24))</f>
        <v>06.00</v>
      </c>
      <c r="D8407" s="8">
        <f t="shared" ca="1" si="395"/>
        <v>6</v>
      </c>
      <c r="E8407" s="16">
        <f t="shared" ca="1" si="396"/>
        <v>0</v>
      </c>
    </row>
    <row r="8408" spans="1:5" x14ac:dyDescent="0.25">
      <c r="A8408" s="3">
        <f t="shared" si="394"/>
        <v>78989</v>
      </c>
      <c r="B8408" t="str">
        <f ca="1">TEXT(DATE(YEAR(Invoer!$A$5),1,1)+INT((ROWS(B$2:B8408)-1)/24),"""18""jjmmdd")</f>
        <v>18981217</v>
      </c>
      <c r="C8408" s="11" t="str">
        <f>INDEX(Data,2,2+MOD(ROWS(C$2:C8408)-1,24))</f>
        <v>07.00</v>
      </c>
      <c r="D8408" s="8">
        <f t="shared" ca="1" si="395"/>
        <v>6</v>
      </c>
      <c r="E8408" s="16">
        <f t="shared" ca="1" si="396"/>
        <v>0</v>
      </c>
    </row>
    <row r="8409" spans="1:5" x14ac:dyDescent="0.25">
      <c r="A8409" s="3">
        <f t="shared" si="394"/>
        <v>78989</v>
      </c>
      <c r="B8409" t="str">
        <f ca="1">TEXT(DATE(YEAR(Invoer!$A$5),1,1)+INT((ROWS(B$2:B8409)-1)/24),"""18""jjmmdd")</f>
        <v>18981217</v>
      </c>
      <c r="C8409" s="11" t="str">
        <f>INDEX(Data,2,2+MOD(ROWS(C$2:C8409)-1,24))</f>
        <v>08.00</v>
      </c>
      <c r="D8409" s="8">
        <f t="shared" ca="1" si="395"/>
        <v>11</v>
      </c>
      <c r="E8409" s="16">
        <f t="shared" ca="1" si="396"/>
        <v>0</v>
      </c>
    </row>
    <row r="8410" spans="1:5" x14ac:dyDescent="0.25">
      <c r="A8410" s="3">
        <f t="shared" si="394"/>
        <v>78989</v>
      </c>
      <c r="B8410" t="str">
        <f ca="1">TEXT(DATE(YEAR(Invoer!$A$5),1,1)+INT((ROWS(B$2:B8410)-1)/24),"""18""jjmmdd")</f>
        <v>18981217</v>
      </c>
      <c r="C8410" s="11" t="str">
        <f>INDEX(Data,2,2+MOD(ROWS(C$2:C8410)-1,24))</f>
        <v>09.00</v>
      </c>
      <c r="D8410" s="8">
        <f t="shared" ca="1" si="395"/>
        <v>9</v>
      </c>
      <c r="E8410" s="16">
        <f t="shared" ca="1" si="396"/>
        <v>0</v>
      </c>
    </row>
    <row r="8411" spans="1:5" x14ac:dyDescent="0.25">
      <c r="A8411" s="3">
        <f t="shared" si="394"/>
        <v>78989</v>
      </c>
      <c r="B8411" t="str">
        <f ca="1">TEXT(DATE(YEAR(Invoer!$A$5),1,1)+INT((ROWS(B$2:B8411)-1)/24),"""18""jjmmdd")</f>
        <v>18981217</v>
      </c>
      <c r="C8411" s="11" t="str">
        <f>INDEX(Data,2,2+MOD(ROWS(C$2:C8411)-1,24))</f>
        <v>10.00</v>
      </c>
      <c r="D8411" s="8">
        <f t="shared" ca="1" si="395"/>
        <v>10</v>
      </c>
      <c r="E8411" s="16">
        <f t="shared" ca="1" si="396"/>
        <v>0</v>
      </c>
    </row>
    <row r="8412" spans="1:5" x14ac:dyDescent="0.25">
      <c r="A8412" s="3">
        <f t="shared" si="394"/>
        <v>78989</v>
      </c>
      <c r="B8412" t="str">
        <f ca="1">TEXT(DATE(YEAR(Invoer!$A$5),1,1)+INT((ROWS(B$2:B8412)-1)/24),"""18""jjmmdd")</f>
        <v>18981217</v>
      </c>
      <c r="C8412" s="11" t="str">
        <f>INDEX(Data,2,2+MOD(ROWS(C$2:C8412)-1,24))</f>
        <v>11.00</v>
      </c>
      <c r="D8412" s="8">
        <f t="shared" ca="1" si="395"/>
        <v>10</v>
      </c>
      <c r="E8412" s="16">
        <f t="shared" ca="1" si="396"/>
        <v>0</v>
      </c>
    </row>
    <row r="8413" spans="1:5" x14ac:dyDescent="0.25">
      <c r="A8413" s="3">
        <f t="shared" si="394"/>
        <v>78989</v>
      </c>
      <c r="B8413" t="str">
        <f ca="1">TEXT(DATE(YEAR(Invoer!$A$5),1,1)+INT((ROWS(B$2:B8413)-1)/24),"""18""jjmmdd")</f>
        <v>18981217</v>
      </c>
      <c r="C8413" s="11" t="str">
        <f>INDEX(Data,2,2+MOD(ROWS(C$2:C8413)-1,24))</f>
        <v>12.00</v>
      </c>
      <c r="D8413" s="8">
        <f t="shared" ca="1" si="395"/>
        <v>13</v>
      </c>
      <c r="E8413" s="16">
        <f t="shared" ca="1" si="396"/>
        <v>0</v>
      </c>
    </row>
    <row r="8414" spans="1:5" x14ac:dyDescent="0.25">
      <c r="A8414" s="3">
        <f t="shared" si="394"/>
        <v>78989</v>
      </c>
      <c r="B8414" t="str">
        <f ca="1">TEXT(DATE(YEAR(Invoer!$A$5),1,1)+INT((ROWS(B$2:B8414)-1)/24),"""18""jjmmdd")</f>
        <v>18981217</v>
      </c>
      <c r="C8414" s="11" t="str">
        <f>INDEX(Data,2,2+MOD(ROWS(C$2:C8414)-1,24))</f>
        <v>13.00</v>
      </c>
      <c r="D8414" s="8">
        <f t="shared" ca="1" si="395"/>
        <v>11</v>
      </c>
      <c r="E8414" s="16">
        <f t="shared" ca="1" si="396"/>
        <v>0</v>
      </c>
    </row>
    <row r="8415" spans="1:5" x14ac:dyDescent="0.25">
      <c r="A8415" s="3">
        <f t="shared" si="394"/>
        <v>78989</v>
      </c>
      <c r="B8415" t="str">
        <f ca="1">TEXT(DATE(YEAR(Invoer!$A$5),1,1)+INT((ROWS(B$2:B8415)-1)/24),"""18""jjmmdd")</f>
        <v>18981217</v>
      </c>
      <c r="C8415" s="11" t="str">
        <f>INDEX(Data,2,2+MOD(ROWS(C$2:C8415)-1,24))</f>
        <v>14.00</v>
      </c>
      <c r="D8415" s="8">
        <f t="shared" ca="1" si="395"/>
        <v>9</v>
      </c>
      <c r="E8415" s="16">
        <f t="shared" ca="1" si="396"/>
        <v>0</v>
      </c>
    </row>
    <row r="8416" spans="1:5" x14ac:dyDescent="0.25">
      <c r="A8416" s="3">
        <f t="shared" si="394"/>
        <v>78989</v>
      </c>
      <c r="B8416" t="str">
        <f ca="1">TEXT(DATE(YEAR(Invoer!$A$5),1,1)+INT((ROWS(B$2:B8416)-1)/24),"""18""jjmmdd")</f>
        <v>18981217</v>
      </c>
      <c r="C8416" s="11" t="str">
        <f>INDEX(Data,2,2+MOD(ROWS(C$2:C8416)-1,24))</f>
        <v>15.00</v>
      </c>
      <c r="D8416" s="8">
        <f t="shared" ca="1" si="395"/>
        <v>9</v>
      </c>
      <c r="E8416" s="16">
        <f t="shared" ca="1" si="396"/>
        <v>0</v>
      </c>
    </row>
    <row r="8417" spans="1:5" x14ac:dyDescent="0.25">
      <c r="A8417" s="3">
        <f t="shared" si="394"/>
        <v>78989</v>
      </c>
      <c r="B8417" t="str">
        <f ca="1">TEXT(DATE(YEAR(Invoer!$A$5),1,1)+INT((ROWS(B$2:B8417)-1)/24),"""18""jjmmdd")</f>
        <v>18981217</v>
      </c>
      <c r="C8417" s="11" t="str">
        <f>INDEX(Data,2,2+MOD(ROWS(C$2:C8417)-1,24))</f>
        <v>16.00</v>
      </c>
      <c r="D8417" s="8">
        <f t="shared" ca="1" si="395"/>
        <v>9</v>
      </c>
      <c r="E8417" s="16">
        <f t="shared" ca="1" si="396"/>
        <v>0</v>
      </c>
    </row>
    <row r="8418" spans="1:5" x14ac:dyDescent="0.25">
      <c r="A8418" s="3">
        <f t="shared" si="394"/>
        <v>78989</v>
      </c>
      <c r="B8418" t="str">
        <f ca="1">TEXT(DATE(YEAR(Invoer!$A$5),1,1)+INT((ROWS(B$2:B8418)-1)/24),"""18""jjmmdd")</f>
        <v>18981217</v>
      </c>
      <c r="C8418" s="11" t="str">
        <f>INDEX(Data,2,2+MOD(ROWS(C$2:C8418)-1,24))</f>
        <v>17.00</v>
      </c>
      <c r="D8418" s="8">
        <f t="shared" ca="1" si="395"/>
        <v>8</v>
      </c>
      <c r="E8418" s="16">
        <f t="shared" ca="1" si="396"/>
        <v>0</v>
      </c>
    </row>
    <row r="8419" spans="1:5" x14ac:dyDescent="0.25">
      <c r="A8419" s="3">
        <f t="shared" si="394"/>
        <v>78989</v>
      </c>
      <c r="B8419" t="str">
        <f ca="1">TEXT(DATE(YEAR(Invoer!$A$5),1,1)+INT((ROWS(B$2:B8419)-1)/24),"""18""jjmmdd")</f>
        <v>18981217</v>
      </c>
      <c r="C8419" s="11" t="str">
        <f>INDEX(Data,2,2+MOD(ROWS(C$2:C8419)-1,24))</f>
        <v>18.00</v>
      </c>
      <c r="D8419" s="8">
        <f t="shared" ca="1" si="395"/>
        <v>5</v>
      </c>
      <c r="E8419" s="16">
        <f t="shared" ca="1" si="396"/>
        <v>0</v>
      </c>
    </row>
    <row r="8420" spans="1:5" x14ac:dyDescent="0.25">
      <c r="A8420" s="3">
        <f t="shared" si="394"/>
        <v>78989</v>
      </c>
      <c r="B8420" t="str">
        <f ca="1">TEXT(DATE(YEAR(Invoer!$A$5),1,1)+INT((ROWS(B$2:B8420)-1)/24),"""18""jjmmdd")</f>
        <v>18981217</v>
      </c>
      <c r="C8420" s="11" t="str">
        <f>INDEX(Data,2,2+MOD(ROWS(C$2:C8420)-1,24))</f>
        <v>19.00</v>
      </c>
      <c r="D8420" s="8">
        <f t="shared" ca="1" si="395"/>
        <v>5</v>
      </c>
      <c r="E8420" s="16">
        <f t="shared" ca="1" si="396"/>
        <v>0</v>
      </c>
    </row>
    <row r="8421" spans="1:5" x14ac:dyDescent="0.25">
      <c r="A8421" s="3">
        <f t="shared" si="394"/>
        <v>78989</v>
      </c>
      <c r="B8421" t="str">
        <f ca="1">TEXT(DATE(YEAR(Invoer!$A$5),1,1)+INT((ROWS(B$2:B8421)-1)/24),"""18""jjmmdd")</f>
        <v>18981217</v>
      </c>
      <c r="C8421" s="11" t="str">
        <f>INDEX(Data,2,2+MOD(ROWS(C$2:C8421)-1,24))</f>
        <v>20.00</v>
      </c>
      <c r="D8421" s="8">
        <f t="shared" ca="1" si="395"/>
        <v>4</v>
      </c>
      <c r="E8421" s="16">
        <f t="shared" ca="1" si="396"/>
        <v>0</v>
      </c>
    </row>
    <row r="8422" spans="1:5" x14ac:dyDescent="0.25">
      <c r="A8422" s="3">
        <f t="shared" si="394"/>
        <v>78989</v>
      </c>
      <c r="B8422" t="str">
        <f ca="1">TEXT(DATE(YEAR(Invoer!$A$5),1,1)+INT((ROWS(B$2:B8422)-1)/24),"""18""jjmmdd")</f>
        <v>18981217</v>
      </c>
      <c r="C8422" s="11" t="str">
        <f>INDEX(Data,2,2+MOD(ROWS(C$2:C8422)-1,24))</f>
        <v>21.00</v>
      </c>
      <c r="D8422" s="8">
        <f t="shared" ca="1" si="395"/>
        <v>6</v>
      </c>
      <c r="E8422" s="16">
        <f t="shared" ca="1" si="396"/>
        <v>0</v>
      </c>
    </row>
    <row r="8423" spans="1:5" x14ac:dyDescent="0.25">
      <c r="A8423" s="3">
        <f t="shared" si="394"/>
        <v>78989</v>
      </c>
      <c r="B8423" t="str">
        <f ca="1">TEXT(DATE(YEAR(Invoer!$A$5),1,1)+INT((ROWS(B$2:B8423)-1)/24),"""18""jjmmdd")</f>
        <v>18981217</v>
      </c>
      <c r="C8423" s="11" t="str">
        <f>INDEX(Data,2,2+MOD(ROWS(C$2:C8423)-1,24))</f>
        <v>22.00</v>
      </c>
      <c r="D8423" s="8">
        <f t="shared" ca="1" si="395"/>
        <v>5</v>
      </c>
      <c r="E8423" s="16">
        <f t="shared" ca="1" si="396"/>
        <v>0</v>
      </c>
    </row>
    <row r="8424" spans="1:5" x14ac:dyDescent="0.25">
      <c r="A8424" s="3">
        <f t="shared" si="394"/>
        <v>78989</v>
      </c>
      <c r="B8424" t="str">
        <f ca="1">TEXT(DATE(YEAR(Invoer!$A$5),1,1)+INT((ROWS(B$2:B8424)-1)/24),"""18""jjmmdd")</f>
        <v>18981217</v>
      </c>
      <c r="C8424" s="11" t="str">
        <f>INDEX(Data,2,2+MOD(ROWS(C$2:C8424)-1,24))</f>
        <v>23.00</v>
      </c>
      <c r="D8424" s="8">
        <f t="shared" ca="1" si="395"/>
        <v>5</v>
      </c>
      <c r="E8424" s="16">
        <f t="shared" ca="1" si="396"/>
        <v>0</v>
      </c>
    </row>
    <row r="8425" spans="1:5" x14ac:dyDescent="0.25">
      <c r="A8425" s="3">
        <f t="shared" si="394"/>
        <v>78989</v>
      </c>
      <c r="B8425" t="str">
        <f ca="1">TEXT(DATE(YEAR(Invoer!$A$5),1,1)+INT((ROWS(B$2:B8425)-1)/24),"""18""jjmmdd")</f>
        <v>18981217</v>
      </c>
      <c r="C8425" s="11" t="str">
        <f>INDEX(Data,2,2+MOD(ROWS(C$2:C8425)-1,24))</f>
        <v>24.00</v>
      </c>
      <c r="D8425" s="8">
        <f t="shared" ca="1" si="395"/>
        <v>6</v>
      </c>
      <c r="E8425" s="16">
        <f t="shared" ca="1" si="396"/>
        <v>0</v>
      </c>
    </row>
    <row r="8426" spans="1:5" x14ac:dyDescent="0.25">
      <c r="A8426" s="3">
        <f t="shared" si="394"/>
        <v>78989</v>
      </c>
      <c r="B8426" t="str">
        <f ca="1">TEXT(DATE(YEAR(Invoer!$A$5),1,1)+INT((ROWS(B$2:B8426)-1)/24),"""18""jjmmdd")</f>
        <v>18981218</v>
      </c>
      <c r="C8426" s="11" t="str">
        <f>INDEX(Data,2,2+MOD(ROWS(C$2:C8426)-1,24))</f>
        <v>01.00</v>
      </c>
      <c r="D8426" s="8">
        <f t="shared" ca="1" si="395"/>
        <v>6</v>
      </c>
      <c r="E8426" s="16">
        <f t="shared" ca="1" si="396"/>
        <v>0</v>
      </c>
    </row>
    <row r="8427" spans="1:5" x14ac:dyDescent="0.25">
      <c r="A8427" s="3">
        <f t="shared" si="394"/>
        <v>78989</v>
      </c>
      <c r="B8427" t="str">
        <f ca="1">TEXT(DATE(YEAR(Invoer!$A$5),1,1)+INT((ROWS(B$2:B8427)-1)/24),"""18""jjmmdd")</f>
        <v>18981218</v>
      </c>
      <c r="C8427" s="11" t="str">
        <f>INDEX(Data,2,2+MOD(ROWS(C$2:C8427)-1,24))</f>
        <v>02.00</v>
      </c>
      <c r="D8427" s="8">
        <f t="shared" ca="1" si="395"/>
        <v>5</v>
      </c>
      <c r="E8427" s="16">
        <f t="shared" ca="1" si="396"/>
        <v>0</v>
      </c>
    </row>
    <row r="8428" spans="1:5" x14ac:dyDescent="0.25">
      <c r="A8428" s="3">
        <f t="shared" si="394"/>
        <v>78989</v>
      </c>
      <c r="B8428" t="str">
        <f ca="1">TEXT(DATE(YEAR(Invoer!$A$5),1,1)+INT((ROWS(B$2:B8428)-1)/24),"""18""jjmmdd")</f>
        <v>18981218</v>
      </c>
      <c r="C8428" s="11" t="str">
        <f>INDEX(Data,2,2+MOD(ROWS(C$2:C8428)-1,24))</f>
        <v>03.00</v>
      </c>
      <c r="D8428" s="8">
        <f t="shared" ca="1" si="395"/>
        <v>5</v>
      </c>
      <c r="E8428" s="16">
        <f t="shared" ca="1" si="396"/>
        <v>0</v>
      </c>
    </row>
    <row r="8429" spans="1:5" x14ac:dyDescent="0.25">
      <c r="A8429" s="3">
        <f t="shared" si="394"/>
        <v>78989</v>
      </c>
      <c r="B8429" t="str">
        <f ca="1">TEXT(DATE(YEAR(Invoer!$A$5),1,1)+INT((ROWS(B$2:B8429)-1)/24),"""18""jjmmdd")</f>
        <v>18981218</v>
      </c>
      <c r="C8429" s="11" t="str">
        <f>INDEX(Data,2,2+MOD(ROWS(C$2:C8429)-1,24))</f>
        <v>04.00</v>
      </c>
      <c r="D8429" s="8">
        <f t="shared" ca="1" si="395"/>
        <v>5</v>
      </c>
      <c r="E8429" s="16">
        <f t="shared" ca="1" si="396"/>
        <v>0</v>
      </c>
    </row>
    <row r="8430" spans="1:5" x14ac:dyDescent="0.25">
      <c r="A8430" s="3">
        <f t="shared" si="394"/>
        <v>78989</v>
      </c>
      <c r="B8430" t="str">
        <f ca="1">TEXT(DATE(YEAR(Invoer!$A$5),1,1)+INT((ROWS(B$2:B8430)-1)/24),"""18""jjmmdd")</f>
        <v>18981218</v>
      </c>
      <c r="C8430" s="11" t="str">
        <f>INDEX(Data,2,2+MOD(ROWS(C$2:C8430)-1,24))</f>
        <v>05.00</v>
      </c>
      <c r="D8430" s="8">
        <f t="shared" ca="1" si="395"/>
        <v>5</v>
      </c>
      <c r="E8430" s="16">
        <f t="shared" ca="1" si="396"/>
        <v>0</v>
      </c>
    </row>
    <row r="8431" spans="1:5" x14ac:dyDescent="0.25">
      <c r="A8431" s="3">
        <f t="shared" si="394"/>
        <v>78989</v>
      </c>
      <c r="B8431" t="str">
        <f ca="1">TEXT(DATE(YEAR(Invoer!$A$5),1,1)+INT((ROWS(B$2:B8431)-1)/24),"""18""jjmmdd")</f>
        <v>18981218</v>
      </c>
      <c r="C8431" s="11" t="str">
        <f>INDEX(Data,2,2+MOD(ROWS(C$2:C8431)-1,24))</f>
        <v>06.00</v>
      </c>
      <c r="D8431" s="8">
        <f t="shared" ca="1" si="395"/>
        <v>6</v>
      </c>
      <c r="E8431" s="16">
        <f t="shared" ca="1" si="396"/>
        <v>0</v>
      </c>
    </row>
    <row r="8432" spans="1:5" x14ac:dyDescent="0.25">
      <c r="A8432" s="3">
        <f t="shared" si="394"/>
        <v>78989</v>
      </c>
      <c r="B8432" t="str">
        <f ca="1">TEXT(DATE(YEAR(Invoer!$A$5),1,1)+INT((ROWS(B$2:B8432)-1)/24),"""18""jjmmdd")</f>
        <v>18981218</v>
      </c>
      <c r="C8432" s="11" t="str">
        <f>INDEX(Data,2,2+MOD(ROWS(C$2:C8432)-1,24))</f>
        <v>07.00</v>
      </c>
      <c r="D8432" s="8">
        <f t="shared" ca="1" si="395"/>
        <v>5</v>
      </c>
      <c r="E8432" s="16">
        <f t="shared" ca="1" si="396"/>
        <v>0</v>
      </c>
    </row>
    <row r="8433" spans="1:5" x14ac:dyDescent="0.25">
      <c r="A8433" s="3">
        <f t="shared" si="394"/>
        <v>78989</v>
      </c>
      <c r="B8433" t="str">
        <f ca="1">TEXT(DATE(YEAR(Invoer!$A$5),1,1)+INT((ROWS(B$2:B8433)-1)/24),"""18""jjmmdd")</f>
        <v>18981218</v>
      </c>
      <c r="C8433" s="11" t="str">
        <f>INDEX(Data,2,2+MOD(ROWS(C$2:C8433)-1,24))</f>
        <v>08.00</v>
      </c>
      <c r="D8433" s="8">
        <f t="shared" ca="1" si="395"/>
        <v>8</v>
      </c>
      <c r="E8433" s="16">
        <f t="shared" ca="1" si="396"/>
        <v>0</v>
      </c>
    </row>
    <row r="8434" spans="1:5" x14ac:dyDescent="0.25">
      <c r="A8434" s="3">
        <f t="shared" si="394"/>
        <v>78989</v>
      </c>
      <c r="B8434" t="str">
        <f ca="1">TEXT(DATE(YEAR(Invoer!$A$5),1,1)+INT((ROWS(B$2:B8434)-1)/24),"""18""jjmmdd")</f>
        <v>18981218</v>
      </c>
      <c r="C8434" s="11" t="str">
        <f>INDEX(Data,2,2+MOD(ROWS(C$2:C8434)-1,24))</f>
        <v>09.00</v>
      </c>
      <c r="D8434" s="8">
        <f t="shared" ca="1" si="395"/>
        <v>11</v>
      </c>
      <c r="E8434" s="16">
        <f t="shared" ca="1" si="396"/>
        <v>0</v>
      </c>
    </row>
    <row r="8435" spans="1:5" x14ac:dyDescent="0.25">
      <c r="A8435" s="3">
        <f t="shared" si="394"/>
        <v>78989</v>
      </c>
      <c r="B8435" t="str">
        <f ca="1">TEXT(DATE(YEAR(Invoer!$A$5),1,1)+INT((ROWS(B$2:B8435)-1)/24),"""18""jjmmdd")</f>
        <v>18981218</v>
      </c>
      <c r="C8435" s="11" t="str">
        <f>INDEX(Data,2,2+MOD(ROWS(C$2:C8435)-1,24))</f>
        <v>10.00</v>
      </c>
      <c r="D8435" s="8">
        <f t="shared" ca="1" si="395"/>
        <v>10</v>
      </c>
      <c r="E8435" s="16">
        <f t="shared" ca="1" si="396"/>
        <v>0</v>
      </c>
    </row>
    <row r="8436" spans="1:5" x14ac:dyDescent="0.25">
      <c r="A8436" s="3">
        <f t="shared" si="394"/>
        <v>78989</v>
      </c>
      <c r="B8436" t="str">
        <f ca="1">TEXT(DATE(YEAR(Invoer!$A$5),1,1)+INT((ROWS(B$2:B8436)-1)/24),"""18""jjmmdd")</f>
        <v>18981218</v>
      </c>
      <c r="C8436" s="11" t="str">
        <f>INDEX(Data,2,2+MOD(ROWS(C$2:C8436)-1,24))</f>
        <v>11.00</v>
      </c>
      <c r="D8436" s="8">
        <f t="shared" ca="1" si="395"/>
        <v>11</v>
      </c>
      <c r="E8436" s="16">
        <f t="shared" ca="1" si="396"/>
        <v>0</v>
      </c>
    </row>
    <row r="8437" spans="1:5" x14ac:dyDescent="0.25">
      <c r="A8437" s="3">
        <f t="shared" si="394"/>
        <v>78989</v>
      </c>
      <c r="B8437" t="str">
        <f ca="1">TEXT(DATE(YEAR(Invoer!$A$5),1,1)+INT((ROWS(B$2:B8437)-1)/24),"""18""jjmmdd")</f>
        <v>18981218</v>
      </c>
      <c r="C8437" s="11" t="str">
        <f>INDEX(Data,2,2+MOD(ROWS(C$2:C8437)-1,24))</f>
        <v>12.00</v>
      </c>
      <c r="D8437" s="8">
        <f t="shared" ca="1" si="395"/>
        <v>10</v>
      </c>
      <c r="E8437" s="16">
        <f t="shared" ca="1" si="396"/>
        <v>0</v>
      </c>
    </row>
    <row r="8438" spans="1:5" x14ac:dyDescent="0.25">
      <c r="A8438" s="3">
        <f t="shared" si="394"/>
        <v>78989</v>
      </c>
      <c r="B8438" t="str">
        <f ca="1">TEXT(DATE(YEAR(Invoer!$A$5),1,1)+INT((ROWS(B$2:B8438)-1)/24),"""18""jjmmdd")</f>
        <v>18981218</v>
      </c>
      <c r="C8438" s="11" t="str">
        <f>INDEX(Data,2,2+MOD(ROWS(C$2:C8438)-1,24))</f>
        <v>13.00</v>
      </c>
      <c r="D8438" s="8">
        <f t="shared" ca="1" si="395"/>
        <v>10</v>
      </c>
      <c r="E8438" s="16">
        <f t="shared" ca="1" si="396"/>
        <v>0</v>
      </c>
    </row>
    <row r="8439" spans="1:5" x14ac:dyDescent="0.25">
      <c r="A8439" s="3">
        <f t="shared" si="394"/>
        <v>78989</v>
      </c>
      <c r="B8439" t="str">
        <f ca="1">TEXT(DATE(YEAR(Invoer!$A$5),1,1)+INT((ROWS(B$2:B8439)-1)/24),"""18""jjmmdd")</f>
        <v>18981218</v>
      </c>
      <c r="C8439" s="11" t="str">
        <f>INDEX(Data,2,2+MOD(ROWS(C$2:C8439)-1,24))</f>
        <v>14.00</v>
      </c>
      <c r="D8439" s="8">
        <f t="shared" ca="1" si="395"/>
        <v>9</v>
      </c>
      <c r="E8439" s="16">
        <f t="shared" ca="1" si="396"/>
        <v>0</v>
      </c>
    </row>
    <row r="8440" spans="1:5" x14ac:dyDescent="0.25">
      <c r="A8440" s="3">
        <f t="shared" si="394"/>
        <v>78989</v>
      </c>
      <c r="B8440" t="str">
        <f ca="1">TEXT(DATE(YEAR(Invoer!$A$5),1,1)+INT((ROWS(B$2:B8440)-1)/24),"""18""jjmmdd")</f>
        <v>18981218</v>
      </c>
      <c r="C8440" s="11" t="str">
        <f>INDEX(Data,2,2+MOD(ROWS(C$2:C8440)-1,24))</f>
        <v>15.00</v>
      </c>
      <c r="D8440" s="8">
        <f t="shared" ca="1" si="395"/>
        <v>4</v>
      </c>
      <c r="E8440" s="16">
        <f t="shared" ca="1" si="396"/>
        <v>0</v>
      </c>
    </row>
    <row r="8441" spans="1:5" x14ac:dyDescent="0.25">
      <c r="A8441" s="3">
        <f t="shared" si="394"/>
        <v>78989</v>
      </c>
      <c r="B8441" t="str">
        <f ca="1">TEXT(DATE(YEAR(Invoer!$A$5),1,1)+INT((ROWS(B$2:B8441)-1)/24),"""18""jjmmdd")</f>
        <v>18981218</v>
      </c>
      <c r="C8441" s="11" t="str">
        <f>INDEX(Data,2,2+MOD(ROWS(C$2:C8441)-1,24))</f>
        <v>16.00</v>
      </c>
      <c r="D8441" s="8">
        <f t="shared" ca="1" si="395"/>
        <v>7</v>
      </c>
      <c r="E8441" s="16">
        <f t="shared" ca="1" si="396"/>
        <v>0</v>
      </c>
    </row>
    <row r="8442" spans="1:5" x14ac:dyDescent="0.25">
      <c r="A8442" s="3">
        <f t="shared" si="394"/>
        <v>78989</v>
      </c>
      <c r="B8442" t="str">
        <f ca="1">TEXT(DATE(YEAR(Invoer!$A$5),1,1)+INT((ROWS(B$2:B8442)-1)/24),"""18""jjmmdd")</f>
        <v>18981218</v>
      </c>
      <c r="C8442" s="11" t="str">
        <f>INDEX(Data,2,2+MOD(ROWS(C$2:C8442)-1,24))</f>
        <v>17.00</v>
      </c>
      <c r="D8442" s="8">
        <f t="shared" ca="1" si="395"/>
        <v>7</v>
      </c>
      <c r="E8442" s="16">
        <f t="shared" ca="1" si="396"/>
        <v>0</v>
      </c>
    </row>
    <row r="8443" spans="1:5" x14ac:dyDescent="0.25">
      <c r="A8443" s="3">
        <f t="shared" si="394"/>
        <v>78989</v>
      </c>
      <c r="B8443" t="str">
        <f ca="1">TEXT(DATE(YEAR(Invoer!$A$5),1,1)+INT((ROWS(B$2:B8443)-1)/24),"""18""jjmmdd")</f>
        <v>18981218</v>
      </c>
      <c r="C8443" s="11" t="str">
        <f>INDEX(Data,2,2+MOD(ROWS(C$2:C8443)-1,24))</f>
        <v>18.00</v>
      </c>
      <c r="D8443" s="8">
        <f t="shared" ca="1" si="395"/>
        <v>5</v>
      </c>
      <c r="E8443" s="16">
        <f t="shared" ca="1" si="396"/>
        <v>0</v>
      </c>
    </row>
    <row r="8444" spans="1:5" x14ac:dyDescent="0.25">
      <c r="A8444" s="3">
        <f t="shared" si="394"/>
        <v>78989</v>
      </c>
      <c r="B8444" t="str">
        <f ca="1">TEXT(DATE(YEAR(Invoer!$A$5),1,1)+INT((ROWS(B$2:B8444)-1)/24),"""18""jjmmdd")</f>
        <v>18981218</v>
      </c>
      <c r="C8444" s="11" t="str">
        <f>INDEX(Data,2,2+MOD(ROWS(C$2:C8444)-1,24))</f>
        <v>19.00</v>
      </c>
      <c r="D8444" s="8">
        <f t="shared" ca="1" si="395"/>
        <v>7</v>
      </c>
      <c r="E8444" s="16">
        <f t="shared" ca="1" si="396"/>
        <v>0</v>
      </c>
    </row>
    <row r="8445" spans="1:5" x14ac:dyDescent="0.25">
      <c r="A8445" s="3">
        <f t="shared" si="394"/>
        <v>78989</v>
      </c>
      <c r="B8445" t="str">
        <f ca="1">TEXT(DATE(YEAR(Invoer!$A$5),1,1)+INT((ROWS(B$2:B8445)-1)/24),"""18""jjmmdd")</f>
        <v>18981218</v>
      </c>
      <c r="C8445" s="11" t="str">
        <f>INDEX(Data,2,2+MOD(ROWS(C$2:C8445)-1,24))</f>
        <v>20.00</v>
      </c>
      <c r="D8445" s="8">
        <f t="shared" ca="1" si="395"/>
        <v>6</v>
      </c>
      <c r="E8445" s="16">
        <f t="shared" ca="1" si="396"/>
        <v>0</v>
      </c>
    </row>
    <row r="8446" spans="1:5" x14ac:dyDescent="0.25">
      <c r="A8446" s="3">
        <f t="shared" si="394"/>
        <v>78989</v>
      </c>
      <c r="B8446" t="str">
        <f ca="1">TEXT(DATE(YEAR(Invoer!$A$5),1,1)+INT((ROWS(B$2:B8446)-1)/24),"""18""jjmmdd")</f>
        <v>18981218</v>
      </c>
      <c r="C8446" s="11" t="str">
        <f>INDEX(Data,2,2+MOD(ROWS(C$2:C8446)-1,24))</f>
        <v>21.00</v>
      </c>
      <c r="D8446" s="8">
        <f t="shared" ca="1" si="395"/>
        <v>7</v>
      </c>
      <c r="E8446" s="16">
        <f t="shared" ca="1" si="396"/>
        <v>0</v>
      </c>
    </row>
    <row r="8447" spans="1:5" x14ac:dyDescent="0.25">
      <c r="A8447" s="3">
        <f t="shared" si="394"/>
        <v>78989</v>
      </c>
      <c r="B8447" t="str">
        <f ca="1">TEXT(DATE(YEAR(Invoer!$A$5),1,1)+INT((ROWS(B$2:B8447)-1)/24),"""18""jjmmdd")</f>
        <v>18981218</v>
      </c>
      <c r="C8447" s="11" t="str">
        <f>INDEX(Data,2,2+MOD(ROWS(C$2:C8447)-1,24))</f>
        <v>22.00</v>
      </c>
      <c r="D8447" s="8">
        <f t="shared" ca="1" si="395"/>
        <v>7</v>
      </c>
      <c r="E8447" s="16">
        <f t="shared" ca="1" si="396"/>
        <v>0</v>
      </c>
    </row>
    <row r="8448" spans="1:5" x14ac:dyDescent="0.25">
      <c r="A8448" s="3">
        <f t="shared" si="394"/>
        <v>78989</v>
      </c>
      <c r="B8448" t="str">
        <f ca="1">TEXT(DATE(YEAR(Invoer!$A$5),1,1)+INT((ROWS(B$2:B8448)-1)/24),"""18""jjmmdd")</f>
        <v>18981218</v>
      </c>
      <c r="C8448" s="11" t="str">
        <f>INDEX(Data,2,2+MOD(ROWS(C$2:C8448)-1,24))</f>
        <v>23.00</v>
      </c>
      <c r="D8448" s="8">
        <f t="shared" ca="1" si="395"/>
        <v>5</v>
      </c>
      <c r="E8448" s="16">
        <f t="shared" ca="1" si="396"/>
        <v>0</v>
      </c>
    </row>
    <row r="8449" spans="1:5" x14ac:dyDescent="0.25">
      <c r="A8449" s="3">
        <f t="shared" si="394"/>
        <v>78989</v>
      </c>
      <c r="B8449" t="str">
        <f ca="1">TEXT(DATE(YEAR(Invoer!$A$5),1,1)+INT((ROWS(B$2:B8449)-1)/24),"""18""jjmmdd")</f>
        <v>18981218</v>
      </c>
      <c r="C8449" s="11" t="str">
        <f>INDEX(Data,2,2+MOD(ROWS(C$2:C8449)-1,24))</f>
        <v>24.00</v>
      </c>
      <c r="D8449" s="8">
        <f t="shared" ca="1" si="395"/>
        <v>5</v>
      </c>
      <c r="E8449" s="16">
        <f t="shared" ca="1" si="396"/>
        <v>0</v>
      </c>
    </row>
    <row r="8450" spans="1:5" x14ac:dyDescent="0.25">
      <c r="A8450" s="3">
        <f t="shared" ref="A8450:A8513" si="397">INDEX(Stations,2,1)</f>
        <v>78989</v>
      </c>
      <c r="B8450" t="str">
        <f ca="1">TEXT(DATE(YEAR(Invoer!$A$5),1,1)+INT((ROWS(B$2:B8450)-1)/24),"""18""jjmmdd")</f>
        <v>18981219</v>
      </c>
      <c r="C8450" s="11" t="str">
        <f>INDEX(Data,2,2+MOD(ROWS(C$2:C8450)-1,24))</f>
        <v>01.00</v>
      </c>
      <c r="D8450" s="8">
        <f t="shared" ref="D8450:D8513" ca="1" si="398">IF(OR(ISBLANK(VLOOKUP(DATEVALUE("37"&amp;MID($B8450,3,2)&amp;"-"&amp;MID($B8450,5,2)&amp;"-"&amp;RIGHT($B8450,2)),Data,MATCH(LEFT(VLOOKUP(D$1,Parameters,2,FALSE()),4)&amp;"*",OFFSET(Data,0,0,1),0)+MATCH($C8450,OFFSET(Data,1,0,1),0)-2,FALSE())),ISTEXT(VLOOKUP(DATEVALUE("37"&amp;MID($B8450,3,2)&amp;"-"&amp;MID($B8450,5,2)&amp;"-"&amp;RIGHT($B8450,2)),Data,MATCH(LEFT(VLOOKUP(D$1,Parameters,2,FALSE()),4)&amp;"*",OFFSET(Data,0,0,1),0)+MATCH($C8450,OFFSET(Data,1,0,1),0)-2,FALSE()))),"—",VLOOKUP(DATEVALUE("37"&amp;MID($B8450,3,2)&amp;"-"&amp;MID($B8450,5,2)&amp;"-"&amp;RIGHT($B8450,2)),Data,MATCH(LEFT(VLOOKUP(D$1,Parameters,2,FALSE()),4)&amp;"*",OFFSET(Data,0,0,1),0)+MATCH($C8450,OFFSET(Data,1,0,1),0)-2,FALSE()))</f>
        <v>7</v>
      </c>
      <c r="E8450" s="16">
        <f t="shared" ca="1" si="396"/>
        <v>0</v>
      </c>
    </row>
    <row r="8451" spans="1:5" x14ac:dyDescent="0.25">
      <c r="A8451" s="3">
        <f t="shared" si="397"/>
        <v>78989</v>
      </c>
      <c r="B8451" t="str">
        <f ca="1">TEXT(DATE(YEAR(Invoer!$A$5),1,1)+INT((ROWS(B$2:B8451)-1)/24),"""18""jjmmdd")</f>
        <v>18981219</v>
      </c>
      <c r="C8451" s="11" t="str">
        <f>INDEX(Data,2,2+MOD(ROWS(C$2:C8451)-1,24))</f>
        <v>02.00</v>
      </c>
      <c r="D8451" s="8">
        <f t="shared" ca="1" si="398"/>
        <v>7</v>
      </c>
      <c r="E8451" s="16">
        <f t="shared" ref="E8451:E8514" ca="1" si="399">IF(OR(ISBLANK(VLOOKUP(DATEVALUE("37"&amp;MID($B8451,3,2)&amp;"-"&amp;MID($B8451,5,2)&amp;"-"&amp;RIGHT($B8451,2)),Data,MATCH(LEFT(VLOOKUP(D$1,Parameters,2,FALSE()),4)&amp;"*",OFFSET(Data,0,0,1),0)+MATCH($C8451,OFFSET(Data,1,0,1),0)-2,FALSE())),ISTEXT(VLOOKUP(DATEVALUE("37"&amp;MID($B8451,3,2)&amp;"-"&amp;MID($B8451,5,2)&amp;"-"&amp;RIGHT($B8451,2)),Data,MATCH(LEFT(VLOOKUP(D$1,Parameters,2,FALSE()),4)&amp;"*",OFFSET(Data,0,0,1),0)+MATCH($C8451,OFFSET(Data,1,0,1),0)-2,FALSE()))),Lacking,IF(ISNA(MATCH(DATEVALUE("37"&amp;MID($B8451,3,2)&amp;"-"&amp;MID($B8451,5,2)&amp;"-"&amp;RIGHT($B8451,2)),OFFSET(Catalogus,0,0,,1),0)),Ok,VLOOKUP(DATEVALUE("37"&amp;MID($B8451,3,2)&amp;"-"&amp;MID($B8451,5,2)&amp;"-"&amp;RIGHT($B8451,2)),Catalogus,MATCH(LEFT(VLOOKUP(MID(E$1,2,LEN(E$1)-1),Parameters,2,FALSE()),4)&amp;"*",OFFSET(Catalogus,0,0,1),0)+MATCH($C8451,OFFSET(Catalogus,1,0,1),0)-2,FALSE())))</f>
        <v>0</v>
      </c>
    </row>
    <row r="8452" spans="1:5" x14ac:dyDescent="0.25">
      <c r="A8452" s="3">
        <f t="shared" si="397"/>
        <v>78989</v>
      </c>
      <c r="B8452" t="str">
        <f ca="1">TEXT(DATE(YEAR(Invoer!$A$5),1,1)+INT((ROWS(B$2:B8452)-1)/24),"""18""jjmmdd")</f>
        <v>18981219</v>
      </c>
      <c r="C8452" s="11" t="str">
        <f>INDEX(Data,2,2+MOD(ROWS(C$2:C8452)-1,24))</f>
        <v>03.00</v>
      </c>
      <c r="D8452" s="8">
        <f t="shared" ca="1" si="398"/>
        <v>7</v>
      </c>
      <c r="E8452" s="16">
        <f t="shared" ca="1" si="399"/>
        <v>0</v>
      </c>
    </row>
    <row r="8453" spans="1:5" x14ac:dyDescent="0.25">
      <c r="A8453" s="3">
        <f t="shared" si="397"/>
        <v>78989</v>
      </c>
      <c r="B8453" t="str">
        <f ca="1">TEXT(DATE(YEAR(Invoer!$A$5),1,1)+INT((ROWS(B$2:B8453)-1)/24),"""18""jjmmdd")</f>
        <v>18981219</v>
      </c>
      <c r="C8453" s="11" t="str">
        <f>INDEX(Data,2,2+MOD(ROWS(C$2:C8453)-1,24))</f>
        <v>04.00</v>
      </c>
      <c r="D8453" s="8">
        <f t="shared" ca="1" si="398"/>
        <v>7</v>
      </c>
      <c r="E8453" s="16">
        <f t="shared" ca="1" si="399"/>
        <v>0</v>
      </c>
    </row>
    <row r="8454" spans="1:5" x14ac:dyDescent="0.25">
      <c r="A8454" s="3">
        <f t="shared" si="397"/>
        <v>78989</v>
      </c>
      <c r="B8454" t="str">
        <f ca="1">TEXT(DATE(YEAR(Invoer!$A$5),1,1)+INT((ROWS(B$2:B8454)-1)/24),"""18""jjmmdd")</f>
        <v>18981219</v>
      </c>
      <c r="C8454" s="11" t="str">
        <f>INDEX(Data,2,2+MOD(ROWS(C$2:C8454)-1,24))</f>
        <v>05.00</v>
      </c>
      <c r="D8454" s="8">
        <f t="shared" ca="1" si="398"/>
        <v>5</v>
      </c>
      <c r="E8454" s="16">
        <f t="shared" ca="1" si="399"/>
        <v>0</v>
      </c>
    </row>
    <row r="8455" spans="1:5" x14ac:dyDescent="0.25">
      <c r="A8455" s="3">
        <f t="shared" si="397"/>
        <v>78989</v>
      </c>
      <c r="B8455" t="str">
        <f ca="1">TEXT(DATE(YEAR(Invoer!$A$5),1,1)+INT((ROWS(B$2:B8455)-1)/24),"""18""jjmmdd")</f>
        <v>18981219</v>
      </c>
      <c r="C8455" s="11" t="str">
        <f>INDEX(Data,2,2+MOD(ROWS(C$2:C8455)-1,24))</f>
        <v>06.00</v>
      </c>
      <c r="D8455" s="8">
        <f t="shared" ca="1" si="398"/>
        <v>7</v>
      </c>
      <c r="E8455" s="16">
        <f t="shared" ca="1" si="399"/>
        <v>0</v>
      </c>
    </row>
    <row r="8456" spans="1:5" x14ac:dyDescent="0.25">
      <c r="A8456" s="3">
        <f t="shared" si="397"/>
        <v>78989</v>
      </c>
      <c r="B8456" t="str">
        <f ca="1">TEXT(DATE(YEAR(Invoer!$A$5),1,1)+INT((ROWS(B$2:B8456)-1)/24),"""18""jjmmdd")</f>
        <v>18981219</v>
      </c>
      <c r="C8456" s="11" t="str">
        <f>INDEX(Data,2,2+MOD(ROWS(C$2:C8456)-1,24))</f>
        <v>07.00</v>
      </c>
      <c r="D8456" s="8">
        <f t="shared" ca="1" si="398"/>
        <v>7</v>
      </c>
      <c r="E8456" s="16">
        <f t="shared" ca="1" si="399"/>
        <v>0</v>
      </c>
    </row>
    <row r="8457" spans="1:5" x14ac:dyDescent="0.25">
      <c r="A8457" s="3">
        <f t="shared" si="397"/>
        <v>78989</v>
      </c>
      <c r="B8457" t="str">
        <f ca="1">TEXT(DATE(YEAR(Invoer!$A$5),1,1)+INT((ROWS(B$2:B8457)-1)/24),"""18""jjmmdd")</f>
        <v>18981219</v>
      </c>
      <c r="C8457" s="11" t="str">
        <f>INDEX(Data,2,2+MOD(ROWS(C$2:C8457)-1,24))</f>
        <v>08.00</v>
      </c>
      <c r="D8457" s="8">
        <f t="shared" ca="1" si="398"/>
        <v>9</v>
      </c>
      <c r="E8457" s="16">
        <f t="shared" ca="1" si="399"/>
        <v>0</v>
      </c>
    </row>
    <row r="8458" spans="1:5" x14ac:dyDescent="0.25">
      <c r="A8458" s="3">
        <f t="shared" si="397"/>
        <v>78989</v>
      </c>
      <c r="B8458" t="str">
        <f ca="1">TEXT(DATE(YEAR(Invoer!$A$5),1,1)+INT((ROWS(B$2:B8458)-1)/24),"""18""jjmmdd")</f>
        <v>18981219</v>
      </c>
      <c r="C8458" s="11" t="str">
        <f>INDEX(Data,2,2+MOD(ROWS(C$2:C8458)-1,24))</f>
        <v>09.00</v>
      </c>
      <c r="D8458" s="8">
        <f t="shared" ca="1" si="398"/>
        <v>10</v>
      </c>
      <c r="E8458" s="16">
        <f t="shared" ca="1" si="399"/>
        <v>0</v>
      </c>
    </row>
    <row r="8459" spans="1:5" x14ac:dyDescent="0.25">
      <c r="A8459" s="3">
        <f t="shared" si="397"/>
        <v>78989</v>
      </c>
      <c r="B8459" t="str">
        <f ca="1">TEXT(DATE(YEAR(Invoer!$A$5),1,1)+INT((ROWS(B$2:B8459)-1)/24),"""18""jjmmdd")</f>
        <v>18981219</v>
      </c>
      <c r="C8459" s="11" t="str">
        <f>INDEX(Data,2,2+MOD(ROWS(C$2:C8459)-1,24))</f>
        <v>10.00</v>
      </c>
      <c r="D8459" s="8">
        <f t="shared" ca="1" si="398"/>
        <v>11</v>
      </c>
      <c r="E8459" s="16">
        <f t="shared" ca="1" si="399"/>
        <v>0</v>
      </c>
    </row>
    <row r="8460" spans="1:5" x14ac:dyDescent="0.25">
      <c r="A8460" s="3">
        <f t="shared" si="397"/>
        <v>78989</v>
      </c>
      <c r="B8460" t="str">
        <f ca="1">TEXT(DATE(YEAR(Invoer!$A$5),1,1)+INT((ROWS(B$2:B8460)-1)/24),"""18""jjmmdd")</f>
        <v>18981219</v>
      </c>
      <c r="C8460" s="11" t="str">
        <f>INDEX(Data,2,2+MOD(ROWS(C$2:C8460)-1,24))</f>
        <v>11.00</v>
      </c>
      <c r="D8460" s="8">
        <f t="shared" ca="1" si="398"/>
        <v>8</v>
      </c>
      <c r="E8460" s="16">
        <f t="shared" ca="1" si="399"/>
        <v>0</v>
      </c>
    </row>
    <row r="8461" spans="1:5" x14ac:dyDescent="0.25">
      <c r="A8461" s="3">
        <f t="shared" si="397"/>
        <v>78989</v>
      </c>
      <c r="B8461" t="str">
        <f ca="1">TEXT(DATE(YEAR(Invoer!$A$5),1,1)+INT((ROWS(B$2:B8461)-1)/24),"""18""jjmmdd")</f>
        <v>18981219</v>
      </c>
      <c r="C8461" s="11" t="str">
        <f>INDEX(Data,2,2+MOD(ROWS(C$2:C8461)-1,24))</f>
        <v>12.00</v>
      </c>
      <c r="D8461" s="8">
        <f t="shared" ca="1" si="398"/>
        <v>10</v>
      </c>
      <c r="E8461" s="16">
        <f t="shared" ca="1" si="399"/>
        <v>0</v>
      </c>
    </row>
    <row r="8462" spans="1:5" x14ac:dyDescent="0.25">
      <c r="A8462" s="3">
        <f t="shared" si="397"/>
        <v>78989</v>
      </c>
      <c r="B8462" t="str">
        <f ca="1">TEXT(DATE(YEAR(Invoer!$A$5),1,1)+INT((ROWS(B$2:B8462)-1)/24),"""18""jjmmdd")</f>
        <v>18981219</v>
      </c>
      <c r="C8462" s="11" t="str">
        <f>INDEX(Data,2,2+MOD(ROWS(C$2:C8462)-1,24))</f>
        <v>13.00</v>
      </c>
      <c r="D8462" s="8">
        <f t="shared" ca="1" si="398"/>
        <v>10</v>
      </c>
      <c r="E8462" s="16">
        <f t="shared" ca="1" si="399"/>
        <v>0</v>
      </c>
    </row>
    <row r="8463" spans="1:5" x14ac:dyDescent="0.25">
      <c r="A8463" s="3">
        <f t="shared" si="397"/>
        <v>78989</v>
      </c>
      <c r="B8463" t="str">
        <f ca="1">TEXT(DATE(YEAR(Invoer!$A$5),1,1)+INT((ROWS(B$2:B8463)-1)/24),"""18""jjmmdd")</f>
        <v>18981219</v>
      </c>
      <c r="C8463" s="11" t="str">
        <f>INDEX(Data,2,2+MOD(ROWS(C$2:C8463)-1,24))</f>
        <v>14.00</v>
      </c>
      <c r="D8463" s="8">
        <f t="shared" ca="1" si="398"/>
        <v>9</v>
      </c>
      <c r="E8463" s="16">
        <f t="shared" ca="1" si="399"/>
        <v>0</v>
      </c>
    </row>
    <row r="8464" spans="1:5" x14ac:dyDescent="0.25">
      <c r="A8464" s="3">
        <f t="shared" si="397"/>
        <v>78989</v>
      </c>
      <c r="B8464" t="str">
        <f ca="1">TEXT(DATE(YEAR(Invoer!$A$5),1,1)+INT((ROWS(B$2:B8464)-1)/24),"""18""jjmmdd")</f>
        <v>18981219</v>
      </c>
      <c r="C8464" s="11" t="str">
        <f>INDEX(Data,2,2+MOD(ROWS(C$2:C8464)-1,24))</f>
        <v>15.00</v>
      </c>
      <c r="D8464" s="8">
        <f t="shared" ca="1" si="398"/>
        <v>8</v>
      </c>
      <c r="E8464" s="16">
        <f t="shared" ca="1" si="399"/>
        <v>0</v>
      </c>
    </row>
    <row r="8465" spans="1:5" x14ac:dyDescent="0.25">
      <c r="A8465" s="3">
        <f t="shared" si="397"/>
        <v>78989</v>
      </c>
      <c r="B8465" t="str">
        <f ca="1">TEXT(DATE(YEAR(Invoer!$A$5),1,1)+INT((ROWS(B$2:B8465)-1)/24),"""18""jjmmdd")</f>
        <v>18981219</v>
      </c>
      <c r="C8465" s="11" t="str">
        <f>INDEX(Data,2,2+MOD(ROWS(C$2:C8465)-1,24))</f>
        <v>16.00</v>
      </c>
      <c r="D8465" s="8">
        <f t="shared" ca="1" si="398"/>
        <v>7</v>
      </c>
      <c r="E8465" s="16">
        <f t="shared" ca="1" si="399"/>
        <v>0</v>
      </c>
    </row>
    <row r="8466" spans="1:5" x14ac:dyDescent="0.25">
      <c r="A8466" s="3">
        <f t="shared" si="397"/>
        <v>78989</v>
      </c>
      <c r="B8466" t="str">
        <f ca="1">TEXT(DATE(YEAR(Invoer!$A$5),1,1)+INT((ROWS(B$2:B8466)-1)/24),"""18""jjmmdd")</f>
        <v>18981219</v>
      </c>
      <c r="C8466" s="11" t="str">
        <f>INDEX(Data,2,2+MOD(ROWS(C$2:C8466)-1,24))</f>
        <v>17.00</v>
      </c>
      <c r="D8466" s="8">
        <f t="shared" ca="1" si="398"/>
        <v>5</v>
      </c>
      <c r="E8466" s="16">
        <f t="shared" ca="1" si="399"/>
        <v>0</v>
      </c>
    </row>
    <row r="8467" spans="1:5" x14ac:dyDescent="0.25">
      <c r="A8467" s="3">
        <f t="shared" si="397"/>
        <v>78989</v>
      </c>
      <c r="B8467" t="str">
        <f ca="1">TEXT(DATE(YEAR(Invoer!$A$5),1,1)+INT((ROWS(B$2:B8467)-1)/24),"""18""jjmmdd")</f>
        <v>18981219</v>
      </c>
      <c r="C8467" s="11" t="str">
        <f>INDEX(Data,2,2+MOD(ROWS(C$2:C8467)-1,24))</f>
        <v>18.00</v>
      </c>
      <c r="D8467" s="8">
        <f t="shared" ca="1" si="398"/>
        <v>7</v>
      </c>
      <c r="E8467" s="16">
        <f t="shared" ca="1" si="399"/>
        <v>0</v>
      </c>
    </row>
    <row r="8468" spans="1:5" x14ac:dyDescent="0.25">
      <c r="A8468" s="3">
        <f t="shared" si="397"/>
        <v>78989</v>
      </c>
      <c r="B8468" t="str">
        <f ca="1">TEXT(DATE(YEAR(Invoer!$A$5),1,1)+INT((ROWS(B$2:B8468)-1)/24),"""18""jjmmdd")</f>
        <v>18981219</v>
      </c>
      <c r="C8468" s="11" t="str">
        <f>INDEX(Data,2,2+MOD(ROWS(C$2:C8468)-1,24))</f>
        <v>19.00</v>
      </c>
      <c r="D8468" s="8">
        <f t="shared" ca="1" si="398"/>
        <v>6</v>
      </c>
      <c r="E8468" s="16">
        <f t="shared" ca="1" si="399"/>
        <v>0</v>
      </c>
    </row>
    <row r="8469" spans="1:5" x14ac:dyDescent="0.25">
      <c r="A8469" s="3">
        <f t="shared" si="397"/>
        <v>78989</v>
      </c>
      <c r="B8469" t="str">
        <f ca="1">TEXT(DATE(YEAR(Invoer!$A$5),1,1)+INT((ROWS(B$2:B8469)-1)/24),"""18""jjmmdd")</f>
        <v>18981219</v>
      </c>
      <c r="C8469" s="11" t="str">
        <f>INDEX(Data,2,2+MOD(ROWS(C$2:C8469)-1,24))</f>
        <v>20.00</v>
      </c>
      <c r="D8469" s="8">
        <f t="shared" ca="1" si="398"/>
        <v>7</v>
      </c>
      <c r="E8469" s="16">
        <f t="shared" ca="1" si="399"/>
        <v>0</v>
      </c>
    </row>
    <row r="8470" spans="1:5" x14ac:dyDescent="0.25">
      <c r="A8470" s="3">
        <f t="shared" si="397"/>
        <v>78989</v>
      </c>
      <c r="B8470" t="str">
        <f ca="1">TEXT(DATE(YEAR(Invoer!$A$5),1,1)+INT((ROWS(B$2:B8470)-1)/24),"""18""jjmmdd")</f>
        <v>18981219</v>
      </c>
      <c r="C8470" s="11" t="str">
        <f>INDEX(Data,2,2+MOD(ROWS(C$2:C8470)-1,24))</f>
        <v>21.00</v>
      </c>
      <c r="D8470" s="8">
        <f t="shared" ca="1" si="398"/>
        <v>5</v>
      </c>
      <c r="E8470" s="16">
        <f t="shared" ca="1" si="399"/>
        <v>0</v>
      </c>
    </row>
    <row r="8471" spans="1:5" x14ac:dyDescent="0.25">
      <c r="A8471" s="3">
        <f t="shared" si="397"/>
        <v>78989</v>
      </c>
      <c r="B8471" t="str">
        <f ca="1">TEXT(DATE(YEAR(Invoer!$A$5),1,1)+INT((ROWS(B$2:B8471)-1)/24),"""18""jjmmdd")</f>
        <v>18981219</v>
      </c>
      <c r="C8471" s="11" t="str">
        <f>INDEX(Data,2,2+MOD(ROWS(C$2:C8471)-1,24))</f>
        <v>22.00</v>
      </c>
      <c r="D8471" s="8">
        <f t="shared" ca="1" si="398"/>
        <v>4</v>
      </c>
      <c r="E8471" s="16">
        <f t="shared" ca="1" si="399"/>
        <v>0</v>
      </c>
    </row>
    <row r="8472" spans="1:5" x14ac:dyDescent="0.25">
      <c r="A8472" s="3">
        <f t="shared" si="397"/>
        <v>78989</v>
      </c>
      <c r="B8472" t="str">
        <f ca="1">TEXT(DATE(YEAR(Invoer!$A$5),1,1)+INT((ROWS(B$2:B8472)-1)/24),"""18""jjmmdd")</f>
        <v>18981219</v>
      </c>
      <c r="C8472" s="11" t="str">
        <f>INDEX(Data,2,2+MOD(ROWS(C$2:C8472)-1,24))</f>
        <v>23.00</v>
      </c>
      <c r="D8472" s="8">
        <f t="shared" ca="1" si="398"/>
        <v>5</v>
      </c>
      <c r="E8472" s="16">
        <f t="shared" ca="1" si="399"/>
        <v>0</v>
      </c>
    </row>
    <row r="8473" spans="1:5" x14ac:dyDescent="0.25">
      <c r="A8473" s="3">
        <f t="shared" si="397"/>
        <v>78989</v>
      </c>
      <c r="B8473" t="str">
        <f ca="1">TEXT(DATE(YEAR(Invoer!$A$5),1,1)+INT((ROWS(B$2:B8473)-1)/24),"""18""jjmmdd")</f>
        <v>18981219</v>
      </c>
      <c r="C8473" s="11" t="str">
        <f>INDEX(Data,2,2+MOD(ROWS(C$2:C8473)-1,24))</f>
        <v>24.00</v>
      </c>
      <c r="D8473" s="8">
        <f t="shared" ca="1" si="398"/>
        <v>5</v>
      </c>
      <c r="E8473" s="16">
        <f t="shared" ca="1" si="399"/>
        <v>0</v>
      </c>
    </row>
    <row r="8474" spans="1:5" x14ac:dyDescent="0.25">
      <c r="A8474" s="3">
        <f t="shared" si="397"/>
        <v>78989</v>
      </c>
      <c r="B8474" t="str">
        <f ca="1">TEXT(DATE(YEAR(Invoer!$A$5),1,1)+INT((ROWS(B$2:B8474)-1)/24),"""18""jjmmdd")</f>
        <v>18981220</v>
      </c>
      <c r="C8474" s="11" t="str">
        <f>INDEX(Data,2,2+MOD(ROWS(C$2:C8474)-1,24))</f>
        <v>01.00</v>
      </c>
      <c r="D8474" s="8">
        <f t="shared" ca="1" si="398"/>
        <v>6</v>
      </c>
      <c r="E8474" s="16">
        <f t="shared" ca="1" si="399"/>
        <v>0</v>
      </c>
    </row>
    <row r="8475" spans="1:5" x14ac:dyDescent="0.25">
      <c r="A8475" s="3">
        <f t="shared" si="397"/>
        <v>78989</v>
      </c>
      <c r="B8475" t="str">
        <f ca="1">TEXT(DATE(YEAR(Invoer!$A$5),1,1)+INT((ROWS(B$2:B8475)-1)/24),"""18""jjmmdd")</f>
        <v>18981220</v>
      </c>
      <c r="C8475" s="11" t="str">
        <f>INDEX(Data,2,2+MOD(ROWS(C$2:C8475)-1,24))</f>
        <v>02.00</v>
      </c>
      <c r="D8475" s="8">
        <f t="shared" ca="1" si="398"/>
        <v>6</v>
      </c>
      <c r="E8475" s="16">
        <f t="shared" ca="1" si="399"/>
        <v>0</v>
      </c>
    </row>
    <row r="8476" spans="1:5" x14ac:dyDescent="0.25">
      <c r="A8476" s="3">
        <f t="shared" si="397"/>
        <v>78989</v>
      </c>
      <c r="B8476" t="str">
        <f ca="1">TEXT(DATE(YEAR(Invoer!$A$5),1,1)+INT((ROWS(B$2:B8476)-1)/24),"""18""jjmmdd")</f>
        <v>18981220</v>
      </c>
      <c r="C8476" s="11" t="str">
        <f>INDEX(Data,2,2+MOD(ROWS(C$2:C8476)-1,24))</f>
        <v>03.00</v>
      </c>
      <c r="D8476" s="8">
        <f t="shared" ca="1" si="398"/>
        <v>4</v>
      </c>
      <c r="E8476" s="16">
        <f t="shared" ca="1" si="399"/>
        <v>0</v>
      </c>
    </row>
    <row r="8477" spans="1:5" x14ac:dyDescent="0.25">
      <c r="A8477" s="3">
        <f t="shared" si="397"/>
        <v>78989</v>
      </c>
      <c r="B8477" t="str">
        <f ca="1">TEXT(DATE(YEAR(Invoer!$A$5),1,1)+INT((ROWS(B$2:B8477)-1)/24),"""18""jjmmdd")</f>
        <v>18981220</v>
      </c>
      <c r="C8477" s="11" t="str">
        <f>INDEX(Data,2,2+MOD(ROWS(C$2:C8477)-1,24))</f>
        <v>04.00</v>
      </c>
      <c r="D8477" s="8">
        <f t="shared" ca="1" si="398"/>
        <v>6</v>
      </c>
      <c r="E8477" s="16">
        <f t="shared" ca="1" si="399"/>
        <v>0</v>
      </c>
    </row>
    <row r="8478" spans="1:5" x14ac:dyDescent="0.25">
      <c r="A8478" s="3">
        <f t="shared" si="397"/>
        <v>78989</v>
      </c>
      <c r="B8478" t="str">
        <f ca="1">TEXT(DATE(YEAR(Invoer!$A$5),1,1)+INT((ROWS(B$2:B8478)-1)/24),"""18""jjmmdd")</f>
        <v>18981220</v>
      </c>
      <c r="C8478" s="11" t="str">
        <f>INDEX(Data,2,2+MOD(ROWS(C$2:C8478)-1,24))</f>
        <v>05.00</v>
      </c>
      <c r="D8478" s="8">
        <f t="shared" ca="1" si="398"/>
        <v>4</v>
      </c>
      <c r="E8478" s="16">
        <f t="shared" ca="1" si="399"/>
        <v>0</v>
      </c>
    </row>
    <row r="8479" spans="1:5" x14ac:dyDescent="0.25">
      <c r="A8479" s="3">
        <f t="shared" si="397"/>
        <v>78989</v>
      </c>
      <c r="B8479" t="str">
        <f ca="1">TEXT(DATE(YEAR(Invoer!$A$5),1,1)+INT((ROWS(B$2:B8479)-1)/24),"""18""jjmmdd")</f>
        <v>18981220</v>
      </c>
      <c r="C8479" s="11" t="str">
        <f>INDEX(Data,2,2+MOD(ROWS(C$2:C8479)-1,24))</f>
        <v>06.00</v>
      </c>
      <c r="D8479" s="8">
        <f t="shared" ca="1" si="398"/>
        <v>5</v>
      </c>
      <c r="E8479" s="16">
        <f t="shared" ca="1" si="399"/>
        <v>0</v>
      </c>
    </row>
    <row r="8480" spans="1:5" x14ac:dyDescent="0.25">
      <c r="A8480" s="3">
        <f t="shared" si="397"/>
        <v>78989</v>
      </c>
      <c r="B8480" t="str">
        <f ca="1">TEXT(DATE(YEAR(Invoer!$A$5),1,1)+INT((ROWS(B$2:B8480)-1)/24),"""18""jjmmdd")</f>
        <v>18981220</v>
      </c>
      <c r="C8480" s="11" t="str">
        <f>INDEX(Data,2,2+MOD(ROWS(C$2:C8480)-1,24))</f>
        <v>07.00</v>
      </c>
      <c r="D8480" s="8">
        <f t="shared" ca="1" si="398"/>
        <v>5</v>
      </c>
      <c r="E8480" s="16">
        <f t="shared" ca="1" si="399"/>
        <v>0</v>
      </c>
    </row>
    <row r="8481" spans="1:5" x14ac:dyDescent="0.25">
      <c r="A8481" s="3">
        <f t="shared" si="397"/>
        <v>78989</v>
      </c>
      <c r="B8481" t="str">
        <f ca="1">TEXT(DATE(YEAR(Invoer!$A$5),1,1)+INT((ROWS(B$2:B8481)-1)/24),"""18""jjmmdd")</f>
        <v>18981220</v>
      </c>
      <c r="C8481" s="11" t="str">
        <f>INDEX(Data,2,2+MOD(ROWS(C$2:C8481)-1,24))</f>
        <v>08.00</v>
      </c>
      <c r="D8481" s="8">
        <f t="shared" ca="1" si="398"/>
        <v>4</v>
      </c>
      <c r="E8481" s="16">
        <f t="shared" ca="1" si="399"/>
        <v>0</v>
      </c>
    </row>
    <row r="8482" spans="1:5" x14ac:dyDescent="0.25">
      <c r="A8482" s="3">
        <f t="shared" si="397"/>
        <v>78989</v>
      </c>
      <c r="B8482" t="str">
        <f ca="1">TEXT(DATE(YEAR(Invoer!$A$5),1,1)+INT((ROWS(B$2:B8482)-1)/24),"""18""jjmmdd")</f>
        <v>18981220</v>
      </c>
      <c r="C8482" s="11" t="str">
        <f>INDEX(Data,2,2+MOD(ROWS(C$2:C8482)-1,24))</f>
        <v>09.00</v>
      </c>
      <c r="D8482" s="8">
        <f t="shared" ca="1" si="398"/>
        <v>9</v>
      </c>
      <c r="E8482" s="16">
        <f t="shared" ca="1" si="399"/>
        <v>0</v>
      </c>
    </row>
    <row r="8483" spans="1:5" x14ac:dyDescent="0.25">
      <c r="A8483" s="3">
        <f t="shared" si="397"/>
        <v>78989</v>
      </c>
      <c r="B8483" t="str">
        <f ca="1">TEXT(DATE(YEAR(Invoer!$A$5),1,1)+INT((ROWS(B$2:B8483)-1)/24),"""18""jjmmdd")</f>
        <v>18981220</v>
      </c>
      <c r="C8483" s="11" t="str">
        <f>INDEX(Data,2,2+MOD(ROWS(C$2:C8483)-1,24))</f>
        <v>10.00</v>
      </c>
      <c r="D8483" s="8">
        <f t="shared" ca="1" si="398"/>
        <v>8</v>
      </c>
      <c r="E8483" s="16">
        <f t="shared" ca="1" si="399"/>
        <v>0</v>
      </c>
    </row>
    <row r="8484" spans="1:5" x14ac:dyDescent="0.25">
      <c r="A8484" s="3">
        <f t="shared" si="397"/>
        <v>78989</v>
      </c>
      <c r="B8484" t="str">
        <f ca="1">TEXT(DATE(YEAR(Invoer!$A$5),1,1)+INT((ROWS(B$2:B8484)-1)/24),"""18""jjmmdd")</f>
        <v>18981220</v>
      </c>
      <c r="C8484" s="11" t="str">
        <f>INDEX(Data,2,2+MOD(ROWS(C$2:C8484)-1,24))</f>
        <v>11.00</v>
      </c>
      <c r="D8484" s="8">
        <f t="shared" ca="1" si="398"/>
        <v>10</v>
      </c>
      <c r="E8484" s="16">
        <f t="shared" ca="1" si="399"/>
        <v>0</v>
      </c>
    </row>
    <row r="8485" spans="1:5" x14ac:dyDescent="0.25">
      <c r="A8485" s="3">
        <f t="shared" si="397"/>
        <v>78989</v>
      </c>
      <c r="B8485" t="str">
        <f ca="1">TEXT(DATE(YEAR(Invoer!$A$5),1,1)+INT((ROWS(B$2:B8485)-1)/24),"""18""jjmmdd")</f>
        <v>18981220</v>
      </c>
      <c r="C8485" s="11" t="str">
        <f>INDEX(Data,2,2+MOD(ROWS(C$2:C8485)-1,24))</f>
        <v>12.00</v>
      </c>
      <c r="D8485" s="8">
        <f t="shared" ca="1" si="398"/>
        <v>8</v>
      </c>
      <c r="E8485" s="16">
        <f t="shared" ca="1" si="399"/>
        <v>0</v>
      </c>
    </row>
    <row r="8486" spans="1:5" x14ac:dyDescent="0.25">
      <c r="A8486" s="3">
        <f t="shared" si="397"/>
        <v>78989</v>
      </c>
      <c r="B8486" t="str">
        <f ca="1">TEXT(DATE(YEAR(Invoer!$A$5),1,1)+INT((ROWS(B$2:B8486)-1)/24),"""18""jjmmdd")</f>
        <v>18981220</v>
      </c>
      <c r="C8486" s="11" t="str">
        <f>INDEX(Data,2,2+MOD(ROWS(C$2:C8486)-1,24))</f>
        <v>13.00</v>
      </c>
      <c r="D8486" s="8">
        <f t="shared" ca="1" si="398"/>
        <v>9</v>
      </c>
      <c r="E8486" s="16">
        <f t="shared" ca="1" si="399"/>
        <v>0</v>
      </c>
    </row>
    <row r="8487" spans="1:5" x14ac:dyDescent="0.25">
      <c r="A8487" s="3">
        <f t="shared" si="397"/>
        <v>78989</v>
      </c>
      <c r="B8487" t="str">
        <f ca="1">TEXT(DATE(YEAR(Invoer!$A$5),1,1)+INT((ROWS(B$2:B8487)-1)/24),"""18""jjmmdd")</f>
        <v>18981220</v>
      </c>
      <c r="C8487" s="11" t="str">
        <f>INDEX(Data,2,2+MOD(ROWS(C$2:C8487)-1,24))</f>
        <v>14.00</v>
      </c>
      <c r="D8487" s="8">
        <f t="shared" ca="1" si="398"/>
        <v>9</v>
      </c>
      <c r="E8487" s="16">
        <f t="shared" ca="1" si="399"/>
        <v>0</v>
      </c>
    </row>
    <row r="8488" spans="1:5" x14ac:dyDescent="0.25">
      <c r="A8488" s="3">
        <f t="shared" si="397"/>
        <v>78989</v>
      </c>
      <c r="B8488" t="str">
        <f ca="1">TEXT(DATE(YEAR(Invoer!$A$5),1,1)+INT((ROWS(B$2:B8488)-1)/24),"""18""jjmmdd")</f>
        <v>18981220</v>
      </c>
      <c r="C8488" s="11" t="str">
        <f>INDEX(Data,2,2+MOD(ROWS(C$2:C8488)-1,24))</f>
        <v>15.00</v>
      </c>
      <c r="D8488" s="8">
        <f t="shared" ca="1" si="398"/>
        <v>9</v>
      </c>
      <c r="E8488" s="16">
        <f t="shared" ca="1" si="399"/>
        <v>0</v>
      </c>
    </row>
    <row r="8489" spans="1:5" x14ac:dyDescent="0.25">
      <c r="A8489" s="3">
        <f t="shared" si="397"/>
        <v>78989</v>
      </c>
      <c r="B8489" t="str">
        <f ca="1">TEXT(DATE(YEAR(Invoer!$A$5),1,1)+INT((ROWS(B$2:B8489)-1)/24),"""18""jjmmdd")</f>
        <v>18981220</v>
      </c>
      <c r="C8489" s="11" t="str">
        <f>INDEX(Data,2,2+MOD(ROWS(C$2:C8489)-1,24))</f>
        <v>16.00</v>
      </c>
      <c r="D8489" s="8">
        <f t="shared" ca="1" si="398"/>
        <v>8</v>
      </c>
      <c r="E8489" s="16">
        <f t="shared" ca="1" si="399"/>
        <v>0</v>
      </c>
    </row>
    <row r="8490" spans="1:5" x14ac:dyDescent="0.25">
      <c r="A8490" s="3">
        <f t="shared" si="397"/>
        <v>78989</v>
      </c>
      <c r="B8490" t="str">
        <f ca="1">TEXT(DATE(YEAR(Invoer!$A$5),1,1)+INT((ROWS(B$2:B8490)-1)/24),"""18""jjmmdd")</f>
        <v>18981220</v>
      </c>
      <c r="C8490" s="11" t="str">
        <f>INDEX(Data,2,2+MOD(ROWS(C$2:C8490)-1,24))</f>
        <v>17.00</v>
      </c>
      <c r="D8490" s="8">
        <f t="shared" ca="1" si="398"/>
        <v>6</v>
      </c>
      <c r="E8490" s="16">
        <f t="shared" ca="1" si="399"/>
        <v>0</v>
      </c>
    </row>
    <row r="8491" spans="1:5" x14ac:dyDescent="0.25">
      <c r="A8491" s="3">
        <f t="shared" si="397"/>
        <v>78989</v>
      </c>
      <c r="B8491" t="str">
        <f ca="1">TEXT(DATE(YEAR(Invoer!$A$5),1,1)+INT((ROWS(B$2:B8491)-1)/24),"""18""jjmmdd")</f>
        <v>18981220</v>
      </c>
      <c r="C8491" s="11" t="str">
        <f>INDEX(Data,2,2+MOD(ROWS(C$2:C8491)-1,24))</f>
        <v>18.00</v>
      </c>
      <c r="D8491" s="8">
        <f t="shared" ca="1" si="398"/>
        <v>6</v>
      </c>
      <c r="E8491" s="16">
        <f t="shared" ca="1" si="399"/>
        <v>0</v>
      </c>
    </row>
    <row r="8492" spans="1:5" x14ac:dyDescent="0.25">
      <c r="A8492" s="3">
        <f t="shared" si="397"/>
        <v>78989</v>
      </c>
      <c r="B8492" t="str">
        <f ca="1">TEXT(DATE(YEAR(Invoer!$A$5),1,1)+INT((ROWS(B$2:B8492)-1)/24),"""18""jjmmdd")</f>
        <v>18981220</v>
      </c>
      <c r="C8492" s="11" t="str">
        <f>INDEX(Data,2,2+MOD(ROWS(C$2:C8492)-1,24))</f>
        <v>19.00</v>
      </c>
      <c r="D8492" s="8">
        <f t="shared" ca="1" si="398"/>
        <v>6</v>
      </c>
      <c r="E8492" s="16">
        <f t="shared" ca="1" si="399"/>
        <v>0</v>
      </c>
    </row>
    <row r="8493" spans="1:5" x14ac:dyDescent="0.25">
      <c r="A8493" s="3">
        <f t="shared" si="397"/>
        <v>78989</v>
      </c>
      <c r="B8493" t="str">
        <f ca="1">TEXT(DATE(YEAR(Invoer!$A$5),1,1)+INT((ROWS(B$2:B8493)-1)/24),"""18""jjmmdd")</f>
        <v>18981220</v>
      </c>
      <c r="C8493" s="11" t="str">
        <f>INDEX(Data,2,2+MOD(ROWS(C$2:C8493)-1,24))</f>
        <v>20.00</v>
      </c>
      <c r="D8493" s="8">
        <f t="shared" ca="1" si="398"/>
        <v>5</v>
      </c>
      <c r="E8493" s="16">
        <f t="shared" ca="1" si="399"/>
        <v>0</v>
      </c>
    </row>
    <row r="8494" spans="1:5" x14ac:dyDescent="0.25">
      <c r="A8494" s="3">
        <f t="shared" si="397"/>
        <v>78989</v>
      </c>
      <c r="B8494" t="str">
        <f ca="1">TEXT(DATE(YEAR(Invoer!$A$5),1,1)+INT((ROWS(B$2:B8494)-1)/24),"""18""jjmmdd")</f>
        <v>18981220</v>
      </c>
      <c r="C8494" s="11" t="str">
        <f>INDEX(Data,2,2+MOD(ROWS(C$2:C8494)-1,24))</f>
        <v>21.00</v>
      </c>
      <c r="D8494" s="8">
        <f t="shared" ca="1" si="398"/>
        <v>7</v>
      </c>
      <c r="E8494" s="16">
        <f t="shared" ca="1" si="399"/>
        <v>0</v>
      </c>
    </row>
    <row r="8495" spans="1:5" x14ac:dyDescent="0.25">
      <c r="A8495" s="3">
        <f t="shared" si="397"/>
        <v>78989</v>
      </c>
      <c r="B8495" t="str">
        <f ca="1">TEXT(DATE(YEAR(Invoer!$A$5),1,1)+INT((ROWS(B$2:B8495)-1)/24),"""18""jjmmdd")</f>
        <v>18981220</v>
      </c>
      <c r="C8495" s="11" t="str">
        <f>INDEX(Data,2,2+MOD(ROWS(C$2:C8495)-1,24))</f>
        <v>22.00</v>
      </c>
      <c r="D8495" s="8">
        <f t="shared" ca="1" si="398"/>
        <v>5</v>
      </c>
      <c r="E8495" s="16">
        <f t="shared" ca="1" si="399"/>
        <v>0</v>
      </c>
    </row>
    <row r="8496" spans="1:5" x14ac:dyDescent="0.25">
      <c r="A8496" s="3">
        <f t="shared" si="397"/>
        <v>78989</v>
      </c>
      <c r="B8496" t="str">
        <f ca="1">TEXT(DATE(YEAR(Invoer!$A$5),1,1)+INT((ROWS(B$2:B8496)-1)/24),"""18""jjmmdd")</f>
        <v>18981220</v>
      </c>
      <c r="C8496" s="11" t="str">
        <f>INDEX(Data,2,2+MOD(ROWS(C$2:C8496)-1,24))</f>
        <v>23.00</v>
      </c>
      <c r="D8496" s="8">
        <f t="shared" ca="1" si="398"/>
        <v>4</v>
      </c>
      <c r="E8496" s="16">
        <f t="shared" ca="1" si="399"/>
        <v>0</v>
      </c>
    </row>
    <row r="8497" spans="1:5" x14ac:dyDescent="0.25">
      <c r="A8497" s="3">
        <f t="shared" si="397"/>
        <v>78989</v>
      </c>
      <c r="B8497" t="str">
        <f ca="1">TEXT(DATE(YEAR(Invoer!$A$5),1,1)+INT((ROWS(B$2:B8497)-1)/24),"""18""jjmmdd")</f>
        <v>18981220</v>
      </c>
      <c r="C8497" s="11" t="str">
        <f>INDEX(Data,2,2+MOD(ROWS(C$2:C8497)-1,24))</f>
        <v>24.00</v>
      </c>
      <c r="D8497" s="8">
        <f t="shared" ca="1" si="398"/>
        <v>5</v>
      </c>
      <c r="E8497" s="16">
        <f t="shared" ca="1" si="399"/>
        <v>0</v>
      </c>
    </row>
    <row r="8498" spans="1:5" x14ac:dyDescent="0.25">
      <c r="A8498" s="3">
        <f t="shared" si="397"/>
        <v>78989</v>
      </c>
      <c r="B8498" t="str">
        <f ca="1">TEXT(DATE(YEAR(Invoer!$A$5),1,1)+INT((ROWS(B$2:B8498)-1)/24),"""18""jjmmdd")</f>
        <v>18981221</v>
      </c>
      <c r="C8498" s="11" t="str">
        <f>INDEX(Data,2,2+MOD(ROWS(C$2:C8498)-1,24))</f>
        <v>01.00</v>
      </c>
      <c r="D8498" s="8">
        <f t="shared" ca="1" si="398"/>
        <v>5</v>
      </c>
      <c r="E8498" s="16">
        <f t="shared" ca="1" si="399"/>
        <v>0</v>
      </c>
    </row>
    <row r="8499" spans="1:5" x14ac:dyDescent="0.25">
      <c r="A8499" s="3">
        <f t="shared" si="397"/>
        <v>78989</v>
      </c>
      <c r="B8499" t="str">
        <f ca="1">TEXT(DATE(YEAR(Invoer!$A$5),1,1)+INT((ROWS(B$2:B8499)-1)/24),"""18""jjmmdd")</f>
        <v>18981221</v>
      </c>
      <c r="C8499" s="11" t="str">
        <f>INDEX(Data,2,2+MOD(ROWS(C$2:C8499)-1,24))</f>
        <v>02.00</v>
      </c>
      <c r="D8499" s="8">
        <f t="shared" ca="1" si="398"/>
        <v>4</v>
      </c>
      <c r="E8499" s="16">
        <f t="shared" ca="1" si="399"/>
        <v>0</v>
      </c>
    </row>
    <row r="8500" spans="1:5" x14ac:dyDescent="0.25">
      <c r="A8500" s="3">
        <f t="shared" si="397"/>
        <v>78989</v>
      </c>
      <c r="B8500" t="str">
        <f ca="1">TEXT(DATE(YEAR(Invoer!$A$5),1,1)+INT((ROWS(B$2:B8500)-1)/24),"""18""jjmmdd")</f>
        <v>18981221</v>
      </c>
      <c r="C8500" s="11" t="str">
        <f>INDEX(Data,2,2+MOD(ROWS(C$2:C8500)-1,24))</f>
        <v>03.00</v>
      </c>
      <c r="D8500" s="8">
        <f t="shared" ca="1" si="398"/>
        <v>5</v>
      </c>
      <c r="E8500" s="16">
        <f t="shared" ca="1" si="399"/>
        <v>0</v>
      </c>
    </row>
    <row r="8501" spans="1:5" x14ac:dyDescent="0.25">
      <c r="A8501" s="3">
        <f t="shared" si="397"/>
        <v>78989</v>
      </c>
      <c r="B8501" t="str">
        <f ca="1">TEXT(DATE(YEAR(Invoer!$A$5),1,1)+INT((ROWS(B$2:B8501)-1)/24),"""18""jjmmdd")</f>
        <v>18981221</v>
      </c>
      <c r="C8501" s="11" t="str">
        <f>INDEX(Data,2,2+MOD(ROWS(C$2:C8501)-1,24))</f>
        <v>04.00</v>
      </c>
      <c r="D8501" s="8">
        <f t="shared" ca="1" si="398"/>
        <v>5</v>
      </c>
      <c r="E8501" s="16">
        <f t="shared" ca="1" si="399"/>
        <v>0</v>
      </c>
    </row>
    <row r="8502" spans="1:5" x14ac:dyDescent="0.25">
      <c r="A8502" s="3">
        <f t="shared" si="397"/>
        <v>78989</v>
      </c>
      <c r="B8502" t="str">
        <f ca="1">TEXT(DATE(YEAR(Invoer!$A$5),1,1)+INT((ROWS(B$2:B8502)-1)/24),"""18""jjmmdd")</f>
        <v>18981221</v>
      </c>
      <c r="C8502" s="11" t="str">
        <f>INDEX(Data,2,2+MOD(ROWS(C$2:C8502)-1,24))</f>
        <v>05.00</v>
      </c>
      <c r="D8502" s="8">
        <f t="shared" ca="1" si="398"/>
        <v>6</v>
      </c>
      <c r="E8502" s="16">
        <f t="shared" ca="1" si="399"/>
        <v>0</v>
      </c>
    </row>
    <row r="8503" spans="1:5" x14ac:dyDescent="0.25">
      <c r="A8503" s="3">
        <f t="shared" si="397"/>
        <v>78989</v>
      </c>
      <c r="B8503" t="str">
        <f ca="1">TEXT(DATE(YEAR(Invoer!$A$5),1,1)+INT((ROWS(B$2:B8503)-1)/24),"""18""jjmmdd")</f>
        <v>18981221</v>
      </c>
      <c r="C8503" s="11" t="str">
        <f>INDEX(Data,2,2+MOD(ROWS(C$2:C8503)-1,24))</f>
        <v>06.00</v>
      </c>
      <c r="D8503" s="8">
        <f t="shared" ca="1" si="398"/>
        <v>5</v>
      </c>
      <c r="E8503" s="16">
        <f t="shared" ca="1" si="399"/>
        <v>0</v>
      </c>
    </row>
    <row r="8504" spans="1:5" x14ac:dyDescent="0.25">
      <c r="A8504" s="3">
        <f t="shared" si="397"/>
        <v>78989</v>
      </c>
      <c r="B8504" t="str">
        <f ca="1">TEXT(DATE(YEAR(Invoer!$A$5),1,1)+INT((ROWS(B$2:B8504)-1)/24),"""18""jjmmdd")</f>
        <v>18981221</v>
      </c>
      <c r="C8504" s="11" t="str">
        <f>INDEX(Data,2,2+MOD(ROWS(C$2:C8504)-1,24))</f>
        <v>07.00</v>
      </c>
      <c r="D8504" s="8">
        <f t="shared" ca="1" si="398"/>
        <v>5</v>
      </c>
      <c r="E8504" s="16">
        <f t="shared" ca="1" si="399"/>
        <v>0</v>
      </c>
    </row>
    <row r="8505" spans="1:5" x14ac:dyDescent="0.25">
      <c r="A8505" s="3">
        <f t="shared" si="397"/>
        <v>78989</v>
      </c>
      <c r="B8505" t="str">
        <f ca="1">TEXT(DATE(YEAR(Invoer!$A$5),1,1)+INT((ROWS(B$2:B8505)-1)/24),"""18""jjmmdd")</f>
        <v>18981221</v>
      </c>
      <c r="C8505" s="11" t="str">
        <f>INDEX(Data,2,2+MOD(ROWS(C$2:C8505)-1,24))</f>
        <v>08.00</v>
      </c>
      <c r="D8505" s="8">
        <f t="shared" ca="1" si="398"/>
        <v>5</v>
      </c>
      <c r="E8505" s="16">
        <f t="shared" ca="1" si="399"/>
        <v>0</v>
      </c>
    </row>
    <row r="8506" spans="1:5" x14ac:dyDescent="0.25">
      <c r="A8506" s="3">
        <f t="shared" si="397"/>
        <v>78989</v>
      </c>
      <c r="B8506" t="str">
        <f ca="1">TEXT(DATE(YEAR(Invoer!$A$5),1,1)+INT((ROWS(B$2:B8506)-1)/24),"""18""jjmmdd")</f>
        <v>18981221</v>
      </c>
      <c r="C8506" s="11" t="str">
        <f>INDEX(Data,2,2+MOD(ROWS(C$2:C8506)-1,24))</f>
        <v>09.00</v>
      </c>
      <c r="D8506" s="8">
        <f t="shared" ca="1" si="398"/>
        <v>8</v>
      </c>
      <c r="E8506" s="16">
        <f t="shared" ca="1" si="399"/>
        <v>0</v>
      </c>
    </row>
    <row r="8507" spans="1:5" x14ac:dyDescent="0.25">
      <c r="A8507" s="3">
        <f t="shared" si="397"/>
        <v>78989</v>
      </c>
      <c r="B8507" t="str">
        <f ca="1">TEXT(DATE(YEAR(Invoer!$A$5),1,1)+INT((ROWS(B$2:B8507)-1)/24),"""18""jjmmdd")</f>
        <v>18981221</v>
      </c>
      <c r="C8507" s="11" t="str">
        <f>INDEX(Data,2,2+MOD(ROWS(C$2:C8507)-1,24))</f>
        <v>10.00</v>
      </c>
      <c r="D8507" s="8">
        <f t="shared" ca="1" si="398"/>
        <v>9</v>
      </c>
      <c r="E8507" s="16">
        <f t="shared" ca="1" si="399"/>
        <v>0</v>
      </c>
    </row>
    <row r="8508" spans="1:5" x14ac:dyDescent="0.25">
      <c r="A8508" s="3">
        <f t="shared" si="397"/>
        <v>78989</v>
      </c>
      <c r="B8508" t="str">
        <f ca="1">TEXT(DATE(YEAR(Invoer!$A$5),1,1)+INT((ROWS(B$2:B8508)-1)/24),"""18""jjmmdd")</f>
        <v>18981221</v>
      </c>
      <c r="C8508" s="11" t="str">
        <f>INDEX(Data,2,2+MOD(ROWS(C$2:C8508)-1,24))</f>
        <v>11.00</v>
      </c>
      <c r="D8508" s="8">
        <f t="shared" ca="1" si="398"/>
        <v>8</v>
      </c>
      <c r="E8508" s="16">
        <f t="shared" ca="1" si="399"/>
        <v>0</v>
      </c>
    </row>
    <row r="8509" spans="1:5" x14ac:dyDescent="0.25">
      <c r="A8509" s="3">
        <f t="shared" si="397"/>
        <v>78989</v>
      </c>
      <c r="B8509" t="str">
        <f ca="1">TEXT(DATE(YEAR(Invoer!$A$5),1,1)+INT((ROWS(B$2:B8509)-1)/24),"""18""jjmmdd")</f>
        <v>18981221</v>
      </c>
      <c r="C8509" s="11" t="str">
        <f>INDEX(Data,2,2+MOD(ROWS(C$2:C8509)-1,24))</f>
        <v>12.00</v>
      </c>
      <c r="D8509" s="8">
        <f t="shared" ca="1" si="398"/>
        <v>9</v>
      </c>
      <c r="E8509" s="16">
        <f t="shared" ca="1" si="399"/>
        <v>0</v>
      </c>
    </row>
    <row r="8510" spans="1:5" x14ac:dyDescent="0.25">
      <c r="A8510" s="3">
        <f t="shared" si="397"/>
        <v>78989</v>
      </c>
      <c r="B8510" t="str">
        <f ca="1">TEXT(DATE(YEAR(Invoer!$A$5),1,1)+INT((ROWS(B$2:B8510)-1)/24),"""18""jjmmdd")</f>
        <v>18981221</v>
      </c>
      <c r="C8510" s="11" t="str">
        <f>INDEX(Data,2,2+MOD(ROWS(C$2:C8510)-1,24))</f>
        <v>13.00</v>
      </c>
      <c r="D8510" s="8">
        <f t="shared" ca="1" si="398"/>
        <v>8</v>
      </c>
      <c r="E8510" s="16">
        <f t="shared" ca="1" si="399"/>
        <v>0</v>
      </c>
    </row>
    <row r="8511" spans="1:5" x14ac:dyDescent="0.25">
      <c r="A8511" s="3">
        <f t="shared" si="397"/>
        <v>78989</v>
      </c>
      <c r="B8511" t="str">
        <f ca="1">TEXT(DATE(YEAR(Invoer!$A$5),1,1)+INT((ROWS(B$2:B8511)-1)/24),"""18""jjmmdd")</f>
        <v>18981221</v>
      </c>
      <c r="C8511" s="11" t="str">
        <f>INDEX(Data,2,2+MOD(ROWS(C$2:C8511)-1,24))</f>
        <v>14.00</v>
      </c>
      <c r="D8511" s="8">
        <f t="shared" ca="1" si="398"/>
        <v>11</v>
      </c>
      <c r="E8511" s="16">
        <f t="shared" ca="1" si="399"/>
        <v>0</v>
      </c>
    </row>
    <row r="8512" spans="1:5" x14ac:dyDescent="0.25">
      <c r="A8512" s="3">
        <f t="shared" si="397"/>
        <v>78989</v>
      </c>
      <c r="B8512" t="str">
        <f ca="1">TEXT(DATE(YEAR(Invoer!$A$5),1,1)+INT((ROWS(B$2:B8512)-1)/24),"""18""jjmmdd")</f>
        <v>18981221</v>
      </c>
      <c r="C8512" s="11" t="str">
        <f>INDEX(Data,2,2+MOD(ROWS(C$2:C8512)-1,24))</f>
        <v>15.00</v>
      </c>
      <c r="D8512" s="8">
        <f t="shared" ca="1" si="398"/>
        <v>12</v>
      </c>
      <c r="E8512" s="16">
        <f t="shared" ca="1" si="399"/>
        <v>0</v>
      </c>
    </row>
    <row r="8513" spans="1:5" x14ac:dyDescent="0.25">
      <c r="A8513" s="3">
        <f t="shared" si="397"/>
        <v>78989</v>
      </c>
      <c r="B8513" t="str">
        <f ca="1">TEXT(DATE(YEAR(Invoer!$A$5),1,1)+INT((ROWS(B$2:B8513)-1)/24),"""18""jjmmdd")</f>
        <v>18981221</v>
      </c>
      <c r="C8513" s="11" t="str">
        <f>INDEX(Data,2,2+MOD(ROWS(C$2:C8513)-1,24))</f>
        <v>16.00</v>
      </c>
      <c r="D8513" s="8">
        <f t="shared" ca="1" si="398"/>
        <v>10</v>
      </c>
      <c r="E8513" s="16">
        <f t="shared" ca="1" si="399"/>
        <v>0</v>
      </c>
    </row>
    <row r="8514" spans="1:5" x14ac:dyDescent="0.25">
      <c r="A8514" s="3">
        <f t="shared" ref="A8514:A8577" si="400">INDEX(Stations,2,1)</f>
        <v>78989</v>
      </c>
      <c r="B8514" t="str">
        <f ca="1">TEXT(DATE(YEAR(Invoer!$A$5),1,1)+INT((ROWS(B$2:B8514)-1)/24),"""18""jjmmdd")</f>
        <v>18981221</v>
      </c>
      <c r="C8514" s="11" t="str">
        <f>INDEX(Data,2,2+MOD(ROWS(C$2:C8514)-1,24))</f>
        <v>17.00</v>
      </c>
      <c r="D8514" s="8">
        <f t="shared" ref="D8514:D8577" ca="1" si="401">IF(OR(ISBLANK(VLOOKUP(DATEVALUE("37"&amp;MID($B8514,3,2)&amp;"-"&amp;MID($B8514,5,2)&amp;"-"&amp;RIGHT($B8514,2)),Data,MATCH(LEFT(VLOOKUP(D$1,Parameters,2,FALSE()),4)&amp;"*",OFFSET(Data,0,0,1),0)+MATCH($C8514,OFFSET(Data,1,0,1),0)-2,FALSE())),ISTEXT(VLOOKUP(DATEVALUE("37"&amp;MID($B8514,3,2)&amp;"-"&amp;MID($B8514,5,2)&amp;"-"&amp;RIGHT($B8514,2)),Data,MATCH(LEFT(VLOOKUP(D$1,Parameters,2,FALSE()),4)&amp;"*",OFFSET(Data,0,0,1),0)+MATCH($C8514,OFFSET(Data,1,0,1),0)-2,FALSE()))),"—",VLOOKUP(DATEVALUE("37"&amp;MID($B8514,3,2)&amp;"-"&amp;MID($B8514,5,2)&amp;"-"&amp;RIGHT($B8514,2)),Data,MATCH(LEFT(VLOOKUP(D$1,Parameters,2,FALSE()),4)&amp;"*",OFFSET(Data,0,0,1),0)+MATCH($C8514,OFFSET(Data,1,0,1),0)-2,FALSE()))</f>
        <v>9</v>
      </c>
      <c r="E8514" s="16">
        <f t="shared" ca="1" si="399"/>
        <v>0</v>
      </c>
    </row>
    <row r="8515" spans="1:5" x14ac:dyDescent="0.25">
      <c r="A8515" s="3">
        <f t="shared" si="400"/>
        <v>78989</v>
      </c>
      <c r="B8515" t="str">
        <f ca="1">TEXT(DATE(YEAR(Invoer!$A$5),1,1)+INT((ROWS(B$2:B8515)-1)/24),"""18""jjmmdd")</f>
        <v>18981221</v>
      </c>
      <c r="C8515" s="11" t="str">
        <f>INDEX(Data,2,2+MOD(ROWS(C$2:C8515)-1,24))</f>
        <v>18.00</v>
      </c>
      <c r="D8515" s="8">
        <f t="shared" ca="1" si="401"/>
        <v>8</v>
      </c>
      <c r="E8515" s="16">
        <f t="shared" ref="E8515:E8578" ca="1" si="402">IF(OR(ISBLANK(VLOOKUP(DATEVALUE("37"&amp;MID($B8515,3,2)&amp;"-"&amp;MID($B8515,5,2)&amp;"-"&amp;RIGHT($B8515,2)),Data,MATCH(LEFT(VLOOKUP(D$1,Parameters,2,FALSE()),4)&amp;"*",OFFSET(Data,0,0,1),0)+MATCH($C8515,OFFSET(Data,1,0,1),0)-2,FALSE())),ISTEXT(VLOOKUP(DATEVALUE("37"&amp;MID($B8515,3,2)&amp;"-"&amp;MID($B8515,5,2)&amp;"-"&amp;RIGHT($B8515,2)),Data,MATCH(LEFT(VLOOKUP(D$1,Parameters,2,FALSE()),4)&amp;"*",OFFSET(Data,0,0,1),0)+MATCH($C8515,OFFSET(Data,1,0,1),0)-2,FALSE()))),Lacking,IF(ISNA(MATCH(DATEVALUE("37"&amp;MID($B8515,3,2)&amp;"-"&amp;MID($B8515,5,2)&amp;"-"&amp;RIGHT($B8515,2)),OFFSET(Catalogus,0,0,,1),0)),Ok,VLOOKUP(DATEVALUE("37"&amp;MID($B8515,3,2)&amp;"-"&amp;MID($B8515,5,2)&amp;"-"&amp;RIGHT($B8515,2)),Catalogus,MATCH(LEFT(VLOOKUP(MID(E$1,2,LEN(E$1)-1),Parameters,2,FALSE()),4)&amp;"*",OFFSET(Catalogus,0,0,1),0)+MATCH($C8515,OFFSET(Catalogus,1,0,1),0)-2,FALSE())))</f>
        <v>0</v>
      </c>
    </row>
    <row r="8516" spans="1:5" x14ac:dyDescent="0.25">
      <c r="A8516" s="3">
        <f t="shared" si="400"/>
        <v>78989</v>
      </c>
      <c r="B8516" t="str">
        <f ca="1">TEXT(DATE(YEAR(Invoer!$A$5),1,1)+INT((ROWS(B$2:B8516)-1)/24),"""18""jjmmdd")</f>
        <v>18981221</v>
      </c>
      <c r="C8516" s="11" t="str">
        <f>INDEX(Data,2,2+MOD(ROWS(C$2:C8516)-1,24))</f>
        <v>19.00</v>
      </c>
      <c r="D8516" s="8">
        <f t="shared" ca="1" si="401"/>
        <v>5</v>
      </c>
      <c r="E8516" s="16">
        <f t="shared" ca="1" si="402"/>
        <v>0</v>
      </c>
    </row>
    <row r="8517" spans="1:5" x14ac:dyDescent="0.25">
      <c r="A8517" s="3">
        <f t="shared" si="400"/>
        <v>78989</v>
      </c>
      <c r="B8517" t="str">
        <f ca="1">TEXT(DATE(YEAR(Invoer!$A$5),1,1)+INT((ROWS(B$2:B8517)-1)/24),"""18""jjmmdd")</f>
        <v>18981221</v>
      </c>
      <c r="C8517" s="11" t="str">
        <f>INDEX(Data,2,2+MOD(ROWS(C$2:C8517)-1,24))</f>
        <v>20.00</v>
      </c>
      <c r="D8517" s="8">
        <f t="shared" ca="1" si="401"/>
        <v>5</v>
      </c>
      <c r="E8517" s="16">
        <f t="shared" ca="1" si="402"/>
        <v>0</v>
      </c>
    </row>
    <row r="8518" spans="1:5" x14ac:dyDescent="0.25">
      <c r="A8518" s="3">
        <f t="shared" si="400"/>
        <v>78989</v>
      </c>
      <c r="B8518" t="str">
        <f ca="1">TEXT(DATE(YEAR(Invoer!$A$5),1,1)+INT((ROWS(B$2:B8518)-1)/24),"""18""jjmmdd")</f>
        <v>18981221</v>
      </c>
      <c r="C8518" s="11" t="str">
        <f>INDEX(Data,2,2+MOD(ROWS(C$2:C8518)-1,24))</f>
        <v>21.00</v>
      </c>
      <c r="D8518" s="8">
        <f t="shared" ca="1" si="401"/>
        <v>6</v>
      </c>
      <c r="E8518" s="16">
        <f t="shared" ca="1" si="402"/>
        <v>0</v>
      </c>
    </row>
    <row r="8519" spans="1:5" x14ac:dyDescent="0.25">
      <c r="A8519" s="3">
        <f t="shared" si="400"/>
        <v>78989</v>
      </c>
      <c r="B8519" t="str">
        <f ca="1">TEXT(DATE(YEAR(Invoer!$A$5),1,1)+INT((ROWS(B$2:B8519)-1)/24),"""18""jjmmdd")</f>
        <v>18981221</v>
      </c>
      <c r="C8519" s="11" t="str">
        <f>INDEX(Data,2,2+MOD(ROWS(C$2:C8519)-1,24))</f>
        <v>22.00</v>
      </c>
      <c r="D8519" s="8">
        <f t="shared" ca="1" si="401"/>
        <v>5</v>
      </c>
      <c r="E8519" s="16">
        <f t="shared" ca="1" si="402"/>
        <v>0</v>
      </c>
    </row>
    <row r="8520" spans="1:5" x14ac:dyDescent="0.25">
      <c r="A8520" s="3">
        <f t="shared" si="400"/>
        <v>78989</v>
      </c>
      <c r="B8520" t="str">
        <f ca="1">TEXT(DATE(YEAR(Invoer!$A$5),1,1)+INT((ROWS(B$2:B8520)-1)/24),"""18""jjmmdd")</f>
        <v>18981221</v>
      </c>
      <c r="C8520" s="11" t="str">
        <f>INDEX(Data,2,2+MOD(ROWS(C$2:C8520)-1,24))</f>
        <v>23.00</v>
      </c>
      <c r="D8520" s="8">
        <f t="shared" ca="1" si="401"/>
        <v>6</v>
      </c>
      <c r="E8520" s="16">
        <f t="shared" ca="1" si="402"/>
        <v>0</v>
      </c>
    </row>
    <row r="8521" spans="1:5" x14ac:dyDescent="0.25">
      <c r="A8521" s="3">
        <f t="shared" si="400"/>
        <v>78989</v>
      </c>
      <c r="B8521" t="str">
        <f ca="1">TEXT(DATE(YEAR(Invoer!$A$5),1,1)+INT((ROWS(B$2:B8521)-1)/24),"""18""jjmmdd")</f>
        <v>18981221</v>
      </c>
      <c r="C8521" s="11" t="str">
        <f>INDEX(Data,2,2+MOD(ROWS(C$2:C8521)-1,24))</f>
        <v>24.00</v>
      </c>
      <c r="D8521" s="8">
        <f t="shared" ca="1" si="401"/>
        <v>6</v>
      </c>
      <c r="E8521" s="16">
        <f t="shared" ca="1" si="402"/>
        <v>0</v>
      </c>
    </row>
    <row r="8522" spans="1:5" x14ac:dyDescent="0.25">
      <c r="A8522" s="3">
        <f t="shared" si="400"/>
        <v>78989</v>
      </c>
      <c r="B8522" t="str">
        <f ca="1">TEXT(DATE(YEAR(Invoer!$A$5),1,1)+INT((ROWS(B$2:B8522)-1)/24),"""18""jjmmdd")</f>
        <v>18981222</v>
      </c>
      <c r="C8522" s="11" t="str">
        <f>INDEX(Data,2,2+MOD(ROWS(C$2:C8522)-1,24))</f>
        <v>01.00</v>
      </c>
      <c r="D8522" s="8">
        <f t="shared" ca="1" si="401"/>
        <v>6</v>
      </c>
      <c r="E8522" s="16">
        <f t="shared" ca="1" si="402"/>
        <v>0</v>
      </c>
    </row>
    <row r="8523" spans="1:5" x14ac:dyDescent="0.25">
      <c r="A8523" s="3">
        <f t="shared" si="400"/>
        <v>78989</v>
      </c>
      <c r="B8523" t="str">
        <f ca="1">TEXT(DATE(YEAR(Invoer!$A$5),1,1)+INT((ROWS(B$2:B8523)-1)/24),"""18""jjmmdd")</f>
        <v>18981222</v>
      </c>
      <c r="C8523" s="11" t="str">
        <f>INDEX(Data,2,2+MOD(ROWS(C$2:C8523)-1,24))</f>
        <v>02.00</v>
      </c>
      <c r="D8523" s="8">
        <f t="shared" ca="1" si="401"/>
        <v>6</v>
      </c>
      <c r="E8523" s="16">
        <f t="shared" ca="1" si="402"/>
        <v>0</v>
      </c>
    </row>
    <row r="8524" spans="1:5" x14ac:dyDescent="0.25">
      <c r="A8524" s="3">
        <f t="shared" si="400"/>
        <v>78989</v>
      </c>
      <c r="B8524" t="str">
        <f ca="1">TEXT(DATE(YEAR(Invoer!$A$5),1,1)+INT((ROWS(B$2:B8524)-1)/24),"""18""jjmmdd")</f>
        <v>18981222</v>
      </c>
      <c r="C8524" s="11" t="str">
        <f>INDEX(Data,2,2+MOD(ROWS(C$2:C8524)-1,24))</f>
        <v>03.00</v>
      </c>
      <c r="D8524" s="8">
        <f t="shared" ca="1" si="401"/>
        <v>6</v>
      </c>
      <c r="E8524" s="16">
        <f t="shared" ca="1" si="402"/>
        <v>0</v>
      </c>
    </row>
    <row r="8525" spans="1:5" x14ac:dyDescent="0.25">
      <c r="A8525" s="3">
        <f t="shared" si="400"/>
        <v>78989</v>
      </c>
      <c r="B8525" t="str">
        <f ca="1">TEXT(DATE(YEAR(Invoer!$A$5),1,1)+INT((ROWS(B$2:B8525)-1)/24),"""18""jjmmdd")</f>
        <v>18981222</v>
      </c>
      <c r="C8525" s="11" t="str">
        <f>INDEX(Data,2,2+MOD(ROWS(C$2:C8525)-1,24))</f>
        <v>04.00</v>
      </c>
      <c r="D8525" s="8">
        <f t="shared" ca="1" si="401"/>
        <v>6</v>
      </c>
      <c r="E8525" s="16">
        <f t="shared" ca="1" si="402"/>
        <v>0</v>
      </c>
    </row>
    <row r="8526" spans="1:5" x14ac:dyDescent="0.25">
      <c r="A8526" s="3">
        <f t="shared" si="400"/>
        <v>78989</v>
      </c>
      <c r="B8526" t="str">
        <f ca="1">TEXT(DATE(YEAR(Invoer!$A$5),1,1)+INT((ROWS(B$2:B8526)-1)/24),"""18""jjmmdd")</f>
        <v>18981222</v>
      </c>
      <c r="C8526" s="11" t="str">
        <f>INDEX(Data,2,2+MOD(ROWS(C$2:C8526)-1,24))</f>
        <v>05.00</v>
      </c>
      <c r="D8526" s="8">
        <f t="shared" ca="1" si="401"/>
        <v>6</v>
      </c>
      <c r="E8526" s="16">
        <f t="shared" ca="1" si="402"/>
        <v>0</v>
      </c>
    </row>
    <row r="8527" spans="1:5" x14ac:dyDescent="0.25">
      <c r="A8527" s="3">
        <f t="shared" si="400"/>
        <v>78989</v>
      </c>
      <c r="B8527" t="str">
        <f ca="1">TEXT(DATE(YEAR(Invoer!$A$5),1,1)+INT((ROWS(B$2:B8527)-1)/24),"""18""jjmmdd")</f>
        <v>18981222</v>
      </c>
      <c r="C8527" s="11" t="str">
        <f>INDEX(Data,2,2+MOD(ROWS(C$2:C8527)-1,24))</f>
        <v>06.00</v>
      </c>
      <c r="D8527" s="8">
        <f t="shared" ca="1" si="401"/>
        <v>6</v>
      </c>
      <c r="E8527" s="16">
        <f t="shared" ca="1" si="402"/>
        <v>0</v>
      </c>
    </row>
    <row r="8528" spans="1:5" x14ac:dyDescent="0.25">
      <c r="A8528" s="3">
        <f t="shared" si="400"/>
        <v>78989</v>
      </c>
      <c r="B8528" t="str">
        <f ca="1">TEXT(DATE(YEAR(Invoer!$A$5),1,1)+INT((ROWS(B$2:B8528)-1)/24),"""18""jjmmdd")</f>
        <v>18981222</v>
      </c>
      <c r="C8528" s="11" t="str">
        <f>INDEX(Data,2,2+MOD(ROWS(C$2:C8528)-1,24))</f>
        <v>07.00</v>
      </c>
      <c r="D8528" s="8">
        <f t="shared" ca="1" si="401"/>
        <v>6</v>
      </c>
      <c r="E8528" s="16">
        <f t="shared" ca="1" si="402"/>
        <v>0</v>
      </c>
    </row>
    <row r="8529" spans="1:5" x14ac:dyDescent="0.25">
      <c r="A8529" s="3">
        <f t="shared" si="400"/>
        <v>78989</v>
      </c>
      <c r="B8529" t="str">
        <f ca="1">TEXT(DATE(YEAR(Invoer!$A$5),1,1)+INT((ROWS(B$2:B8529)-1)/24),"""18""jjmmdd")</f>
        <v>18981222</v>
      </c>
      <c r="C8529" s="11" t="str">
        <f>INDEX(Data,2,2+MOD(ROWS(C$2:C8529)-1,24))</f>
        <v>08.00</v>
      </c>
      <c r="D8529" s="8">
        <f t="shared" ca="1" si="401"/>
        <v>7</v>
      </c>
      <c r="E8529" s="16">
        <f t="shared" ca="1" si="402"/>
        <v>0</v>
      </c>
    </row>
    <row r="8530" spans="1:5" x14ac:dyDescent="0.25">
      <c r="A8530" s="3">
        <f t="shared" si="400"/>
        <v>78989</v>
      </c>
      <c r="B8530" t="str">
        <f ca="1">TEXT(DATE(YEAR(Invoer!$A$5),1,1)+INT((ROWS(B$2:B8530)-1)/24),"""18""jjmmdd")</f>
        <v>18981222</v>
      </c>
      <c r="C8530" s="11" t="str">
        <f>INDEX(Data,2,2+MOD(ROWS(C$2:C8530)-1,24))</f>
        <v>09.00</v>
      </c>
      <c r="D8530" s="8">
        <f t="shared" ca="1" si="401"/>
        <v>10</v>
      </c>
      <c r="E8530" s="16">
        <f t="shared" ca="1" si="402"/>
        <v>0</v>
      </c>
    </row>
    <row r="8531" spans="1:5" x14ac:dyDescent="0.25">
      <c r="A8531" s="3">
        <f t="shared" si="400"/>
        <v>78989</v>
      </c>
      <c r="B8531" t="str">
        <f ca="1">TEXT(DATE(YEAR(Invoer!$A$5),1,1)+INT((ROWS(B$2:B8531)-1)/24),"""18""jjmmdd")</f>
        <v>18981222</v>
      </c>
      <c r="C8531" s="11" t="str">
        <f>INDEX(Data,2,2+MOD(ROWS(C$2:C8531)-1,24))</f>
        <v>10.00</v>
      </c>
      <c r="D8531" s="8">
        <f t="shared" ca="1" si="401"/>
        <v>12</v>
      </c>
      <c r="E8531" s="16">
        <f t="shared" ca="1" si="402"/>
        <v>0</v>
      </c>
    </row>
    <row r="8532" spans="1:5" x14ac:dyDescent="0.25">
      <c r="A8532" s="3">
        <f t="shared" si="400"/>
        <v>78989</v>
      </c>
      <c r="B8532" t="str">
        <f ca="1">TEXT(DATE(YEAR(Invoer!$A$5),1,1)+INT((ROWS(B$2:B8532)-1)/24),"""18""jjmmdd")</f>
        <v>18981222</v>
      </c>
      <c r="C8532" s="11" t="str">
        <f>INDEX(Data,2,2+MOD(ROWS(C$2:C8532)-1,24))</f>
        <v>11.00</v>
      </c>
      <c r="D8532" s="8">
        <f t="shared" ca="1" si="401"/>
        <v>12</v>
      </c>
      <c r="E8532" s="16">
        <f t="shared" ca="1" si="402"/>
        <v>0</v>
      </c>
    </row>
    <row r="8533" spans="1:5" x14ac:dyDescent="0.25">
      <c r="A8533" s="3">
        <f t="shared" si="400"/>
        <v>78989</v>
      </c>
      <c r="B8533" t="str">
        <f ca="1">TEXT(DATE(YEAR(Invoer!$A$5),1,1)+INT((ROWS(B$2:B8533)-1)/24),"""18""jjmmdd")</f>
        <v>18981222</v>
      </c>
      <c r="C8533" s="11" t="str">
        <f>INDEX(Data,2,2+MOD(ROWS(C$2:C8533)-1,24))</f>
        <v>12.00</v>
      </c>
      <c r="D8533" s="8">
        <f t="shared" ca="1" si="401"/>
        <v>12</v>
      </c>
      <c r="E8533" s="16">
        <f t="shared" ca="1" si="402"/>
        <v>0</v>
      </c>
    </row>
    <row r="8534" spans="1:5" x14ac:dyDescent="0.25">
      <c r="A8534" s="3">
        <f t="shared" si="400"/>
        <v>78989</v>
      </c>
      <c r="B8534" t="str">
        <f ca="1">TEXT(DATE(YEAR(Invoer!$A$5),1,1)+INT((ROWS(B$2:B8534)-1)/24),"""18""jjmmdd")</f>
        <v>18981222</v>
      </c>
      <c r="C8534" s="11" t="str">
        <f>INDEX(Data,2,2+MOD(ROWS(C$2:C8534)-1,24))</f>
        <v>13.00</v>
      </c>
      <c r="D8534" s="8">
        <f t="shared" ca="1" si="401"/>
        <v>12</v>
      </c>
      <c r="E8534" s="16">
        <f t="shared" ca="1" si="402"/>
        <v>0</v>
      </c>
    </row>
    <row r="8535" spans="1:5" x14ac:dyDescent="0.25">
      <c r="A8535" s="3">
        <f t="shared" si="400"/>
        <v>78989</v>
      </c>
      <c r="B8535" t="str">
        <f ca="1">TEXT(DATE(YEAR(Invoer!$A$5),1,1)+INT((ROWS(B$2:B8535)-1)/24),"""18""jjmmdd")</f>
        <v>18981222</v>
      </c>
      <c r="C8535" s="11" t="str">
        <f>INDEX(Data,2,2+MOD(ROWS(C$2:C8535)-1,24))</f>
        <v>14.00</v>
      </c>
      <c r="D8535" s="8">
        <f t="shared" ca="1" si="401"/>
        <v>10</v>
      </c>
      <c r="E8535" s="16">
        <f t="shared" ca="1" si="402"/>
        <v>0</v>
      </c>
    </row>
    <row r="8536" spans="1:5" x14ac:dyDescent="0.25">
      <c r="A8536" s="3">
        <f t="shared" si="400"/>
        <v>78989</v>
      </c>
      <c r="B8536" t="str">
        <f ca="1">TEXT(DATE(YEAR(Invoer!$A$5),1,1)+INT((ROWS(B$2:B8536)-1)/24),"""18""jjmmdd")</f>
        <v>18981222</v>
      </c>
      <c r="C8536" s="11" t="str">
        <f>INDEX(Data,2,2+MOD(ROWS(C$2:C8536)-1,24))</f>
        <v>15.00</v>
      </c>
      <c r="D8536" s="8">
        <f t="shared" ca="1" si="401"/>
        <v>11</v>
      </c>
      <c r="E8536" s="16">
        <f t="shared" ca="1" si="402"/>
        <v>0</v>
      </c>
    </row>
    <row r="8537" spans="1:5" x14ac:dyDescent="0.25">
      <c r="A8537" s="3">
        <f t="shared" si="400"/>
        <v>78989</v>
      </c>
      <c r="B8537" t="str">
        <f ca="1">TEXT(DATE(YEAR(Invoer!$A$5),1,1)+INT((ROWS(B$2:B8537)-1)/24),"""18""jjmmdd")</f>
        <v>18981222</v>
      </c>
      <c r="C8537" s="11" t="str">
        <f>INDEX(Data,2,2+MOD(ROWS(C$2:C8537)-1,24))</f>
        <v>16.00</v>
      </c>
      <c r="D8537" s="8">
        <f t="shared" ca="1" si="401"/>
        <v>14</v>
      </c>
      <c r="E8537" s="16">
        <f t="shared" ca="1" si="402"/>
        <v>0</v>
      </c>
    </row>
    <row r="8538" spans="1:5" x14ac:dyDescent="0.25">
      <c r="A8538" s="3">
        <f t="shared" si="400"/>
        <v>78989</v>
      </c>
      <c r="B8538" t="str">
        <f ca="1">TEXT(DATE(YEAR(Invoer!$A$5),1,1)+INT((ROWS(B$2:B8538)-1)/24),"""18""jjmmdd")</f>
        <v>18981222</v>
      </c>
      <c r="C8538" s="11" t="str">
        <f>INDEX(Data,2,2+MOD(ROWS(C$2:C8538)-1,24))</f>
        <v>17.00</v>
      </c>
      <c r="D8538" s="8">
        <f t="shared" ca="1" si="401"/>
        <v>12</v>
      </c>
      <c r="E8538" s="16">
        <f t="shared" ca="1" si="402"/>
        <v>0</v>
      </c>
    </row>
    <row r="8539" spans="1:5" x14ac:dyDescent="0.25">
      <c r="A8539" s="3">
        <f t="shared" si="400"/>
        <v>78989</v>
      </c>
      <c r="B8539" t="str">
        <f ca="1">TEXT(DATE(YEAR(Invoer!$A$5),1,1)+INT((ROWS(B$2:B8539)-1)/24),"""18""jjmmdd")</f>
        <v>18981222</v>
      </c>
      <c r="C8539" s="11" t="str">
        <f>INDEX(Data,2,2+MOD(ROWS(C$2:C8539)-1,24))</f>
        <v>18.00</v>
      </c>
      <c r="D8539" s="8">
        <f t="shared" ca="1" si="401"/>
        <v>10</v>
      </c>
      <c r="E8539" s="16">
        <f t="shared" ca="1" si="402"/>
        <v>0</v>
      </c>
    </row>
    <row r="8540" spans="1:5" x14ac:dyDescent="0.25">
      <c r="A8540" s="3">
        <f t="shared" si="400"/>
        <v>78989</v>
      </c>
      <c r="B8540" t="str">
        <f ca="1">TEXT(DATE(YEAR(Invoer!$A$5),1,1)+INT((ROWS(B$2:B8540)-1)/24),"""18""jjmmdd")</f>
        <v>18981222</v>
      </c>
      <c r="C8540" s="11" t="str">
        <f>INDEX(Data,2,2+MOD(ROWS(C$2:C8540)-1,24))</f>
        <v>19.00</v>
      </c>
      <c r="D8540" s="8">
        <f t="shared" ca="1" si="401"/>
        <v>8</v>
      </c>
      <c r="E8540" s="16">
        <f t="shared" ca="1" si="402"/>
        <v>0</v>
      </c>
    </row>
    <row r="8541" spans="1:5" x14ac:dyDescent="0.25">
      <c r="A8541" s="3">
        <f t="shared" si="400"/>
        <v>78989</v>
      </c>
      <c r="B8541" t="str">
        <f ca="1">TEXT(DATE(YEAR(Invoer!$A$5),1,1)+INT((ROWS(B$2:B8541)-1)/24),"""18""jjmmdd")</f>
        <v>18981222</v>
      </c>
      <c r="C8541" s="11" t="str">
        <f>INDEX(Data,2,2+MOD(ROWS(C$2:C8541)-1,24))</f>
        <v>20.00</v>
      </c>
      <c r="D8541" s="8">
        <f t="shared" ca="1" si="401"/>
        <v>10</v>
      </c>
      <c r="E8541" s="16">
        <f t="shared" ca="1" si="402"/>
        <v>0</v>
      </c>
    </row>
    <row r="8542" spans="1:5" x14ac:dyDescent="0.25">
      <c r="A8542" s="3">
        <f t="shared" si="400"/>
        <v>78989</v>
      </c>
      <c r="B8542" t="str">
        <f ca="1">TEXT(DATE(YEAR(Invoer!$A$5),1,1)+INT((ROWS(B$2:B8542)-1)/24),"""18""jjmmdd")</f>
        <v>18981222</v>
      </c>
      <c r="C8542" s="11" t="str">
        <f>INDEX(Data,2,2+MOD(ROWS(C$2:C8542)-1,24))</f>
        <v>21.00</v>
      </c>
      <c r="D8542" s="8">
        <f t="shared" ca="1" si="401"/>
        <v>9</v>
      </c>
      <c r="E8542" s="16">
        <f t="shared" ca="1" si="402"/>
        <v>0</v>
      </c>
    </row>
    <row r="8543" spans="1:5" x14ac:dyDescent="0.25">
      <c r="A8543" s="3">
        <f t="shared" si="400"/>
        <v>78989</v>
      </c>
      <c r="B8543" t="str">
        <f ca="1">TEXT(DATE(YEAR(Invoer!$A$5),1,1)+INT((ROWS(B$2:B8543)-1)/24),"""18""jjmmdd")</f>
        <v>18981222</v>
      </c>
      <c r="C8543" s="11" t="str">
        <f>INDEX(Data,2,2+MOD(ROWS(C$2:C8543)-1,24))</f>
        <v>22.00</v>
      </c>
      <c r="D8543" s="8">
        <f t="shared" ca="1" si="401"/>
        <v>8</v>
      </c>
      <c r="E8543" s="16">
        <f t="shared" ca="1" si="402"/>
        <v>0</v>
      </c>
    </row>
    <row r="8544" spans="1:5" x14ac:dyDescent="0.25">
      <c r="A8544" s="3">
        <f t="shared" si="400"/>
        <v>78989</v>
      </c>
      <c r="B8544" t="str">
        <f ca="1">TEXT(DATE(YEAR(Invoer!$A$5),1,1)+INT((ROWS(B$2:B8544)-1)/24),"""18""jjmmdd")</f>
        <v>18981222</v>
      </c>
      <c r="C8544" s="11" t="str">
        <f>INDEX(Data,2,2+MOD(ROWS(C$2:C8544)-1,24))</f>
        <v>23.00</v>
      </c>
      <c r="D8544" s="8">
        <f t="shared" ca="1" si="401"/>
        <v>7</v>
      </c>
      <c r="E8544" s="16">
        <f t="shared" ca="1" si="402"/>
        <v>0</v>
      </c>
    </row>
    <row r="8545" spans="1:5" x14ac:dyDescent="0.25">
      <c r="A8545" s="3">
        <f t="shared" si="400"/>
        <v>78989</v>
      </c>
      <c r="B8545" t="str">
        <f ca="1">TEXT(DATE(YEAR(Invoer!$A$5),1,1)+INT((ROWS(B$2:B8545)-1)/24),"""18""jjmmdd")</f>
        <v>18981222</v>
      </c>
      <c r="C8545" s="11" t="str">
        <f>INDEX(Data,2,2+MOD(ROWS(C$2:C8545)-1,24))</f>
        <v>24.00</v>
      </c>
      <c r="D8545" s="8">
        <f t="shared" ca="1" si="401"/>
        <v>8</v>
      </c>
      <c r="E8545" s="16">
        <f t="shared" ca="1" si="402"/>
        <v>0</v>
      </c>
    </row>
    <row r="8546" spans="1:5" x14ac:dyDescent="0.25">
      <c r="A8546" s="3">
        <f t="shared" si="400"/>
        <v>78989</v>
      </c>
      <c r="B8546" t="str">
        <f ca="1">TEXT(DATE(YEAR(Invoer!$A$5),1,1)+INT((ROWS(B$2:B8546)-1)/24),"""18""jjmmdd")</f>
        <v>18981223</v>
      </c>
      <c r="C8546" s="11" t="str">
        <f>INDEX(Data,2,2+MOD(ROWS(C$2:C8546)-1,24))</f>
        <v>01.00</v>
      </c>
      <c r="D8546" s="8">
        <f t="shared" ca="1" si="401"/>
        <v>8</v>
      </c>
      <c r="E8546" s="16">
        <f t="shared" ca="1" si="402"/>
        <v>0</v>
      </c>
    </row>
    <row r="8547" spans="1:5" x14ac:dyDescent="0.25">
      <c r="A8547" s="3">
        <f t="shared" si="400"/>
        <v>78989</v>
      </c>
      <c r="B8547" t="str">
        <f ca="1">TEXT(DATE(YEAR(Invoer!$A$5),1,1)+INT((ROWS(B$2:B8547)-1)/24),"""18""jjmmdd")</f>
        <v>18981223</v>
      </c>
      <c r="C8547" s="11" t="str">
        <f>INDEX(Data,2,2+MOD(ROWS(C$2:C8547)-1,24))</f>
        <v>02.00</v>
      </c>
      <c r="D8547" s="8">
        <f t="shared" ca="1" si="401"/>
        <v>7</v>
      </c>
      <c r="E8547" s="16">
        <f t="shared" ca="1" si="402"/>
        <v>0</v>
      </c>
    </row>
    <row r="8548" spans="1:5" x14ac:dyDescent="0.25">
      <c r="A8548" s="3">
        <f t="shared" si="400"/>
        <v>78989</v>
      </c>
      <c r="B8548" t="str">
        <f ca="1">TEXT(DATE(YEAR(Invoer!$A$5),1,1)+INT((ROWS(B$2:B8548)-1)/24),"""18""jjmmdd")</f>
        <v>18981223</v>
      </c>
      <c r="C8548" s="11" t="str">
        <f>INDEX(Data,2,2+MOD(ROWS(C$2:C8548)-1,24))</f>
        <v>03.00</v>
      </c>
      <c r="D8548" s="8">
        <f t="shared" ca="1" si="401"/>
        <v>7</v>
      </c>
      <c r="E8548" s="16">
        <f t="shared" ca="1" si="402"/>
        <v>0</v>
      </c>
    </row>
    <row r="8549" spans="1:5" x14ac:dyDescent="0.25">
      <c r="A8549" s="3">
        <f t="shared" si="400"/>
        <v>78989</v>
      </c>
      <c r="B8549" t="str">
        <f ca="1">TEXT(DATE(YEAR(Invoer!$A$5),1,1)+INT((ROWS(B$2:B8549)-1)/24),"""18""jjmmdd")</f>
        <v>18981223</v>
      </c>
      <c r="C8549" s="11" t="str">
        <f>INDEX(Data,2,2+MOD(ROWS(C$2:C8549)-1,24))</f>
        <v>04.00</v>
      </c>
      <c r="D8549" s="8">
        <f t="shared" ca="1" si="401"/>
        <v>7</v>
      </c>
      <c r="E8549" s="16">
        <f t="shared" ca="1" si="402"/>
        <v>0</v>
      </c>
    </row>
    <row r="8550" spans="1:5" x14ac:dyDescent="0.25">
      <c r="A8550" s="3">
        <f t="shared" si="400"/>
        <v>78989</v>
      </c>
      <c r="B8550" t="str">
        <f ca="1">TEXT(DATE(YEAR(Invoer!$A$5),1,1)+INT((ROWS(B$2:B8550)-1)/24),"""18""jjmmdd")</f>
        <v>18981223</v>
      </c>
      <c r="C8550" s="11" t="str">
        <f>INDEX(Data,2,2+MOD(ROWS(C$2:C8550)-1,24))</f>
        <v>05.00</v>
      </c>
      <c r="D8550" s="8">
        <f t="shared" ca="1" si="401"/>
        <v>7</v>
      </c>
      <c r="E8550" s="16">
        <f t="shared" ca="1" si="402"/>
        <v>0</v>
      </c>
    </row>
    <row r="8551" spans="1:5" x14ac:dyDescent="0.25">
      <c r="A8551" s="3">
        <f t="shared" si="400"/>
        <v>78989</v>
      </c>
      <c r="B8551" t="str">
        <f ca="1">TEXT(DATE(YEAR(Invoer!$A$5),1,1)+INT((ROWS(B$2:B8551)-1)/24),"""18""jjmmdd")</f>
        <v>18981223</v>
      </c>
      <c r="C8551" s="11" t="str">
        <f>INDEX(Data,2,2+MOD(ROWS(C$2:C8551)-1,24))</f>
        <v>06.00</v>
      </c>
      <c r="D8551" s="8">
        <f t="shared" ca="1" si="401"/>
        <v>6</v>
      </c>
      <c r="E8551" s="16">
        <f t="shared" ca="1" si="402"/>
        <v>0</v>
      </c>
    </row>
    <row r="8552" spans="1:5" x14ac:dyDescent="0.25">
      <c r="A8552" s="3">
        <f t="shared" si="400"/>
        <v>78989</v>
      </c>
      <c r="B8552" t="str">
        <f ca="1">TEXT(DATE(YEAR(Invoer!$A$5),1,1)+INT((ROWS(B$2:B8552)-1)/24),"""18""jjmmdd")</f>
        <v>18981223</v>
      </c>
      <c r="C8552" s="11" t="str">
        <f>INDEX(Data,2,2+MOD(ROWS(C$2:C8552)-1,24))</f>
        <v>07.00</v>
      </c>
      <c r="D8552" s="8">
        <f t="shared" ca="1" si="401"/>
        <v>8</v>
      </c>
      <c r="E8552" s="16">
        <f t="shared" ca="1" si="402"/>
        <v>0</v>
      </c>
    </row>
    <row r="8553" spans="1:5" x14ac:dyDescent="0.25">
      <c r="A8553" s="3">
        <f t="shared" si="400"/>
        <v>78989</v>
      </c>
      <c r="B8553" t="str">
        <f ca="1">TEXT(DATE(YEAR(Invoer!$A$5),1,1)+INT((ROWS(B$2:B8553)-1)/24),"""18""jjmmdd")</f>
        <v>18981223</v>
      </c>
      <c r="C8553" s="11" t="str">
        <f>INDEX(Data,2,2+MOD(ROWS(C$2:C8553)-1,24))</f>
        <v>08.00</v>
      </c>
      <c r="D8553" s="8">
        <f t="shared" ca="1" si="401"/>
        <v>7</v>
      </c>
      <c r="E8553" s="16">
        <f t="shared" ca="1" si="402"/>
        <v>0</v>
      </c>
    </row>
    <row r="8554" spans="1:5" x14ac:dyDescent="0.25">
      <c r="A8554" s="3">
        <f t="shared" si="400"/>
        <v>78989</v>
      </c>
      <c r="B8554" t="str">
        <f ca="1">TEXT(DATE(YEAR(Invoer!$A$5),1,1)+INT((ROWS(B$2:B8554)-1)/24),"""18""jjmmdd")</f>
        <v>18981223</v>
      </c>
      <c r="C8554" s="11" t="str">
        <f>INDEX(Data,2,2+MOD(ROWS(C$2:C8554)-1,24))</f>
        <v>09.00</v>
      </c>
      <c r="D8554" s="8">
        <f t="shared" ca="1" si="401"/>
        <v>11</v>
      </c>
      <c r="E8554" s="16">
        <f t="shared" ca="1" si="402"/>
        <v>0</v>
      </c>
    </row>
    <row r="8555" spans="1:5" x14ac:dyDescent="0.25">
      <c r="A8555" s="3">
        <f t="shared" si="400"/>
        <v>78989</v>
      </c>
      <c r="B8555" t="str">
        <f ca="1">TEXT(DATE(YEAR(Invoer!$A$5),1,1)+INT((ROWS(B$2:B8555)-1)/24),"""18""jjmmdd")</f>
        <v>18981223</v>
      </c>
      <c r="C8555" s="11" t="str">
        <f>INDEX(Data,2,2+MOD(ROWS(C$2:C8555)-1,24))</f>
        <v>10.00</v>
      </c>
      <c r="D8555" s="8">
        <f t="shared" ca="1" si="401"/>
        <v>13</v>
      </c>
      <c r="E8555" s="16">
        <f t="shared" ca="1" si="402"/>
        <v>0</v>
      </c>
    </row>
    <row r="8556" spans="1:5" x14ac:dyDescent="0.25">
      <c r="A8556" s="3">
        <f t="shared" si="400"/>
        <v>78989</v>
      </c>
      <c r="B8556" t="str">
        <f ca="1">TEXT(DATE(YEAR(Invoer!$A$5),1,1)+INT((ROWS(B$2:B8556)-1)/24),"""18""jjmmdd")</f>
        <v>18981223</v>
      </c>
      <c r="C8556" s="11" t="str">
        <f>INDEX(Data,2,2+MOD(ROWS(C$2:C8556)-1,24))</f>
        <v>11.00</v>
      </c>
      <c r="D8556" s="8">
        <f t="shared" ca="1" si="401"/>
        <v>14</v>
      </c>
      <c r="E8556" s="16">
        <f t="shared" ca="1" si="402"/>
        <v>0</v>
      </c>
    </row>
    <row r="8557" spans="1:5" x14ac:dyDescent="0.25">
      <c r="A8557" s="3">
        <f t="shared" si="400"/>
        <v>78989</v>
      </c>
      <c r="B8557" t="str">
        <f ca="1">TEXT(DATE(YEAR(Invoer!$A$5),1,1)+INT((ROWS(B$2:B8557)-1)/24),"""18""jjmmdd")</f>
        <v>18981223</v>
      </c>
      <c r="C8557" s="11" t="str">
        <f>INDEX(Data,2,2+MOD(ROWS(C$2:C8557)-1,24))</f>
        <v>12.00</v>
      </c>
      <c r="D8557" s="8">
        <f t="shared" ca="1" si="401"/>
        <v>13</v>
      </c>
      <c r="E8557" s="16">
        <f t="shared" ca="1" si="402"/>
        <v>0</v>
      </c>
    </row>
    <row r="8558" spans="1:5" x14ac:dyDescent="0.25">
      <c r="A8558" s="3">
        <f t="shared" si="400"/>
        <v>78989</v>
      </c>
      <c r="B8558" t="str">
        <f ca="1">TEXT(DATE(YEAR(Invoer!$A$5),1,1)+INT((ROWS(B$2:B8558)-1)/24),"""18""jjmmdd")</f>
        <v>18981223</v>
      </c>
      <c r="C8558" s="11" t="str">
        <f>INDEX(Data,2,2+MOD(ROWS(C$2:C8558)-1,24))</f>
        <v>13.00</v>
      </c>
      <c r="D8558" s="8">
        <f t="shared" ca="1" si="401"/>
        <v>10</v>
      </c>
      <c r="E8558" s="16">
        <f t="shared" ca="1" si="402"/>
        <v>0</v>
      </c>
    </row>
    <row r="8559" spans="1:5" x14ac:dyDescent="0.25">
      <c r="A8559" s="3">
        <f t="shared" si="400"/>
        <v>78989</v>
      </c>
      <c r="B8559" t="str">
        <f ca="1">TEXT(DATE(YEAR(Invoer!$A$5),1,1)+INT((ROWS(B$2:B8559)-1)/24),"""18""jjmmdd")</f>
        <v>18981223</v>
      </c>
      <c r="C8559" s="11" t="str">
        <f>INDEX(Data,2,2+MOD(ROWS(C$2:C8559)-1,24))</f>
        <v>14.00</v>
      </c>
      <c r="D8559" s="8">
        <f t="shared" ca="1" si="401"/>
        <v>10</v>
      </c>
      <c r="E8559" s="16">
        <f t="shared" ca="1" si="402"/>
        <v>0</v>
      </c>
    </row>
    <row r="8560" spans="1:5" x14ac:dyDescent="0.25">
      <c r="A8560" s="3">
        <f t="shared" si="400"/>
        <v>78989</v>
      </c>
      <c r="B8560" t="str">
        <f ca="1">TEXT(DATE(YEAR(Invoer!$A$5),1,1)+INT((ROWS(B$2:B8560)-1)/24),"""18""jjmmdd")</f>
        <v>18981223</v>
      </c>
      <c r="C8560" s="11" t="str">
        <f>INDEX(Data,2,2+MOD(ROWS(C$2:C8560)-1,24))</f>
        <v>15.00</v>
      </c>
      <c r="D8560" s="8">
        <f t="shared" ca="1" si="401"/>
        <v>12</v>
      </c>
      <c r="E8560" s="16">
        <f t="shared" ca="1" si="402"/>
        <v>0</v>
      </c>
    </row>
    <row r="8561" spans="1:5" x14ac:dyDescent="0.25">
      <c r="A8561" s="3">
        <f t="shared" si="400"/>
        <v>78989</v>
      </c>
      <c r="B8561" t="str">
        <f ca="1">TEXT(DATE(YEAR(Invoer!$A$5),1,1)+INT((ROWS(B$2:B8561)-1)/24),"""18""jjmmdd")</f>
        <v>18981223</v>
      </c>
      <c r="C8561" s="11" t="str">
        <f>INDEX(Data,2,2+MOD(ROWS(C$2:C8561)-1,24))</f>
        <v>16.00</v>
      </c>
      <c r="D8561" s="8">
        <f t="shared" ca="1" si="401"/>
        <v>11</v>
      </c>
      <c r="E8561" s="16">
        <f t="shared" ca="1" si="402"/>
        <v>0</v>
      </c>
    </row>
    <row r="8562" spans="1:5" x14ac:dyDescent="0.25">
      <c r="A8562" s="3">
        <f t="shared" si="400"/>
        <v>78989</v>
      </c>
      <c r="B8562" t="str">
        <f ca="1">TEXT(DATE(YEAR(Invoer!$A$5),1,1)+INT((ROWS(B$2:B8562)-1)/24),"""18""jjmmdd")</f>
        <v>18981223</v>
      </c>
      <c r="C8562" s="11" t="str">
        <f>INDEX(Data,2,2+MOD(ROWS(C$2:C8562)-1,24))</f>
        <v>17.00</v>
      </c>
      <c r="D8562" s="8">
        <f t="shared" ca="1" si="401"/>
        <v>13</v>
      </c>
      <c r="E8562" s="16">
        <f t="shared" ca="1" si="402"/>
        <v>0</v>
      </c>
    </row>
    <row r="8563" spans="1:5" x14ac:dyDescent="0.25">
      <c r="A8563" s="3">
        <f t="shared" si="400"/>
        <v>78989</v>
      </c>
      <c r="B8563" t="str">
        <f ca="1">TEXT(DATE(YEAR(Invoer!$A$5),1,1)+INT((ROWS(B$2:B8563)-1)/24),"""18""jjmmdd")</f>
        <v>18981223</v>
      </c>
      <c r="C8563" s="11" t="str">
        <f>INDEX(Data,2,2+MOD(ROWS(C$2:C8563)-1,24))</f>
        <v>18.00</v>
      </c>
      <c r="D8563" s="8">
        <f t="shared" ca="1" si="401"/>
        <v>11</v>
      </c>
      <c r="E8563" s="16">
        <f t="shared" ca="1" si="402"/>
        <v>0</v>
      </c>
    </row>
    <row r="8564" spans="1:5" x14ac:dyDescent="0.25">
      <c r="A8564" s="3">
        <f t="shared" si="400"/>
        <v>78989</v>
      </c>
      <c r="B8564" t="str">
        <f ca="1">TEXT(DATE(YEAR(Invoer!$A$5),1,1)+INT((ROWS(B$2:B8564)-1)/24),"""18""jjmmdd")</f>
        <v>18981223</v>
      </c>
      <c r="C8564" s="11" t="str">
        <f>INDEX(Data,2,2+MOD(ROWS(C$2:C8564)-1,24))</f>
        <v>19.00</v>
      </c>
      <c r="D8564" s="8">
        <f t="shared" ca="1" si="401"/>
        <v>9</v>
      </c>
      <c r="E8564" s="16">
        <f t="shared" ca="1" si="402"/>
        <v>0</v>
      </c>
    </row>
    <row r="8565" spans="1:5" x14ac:dyDescent="0.25">
      <c r="A8565" s="3">
        <f t="shared" si="400"/>
        <v>78989</v>
      </c>
      <c r="B8565" t="str">
        <f ca="1">TEXT(DATE(YEAR(Invoer!$A$5),1,1)+INT((ROWS(B$2:B8565)-1)/24),"""18""jjmmdd")</f>
        <v>18981223</v>
      </c>
      <c r="C8565" s="11" t="str">
        <f>INDEX(Data,2,2+MOD(ROWS(C$2:C8565)-1,24))</f>
        <v>20.00</v>
      </c>
      <c r="D8565" s="8">
        <f t="shared" ca="1" si="401"/>
        <v>9</v>
      </c>
      <c r="E8565" s="16">
        <f t="shared" ca="1" si="402"/>
        <v>0</v>
      </c>
    </row>
    <row r="8566" spans="1:5" x14ac:dyDescent="0.25">
      <c r="A8566" s="3">
        <f t="shared" si="400"/>
        <v>78989</v>
      </c>
      <c r="B8566" t="str">
        <f ca="1">TEXT(DATE(YEAR(Invoer!$A$5),1,1)+INT((ROWS(B$2:B8566)-1)/24),"""18""jjmmdd")</f>
        <v>18981223</v>
      </c>
      <c r="C8566" s="11" t="str">
        <f>INDEX(Data,2,2+MOD(ROWS(C$2:C8566)-1,24))</f>
        <v>21.00</v>
      </c>
      <c r="D8566" s="8">
        <f t="shared" ca="1" si="401"/>
        <v>10</v>
      </c>
      <c r="E8566" s="16">
        <f t="shared" ca="1" si="402"/>
        <v>0</v>
      </c>
    </row>
    <row r="8567" spans="1:5" x14ac:dyDescent="0.25">
      <c r="A8567" s="3">
        <f t="shared" si="400"/>
        <v>78989</v>
      </c>
      <c r="B8567" t="str">
        <f ca="1">TEXT(DATE(YEAR(Invoer!$A$5),1,1)+INT((ROWS(B$2:B8567)-1)/24),"""18""jjmmdd")</f>
        <v>18981223</v>
      </c>
      <c r="C8567" s="11" t="str">
        <f>INDEX(Data,2,2+MOD(ROWS(C$2:C8567)-1,24))</f>
        <v>22.00</v>
      </c>
      <c r="D8567" s="8">
        <f t="shared" ca="1" si="401"/>
        <v>8</v>
      </c>
      <c r="E8567" s="16">
        <f t="shared" ca="1" si="402"/>
        <v>0</v>
      </c>
    </row>
    <row r="8568" spans="1:5" x14ac:dyDescent="0.25">
      <c r="A8568" s="3">
        <f t="shared" si="400"/>
        <v>78989</v>
      </c>
      <c r="B8568" t="str">
        <f ca="1">TEXT(DATE(YEAR(Invoer!$A$5),1,1)+INT((ROWS(B$2:B8568)-1)/24),"""18""jjmmdd")</f>
        <v>18981223</v>
      </c>
      <c r="C8568" s="11" t="str">
        <f>INDEX(Data,2,2+MOD(ROWS(C$2:C8568)-1,24))</f>
        <v>23.00</v>
      </c>
      <c r="D8568" s="8">
        <f t="shared" ca="1" si="401"/>
        <v>7</v>
      </c>
      <c r="E8568" s="16">
        <f t="shared" ca="1" si="402"/>
        <v>0</v>
      </c>
    </row>
    <row r="8569" spans="1:5" x14ac:dyDescent="0.25">
      <c r="A8569" s="3">
        <f t="shared" si="400"/>
        <v>78989</v>
      </c>
      <c r="B8569" t="str">
        <f ca="1">TEXT(DATE(YEAR(Invoer!$A$5),1,1)+INT((ROWS(B$2:B8569)-1)/24),"""18""jjmmdd")</f>
        <v>18981223</v>
      </c>
      <c r="C8569" s="11" t="str">
        <f>INDEX(Data,2,2+MOD(ROWS(C$2:C8569)-1,24))</f>
        <v>24.00</v>
      </c>
      <c r="D8569" s="8">
        <f t="shared" ca="1" si="401"/>
        <v>7</v>
      </c>
      <c r="E8569" s="16">
        <f t="shared" ca="1" si="402"/>
        <v>0</v>
      </c>
    </row>
    <row r="8570" spans="1:5" x14ac:dyDescent="0.25">
      <c r="A8570" s="3">
        <f t="shared" si="400"/>
        <v>78989</v>
      </c>
      <c r="B8570" t="str">
        <f ca="1">TEXT(DATE(YEAR(Invoer!$A$5),1,1)+INT((ROWS(B$2:B8570)-1)/24),"""18""jjmmdd")</f>
        <v>18981224</v>
      </c>
      <c r="C8570" s="11" t="str">
        <f>INDEX(Data,2,2+MOD(ROWS(C$2:C8570)-1,24))</f>
        <v>01.00</v>
      </c>
      <c r="D8570" s="8">
        <f t="shared" ca="1" si="401"/>
        <v>8</v>
      </c>
      <c r="E8570" s="16">
        <f t="shared" ca="1" si="402"/>
        <v>0</v>
      </c>
    </row>
    <row r="8571" spans="1:5" x14ac:dyDescent="0.25">
      <c r="A8571" s="3">
        <f t="shared" si="400"/>
        <v>78989</v>
      </c>
      <c r="B8571" t="str">
        <f ca="1">TEXT(DATE(YEAR(Invoer!$A$5),1,1)+INT((ROWS(B$2:B8571)-1)/24),"""18""jjmmdd")</f>
        <v>18981224</v>
      </c>
      <c r="C8571" s="11" t="str">
        <f>INDEX(Data,2,2+MOD(ROWS(C$2:C8571)-1,24))</f>
        <v>02.00</v>
      </c>
      <c r="D8571" s="8">
        <f t="shared" ca="1" si="401"/>
        <v>6</v>
      </c>
      <c r="E8571" s="16">
        <f t="shared" ca="1" si="402"/>
        <v>0</v>
      </c>
    </row>
    <row r="8572" spans="1:5" x14ac:dyDescent="0.25">
      <c r="A8572" s="3">
        <f t="shared" si="400"/>
        <v>78989</v>
      </c>
      <c r="B8572" t="str">
        <f ca="1">TEXT(DATE(YEAR(Invoer!$A$5),1,1)+INT((ROWS(B$2:B8572)-1)/24),"""18""jjmmdd")</f>
        <v>18981224</v>
      </c>
      <c r="C8572" s="11" t="str">
        <f>INDEX(Data,2,2+MOD(ROWS(C$2:C8572)-1,24))</f>
        <v>03.00</v>
      </c>
      <c r="D8572" s="8">
        <f t="shared" ca="1" si="401"/>
        <v>6</v>
      </c>
      <c r="E8572" s="16">
        <f t="shared" ca="1" si="402"/>
        <v>0</v>
      </c>
    </row>
    <row r="8573" spans="1:5" x14ac:dyDescent="0.25">
      <c r="A8573" s="3">
        <f t="shared" si="400"/>
        <v>78989</v>
      </c>
      <c r="B8573" t="str">
        <f ca="1">TEXT(DATE(YEAR(Invoer!$A$5),1,1)+INT((ROWS(B$2:B8573)-1)/24),"""18""jjmmdd")</f>
        <v>18981224</v>
      </c>
      <c r="C8573" s="11" t="str">
        <f>INDEX(Data,2,2+MOD(ROWS(C$2:C8573)-1,24))</f>
        <v>04.00</v>
      </c>
      <c r="D8573" s="8">
        <f t="shared" ca="1" si="401"/>
        <v>6</v>
      </c>
      <c r="E8573" s="16">
        <f t="shared" ca="1" si="402"/>
        <v>0</v>
      </c>
    </row>
    <row r="8574" spans="1:5" x14ac:dyDescent="0.25">
      <c r="A8574" s="3">
        <f t="shared" si="400"/>
        <v>78989</v>
      </c>
      <c r="B8574" t="str">
        <f ca="1">TEXT(DATE(YEAR(Invoer!$A$5),1,1)+INT((ROWS(B$2:B8574)-1)/24),"""18""jjmmdd")</f>
        <v>18981224</v>
      </c>
      <c r="C8574" s="11" t="str">
        <f>INDEX(Data,2,2+MOD(ROWS(C$2:C8574)-1,24))</f>
        <v>05.00</v>
      </c>
      <c r="D8574" s="8">
        <f t="shared" ca="1" si="401"/>
        <v>6</v>
      </c>
      <c r="E8574" s="16">
        <f t="shared" ca="1" si="402"/>
        <v>0</v>
      </c>
    </row>
    <row r="8575" spans="1:5" x14ac:dyDescent="0.25">
      <c r="A8575" s="3">
        <f t="shared" si="400"/>
        <v>78989</v>
      </c>
      <c r="B8575" t="str">
        <f ca="1">TEXT(DATE(YEAR(Invoer!$A$5),1,1)+INT((ROWS(B$2:B8575)-1)/24),"""18""jjmmdd")</f>
        <v>18981224</v>
      </c>
      <c r="C8575" s="11" t="str">
        <f>INDEX(Data,2,2+MOD(ROWS(C$2:C8575)-1,24))</f>
        <v>06.00</v>
      </c>
      <c r="D8575" s="8">
        <f t="shared" ca="1" si="401"/>
        <v>5</v>
      </c>
      <c r="E8575" s="16">
        <f t="shared" ca="1" si="402"/>
        <v>0</v>
      </c>
    </row>
    <row r="8576" spans="1:5" x14ac:dyDescent="0.25">
      <c r="A8576" s="3">
        <f t="shared" si="400"/>
        <v>78989</v>
      </c>
      <c r="B8576" t="str">
        <f ca="1">TEXT(DATE(YEAR(Invoer!$A$5),1,1)+INT((ROWS(B$2:B8576)-1)/24),"""18""jjmmdd")</f>
        <v>18981224</v>
      </c>
      <c r="C8576" s="11" t="str">
        <f>INDEX(Data,2,2+MOD(ROWS(C$2:C8576)-1,24))</f>
        <v>07.00</v>
      </c>
      <c r="D8576" s="8">
        <f t="shared" ca="1" si="401"/>
        <v>7</v>
      </c>
      <c r="E8576" s="16">
        <f t="shared" ca="1" si="402"/>
        <v>0</v>
      </c>
    </row>
    <row r="8577" spans="1:5" x14ac:dyDescent="0.25">
      <c r="A8577" s="3">
        <f t="shared" si="400"/>
        <v>78989</v>
      </c>
      <c r="B8577" t="str">
        <f ca="1">TEXT(DATE(YEAR(Invoer!$A$5),1,1)+INT((ROWS(B$2:B8577)-1)/24),"""18""jjmmdd")</f>
        <v>18981224</v>
      </c>
      <c r="C8577" s="11" t="str">
        <f>INDEX(Data,2,2+MOD(ROWS(C$2:C8577)-1,24))</f>
        <v>08.00</v>
      </c>
      <c r="D8577" s="8">
        <f t="shared" ca="1" si="401"/>
        <v>8</v>
      </c>
      <c r="E8577" s="16">
        <f t="shared" ca="1" si="402"/>
        <v>0</v>
      </c>
    </row>
    <row r="8578" spans="1:5" x14ac:dyDescent="0.25">
      <c r="A8578" s="3">
        <f t="shared" ref="A8578:A8641" si="403">INDEX(Stations,2,1)</f>
        <v>78989</v>
      </c>
      <c r="B8578" t="str">
        <f ca="1">TEXT(DATE(YEAR(Invoer!$A$5),1,1)+INT((ROWS(B$2:B8578)-1)/24),"""18""jjmmdd")</f>
        <v>18981224</v>
      </c>
      <c r="C8578" s="11" t="str">
        <f>INDEX(Data,2,2+MOD(ROWS(C$2:C8578)-1,24))</f>
        <v>09.00</v>
      </c>
      <c r="D8578" s="8">
        <f t="shared" ref="D8578:D8641" ca="1" si="404">IF(OR(ISBLANK(VLOOKUP(DATEVALUE("37"&amp;MID($B8578,3,2)&amp;"-"&amp;MID($B8578,5,2)&amp;"-"&amp;RIGHT($B8578,2)),Data,MATCH(LEFT(VLOOKUP(D$1,Parameters,2,FALSE()),4)&amp;"*",OFFSET(Data,0,0,1),0)+MATCH($C8578,OFFSET(Data,1,0,1),0)-2,FALSE())),ISTEXT(VLOOKUP(DATEVALUE("37"&amp;MID($B8578,3,2)&amp;"-"&amp;MID($B8578,5,2)&amp;"-"&amp;RIGHT($B8578,2)),Data,MATCH(LEFT(VLOOKUP(D$1,Parameters,2,FALSE()),4)&amp;"*",OFFSET(Data,0,0,1),0)+MATCH($C8578,OFFSET(Data,1,0,1),0)-2,FALSE()))),"—",VLOOKUP(DATEVALUE("37"&amp;MID($B8578,3,2)&amp;"-"&amp;MID($B8578,5,2)&amp;"-"&amp;RIGHT($B8578,2)),Data,MATCH(LEFT(VLOOKUP(D$1,Parameters,2,FALSE()),4)&amp;"*",OFFSET(Data,0,0,1),0)+MATCH($C8578,OFFSET(Data,1,0,1),0)-2,FALSE()))</f>
        <v>12</v>
      </c>
      <c r="E8578" s="16">
        <f t="shared" ca="1" si="402"/>
        <v>0</v>
      </c>
    </row>
    <row r="8579" spans="1:5" x14ac:dyDescent="0.25">
      <c r="A8579" s="3">
        <f t="shared" si="403"/>
        <v>78989</v>
      </c>
      <c r="B8579" t="str">
        <f ca="1">TEXT(DATE(YEAR(Invoer!$A$5),1,1)+INT((ROWS(B$2:B8579)-1)/24),"""18""jjmmdd")</f>
        <v>18981224</v>
      </c>
      <c r="C8579" s="11" t="str">
        <f>INDEX(Data,2,2+MOD(ROWS(C$2:C8579)-1,24))</f>
        <v>10.00</v>
      </c>
      <c r="D8579" s="8">
        <f t="shared" ca="1" si="404"/>
        <v>13</v>
      </c>
      <c r="E8579" s="16">
        <f t="shared" ref="E8579:E8642" ca="1" si="405">IF(OR(ISBLANK(VLOOKUP(DATEVALUE("37"&amp;MID($B8579,3,2)&amp;"-"&amp;MID($B8579,5,2)&amp;"-"&amp;RIGHT($B8579,2)),Data,MATCH(LEFT(VLOOKUP(D$1,Parameters,2,FALSE()),4)&amp;"*",OFFSET(Data,0,0,1),0)+MATCH($C8579,OFFSET(Data,1,0,1),0)-2,FALSE())),ISTEXT(VLOOKUP(DATEVALUE("37"&amp;MID($B8579,3,2)&amp;"-"&amp;MID($B8579,5,2)&amp;"-"&amp;RIGHT($B8579,2)),Data,MATCH(LEFT(VLOOKUP(D$1,Parameters,2,FALSE()),4)&amp;"*",OFFSET(Data,0,0,1),0)+MATCH($C8579,OFFSET(Data,1,0,1),0)-2,FALSE()))),Lacking,IF(ISNA(MATCH(DATEVALUE("37"&amp;MID($B8579,3,2)&amp;"-"&amp;MID($B8579,5,2)&amp;"-"&amp;RIGHT($B8579,2)),OFFSET(Catalogus,0,0,,1),0)),Ok,VLOOKUP(DATEVALUE("37"&amp;MID($B8579,3,2)&amp;"-"&amp;MID($B8579,5,2)&amp;"-"&amp;RIGHT($B8579,2)),Catalogus,MATCH(LEFT(VLOOKUP(MID(E$1,2,LEN(E$1)-1),Parameters,2,FALSE()),4)&amp;"*",OFFSET(Catalogus,0,0,1),0)+MATCH($C8579,OFFSET(Catalogus,1,0,1),0)-2,FALSE())))</f>
        <v>0</v>
      </c>
    </row>
    <row r="8580" spans="1:5" x14ac:dyDescent="0.25">
      <c r="A8580" s="3">
        <f t="shared" si="403"/>
        <v>78989</v>
      </c>
      <c r="B8580" t="str">
        <f ca="1">TEXT(DATE(YEAR(Invoer!$A$5),1,1)+INT((ROWS(B$2:B8580)-1)/24),"""18""jjmmdd")</f>
        <v>18981224</v>
      </c>
      <c r="C8580" s="11" t="str">
        <f>INDEX(Data,2,2+MOD(ROWS(C$2:C8580)-1,24))</f>
        <v>11.00</v>
      </c>
      <c r="D8580" s="8">
        <f t="shared" ca="1" si="404"/>
        <v>13</v>
      </c>
      <c r="E8580" s="16">
        <f t="shared" ca="1" si="405"/>
        <v>0</v>
      </c>
    </row>
    <row r="8581" spans="1:5" x14ac:dyDescent="0.25">
      <c r="A8581" s="3">
        <f t="shared" si="403"/>
        <v>78989</v>
      </c>
      <c r="B8581" t="str">
        <f ca="1">TEXT(DATE(YEAR(Invoer!$A$5),1,1)+INT((ROWS(B$2:B8581)-1)/24),"""18""jjmmdd")</f>
        <v>18981224</v>
      </c>
      <c r="C8581" s="11" t="str">
        <f>INDEX(Data,2,2+MOD(ROWS(C$2:C8581)-1,24))</f>
        <v>12.00</v>
      </c>
      <c r="D8581" s="8">
        <f t="shared" ca="1" si="404"/>
        <v>12</v>
      </c>
      <c r="E8581" s="16">
        <f t="shared" ca="1" si="405"/>
        <v>0</v>
      </c>
    </row>
    <row r="8582" spans="1:5" x14ac:dyDescent="0.25">
      <c r="A8582" s="3">
        <f t="shared" si="403"/>
        <v>78989</v>
      </c>
      <c r="B8582" t="str">
        <f ca="1">TEXT(DATE(YEAR(Invoer!$A$5),1,1)+INT((ROWS(B$2:B8582)-1)/24),"""18""jjmmdd")</f>
        <v>18981224</v>
      </c>
      <c r="C8582" s="11" t="str">
        <f>INDEX(Data,2,2+MOD(ROWS(C$2:C8582)-1,24))</f>
        <v>13.00</v>
      </c>
      <c r="D8582" s="8">
        <f t="shared" ca="1" si="404"/>
        <v>13</v>
      </c>
      <c r="E8582" s="16">
        <f t="shared" ca="1" si="405"/>
        <v>0</v>
      </c>
    </row>
    <row r="8583" spans="1:5" x14ac:dyDescent="0.25">
      <c r="A8583" s="3">
        <f t="shared" si="403"/>
        <v>78989</v>
      </c>
      <c r="B8583" t="str">
        <f ca="1">TEXT(DATE(YEAR(Invoer!$A$5),1,1)+INT((ROWS(B$2:B8583)-1)/24),"""18""jjmmdd")</f>
        <v>18981224</v>
      </c>
      <c r="C8583" s="11" t="str">
        <f>INDEX(Data,2,2+MOD(ROWS(C$2:C8583)-1,24))</f>
        <v>14.00</v>
      </c>
      <c r="D8583" s="8">
        <f t="shared" ca="1" si="404"/>
        <v>12</v>
      </c>
      <c r="E8583" s="16">
        <f t="shared" ca="1" si="405"/>
        <v>0</v>
      </c>
    </row>
    <row r="8584" spans="1:5" x14ac:dyDescent="0.25">
      <c r="A8584" s="3">
        <f t="shared" si="403"/>
        <v>78989</v>
      </c>
      <c r="B8584" t="str">
        <f ca="1">TEXT(DATE(YEAR(Invoer!$A$5),1,1)+INT((ROWS(B$2:B8584)-1)/24),"""18""jjmmdd")</f>
        <v>18981224</v>
      </c>
      <c r="C8584" s="11" t="str">
        <f>INDEX(Data,2,2+MOD(ROWS(C$2:C8584)-1,24))</f>
        <v>15.00</v>
      </c>
      <c r="D8584" s="8">
        <f t="shared" ca="1" si="404"/>
        <v>12</v>
      </c>
      <c r="E8584" s="16">
        <f t="shared" ca="1" si="405"/>
        <v>0</v>
      </c>
    </row>
    <row r="8585" spans="1:5" x14ac:dyDescent="0.25">
      <c r="A8585" s="3">
        <f t="shared" si="403"/>
        <v>78989</v>
      </c>
      <c r="B8585" t="str">
        <f ca="1">TEXT(DATE(YEAR(Invoer!$A$5),1,1)+INT((ROWS(B$2:B8585)-1)/24),"""18""jjmmdd")</f>
        <v>18981224</v>
      </c>
      <c r="C8585" s="11" t="str">
        <f>INDEX(Data,2,2+MOD(ROWS(C$2:C8585)-1,24))</f>
        <v>16.00</v>
      </c>
      <c r="D8585" s="8">
        <f t="shared" ca="1" si="404"/>
        <v>13</v>
      </c>
      <c r="E8585" s="16">
        <f t="shared" ca="1" si="405"/>
        <v>0</v>
      </c>
    </row>
    <row r="8586" spans="1:5" x14ac:dyDescent="0.25">
      <c r="A8586" s="3">
        <f t="shared" si="403"/>
        <v>78989</v>
      </c>
      <c r="B8586" t="str">
        <f ca="1">TEXT(DATE(YEAR(Invoer!$A$5),1,1)+INT((ROWS(B$2:B8586)-1)/24),"""18""jjmmdd")</f>
        <v>18981224</v>
      </c>
      <c r="C8586" s="11" t="str">
        <f>INDEX(Data,2,2+MOD(ROWS(C$2:C8586)-1,24))</f>
        <v>17.00</v>
      </c>
      <c r="D8586" s="8">
        <f t="shared" ca="1" si="404"/>
        <v>12</v>
      </c>
      <c r="E8586" s="16">
        <f t="shared" ca="1" si="405"/>
        <v>0</v>
      </c>
    </row>
    <row r="8587" spans="1:5" x14ac:dyDescent="0.25">
      <c r="A8587" s="3">
        <f t="shared" si="403"/>
        <v>78989</v>
      </c>
      <c r="B8587" t="str">
        <f ca="1">TEXT(DATE(YEAR(Invoer!$A$5),1,1)+INT((ROWS(B$2:B8587)-1)/24),"""18""jjmmdd")</f>
        <v>18981224</v>
      </c>
      <c r="C8587" s="11" t="str">
        <f>INDEX(Data,2,2+MOD(ROWS(C$2:C8587)-1,24))</f>
        <v>18.00</v>
      </c>
      <c r="D8587" s="8">
        <f t="shared" ca="1" si="404"/>
        <v>11</v>
      </c>
      <c r="E8587" s="16">
        <f t="shared" ca="1" si="405"/>
        <v>0</v>
      </c>
    </row>
    <row r="8588" spans="1:5" x14ac:dyDescent="0.25">
      <c r="A8588" s="3">
        <f t="shared" si="403"/>
        <v>78989</v>
      </c>
      <c r="B8588" t="str">
        <f ca="1">TEXT(DATE(YEAR(Invoer!$A$5),1,1)+INT((ROWS(B$2:B8588)-1)/24),"""18""jjmmdd")</f>
        <v>18981224</v>
      </c>
      <c r="C8588" s="11" t="str">
        <f>INDEX(Data,2,2+MOD(ROWS(C$2:C8588)-1,24))</f>
        <v>19.00</v>
      </c>
      <c r="D8588" s="8">
        <f t="shared" ca="1" si="404"/>
        <v>9</v>
      </c>
      <c r="E8588" s="16">
        <f t="shared" ca="1" si="405"/>
        <v>0</v>
      </c>
    </row>
    <row r="8589" spans="1:5" x14ac:dyDescent="0.25">
      <c r="A8589" s="3">
        <f t="shared" si="403"/>
        <v>78989</v>
      </c>
      <c r="B8589" t="str">
        <f ca="1">TEXT(DATE(YEAR(Invoer!$A$5),1,1)+INT((ROWS(B$2:B8589)-1)/24),"""18""jjmmdd")</f>
        <v>18981224</v>
      </c>
      <c r="C8589" s="11" t="str">
        <f>INDEX(Data,2,2+MOD(ROWS(C$2:C8589)-1,24))</f>
        <v>20.00</v>
      </c>
      <c r="D8589" s="8">
        <f t="shared" ca="1" si="404"/>
        <v>11</v>
      </c>
      <c r="E8589" s="16">
        <f t="shared" ca="1" si="405"/>
        <v>0</v>
      </c>
    </row>
    <row r="8590" spans="1:5" x14ac:dyDescent="0.25">
      <c r="A8590" s="3">
        <f t="shared" si="403"/>
        <v>78989</v>
      </c>
      <c r="B8590" t="str">
        <f ca="1">TEXT(DATE(YEAR(Invoer!$A$5),1,1)+INT((ROWS(B$2:B8590)-1)/24),"""18""jjmmdd")</f>
        <v>18981224</v>
      </c>
      <c r="C8590" s="11" t="str">
        <f>INDEX(Data,2,2+MOD(ROWS(C$2:C8590)-1,24))</f>
        <v>21.00</v>
      </c>
      <c r="D8590" s="8">
        <f t="shared" ca="1" si="404"/>
        <v>11</v>
      </c>
      <c r="E8590" s="16">
        <f t="shared" ca="1" si="405"/>
        <v>0</v>
      </c>
    </row>
    <row r="8591" spans="1:5" x14ac:dyDescent="0.25">
      <c r="A8591" s="3">
        <f t="shared" si="403"/>
        <v>78989</v>
      </c>
      <c r="B8591" t="str">
        <f ca="1">TEXT(DATE(YEAR(Invoer!$A$5),1,1)+INT((ROWS(B$2:B8591)-1)/24),"""18""jjmmdd")</f>
        <v>18981224</v>
      </c>
      <c r="C8591" s="11" t="str">
        <f>INDEX(Data,2,2+MOD(ROWS(C$2:C8591)-1,24))</f>
        <v>22.00</v>
      </c>
      <c r="D8591" s="8">
        <f t="shared" ca="1" si="404"/>
        <v>9</v>
      </c>
      <c r="E8591" s="16">
        <f t="shared" ca="1" si="405"/>
        <v>0</v>
      </c>
    </row>
    <row r="8592" spans="1:5" x14ac:dyDescent="0.25">
      <c r="A8592" s="3">
        <f t="shared" si="403"/>
        <v>78989</v>
      </c>
      <c r="B8592" t="str">
        <f ca="1">TEXT(DATE(YEAR(Invoer!$A$5),1,1)+INT((ROWS(B$2:B8592)-1)/24),"""18""jjmmdd")</f>
        <v>18981224</v>
      </c>
      <c r="C8592" s="11" t="str">
        <f>INDEX(Data,2,2+MOD(ROWS(C$2:C8592)-1,24))</f>
        <v>23.00</v>
      </c>
      <c r="D8592" s="8">
        <f t="shared" ca="1" si="404"/>
        <v>7</v>
      </c>
      <c r="E8592" s="16">
        <f t="shared" ca="1" si="405"/>
        <v>0</v>
      </c>
    </row>
    <row r="8593" spans="1:5" x14ac:dyDescent="0.25">
      <c r="A8593" s="3">
        <f t="shared" si="403"/>
        <v>78989</v>
      </c>
      <c r="B8593" t="str">
        <f ca="1">TEXT(DATE(YEAR(Invoer!$A$5),1,1)+INT((ROWS(B$2:B8593)-1)/24),"""18""jjmmdd")</f>
        <v>18981224</v>
      </c>
      <c r="C8593" s="11" t="str">
        <f>INDEX(Data,2,2+MOD(ROWS(C$2:C8593)-1,24))</f>
        <v>24.00</v>
      </c>
      <c r="D8593" s="8">
        <f t="shared" ca="1" si="404"/>
        <v>6</v>
      </c>
      <c r="E8593" s="16">
        <f t="shared" ca="1" si="405"/>
        <v>0</v>
      </c>
    </row>
    <row r="8594" spans="1:5" x14ac:dyDescent="0.25">
      <c r="A8594" s="3">
        <f t="shared" si="403"/>
        <v>78989</v>
      </c>
      <c r="B8594" t="str">
        <f ca="1">TEXT(DATE(YEAR(Invoer!$A$5),1,1)+INT((ROWS(B$2:B8594)-1)/24),"""18""jjmmdd")</f>
        <v>18981225</v>
      </c>
      <c r="C8594" s="11" t="str">
        <f>INDEX(Data,2,2+MOD(ROWS(C$2:C8594)-1,24))</f>
        <v>01.00</v>
      </c>
      <c r="D8594" s="8">
        <f t="shared" ca="1" si="404"/>
        <v>6</v>
      </c>
      <c r="E8594" s="16">
        <f t="shared" ca="1" si="405"/>
        <v>0</v>
      </c>
    </row>
    <row r="8595" spans="1:5" x14ac:dyDescent="0.25">
      <c r="A8595" s="3">
        <f t="shared" si="403"/>
        <v>78989</v>
      </c>
      <c r="B8595" t="str">
        <f ca="1">TEXT(DATE(YEAR(Invoer!$A$5),1,1)+INT((ROWS(B$2:B8595)-1)/24),"""18""jjmmdd")</f>
        <v>18981225</v>
      </c>
      <c r="C8595" s="11" t="str">
        <f>INDEX(Data,2,2+MOD(ROWS(C$2:C8595)-1,24))</f>
        <v>02.00</v>
      </c>
      <c r="D8595" s="8">
        <f t="shared" ca="1" si="404"/>
        <v>6</v>
      </c>
      <c r="E8595" s="16">
        <f t="shared" ca="1" si="405"/>
        <v>0</v>
      </c>
    </row>
    <row r="8596" spans="1:5" x14ac:dyDescent="0.25">
      <c r="A8596" s="3">
        <f t="shared" si="403"/>
        <v>78989</v>
      </c>
      <c r="B8596" t="str">
        <f ca="1">TEXT(DATE(YEAR(Invoer!$A$5),1,1)+INT((ROWS(B$2:B8596)-1)/24),"""18""jjmmdd")</f>
        <v>18981225</v>
      </c>
      <c r="C8596" s="11" t="str">
        <f>INDEX(Data,2,2+MOD(ROWS(C$2:C8596)-1,24))</f>
        <v>03.00</v>
      </c>
      <c r="D8596" s="8">
        <f t="shared" ca="1" si="404"/>
        <v>6</v>
      </c>
      <c r="E8596" s="16">
        <f t="shared" ca="1" si="405"/>
        <v>0</v>
      </c>
    </row>
    <row r="8597" spans="1:5" x14ac:dyDescent="0.25">
      <c r="A8597" s="3">
        <f t="shared" si="403"/>
        <v>78989</v>
      </c>
      <c r="B8597" t="str">
        <f ca="1">TEXT(DATE(YEAR(Invoer!$A$5),1,1)+INT((ROWS(B$2:B8597)-1)/24),"""18""jjmmdd")</f>
        <v>18981225</v>
      </c>
      <c r="C8597" s="11" t="str">
        <f>INDEX(Data,2,2+MOD(ROWS(C$2:C8597)-1,24))</f>
        <v>04.00</v>
      </c>
      <c r="D8597" s="8">
        <f t="shared" ca="1" si="404"/>
        <v>6</v>
      </c>
      <c r="E8597" s="16">
        <f t="shared" ca="1" si="405"/>
        <v>0</v>
      </c>
    </row>
    <row r="8598" spans="1:5" x14ac:dyDescent="0.25">
      <c r="A8598" s="3">
        <f t="shared" si="403"/>
        <v>78989</v>
      </c>
      <c r="B8598" t="str">
        <f ca="1">TEXT(DATE(YEAR(Invoer!$A$5),1,1)+INT((ROWS(B$2:B8598)-1)/24),"""18""jjmmdd")</f>
        <v>18981225</v>
      </c>
      <c r="C8598" s="11" t="str">
        <f>INDEX(Data,2,2+MOD(ROWS(C$2:C8598)-1,24))</f>
        <v>05.00</v>
      </c>
      <c r="D8598" s="8">
        <f t="shared" ca="1" si="404"/>
        <v>6</v>
      </c>
      <c r="E8598" s="16">
        <f t="shared" ca="1" si="405"/>
        <v>0</v>
      </c>
    </row>
    <row r="8599" spans="1:5" x14ac:dyDescent="0.25">
      <c r="A8599" s="3">
        <f t="shared" si="403"/>
        <v>78989</v>
      </c>
      <c r="B8599" t="str">
        <f ca="1">TEXT(DATE(YEAR(Invoer!$A$5),1,1)+INT((ROWS(B$2:B8599)-1)/24),"""18""jjmmdd")</f>
        <v>18981225</v>
      </c>
      <c r="C8599" s="11" t="str">
        <f>INDEX(Data,2,2+MOD(ROWS(C$2:C8599)-1,24))</f>
        <v>06.00</v>
      </c>
      <c r="D8599" s="8">
        <f t="shared" ca="1" si="404"/>
        <v>6</v>
      </c>
      <c r="E8599" s="16">
        <f t="shared" ca="1" si="405"/>
        <v>0</v>
      </c>
    </row>
    <row r="8600" spans="1:5" x14ac:dyDescent="0.25">
      <c r="A8600" s="3">
        <f t="shared" si="403"/>
        <v>78989</v>
      </c>
      <c r="B8600" t="str">
        <f ca="1">TEXT(DATE(YEAR(Invoer!$A$5),1,1)+INT((ROWS(B$2:B8600)-1)/24),"""18""jjmmdd")</f>
        <v>18981225</v>
      </c>
      <c r="C8600" s="11" t="str">
        <f>INDEX(Data,2,2+MOD(ROWS(C$2:C8600)-1,24))</f>
        <v>07.00</v>
      </c>
      <c r="D8600" s="8">
        <f t="shared" ca="1" si="404"/>
        <v>6</v>
      </c>
      <c r="E8600" s="16">
        <f t="shared" ca="1" si="405"/>
        <v>0</v>
      </c>
    </row>
    <row r="8601" spans="1:5" x14ac:dyDescent="0.25">
      <c r="A8601" s="3">
        <f t="shared" si="403"/>
        <v>78989</v>
      </c>
      <c r="B8601" t="str">
        <f ca="1">TEXT(DATE(YEAR(Invoer!$A$5),1,1)+INT((ROWS(B$2:B8601)-1)/24),"""18""jjmmdd")</f>
        <v>18981225</v>
      </c>
      <c r="C8601" s="11" t="str">
        <f>INDEX(Data,2,2+MOD(ROWS(C$2:C8601)-1,24))</f>
        <v>08.00</v>
      </c>
      <c r="D8601" s="8">
        <f t="shared" ca="1" si="404"/>
        <v>11</v>
      </c>
      <c r="E8601" s="16">
        <f t="shared" ca="1" si="405"/>
        <v>0</v>
      </c>
    </row>
    <row r="8602" spans="1:5" x14ac:dyDescent="0.25">
      <c r="A8602" s="3">
        <f t="shared" si="403"/>
        <v>78989</v>
      </c>
      <c r="B8602" t="str">
        <f ca="1">TEXT(DATE(YEAR(Invoer!$A$5),1,1)+INT((ROWS(B$2:B8602)-1)/24),"""18""jjmmdd")</f>
        <v>18981225</v>
      </c>
      <c r="C8602" s="11" t="str">
        <f>INDEX(Data,2,2+MOD(ROWS(C$2:C8602)-1,24))</f>
        <v>09.00</v>
      </c>
      <c r="D8602" s="8">
        <f t="shared" ca="1" si="404"/>
        <v>11</v>
      </c>
      <c r="E8602" s="16">
        <f t="shared" ca="1" si="405"/>
        <v>0</v>
      </c>
    </row>
    <row r="8603" spans="1:5" x14ac:dyDescent="0.25">
      <c r="A8603" s="3">
        <f t="shared" si="403"/>
        <v>78989</v>
      </c>
      <c r="B8603" t="str">
        <f ca="1">TEXT(DATE(YEAR(Invoer!$A$5),1,1)+INT((ROWS(B$2:B8603)-1)/24),"""18""jjmmdd")</f>
        <v>18981225</v>
      </c>
      <c r="C8603" s="11" t="str">
        <f>INDEX(Data,2,2+MOD(ROWS(C$2:C8603)-1,24))</f>
        <v>10.00</v>
      </c>
      <c r="D8603" s="8">
        <f t="shared" ca="1" si="404"/>
        <v>11</v>
      </c>
      <c r="E8603" s="16">
        <f t="shared" ca="1" si="405"/>
        <v>0</v>
      </c>
    </row>
    <row r="8604" spans="1:5" x14ac:dyDescent="0.25">
      <c r="A8604" s="3">
        <f t="shared" si="403"/>
        <v>78989</v>
      </c>
      <c r="B8604" t="str">
        <f ca="1">TEXT(DATE(YEAR(Invoer!$A$5),1,1)+INT((ROWS(B$2:B8604)-1)/24),"""18""jjmmdd")</f>
        <v>18981225</v>
      </c>
      <c r="C8604" s="11" t="str">
        <f>INDEX(Data,2,2+MOD(ROWS(C$2:C8604)-1,24))</f>
        <v>11.00</v>
      </c>
      <c r="D8604" s="8">
        <f t="shared" ca="1" si="404"/>
        <v>11</v>
      </c>
      <c r="E8604" s="16">
        <f t="shared" ca="1" si="405"/>
        <v>0</v>
      </c>
    </row>
    <row r="8605" spans="1:5" x14ac:dyDescent="0.25">
      <c r="A8605" s="3">
        <f t="shared" si="403"/>
        <v>78989</v>
      </c>
      <c r="B8605" t="str">
        <f ca="1">TEXT(DATE(YEAR(Invoer!$A$5),1,1)+INT((ROWS(B$2:B8605)-1)/24),"""18""jjmmdd")</f>
        <v>18981225</v>
      </c>
      <c r="C8605" s="11" t="str">
        <f>INDEX(Data,2,2+MOD(ROWS(C$2:C8605)-1,24))</f>
        <v>12.00</v>
      </c>
      <c r="D8605" s="8">
        <f t="shared" ca="1" si="404"/>
        <v>15</v>
      </c>
      <c r="E8605" s="16">
        <f t="shared" ca="1" si="405"/>
        <v>0</v>
      </c>
    </row>
    <row r="8606" spans="1:5" x14ac:dyDescent="0.25">
      <c r="A8606" s="3">
        <f t="shared" si="403"/>
        <v>78989</v>
      </c>
      <c r="B8606" t="str">
        <f ca="1">TEXT(DATE(YEAR(Invoer!$A$5),1,1)+INT((ROWS(B$2:B8606)-1)/24),"""18""jjmmdd")</f>
        <v>18981225</v>
      </c>
      <c r="C8606" s="11" t="str">
        <f>INDEX(Data,2,2+MOD(ROWS(C$2:C8606)-1,24))</f>
        <v>13.00</v>
      </c>
      <c r="D8606" s="8">
        <f t="shared" ca="1" si="404"/>
        <v>12</v>
      </c>
      <c r="E8606" s="16">
        <f t="shared" ca="1" si="405"/>
        <v>0</v>
      </c>
    </row>
    <row r="8607" spans="1:5" x14ac:dyDescent="0.25">
      <c r="A8607" s="3">
        <f t="shared" si="403"/>
        <v>78989</v>
      </c>
      <c r="B8607" t="str">
        <f ca="1">TEXT(DATE(YEAR(Invoer!$A$5),1,1)+INT((ROWS(B$2:B8607)-1)/24),"""18""jjmmdd")</f>
        <v>18981225</v>
      </c>
      <c r="C8607" s="11" t="str">
        <f>INDEX(Data,2,2+MOD(ROWS(C$2:C8607)-1,24))</f>
        <v>14.00</v>
      </c>
      <c r="D8607" s="8">
        <f t="shared" ca="1" si="404"/>
        <v>14</v>
      </c>
      <c r="E8607" s="16">
        <f t="shared" ca="1" si="405"/>
        <v>0</v>
      </c>
    </row>
    <row r="8608" spans="1:5" x14ac:dyDescent="0.25">
      <c r="A8608" s="3">
        <f t="shared" si="403"/>
        <v>78989</v>
      </c>
      <c r="B8608" t="str">
        <f ca="1">TEXT(DATE(YEAR(Invoer!$A$5),1,1)+INT((ROWS(B$2:B8608)-1)/24),"""18""jjmmdd")</f>
        <v>18981225</v>
      </c>
      <c r="C8608" s="11" t="str">
        <f>INDEX(Data,2,2+MOD(ROWS(C$2:C8608)-1,24))</f>
        <v>15.00</v>
      </c>
      <c r="D8608" s="8">
        <f t="shared" ca="1" si="404"/>
        <v>13</v>
      </c>
      <c r="E8608" s="16">
        <f t="shared" ca="1" si="405"/>
        <v>0</v>
      </c>
    </row>
    <row r="8609" spans="1:5" x14ac:dyDescent="0.25">
      <c r="A8609" s="3">
        <f t="shared" si="403"/>
        <v>78989</v>
      </c>
      <c r="B8609" t="str">
        <f ca="1">TEXT(DATE(YEAR(Invoer!$A$5),1,1)+INT((ROWS(B$2:B8609)-1)/24),"""18""jjmmdd")</f>
        <v>18981225</v>
      </c>
      <c r="C8609" s="11" t="str">
        <f>INDEX(Data,2,2+MOD(ROWS(C$2:C8609)-1,24))</f>
        <v>16.00</v>
      </c>
      <c r="D8609" s="8">
        <f t="shared" ca="1" si="404"/>
        <v>10</v>
      </c>
      <c r="E8609" s="16">
        <f t="shared" ca="1" si="405"/>
        <v>0</v>
      </c>
    </row>
    <row r="8610" spans="1:5" x14ac:dyDescent="0.25">
      <c r="A8610" s="3">
        <f t="shared" si="403"/>
        <v>78989</v>
      </c>
      <c r="B8610" t="str">
        <f ca="1">TEXT(DATE(YEAR(Invoer!$A$5),1,1)+INT((ROWS(B$2:B8610)-1)/24),"""18""jjmmdd")</f>
        <v>18981225</v>
      </c>
      <c r="C8610" s="11" t="str">
        <f>INDEX(Data,2,2+MOD(ROWS(C$2:C8610)-1,24))</f>
        <v>17.00</v>
      </c>
      <c r="D8610" s="8">
        <f t="shared" ca="1" si="404"/>
        <v>10</v>
      </c>
      <c r="E8610" s="16">
        <f t="shared" ca="1" si="405"/>
        <v>0</v>
      </c>
    </row>
    <row r="8611" spans="1:5" x14ac:dyDescent="0.25">
      <c r="A8611" s="3">
        <f t="shared" si="403"/>
        <v>78989</v>
      </c>
      <c r="B8611" t="str">
        <f ca="1">TEXT(DATE(YEAR(Invoer!$A$5),1,1)+INT((ROWS(B$2:B8611)-1)/24),"""18""jjmmdd")</f>
        <v>18981225</v>
      </c>
      <c r="C8611" s="11" t="str">
        <f>INDEX(Data,2,2+MOD(ROWS(C$2:C8611)-1,24))</f>
        <v>18.00</v>
      </c>
      <c r="D8611" s="8">
        <f t="shared" ca="1" si="404"/>
        <v>10</v>
      </c>
      <c r="E8611" s="16">
        <f t="shared" ca="1" si="405"/>
        <v>0</v>
      </c>
    </row>
    <row r="8612" spans="1:5" x14ac:dyDescent="0.25">
      <c r="A8612" s="3">
        <f t="shared" si="403"/>
        <v>78989</v>
      </c>
      <c r="B8612" t="str">
        <f ca="1">TEXT(DATE(YEAR(Invoer!$A$5),1,1)+INT((ROWS(B$2:B8612)-1)/24),"""18""jjmmdd")</f>
        <v>18981225</v>
      </c>
      <c r="C8612" s="11" t="str">
        <f>INDEX(Data,2,2+MOD(ROWS(C$2:C8612)-1,24))</f>
        <v>19.00</v>
      </c>
      <c r="D8612" s="8">
        <f t="shared" ca="1" si="404"/>
        <v>8</v>
      </c>
      <c r="E8612" s="16">
        <f t="shared" ca="1" si="405"/>
        <v>0</v>
      </c>
    </row>
    <row r="8613" spans="1:5" x14ac:dyDescent="0.25">
      <c r="A8613" s="3">
        <f t="shared" si="403"/>
        <v>78989</v>
      </c>
      <c r="B8613" t="str">
        <f ca="1">TEXT(DATE(YEAR(Invoer!$A$5),1,1)+INT((ROWS(B$2:B8613)-1)/24),"""18""jjmmdd")</f>
        <v>18981225</v>
      </c>
      <c r="C8613" s="11" t="str">
        <f>INDEX(Data,2,2+MOD(ROWS(C$2:C8613)-1,24))</f>
        <v>20.00</v>
      </c>
      <c r="D8613" s="8">
        <f t="shared" ca="1" si="404"/>
        <v>7</v>
      </c>
      <c r="E8613" s="16">
        <f t="shared" ca="1" si="405"/>
        <v>0</v>
      </c>
    </row>
    <row r="8614" spans="1:5" x14ac:dyDescent="0.25">
      <c r="A8614" s="3">
        <f t="shared" si="403"/>
        <v>78989</v>
      </c>
      <c r="B8614" t="str">
        <f ca="1">TEXT(DATE(YEAR(Invoer!$A$5),1,1)+INT((ROWS(B$2:B8614)-1)/24),"""18""jjmmdd")</f>
        <v>18981225</v>
      </c>
      <c r="C8614" s="11" t="str">
        <f>INDEX(Data,2,2+MOD(ROWS(C$2:C8614)-1,24))</f>
        <v>21.00</v>
      </c>
      <c r="D8614" s="8">
        <f t="shared" ca="1" si="404"/>
        <v>8</v>
      </c>
      <c r="E8614" s="16">
        <f t="shared" ca="1" si="405"/>
        <v>0</v>
      </c>
    </row>
    <row r="8615" spans="1:5" x14ac:dyDescent="0.25">
      <c r="A8615" s="3">
        <f t="shared" si="403"/>
        <v>78989</v>
      </c>
      <c r="B8615" t="str">
        <f ca="1">TEXT(DATE(YEAR(Invoer!$A$5),1,1)+INT((ROWS(B$2:B8615)-1)/24),"""18""jjmmdd")</f>
        <v>18981225</v>
      </c>
      <c r="C8615" s="11" t="str">
        <f>INDEX(Data,2,2+MOD(ROWS(C$2:C8615)-1,24))</f>
        <v>22.00</v>
      </c>
      <c r="D8615" s="8">
        <f t="shared" ca="1" si="404"/>
        <v>7</v>
      </c>
      <c r="E8615" s="16">
        <f t="shared" ca="1" si="405"/>
        <v>0</v>
      </c>
    </row>
    <row r="8616" spans="1:5" x14ac:dyDescent="0.25">
      <c r="A8616" s="3">
        <f t="shared" si="403"/>
        <v>78989</v>
      </c>
      <c r="B8616" t="str">
        <f ca="1">TEXT(DATE(YEAR(Invoer!$A$5),1,1)+INT((ROWS(B$2:B8616)-1)/24),"""18""jjmmdd")</f>
        <v>18981225</v>
      </c>
      <c r="C8616" s="11" t="str">
        <f>INDEX(Data,2,2+MOD(ROWS(C$2:C8616)-1,24))</f>
        <v>23.00</v>
      </c>
      <c r="D8616" s="8">
        <f t="shared" ca="1" si="404"/>
        <v>6</v>
      </c>
      <c r="E8616" s="16">
        <f t="shared" ca="1" si="405"/>
        <v>0</v>
      </c>
    </row>
    <row r="8617" spans="1:5" x14ac:dyDescent="0.25">
      <c r="A8617" s="3">
        <f t="shared" si="403"/>
        <v>78989</v>
      </c>
      <c r="B8617" t="str">
        <f ca="1">TEXT(DATE(YEAR(Invoer!$A$5),1,1)+INT((ROWS(B$2:B8617)-1)/24),"""18""jjmmdd")</f>
        <v>18981225</v>
      </c>
      <c r="C8617" s="11" t="str">
        <f>INDEX(Data,2,2+MOD(ROWS(C$2:C8617)-1,24))</f>
        <v>24.00</v>
      </c>
      <c r="D8617" s="8">
        <f t="shared" ca="1" si="404"/>
        <v>6</v>
      </c>
      <c r="E8617" s="16">
        <f t="shared" ca="1" si="405"/>
        <v>0</v>
      </c>
    </row>
    <row r="8618" spans="1:5" x14ac:dyDescent="0.25">
      <c r="A8618" s="3">
        <f t="shared" si="403"/>
        <v>78989</v>
      </c>
      <c r="B8618" t="str">
        <f ca="1">TEXT(DATE(YEAR(Invoer!$A$5),1,1)+INT((ROWS(B$2:B8618)-1)/24),"""18""jjmmdd")</f>
        <v>18981226</v>
      </c>
      <c r="C8618" s="11" t="str">
        <f>INDEX(Data,2,2+MOD(ROWS(C$2:C8618)-1,24))</f>
        <v>01.00</v>
      </c>
      <c r="D8618" s="8">
        <f t="shared" ca="1" si="404"/>
        <v>5</v>
      </c>
      <c r="E8618" s="16">
        <f t="shared" ca="1" si="405"/>
        <v>0</v>
      </c>
    </row>
    <row r="8619" spans="1:5" x14ac:dyDescent="0.25">
      <c r="A8619" s="3">
        <f t="shared" si="403"/>
        <v>78989</v>
      </c>
      <c r="B8619" t="str">
        <f ca="1">TEXT(DATE(YEAR(Invoer!$A$5),1,1)+INT((ROWS(B$2:B8619)-1)/24),"""18""jjmmdd")</f>
        <v>18981226</v>
      </c>
      <c r="C8619" s="11" t="str">
        <f>INDEX(Data,2,2+MOD(ROWS(C$2:C8619)-1,24))</f>
        <v>02.00</v>
      </c>
      <c r="D8619" s="8">
        <f t="shared" ca="1" si="404"/>
        <v>6</v>
      </c>
      <c r="E8619" s="16">
        <f t="shared" ca="1" si="405"/>
        <v>0</v>
      </c>
    </row>
    <row r="8620" spans="1:5" x14ac:dyDescent="0.25">
      <c r="A8620" s="3">
        <f t="shared" si="403"/>
        <v>78989</v>
      </c>
      <c r="B8620" t="str">
        <f ca="1">TEXT(DATE(YEAR(Invoer!$A$5),1,1)+INT((ROWS(B$2:B8620)-1)/24),"""18""jjmmdd")</f>
        <v>18981226</v>
      </c>
      <c r="C8620" s="11" t="str">
        <f>INDEX(Data,2,2+MOD(ROWS(C$2:C8620)-1,24))</f>
        <v>03.00</v>
      </c>
      <c r="D8620" s="8">
        <f t="shared" ca="1" si="404"/>
        <v>5</v>
      </c>
      <c r="E8620" s="16">
        <f t="shared" ca="1" si="405"/>
        <v>0</v>
      </c>
    </row>
    <row r="8621" spans="1:5" x14ac:dyDescent="0.25">
      <c r="A8621" s="3">
        <f t="shared" si="403"/>
        <v>78989</v>
      </c>
      <c r="B8621" t="str">
        <f ca="1">TEXT(DATE(YEAR(Invoer!$A$5),1,1)+INT((ROWS(B$2:B8621)-1)/24),"""18""jjmmdd")</f>
        <v>18981226</v>
      </c>
      <c r="C8621" s="11" t="str">
        <f>INDEX(Data,2,2+MOD(ROWS(C$2:C8621)-1,24))</f>
        <v>04.00</v>
      </c>
      <c r="D8621" s="8">
        <f t="shared" ca="1" si="404"/>
        <v>4</v>
      </c>
      <c r="E8621" s="16">
        <f t="shared" ca="1" si="405"/>
        <v>0</v>
      </c>
    </row>
    <row r="8622" spans="1:5" x14ac:dyDescent="0.25">
      <c r="A8622" s="3">
        <f t="shared" si="403"/>
        <v>78989</v>
      </c>
      <c r="B8622" t="str">
        <f ca="1">TEXT(DATE(YEAR(Invoer!$A$5),1,1)+INT((ROWS(B$2:B8622)-1)/24),"""18""jjmmdd")</f>
        <v>18981226</v>
      </c>
      <c r="C8622" s="11" t="str">
        <f>INDEX(Data,2,2+MOD(ROWS(C$2:C8622)-1,24))</f>
        <v>05.00</v>
      </c>
      <c r="D8622" s="8">
        <f t="shared" ca="1" si="404"/>
        <v>5</v>
      </c>
      <c r="E8622" s="16">
        <f t="shared" ca="1" si="405"/>
        <v>0</v>
      </c>
    </row>
    <row r="8623" spans="1:5" x14ac:dyDescent="0.25">
      <c r="A8623" s="3">
        <f t="shared" si="403"/>
        <v>78989</v>
      </c>
      <c r="B8623" t="str">
        <f ca="1">TEXT(DATE(YEAR(Invoer!$A$5),1,1)+INT((ROWS(B$2:B8623)-1)/24),"""18""jjmmdd")</f>
        <v>18981226</v>
      </c>
      <c r="C8623" s="11" t="str">
        <f>INDEX(Data,2,2+MOD(ROWS(C$2:C8623)-1,24))</f>
        <v>06.00</v>
      </c>
      <c r="D8623" s="8">
        <f t="shared" ca="1" si="404"/>
        <v>6</v>
      </c>
      <c r="E8623" s="16">
        <f t="shared" ca="1" si="405"/>
        <v>0</v>
      </c>
    </row>
    <row r="8624" spans="1:5" x14ac:dyDescent="0.25">
      <c r="A8624" s="3">
        <f t="shared" si="403"/>
        <v>78989</v>
      </c>
      <c r="B8624" t="str">
        <f ca="1">TEXT(DATE(YEAR(Invoer!$A$5),1,1)+INT((ROWS(B$2:B8624)-1)/24),"""18""jjmmdd")</f>
        <v>18981226</v>
      </c>
      <c r="C8624" s="11" t="str">
        <f>INDEX(Data,2,2+MOD(ROWS(C$2:C8624)-1,24))</f>
        <v>07.00</v>
      </c>
      <c r="D8624" s="8">
        <f t="shared" ca="1" si="404"/>
        <v>6</v>
      </c>
      <c r="E8624" s="16">
        <f t="shared" ca="1" si="405"/>
        <v>0</v>
      </c>
    </row>
    <row r="8625" spans="1:5" x14ac:dyDescent="0.25">
      <c r="A8625" s="3">
        <f t="shared" si="403"/>
        <v>78989</v>
      </c>
      <c r="B8625" t="str">
        <f ca="1">TEXT(DATE(YEAR(Invoer!$A$5),1,1)+INT((ROWS(B$2:B8625)-1)/24),"""18""jjmmdd")</f>
        <v>18981226</v>
      </c>
      <c r="C8625" s="11" t="str">
        <f>INDEX(Data,2,2+MOD(ROWS(C$2:C8625)-1,24))</f>
        <v>08.00</v>
      </c>
      <c r="D8625" s="8">
        <f t="shared" ca="1" si="404"/>
        <v>8</v>
      </c>
      <c r="E8625" s="16">
        <f t="shared" ca="1" si="405"/>
        <v>0</v>
      </c>
    </row>
    <row r="8626" spans="1:5" x14ac:dyDescent="0.25">
      <c r="A8626" s="3">
        <f t="shared" si="403"/>
        <v>78989</v>
      </c>
      <c r="B8626" t="str">
        <f ca="1">TEXT(DATE(YEAR(Invoer!$A$5),1,1)+INT((ROWS(B$2:B8626)-1)/24),"""18""jjmmdd")</f>
        <v>18981226</v>
      </c>
      <c r="C8626" s="11" t="str">
        <f>INDEX(Data,2,2+MOD(ROWS(C$2:C8626)-1,24))</f>
        <v>09.00</v>
      </c>
      <c r="D8626" s="8">
        <f t="shared" ca="1" si="404"/>
        <v>11</v>
      </c>
      <c r="E8626" s="16">
        <f t="shared" ca="1" si="405"/>
        <v>0</v>
      </c>
    </row>
    <row r="8627" spans="1:5" x14ac:dyDescent="0.25">
      <c r="A8627" s="3">
        <f t="shared" si="403"/>
        <v>78989</v>
      </c>
      <c r="B8627" t="str">
        <f ca="1">TEXT(DATE(YEAR(Invoer!$A$5),1,1)+INT((ROWS(B$2:B8627)-1)/24),"""18""jjmmdd")</f>
        <v>18981226</v>
      </c>
      <c r="C8627" s="11" t="str">
        <f>INDEX(Data,2,2+MOD(ROWS(C$2:C8627)-1,24))</f>
        <v>10.00</v>
      </c>
      <c r="D8627" s="8">
        <f t="shared" ca="1" si="404"/>
        <v>11</v>
      </c>
      <c r="E8627" s="16">
        <f t="shared" ca="1" si="405"/>
        <v>0</v>
      </c>
    </row>
    <row r="8628" spans="1:5" x14ac:dyDescent="0.25">
      <c r="A8628" s="3">
        <f t="shared" si="403"/>
        <v>78989</v>
      </c>
      <c r="B8628" t="str">
        <f ca="1">TEXT(DATE(YEAR(Invoer!$A$5),1,1)+INT((ROWS(B$2:B8628)-1)/24),"""18""jjmmdd")</f>
        <v>18981226</v>
      </c>
      <c r="C8628" s="11" t="str">
        <f>INDEX(Data,2,2+MOD(ROWS(C$2:C8628)-1,24))</f>
        <v>11.00</v>
      </c>
      <c r="D8628" s="8">
        <f t="shared" ca="1" si="404"/>
        <v>11</v>
      </c>
      <c r="E8628" s="16">
        <f t="shared" ca="1" si="405"/>
        <v>0</v>
      </c>
    </row>
    <row r="8629" spans="1:5" x14ac:dyDescent="0.25">
      <c r="A8629" s="3">
        <f t="shared" si="403"/>
        <v>78989</v>
      </c>
      <c r="B8629" t="str">
        <f ca="1">TEXT(DATE(YEAR(Invoer!$A$5),1,1)+INT((ROWS(B$2:B8629)-1)/24),"""18""jjmmdd")</f>
        <v>18981226</v>
      </c>
      <c r="C8629" s="11" t="str">
        <f>INDEX(Data,2,2+MOD(ROWS(C$2:C8629)-1,24))</f>
        <v>12.00</v>
      </c>
      <c r="D8629" s="8">
        <f t="shared" ca="1" si="404"/>
        <v>11</v>
      </c>
      <c r="E8629" s="16">
        <f t="shared" ca="1" si="405"/>
        <v>0</v>
      </c>
    </row>
    <row r="8630" spans="1:5" x14ac:dyDescent="0.25">
      <c r="A8630" s="3">
        <f t="shared" si="403"/>
        <v>78989</v>
      </c>
      <c r="B8630" t="str">
        <f ca="1">TEXT(DATE(YEAR(Invoer!$A$5),1,1)+INT((ROWS(B$2:B8630)-1)/24),"""18""jjmmdd")</f>
        <v>18981226</v>
      </c>
      <c r="C8630" s="11" t="str">
        <f>INDEX(Data,2,2+MOD(ROWS(C$2:C8630)-1,24))</f>
        <v>13.00</v>
      </c>
      <c r="D8630" s="8">
        <f t="shared" ca="1" si="404"/>
        <v>11</v>
      </c>
      <c r="E8630" s="16">
        <f t="shared" ca="1" si="405"/>
        <v>0</v>
      </c>
    </row>
    <row r="8631" spans="1:5" x14ac:dyDescent="0.25">
      <c r="A8631" s="3">
        <f t="shared" si="403"/>
        <v>78989</v>
      </c>
      <c r="B8631" t="str">
        <f ca="1">TEXT(DATE(YEAR(Invoer!$A$5),1,1)+INT((ROWS(B$2:B8631)-1)/24),"""18""jjmmdd")</f>
        <v>18981226</v>
      </c>
      <c r="C8631" s="11" t="str">
        <f>INDEX(Data,2,2+MOD(ROWS(C$2:C8631)-1,24))</f>
        <v>14.00</v>
      </c>
      <c r="D8631" s="8">
        <f t="shared" ca="1" si="404"/>
        <v>12</v>
      </c>
      <c r="E8631" s="16">
        <f t="shared" ca="1" si="405"/>
        <v>0</v>
      </c>
    </row>
    <row r="8632" spans="1:5" x14ac:dyDescent="0.25">
      <c r="A8632" s="3">
        <f t="shared" si="403"/>
        <v>78989</v>
      </c>
      <c r="B8632" t="str">
        <f ca="1">TEXT(DATE(YEAR(Invoer!$A$5),1,1)+INT((ROWS(B$2:B8632)-1)/24),"""18""jjmmdd")</f>
        <v>18981226</v>
      </c>
      <c r="C8632" s="11" t="str">
        <f>INDEX(Data,2,2+MOD(ROWS(C$2:C8632)-1,24))</f>
        <v>15.00</v>
      </c>
      <c r="D8632" s="8">
        <f t="shared" ca="1" si="404"/>
        <v>11</v>
      </c>
      <c r="E8632" s="16">
        <f t="shared" ca="1" si="405"/>
        <v>0</v>
      </c>
    </row>
    <row r="8633" spans="1:5" x14ac:dyDescent="0.25">
      <c r="A8633" s="3">
        <f t="shared" si="403"/>
        <v>78989</v>
      </c>
      <c r="B8633" t="str">
        <f ca="1">TEXT(DATE(YEAR(Invoer!$A$5),1,1)+INT((ROWS(B$2:B8633)-1)/24),"""18""jjmmdd")</f>
        <v>18981226</v>
      </c>
      <c r="C8633" s="11" t="str">
        <f>INDEX(Data,2,2+MOD(ROWS(C$2:C8633)-1,24))</f>
        <v>16.00</v>
      </c>
      <c r="D8633" s="8">
        <f t="shared" ca="1" si="404"/>
        <v>10</v>
      </c>
      <c r="E8633" s="16">
        <f t="shared" ca="1" si="405"/>
        <v>0</v>
      </c>
    </row>
    <row r="8634" spans="1:5" x14ac:dyDescent="0.25">
      <c r="A8634" s="3">
        <f t="shared" si="403"/>
        <v>78989</v>
      </c>
      <c r="B8634" t="str">
        <f ca="1">TEXT(DATE(YEAR(Invoer!$A$5),1,1)+INT((ROWS(B$2:B8634)-1)/24),"""18""jjmmdd")</f>
        <v>18981226</v>
      </c>
      <c r="C8634" s="11" t="str">
        <f>INDEX(Data,2,2+MOD(ROWS(C$2:C8634)-1,24))</f>
        <v>17.00</v>
      </c>
      <c r="D8634" s="8">
        <f t="shared" ca="1" si="404"/>
        <v>11</v>
      </c>
      <c r="E8634" s="16">
        <f t="shared" ca="1" si="405"/>
        <v>0</v>
      </c>
    </row>
    <row r="8635" spans="1:5" x14ac:dyDescent="0.25">
      <c r="A8635" s="3">
        <f t="shared" si="403"/>
        <v>78989</v>
      </c>
      <c r="B8635" t="str">
        <f ca="1">TEXT(DATE(YEAR(Invoer!$A$5),1,1)+INT((ROWS(B$2:B8635)-1)/24),"""18""jjmmdd")</f>
        <v>18981226</v>
      </c>
      <c r="C8635" s="11" t="str">
        <f>INDEX(Data,2,2+MOD(ROWS(C$2:C8635)-1,24))</f>
        <v>18.00</v>
      </c>
      <c r="D8635" s="8">
        <f t="shared" ca="1" si="404"/>
        <v>9</v>
      </c>
      <c r="E8635" s="16">
        <f t="shared" ca="1" si="405"/>
        <v>0</v>
      </c>
    </row>
    <row r="8636" spans="1:5" x14ac:dyDescent="0.25">
      <c r="A8636" s="3">
        <f t="shared" si="403"/>
        <v>78989</v>
      </c>
      <c r="B8636" t="str">
        <f ca="1">TEXT(DATE(YEAR(Invoer!$A$5),1,1)+INT((ROWS(B$2:B8636)-1)/24),"""18""jjmmdd")</f>
        <v>18981226</v>
      </c>
      <c r="C8636" s="11" t="str">
        <f>INDEX(Data,2,2+MOD(ROWS(C$2:C8636)-1,24))</f>
        <v>19.00</v>
      </c>
      <c r="D8636" s="8">
        <f t="shared" ca="1" si="404"/>
        <v>8</v>
      </c>
      <c r="E8636" s="16">
        <f t="shared" ca="1" si="405"/>
        <v>0</v>
      </c>
    </row>
    <row r="8637" spans="1:5" x14ac:dyDescent="0.25">
      <c r="A8637" s="3">
        <f t="shared" si="403"/>
        <v>78989</v>
      </c>
      <c r="B8637" t="str">
        <f ca="1">TEXT(DATE(YEAR(Invoer!$A$5),1,1)+INT((ROWS(B$2:B8637)-1)/24),"""18""jjmmdd")</f>
        <v>18981226</v>
      </c>
      <c r="C8637" s="11" t="str">
        <f>INDEX(Data,2,2+MOD(ROWS(C$2:C8637)-1,24))</f>
        <v>20.00</v>
      </c>
      <c r="D8637" s="8">
        <f t="shared" ca="1" si="404"/>
        <v>8</v>
      </c>
      <c r="E8637" s="16">
        <f t="shared" ca="1" si="405"/>
        <v>0</v>
      </c>
    </row>
    <row r="8638" spans="1:5" x14ac:dyDescent="0.25">
      <c r="A8638" s="3">
        <f t="shared" si="403"/>
        <v>78989</v>
      </c>
      <c r="B8638" t="str">
        <f ca="1">TEXT(DATE(YEAR(Invoer!$A$5),1,1)+INT((ROWS(B$2:B8638)-1)/24),"""18""jjmmdd")</f>
        <v>18981226</v>
      </c>
      <c r="C8638" s="11" t="str">
        <f>INDEX(Data,2,2+MOD(ROWS(C$2:C8638)-1,24))</f>
        <v>21.00</v>
      </c>
      <c r="D8638" s="8">
        <f t="shared" ca="1" si="404"/>
        <v>7</v>
      </c>
      <c r="E8638" s="16">
        <f t="shared" ca="1" si="405"/>
        <v>0</v>
      </c>
    </row>
    <row r="8639" spans="1:5" x14ac:dyDescent="0.25">
      <c r="A8639" s="3">
        <f t="shared" si="403"/>
        <v>78989</v>
      </c>
      <c r="B8639" t="str">
        <f ca="1">TEXT(DATE(YEAR(Invoer!$A$5),1,1)+INT((ROWS(B$2:B8639)-1)/24),"""18""jjmmdd")</f>
        <v>18981226</v>
      </c>
      <c r="C8639" s="11" t="str">
        <f>INDEX(Data,2,2+MOD(ROWS(C$2:C8639)-1,24))</f>
        <v>22.00</v>
      </c>
      <c r="D8639" s="8">
        <f t="shared" ca="1" si="404"/>
        <v>7</v>
      </c>
      <c r="E8639" s="16">
        <f t="shared" ca="1" si="405"/>
        <v>0</v>
      </c>
    </row>
    <row r="8640" spans="1:5" x14ac:dyDescent="0.25">
      <c r="A8640" s="3">
        <f t="shared" si="403"/>
        <v>78989</v>
      </c>
      <c r="B8640" t="str">
        <f ca="1">TEXT(DATE(YEAR(Invoer!$A$5),1,1)+INT((ROWS(B$2:B8640)-1)/24),"""18""jjmmdd")</f>
        <v>18981226</v>
      </c>
      <c r="C8640" s="11" t="str">
        <f>INDEX(Data,2,2+MOD(ROWS(C$2:C8640)-1,24))</f>
        <v>23.00</v>
      </c>
      <c r="D8640" s="8">
        <f t="shared" ca="1" si="404"/>
        <v>6</v>
      </c>
      <c r="E8640" s="16">
        <f t="shared" ca="1" si="405"/>
        <v>0</v>
      </c>
    </row>
    <row r="8641" spans="1:5" x14ac:dyDescent="0.25">
      <c r="A8641" s="3">
        <f t="shared" si="403"/>
        <v>78989</v>
      </c>
      <c r="B8641" t="str">
        <f ca="1">TEXT(DATE(YEAR(Invoer!$A$5),1,1)+INT((ROWS(B$2:B8641)-1)/24),"""18""jjmmdd")</f>
        <v>18981226</v>
      </c>
      <c r="C8641" s="11" t="str">
        <f>INDEX(Data,2,2+MOD(ROWS(C$2:C8641)-1,24))</f>
        <v>24.00</v>
      </c>
      <c r="D8641" s="8">
        <f t="shared" ca="1" si="404"/>
        <v>5</v>
      </c>
      <c r="E8641" s="16">
        <f t="shared" ca="1" si="405"/>
        <v>0</v>
      </c>
    </row>
    <row r="8642" spans="1:5" x14ac:dyDescent="0.25">
      <c r="A8642" s="3">
        <f t="shared" ref="A8642:A8705" si="406">INDEX(Stations,2,1)</f>
        <v>78989</v>
      </c>
      <c r="B8642" t="str">
        <f ca="1">TEXT(DATE(YEAR(Invoer!$A$5),1,1)+INT((ROWS(B$2:B8642)-1)/24),"""18""jjmmdd")</f>
        <v>18981227</v>
      </c>
      <c r="C8642" s="11" t="str">
        <f>INDEX(Data,2,2+MOD(ROWS(C$2:C8642)-1,24))</f>
        <v>01.00</v>
      </c>
      <c r="D8642" s="8">
        <f t="shared" ref="D8642:D8705" ca="1" si="407">IF(OR(ISBLANK(VLOOKUP(DATEVALUE("37"&amp;MID($B8642,3,2)&amp;"-"&amp;MID($B8642,5,2)&amp;"-"&amp;RIGHT($B8642,2)),Data,MATCH(LEFT(VLOOKUP(D$1,Parameters,2,FALSE()),4)&amp;"*",OFFSET(Data,0,0,1),0)+MATCH($C8642,OFFSET(Data,1,0,1),0)-2,FALSE())),ISTEXT(VLOOKUP(DATEVALUE("37"&amp;MID($B8642,3,2)&amp;"-"&amp;MID($B8642,5,2)&amp;"-"&amp;RIGHT($B8642,2)),Data,MATCH(LEFT(VLOOKUP(D$1,Parameters,2,FALSE()),4)&amp;"*",OFFSET(Data,0,0,1),0)+MATCH($C8642,OFFSET(Data,1,0,1),0)-2,FALSE()))),"—",VLOOKUP(DATEVALUE("37"&amp;MID($B8642,3,2)&amp;"-"&amp;MID($B8642,5,2)&amp;"-"&amp;RIGHT($B8642,2)),Data,MATCH(LEFT(VLOOKUP(D$1,Parameters,2,FALSE()),4)&amp;"*",OFFSET(Data,0,0,1),0)+MATCH($C8642,OFFSET(Data,1,0,1),0)-2,FALSE()))</f>
        <v>6</v>
      </c>
      <c r="E8642" s="16">
        <f t="shared" ca="1" si="405"/>
        <v>0</v>
      </c>
    </row>
    <row r="8643" spans="1:5" x14ac:dyDescent="0.25">
      <c r="A8643" s="3">
        <f t="shared" si="406"/>
        <v>78989</v>
      </c>
      <c r="B8643" t="str">
        <f ca="1">TEXT(DATE(YEAR(Invoer!$A$5),1,1)+INT((ROWS(B$2:B8643)-1)/24),"""18""jjmmdd")</f>
        <v>18981227</v>
      </c>
      <c r="C8643" s="11" t="str">
        <f>INDEX(Data,2,2+MOD(ROWS(C$2:C8643)-1,24))</f>
        <v>02.00</v>
      </c>
      <c r="D8643" s="8">
        <f t="shared" ca="1" si="407"/>
        <v>6</v>
      </c>
      <c r="E8643" s="16">
        <f t="shared" ref="E8643:E8706" ca="1" si="408">IF(OR(ISBLANK(VLOOKUP(DATEVALUE("37"&amp;MID($B8643,3,2)&amp;"-"&amp;MID($B8643,5,2)&amp;"-"&amp;RIGHT($B8643,2)),Data,MATCH(LEFT(VLOOKUP(D$1,Parameters,2,FALSE()),4)&amp;"*",OFFSET(Data,0,0,1),0)+MATCH($C8643,OFFSET(Data,1,0,1),0)-2,FALSE())),ISTEXT(VLOOKUP(DATEVALUE("37"&amp;MID($B8643,3,2)&amp;"-"&amp;MID($B8643,5,2)&amp;"-"&amp;RIGHT($B8643,2)),Data,MATCH(LEFT(VLOOKUP(D$1,Parameters,2,FALSE()),4)&amp;"*",OFFSET(Data,0,0,1),0)+MATCH($C8643,OFFSET(Data,1,0,1),0)-2,FALSE()))),Lacking,IF(ISNA(MATCH(DATEVALUE("37"&amp;MID($B8643,3,2)&amp;"-"&amp;MID($B8643,5,2)&amp;"-"&amp;RIGHT($B8643,2)),OFFSET(Catalogus,0,0,,1),0)),Ok,VLOOKUP(DATEVALUE("37"&amp;MID($B8643,3,2)&amp;"-"&amp;MID($B8643,5,2)&amp;"-"&amp;RIGHT($B8643,2)),Catalogus,MATCH(LEFT(VLOOKUP(MID(E$1,2,LEN(E$1)-1),Parameters,2,FALSE()),4)&amp;"*",OFFSET(Catalogus,0,0,1),0)+MATCH($C8643,OFFSET(Catalogus,1,0,1),0)-2,FALSE())))</f>
        <v>0</v>
      </c>
    </row>
    <row r="8644" spans="1:5" x14ac:dyDescent="0.25">
      <c r="A8644" s="3">
        <f t="shared" si="406"/>
        <v>78989</v>
      </c>
      <c r="B8644" t="str">
        <f ca="1">TEXT(DATE(YEAR(Invoer!$A$5),1,1)+INT((ROWS(B$2:B8644)-1)/24),"""18""jjmmdd")</f>
        <v>18981227</v>
      </c>
      <c r="C8644" s="11" t="str">
        <f>INDEX(Data,2,2+MOD(ROWS(C$2:C8644)-1,24))</f>
        <v>03.00</v>
      </c>
      <c r="D8644" s="8">
        <f t="shared" ca="1" si="407"/>
        <v>5</v>
      </c>
      <c r="E8644" s="16">
        <f t="shared" ca="1" si="408"/>
        <v>0</v>
      </c>
    </row>
    <row r="8645" spans="1:5" x14ac:dyDescent="0.25">
      <c r="A8645" s="3">
        <f t="shared" si="406"/>
        <v>78989</v>
      </c>
      <c r="B8645" t="str">
        <f ca="1">TEXT(DATE(YEAR(Invoer!$A$5),1,1)+INT((ROWS(B$2:B8645)-1)/24),"""18""jjmmdd")</f>
        <v>18981227</v>
      </c>
      <c r="C8645" s="11" t="str">
        <f>INDEX(Data,2,2+MOD(ROWS(C$2:C8645)-1,24))</f>
        <v>04.00</v>
      </c>
      <c r="D8645" s="8">
        <f t="shared" ca="1" si="407"/>
        <v>5</v>
      </c>
      <c r="E8645" s="16">
        <f t="shared" ca="1" si="408"/>
        <v>0</v>
      </c>
    </row>
    <row r="8646" spans="1:5" x14ac:dyDescent="0.25">
      <c r="A8646" s="3">
        <f t="shared" si="406"/>
        <v>78989</v>
      </c>
      <c r="B8646" t="str">
        <f ca="1">TEXT(DATE(YEAR(Invoer!$A$5),1,1)+INT((ROWS(B$2:B8646)-1)/24),"""18""jjmmdd")</f>
        <v>18981227</v>
      </c>
      <c r="C8646" s="11" t="str">
        <f>INDEX(Data,2,2+MOD(ROWS(C$2:C8646)-1,24))</f>
        <v>05.00</v>
      </c>
      <c r="D8646" s="8">
        <f t="shared" ca="1" si="407"/>
        <v>7</v>
      </c>
      <c r="E8646" s="16">
        <f t="shared" ca="1" si="408"/>
        <v>0</v>
      </c>
    </row>
    <row r="8647" spans="1:5" x14ac:dyDescent="0.25">
      <c r="A8647" s="3">
        <f t="shared" si="406"/>
        <v>78989</v>
      </c>
      <c r="B8647" t="str">
        <f ca="1">TEXT(DATE(YEAR(Invoer!$A$5),1,1)+INT((ROWS(B$2:B8647)-1)/24),"""18""jjmmdd")</f>
        <v>18981227</v>
      </c>
      <c r="C8647" s="11" t="str">
        <f>INDEX(Data,2,2+MOD(ROWS(C$2:C8647)-1,24))</f>
        <v>06.00</v>
      </c>
      <c r="D8647" s="8">
        <f t="shared" ca="1" si="407"/>
        <v>8</v>
      </c>
      <c r="E8647" s="16">
        <f t="shared" ca="1" si="408"/>
        <v>0</v>
      </c>
    </row>
    <row r="8648" spans="1:5" x14ac:dyDescent="0.25">
      <c r="A8648" s="3">
        <f t="shared" si="406"/>
        <v>78989</v>
      </c>
      <c r="B8648" t="str">
        <f ca="1">TEXT(DATE(YEAR(Invoer!$A$5),1,1)+INT((ROWS(B$2:B8648)-1)/24),"""18""jjmmdd")</f>
        <v>18981227</v>
      </c>
      <c r="C8648" s="11" t="str">
        <f>INDEX(Data,2,2+MOD(ROWS(C$2:C8648)-1,24))</f>
        <v>07.00</v>
      </c>
      <c r="D8648" s="8">
        <f t="shared" ca="1" si="407"/>
        <v>5</v>
      </c>
      <c r="E8648" s="16">
        <f t="shared" ca="1" si="408"/>
        <v>0</v>
      </c>
    </row>
    <row r="8649" spans="1:5" x14ac:dyDescent="0.25">
      <c r="A8649" s="3">
        <f t="shared" si="406"/>
        <v>78989</v>
      </c>
      <c r="B8649" t="str">
        <f ca="1">TEXT(DATE(YEAR(Invoer!$A$5),1,1)+INT((ROWS(B$2:B8649)-1)/24),"""18""jjmmdd")</f>
        <v>18981227</v>
      </c>
      <c r="C8649" s="11" t="str">
        <f>INDEX(Data,2,2+MOD(ROWS(C$2:C8649)-1,24))</f>
        <v>08.00</v>
      </c>
      <c r="D8649" s="8">
        <f t="shared" ca="1" si="407"/>
        <v>9</v>
      </c>
      <c r="E8649" s="16">
        <f t="shared" ca="1" si="408"/>
        <v>0</v>
      </c>
    </row>
    <row r="8650" spans="1:5" x14ac:dyDescent="0.25">
      <c r="A8650" s="3">
        <f t="shared" si="406"/>
        <v>78989</v>
      </c>
      <c r="B8650" t="str">
        <f ca="1">TEXT(DATE(YEAR(Invoer!$A$5),1,1)+INT((ROWS(B$2:B8650)-1)/24),"""18""jjmmdd")</f>
        <v>18981227</v>
      </c>
      <c r="C8650" s="11" t="str">
        <f>INDEX(Data,2,2+MOD(ROWS(C$2:C8650)-1,24))</f>
        <v>09.00</v>
      </c>
      <c r="D8650" s="8">
        <f t="shared" ca="1" si="407"/>
        <v>8</v>
      </c>
      <c r="E8650" s="16">
        <f t="shared" ca="1" si="408"/>
        <v>0</v>
      </c>
    </row>
    <row r="8651" spans="1:5" x14ac:dyDescent="0.25">
      <c r="A8651" s="3">
        <f t="shared" si="406"/>
        <v>78989</v>
      </c>
      <c r="B8651" t="str">
        <f ca="1">TEXT(DATE(YEAR(Invoer!$A$5),1,1)+INT((ROWS(B$2:B8651)-1)/24),"""18""jjmmdd")</f>
        <v>18981227</v>
      </c>
      <c r="C8651" s="11" t="str">
        <f>INDEX(Data,2,2+MOD(ROWS(C$2:C8651)-1,24))</f>
        <v>10.00</v>
      </c>
      <c r="D8651" s="8">
        <f t="shared" ca="1" si="407"/>
        <v>8</v>
      </c>
      <c r="E8651" s="16">
        <f t="shared" ca="1" si="408"/>
        <v>0</v>
      </c>
    </row>
    <row r="8652" spans="1:5" x14ac:dyDescent="0.25">
      <c r="A8652" s="3">
        <f t="shared" si="406"/>
        <v>78989</v>
      </c>
      <c r="B8652" t="str">
        <f ca="1">TEXT(DATE(YEAR(Invoer!$A$5),1,1)+INT((ROWS(B$2:B8652)-1)/24),"""18""jjmmdd")</f>
        <v>18981227</v>
      </c>
      <c r="C8652" s="11" t="str">
        <f>INDEX(Data,2,2+MOD(ROWS(C$2:C8652)-1,24))</f>
        <v>11.00</v>
      </c>
      <c r="D8652" s="8">
        <f t="shared" ca="1" si="407"/>
        <v>11</v>
      </c>
      <c r="E8652" s="16">
        <f t="shared" ca="1" si="408"/>
        <v>0</v>
      </c>
    </row>
    <row r="8653" spans="1:5" x14ac:dyDescent="0.25">
      <c r="A8653" s="3">
        <f t="shared" si="406"/>
        <v>78989</v>
      </c>
      <c r="B8653" t="str">
        <f ca="1">TEXT(DATE(YEAR(Invoer!$A$5),1,1)+INT((ROWS(B$2:B8653)-1)/24),"""18""jjmmdd")</f>
        <v>18981227</v>
      </c>
      <c r="C8653" s="11" t="str">
        <f>INDEX(Data,2,2+MOD(ROWS(C$2:C8653)-1,24))</f>
        <v>12.00</v>
      </c>
      <c r="D8653" s="8">
        <f t="shared" ca="1" si="407"/>
        <v>9</v>
      </c>
      <c r="E8653" s="16">
        <f t="shared" ca="1" si="408"/>
        <v>0</v>
      </c>
    </row>
    <row r="8654" spans="1:5" x14ac:dyDescent="0.25">
      <c r="A8654" s="3">
        <f t="shared" si="406"/>
        <v>78989</v>
      </c>
      <c r="B8654" t="str">
        <f ca="1">TEXT(DATE(YEAR(Invoer!$A$5),1,1)+INT((ROWS(B$2:B8654)-1)/24),"""18""jjmmdd")</f>
        <v>18981227</v>
      </c>
      <c r="C8654" s="11" t="str">
        <f>INDEX(Data,2,2+MOD(ROWS(C$2:C8654)-1,24))</f>
        <v>13.00</v>
      </c>
      <c r="D8654" s="8">
        <f t="shared" ca="1" si="407"/>
        <v>11</v>
      </c>
      <c r="E8654" s="16">
        <f t="shared" ca="1" si="408"/>
        <v>0</v>
      </c>
    </row>
    <row r="8655" spans="1:5" x14ac:dyDescent="0.25">
      <c r="A8655" s="3">
        <f t="shared" si="406"/>
        <v>78989</v>
      </c>
      <c r="B8655" t="str">
        <f ca="1">TEXT(DATE(YEAR(Invoer!$A$5),1,1)+INT((ROWS(B$2:B8655)-1)/24),"""18""jjmmdd")</f>
        <v>18981227</v>
      </c>
      <c r="C8655" s="11" t="str">
        <f>INDEX(Data,2,2+MOD(ROWS(C$2:C8655)-1,24))</f>
        <v>14.00</v>
      </c>
      <c r="D8655" s="8">
        <f t="shared" ca="1" si="407"/>
        <v>13</v>
      </c>
      <c r="E8655" s="16">
        <f t="shared" ca="1" si="408"/>
        <v>0</v>
      </c>
    </row>
    <row r="8656" spans="1:5" x14ac:dyDescent="0.25">
      <c r="A8656" s="3">
        <f t="shared" si="406"/>
        <v>78989</v>
      </c>
      <c r="B8656" t="str">
        <f ca="1">TEXT(DATE(YEAR(Invoer!$A$5),1,1)+INT((ROWS(B$2:B8656)-1)/24),"""18""jjmmdd")</f>
        <v>18981227</v>
      </c>
      <c r="C8656" s="11" t="str">
        <f>INDEX(Data,2,2+MOD(ROWS(C$2:C8656)-1,24))</f>
        <v>15.00</v>
      </c>
      <c r="D8656" s="8">
        <f t="shared" ca="1" si="407"/>
        <v>13</v>
      </c>
      <c r="E8656" s="16">
        <f t="shared" ca="1" si="408"/>
        <v>0</v>
      </c>
    </row>
    <row r="8657" spans="1:5" x14ac:dyDescent="0.25">
      <c r="A8657" s="3">
        <f t="shared" si="406"/>
        <v>78989</v>
      </c>
      <c r="B8657" t="str">
        <f ca="1">TEXT(DATE(YEAR(Invoer!$A$5),1,1)+INT((ROWS(B$2:B8657)-1)/24),"""18""jjmmdd")</f>
        <v>18981227</v>
      </c>
      <c r="C8657" s="11" t="str">
        <f>INDEX(Data,2,2+MOD(ROWS(C$2:C8657)-1,24))</f>
        <v>16.00</v>
      </c>
      <c r="D8657" s="8">
        <f t="shared" ca="1" si="407"/>
        <v>13</v>
      </c>
      <c r="E8657" s="16">
        <f t="shared" ca="1" si="408"/>
        <v>0</v>
      </c>
    </row>
    <row r="8658" spans="1:5" x14ac:dyDescent="0.25">
      <c r="A8658" s="3">
        <f t="shared" si="406"/>
        <v>78989</v>
      </c>
      <c r="B8658" t="str">
        <f ca="1">TEXT(DATE(YEAR(Invoer!$A$5),1,1)+INT((ROWS(B$2:B8658)-1)/24),"""18""jjmmdd")</f>
        <v>18981227</v>
      </c>
      <c r="C8658" s="11" t="str">
        <f>INDEX(Data,2,2+MOD(ROWS(C$2:C8658)-1,24))</f>
        <v>17.00</v>
      </c>
      <c r="D8658" s="8">
        <f t="shared" ca="1" si="407"/>
        <v>9</v>
      </c>
      <c r="E8658" s="16">
        <f t="shared" ca="1" si="408"/>
        <v>0</v>
      </c>
    </row>
    <row r="8659" spans="1:5" x14ac:dyDescent="0.25">
      <c r="A8659" s="3">
        <f t="shared" si="406"/>
        <v>78989</v>
      </c>
      <c r="B8659" t="str">
        <f ca="1">TEXT(DATE(YEAR(Invoer!$A$5),1,1)+INT((ROWS(B$2:B8659)-1)/24),"""18""jjmmdd")</f>
        <v>18981227</v>
      </c>
      <c r="C8659" s="11" t="str">
        <f>INDEX(Data,2,2+MOD(ROWS(C$2:C8659)-1,24))</f>
        <v>18.00</v>
      </c>
      <c r="D8659" s="8">
        <f t="shared" ca="1" si="407"/>
        <v>9</v>
      </c>
      <c r="E8659" s="16">
        <f t="shared" ca="1" si="408"/>
        <v>0</v>
      </c>
    </row>
    <row r="8660" spans="1:5" x14ac:dyDescent="0.25">
      <c r="A8660" s="3">
        <f t="shared" si="406"/>
        <v>78989</v>
      </c>
      <c r="B8660" t="str">
        <f ca="1">TEXT(DATE(YEAR(Invoer!$A$5),1,1)+INT((ROWS(B$2:B8660)-1)/24),"""18""jjmmdd")</f>
        <v>18981227</v>
      </c>
      <c r="C8660" s="11" t="str">
        <f>INDEX(Data,2,2+MOD(ROWS(C$2:C8660)-1,24))</f>
        <v>19.00</v>
      </c>
      <c r="D8660" s="8">
        <f t="shared" ca="1" si="407"/>
        <v>7</v>
      </c>
      <c r="E8660" s="16">
        <f t="shared" ca="1" si="408"/>
        <v>0</v>
      </c>
    </row>
    <row r="8661" spans="1:5" x14ac:dyDescent="0.25">
      <c r="A8661" s="3">
        <f t="shared" si="406"/>
        <v>78989</v>
      </c>
      <c r="B8661" t="str">
        <f ca="1">TEXT(DATE(YEAR(Invoer!$A$5),1,1)+INT((ROWS(B$2:B8661)-1)/24),"""18""jjmmdd")</f>
        <v>18981227</v>
      </c>
      <c r="C8661" s="11" t="str">
        <f>INDEX(Data,2,2+MOD(ROWS(C$2:C8661)-1,24))</f>
        <v>20.00</v>
      </c>
      <c r="D8661" s="8">
        <f t="shared" ca="1" si="407"/>
        <v>11</v>
      </c>
      <c r="E8661" s="16">
        <f t="shared" ca="1" si="408"/>
        <v>0</v>
      </c>
    </row>
    <row r="8662" spans="1:5" x14ac:dyDescent="0.25">
      <c r="A8662" s="3">
        <f t="shared" si="406"/>
        <v>78989</v>
      </c>
      <c r="B8662" t="str">
        <f ca="1">TEXT(DATE(YEAR(Invoer!$A$5),1,1)+INT((ROWS(B$2:B8662)-1)/24),"""18""jjmmdd")</f>
        <v>18981227</v>
      </c>
      <c r="C8662" s="11" t="str">
        <f>INDEX(Data,2,2+MOD(ROWS(C$2:C8662)-1,24))</f>
        <v>21.00</v>
      </c>
      <c r="D8662" s="8">
        <f t="shared" ca="1" si="407"/>
        <v>8</v>
      </c>
      <c r="E8662" s="16">
        <f t="shared" ca="1" si="408"/>
        <v>0</v>
      </c>
    </row>
    <row r="8663" spans="1:5" x14ac:dyDescent="0.25">
      <c r="A8663" s="3">
        <f t="shared" si="406"/>
        <v>78989</v>
      </c>
      <c r="B8663" t="str">
        <f ca="1">TEXT(DATE(YEAR(Invoer!$A$5),1,1)+INT((ROWS(B$2:B8663)-1)/24),"""18""jjmmdd")</f>
        <v>18981227</v>
      </c>
      <c r="C8663" s="11" t="str">
        <f>INDEX(Data,2,2+MOD(ROWS(C$2:C8663)-1,24))</f>
        <v>22.00</v>
      </c>
      <c r="D8663" s="8">
        <f t="shared" ca="1" si="407"/>
        <v>5</v>
      </c>
      <c r="E8663" s="16">
        <f t="shared" ca="1" si="408"/>
        <v>0</v>
      </c>
    </row>
    <row r="8664" spans="1:5" x14ac:dyDescent="0.25">
      <c r="A8664" s="3">
        <f t="shared" si="406"/>
        <v>78989</v>
      </c>
      <c r="B8664" t="str">
        <f ca="1">TEXT(DATE(YEAR(Invoer!$A$5),1,1)+INT((ROWS(B$2:B8664)-1)/24),"""18""jjmmdd")</f>
        <v>18981227</v>
      </c>
      <c r="C8664" s="11" t="str">
        <f>INDEX(Data,2,2+MOD(ROWS(C$2:C8664)-1,24))</f>
        <v>23.00</v>
      </c>
      <c r="D8664" s="8">
        <f t="shared" ca="1" si="407"/>
        <v>8</v>
      </c>
      <c r="E8664" s="16">
        <f t="shared" ca="1" si="408"/>
        <v>0</v>
      </c>
    </row>
    <row r="8665" spans="1:5" x14ac:dyDescent="0.25">
      <c r="A8665" s="3">
        <f t="shared" si="406"/>
        <v>78989</v>
      </c>
      <c r="B8665" t="str">
        <f ca="1">TEXT(DATE(YEAR(Invoer!$A$5),1,1)+INT((ROWS(B$2:B8665)-1)/24),"""18""jjmmdd")</f>
        <v>18981227</v>
      </c>
      <c r="C8665" s="11" t="str">
        <f>INDEX(Data,2,2+MOD(ROWS(C$2:C8665)-1,24))</f>
        <v>24.00</v>
      </c>
      <c r="D8665" s="8">
        <f t="shared" ca="1" si="407"/>
        <v>7</v>
      </c>
      <c r="E8665" s="16">
        <f t="shared" ca="1" si="408"/>
        <v>0</v>
      </c>
    </row>
    <row r="8666" spans="1:5" x14ac:dyDescent="0.25">
      <c r="A8666" s="3">
        <f t="shared" si="406"/>
        <v>78989</v>
      </c>
      <c r="B8666" t="str">
        <f ca="1">TEXT(DATE(YEAR(Invoer!$A$5),1,1)+INT((ROWS(B$2:B8666)-1)/24),"""18""jjmmdd")</f>
        <v>18981228</v>
      </c>
      <c r="C8666" s="11" t="str">
        <f>INDEX(Data,2,2+MOD(ROWS(C$2:C8666)-1,24))</f>
        <v>01.00</v>
      </c>
      <c r="D8666" s="8">
        <f t="shared" ca="1" si="407"/>
        <v>9</v>
      </c>
      <c r="E8666" s="16">
        <f t="shared" ca="1" si="408"/>
        <v>0</v>
      </c>
    </row>
    <row r="8667" spans="1:5" x14ac:dyDescent="0.25">
      <c r="A8667" s="3">
        <f t="shared" si="406"/>
        <v>78989</v>
      </c>
      <c r="B8667" t="str">
        <f ca="1">TEXT(DATE(YEAR(Invoer!$A$5),1,1)+INT((ROWS(B$2:B8667)-1)/24),"""18""jjmmdd")</f>
        <v>18981228</v>
      </c>
      <c r="C8667" s="11" t="str">
        <f>INDEX(Data,2,2+MOD(ROWS(C$2:C8667)-1,24))</f>
        <v>02.00</v>
      </c>
      <c r="D8667" s="8">
        <f t="shared" ca="1" si="407"/>
        <v>7</v>
      </c>
      <c r="E8667" s="16">
        <f t="shared" ca="1" si="408"/>
        <v>0</v>
      </c>
    </row>
    <row r="8668" spans="1:5" x14ac:dyDescent="0.25">
      <c r="A8668" s="3">
        <f t="shared" si="406"/>
        <v>78989</v>
      </c>
      <c r="B8668" t="str">
        <f ca="1">TEXT(DATE(YEAR(Invoer!$A$5),1,1)+INT((ROWS(B$2:B8668)-1)/24),"""18""jjmmdd")</f>
        <v>18981228</v>
      </c>
      <c r="C8668" s="11" t="str">
        <f>INDEX(Data,2,2+MOD(ROWS(C$2:C8668)-1,24))</f>
        <v>03.00</v>
      </c>
      <c r="D8668" s="8">
        <f t="shared" ca="1" si="407"/>
        <v>7</v>
      </c>
      <c r="E8668" s="16">
        <f t="shared" ca="1" si="408"/>
        <v>0</v>
      </c>
    </row>
    <row r="8669" spans="1:5" x14ac:dyDescent="0.25">
      <c r="A8669" s="3">
        <f t="shared" si="406"/>
        <v>78989</v>
      </c>
      <c r="B8669" t="str">
        <f ca="1">TEXT(DATE(YEAR(Invoer!$A$5),1,1)+INT((ROWS(B$2:B8669)-1)/24),"""18""jjmmdd")</f>
        <v>18981228</v>
      </c>
      <c r="C8669" s="11" t="str">
        <f>INDEX(Data,2,2+MOD(ROWS(C$2:C8669)-1,24))</f>
        <v>04.00</v>
      </c>
      <c r="D8669" s="8">
        <f t="shared" ca="1" si="407"/>
        <v>8</v>
      </c>
      <c r="E8669" s="16">
        <f t="shared" ca="1" si="408"/>
        <v>0</v>
      </c>
    </row>
    <row r="8670" spans="1:5" x14ac:dyDescent="0.25">
      <c r="A8670" s="3">
        <f t="shared" si="406"/>
        <v>78989</v>
      </c>
      <c r="B8670" t="str">
        <f ca="1">TEXT(DATE(YEAR(Invoer!$A$5),1,1)+INT((ROWS(B$2:B8670)-1)/24),"""18""jjmmdd")</f>
        <v>18981228</v>
      </c>
      <c r="C8670" s="11" t="str">
        <f>INDEX(Data,2,2+MOD(ROWS(C$2:C8670)-1,24))</f>
        <v>05.00</v>
      </c>
      <c r="D8670" s="8">
        <f t="shared" ca="1" si="407"/>
        <v>8</v>
      </c>
      <c r="E8670" s="16">
        <f t="shared" ca="1" si="408"/>
        <v>0</v>
      </c>
    </row>
    <row r="8671" spans="1:5" x14ac:dyDescent="0.25">
      <c r="A8671" s="3">
        <f t="shared" si="406"/>
        <v>78989</v>
      </c>
      <c r="B8671" t="str">
        <f ca="1">TEXT(DATE(YEAR(Invoer!$A$5),1,1)+INT((ROWS(B$2:B8671)-1)/24),"""18""jjmmdd")</f>
        <v>18981228</v>
      </c>
      <c r="C8671" s="11" t="str">
        <f>INDEX(Data,2,2+MOD(ROWS(C$2:C8671)-1,24))</f>
        <v>06.00</v>
      </c>
      <c r="D8671" s="8">
        <f t="shared" ca="1" si="407"/>
        <v>7</v>
      </c>
      <c r="E8671" s="16">
        <f t="shared" ca="1" si="408"/>
        <v>0</v>
      </c>
    </row>
    <row r="8672" spans="1:5" x14ac:dyDescent="0.25">
      <c r="A8672" s="3">
        <f t="shared" si="406"/>
        <v>78989</v>
      </c>
      <c r="B8672" t="str">
        <f ca="1">TEXT(DATE(YEAR(Invoer!$A$5),1,1)+INT((ROWS(B$2:B8672)-1)/24),"""18""jjmmdd")</f>
        <v>18981228</v>
      </c>
      <c r="C8672" s="11" t="str">
        <f>INDEX(Data,2,2+MOD(ROWS(C$2:C8672)-1,24))</f>
        <v>07.00</v>
      </c>
      <c r="D8672" s="8">
        <f t="shared" ca="1" si="407"/>
        <v>10</v>
      </c>
      <c r="E8672" s="16">
        <f t="shared" ca="1" si="408"/>
        <v>0</v>
      </c>
    </row>
    <row r="8673" spans="1:5" x14ac:dyDescent="0.25">
      <c r="A8673" s="3">
        <f t="shared" si="406"/>
        <v>78989</v>
      </c>
      <c r="B8673" t="str">
        <f ca="1">TEXT(DATE(YEAR(Invoer!$A$5),1,1)+INT((ROWS(B$2:B8673)-1)/24),"""18""jjmmdd")</f>
        <v>18981228</v>
      </c>
      <c r="C8673" s="11" t="str">
        <f>INDEX(Data,2,2+MOD(ROWS(C$2:C8673)-1,24))</f>
        <v>08.00</v>
      </c>
      <c r="D8673" s="8">
        <f t="shared" ca="1" si="407"/>
        <v>9</v>
      </c>
      <c r="E8673" s="16">
        <f t="shared" ca="1" si="408"/>
        <v>0</v>
      </c>
    </row>
    <row r="8674" spans="1:5" x14ac:dyDescent="0.25">
      <c r="A8674" s="3">
        <f t="shared" si="406"/>
        <v>78989</v>
      </c>
      <c r="B8674" t="str">
        <f ca="1">TEXT(DATE(YEAR(Invoer!$A$5),1,1)+INT((ROWS(B$2:B8674)-1)/24),"""18""jjmmdd")</f>
        <v>18981228</v>
      </c>
      <c r="C8674" s="11" t="str">
        <f>INDEX(Data,2,2+MOD(ROWS(C$2:C8674)-1,24))</f>
        <v>09.00</v>
      </c>
      <c r="D8674" s="8">
        <f t="shared" ca="1" si="407"/>
        <v>11</v>
      </c>
      <c r="E8674" s="16">
        <f t="shared" ca="1" si="408"/>
        <v>0</v>
      </c>
    </row>
    <row r="8675" spans="1:5" x14ac:dyDescent="0.25">
      <c r="A8675" s="3">
        <f t="shared" si="406"/>
        <v>78989</v>
      </c>
      <c r="B8675" t="str">
        <f ca="1">TEXT(DATE(YEAR(Invoer!$A$5),1,1)+INT((ROWS(B$2:B8675)-1)/24),"""18""jjmmdd")</f>
        <v>18981228</v>
      </c>
      <c r="C8675" s="11" t="str">
        <f>INDEX(Data,2,2+MOD(ROWS(C$2:C8675)-1,24))</f>
        <v>10.00</v>
      </c>
      <c r="D8675" s="8">
        <f t="shared" ca="1" si="407"/>
        <v>13</v>
      </c>
      <c r="E8675" s="16">
        <f t="shared" ca="1" si="408"/>
        <v>0</v>
      </c>
    </row>
    <row r="8676" spans="1:5" x14ac:dyDescent="0.25">
      <c r="A8676" s="3">
        <f t="shared" si="406"/>
        <v>78989</v>
      </c>
      <c r="B8676" t="str">
        <f ca="1">TEXT(DATE(YEAR(Invoer!$A$5),1,1)+INT((ROWS(B$2:B8676)-1)/24),"""18""jjmmdd")</f>
        <v>18981228</v>
      </c>
      <c r="C8676" s="11" t="str">
        <f>INDEX(Data,2,2+MOD(ROWS(C$2:C8676)-1,24))</f>
        <v>11.00</v>
      </c>
      <c r="D8676" s="8">
        <f t="shared" ca="1" si="407"/>
        <v>12</v>
      </c>
      <c r="E8676" s="16">
        <f t="shared" ca="1" si="408"/>
        <v>0</v>
      </c>
    </row>
    <row r="8677" spans="1:5" x14ac:dyDescent="0.25">
      <c r="A8677" s="3">
        <f t="shared" si="406"/>
        <v>78989</v>
      </c>
      <c r="B8677" t="str">
        <f ca="1">TEXT(DATE(YEAR(Invoer!$A$5),1,1)+INT((ROWS(B$2:B8677)-1)/24),"""18""jjmmdd")</f>
        <v>18981228</v>
      </c>
      <c r="C8677" s="11" t="str">
        <f>INDEX(Data,2,2+MOD(ROWS(C$2:C8677)-1,24))</f>
        <v>12.00</v>
      </c>
      <c r="D8677" s="8">
        <f t="shared" ca="1" si="407"/>
        <v>13</v>
      </c>
      <c r="E8677" s="16">
        <f t="shared" ca="1" si="408"/>
        <v>0</v>
      </c>
    </row>
    <row r="8678" spans="1:5" x14ac:dyDescent="0.25">
      <c r="A8678" s="3">
        <f t="shared" si="406"/>
        <v>78989</v>
      </c>
      <c r="B8678" t="str">
        <f ca="1">TEXT(DATE(YEAR(Invoer!$A$5),1,1)+INT((ROWS(B$2:B8678)-1)/24),"""18""jjmmdd")</f>
        <v>18981228</v>
      </c>
      <c r="C8678" s="11" t="str">
        <f>INDEX(Data,2,2+MOD(ROWS(C$2:C8678)-1,24))</f>
        <v>13.00</v>
      </c>
      <c r="D8678" s="8">
        <f t="shared" ca="1" si="407"/>
        <v>12</v>
      </c>
      <c r="E8678" s="16">
        <f t="shared" ca="1" si="408"/>
        <v>0</v>
      </c>
    </row>
    <row r="8679" spans="1:5" x14ac:dyDescent="0.25">
      <c r="A8679" s="3">
        <f t="shared" si="406"/>
        <v>78989</v>
      </c>
      <c r="B8679" t="str">
        <f ca="1">TEXT(DATE(YEAR(Invoer!$A$5),1,1)+INT((ROWS(B$2:B8679)-1)/24),"""18""jjmmdd")</f>
        <v>18981228</v>
      </c>
      <c r="C8679" s="11" t="str">
        <f>INDEX(Data,2,2+MOD(ROWS(C$2:C8679)-1,24))</f>
        <v>14.00</v>
      </c>
      <c r="D8679" s="8">
        <f t="shared" ca="1" si="407"/>
        <v>13</v>
      </c>
      <c r="E8679" s="16">
        <f t="shared" ca="1" si="408"/>
        <v>0</v>
      </c>
    </row>
    <row r="8680" spans="1:5" x14ac:dyDescent="0.25">
      <c r="A8680" s="3">
        <f t="shared" si="406"/>
        <v>78989</v>
      </c>
      <c r="B8680" t="str">
        <f ca="1">TEXT(DATE(YEAR(Invoer!$A$5),1,1)+INT((ROWS(B$2:B8680)-1)/24),"""18""jjmmdd")</f>
        <v>18981228</v>
      </c>
      <c r="C8680" s="11" t="str">
        <f>INDEX(Data,2,2+MOD(ROWS(C$2:C8680)-1,24))</f>
        <v>15.00</v>
      </c>
      <c r="D8680" s="8">
        <f t="shared" ca="1" si="407"/>
        <v>13</v>
      </c>
      <c r="E8680" s="16">
        <f t="shared" ca="1" si="408"/>
        <v>0</v>
      </c>
    </row>
    <row r="8681" spans="1:5" x14ac:dyDescent="0.25">
      <c r="A8681" s="3">
        <f t="shared" si="406"/>
        <v>78989</v>
      </c>
      <c r="B8681" t="str">
        <f ca="1">TEXT(DATE(YEAR(Invoer!$A$5),1,1)+INT((ROWS(B$2:B8681)-1)/24),"""18""jjmmdd")</f>
        <v>18981228</v>
      </c>
      <c r="C8681" s="11" t="str">
        <f>INDEX(Data,2,2+MOD(ROWS(C$2:C8681)-1,24))</f>
        <v>16.00</v>
      </c>
      <c r="D8681" s="8">
        <f t="shared" ca="1" si="407"/>
        <v>11</v>
      </c>
      <c r="E8681" s="16">
        <f t="shared" ca="1" si="408"/>
        <v>0</v>
      </c>
    </row>
    <row r="8682" spans="1:5" x14ac:dyDescent="0.25">
      <c r="A8682" s="3">
        <f t="shared" si="406"/>
        <v>78989</v>
      </c>
      <c r="B8682" t="str">
        <f ca="1">TEXT(DATE(YEAR(Invoer!$A$5),1,1)+INT((ROWS(B$2:B8682)-1)/24),"""18""jjmmdd")</f>
        <v>18981228</v>
      </c>
      <c r="C8682" s="11" t="str">
        <f>INDEX(Data,2,2+MOD(ROWS(C$2:C8682)-1,24))</f>
        <v>17.00</v>
      </c>
      <c r="D8682" s="8">
        <f t="shared" ca="1" si="407"/>
        <v>11</v>
      </c>
      <c r="E8682" s="16">
        <f t="shared" ca="1" si="408"/>
        <v>0</v>
      </c>
    </row>
    <row r="8683" spans="1:5" x14ac:dyDescent="0.25">
      <c r="A8683" s="3">
        <f t="shared" si="406"/>
        <v>78989</v>
      </c>
      <c r="B8683" t="str">
        <f ca="1">TEXT(DATE(YEAR(Invoer!$A$5),1,1)+INT((ROWS(B$2:B8683)-1)/24),"""18""jjmmdd")</f>
        <v>18981228</v>
      </c>
      <c r="C8683" s="11" t="str">
        <f>INDEX(Data,2,2+MOD(ROWS(C$2:C8683)-1,24))</f>
        <v>18.00</v>
      </c>
      <c r="D8683" s="8">
        <f t="shared" ca="1" si="407"/>
        <v>9</v>
      </c>
      <c r="E8683" s="16">
        <f t="shared" ca="1" si="408"/>
        <v>0</v>
      </c>
    </row>
    <row r="8684" spans="1:5" x14ac:dyDescent="0.25">
      <c r="A8684" s="3">
        <f t="shared" si="406"/>
        <v>78989</v>
      </c>
      <c r="B8684" t="str">
        <f ca="1">TEXT(DATE(YEAR(Invoer!$A$5),1,1)+INT((ROWS(B$2:B8684)-1)/24),"""18""jjmmdd")</f>
        <v>18981228</v>
      </c>
      <c r="C8684" s="11" t="str">
        <f>INDEX(Data,2,2+MOD(ROWS(C$2:C8684)-1,24))</f>
        <v>19.00</v>
      </c>
      <c r="D8684" s="8">
        <f t="shared" ca="1" si="407"/>
        <v>9</v>
      </c>
      <c r="E8684" s="16">
        <f t="shared" ca="1" si="408"/>
        <v>0</v>
      </c>
    </row>
    <row r="8685" spans="1:5" x14ac:dyDescent="0.25">
      <c r="A8685" s="3">
        <f t="shared" si="406"/>
        <v>78989</v>
      </c>
      <c r="B8685" t="str">
        <f ca="1">TEXT(DATE(YEAR(Invoer!$A$5),1,1)+INT((ROWS(B$2:B8685)-1)/24),"""18""jjmmdd")</f>
        <v>18981228</v>
      </c>
      <c r="C8685" s="11" t="str">
        <f>INDEX(Data,2,2+MOD(ROWS(C$2:C8685)-1,24))</f>
        <v>20.00</v>
      </c>
      <c r="D8685" s="8">
        <f t="shared" ca="1" si="407"/>
        <v>8</v>
      </c>
      <c r="E8685" s="16">
        <f t="shared" ca="1" si="408"/>
        <v>0</v>
      </c>
    </row>
    <row r="8686" spans="1:5" x14ac:dyDescent="0.25">
      <c r="A8686" s="3">
        <f t="shared" si="406"/>
        <v>78989</v>
      </c>
      <c r="B8686" t="str">
        <f ca="1">TEXT(DATE(YEAR(Invoer!$A$5),1,1)+INT((ROWS(B$2:B8686)-1)/24),"""18""jjmmdd")</f>
        <v>18981228</v>
      </c>
      <c r="C8686" s="11" t="str">
        <f>INDEX(Data,2,2+MOD(ROWS(C$2:C8686)-1,24))</f>
        <v>21.00</v>
      </c>
      <c r="D8686" s="8">
        <f t="shared" ca="1" si="407"/>
        <v>8</v>
      </c>
      <c r="E8686" s="16">
        <f t="shared" ca="1" si="408"/>
        <v>0</v>
      </c>
    </row>
    <row r="8687" spans="1:5" x14ac:dyDescent="0.25">
      <c r="A8687" s="3">
        <f t="shared" si="406"/>
        <v>78989</v>
      </c>
      <c r="B8687" t="str">
        <f ca="1">TEXT(DATE(YEAR(Invoer!$A$5),1,1)+INT((ROWS(B$2:B8687)-1)/24),"""18""jjmmdd")</f>
        <v>18981228</v>
      </c>
      <c r="C8687" s="11" t="str">
        <f>INDEX(Data,2,2+MOD(ROWS(C$2:C8687)-1,24))</f>
        <v>22.00</v>
      </c>
      <c r="D8687" s="8">
        <f t="shared" ca="1" si="407"/>
        <v>8</v>
      </c>
      <c r="E8687" s="16">
        <f t="shared" ca="1" si="408"/>
        <v>0</v>
      </c>
    </row>
    <row r="8688" spans="1:5" x14ac:dyDescent="0.25">
      <c r="A8688" s="3">
        <f t="shared" si="406"/>
        <v>78989</v>
      </c>
      <c r="B8688" t="str">
        <f ca="1">TEXT(DATE(YEAR(Invoer!$A$5),1,1)+INT((ROWS(B$2:B8688)-1)/24),"""18""jjmmdd")</f>
        <v>18981228</v>
      </c>
      <c r="C8688" s="11" t="str">
        <f>INDEX(Data,2,2+MOD(ROWS(C$2:C8688)-1,24))</f>
        <v>23.00</v>
      </c>
      <c r="D8688" s="8">
        <f t="shared" ca="1" si="407"/>
        <v>8</v>
      </c>
      <c r="E8688" s="16">
        <f t="shared" ca="1" si="408"/>
        <v>0</v>
      </c>
    </row>
    <row r="8689" spans="1:5" x14ac:dyDescent="0.25">
      <c r="A8689" s="3">
        <f t="shared" si="406"/>
        <v>78989</v>
      </c>
      <c r="B8689" t="str">
        <f ca="1">TEXT(DATE(YEAR(Invoer!$A$5),1,1)+INT((ROWS(B$2:B8689)-1)/24),"""18""jjmmdd")</f>
        <v>18981228</v>
      </c>
      <c r="C8689" s="11" t="str">
        <f>INDEX(Data,2,2+MOD(ROWS(C$2:C8689)-1,24))</f>
        <v>24.00</v>
      </c>
      <c r="D8689" s="8">
        <f t="shared" ca="1" si="407"/>
        <v>10</v>
      </c>
      <c r="E8689" s="16">
        <f t="shared" ca="1" si="408"/>
        <v>0</v>
      </c>
    </row>
    <row r="8690" spans="1:5" x14ac:dyDescent="0.25">
      <c r="A8690" s="3">
        <f t="shared" si="406"/>
        <v>78989</v>
      </c>
      <c r="B8690" t="str">
        <f ca="1">TEXT(DATE(YEAR(Invoer!$A$5),1,1)+INT((ROWS(B$2:B8690)-1)/24),"""18""jjmmdd")</f>
        <v>18981229</v>
      </c>
      <c r="C8690" s="11" t="str">
        <f>INDEX(Data,2,2+MOD(ROWS(C$2:C8690)-1,24))</f>
        <v>01.00</v>
      </c>
      <c r="D8690" s="8">
        <f t="shared" ca="1" si="407"/>
        <v>7</v>
      </c>
      <c r="E8690" s="16">
        <f t="shared" ca="1" si="408"/>
        <v>0</v>
      </c>
    </row>
    <row r="8691" spans="1:5" x14ac:dyDescent="0.25">
      <c r="A8691" s="3">
        <f t="shared" si="406"/>
        <v>78989</v>
      </c>
      <c r="B8691" t="str">
        <f ca="1">TEXT(DATE(YEAR(Invoer!$A$5),1,1)+INT((ROWS(B$2:B8691)-1)/24),"""18""jjmmdd")</f>
        <v>18981229</v>
      </c>
      <c r="C8691" s="11" t="str">
        <f>INDEX(Data,2,2+MOD(ROWS(C$2:C8691)-1,24))</f>
        <v>02.00</v>
      </c>
      <c r="D8691" s="8">
        <f t="shared" ca="1" si="407"/>
        <v>7</v>
      </c>
      <c r="E8691" s="16">
        <f t="shared" ca="1" si="408"/>
        <v>0</v>
      </c>
    </row>
    <row r="8692" spans="1:5" x14ac:dyDescent="0.25">
      <c r="A8692" s="3">
        <f t="shared" si="406"/>
        <v>78989</v>
      </c>
      <c r="B8692" t="str">
        <f ca="1">TEXT(DATE(YEAR(Invoer!$A$5),1,1)+INT((ROWS(B$2:B8692)-1)/24),"""18""jjmmdd")</f>
        <v>18981229</v>
      </c>
      <c r="C8692" s="11" t="str">
        <f>INDEX(Data,2,2+MOD(ROWS(C$2:C8692)-1,24))</f>
        <v>03.00</v>
      </c>
      <c r="D8692" s="8">
        <f t="shared" ca="1" si="407"/>
        <v>8</v>
      </c>
      <c r="E8692" s="16">
        <f t="shared" ca="1" si="408"/>
        <v>0</v>
      </c>
    </row>
    <row r="8693" spans="1:5" x14ac:dyDescent="0.25">
      <c r="A8693" s="3">
        <f t="shared" si="406"/>
        <v>78989</v>
      </c>
      <c r="B8693" t="str">
        <f ca="1">TEXT(DATE(YEAR(Invoer!$A$5),1,1)+INT((ROWS(B$2:B8693)-1)/24),"""18""jjmmdd")</f>
        <v>18981229</v>
      </c>
      <c r="C8693" s="11" t="str">
        <f>INDEX(Data,2,2+MOD(ROWS(C$2:C8693)-1,24))</f>
        <v>04.00</v>
      </c>
      <c r="D8693" s="8">
        <f t="shared" ca="1" si="407"/>
        <v>7</v>
      </c>
      <c r="E8693" s="16">
        <f t="shared" ca="1" si="408"/>
        <v>0</v>
      </c>
    </row>
    <row r="8694" spans="1:5" x14ac:dyDescent="0.25">
      <c r="A8694" s="3">
        <f t="shared" si="406"/>
        <v>78989</v>
      </c>
      <c r="B8694" t="str">
        <f ca="1">TEXT(DATE(YEAR(Invoer!$A$5),1,1)+INT((ROWS(B$2:B8694)-1)/24),"""18""jjmmdd")</f>
        <v>18981229</v>
      </c>
      <c r="C8694" s="11" t="str">
        <f>INDEX(Data,2,2+MOD(ROWS(C$2:C8694)-1,24))</f>
        <v>05.00</v>
      </c>
      <c r="D8694" s="8">
        <f t="shared" ca="1" si="407"/>
        <v>5</v>
      </c>
      <c r="E8694" s="16">
        <f t="shared" ca="1" si="408"/>
        <v>0</v>
      </c>
    </row>
    <row r="8695" spans="1:5" x14ac:dyDescent="0.25">
      <c r="A8695" s="3">
        <f t="shared" si="406"/>
        <v>78989</v>
      </c>
      <c r="B8695" t="str">
        <f ca="1">TEXT(DATE(YEAR(Invoer!$A$5),1,1)+INT((ROWS(B$2:B8695)-1)/24),"""18""jjmmdd")</f>
        <v>18981229</v>
      </c>
      <c r="C8695" s="11" t="str">
        <f>INDEX(Data,2,2+MOD(ROWS(C$2:C8695)-1,24))</f>
        <v>06.00</v>
      </c>
      <c r="D8695" s="8">
        <f t="shared" ca="1" si="407"/>
        <v>8</v>
      </c>
      <c r="E8695" s="16">
        <f t="shared" ca="1" si="408"/>
        <v>0</v>
      </c>
    </row>
    <row r="8696" spans="1:5" x14ac:dyDescent="0.25">
      <c r="A8696" s="3">
        <f t="shared" si="406"/>
        <v>78989</v>
      </c>
      <c r="B8696" t="str">
        <f ca="1">TEXT(DATE(YEAR(Invoer!$A$5),1,1)+INT((ROWS(B$2:B8696)-1)/24),"""18""jjmmdd")</f>
        <v>18981229</v>
      </c>
      <c r="C8696" s="11" t="str">
        <f>INDEX(Data,2,2+MOD(ROWS(C$2:C8696)-1,24))</f>
        <v>07.00</v>
      </c>
      <c r="D8696" s="8">
        <f t="shared" ca="1" si="407"/>
        <v>8</v>
      </c>
      <c r="E8696" s="16">
        <f t="shared" ca="1" si="408"/>
        <v>0</v>
      </c>
    </row>
    <row r="8697" spans="1:5" x14ac:dyDescent="0.25">
      <c r="A8697" s="3">
        <f t="shared" si="406"/>
        <v>78989</v>
      </c>
      <c r="B8697" t="str">
        <f ca="1">TEXT(DATE(YEAR(Invoer!$A$5),1,1)+INT((ROWS(B$2:B8697)-1)/24),"""18""jjmmdd")</f>
        <v>18981229</v>
      </c>
      <c r="C8697" s="11" t="str">
        <f>INDEX(Data,2,2+MOD(ROWS(C$2:C8697)-1,24))</f>
        <v>08.00</v>
      </c>
      <c r="D8697" s="8">
        <f t="shared" ca="1" si="407"/>
        <v>10</v>
      </c>
      <c r="E8697" s="16">
        <f t="shared" ca="1" si="408"/>
        <v>0</v>
      </c>
    </row>
    <row r="8698" spans="1:5" x14ac:dyDescent="0.25">
      <c r="A8698" s="3">
        <f t="shared" si="406"/>
        <v>78989</v>
      </c>
      <c r="B8698" t="str">
        <f ca="1">TEXT(DATE(YEAR(Invoer!$A$5),1,1)+INT((ROWS(B$2:B8698)-1)/24),"""18""jjmmdd")</f>
        <v>18981229</v>
      </c>
      <c r="C8698" s="11" t="str">
        <f>INDEX(Data,2,2+MOD(ROWS(C$2:C8698)-1,24))</f>
        <v>09.00</v>
      </c>
      <c r="D8698" s="8">
        <f t="shared" ca="1" si="407"/>
        <v>12</v>
      </c>
      <c r="E8698" s="16">
        <f t="shared" ca="1" si="408"/>
        <v>0</v>
      </c>
    </row>
    <row r="8699" spans="1:5" x14ac:dyDescent="0.25">
      <c r="A8699" s="3">
        <f t="shared" si="406"/>
        <v>78989</v>
      </c>
      <c r="B8699" t="str">
        <f ca="1">TEXT(DATE(YEAR(Invoer!$A$5),1,1)+INT((ROWS(B$2:B8699)-1)/24),"""18""jjmmdd")</f>
        <v>18981229</v>
      </c>
      <c r="C8699" s="11" t="str">
        <f>INDEX(Data,2,2+MOD(ROWS(C$2:C8699)-1,24))</f>
        <v>10.00</v>
      </c>
      <c r="D8699" s="8">
        <f t="shared" ca="1" si="407"/>
        <v>13</v>
      </c>
      <c r="E8699" s="16">
        <f t="shared" ca="1" si="408"/>
        <v>0</v>
      </c>
    </row>
    <row r="8700" spans="1:5" x14ac:dyDescent="0.25">
      <c r="A8700" s="3">
        <f t="shared" si="406"/>
        <v>78989</v>
      </c>
      <c r="B8700" t="str">
        <f ca="1">TEXT(DATE(YEAR(Invoer!$A$5),1,1)+INT((ROWS(B$2:B8700)-1)/24),"""18""jjmmdd")</f>
        <v>18981229</v>
      </c>
      <c r="C8700" s="11" t="str">
        <f>INDEX(Data,2,2+MOD(ROWS(C$2:C8700)-1,24))</f>
        <v>11.00</v>
      </c>
      <c r="D8700" s="8">
        <f t="shared" ca="1" si="407"/>
        <v>15</v>
      </c>
      <c r="E8700" s="16">
        <f t="shared" ca="1" si="408"/>
        <v>0</v>
      </c>
    </row>
    <row r="8701" spans="1:5" x14ac:dyDescent="0.25">
      <c r="A8701" s="3">
        <f t="shared" si="406"/>
        <v>78989</v>
      </c>
      <c r="B8701" t="str">
        <f ca="1">TEXT(DATE(YEAR(Invoer!$A$5),1,1)+INT((ROWS(B$2:B8701)-1)/24),"""18""jjmmdd")</f>
        <v>18981229</v>
      </c>
      <c r="C8701" s="11" t="str">
        <f>INDEX(Data,2,2+MOD(ROWS(C$2:C8701)-1,24))</f>
        <v>12.00</v>
      </c>
      <c r="D8701" s="8">
        <f t="shared" ca="1" si="407"/>
        <v>14</v>
      </c>
      <c r="E8701" s="16">
        <f t="shared" ca="1" si="408"/>
        <v>0</v>
      </c>
    </row>
    <row r="8702" spans="1:5" x14ac:dyDescent="0.25">
      <c r="A8702" s="3">
        <f t="shared" si="406"/>
        <v>78989</v>
      </c>
      <c r="B8702" t="str">
        <f ca="1">TEXT(DATE(YEAR(Invoer!$A$5),1,1)+INT((ROWS(B$2:B8702)-1)/24),"""18""jjmmdd")</f>
        <v>18981229</v>
      </c>
      <c r="C8702" s="11" t="str">
        <f>INDEX(Data,2,2+MOD(ROWS(C$2:C8702)-1,24))</f>
        <v>13.00</v>
      </c>
      <c r="D8702" s="8">
        <f t="shared" ca="1" si="407"/>
        <v>14</v>
      </c>
      <c r="E8702" s="16">
        <f t="shared" ca="1" si="408"/>
        <v>0</v>
      </c>
    </row>
    <row r="8703" spans="1:5" x14ac:dyDescent="0.25">
      <c r="A8703" s="3">
        <f t="shared" si="406"/>
        <v>78989</v>
      </c>
      <c r="B8703" t="str">
        <f ca="1">TEXT(DATE(YEAR(Invoer!$A$5),1,1)+INT((ROWS(B$2:B8703)-1)/24),"""18""jjmmdd")</f>
        <v>18981229</v>
      </c>
      <c r="C8703" s="11" t="str">
        <f>INDEX(Data,2,2+MOD(ROWS(C$2:C8703)-1,24))</f>
        <v>14.00</v>
      </c>
      <c r="D8703" s="8">
        <f t="shared" ca="1" si="407"/>
        <v>13</v>
      </c>
      <c r="E8703" s="16">
        <f t="shared" ca="1" si="408"/>
        <v>0</v>
      </c>
    </row>
    <row r="8704" spans="1:5" x14ac:dyDescent="0.25">
      <c r="A8704" s="3">
        <f t="shared" si="406"/>
        <v>78989</v>
      </c>
      <c r="B8704" t="str">
        <f ca="1">TEXT(DATE(YEAR(Invoer!$A$5),1,1)+INT((ROWS(B$2:B8704)-1)/24),"""18""jjmmdd")</f>
        <v>18981229</v>
      </c>
      <c r="C8704" s="11" t="str">
        <f>INDEX(Data,2,2+MOD(ROWS(C$2:C8704)-1,24))</f>
        <v>15.00</v>
      </c>
      <c r="D8704" s="8">
        <f t="shared" ca="1" si="407"/>
        <v>12</v>
      </c>
      <c r="E8704" s="16">
        <f t="shared" ca="1" si="408"/>
        <v>0</v>
      </c>
    </row>
    <row r="8705" spans="1:5" x14ac:dyDescent="0.25">
      <c r="A8705" s="3">
        <f t="shared" si="406"/>
        <v>78989</v>
      </c>
      <c r="B8705" t="str">
        <f ca="1">TEXT(DATE(YEAR(Invoer!$A$5),1,1)+INT((ROWS(B$2:B8705)-1)/24),"""18""jjmmdd")</f>
        <v>18981229</v>
      </c>
      <c r="C8705" s="11" t="str">
        <f>INDEX(Data,2,2+MOD(ROWS(C$2:C8705)-1,24))</f>
        <v>16.00</v>
      </c>
      <c r="D8705" s="8">
        <f t="shared" ca="1" si="407"/>
        <v>13</v>
      </c>
      <c r="E8705" s="16">
        <f t="shared" ca="1" si="408"/>
        <v>0</v>
      </c>
    </row>
    <row r="8706" spans="1:5" x14ac:dyDescent="0.25">
      <c r="A8706" s="3">
        <f t="shared" ref="A8706:A8761" si="409">INDEX(Stations,2,1)</f>
        <v>78989</v>
      </c>
      <c r="B8706" t="str">
        <f ca="1">TEXT(DATE(YEAR(Invoer!$A$5),1,1)+INT((ROWS(B$2:B8706)-1)/24),"""18""jjmmdd")</f>
        <v>18981229</v>
      </c>
      <c r="C8706" s="11" t="str">
        <f>INDEX(Data,2,2+MOD(ROWS(C$2:C8706)-1,24))</f>
        <v>17.00</v>
      </c>
      <c r="D8706" s="8">
        <f t="shared" ref="D8706:D8761" ca="1" si="410">IF(OR(ISBLANK(VLOOKUP(DATEVALUE("37"&amp;MID($B8706,3,2)&amp;"-"&amp;MID($B8706,5,2)&amp;"-"&amp;RIGHT($B8706,2)),Data,MATCH(LEFT(VLOOKUP(D$1,Parameters,2,FALSE()),4)&amp;"*",OFFSET(Data,0,0,1),0)+MATCH($C8706,OFFSET(Data,1,0,1),0)-2,FALSE())),ISTEXT(VLOOKUP(DATEVALUE("37"&amp;MID($B8706,3,2)&amp;"-"&amp;MID($B8706,5,2)&amp;"-"&amp;RIGHT($B8706,2)),Data,MATCH(LEFT(VLOOKUP(D$1,Parameters,2,FALSE()),4)&amp;"*",OFFSET(Data,0,0,1),0)+MATCH($C8706,OFFSET(Data,1,0,1),0)-2,FALSE()))),"—",VLOOKUP(DATEVALUE("37"&amp;MID($B8706,3,2)&amp;"-"&amp;MID($B8706,5,2)&amp;"-"&amp;RIGHT($B8706,2)),Data,MATCH(LEFT(VLOOKUP(D$1,Parameters,2,FALSE()),4)&amp;"*",OFFSET(Data,0,0,1),0)+MATCH($C8706,OFFSET(Data,1,0,1),0)-2,FALSE()))</f>
        <v>13</v>
      </c>
      <c r="E8706" s="16">
        <f t="shared" ca="1" si="408"/>
        <v>0</v>
      </c>
    </row>
    <row r="8707" spans="1:5" x14ac:dyDescent="0.25">
      <c r="A8707" s="3">
        <f t="shared" si="409"/>
        <v>78989</v>
      </c>
      <c r="B8707" t="str">
        <f ca="1">TEXT(DATE(YEAR(Invoer!$A$5),1,1)+INT((ROWS(B$2:B8707)-1)/24),"""18""jjmmdd")</f>
        <v>18981229</v>
      </c>
      <c r="C8707" s="11" t="str">
        <f>INDEX(Data,2,2+MOD(ROWS(C$2:C8707)-1,24))</f>
        <v>18.00</v>
      </c>
      <c r="D8707" s="8">
        <f t="shared" ca="1" si="410"/>
        <v>11</v>
      </c>
      <c r="E8707" s="16">
        <f t="shared" ref="E8707:E8761" ca="1" si="411">IF(OR(ISBLANK(VLOOKUP(DATEVALUE("37"&amp;MID($B8707,3,2)&amp;"-"&amp;MID($B8707,5,2)&amp;"-"&amp;RIGHT($B8707,2)),Data,MATCH(LEFT(VLOOKUP(D$1,Parameters,2,FALSE()),4)&amp;"*",OFFSET(Data,0,0,1),0)+MATCH($C8707,OFFSET(Data,1,0,1),0)-2,FALSE())),ISTEXT(VLOOKUP(DATEVALUE("37"&amp;MID($B8707,3,2)&amp;"-"&amp;MID($B8707,5,2)&amp;"-"&amp;RIGHT($B8707,2)),Data,MATCH(LEFT(VLOOKUP(D$1,Parameters,2,FALSE()),4)&amp;"*",OFFSET(Data,0,0,1),0)+MATCH($C8707,OFFSET(Data,1,0,1),0)-2,FALSE()))),Lacking,IF(ISNA(MATCH(DATEVALUE("37"&amp;MID($B8707,3,2)&amp;"-"&amp;MID($B8707,5,2)&amp;"-"&amp;RIGHT($B8707,2)),OFFSET(Catalogus,0,0,,1),0)),Ok,VLOOKUP(DATEVALUE("37"&amp;MID($B8707,3,2)&amp;"-"&amp;MID($B8707,5,2)&amp;"-"&amp;RIGHT($B8707,2)),Catalogus,MATCH(LEFT(VLOOKUP(MID(E$1,2,LEN(E$1)-1),Parameters,2,FALSE()),4)&amp;"*",OFFSET(Catalogus,0,0,1),0)+MATCH($C8707,OFFSET(Catalogus,1,0,1),0)-2,FALSE())))</f>
        <v>0</v>
      </c>
    </row>
    <row r="8708" spans="1:5" x14ac:dyDescent="0.25">
      <c r="A8708" s="3">
        <f t="shared" si="409"/>
        <v>78989</v>
      </c>
      <c r="B8708" t="str">
        <f ca="1">TEXT(DATE(YEAR(Invoer!$A$5),1,1)+INT((ROWS(B$2:B8708)-1)/24),"""18""jjmmdd")</f>
        <v>18981229</v>
      </c>
      <c r="C8708" s="11" t="str">
        <f>INDEX(Data,2,2+MOD(ROWS(C$2:C8708)-1,24))</f>
        <v>19.00</v>
      </c>
      <c r="D8708" s="8">
        <f t="shared" ca="1" si="410"/>
        <v>9</v>
      </c>
      <c r="E8708" s="16">
        <f t="shared" ca="1" si="411"/>
        <v>0</v>
      </c>
    </row>
    <row r="8709" spans="1:5" x14ac:dyDescent="0.25">
      <c r="A8709" s="3">
        <f t="shared" si="409"/>
        <v>78989</v>
      </c>
      <c r="B8709" t="str">
        <f ca="1">TEXT(DATE(YEAR(Invoer!$A$5),1,1)+INT((ROWS(B$2:B8709)-1)/24),"""18""jjmmdd")</f>
        <v>18981229</v>
      </c>
      <c r="C8709" s="11" t="str">
        <f>INDEX(Data,2,2+MOD(ROWS(C$2:C8709)-1,24))</f>
        <v>20.00</v>
      </c>
      <c r="D8709" s="8">
        <f t="shared" ca="1" si="410"/>
        <v>12</v>
      </c>
      <c r="E8709" s="16">
        <f t="shared" ca="1" si="411"/>
        <v>0</v>
      </c>
    </row>
    <row r="8710" spans="1:5" x14ac:dyDescent="0.25">
      <c r="A8710" s="3">
        <f t="shared" si="409"/>
        <v>78989</v>
      </c>
      <c r="B8710" t="str">
        <f ca="1">TEXT(DATE(YEAR(Invoer!$A$5),1,1)+INT((ROWS(B$2:B8710)-1)/24),"""18""jjmmdd")</f>
        <v>18981229</v>
      </c>
      <c r="C8710" s="11" t="str">
        <f>INDEX(Data,2,2+MOD(ROWS(C$2:C8710)-1,24))</f>
        <v>21.00</v>
      </c>
      <c r="D8710" s="8">
        <f t="shared" ca="1" si="410"/>
        <v>11</v>
      </c>
      <c r="E8710" s="16">
        <f t="shared" ca="1" si="411"/>
        <v>0</v>
      </c>
    </row>
    <row r="8711" spans="1:5" x14ac:dyDescent="0.25">
      <c r="A8711" s="3">
        <f t="shared" si="409"/>
        <v>78989</v>
      </c>
      <c r="B8711" t="str">
        <f ca="1">TEXT(DATE(YEAR(Invoer!$A$5),1,1)+INT((ROWS(B$2:B8711)-1)/24),"""18""jjmmdd")</f>
        <v>18981229</v>
      </c>
      <c r="C8711" s="11" t="str">
        <f>INDEX(Data,2,2+MOD(ROWS(C$2:C8711)-1,24))</f>
        <v>22.00</v>
      </c>
      <c r="D8711" s="8">
        <f t="shared" ca="1" si="410"/>
        <v>12</v>
      </c>
      <c r="E8711" s="16">
        <f t="shared" ca="1" si="411"/>
        <v>0</v>
      </c>
    </row>
    <row r="8712" spans="1:5" x14ac:dyDescent="0.25">
      <c r="A8712" s="3">
        <f t="shared" si="409"/>
        <v>78989</v>
      </c>
      <c r="B8712" t="str">
        <f ca="1">TEXT(DATE(YEAR(Invoer!$A$5),1,1)+INT((ROWS(B$2:B8712)-1)/24),"""18""jjmmdd")</f>
        <v>18981229</v>
      </c>
      <c r="C8712" s="11" t="str">
        <f>INDEX(Data,2,2+MOD(ROWS(C$2:C8712)-1,24))</f>
        <v>23.00</v>
      </c>
      <c r="D8712" s="8">
        <f t="shared" ca="1" si="410"/>
        <v>12</v>
      </c>
      <c r="E8712" s="16">
        <f t="shared" ca="1" si="411"/>
        <v>0</v>
      </c>
    </row>
    <row r="8713" spans="1:5" x14ac:dyDescent="0.25">
      <c r="A8713" s="3">
        <f t="shared" si="409"/>
        <v>78989</v>
      </c>
      <c r="B8713" t="str">
        <f ca="1">TEXT(DATE(YEAR(Invoer!$A$5),1,1)+INT((ROWS(B$2:B8713)-1)/24),"""18""jjmmdd")</f>
        <v>18981229</v>
      </c>
      <c r="C8713" s="11" t="str">
        <f>INDEX(Data,2,2+MOD(ROWS(C$2:C8713)-1,24))</f>
        <v>24.00</v>
      </c>
      <c r="D8713" s="8">
        <f t="shared" ca="1" si="410"/>
        <v>11</v>
      </c>
      <c r="E8713" s="16">
        <f t="shared" ca="1" si="411"/>
        <v>0</v>
      </c>
    </row>
    <row r="8714" spans="1:5" x14ac:dyDescent="0.25">
      <c r="A8714" s="3">
        <f t="shared" si="409"/>
        <v>78989</v>
      </c>
      <c r="B8714" t="str">
        <f ca="1">TEXT(DATE(YEAR(Invoer!$A$5),1,1)+INT((ROWS(B$2:B8714)-1)/24),"""18""jjmmdd")</f>
        <v>18981230</v>
      </c>
      <c r="C8714" s="11" t="str">
        <f>INDEX(Data,2,2+MOD(ROWS(C$2:C8714)-1,24))</f>
        <v>01.00</v>
      </c>
      <c r="D8714" s="8">
        <f t="shared" ca="1" si="410"/>
        <v>11</v>
      </c>
      <c r="E8714" s="16">
        <f t="shared" ca="1" si="411"/>
        <v>0</v>
      </c>
    </row>
    <row r="8715" spans="1:5" x14ac:dyDescent="0.25">
      <c r="A8715" s="3">
        <f t="shared" si="409"/>
        <v>78989</v>
      </c>
      <c r="B8715" t="str">
        <f ca="1">TEXT(DATE(YEAR(Invoer!$A$5),1,1)+INT((ROWS(B$2:B8715)-1)/24),"""18""jjmmdd")</f>
        <v>18981230</v>
      </c>
      <c r="C8715" s="11" t="str">
        <f>INDEX(Data,2,2+MOD(ROWS(C$2:C8715)-1,24))</f>
        <v>02.00</v>
      </c>
      <c r="D8715" s="8">
        <f t="shared" ca="1" si="410"/>
        <v>10</v>
      </c>
      <c r="E8715" s="16">
        <f t="shared" ca="1" si="411"/>
        <v>0</v>
      </c>
    </row>
    <row r="8716" spans="1:5" x14ac:dyDescent="0.25">
      <c r="A8716" s="3">
        <f t="shared" si="409"/>
        <v>78989</v>
      </c>
      <c r="B8716" t="str">
        <f ca="1">TEXT(DATE(YEAR(Invoer!$A$5),1,1)+INT((ROWS(B$2:B8716)-1)/24),"""18""jjmmdd")</f>
        <v>18981230</v>
      </c>
      <c r="C8716" s="11" t="str">
        <f>INDEX(Data,2,2+MOD(ROWS(C$2:C8716)-1,24))</f>
        <v>03.00</v>
      </c>
      <c r="D8716" s="8">
        <f t="shared" ca="1" si="410"/>
        <v>12</v>
      </c>
      <c r="E8716" s="16">
        <f t="shared" ca="1" si="411"/>
        <v>0</v>
      </c>
    </row>
    <row r="8717" spans="1:5" x14ac:dyDescent="0.25">
      <c r="A8717" s="3">
        <f t="shared" si="409"/>
        <v>78989</v>
      </c>
      <c r="B8717" t="str">
        <f ca="1">TEXT(DATE(YEAR(Invoer!$A$5),1,1)+INT((ROWS(B$2:B8717)-1)/24),"""18""jjmmdd")</f>
        <v>18981230</v>
      </c>
      <c r="C8717" s="11" t="str">
        <f>INDEX(Data,2,2+MOD(ROWS(C$2:C8717)-1,24))</f>
        <v>04.00</v>
      </c>
      <c r="D8717" s="8">
        <f t="shared" ca="1" si="410"/>
        <v>11</v>
      </c>
      <c r="E8717" s="16">
        <f t="shared" ca="1" si="411"/>
        <v>0</v>
      </c>
    </row>
    <row r="8718" spans="1:5" x14ac:dyDescent="0.25">
      <c r="A8718" s="3">
        <f t="shared" si="409"/>
        <v>78989</v>
      </c>
      <c r="B8718" t="str">
        <f ca="1">TEXT(DATE(YEAR(Invoer!$A$5),1,1)+INT((ROWS(B$2:B8718)-1)/24),"""18""jjmmdd")</f>
        <v>18981230</v>
      </c>
      <c r="C8718" s="11" t="str">
        <f>INDEX(Data,2,2+MOD(ROWS(C$2:C8718)-1,24))</f>
        <v>05.00</v>
      </c>
      <c r="D8718" s="8">
        <f t="shared" ca="1" si="410"/>
        <v>10</v>
      </c>
      <c r="E8718" s="16">
        <f t="shared" ca="1" si="411"/>
        <v>0</v>
      </c>
    </row>
    <row r="8719" spans="1:5" x14ac:dyDescent="0.25">
      <c r="A8719" s="3">
        <f t="shared" si="409"/>
        <v>78989</v>
      </c>
      <c r="B8719" t="str">
        <f ca="1">TEXT(DATE(YEAR(Invoer!$A$5),1,1)+INT((ROWS(B$2:B8719)-1)/24),"""18""jjmmdd")</f>
        <v>18981230</v>
      </c>
      <c r="C8719" s="11" t="str">
        <f>INDEX(Data,2,2+MOD(ROWS(C$2:C8719)-1,24))</f>
        <v>06.00</v>
      </c>
      <c r="D8719" s="8">
        <f t="shared" ca="1" si="410"/>
        <v>11</v>
      </c>
      <c r="E8719" s="16">
        <f t="shared" ca="1" si="411"/>
        <v>0</v>
      </c>
    </row>
    <row r="8720" spans="1:5" x14ac:dyDescent="0.25">
      <c r="A8720" s="3">
        <f t="shared" si="409"/>
        <v>78989</v>
      </c>
      <c r="B8720" t="str">
        <f ca="1">TEXT(DATE(YEAR(Invoer!$A$5),1,1)+INT((ROWS(B$2:B8720)-1)/24),"""18""jjmmdd")</f>
        <v>18981230</v>
      </c>
      <c r="C8720" s="11" t="str">
        <f>INDEX(Data,2,2+MOD(ROWS(C$2:C8720)-1,24))</f>
        <v>07.00</v>
      </c>
      <c r="D8720" s="8">
        <f t="shared" ca="1" si="410"/>
        <v>10</v>
      </c>
      <c r="E8720" s="16">
        <f t="shared" ca="1" si="411"/>
        <v>0</v>
      </c>
    </row>
    <row r="8721" spans="1:5" x14ac:dyDescent="0.25">
      <c r="A8721" s="3">
        <f t="shared" si="409"/>
        <v>78989</v>
      </c>
      <c r="B8721" t="str">
        <f ca="1">TEXT(DATE(YEAR(Invoer!$A$5),1,1)+INT((ROWS(B$2:B8721)-1)/24),"""18""jjmmdd")</f>
        <v>18981230</v>
      </c>
      <c r="C8721" s="11" t="str">
        <f>INDEX(Data,2,2+MOD(ROWS(C$2:C8721)-1,24))</f>
        <v>08.00</v>
      </c>
      <c r="D8721" s="8">
        <f t="shared" ca="1" si="410"/>
        <v>14</v>
      </c>
      <c r="E8721" s="16">
        <f t="shared" ca="1" si="411"/>
        <v>0</v>
      </c>
    </row>
    <row r="8722" spans="1:5" x14ac:dyDescent="0.25">
      <c r="A8722" s="3">
        <f t="shared" si="409"/>
        <v>78989</v>
      </c>
      <c r="B8722" t="str">
        <f ca="1">TEXT(DATE(YEAR(Invoer!$A$5),1,1)+INT((ROWS(B$2:B8722)-1)/24),"""18""jjmmdd")</f>
        <v>18981230</v>
      </c>
      <c r="C8722" s="11" t="str">
        <f>INDEX(Data,2,2+MOD(ROWS(C$2:C8722)-1,24))</f>
        <v>09.00</v>
      </c>
      <c r="D8722" s="8">
        <f t="shared" ca="1" si="410"/>
        <v>14</v>
      </c>
      <c r="E8722" s="16">
        <f t="shared" ca="1" si="411"/>
        <v>0</v>
      </c>
    </row>
    <row r="8723" spans="1:5" x14ac:dyDescent="0.25">
      <c r="A8723" s="3">
        <f t="shared" si="409"/>
        <v>78989</v>
      </c>
      <c r="B8723" t="str">
        <f ca="1">TEXT(DATE(YEAR(Invoer!$A$5),1,1)+INT((ROWS(B$2:B8723)-1)/24),"""18""jjmmdd")</f>
        <v>18981230</v>
      </c>
      <c r="C8723" s="11" t="str">
        <f>INDEX(Data,2,2+MOD(ROWS(C$2:C8723)-1,24))</f>
        <v>10.00</v>
      </c>
      <c r="D8723" s="8">
        <f t="shared" ca="1" si="410"/>
        <v>16</v>
      </c>
      <c r="E8723" s="16">
        <f t="shared" ca="1" si="411"/>
        <v>0</v>
      </c>
    </row>
    <row r="8724" spans="1:5" x14ac:dyDescent="0.25">
      <c r="A8724" s="3">
        <f t="shared" si="409"/>
        <v>78989</v>
      </c>
      <c r="B8724" t="str">
        <f ca="1">TEXT(DATE(YEAR(Invoer!$A$5),1,1)+INT((ROWS(B$2:B8724)-1)/24),"""18""jjmmdd")</f>
        <v>18981230</v>
      </c>
      <c r="C8724" s="11" t="str">
        <f>INDEX(Data,2,2+MOD(ROWS(C$2:C8724)-1,24))</f>
        <v>11.00</v>
      </c>
      <c r="D8724" s="8">
        <f t="shared" ca="1" si="410"/>
        <v>17</v>
      </c>
      <c r="E8724" s="16">
        <f t="shared" ca="1" si="411"/>
        <v>0</v>
      </c>
    </row>
    <row r="8725" spans="1:5" x14ac:dyDescent="0.25">
      <c r="A8725" s="3">
        <f t="shared" si="409"/>
        <v>78989</v>
      </c>
      <c r="B8725" t="str">
        <f ca="1">TEXT(DATE(YEAR(Invoer!$A$5),1,1)+INT((ROWS(B$2:B8725)-1)/24),"""18""jjmmdd")</f>
        <v>18981230</v>
      </c>
      <c r="C8725" s="11" t="str">
        <f>INDEX(Data,2,2+MOD(ROWS(C$2:C8725)-1,24))</f>
        <v>12.00</v>
      </c>
      <c r="D8725" s="8">
        <f t="shared" ca="1" si="410"/>
        <v>18</v>
      </c>
      <c r="E8725" s="16">
        <f t="shared" ca="1" si="411"/>
        <v>0</v>
      </c>
    </row>
    <row r="8726" spans="1:5" x14ac:dyDescent="0.25">
      <c r="A8726" s="3">
        <f t="shared" si="409"/>
        <v>78989</v>
      </c>
      <c r="B8726" t="str">
        <f ca="1">TEXT(DATE(YEAR(Invoer!$A$5),1,1)+INT((ROWS(B$2:B8726)-1)/24),"""18""jjmmdd")</f>
        <v>18981230</v>
      </c>
      <c r="C8726" s="11" t="str">
        <f>INDEX(Data,2,2+MOD(ROWS(C$2:C8726)-1,24))</f>
        <v>13.00</v>
      </c>
      <c r="D8726" s="8">
        <f t="shared" ca="1" si="410"/>
        <v>18</v>
      </c>
      <c r="E8726" s="16">
        <f t="shared" ca="1" si="411"/>
        <v>0</v>
      </c>
    </row>
    <row r="8727" spans="1:5" x14ac:dyDescent="0.25">
      <c r="A8727" s="3">
        <f t="shared" si="409"/>
        <v>78989</v>
      </c>
      <c r="B8727" t="str">
        <f ca="1">TEXT(DATE(YEAR(Invoer!$A$5),1,1)+INT((ROWS(B$2:B8727)-1)/24),"""18""jjmmdd")</f>
        <v>18981230</v>
      </c>
      <c r="C8727" s="11" t="str">
        <f>INDEX(Data,2,2+MOD(ROWS(C$2:C8727)-1,24))</f>
        <v>14.00</v>
      </c>
      <c r="D8727" s="8">
        <f t="shared" ca="1" si="410"/>
        <v>18</v>
      </c>
      <c r="E8727" s="16">
        <f t="shared" ca="1" si="411"/>
        <v>0</v>
      </c>
    </row>
    <row r="8728" spans="1:5" x14ac:dyDescent="0.25">
      <c r="A8728" s="3">
        <f t="shared" si="409"/>
        <v>78989</v>
      </c>
      <c r="B8728" t="str">
        <f ca="1">TEXT(DATE(YEAR(Invoer!$A$5),1,1)+INT((ROWS(B$2:B8728)-1)/24),"""18""jjmmdd")</f>
        <v>18981230</v>
      </c>
      <c r="C8728" s="11" t="str">
        <f>INDEX(Data,2,2+MOD(ROWS(C$2:C8728)-1,24))</f>
        <v>15.00</v>
      </c>
      <c r="D8728" s="8">
        <f t="shared" ca="1" si="410"/>
        <v>20</v>
      </c>
      <c r="E8728" s="16">
        <f t="shared" ca="1" si="411"/>
        <v>0</v>
      </c>
    </row>
    <row r="8729" spans="1:5" x14ac:dyDescent="0.25">
      <c r="A8729" s="3">
        <f t="shared" si="409"/>
        <v>78989</v>
      </c>
      <c r="B8729" t="str">
        <f ca="1">TEXT(DATE(YEAR(Invoer!$A$5),1,1)+INT((ROWS(B$2:B8729)-1)/24),"""18""jjmmdd")</f>
        <v>18981230</v>
      </c>
      <c r="C8729" s="11" t="str">
        <f>INDEX(Data,2,2+MOD(ROWS(C$2:C8729)-1,24))</f>
        <v>16.00</v>
      </c>
      <c r="D8729" s="8">
        <f t="shared" ca="1" si="410"/>
        <v>19</v>
      </c>
      <c r="E8729" s="16">
        <f t="shared" ca="1" si="411"/>
        <v>0</v>
      </c>
    </row>
    <row r="8730" spans="1:5" x14ac:dyDescent="0.25">
      <c r="A8730" s="3">
        <f t="shared" si="409"/>
        <v>78989</v>
      </c>
      <c r="B8730" t="str">
        <f ca="1">TEXT(DATE(YEAR(Invoer!$A$5),1,1)+INT((ROWS(B$2:B8730)-1)/24),"""18""jjmmdd")</f>
        <v>18981230</v>
      </c>
      <c r="C8730" s="11" t="str">
        <f>INDEX(Data,2,2+MOD(ROWS(C$2:C8730)-1,24))</f>
        <v>17.00</v>
      </c>
      <c r="D8730" s="8">
        <f t="shared" ca="1" si="410"/>
        <v>16</v>
      </c>
      <c r="E8730" s="16">
        <f t="shared" ca="1" si="411"/>
        <v>0</v>
      </c>
    </row>
    <row r="8731" spans="1:5" x14ac:dyDescent="0.25">
      <c r="A8731" s="3">
        <f t="shared" si="409"/>
        <v>78989</v>
      </c>
      <c r="B8731" t="str">
        <f ca="1">TEXT(DATE(YEAR(Invoer!$A$5),1,1)+INT((ROWS(B$2:B8731)-1)/24),"""18""jjmmdd")</f>
        <v>18981230</v>
      </c>
      <c r="C8731" s="11" t="str">
        <f>INDEX(Data,2,2+MOD(ROWS(C$2:C8731)-1,24))</f>
        <v>18.00</v>
      </c>
      <c r="D8731" s="8">
        <f t="shared" ca="1" si="410"/>
        <v>14</v>
      </c>
      <c r="E8731" s="16">
        <f t="shared" ca="1" si="411"/>
        <v>0</v>
      </c>
    </row>
    <row r="8732" spans="1:5" x14ac:dyDescent="0.25">
      <c r="A8732" s="3">
        <f t="shared" si="409"/>
        <v>78989</v>
      </c>
      <c r="B8732" t="str">
        <f ca="1">TEXT(DATE(YEAR(Invoer!$A$5),1,1)+INT((ROWS(B$2:B8732)-1)/24),"""18""jjmmdd")</f>
        <v>18981230</v>
      </c>
      <c r="C8732" s="11" t="str">
        <f>INDEX(Data,2,2+MOD(ROWS(C$2:C8732)-1,24))</f>
        <v>19.00</v>
      </c>
      <c r="D8732" s="8">
        <f t="shared" ca="1" si="410"/>
        <v>11</v>
      </c>
      <c r="E8732" s="16">
        <f t="shared" ca="1" si="411"/>
        <v>0</v>
      </c>
    </row>
    <row r="8733" spans="1:5" x14ac:dyDescent="0.25">
      <c r="A8733" s="3">
        <f t="shared" si="409"/>
        <v>78989</v>
      </c>
      <c r="B8733" t="str">
        <f ca="1">TEXT(DATE(YEAR(Invoer!$A$5),1,1)+INT((ROWS(B$2:B8733)-1)/24),"""18""jjmmdd")</f>
        <v>18981230</v>
      </c>
      <c r="C8733" s="11" t="str">
        <f>INDEX(Data,2,2+MOD(ROWS(C$2:C8733)-1,24))</f>
        <v>20.00</v>
      </c>
      <c r="D8733" s="8">
        <f t="shared" ca="1" si="410"/>
        <v>11</v>
      </c>
      <c r="E8733" s="16">
        <f t="shared" ca="1" si="411"/>
        <v>0</v>
      </c>
    </row>
    <row r="8734" spans="1:5" x14ac:dyDescent="0.25">
      <c r="A8734" s="3">
        <f t="shared" si="409"/>
        <v>78989</v>
      </c>
      <c r="B8734" t="str">
        <f ca="1">TEXT(DATE(YEAR(Invoer!$A$5),1,1)+INT((ROWS(B$2:B8734)-1)/24),"""18""jjmmdd")</f>
        <v>18981230</v>
      </c>
      <c r="C8734" s="11" t="str">
        <f>INDEX(Data,2,2+MOD(ROWS(C$2:C8734)-1,24))</f>
        <v>21.00</v>
      </c>
      <c r="D8734" s="8">
        <f t="shared" ca="1" si="410"/>
        <v>12</v>
      </c>
      <c r="E8734" s="16">
        <f t="shared" ca="1" si="411"/>
        <v>0</v>
      </c>
    </row>
    <row r="8735" spans="1:5" x14ac:dyDescent="0.25">
      <c r="A8735" s="3">
        <f t="shared" si="409"/>
        <v>78989</v>
      </c>
      <c r="B8735" t="str">
        <f ca="1">TEXT(DATE(YEAR(Invoer!$A$5),1,1)+INT((ROWS(B$2:B8735)-1)/24),"""18""jjmmdd")</f>
        <v>18981230</v>
      </c>
      <c r="C8735" s="11" t="str">
        <f>INDEX(Data,2,2+MOD(ROWS(C$2:C8735)-1,24))</f>
        <v>22.00</v>
      </c>
      <c r="D8735" s="8">
        <f t="shared" ca="1" si="410"/>
        <v>11</v>
      </c>
      <c r="E8735" s="16">
        <f t="shared" ca="1" si="411"/>
        <v>0</v>
      </c>
    </row>
    <row r="8736" spans="1:5" x14ac:dyDescent="0.25">
      <c r="A8736" s="3">
        <f t="shared" si="409"/>
        <v>78989</v>
      </c>
      <c r="B8736" t="str">
        <f ca="1">TEXT(DATE(YEAR(Invoer!$A$5),1,1)+INT((ROWS(B$2:B8736)-1)/24),"""18""jjmmdd")</f>
        <v>18981230</v>
      </c>
      <c r="C8736" s="11" t="str">
        <f>INDEX(Data,2,2+MOD(ROWS(C$2:C8736)-1,24))</f>
        <v>23.00</v>
      </c>
      <c r="D8736" s="8">
        <f t="shared" ca="1" si="410"/>
        <v>12</v>
      </c>
      <c r="E8736" s="16">
        <f t="shared" ca="1" si="411"/>
        <v>0</v>
      </c>
    </row>
    <row r="8737" spans="1:5" x14ac:dyDescent="0.25">
      <c r="A8737" s="3">
        <f t="shared" si="409"/>
        <v>78989</v>
      </c>
      <c r="B8737" t="str">
        <f ca="1">TEXT(DATE(YEAR(Invoer!$A$5),1,1)+INT((ROWS(B$2:B8737)-1)/24),"""18""jjmmdd")</f>
        <v>18981230</v>
      </c>
      <c r="C8737" s="11" t="str">
        <f>INDEX(Data,2,2+MOD(ROWS(C$2:C8737)-1,24))</f>
        <v>24.00</v>
      </c>
      <c r="D8737" s="8">
        <f t="shared" ca="1" si="410"/>
        <v>11</v>
      </c>
      <c r="E8737" s="16">
        <f t="shared" ca="1" si="411"/>
        <v>0</v>
      </c>
    </row>
    <row r="8738" spans="1:5" x14ac:dyDescent="0.25">
      <c r="A8738" s="3">
        <f t="shared" si="409"/>
        <v>78989</v>
      </c>
      <c r="B8738" t="str">
        <f ca="1">TEXT(DATE(YEAR(Invoer!$A$5),1,1)+INT((ROWS(B$2:B8738)-1)/24),"""18""jjmmdd")</f>
        <v>18981231</v>
      </c>
      <c r="C8738" s="11" t="str">
        <f>INDEX(Data,2,2+MOD(ROWS(C$2:C8738)-1,24))</f>
        <v>01.00</v>
      </c>
      <c r="D8738" s="8">
        <f t="shared" ca="1" si="410"/>
        <v>9</v>
      </c>
      <c r="E8738" s="16">
        <f t="shared" ca="1" si="411"/>
        <v>0</v>
      </c>
    </row>
    <row r="8739" spans="1:5" x14ac:dyDescent="0.25">
      <c r="A8739" s="3">
        <f t="shared" si="409"/>
        <v>78989</v>
      </c>
      <c r="B8739" t="str">
        <f ca="1">TEXT(DATE(YEAR(Invoer!$A$5),1,1)+INT((ROWS(B$2:B8739)-1)/24),"""18""jjmmdd")</f>
        <v>18981231</v>
      </c>
      <c r="C8739" s="11" t="str">
        <f>INDEX(Data,2,2+MOD(ROWS(C$2:C8739)-1,24))</f>
        <v>02.00</v>
      </c>
      <c r="D8739" s="8">
        <f t="shared" ca="1" si="410"/>
        <v>9</v>
      </c>
      <c r="E8739" s="16">
        <f t="shared" ca="1" si="411"/>
        <v>0</v>
      </c>
    </row>
    <row r="8740" spans="1:5" x14ac:dyDescent="0.25">
      <c r="A8740" s="3">
        <f t="shared" si="409"/>
        <v>78989</v>
      </c>
      <c r="B8740" t="str">
        <f ca="1">TEXT(DATE(YEAR(Invoer!$A$5),1,1)+INT((ROWS(B$2:B8740)-1)/24),"""18""jjmmdd")</f>
        <v>18981231</v>
      </c>
      <c r="C8740" s="11" t="str">
        <f>INDEX(Data,2,2+MOD(ROWS(C$2:C8740)-1,24))</f>
        <v>03.00</v>
      </c>
      <c r="D8740" s="8">
        <f t="shared" ca="1" si="410"/>
        <v>9</v>
      </c>
      <c r="E8740" s="16">
        <f t="shared" ca="1" si="411"/>
        <v>0</v>
      </c>
    </row>
    <row r="8741" spans="1:5" x14ac:dyDescent="0.25">
      <c r="A8741" s="3">
        <f t="shared" si="409"/>
        <v>78989</v>
      </c>
      <c r="B8741" t="str">
        <f ca="1">TEXT(DATE(YEAR(Invoer!$A$5),1,1)+INT((ROWS(B$2:B8741)-1)/24),"""18""jjmmdd")</f>
        <v>18981231</v>
      </c>
      <c r="C8741" s="11" t="str">
        <f>INDEX(Data,2,2+MOD(ROWS(C$2:C8741)-1,24))</f>
        <v>04.00</v>
      </c>
      <c r="D8741" s="8">
        <f t="shared" ca="1" si="410"/>
        <v>6</v>
      </c>
      <c r="E8741" s="16">
        <f t="shared" ca="1" si="411"/>
        <v>0</v>
      </c>
    </row>
    <row r="8742" spans="1:5" x14ac:dyDescent="0.25">
      <c r="A8742" s="3">
        <f t="shared" si="409"/>
        <v>78989</v>
      </c>
      <c r="B8742" t="str">
        <f ca="1">TEXT(DATE(YEAR(Invoer!$A$5),1,1)+INT((ROWS(B$2:B8742)-1)/24),"""18""jjmmdd")</f>
        <v>18981231</v>
      </c>
      <c r="C8742" s="11" t="str">
        <f>INDEX(Data,2,2+MOD(ROWS(C$2:C8742)-1,24))</f>
        <v>05.00</v>
      </c>
      <c r="D8742" s="8">
        <f t="shared" ca="1" si="410"/>
        <v>6</v>
      </c>
      <c r="E8742" s="16">
        <f t="shared" ca="1" si="411"/>
        <v>0</v>
      </c>
    </row>
    <row r="8743" spans="1:5" x14ac:dyDescent="0.25">
      <c r="A8743" s="3">
        <f t="shared" si="409"/>
        <v>78989</v>
      </c>
      <c r="B8743" t="str">
        <f ca="1">TEXT(DATE(YEAR(Invoer!$A$5),1,1)+INT((ROWS(B$2:B8743)-1)/24),"""18""jjmmdd")</f>
        <v>18981231</v>
      </c>
      <c r="C8743" s="11" t="str">
        <f>INDEX(Data,2,2+MOD(ROWS(C$2:C8743)-1,24))</f>
        <v>06.00</v>
      </c>
      <c r="D8743" s="8">
        <f t="shared" ca="1" si="410"/>
        <v>6</v>
      </c>
      <c r="E8743" s="16">
        <f t="shared" ca="1" si="411"/>
        <v>0</v>
      </c>
    </row>
    <row r="8744" spans="1:5" x14ac:dyDescent="0.25">
      <c r="A8744" s="3">
        <f t="shared" si="409"/>
        <v>78989</v>
      </c>
      <c r="B8744" t="str">
        <f ca="1">TEXT(DATE(YEAR(Invoer!$A$5),1,1)+INT((ROWS(B$2:B8744)-1)/24),"""18""jjmmdd")</f>
        <v>18981231</v>
      </c>
      <c r="C8744" s="11" t="str">
        <f>INDEX(Data,2,2+MOD(ROWS(C$2:C8744)-1,24))</f>
        <v>07.00</v>
      </c>
      <c r="D8744" s="8">
        <f t="shared" ca="1" si="410"/>
        <v>7</v>
      </c>
      <c r="E8744" s="16">
        <f t="shared" ca="1" si="411"/>
        <v>0</v>
      </c>
    </row>
    <row r="8745" spans="1:5" x14ac:dyDescent="0.25">
      <c r="A8745" s="3">
        <f t="shared" si="409"/>
        <v>78989</v>
      </c>
      <c r="B8745" t="str">
        <f ca="1">TEXT(DATE(YEAR(Invoer!$A$5),1,1)+INT((ROWS(B$2:B8745)-1)/24),"""18""jjmmdd")</f>
        <v>18981231</v>
      </c>
      <c r="C8745" s="11" t="str">
        <f>INDEX(Data,2,2+MOD(ROWS(C$2:C8745)-1,24))</f>
        <v>08.00</v>
      </c>
      <c r="D8745" s="8">
        <f t="shared" ca="1" si="410"/>
        <v>11</v>
      </c>
      <c r="E8745" s="16">
        <f t="shared" ca="1" si="411"/>
        <v>0</v>
      </c>
    </row>
    <row r="8746" spans="1:5" x14ac:dyDescent="0.25">
      <c r="A8746" s="3">
        <f t="shared" si="409"/>
        <v>78989</v>
      </c>
      <c r="B8746" t="str">
        <f ca="1">TEXT(DATE(YEAR(Invoer!$A$5),1,1)+INT((ROWS(B$2:B8746)-1)/24),"""18""jjmmdd")</f>
        <v>18981231</v>
      </c>
      <c r="C8746" s="11" t="str">
        <f>INDEX(Data,2,2+MOD(ROWS(C$2:C8746)-1,24))</f>
        <v>09.00</v>
      </c>
      <c r="D8746" s="8">
        <f t="shared" ca="1" si="410"/>
        <v>13</v>
      </c>
      <c r="E8746" s="16">
        <f t="shared" ca="1" si="411"/>
        <v>0</v>
      </c>
    </row>
    <row r="8747" spans="1:5" x14ac:dyDescent="0.25">
      <c r="A8747" s="3">
        <f t="shared" si="409"/>
        <v>78989</v>
      </c>
      <c r="B8747" t="str">
        <f ca="1">TEXT(DATE(YEAR(Invoer!$A$5),1,1)+INT((ROWS(B$2:B8747)-1)/24),"""18""jjmmdd")</f>
        <v>18981231</v>
      </c>
      <c r="C8747" s="11" t="str">
        <f>INDEX(Data,2,2+MOD(ROWS(C$2:C8747)-1,24))</f>
        <v>10.00</v>
      </c>
      <c r="D8747" s="8">
        <f t="shared" ca="1" si="410"/>
        <v>13</v>
      </c>
      <c r="E8747" s="16">
        <f t="shared" ca="1" si="411"/>
        <v>0</v>
      </c>
    </row>
    <row r="8748" spans="1:5" x14ac:dyDescent="0.25">
      <c r="A8748" s="3">
        <f t="shared" si="409"/>
        <v>78989</v>
      </c>
      <c r="B8748" t="str">
        <f ca="1">TEXT(DATE(YEAR(Invoer!$A$5),1,1)+INT((ROWS(B$2:B8748)-1)/24),"""18""jjmmdd")</f>
        <v>18981231</v>
      </c>
      <c r="C8748" s="11" t="str">
        <f>INDEX(Data,2,2+MOD(ROWS(C$2:C8748)-1,24))</f>
        <v>11.00</v>
      </c>
      <c r="D8748" s="8">
        <f t="shared" ca="1" si="410"/>
        <v>16</v>
      </c>
      <c r="E8748" s="16">
        <f t="shared" ca="1" si="411"/>
        <v>0</v>
      </c>
    </row>
    <row r="8749" spans="1:5" x14ac:dyDescent="0.25">
      <c r="A8749" s="3">
        <f t="shared" si="409"/>
        <v>78989</v>
      </c>
      <c r="B8749" t="str">
        <f ca="1">TEXT(DATE(YEAR(Invoer!$A$5),1,1)+INT((ROWS(B$2:B8749)-1)/24),"""18""jjmmdd")</f>
        <v>18981231</v>
      </c>
      <c r="C8749" s="11" t="str">
        <f>INDEX(Data,2,2+MOD(ROWS(C$2:C8749)-1,24))</f>
        <v>12.00</v>
      </c>
      <c r="D8749" s="8">
        <f t="shared" ca="1" si="410"/>
        <v>15</v>
      </c>
      <c r="E8749" s="16">
        <f t="shared" ca="1" si="411"/>
        <v>0</v>
      </c>
    </row>
    <row r="8750" spans="1:5" x14ac:dyDescent="0.25">
      <c r="A8750" s="3">
        <f t="shared" si="409"/>
        <v>78989</v>
      </c>
      <c r="B8750" t="str">
        <f ca="1">TEXT(DATE(YEAR(Invoer!$A$5),1,1)+INT((ROWS(B$2:B8750)-1)/24),"""18""jjmmdd")</f>
        <v>18981231</v>
      </c>
      <c r="C8750" s="11" t="str">
        <f>INDEX(Data,2,2+MOD(ROWS(C$2:C8750)-1,24))</f>
        <v>13.00</v>
      </c>
      <c r="D8750" s="8">
        <f t="shared" ca="1" si="410"/>
        <v>16</v>
      </c>
      <c r="E8750" s="16">
        <f t="shared" ca="1" si="411"/>
        <v>0</v>
      </c>
    </row>
    <row r="8751" spans="1:5" x14ac:dyDescent="0.25">
      <c r="A8751" s="3">
        <f t="shared" si="409"/>
        <v>78989</v>
      </c>
      <c r="B8751" t="str">
        <f ca="1">TEXT(DATE(YEAR(Invoer!$A$5),1,1)+INT((ROWS(B$2:B8751)-1)/24),"""18""jjmmdd")</f>
        <v>18981231</v>
      </c>
      <c r="C8751" s="11" t="str">
        <f>INDEX(Data,2,2+MOD(ROWS(C$2:C8751)-1,24))</f>
        <v>14.00</v>
      </c>
      <c r="D8751" s="8">
        <f t="shared" ca="1" si="410"/>
        <v>15</v>
      </c>
      <c r="E8751" s="16">
        <f t="shared" ca="1" si="411"/>
        <v>0</v>
      </c>
    </row>
    <row r="8752" spans="1:5" x14ac:dyDescent="0.25">
      <c r="A8752" s="3">
        <f t="shared" si="409"/>
        <v>78989</v>
      </c>
      <c r="B8752" t="str">
        <f ca="1">TEXT(DATE(YEAR(Invoer!$A$5),1,1)+INT((ROWS(B$2:B8752)-1)/24),"""18""jjmmdd")</f>
        <v>18981231</v>
      </c>
      <c r="C8752" s="11" t="str">
        <f>INDEX(Data,2,2+MOD(ROWS(C$2:C8752)-1,24))</f>
        <v>15.00</v>
      </c>
      <c r="D8752" s="8">
        <f t="shared" ca="1" si="410"/>
        <v>16</v>
      </c>
      <c r="E8752" s="16">
        <f t="shared" ca="1" si="411"/>
        <v>0</v>
      </c>
    </row>
    <row r="8753" spans="1:5" x14ac:dyDescent="0.25">
      <c r="A8753" s="3">
        <f t="shared" si="409"/>
        <v>78989</v>
      </c>
      <c r="B8753" t="str">
        <f ca="1">TEXT(DATE(YEAR(Invoer!$A$5),1,1)+INT((ROWS(B$2:B8753)-1)/24),"""18""jjmmdd")</f>
        <v>18981231</v>
      </c>
      <c r="C8753" s="11" t="str">
        <f>INDEX(Data,2,2+MOD(ROWS(C$2:C8753)-1,24))</f>
        <v>16.00</v>
      </c>
      <c r="D8753" s="8">
        <f t="shared" ca="1" si="410"/>
        <v>16</v>
      </c>
      <c r="E8753" s="16">
        <f t="shared" ca="1" si="411"/>
        <v>0</v>
      </c>
    </row>
    <row r="8754" spans="1:5" x14ac:dyDescent="0.25">
      <c r="A8754" s="3">
        <f t="shared" si="409"/>
        <v>78989</v>
      </c>
      <c r="B8754" t="str">
        <f ca="1">TEXT(DATE(YEAR(Invoer!$A$5),1,1)+INT((ROWS(B$2:B8754)-1)/24),"""18""jjmmdd")</f>
        <v>18981231</v>
      </c>
      <c r="C8754" s="11" t="str">
        <f>INDEX(Data,2,2+MOD(ROWS(C$2:C8754)-1,24))</f>
        <v>17.00</v>
      </c>
      <c r="D8754" s="8">
        <f t="shared" ca="1" si="410"/>
        <v>13</v>
      </c>
      <c r="E8754" s="16">
        <f t="shared" ca="1" si="411"/>
        <v>0</v>
      </c>
    </row>
    <row r="8755" spans="1:5" x14ac:dyDescent="0.25">
      <c r="A8755" s="3">
        <f t="shared" si="409"/>
        <v>78989</v>
      </c>
      <c r="B8755" t="str">
        <f ca="1">TEXT(DATE(YEAR(Invoer!$A$5),1,1)+INT((ROWS(B$2:B8755)-1)/24),"""18""jjmmdd")</f>
        <v>18981231</v>
      </c>
      <c r="C8755" s="11" t="str">
        <f>INDEX(Data,2,2+MOD(ROWS(C$2:C8755)-1,24))</f>
        <v>18.00</v>
      </c>
      <c r="D8755" s="8">
        <f t="shared" ca="1" si="410"/>
        <v>13</v>
      </c>
      <c r="E8755" s="16">
        <f t="shared" ca="1" si="411"/>
        <v>0</v>
      </c>
    </row>
    <row r="8756" spans="1:5" x14ac:dyDescent="0.25">
      <c r="A8756" s="3">
        <f t="shared" si="409"/>
        <v>78989</v>
      </c>
      <c r="B8756" t="str">
        <f ca="1">TEXT(DATE(YEAR(Invoer!$A$5),1,1)+INT((ROWS(B$2:B8756)-1)/24),"""18""jjmmdd")</f>
        <v>18981231</v>
      </c>
      <c r="C8756" s="11" t="str">
        <f>INDEX(Data,2,2+MOD(ROWS(C$2:C8756)-1,24))</f>
        <v>19.00</v>
      </c>
      <c r="D8756" s="8">
        <f t="shared" ca="1" si="410"/>
        <v>11</v>
      </c>
      <c r="E8756" s="16">
        <f t="shared" ca="1" si="411"/>
        <v>0</v>
      </c>
    </row>
    <row r="8757" spans="1:5" x14ac:dyDescent="0.25">
      <c r="A8757" s="3">
        <f t="shared" si="409"/>
        <v>78989</v>
      </c>
      <c r="B8757" t="str">
        <f ca="1">TEXT(DATE(YEAR(Invoer!$A$5),1,1)+INT((ROWS(B$2:B8757)-1)/24),"""18""jjmmdd")</f>
        <v>18981231</v>
      </c>
      <c r="C8757" s="11" t="str">
        <f>INDEX(Data,2,2+MOD(ROWS(C$2:C8757)-1,24))</f>
        <v>20.00</v>
      </c>
      <c r="D8757" s="8">
        <f t="shared" ca="1" si="410"/>
        <v>14</v>
      </c>
      <c r="E8757" s="16">
        <f t="shared" ca="1" si="411"/>
        <v>0</v>
      </c>
    </row>
    <row r="8758" spans="1:5" x14ac:dyDescent="0.25">
      <c r="A8758" s="3">
        <f t="shared" si="409"/>
        <v>78989</v>
      </c>
      <c r="B8758" t="str">
        <f ca="1">TEXT(DATE(YEAR(Invoer!$A$5),1,1)+INT((ROWS(B$2:B8758)-1)/24),"""18""jjmmdd")</f>
        <v>18981231</v>
      </c>
      <c r="C8758" s="11" t="str">
        <f>INDEX(Data,2,2+MOD(ROWS(C$2:C8758)-1,24))</f>
        <v>21.00</v>
      </c>
      <c r="D8758" s="8">
        <f t="shared" ca="1" si="410"/>
        <v>10</v>
      </c>
      <c r="E8758" s="16">
        <f t="shared" ca="1" si="411"/>
        <v>0</v>
      </c>
    </row>
    <row r="8759" spans="1:5" x14ac:dyDescent="0.25">
      <c r="A8759" s="3">
        <f t="shared" si="409"/>
        <v>78989</v>
      </c>
      <c r="B8759" t="str">
        <f ca="1">TEXT(DATE(YEAR(Invoer!$A$5),1,1)+INT((ROWS(B$2:B8759)-1)/24),"""18""jjmmdd")</f>
        <v>18981231</v>
      </c>
      <c r="C8759" s="11" t="str">
        <f>INDEX(Data,2,2+MOD(ROWS(C$2:C8759)-1,24))</f>
        <v>22.00</v>
      </c>
      <c r="D8759" s="8">
        <f t="shared" ca="1" si="410"/>
        <v>9</v>
      </c>
      <c r="E8759" s="16">
        <f t="shared" ca="1" si="411"/>
        <v>0</v>
      </c>
    </row>
    <row r="8760" spans="1:5" x14ac:dyDescent="0.25">
      <c r="A8760" s="3">
        <f t="shared" si="409"/>
        <v>78989</v>
      </c>
      <c r="B8760" t="str">
        <f ca="1">TEXT(DATE(YEAR(Invoer!$A$5),1,1)+INT((ROWS(B$2:B8760)-1)/24),"""18""jjmmdd")</f>
        <v>18981231</v>
      </c>
      <c r="C8760" s="11" t="str">
        <f>INDEX(Data,2,2+MOD(ROWS(C$2:C8760)-1,24))</f>
        <v>23.00</v>
      </c>
      <c r="D8760" s="8">
        <f t="shared" ca="1" si="410"/>
        <v>10</v>
      </c>
      <c r="E8760" s="16">
        <f t="shared" ca="1" si="411"/>
        <v>0</v>
      </c>
    </row>
    <row r="8761" spans="1:5" x14ac:dyDescent="0.25">
      <c r="A8761" s="3">
        <f t="shared" si="409"/>
        <v>78989</v>
      </c>
      <c r="B8761" t="str">
        <f ca="1">TEXT(DATE(YEAR(Invoer!$A$5),1,1)+INT((ROWS(B$2:B8761)-1)/24),"""18""jjmmdd")</f>
        <v>18981231</v>
      </c>
      <c r="C8761" s="11" t="str">
        <f>INDEX(Data,2,2+MOD(ROWS(C$2:C8761)-1,24))</f>
        <v>24.00</v>
      </c>
      <c r="D8761" s="8">
        <f t="shared" ca="1" si="410"/>
        <v>9</v>
      </c>
      <c r="E8761" s="16">
        <f t="shared" ca="1" si="41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18980101, 01.00, ////, 07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18980101, 02.00, ////, 07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18980101, 03.00, ////, 07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18980101, 04.00, ////, 07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18980101, 05.00, ////, 07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18980101, 06.00, ////, 07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18980101, 07.00, ////, 07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18980101, 08.00, ////, 07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18980101, 09.00, ////, 07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18980101, 10.00, ////, 07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18980101, 11.00, ////, 07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18980101, 12.00, ////, 07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18980101, 13.00, ////, 07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18980101, 14.00, ////, 07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18980101, 15.00, ////, 07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18980101, 16.00, ////, 07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18980101, 17.00, ////, 07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18980101, 18.00, ////, 07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18980101, 19.00, ////, 07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18980101, 20.00, ////, 07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18980101, 21.00, ////, 07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18980101, 22.00, ////, 07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18980101, 23.00, ////, 07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18980101, 24.00, ////, 07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18980102, 01.00, ////, 07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18980102, 02.00, ////, 07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18980102, 03.00, ////, 07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18980102, 04.00, ////, 07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18980102, 05.00, ////, 07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18980102, 06.00, ////, 07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18980102, 07.00, ////, 07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18980102, 08.00, ////, 07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18980102, 09.00, ////, 07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18980102, 10.00, ////, 07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18980102, 11.00, ////, 07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18980102, 12.00, ////, 07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18980102, 13.00, ////, 07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18980102, 14.00, ////, 07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18980102, 15.00, ////, 07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18980102, 16.00, ////, 07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18980102, 17.00, ////, 07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18980102, 18.00, ////, 07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18980102, 19.00, ////, 07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18980102, 20.00, ////, 07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18980102, 21.00, ////, 07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18980102, 22.00, ////, 07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18980102, 23.00, ////, 07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18980102, 24.00, ////, 07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18980103, 01.00, ////, 07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18980103, 02.00, ////, 07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18980103, 03.00, ////, 07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18980103, 04.00, ////, 07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18980103, 05.00, ////, 07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18980103, 06.00, ////, 07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18980103, 07.00, ////, 07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18980103, 08.00, ////, 07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18980103, 09.00, ////, 07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18980103, 10.00, ////, 07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18980103, 11.00, ////, 07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18980103, 12.00, ////, 07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18980103, 13.00, ////, 07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18980103, 14.00, ////, 07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18980103, 15.00, ////, 07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18980103, 16.00, ////, 07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18980103, 17.00, ////, 07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18980103, 18.00, ////, 07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18980103, 19.00, ////, 07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18980103, 20.00, ////, 07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18980103, 21.00, ////, 07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18980103, 22.00, ////, 07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18980103, 23.00, ////, 07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18980103, 24.00, ////, 07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18980104, 01.00, ////, 07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18980104, 02.00, ////, 07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18980104, 03.00, ////, 07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18980104, 04.00, ////, 07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18980104, 05.00, ////, 07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18980104, 06.00, ////, 07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18980104, 07.00, ////, 07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18980104, 08.00, ////, 07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18980104, 09.00, ////, 07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18980104, 10.00, ////, 07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18980104, 11.00, ////, 07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18980104, 12.00, ////, 07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18980104, 13.00, ////, 07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18980104, 14.00, ////, 07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18980104, 15.00, ////, 07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18980104, 16.00, ////, 07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18980104, 17.00, ////, 07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18980104, 18.00, ////, 07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18980104, 19.00, ////, 07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18980104, 20.00, ////, 07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18980104, 21.00, ////, 07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18980104, 22.00, ////, 07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18980104, 23.00, ////, 07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18980104, 24.00, ////, 07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18980105, 01.00, ////, 07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18980105, 02.00, ////, 07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18980105, 03.00, ////, 07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18980105, 04.00, ////, 07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18980105, 05.00, ////, 07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18980105, 06.00, ////, 07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18980105, 07.00, ////, 07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18980105, 08.00, ////, 07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18980105, 09.00, ////, 07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18980105, 10.00, ////, 07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18980105, 11.00, ////, 07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18980105, 12.00, ////, 07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18980105, 13.00, ////, 07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18980105, 14.00, ////, 07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18980105, 15.00, ////, 07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18980105, 16.00, ////, 07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18980105, 17.00, ////, 07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18980105, 18.00, ////, 07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18980105, 19.00, ////, 07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18980105, 20.00, ////, 07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18980105, 21.00, ////, 07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18980105, 22.00, ////, 07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18980105, 23.00, ////, 07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18980105, 24.00, ////, 07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18980106, 01.00, ////, 07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18980106, 02.00, ////, 07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18980106, 03.00, ////, 07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18980106, 04.00, ////, 07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18980106, 05.00, ////, 07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18980106, 06.00, ////, 07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18980106, 07.00, ////, 07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18980106, 08.00, ////, 07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18980106, 09.00, ////, 07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18980106, 10.00, ////, 07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18980106, 11.00, ////, 07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18980106, 12.00, ////, 07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18980106, 13.00, ////, 07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18980106, 14.00, ////, 07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18980106, 15.00, ////, 07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18980106, 16.00, ////, 07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18980106, 17.00, ////, 07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18980106, 18.00, ////, 07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18980106, 19.00, ////, 07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18980106, 20.00, ////, 07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18980106, 21.00, ////, 07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18980106, 22.00, ////, 07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18980106, 23.00, ////, 07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18980106, 24.00, ////, 07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18980107, 01.00, ////, 07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18980107, 02.00, ////, 07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18980107, 03.00, ////, 07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18980107, 04.00, ////, 07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18980107, 05.00, ////, 07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18980107, 06.00, ////, 07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18980107, 07.00, ////, 07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18980107, 08.00, ////, 07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18980107, 09.00, ////, 07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18980107, 10.00, ////, 07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18980107, 11.00, ////, 07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18980107, 12.00, ////, 07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18980107, 13.00, ////, 07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18980107, 14.00, ////, 07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18980107, 15.00, ////, 07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18980107, 16.00, ////, 07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18980107, 17.00, ////, 07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18980107, 18.00, ////, 07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18980107, 19.00, ////, 07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18980107, 20.00, ////, 07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18980107, 21.00, ////, 07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18980107, 22.00, ////, 07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18980107, 23.00, ////, 07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18980107, 24.00, ////, 07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18980108, 01.00, ////, 07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18980108, 02.00, ////, 07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18980108, 03.00, ////, 07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18980108, 04.00, ////, 07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18980108, 05.00, ////, 07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18980108, 06.00, ////, 07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18980108, 07.00, ////, 07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18980108, 08.00, ////, 07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18980108, 09.00, ////, 07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18980108, 10.00, ////, 07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18980108, 11.00, ////, 07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18980108, 12.00, ////, 07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18980108, 13.00, ////, 07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18980108, 14.00, ////, 07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18980108, 15.00, ////, 07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18980108, 16.00, ////, 07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18980108, 17.00, ////, 07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18980108, 18.00, ////, 07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18980108, 19.00, ////, 07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18980108, 20.00, ////, 07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18980108, 21.00, ////, 07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18980108, 22.00, ////, 07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18980108, 23.00, ////, 07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18980108, 24.00, ////, 07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18980109, 01.00, ////, 07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18980109, 02.00, ////, 07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18980109, 03.00, ////, 07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18980109, 04.00, ////, 07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18980109, 05.00, ////, 07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18980109, 06.00, ////, 07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18980109, 07.00, ////, 07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18980109, 08.00, ////, 07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18980109, 09.00, ////, 07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18980109, 10.00, ////, 07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18980109, 11.00, ////, 07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18980109, 12.00, ////, 07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18980109, 13.00, ////, 07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18980109, 14.00, ////, 07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18980109, 15.00, ////, 07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18980109, 16.00, ////, 07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18980109, 17.00, ////, 07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18980109, 18.00, ////, 07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18980109, 19.00, ////, 07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18980109, 20.00, ////, 07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18980109, 21.00, ////, 07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18980109, 22.00, ////, 07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18980109, 23.00, ////, 07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18980109, 24.00, ////, 07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18980110, 01.00, ////, 07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18980110, 02.00, ////, 07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18980110, 03.00, ////, 07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18980110, 04.00, ////, 07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18980110, 05.00, ////, 07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18980110, 06.00, ////, 07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18980110, 07.00, ////, 07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18980110, 08.00, ////, 07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18980110, 09.00, ////, 07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18980110, 10.00, ////, 07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18980110, 11.00, ////, 07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18980110, 12.00, ////, 07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18980110, 13.00, ////, 07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18980110, 14.00, ////, 07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18980110, 15.00, ////, 07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18980110, 16.00, ////, 07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18980110, 17.00, ////, 07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18980110, 18.00, ////, 07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18980110, 19.00, ////, 07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18980110, 20.00, ////, 07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18980110, 21.00, ////, 07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18980110, 22.00, ////, 07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18980110, 23.00, ////, 07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18980110, 24.00, ////, 07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18980111, 01.00, ////, 07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18980111, 02.00, ////, 07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18980111, 03.00, ////, 07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18980111, 04.00, ////, 07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18980111, 05.00, ////, 07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18980111, 06.00, ////, 07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18980111, 07.00, ////, 07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18980111, 08.00, ////, 07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18980111, 09.00, ////, 07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18980111, 10.00, ////, 07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18980111, 11.00, ////, 07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18980111, 12.00, ////, 07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18980111, 13.00, ////, 07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18980111, 14.00, ////, 07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18980111, 15.00, ////, 07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18980111, 16.00, ////, 07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18980111, 17.00, ////, 07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18980111, 18.00, ////, 07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18980111, 19.00, ////, 07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18980111, 20.00, ////, 07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18980111, 21.00, ////, 07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18980111, 22.00, ////, 07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18980111, 23.00, ////, 07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18980111, 24.00, ////, 07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18980112, 01.00, ////, 07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18980112, 02.00, ////, 07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18980112, 03.00, ////, 07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18980112, 04.00, ////, 07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18980112, 05.00, ////, 07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18980112, 06.00, ////, 07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18980112, 07.00, ////, 07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18980112, 08.00, ////, 07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18980112, 09.00, ////, 07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18980112, 10.00, ////, 07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18980112, 11.00, ////, 07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18980112, 12.00, ////, 07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18980112, 13.00, ////, 07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18980112, 14.00, ////, 07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18980112, 15.00, ////, 07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18980112, 16.00, ////, 07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18980112, 17.00, ////, 07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18980112, 18.00, ////, 07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18980112, 19.00, ////, 07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18980112, 20.00, ////, 07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18980112, 21.00, ////, 07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18980112, 22.00, ////, 07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18980112, 23.00, ////, 07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18980112, 24.00, ////, 07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18980113, 01.00, ////, 07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18980113, 02.00, ////, 07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18980113, 03.00, ////, 07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18980113, 04.00, ////, 07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18980113, 05.00, ////, 07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18980113, 06.00, ////, 07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18980113, 07.00, ////, 07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18980113, 08.00, ////, 07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18980113, 09.00, ////, 07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18980113, 10.00, ////, 07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18980113, 11.00, ////, 07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18980113, 12.00, ////, 07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18980113, 13.00, ////, 07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18980113, 14.00, ////, 07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18980113, 15.00, ////, 07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18980113, 16.00, ////, 07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18980113, 17.00, ////, 07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18980113, 18.00, ////, 07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18980113, 19.00, ////, 07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18980113, 20.00, ////, 07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18980113, 21.00, ////, 07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18980113, 22.00, ////, 07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18980113, 23.00, ////, 07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18980113, 24.00, ////, 07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18980114, 01.00, ////, 07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18980114, 02.00, ////, 07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18980114, 03.00, ////, 07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18980114, 04.00, ////, 07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18980114, 05.00, ////, 07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18980114, 06.00, ////, 07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18980114, 07.00, ////, 07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18980114, 08.00, ////, 07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18980114, 09.00, ////, 07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18980114, 10.00, ////, 07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18980114, 11.00, ////, 07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18980114, 12.00, ////, 07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18980114, 13.00, ////, 07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18980114, 14.00, ////, 07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18980114, 15.00, ////, 07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18980114, 16.00, ////, 07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18980114, 17.00, ////, 07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18980114, 18.00, ////, 07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18980114, 19.00, ////, 07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18980114, 20.00, ////, 07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18980114, 21.00, ////, 07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18980114, 22.00, ////, 07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18980114, 23.00, ////, 07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18980114, 24.00, ////, 07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18980115, 01.00, ////, 07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18980115, 02.00, ////, 07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18980115, 03.00, ////, 07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18980115, 04.00, ////, 07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18980115, 05.00, ////, 07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18980115, 06.00, ////, 07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18980115, 07.00, ////, 07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18980115, 08.00, ////, 07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18980115, 09.00, ////, 07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18980115, 10.00, ////, 07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18980115, 11.00, ////, 07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18980115, 12.00, ////, 07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18980115, 13.00, ////, 07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18980115, 14.00, ////, 07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18980115, 15.00, ////, 07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18980115, 16.00, ////, 07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18980115, 17.00, ////, 07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18980115, 18.00, ////, 07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18980115, 19.00, ////, 07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18980115, 20.00, ////, 07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18980115, 21.00, ////, 07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18980115, 22.00, ////, 07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18980115, 23.00, ////, 07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18980115, 24.00, ////, 07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18980116, 01.00, ////, 07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18980116, 02.00, ////, 07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18980116, 03.00, ////, 07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18980116, 04.00, ////, 07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18980116, 05.00, ////, 07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18980116, 06.00, ////, 07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18980116, 07.00, ////, 07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18980116, 08.00, ////, 07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18980116, 09.00, ////, 07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18980116, 10.00, ////, 07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18980116, 11.00, ////, 07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18980116, 12.00, ////, 07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18980116, 13.00, ////, 07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18980116, 14.00, ////, 07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18980116, 15.00, ////, 07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18980116, 16.00, ////, 07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18980116, 17.00, ////, 07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18980116, 18.00, ////, 07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18980116, 19.00, ////, 07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18980116, 20.00, ////, 07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18980116, 21.00, ////, 07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18980116, 22.00, ////, 07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18980116, 23.00, ////, 07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18980116, 24.00, ////, 07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18980117, 01.00, ////, 07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18980117, 02.00, ////, 07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18980117, 03.00, ////, 07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18980117, 04.00, ////, 07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18980117, 05.00, ////, 07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18980117, 06.00, ////, 07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18980117, 07.00, ////, 07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18980117, 08.00, ////, 07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18980117, 09.00, ////, 07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18980117, 10.00, ////, 07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18980117, 11.00, ////, 07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18980117, 12.00, ////, 07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18980117, 13.00, ////, 07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18980117, 14.00, ////, 07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18980117, 15.00, ////, 07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18980117, 16.00, ////, 07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18980117, 17.00, ////, 07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18980117, 18.00, ////, 07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18980117, 19.00, ////, 07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18980117, 20.00, ////, 07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18980117, 21.00, ////, 07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18980117, 22.00, ////, 07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18980117, 23.00, ////, 07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18980117, 24.00, ////, 07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18980118, 01.00, ////, 07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18980118, 02.00, ////, 07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18980118, 03.00, ////, 07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18980118, 04.00, ////, 07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18980118, 05.00, ////, 07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18980118, 06.00, ////, 07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18980118, 07.00, ////, 07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18980118, 08.00, ////, 07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18980118, 09.00, ////, 07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18980118, 10.00, ////, 07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18980118, 11.00, ////, 07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18980118, 12.00, ////, 07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18980118, 13.00, ////, 07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18980118, 14.00, ////, 07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18980118, 15.00, ////, 07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18980118, 16.00, ////, 07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18980118, 17.00, ////, 07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18980118, 18.00, ////, 07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18980118, 19.00, ////, 07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18980118, 20.00, ////, 07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18980118, 21.00, ////, 07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18980118, 22.00, ////, 07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18980118, 23.00, ////, 07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18980118, 24.00, ////, 07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18980119, 01.00, ////, 07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18980119, 02.00, ////, 07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18980119, 03.00, ////, 07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18980119, 04.00, ////, 07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18980119, 05.00, ////, 07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18980119, 06.00, ////, 07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18980119, 07.00, ////, 07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18980119, 08.00, ////, 07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18980119, 09.00, ////, 07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18980119, 10.00, ////, 07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18980119, 11.00, ////, 07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18980119, 12.00, ////, 07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18980119, 13.00, ////, 07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18980119, 14.00, ////, 07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18980119, 15.00, ////, 07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18980119, 16.00, ////, 07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18980119, 17.00, ////, 07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18980119, 18.00, ////, 07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18980119, 19.00, ////, 07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18980119, 20.00, ////, 07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18980119, 21.00, ////, 07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18980119, 22.00, ////, 07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18980119, 23.00, ////, 07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18980119, 24.00, ////, 07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18980120, 01.00, ////, 07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18980120, 02.00, ////, 07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18980120, 03.00, ////, 07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18980120, 04.00, ////, 07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18980120, 05.00, ////, 07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18980120, 06.00, ////, 07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18980120, 07.00, ////, 07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18980120, 08.00, ////, 07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18980120, 09.00, ////, 07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18980120, 10.00, ////, 07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18980120, 11.00, ////, 07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18980120, 12.00, ////, 07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18980120, 13.00, ////, 07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18980120, 14.00, ////, 07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18980120, 15.00, ////, 07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18980120, 16.00, ////, 07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18980120, 17.00, ////, 07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18980120, 18.00, ////, 07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18980120, 19.00, ////, 07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18980120, 20.00, ////, 07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18980120, 21.00, ////, 07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18980120, 22.00, ////, 07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18980120, 23.00, ////, 07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18980120, 24.00, ////, 07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18980121, 01.00, ////, 07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18980121, 02.00, ////, 07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18980121, 03.00, ////, 07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18980121, 04.00, ////, 07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18980121, 05.00, ////, 07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18980121, 06.00, ////, 07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18980121, 07.00, ////, 07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18980121, 08.00, ////, 07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18980121, 09.00, ////, 07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18980121, 10.00, ////, 07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18980121, 11.00, ////, 07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18980121, 12.00, ////, 07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18980121, 13.00, ////, 07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18980121, 14.00, ////, 07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18980121, 15.00, ////, 07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18980121, 16.00, ////, 07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18980121, 17.00, ////, 07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18980121, 18.00, ////, 07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18980121, 19.00, ////, 07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18980121, 20.00, ////, 07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18980121, 21.00, ////, 07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18980121, 22.00, ////, 07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18980121, 23.00, ////, 07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18980121, 24.00, ////, 07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18980122, 01.00, ////, 07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18980122, 02.00, ////, 07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18980122, 03.00, ////, 07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18980122, 04.00, ////, 07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18980122, 05.00, ////, 07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18980122, 06.00, ////, 07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18980122, 07.00, ////, 07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18980122, 08.00, ////, 07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18980122, 09.00, ////, 07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18980122, 10.00, ////, 07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18980122, 11.00, ////, 07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18980122, 12.00, ////, 07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18980122, 13.00, ////, 07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18980122, 14.00, ////, 07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18980122, 15.00, ////, 07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18980122, 16.00, ////, 07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18980122, 17.00, ////, 07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18980122, 18.00, ////, 07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18980122, 19.00, ////, 07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18980122, 20.00, ////, 07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18980122, 21.00, ////, 07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18980122, 22.00, ////, 07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18980122, 23.00, ////, 07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18980122, 24.00, ////, 07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18980123, 01.00, ////, 07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18980123, 02.00, ////, 07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18980123, 03.00, ////, 07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18980123, 04.00, ////, 07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18980123, 05.00, ////, 07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18980123, 06.00, ////, 07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18980123, 07.00, ////, 07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18980123, 08.00, ////, 07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18980123, 09.00, ////, 07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18980123, 10.00, ////, 07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18980123, 11.00, ////, 07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18980123, 12.00, ////, 07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18980123, 13.00, ////, 07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18980123, 14.00, ////, 07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18980123, 15.00, ////, 07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18980123, 16.00, ////, 07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18980123, 17.00, ////, 07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18980123, 18.00, ////, 07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18980123, 19.00, ////, 07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18980123, 20.00, ////, 07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18980123, 21.00, ////, 07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18980123, 22.00, ////, 07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18980123, 23.00, ////, 07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18980123, 24.00, ////, 07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18980124, 01.00, ////, 07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18980124, 02.00, ////, 07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18980124, 03.00, ////, 07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18980124, 04.00, ////, 07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18980124, 05.00, ////, 07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18980124, 06.00, ////, 07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18980124, 07.00, ////, 07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18980124, 08.00, ////, 07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18980124, 09.00, ////, 07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18980124, 10.00, ////, 07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18980124, 11.00, ////, 07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18980124, 12.00, ////, 07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18980124, 13.00, ////, 07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18980124, 14.00, ////, 07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18980124, 15.00, ////, 07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18980124, 16.00, ////, 07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18980124, 17.00, ////, 07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18980124, 18.00, ////, 07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18980124, 19.00, ////, 07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18980124, 20.00, ////, 07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18980124, 21.00, ////, 07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18980124, 22.00, ////, 07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18980124, 23.00, ////, 07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18980124, 24.00, ////, 07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18980125, 01.00, ////, 07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18980125, 02.00, ////, 07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18980125, 03.00, ////, 07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18980125, 04.00, ////, 07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18980125, 05.00, ////, 07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18980125, 06.00, ////, 07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18980125, 07.00, ////, 07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18980125, 08.00, ////, 07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18980125, 09.00, ////, 07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18980125, 10.00, ////, 07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18980125, 11.00, ////, 07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18980125, 12.00, ////, 07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18980125, 13.00, ////, 07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18980125, 14.00, ////, 07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18980125, 15.00, ////, 07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18980125, 16.00, ////, 07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18980125, 17.00, ////, 07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18980125, 18.00, ////, 07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18980125, 19.00, ////, 07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18980125, 20.00, ////, 07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18980125, 21.00, ////, 07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18980125, 22.00, ////, 07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18980125, 23.00, ////, 07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18980125, 24.00, ////, 07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18980126, 01.00, ////, 07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18980126, 02.00, ////, 07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18980126, 03.00, ////, 07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18980126, 04.00, ////, 07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18980126, 05.00, ////, 07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18980126, 06.00, ////, 07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18980126, 07.00, ////, 07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18980126, 08.00, ////, 07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18980126, 09.00, ////, 07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18980126, 10.00, ////, 07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18980126, 11.00, ////, 07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18980126, 12.00, ////, 07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18980126, 13.00, ////, 07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18980126, 14.00, ////, 07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18980126, 15.00, ////, 07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18980126, 16.00, ////, 07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18980126, 17.00, ////, 07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18980126, 18.00, ////, 07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18980126, 19.00, ////, 07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18980126, 20.00, ////, 07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18980126, 21.00, ////, 07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18980126, 22.00, ////, 07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18980126, 23.00, ////, 07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18980126, 24.00, ////, 07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18980127, 01.00, ////, 07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18980127, 02.00, ////, 07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18980127, 03.00, ////, 07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18980127, 04.00, ////, 07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18980127, 05.00, ////, 07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18980127, 06.00, ////, 07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18980127, 07.00, ////, 07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18980127, 08.00, ////, 07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18980127, 09.00, ////, 07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18980127, 10.00, ////, 07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18980127, 11.00, ////, 07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18980127, 12.00, ////, 07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18980127, 13.00, ////, 07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18980127, 14.00, ////, 07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18980127, 15.00, ////, 07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18980127, 16.00, ////, 07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18980127, 17.00, ////, 07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18980127, 18.00, ////, 07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18980127, 19.00, ////, 07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18980127, 20.00, ////, 07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18980127, 21.00, ////, 07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18980127, 22.00, ////, 07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18980127, 23.00, ////, 07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18980127, 24.00, ////, 07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18980128, 01.00, ////, 07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18980128, 02.00, ////, 07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18980128, 03.00, ////, 07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18980128, 04.00, ////, 07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18980128, 05.00, ////, 07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18980128, 06.00, ////, 07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18980128, 07.00, ////, 07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18980128, 08.00, ////, 07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18980128, 09.00, ////, 07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18980128, 10.00, ////, 07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18980128, 11.00, ////, 07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18980128, 12.00, ////, 07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18980128, 13.00, ////, 07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18980128, 14.00, ////, 07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18980128, 15.00, ////, 07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18980128, 16.00, ////, 07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18980128, 17.00, ////, 07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18980128, 18.00, ////, 07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18980128, 19.00, ////, 07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18980128, 20.00, ////, 07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18980128, 21.00, ////, 07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18980128, 22.00, ////, 07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18980128, 23.00, ////, 07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18980128, 24.00, ////, 07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18980129, 01.00, ////, 07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18980129, 02.00, ////, 07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18980129, 03.00, ////, 07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18980129, 04.00, ////, 07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18980129, 05.00, ////, 07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18980129, 06.00, ////, 07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18980129, 07.00, ////, 07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18980129, 08.00, ////, 07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18980129, 09.00, ////, 07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18980129, 10.00, ////, 07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18980129, 11.00, ////, 07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18980129, 12.00, ////, 07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18980129, 13.00, ////, 07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18980129, 14.00, ////, 07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18980129, 15.00, ////, 07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18980129, 16.00, ////, 07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18980129, 17.00, ////, 07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18980129, 18.00, ////, 07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18980129, 19.00, ////, 07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18980129, 20.00, ////, 07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18980129, 21.00, ////, 07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18980129, 22.00, ////, 07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18980129, 23.00, ////, 07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18980129, 24.00, ////, 07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18980130, 01.00, ////, 07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18980130, 02.00, ////, 07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18980130, 03.00, ////, 07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18980130, 04.00, ////, 07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18980130, 05.00, ////, 07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18980130, 06.00, ////, 07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18980130, 07.00, ////, 07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18980130, 08.00, ////, 07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18980130, 09.00, ////, 07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18980130, 10.00, ////, 07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18980130, 11.00, ////, 07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18980130, 12.00, ////, 07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18980130, 13.00, ////, 07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18980130, 14.00, ////, 07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18980130, 15.00, ////, 07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18980130, 16.00, ////, 07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18980130, 17.00, ////, 07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18980130, 18.00, ////, 07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18980130, 19.00, ////, 07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18980130, 20.00, ////, 07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18980130, 21.00, ////, 07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18980130, 22.00, ////, 07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18980130, 23.00, ////, 07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18980130, 24.00, ////, 07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18980131, 01.00, ////, 07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18980131, 02.00, ////, 07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18980131, 03.00, ////, 07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18980131, 04.00, ////, 07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18980131, 05.00, ////, 07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18980131, 06.00, ////, 07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18980131, 07.00, ////, 07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18980131, 08.00, ////, 07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18980131, 09.00, ////, 07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18980131, 10.00, ////, 07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18980131, 11.00, ////, 07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18980131, 12.00, ////, 07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18980131, 13.00, ////, 07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18980131, 14.00, ////, 07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18980131, 15.00, ////, 07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18980131, 16.00, ////, 07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18980131, 17.00, ////, 07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18980131, 18.00, ////, 07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18980131, 19.00, ////, 07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18980131, 20.00, ////, 07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18980131, 21.00, ////, 07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18980131, 22.00, ////, 07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18980131, 23.00, ////, 07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18980131, 24.00, ////, 07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18980201, 01.00, ////, 07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18980201, 02.00, ////, 07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18980201, 03.00, ////, 07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18980201, 04.00, ////, 07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18980201, 05.00, ////, 07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18980201, 06.00, ////, 07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18980201, 07.00, ////, 07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18980201, 08.00, ////, 07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18980201, 09.00, ////, 07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18980201, 10.00, ////, 07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18980201, 11.00, ////, 07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18980201, 12.00, ////, 07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18980201, 13.00, ////, 07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18980201, 14.00, ////, 07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18980201, 15.00, ////, 07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18980201, 16.00, ////, 07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18980201, 17.00, ////, 07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18980201, 18.00, ////, 07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18980201, 19.00, ////, 07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18980201, 20.00, ////, 07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18980201, 21.00, ////, 07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18980201, 22.00, ////, 07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18980201, 23.00, ////, 07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18980201, 24.00, ////, 07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18980202, 01.00, ////, 07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18980202, 02.00, ////, 07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18980202, 03.00, ////, 07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18980202, 04.00, ////, 07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18980202, 05.00, ////, 07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18980202, 06.00, ////, 07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18980202, 07.00, ////, 07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18980202, 08.00, ////, 07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18980202, 09.00, ////, 07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18980202, 10.00, ////, 07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18980202, 11.00, ////, 07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18980202, 12.00, ////, 07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18980202, 13.00, ////, 07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18980202, 14.00, ////, 07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18980202, 15.00, ////, 07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18980202, 16.00, ////, 07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18980202, 17.00, ////, 07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18980202, 18.00, ////, 07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18980202, 19.00, ////, 07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18980202, 20.00, ////, 07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18980202, 21.00, ////, 07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18980202, 22.00, ////, 07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18980202, 23.00, ////, 07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18980202, 24.00, ////, 07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18980203, 01.00, ////, 07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18980203, 02.00, ////, 07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18980203, 03.00, ////, 07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18980203, 04.00, ////, 07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18980203, 05.00, ////, 07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18980203, 06.00, ////, 07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18980203, 07.00, ////, 07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18980203, 08.00, ////, 07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18980203, 09.00, ////, 07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18980203, 10.00, ////, 07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18980203, 11.00, ////, 07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18980203, 12.00, ////, 07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18980203, 13.00, ////, 07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18980203, 14.00, ////, 07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18980203, 15.00, ////, 07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18980203, 16.00, ////, 07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18980203, 17.00, ////, 07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18980203, 18.00, ////, 07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18980203, 19.00, ////, 07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18980203, 20.00, ////, 07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18980203, 21.00, ////, 07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18980203, 22.00, ////, 07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18980203, 23.00, ////, 07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18980203, 24.00, ////, 07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18980204, 01.00, ////, 07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18980204, 02.00, ////, 07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18980204, 03.00, ////, 07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18980204, 04.00, ////, 07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18980204, 05.00, ////, 07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18980204, 06.00, ////, 07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18980204, 07.00, ////, 07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18980204, 08.00, ////, 07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18980204, 09.00, ////, 07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18980204, 10.00, ////, 07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18980204, 11.00, ////, 07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18980204, 12.00, ////, 07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18980204, 13.00, ////, 07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18980204, 14.00, ////, 07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18980204, 15.00, ////, 07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18980204, 16.00, ////, 07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18980204, 17.00, ////, 07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18980204, 18.00, ////, 07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18980204, 19.00, ////, 07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18980204, 20.00, ////, 07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18980204, 21.00, ////, 07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18980204, 22.00, ////, 07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18980204, 23.00, ////, 07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18980204, 24.00, ////, 07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18980205, 01.00, ////, 07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18980205, 02.00, ////, 07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18980205, 03.00, ////, 07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18980205, 04.00, ////, 07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18980205, 05.00, ////, 07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18980205, 06.00, ////, 07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18980205, 07.00, ////, 07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18980205, 08.00, ////, 07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18980205, 09.00, ////, 07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18980205, 10.00, ////, 07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18980205, 11.00, ////, 07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18980205, 12.00, ////, 07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18980205, 13.00, ////, 07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18980205, 14.00, ////, 07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18980205, 15.00, ////, 07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18980205, 16.00, ////, 07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18980205, 17.00, ////, 07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18980205, 18.00, ////, 07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18980205, 19.00, ////, 07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18980205, 20.00, ////, 07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18980205, 21.00, ////, 07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18980205, 22.00, ////, 07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18980205, 23.00, ////, 07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18980205, 24.00, ////, 07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18980206, 01.00, ////, 07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18980206, 02.00, ////, 07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18980206, 03.00, ////, 07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18980206, 04.00, ////, 07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18980206, 05.00, ////, 07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18980206, 06.00, ////, 07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18980206, 07.00, ////, 07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18980206, 08.00, ////, 07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18980206, 09.00, ////, 07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18980206, 10.00, ////, 07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18980206, 11.00, ////, 07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18980206, 12.00, ////, 07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18980206, 13.00, ////, 07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18980206, 14.00, ////, 07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18980206, 15.00, ////, 07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18980206, 16.00, ////, 07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18980206, 17.00, ////, 07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18980206, 18.00, ////, 07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18980206, 19.00, ////, 07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18980206, 20.00, ////, 07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18980206, 21.00, ////, 07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18980206, 22.00, ////, 07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18980206, 23.00, ////, 07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18980206, 24.00, ////, 07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18980207, 01.00, ////, 07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18980207, 02.00, ////, 07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18980207, 03.00, ////, 07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18980207, 04.00, ////, 07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18980207, 05.00, ////, 07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18980207, 06.00, ////, 07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18980207, 07.00, ////, 07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18980207, 08.00, ////, 07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18980207, 09.00, ////, 07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18980207, 10.00, ////, 07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18980207, 11.00, ////, 07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18980207, 12.00, ////, 07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18980207, 13.00, ////, 07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18980207, 14.00, ////, 07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18980207, 15.00, ////, 07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18980207, 16.00, ////, 07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18980207, 17.00, ////, 07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18980207, 18.00, ////, 07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18980207, 19.00, ////, 07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18980207, 20.00, ////, 07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18980207, 21.00, ////, 07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18980207, 22.00, ////, 07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18980207, 23.00, ////, 07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18980207, 24.00, ////, 07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18980208, 01.00, ////, 07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18980208, 02.00, ////, 07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18980208, 03.00, ////, 07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18980208, 04.00, ////, 07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18980208, 05.00, ////, 07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18980208, 06.00, ////, 07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18980208, 07.00, ////, 07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18980208, 08.00, ////, 07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18980208, 09.00, ////, 07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18980208, 10.00, ////, 07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18980208, 11.00, ////, 07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18980208, 12.00, ////, 07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18980208, 13.00, ////, 07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18980208, 14.00, ////, 07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18980208, 15.00, ////, 07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18980208, 16.00, ////, 07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18980208, 17.00, ////, 07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18980208, 18.00, ////, 07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18980208, 19.00, ////, 07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18980208, 20.00, ////, 07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18980208, 21.00, ////, 07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18980208, 22.00, ////, 07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18980208, 23.00, ////, 07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18980208, 24.00, ////, 07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18980209, 01.00, ////, 07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18980209, 02.00, ////, 07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18980209, 03.00, ////, 07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18980209, 04.00, ////, 07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18980209, 05.00, ////, 07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18980209, 06.00, ////, 07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18980209, 07.00, ////, 07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18980209, 08.00, ////, 07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18980209, 09.00, ////, 07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18980209, 10.00, ////, 07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18980209, 11.00, ////, 07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18980209, 12.00, ////, 07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18980209, 13.00, ////, 07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18980209, 14.00, ////, 07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18980209, 15.00, ////, 07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18980209, 16.00, ////, 07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18980209, 17.00, ////, 07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18980209, 18.00, ////, 07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18980209, 19.00, ////, 07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18980209, 20.00, ////, 07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18980209, 21.00, ////, 07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18980209, 22.00, ////, 07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18980209, 23.00, ////, 07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18980209, 24.00, ////, 07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18980210, 01.00, ////, 07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18980210, 02.00, ////, 07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18980210, 03.00, ////, 07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18980210, 04.00, ////, 07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18980210, 05.00, ////, 07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18980210, 06.00, ////, 07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18980210, 07.00, ////, 07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18980210, 08.00, ////, 07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18980210, 09.00, ////, 07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18980210, 10.00, ////, 07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18980210, 11.00, ////, 07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18980210, 12.00, ////, 07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18980210, 13.00, ////, 07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18980210, 14.00, ////, 07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18980210, 15.00, ////, 07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18980210, 16.00, ////, 07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18980210, 17.00, ////, 07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18980210, 18.00, ////, 07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18980210, 19.00, ////, 07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18980210, 20.00, ////, 07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18980210, 21.00, ////, 07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18980210, 22.00, ////, 07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18980210, 23.00, ////, 07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18980210, 24.00, ////, 07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18980211, 01.00, ////, 07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18980211, 02.00, ////, 07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18980211, 03.00, ////, 07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18980211, 04.00, ////, 07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18980211, 05.00, ////, 07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18980211, 06.00, ////, 07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18980211, 07.00, ////, 07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18980211, 08.00, ////, 07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18980211, 09.00, ////, 07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18980211, 10.00, ////, 07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18980211, 11.00, ////, 07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18980211, 12.00, ////, 07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18980211, 13.00, ////, 07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18980211, 14.00, ////, 07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18980211, 15.00, ////, 07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18980211, 16.00, ////, 07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18980211, 17.00, ////, 07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18980211, 18.00, ////, 07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18980211, 19.00, ////, 07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18980211, 20.00, ////, 07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18980211, 21.00, ////, 07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18980211, 22.00, ////, 07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18980211, 23.00, ////, 07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18980211, 24.00, ////, 07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18980212, 01.00, ////, 07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18980212, 02.00, ////, 07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18980212, 03.00, ////, 07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18980212, 04.00, ////, 07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18980212, 05.00, ////, 07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18980212, 06.00, ////, 07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18980212, 07.00, ////, 07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18980212, 08.00, ////, 07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18980212, 09.00, ////, 07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18980212, 10.00, ////, 07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18980212, 11.00, ////, 07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18980212, 12.00, ////, 07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18980212, 13.00, ////, 07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18980212, 14.00, ////, 07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18980212, 15.00, ////, 07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18980212, 16.00, ////, 07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18980212, 17.00, ////, 07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18980212, 18.00, ////, 07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18980212, 19.00, ////, 07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18980212, 20.00, ////, 07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18980212, 21.00, ////, 07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18980212, 22.00, ////, 07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18980212, 23.00, ////, 07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18980212, 24.00, ////, 07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18980213, 01.00, ////, 07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18980213, 02.00, ////, 07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18980213, 03.00, ////, 07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18980213, 04.00, ////, 07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18980213, 05.00, ////, 07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18980213, 06.00, ////, 07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18980213, 07.00, ////, 07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18980213, 08.00, ////, 07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18980213, 09.00, ////, 07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18980213, 10.00, ////, 07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18980213, 11.00, ////, 07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18980213, 12.00, ////, 07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18980213, 13.00, ////, 07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18980213, 14.00, ////, 07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18980213, 15.00, ////, 07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18980213, 16.00, ////, 07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18980213, 17.00, ////, 07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18980213, 18.00, ////, 07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18980213, 19.00, ////, 07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18980213, 20.00, ////, 07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18980213, 21.00, ////, 07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18980213, 22.00, ////, 07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18980213, 23.00, ////, 07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18980213, 24.00, ////, 07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18980214, 01.00, ////, 07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18980214, 02.00, ////, 07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18980214, 03.00, ////, 07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18980214, 04.00, ////, 07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18980214, 05.00, ////, 07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18980214, 06.00, ////, 07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18980214, 07.00, ////, 07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18980214, 08.00, ////, 07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18980214, 09.00, ////, 07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18980214, 10.00, ////, 07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18980214, 11.00, ////, 07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18980214, 12.00, ////, 07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18980214, 13.00, ////, 07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18980214, 14.00, ////, 07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18980214, 15.00, ////, 07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18980214, 16.00, ////, 07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18980214, 17.00, ////, 07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18980214, 18.00, ////, 07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18980214, 19.00, ////, 07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18980214, 20.00, ////, 07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18980214, 21.00, ////, 07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18980214, 22.00, ////, 07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18980214, 23.00, ////, 07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18980214, 24.00, ////, 07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18980215, 01.00, ////, 07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18980215, 02.00, ////, 07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18980215, 03.00, ////, 07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18980215, 04.00, ////, 07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18980215, 05.00, ////, 07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18980215, 06.00, ////, 07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18980215, 07.00, ////, 07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18980215, 08.00, ////, 07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18980215, 09.00, ////, 07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18980215, 10.00, ////, 07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18980215, 11.00, ////, 07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18980215, 12.00, ////, 07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18980215, 13.00, ////, 07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18980215, 14.00, ////, 07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18980215, 15.00, ////, 07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18980215, 16.00, ////, 07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18980215, 17.00, ////, 07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18980215, 18.00, ////, 07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18980215, 19.00, ////, 07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18980215, 20.00, ////, 07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18980215, 21.00, ////, 07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18980215, 22.00, ////, 07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18980215, 23.00, ////, 07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18980215, 24.00, ////, 07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18980216, 01.00, ////, 07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18980216, 02.00, ////, 07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18980216, 03.00, ////, 07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18980216, 04.00, ////, 07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18980216, 05.00, ////, 07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18980216, 06.00, ////, 07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18980216, 07.00, ////, 07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18980216, 08.00, ////, 07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18980216, 09.00, ////, 07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18980216, 10.00, ////, 07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18980216, 11.00, ////, 07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18980216, 12.00, ////, 07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18980216, 13.00, ////, 07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18980216, 14.00, ////, 07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18980216, 15.00, ////, 07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18980216, 16.00, ////, 07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18980216, 17.00, ////, 07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18980216, 18.00, ////, 07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18980216, 19.00, ////, 07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18980216, 20.00, ////, 07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18980216, 21.00, ////, 07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18980216, 22.00, ////, 07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18980216, 23.00, ////, 07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18980216, 24.00, ////, 07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18980217, 01.00, ////, 07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18980217, 02.00, ////, 07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18980217, 03.00, ////, 07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18980217, 04.00, ////, 07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18980217, 05.00, ////, 07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18980217, 06.00, ////, 07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18980217, 07.00, ////, 07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18980217, 08.00, ////, 07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18980217, 09.00, ////, 07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18980217, 10.00, ////, 07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18980217, 11.00, ////, 07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18980217, 12.00, ////, 07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18980217, 13.00, ////, 07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18980217, 14.00, ////, 07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18980217, 15.00, ////, 07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18980217, 16.00, ////, 07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18980217, 17.00, ////, 07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18980217, 18.00, ////, 07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18980217, 19.00, ////, 07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18980217, 20.00, ////, 07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18980217, 21.00, ////, 07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18980217, 22.00, ////, 07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18980217, 23.00, ////, 07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18980217, 24.00, ////, 07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18980218, 01.00, ////, 07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18980218, 02.00, ////, 07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18980218, 03.00, ////, 07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18980218, 04.00, ////, 07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18980218, 05.00, ////, 07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18980218, 06.00, ////, 07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18980218, 07.00, ////, 07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18980218, 08.00, ////, 07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18980218, 09.00, ////, 07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18980218, 10.00, ////, 07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18980218, 11.00, ////, 07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18980218, 12.00, ////, 07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18980218, 13.00, ////, 07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18980218, 14.00, ////, 07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18980218, 15.00, ////, 07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18980218, 16.00, ////, 07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18980218, 17.00, ////, 07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18980218, 18.00, ////, 07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18980218, 19.00, ////, 07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18980218, 20.00, ////, 07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18980218, 21.00, ////, 07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18980218, 22.00, ////, 07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18980218, 23.00, ////, 07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18980218, 24.00, ////, 07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18980219, 01.00, ////, 07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18980219, 02.00, ////, 07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18980219, 03.00, ////, 07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18980219, 04.00, ////, 07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18980219, 05.00, ////, 07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18980219, 06.00, ////, 07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18980219, 07.00, ////, 07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18980219, 08.00, ////, 07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18980219, 09.00, ////, 07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18980219, 10.00, ////, 07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18980219, 11.00, ////, 07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18980219, 12.00, ////, 07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18980219, 13.00, ////, 07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18980219, 14.00, ////, 07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18980219, 15.00, ////, 07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18980219, 16.00, ////, 07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18980219, 17.00, ////, 07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18980219, 18.00, ////, 07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18980219, 19.00, ////, 07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18980219, 20.00, ////, 07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18980219, 21.00, ////, 07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18980219, 22.00, ////, 07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18980219, 23.00, ////, 07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18980219, 24.00, ////, 07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18980220, 01.00, ////, 07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18980220, 02.00, ////, 07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18980220, 03.00, ////, 07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18980220, 04.00, ////, 07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18980220, 05.00, ////, 07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18980220, 06.00, ////, 07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18980220, 07.00, ////, 07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18980220, 08.00, ////, 07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18980220, 09.00, ////, 07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18980220, 10.00, ////, 07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18980220, 11.00, ////, 07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18980220, 12.00, ////, 07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18980220, 13.00, ////, 07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18980220, 14.00, ////, 07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18980220, 15.00, ////, 07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18980220, 16.00, ////, 07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18980220, 17.00, ////, 07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18980220, 18.00, ////, 07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18980220, 19.00, ////, 07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18980220, 20.00, ////, 07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18980220, 21.00, ////, 07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18980220, 22.00, ////, 07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18980220, 23.00, ////, 07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18980220, 24.00, ////, 07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18980221, 01.00, ////, 07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18980221, 02.00, ////, 07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18980221, 03.00, ////, 07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18980221, 04.00, ////, 07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18980221, 05.00, ////, 07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18980221, 06.00, ////, 07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18980221, 07.00, ////, 07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18980221, 08.00, ////, 07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18980221, 09.00, ////, 07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18980221, 10.00, ////, 07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18980221, 11.00, ////, 07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18980221, 12.00, ////, 07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18980221, 13.00, ////, 07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18980221, 14.00, ////, 07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18980221, 15.00, ////, 07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18980221, 16.00, ////, 07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18980221, 17.00, ////, 07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18980221, 18.00, ////, 07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18980221, 19.00, ////, 07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18980221, 20.00, ////, 07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18980221, 21.00, ////, 07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18980221, 22.00, ////, 07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18980221, 23.00, ////, 07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18980221, 24.00, ////, 07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18980222, 01.00, ////, 07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18980222, 02.00, ////, 07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18980222, 03.00, ////, 07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18980222, 04.00, ////, 07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18980222, 05.00, ////, 07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18980222, 06.00, ////, 07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18980222, 07.00, ////, 07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18980222, 08.00, ////, 07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18980222, 09.00, ////, 07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18980222, 10.00, ////, 07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18980222, 11.00, ////, 07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18980222, 12.00, ////, 07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18980222, 13.00, ////, 07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18980222, 14.00, ////, 07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18980222, 15.00, ////, 07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18980222, 16.00, ////, 07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18980222, 17.00, ////, 07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18980222, 18.00, ////, 07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18980222, 19.00, ////, 07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18980222, 20.00, ////, 07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18980222, 21.00, ////, 07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18980222, 22.00, ////, 07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18980222, 23.00, ////, 07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18980222, 24.00, ////, 07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18980223, 01.00, ////, 07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18980223, 02.00, ////, 07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18980223, 03.00, ////, 07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18980223, 04.00, ////, 07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18980223, 05.00, ////, 07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18980223, 06.00, ////, 07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18980223, 07.00, ////, 07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18980223, 08.00, ////, 07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18980223, 09.00, ////, 07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18980223, 10.00, ////, 07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18980223, 11.00, ////, 07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18980223, 12.00, ////, 07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18980223, 13.00, ////, 07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18980223, 14.00, ////, 07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18980223, 15.00, ////, 07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18980223, 16.00, ////, 07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18980223, 17.00, ////, 07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18980223, 18.00, ////, 07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18980223, 19.00, ////, 07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18980223, 20.00, ////, 07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18980223, 21.00, ////, 07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18980223, 22.00, ////, 07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18980223, 23.00, ////, 07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18980223, 24.00, ////, 07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18980224, 01.00, ////, 07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18980224, 02.00, ////, 07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18980224, 03.00, ////, 07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18980224, 04.00, ////, 07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18980224, 05.00, ////, 07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18980224, 06.00, ////, 07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18980224, 07.00, ////, 07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18980224, 08.00, ////, 07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18980224, 09.00, ////, 07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18980224, 10.00, ////, 07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18980224, 11.00, ////, 07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18980224, 12.00, ////, 07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18980224, 13.00, ////, 07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18980224, 14.00, ////, 07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18980224, 15.00, ////, 07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18980224, 16.00, ////, 07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18980224, 17.00, ////, 07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18980224, 18.00, ////, 07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18980224, 19.00, ////, 07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18980224, 20.00, ////, 07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18980224, 21.00, ////, 07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18980224, 22.00, ////, 07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18980224, 23.00, ////, 07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18980224, 24.00, ////, 07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18980225, 01.00, ////, 07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18980225, 02.00, ////, 07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18980225, 03.00, ////, 07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18980225, 04.00, ////, 07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18980225, 05.00, ////, 07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18980225, 06.00, ////, 07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18980225, 07.00, ////, 07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18980225, 08.00, ////, 07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18980225, 09.00, ////, 07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18980225, 10.00, ////, 07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18980225, 11.00, ////, 07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18980225, 12.00, ////, 07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18980225, 13.00, ////, 07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18980225, 14.00, ////, 07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18980225, 15.00, ////, 07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18980225, 16.00, ////, 07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18980225, 17.00, ////, 07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18980225, 18.00, ////, 07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18980225, 19.00, ////, 07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18980225, 20.00, ////, 07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18980225, 21.00, ////, 07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18980225, 22.00, ////, 07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18980225, 23.00, ////, 07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18980225, 24.00, ////, 07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18980226, 01.00, ////, 07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18980226, 02.00, ////, 07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18980226, 03.00, ////, 07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18980226, 04.00, ////, 07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18980226, 05.00, ////, 07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18980226, 06.00, ////, 07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18980226, 07.00, ////, 07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18980226, 08.00, ////, 07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18980226, 09.00, ////, 07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18980226, 10.00, ////, 07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18980226, 11.00, ////, 07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18980226, 12.00, ////, 07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18980226, 13.00, ////, 07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18980226, 14.00, ////, 07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18980226, 15.00, ////, 07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18980226, 16.00, ////, 07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18980226, 17.00, ////, 07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18980226, 18.00, ////, 07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18980226, 19.00, ////, 07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18980226, 20.00, ////, 07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18980226, 21.00, ////, 07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18980226, 22.00, ////, 07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18980226, 23.00, ////, 07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18980226, 24.00, ////, 07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18980227, 01.00, ////, 07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18980227, 02.00, ////, 07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18980227, 03.00, ////, 07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18980227, 04.00, ////, 07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18980227, 05.00, ////, 07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18980227, 06.00, ////, 07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18980227, 07.00, ////, 07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18980227, 08.00, ////, 07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18980227, 09.00, ////, 07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18980227, 10.00, ////, 07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18980227, 11.00, ////, 07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18980227, 12.00, ////, 07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18980227, 13.00, ////, 07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18980227, 14.00, ////, 07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18980227, 15.00, ////, 07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18980227, 16.00, ////, 07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18980227, 17.00, ////, 07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18980227, 18.00, ////, 07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18980227, 19.00, ////, 07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18980227, 20.00, ////, 07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18980227, 21.00, ////, 07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18980227, 22.00, ////, 07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18980227, 23.00, ////, 07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18980227, 24.00, ////, 07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18980228, 01.00, ////, 07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18980228, 02.00, ////, 07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18980228, 03.00, ////, 07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18980228, 04.00, ////, 07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18980228, 05.00, ////, 07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18980228, 06.00, ////, 07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18980228, 07.00, ////, 07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18980228, 08.00, ////, 07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18980228, 09.00, ////, 07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18980228, 10.00, ////, 07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18980228, 11.00, ////, 07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18980228, 12.00, ////, 07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18980228, 13.00, ////, 07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18980228, 14.00, ////, 07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18980228, 15.00, ////, 07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18980228, 16.00, ////, 07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18980228, 17.00, ////, 07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18980228, 18.00, ////, 07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18980228, 19.00, ////, 07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18980228, 20.00, ////, 07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18980228, 21.00, ////, 07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18980228, 22.00, ////, 07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18980228, 23.00, ////, 07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18980228, 24.00, ////, 07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18980301, 01.00, ////, 07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18980301, 02.00, ////, 07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18980301, 03.00, ////, 07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18980301, 04.00, ////, 07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18980301, 05.00, ////, 07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18980301, 06.00, ////, 07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18980301, 07.00, ////, 07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18980301, 08.00, ////, 07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18980301, 09.00, ////, 07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18980301, 10.00, ////, 07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18980301, 11.00, ////, 07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18980301, 12.00, ////, 07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18980301, 13.00, ////, 07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18980301, 14.00, ////, 07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18980301, 15.00, ////, 07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18980301, 16.00, ////, 07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18980301, 17.00, ////, 07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18980301, 18.00, ////, 07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18980301, 19.00, ////, 07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18980301, 20.00, ////, 07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18980301, 21.00, ////, 07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18980301, 22.00, ////, 07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18980301, 23.00, ////, 07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18980301, 24.00, ////, 07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18980302, 01.00, ////, 07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18980302, 02.00, ////, 07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18980302, 03.00, ////, 07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18980302, 04.00, ////, 07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18980302, 05.00, ////, 07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18980302, 06.00, ////, 07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18980302, 07.00, ////, 07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18980302, 08.00, ////, 07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18980302, 09.00, ////, 07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18980302, 10.00, ////, 07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18980302, 11.00, ////, 07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18980302, 12.00, ////, 07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18980302, 13.00, ////, 07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18980302, 14.00, ////, 07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18980302, 15.00, ////, 07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18980302, 16.00, ////, 07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18980302, 17.00, ////, 07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18980302, 18.00, ////, 07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18980302, 19.00, ////, 07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18980302, 20.00, ////, 07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18980302, 21.00, ////, 07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18980302, 22.00, ////, 07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18980302, 23.00, ////, 07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18980302, 24.00, ////, 07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18980303, 01.00, ////, 07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18980303, 02.00, ////, 07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18980303, 03.00, ////, 07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18980303, 04.00, ////, 07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18980303, 05.00, ////, 07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18980303, 06.00, ////, 07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18980303, 07.00, ////, 07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18980303, 08.00, ////, 07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18980303, 09.00, ////, 07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18980303, 10.00, ////, 07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18980303, 11.00, ////, 07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18980303, 12.00, ////, 07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18980303, 13.00, ////, 07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18980303, 14.00, ////, 07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18980303, 15.00, ////, 07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18980303, 16.00, ////, 07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18980303, 17.00, ////, 07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18980303, 18.00, ////, 07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18980303, 19.00, ////, 07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18980303, 20.00, ////, 07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18980303, 21.00, ////, 07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18980303, 22.00, ////, 07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18980303, 23.00, ////, 07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18980303, 24.00, ////, 07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18980304, 01.00, ////, 07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18980304, 02.00, ////, 07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18980304, 03.00, ////, 07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18980304, 04.00, ////, 07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18980304, 05.00, ////, 07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18980304, 06.00, ////, 07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18980304, 07.00, ////, 07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18980304, 08.00, ////, 07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18980304, 09.00, ////, 07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18980304, 10.00, ////, 07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18980304, 11.00, ////, 07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18980304, 12.00, ////, 07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18980304, 13.00, ////, 07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18980304, 14.00, ////, 07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18980304, 15.00, ////, 07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18980304, 16.00, ////, 07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18980304, 17.00, ////, 07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18980304, 18.00, ////, 07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18980304, 19.00, ////, 07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18980304, 20.00, ////, 07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18980304, 21.00, ////, 07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18980304, 22.00, ////, 07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18980304, 23.00, ////, 07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18980304, 24.00, ////, 07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18980305, 01.00, ////, 07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18980305, 02.00, ////, 07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18980305, 03.00, ////, 07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18980305, 04.00, ////, 07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18980305, 05.00, ////, 07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18980305, 06.00, ////, 07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18980305, 07.00, ////, 07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18980305, 08.00, ////, 07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18980305, 09.00, ////, 07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18980305, 10.00, ////, 07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18980305, 11.00, ////, 07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18980305, 12.00, ////, 07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18980305, 13.00, ////, 07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18980305, 14.00, ////, 07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18980305, 15.00, ////, 07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18980305, 16.00, ////, 07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18980305, 17.00, ////, 07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18980305, 18.00, ////, 07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18980305, 19.00, ////, 07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18980305, 20.00, ////, 07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18980305, 21.00, ////, 07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18980305, 22.00, ////, 07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18980305, 23.00, ////, 07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18980305, 24.00, ////, 07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18980306, 01.00, ////, 07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18980306, 02.00, ////, 07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18980306, 03.00, ////, 07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18980306, 04.00, ////, 07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18980306, 05.00, ////, 07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18980306, 06.00, ////, 07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18980306, 07.00, ////, 07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18980306, 08.00, ////, 07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18980306, 09.00, ////, 07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18980306, 10.00, ////, 07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18980306, 11.00, ////, 07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18980306, 12.00, ////, 07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18980306, 13.00, ////, 07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18980306, 14.00, ////, 07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18980306, 15.00, ////, 07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18980306, 16.00, ////, 07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18980306, 17.00, ////, 07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18980306, 18.00, ////, 07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18980306, 19.00, ////, 07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18980306, 20.00, ////, 07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18980306, 21.00, ////, 07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18980306, 22.00, ////, 07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18980306, 23.00, ////, 07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18980306, 24.00, ////, 07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18980307, 01.00, ////, 07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18980307, 02.00, ////, 07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18980307, 03.00, ////, 07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18980307, 04.00, ////, 07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18980307, 05.00, ////, 07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18980307, 06.00, ////, 07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18980307, 07.00, ////, 07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18980307, 08.00, ////, 07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18980307, 09.00, ////, 07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18980307, 10.00, ////, 07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18980307, 11.00, ////, 07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18980307, 12.00, ////, 07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18980307, 13.00, ////, 07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18980307, 14.00, ////, 07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18980307, 15.00, ////, 07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18980307, 16.00, ////, 07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18980307, 17.00, ////, 07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18980307, 18.00, ////, 07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18980307, 19.00, ////, 07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18980307, 20.00, ////, 07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18980307, 21.00, ////, 07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18980307, 22.00, ////, 07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18980307, 23.00, ////, 07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18980307, 24.00, ////, 07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18980308, 01.00, ////, 07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18980308, 02.00, ////, 07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18980308, 03.00, ////, 07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18980308, 04.00, ////, 07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18980308, 05.00, ////, 07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18980308, 06.00, ////, 07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18980308, 07.00, ////, 07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18980308, 08.00, ////, 07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18980308, 09.00, ////, 07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18980308, 10.00, ////, 07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18980308, 11.00, ////, 07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18980308, 12.00, ////, 07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18980308, 13.00, ////, 07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18980308, 14.00, ////, 07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18980308, 15.00, ////, 07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18980308, 16.00, ////, 07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18980308, 17.00, ////, 07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18980308, 18.00, ////, 07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18980308, 19.00, ////, 07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18980308, 20.00, ////, 07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18980308, 21.00, ////, 07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18980308, 22.00, ////, 07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18980308, 23.00, ////, 07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18980308, 24.00, ////, 07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18980309, 01.00, ////, 07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18980309, 02.00, ////, 07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18980309, 03.00, ////, 07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18980309, 04.00, ////, 07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18980309, 05.00, ////, 07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18980309, 06.00, ////, 07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18980309, 07.00, ////, 07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18980309, 08.00, ////, 07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18980309, 09.00, ////, 07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18980309, 10.00, ////, 07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18980309, 11.00, ////, 07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18980309, 12.00, ////, 07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18980309, 13.00, ////, 07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18980309, 14.00, ////, 07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18980309, 15.00, ////, 07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18980309, 16.00, ////, 07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18980309, 17.00, ////, 07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18980309, 18.00, ////, 07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18980309, 19.00, ////, 07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18980309, 20.00, ////, 07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18980309, 21.00, ////, 07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18980309, 22.00, ////, 07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18980309, 23.00, ////, 07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18980309, 24.00, ////, 07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18980310, 01.00, ////, 07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18980310, 02.00, ////, 07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18980310, 03.00, ////, 07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18980310, 04.00, ////, 07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18980310, 05.00, ////, 07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18980310, 06.00, ////, 07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18980310, 07.00, ////, 07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18980310, 08.00, ////, 07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18980310, 09.00, ////, 07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18980310, 10.00, ////, 07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18980310, 11.00, ////, 07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18980310, 12.00, ////, 07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18980310, 13.00, ////, 07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18980310, 14.00, ////, 07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18980310, 15.00, ////, 07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18980310, 16.00, ////, 07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18980310, 17.00, ////, 07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18980310, 18.00, ////, 07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18980310, 19.00, ////, 07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18980310, 20.00, ////, 07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18980310, 21.00, ////, 07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18980310, 22.00, ////, 07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18980310, 23.00, ////, 07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18980310, 24.00, ////, 07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18980311, 01.00, ////, 07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18980311, 02.00, ////, 07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18980311, 03.00, ////, 07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18980311, 04.00, ////, 07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18980311, 05.00, ////, 07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18980311, 06.00, ////, 07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18980311, 07.00, ////, 07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18980311, 08.00, ////, 07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18980311, 09.00, ////, 07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18980311, 10.00, ////, 07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18980311, 11.00, ////, 07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18980311, 12.00, ////, 07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18980311, 13.00, ////, 07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18980311, 14.00, ////, 07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18980311, 15.00, ////, 07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18980311, 16.00, ////, 07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18980311, 17.00, ////, 07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18980311, 18.00, ////, 07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18980311, 19.00, ////, 07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18980311, 20.00, ////, 07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18980311, 21.00, ////, 07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18980311, 22.00, ////, 07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18980311, 23.00, ////, 07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18980311, 24.00, ////, 07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18980312, 01.00, ////, 07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18980312, 02.00, ////, 07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18980312, 03.00, ////, 07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18980312, 04.00, ////, 07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18980312, 05.00, ////, 07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18980312, 06.00, ////, 07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18980312, 07.00, ////, 07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18980312, 08.00, ////, 07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18980312, 09.00, ////, 07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18980312, 10.00, ////, 07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18980312, 11.00, ////, 07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18980312, 12.00, ////, 07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18980312, 13.00, ////, 07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18980312, 14.00, ////, 07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18980312, 15.00, ////, 07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18980312, 16.00, ////, 07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18980312, 17.00, ////, 07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18980312, 18.00, ////, 07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18980312, 19.00, ////, 07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18980312, 20.00, ////, 07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18980312, 21.00, ////, 07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18980312, 22.00, ////, 07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18980312, 23.00, ////, 07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18980312, 24.00, ////, 07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18980313, 01.00, ////, 07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18980313, 02.00, ////, 07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18980313, 03.00, ////, 07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18980313, 04.00, ////, 07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18980313, 05.00, ////, 07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18980313, 06.00, ////, 07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18980313, 07.00, ////, 07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18980313, 08.00, ////, 07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18980313, 09.00, ////, 07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18980313, 10.00, ////, 07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18980313, 11.00, ////, 07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18980313, 12.00, ////, 07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18980313, 13.00, ////, 07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18980313, 14.00, ////, 07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18980313, 15.00, ////, 07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18980313, 16.00, ////, 07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18980313, 17.00, ////, 07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18980313, 18.00, ////, 07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18980313, 19.00, ////, 07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18980313, 20.00, ////, 07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18980313, 21.00, ////, 07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18980313, 22.00, ////, 07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18980313, 23.00, ////, 07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18980313, 24.00, ////, 07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18980314, 01.00, ////, 07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18980314, 02.00, ////, 07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18980314, 03.00, ////, 07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18980314, 04.00, ////, 07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18980314, 05.00, ////, 07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18980314, 06.00, ////, 07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18980314, 07.00, ////, 07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18980314, 08.00, ////, 07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18980314, 09.00, ////, 07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18980314, 10.00, ////, 07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18980314, 11.00, ////, 07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18980314, 12.00, ////, 07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18980314, 13.00, ////, 07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18980314, 14.00, ////, 07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18980314, 15.00, ////, 07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18980314, 16.00, ////, 07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18980314, 17.00, ////, 07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18980314, 18.00, ////, 07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18980314, 19.00, ////, 07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18980314, 20.00, ////, 07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18980314, 21.00, ////, 07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18980314, 22.00, ////, 07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18980314, 23.00, ////, 07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18980314, 24.00, ////, 07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18980315, 01.00, ////, 07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18980315, 02.00, ////, 07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18980315, 03.00, ////, 07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18980315, 04.00, ////, 07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18980315, 05.00, ////, 07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18980315, 06.00, ////, 07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18980315, 07.00, ////, 07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18980315, 08.00, ////, 07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18980315, 09.00, ////, 07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18980315, 10.00, ////, 07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18980315, 11.00, ////, 07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18980315, 12.00, ////, 07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18980315, 13.00, ////, 07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18980315, 14.00, ////, 07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18980315, 15.00, ////, 07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18980315, 16.00, ////, 07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18980315, 17.00, ////, 07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18980315, 18.00, ////, 07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18980315, 19.00, ////, 07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18980315, 20.00, ////, 07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18980315, 21.00, ////, 07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18980315, 22.00, ////, 07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18980315, 23.00, ////, 07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18980315, 24.00, ////, 07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18980316, 01.00, ////, 07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18980316, 02.00, ////, 07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18980316, 03.00, ////, 07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18980316, 04.00, ////, 07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18980316, 05.00, ////, 07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18980316, 06.00, ////, 07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18980316, 07.00, ////, 07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18980316, 08.00, ////, 07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18980316, 09.00, ////, 07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18980316, 10.00, ////, 07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18980316, 11.00, ////, 07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18980316, 12.00, ////, 07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18980316, 13.00, ////, 07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18980316, 14.00, ////, 07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18980316, 15.00, ////, 07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18980316, 16.00, ////, 07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18980316, 17.00, ////, 07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18980316, 18.00, ////, 07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18980316, 19.00, ////, 07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18980316, 20.00, ////, 07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18980316, 21.00, ////, 07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18980316, 22.00, ////, 07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18980316, 23.00, ////, 07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18980316, 24.00, ////, 07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18980317, 01.00, ////, 07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18980317, 02.00, ////, 07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18980317, 03.00, ////, 07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18980317, 04.00, ////, 07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18980317, 05.00, ////, 07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18980317, 06.00, ////, 07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18980317, 07.00, ////, 07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18980317, 08.00, ////, 07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18980317, 09.00, ////, 07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18980317, 10.00, ////, 07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18980317, 11.00, ////, 07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18980317, 12.00, ////, 07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18980317, 13.00, ////, 07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18980317, 14.00, ////, 07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18980317, 15.00, ////, 07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18980317, 16.00, ////, 07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18980317, 17.00, ////, 07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18980317, 18.00, ////, 07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18980317, 19.00, ////, 07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18980317, 20.00, ////, 07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18980317, 21.00, ////, 07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18980317, 22.00, ////, 07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18980317, 23.00, ////, 07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18980317, 24.00, ////, 07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18980318, 01.00, ////, 07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18980318, 02.00, ////, 07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18980318, 03.00, ////, 07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18980318, 04.00, ////, 07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18980318, 05.00, ////, 07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18980318, 06.00, ////, 07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18980318, 07.00, ////, 07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18980318, 08.00, ////, 07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18980318, 09.00, ////, 07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18980318, 10.00, ////, 07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18980318, 11.00, ////, 07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18980318, 12.00, ////, 07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18980318, 13.00, ////, 07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18980318, 14.00, ////, 07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18980318, 15.00, ////, 07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18980318, 16.00, ////, 07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18980318, 17.00, ////, 07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18980318, 18.00, ////, 07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18980318, 19.00, ////, 07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18980318, 20.00, ////, 07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18980318, 21.00, ////, 07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18980318, 22.00, ////, 07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18980318, 23.00, ////, 07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18980318, 24.00, ////, 07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18980319, 01.00, ////, 07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18980319, 02.00, ////, 07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18980319, 03.00, ////, 07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18980319, 04.00, ////, 07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18980319, 05.00, ////, 07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18980319, 06.00, ////, 07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18980319, 07.00, ////, 07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18980319, 08.00, ////, 07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18980319, 09.00, ////, 07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18980319, 10.00, ////, 07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18980319, 11.00, ////, 07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18980319, 12.00, ////, 07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18980319, 13.00, ////, 07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18980319, 14.00, ////, 07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18980319, 15.00, ////, 07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18980319, 16.00, ////, 07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18980319, 17.00, ////, 07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18980319, 18.00, ////, 07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18980319, 19.00, ////, 07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18980319, 20.00, ////, 07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18980319, 21.00, ////, 07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18980319, 22.00, ////, 07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18980319, 23.00, ////, 07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18980319, 24.00, ////, 07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18980320, 01.00, ////, 07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18980320, 02.00, ////, 07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18980320, 03.00, ////, 07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18980320, 04.00, ////, 07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18980320, 05.00, ////, 07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18980320, 06.00, ////, 07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18980320, 07.00, ////, 07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18980320, 08.00, ////, 07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18980320, 09.00, ////, 07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18980320, 10.00, ////, 07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18980320, 11.00, ////, 07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18980320, 12.00, ////, 07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18980320, 13.00, ////, 07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18980320, 14.00, ////, 07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18980320, 15.00, ////, 07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18980320, 16.00, ////, 07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18980320, 17.00, ////, 07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18980320, 18.00, ////, 07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18980320, 19.00, ////, 07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18980320, 20.00, ////, 07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18980320, 21.00, ////, 07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18980320, 22.00, ////, 07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18980320, 23.00, ////, 07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18980320, 24.00, ////, 07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18980321, 01.00, ////, 07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18980321, 02.00, ////, 07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18980321, 03.00, ////, 07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18980321, 04.00, ////, 07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18980321, 05.00, ////, 07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18980321, 06.00, ////, 07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18980321, 07.00, ////, 07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18980321, 08.00, ////, 07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18980321, 09.00, ////, 07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18980321, 10.00, ////, 07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18980321, 11.00, ////, 07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18980321, 12.00, ////, 07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18980321, 13.00, ////, 07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18980321, 14.00, ////, 07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18980321, 15.00, ////, 07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18980321, 16.00, ////, 07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18980321, 17.00, ////, 07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18980321, 18.00, ////, 07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18980321, 19.00, ////, 07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18980321, 20.00, ////, 07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18980321, 21.00, ////, 07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18980321, 22.00, ////, 07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18980321, 23.00, ////, 07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18980321, 24.00, ////, 07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18980322, 01.00, ////, 07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18980322, 02.00, ////, 07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18980322, 03.00, ////, 07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18980322, 04.00, ////, 07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18980322, 05.00, ////, 07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18980322, 06.00, ////, 07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18980322, 07.00, ////, 07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18980322, 08.00, ////, 07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18980322, 09.00, ////, 07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18980322, 10.00, ////, 07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18980322, 11.00, ////, 07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18980322, 12.00, ////, 07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18980322, 13.00, ////, 07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18980322, 14.00, ////, 07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18980322, 15.00, ////, 07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18980322, 16.00, ////, 07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18980322, 17.00, ////, 07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18980322, 18.00, ////, 07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18980322, 19.00, ////, 07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18980322, 20.00, ////, 07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18980322, 21.00, ////, 07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18980322, 22.00, ////, 07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18980322, 23.00, ////, 07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18980322, 24.00, ////, 07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18980323, 01.00, ////, 07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18980323, 02.00, ////, 07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18980323, 03.00, ////, 07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18980323, 04.00, ////, 07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18980323, 05.00, ////, 07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18980323, 06.00, ////, 07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18980323, 07.00, ////, 07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18980323, 08.00, ////, 07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18980323, 09.00, ////, 07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18980323, 10.00, ////, 07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18980323, 11.00, ////, 07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18980323, 12.00, ////, 07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18980323, 13.00, ////, 07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18980323, 14.00, ////, 07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18980323, 15.00, ////, 07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18980323, 16.00, ////, 07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18980323, 17.00, ////, 07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18980323, 18.00, ////, 07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18980323, 19.00, ////, 07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18980323, 20.00, ////, 07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18980323, 21.00, ////, 07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18980323, 22.00, ////, 07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18980323, 23.00, ////, 07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18980323, 24.00, ////, 07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18980324, 01.00, ////, 07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18980324, 02.00, ////, 07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18980324, 03.00, ////, 07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18980324, 04.00, ////, 07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18980324, 05.00, ////, 07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18980324, 06.00, ////, 07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18980324, 07.00, ////, 07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18980324, 08.00, ////, 07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18980324, 09.00, ////, 07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18980324, 10.00, ////, 07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18980324, 11.00, ////, 07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18980324, 12.00, ////, 07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18980324, 13.00, ////, 07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18980324, 14.00, ////, 07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18980324, 15.00, ////, 07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18980324, 16.00, ////, 07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18980324, 17.00, ////, 07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18980324, 18.00, ////, 07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18980324, 19.00, ////, 07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18980324, 20.00, ////, 07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18980324, 21.00, ////, 07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18980324, 22.00, ////, 07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18980324, 23.00, ////, 07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18980324, 24.00, ////, 07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18980325, 01.00, ////, 07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18980325, 02.00, ////, 07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18980325, 03.00, ////, 07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18980325, 04.00, ////, 07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18980325, 05.00, ////, 07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18980325, 06.00, ////, 07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18980325, 07.00, ////, 07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18980325, 08.00, ////, 07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18980325, 09.00, ////, 07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18980325, 10.00, ////, 07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18980325, 11.00, ////, 07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18980325, 12.00, ////, 07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18980325, 13.00, ////, 07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18980325, 14.00, ////, 07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18980325, 15.00, ////, 07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18980325, 16.00, ////, 07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18980325, 17.00, ////, 07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18980325, 18.00, ////, 07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18980325, 19.00, ////, 07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18980325, 20.00, ////, 07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18980325, 21.00, ////, 07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18980325, 22.00, ////, 07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18980325, 23.00, ////, 07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18980325, 24.00, ////, 07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18980326, 01.00, ////, 07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18980326, 02.00, ////, 07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18980326, 03.00, ////, 07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18980326, 04.00, ////, 07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18980326, 05.00, ////, 07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18980326, 06.00, ////, 07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18980326, 07.00, ////, 07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18980326, 08.00, ////, 07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18980326, 09.00, ////, 07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18980326, 10.00, ////, 07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18980326, 11.00, ////, 07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18980326, 12.00, ////, 07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18980326, 13.00, ////, 07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18980326, 14.00, ////, 07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18980326, 15.00, ////, 07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18980326, 16.00, ////, 07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18980326, 17.00, ////, 07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18980326, 18.00, ////, 07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18980326, 19.00, ////, 07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18980326, 20.00, ////, 07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18980326, 21.00, ////, 07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18980326, 22.00, ////, 07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18980326, 23.00, ////, 07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18980326, 24.00, ////, 07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18980327, 01.00, ////, 07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18980327, 02.00, ////, 07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18980327, 03.00, ////, 07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18980327, 04.00, ////, 07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18980327, 05.00, ////, 07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18980327, 06.00, ////, 07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18980327, 07.00, ////, 07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18980327, 08.00, ////, 07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18980327, 09.00, ////, 07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18980327, 10.00, ////, 07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18980327, 11.00, ////, 07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18980327, 12.00, ////, 07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18980327, 13.00, ////, 07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18980327, 14.00, ////, 07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18980327, 15.00, ////, 07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18980327, 16.00, ////, 07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18980327, 17.00, ////, 07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18980327, 18.00, ////, 07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18980327, 19.00, ////, 07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18980327, 20.00, ////, 07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18980327, 21.00, ////, 07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18980327, 22.00, ////, 07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18980327, 23.00, ////, 07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18980327, 24.00, ////, 07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18980328, 01.00, ////, 07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18980328, 02.00, ////, 07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18980328, 03.00, ////, 07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18980328, 04.00, ////, 07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18980328, 05.00, ////, 07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18980328, 06.00, ////, 07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18980328, 07.00, ////, 07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18980328, 08.00, ////, 07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18980328, 09.00, ////, 07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18980328, 10.00, ////, 07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18980328, 11.00, ////, 07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18980328, 12.00, ////, 07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18980328, 13.00, ////, 07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18980328, 14.00, ////, 07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18980328, 15.00, ////, 07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18980328, 16.00, ////, 07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18980328, 17.00, ////, 07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18980328, 18.00, ////, 07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18980328, 19.00, ////, 07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18980328, 20.00, ////, 07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18980328, 21.00, ////, 07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18980328, 22.00, ////, 07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18980328, 23.00, ////, 07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18980328, 24.00, ////, 07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18980329, 01.00, ////, 07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18980329, 02.00, ////, 07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18980329, 03.00, ////, 07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18980329, 04.00, ////, 07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18980329, 05.00, ////, 07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18980329, 06.00, ////, 07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18980329, 07.00, ////, 07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18980329, 08.00, ////, 07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18980329, 09.00, ////, 07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18980329, 10.00, ////, 07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18980329, 11.00, ////, 07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18980329, 12.00, ////, 07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18980329, 13.00, ////, 07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18980329, 14.00, ////, 07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18980329, 15.00, ////, 07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18980329, 16.00, ////, 07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18980329, 17.00, ////, 07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18980329, 18.00, ////, 07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18980329, 19.00, ////, 07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18980329, 20.00, ////, 07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18980329, 21.00, ////, 07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18980329, 22.00, ////, 07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18980329, 23.00, ////, 07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18980329, 24.00, ////, 07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18980330, 01.00, ////, 07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18980330, 02.00, ////, 07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18980330, 03.00, ////, 07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18980330, 04.00, ////, 07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18980330, 05.00, ////, 07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18980330, 06.00, ////, 07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18980330, 07.00, ////, 07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18980330, 08.00, ////, 07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18980330, 09.00, ////, 07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18980330, 10.00, ////, 07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18980330, 11.00, ////, 07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18980330, 12.00, ////, 07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18980330, 13.00, ////, 07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18980330, 14.00, ////, 07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18980330, 15.00, ////, 07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18980330, 16.00, ////, 07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18980330, 17.00, ////, 07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18980330, 18.00, ////, 07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18980330, 19.00, ////, 07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18980330, 20.00, ////, 07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18980330, 21.00, ////, 07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18980330, 22.00, ////, 07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18980330, 23.00, ////, 07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18980330, 24.00, ////, 07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18980331, 01.00, ////, 07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18980331, 02.00, ////, 07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18980331, 03.00, ////, 07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18980331, 04.00, ////, 07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18980331, 05.00, ////, 07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18980331, 06.00, ////, 07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18980331, 07.00, ////, 07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18980331, 08.00, ////, 07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18980331, 09.00, ////, 07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18980331, 10.00, ////, 07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18980331, 11.00, ////, 07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18980331, 12.00, ////, 07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18980331, 13.00, ////, 07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18980331, 14.00, ////, 07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18980331, 15.00, ////, 07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18980331, 16.00, ////, 07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18980331, 17.00, ////, 07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18980331, 18.00, ////, 07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18980331, 19.00, ////, 07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18980331, 20.00, ////, 07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18980331, 21.00, ////, 07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18980331, 22.00, ////, 07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18980331, 23.00, ////, 07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18980331, 24.00, ////, 07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18980401, 01.00, ////, 07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18980401, 02.00, ////, 07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18980401, 03.00, ////, 07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18980401, 04.00, ////, 07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18980401, 05.00, ////, 07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18980401, 06.00, ////, 07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18980401, 07.00, ////, 07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18980401, 08.00, ////, 07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18980401, 09.00, ////, 07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18980401, 10.00, ////, 07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18980401, 11.00, ////, 07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18980401, 12.00, ////, 07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18980401, 13.00, ////, 07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18980401, 14.00, ////, 07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18980401, 15.00, ////, 07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18980401, 16.00, ////, 07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18980401, 17.00, ////, 07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18980401, 18.00, ////, 07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18980401, 19.00, ////, 07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18980401, 20.00, ////, 07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18980401, 21.00, ////, 07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18980401, 22.00, ////, 07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18980401, 23.00, ////, 07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18980401, 24.00, ////, 07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18980402, 01.00, ////, 07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18980402, 02.00, ////, 07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18980402, 03.00, ////, 07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18980402, 04.00, ////, 07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18980402, 05.00, ////, 07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18980402, 06.00, ////, 07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18980402, 07.00, ////, 07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18980402, 08.00, ////, 07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18980402, 09.00, ////, 07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18980402, 10.00, ////, 07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18980402, 11.00, ////, 07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18980402, 12.00, ////, 07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18980402, 13.00, ////, 07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18980402, 14.00, ////, 07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18980402, 15.00, ////, 07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18980402, 16.00, ////, 07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18980402, 17.00, ////, 07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18980402, 18.00, ////, 07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18980402, 19.00, ////, 07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18980402, 20.00, ////, 07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18980402, 21.00, ////, 07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18980402, 22.00, ////, 07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18980402, 23.00, ////, 07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18980402, 24.00, ////, 07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18980403, 01.00, ////, 07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18980403, 02.00, ////, 07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18980403, 03.00, ////, 07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18980403, 04.00, ////, 07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18980403, 05.00, ////, 07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18980403, 06.00, ////, 07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18980403, 07.00, ////, 07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18980403, 08.00, ////, 07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18980403, 09.00, ////, 07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18980403, 10.00, ////, 07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18980403, 11.00, ////, 07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18980403, 12.00, ////, 07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18980403, 13.00, ////, 07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18980403, 14.00, ////, 07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18980403, 15.00, ////, 07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18980403, 16.00, ////, 07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18980403, 17.00, ////, 07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18980403, 18.00, ////, 07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18980403, 19.00, ////, 07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18980403, 20.00, ////, 07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18980403, 21.00, ////, 07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18980403, 22.00, ////, 07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18980403, 23.00, ////, 07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18980403, 24.00, ////, 07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18980404, 01.00, ////, 07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18980404, 02.00, ////, 07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18980404, 03.00, ////, 07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18980404, 04.00, ////, 07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18980404, 05.00, ////, 07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18980404, 06.00, ////, 07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18980404, 07.00, ////, 07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18980404, 08.00, ////, 07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18980404, 09.00, ////, 07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18980404, 10.00, ////, 07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18980404, 11.00, ////, 07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18980404, 12.00, ////, 07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18980404, 13.00, ////, 07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18980404, 14.00, ////, 07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18980404, 15.00, ////, 07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18980404, 16.00, ////, 07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18980404, 17.00, ////, 07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18980404, 18.00, ////, 07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18980404, 19.00, ////, 07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18980404, 20.00, ////, 07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18980404, 21.00, ////, 07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18980404, 22.00, ////, 07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18980404, 23.00, ////, 07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18980404, 24.00, ////, 07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18980405, 01.00, ////, 07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18980405, 02.00, ////, 07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18980405, 03.00, ////, 07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18980405, 04.00, ////, 07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18980405, 05.00, ////, 07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18980405, 06.00, ////, 07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18980405, 07.00, ////, 07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18980405, 08.00, ////, 07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18980405, 09.00, ////, 07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18980405, 10.00, ////, 07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18980405, 11.00, ////, 07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18980405, 12.00, ////, 07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18980405, 13.00, ////, 07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18980405, 14.00, ////, 07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18980405, 15.00, ////, 07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18980405, 16.00, ////, 07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18980405, 17.00, ////, 07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18980405, 18.00, ////, 07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18980405, 19.00, ////, 07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18980405, 20.00, ////, 07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18980405, 21.00, ////, 07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18980405, 22.00, ////, 07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18980405, 23.00, ////, 07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18980405, 24.00, ////, 07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18980406, 01.00, ////, 07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18980406, 02.00, ////, 07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18980406, 03.00, ////, 07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18980406, 04.00, ////, 07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18980406, 05.00, ////, 07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18980406, 06.00, ////, 07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18980406, 07.00, ////, 07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18980406, 08.00, ////, 07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18980406, 09.00, ////, 07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18980406, 10.00, ////, 07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18980406, 11.00, ////, 07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18980406, 12.00, ////, 07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18980406, 13.00, ////, 07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18980406, 14.00, ////, 07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18980406, 15.00, ////, 07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18980406, 16.00, ////, 07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18980406, 17.00, ////, 07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18980406, 18.00, ////, 07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18980406, 19.00, ////, 07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18980406, 20.00, ////, 07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18980406, 21.00, ////, 07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18980406, 22.00, ////, 07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18980406, 23.00, ////, 07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18980406, 24.00, ////, 07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18980407, 01.00, ////, 07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18980407, 02.00, ////, 07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18980407, 03.00, ////, 07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18980407, 04.00, ////, 07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18980407, 05.00, ////, 07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18980407, 06.00, ////, 07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18980407, 07.00, ////, 07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18980407, 08.00, ////, 07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18980407, 09.00, ////, 07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18980407, 10.00, ////, 07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18980407, 11.00, ////, 07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18980407, 12.00, ////, 07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18980407, 13.00, ////, 07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18980407, 14.00, ////, 07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18980407, 15.00, ////, 07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18980407, 16.00, ////, 07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18980407, 17.00, ////, 07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18980407, 18.00, ////, 07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18980407, 19.00, ////, 07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18980407, 20.00, ////, 07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18980407, 21.00, ////, 07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18980407, 22.00, ////, 07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18980407, 23.00, ////, 07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18980407, 24.00, ////, 07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18980408, 01.00, ////, 07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18980408, 02.00, ////, 07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18980408, 03.00, ////, 07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18980408, 04.00, ////, 07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18980408, 05.00, ////, 07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18980408, 06.00, ////, 07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18980408, 07.00, ////, 07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18980408, 08.00, ////, 07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18980408, 09.00, ////, 07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18980408, 10.00, ////, 07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18980408, 11.00, ////, 07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18980408, 12.00, ////, 07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18980408, 13.00, ////, 07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18980408, 14.00, ////, 07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18980408, 15.00, ////, 07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18980408, 16.00, ////, 07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18980408, 17.00, ////, 07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18980408, 18.00, ////, 07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18980408, 19.00, ////, 07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18980408, 20.00, ////, 07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18980408, 21.00, ////, 07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18980408, 22.00, ////, 07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18980408, 23.00, ////, 07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18980408, 24.00, ////, 07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18980409, 01.00, ////, 07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18980409, 02.00, ////, 07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18980409, 03.00, ////, 07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18980409, 04.00, ////, 07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18980409, 05.00, ////, 07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18980409, 06.00, ////, 07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18980409, 07.00, ////, 07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18980409, 08.00, ////, 07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18980409, 09.00, ////, 07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18980409, 10.00, ////, 07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18980409, 11.00, ////, 07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18980409, 12.00, ////, 07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18980409, 13.00, ////, 07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18980409, 14.00, ////, 07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18980409, 15.00, ////, 07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18980409, 16.00, ////, 07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18980409, 17.00, ////, 07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18980409, 18.00, ////, 07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18980409, 19.00, ////, 07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18980409, 20.00, ////, 07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18980409, 21.00, ////, 07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18980409, 22.00, ////, 07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18980409, 23.00, ////, 07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18980409, 24.00, ////, 07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18980410, 01.00, ////, 07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18980410, 02.00, ////, 07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18980410, 03.00, ////, 07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18980410, 04.00, ////, 07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18980410, 05.00, ////, 07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18980410, 06.00, ////, 07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18980410, 07.00, ////, 07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18980410, 08.00, ////, 07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18980410, 09.00, ////, 07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18980410, 10.00, ////, 07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18980410, 11.00, ////, 07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18980410, 12.00, ////, 07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18980410, 13.00, ////, 07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18980410, 14.00, ////, 07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18980410, 15.00, ////, 07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18980410, 16.00, ////, 07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18980410, 17.00, ////, 07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18980410, 18.00, ////, 07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18980410, 19.00, ////, 07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18980410, 20.00, ////, 07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18980410, 21.00, ////, 07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18980410, 22.00, ////, 07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18980410, 23.00, ////, 07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18980410, 24.00, ////, 07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18980411, 01.00, ////, 07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18980411, 02.00, ////, 07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18980411, 03.00, ////, 07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18980411, 04.00, ////, 07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18980411, 05.00, ////, 07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18980411, 06.00, ////, 07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18980411, 07.00, ////, 07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18980411, 08.00, ////, 07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18980411, 09.00, ////, 07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18980411, 10.00, ////, 07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18980411, 11.00, ////, 07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18980411, 12.00, ////, 07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18980411, 13.00, ////, 07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18980411, 14.00, ////, 07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18980411, 15.00, ////, 07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18980411, 16.00, ////, 07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18980411, 17.00, ////, 07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18980411, 18.00, ////, 07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18980411, 19.00, ////, 07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18980411, 20.00, ////, 07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18980411, 21.00, ////, 07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18980411, 22.00, ////, 07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18980411, 23.00, ////, 07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18980411, 24.00, ////, 07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18980412, 01.00, ////, 07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18980412, 02.00, ////, 07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18980412, 03.00, ////, 07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18980412, 04.00, ////, 07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18980412, 05.00, ////, 07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18980412, 06.00, ////, 07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18980412, 07.00, ////, 07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18980412, 08.00, ////, 07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18980412, 09.00, ////, 07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18980412, 10.00, ////, 07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18980412, 11.00, ////, 07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18980412, 12.00, ////, 07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18980412, 13.00, ////, 07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18980412, 14.00, ////, 07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18980412, 15.00, ////, 07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18980412, 16.00, ////, 07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18980412, 17.00, ////, 07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18980412, 18.00, ////, 07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18980412, 19.00, ////, 07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18980412, 20.00, ////, 07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18980412, 21.00, ////, 07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18980412, 22.00, ////, 07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18980412, 23.00, ////, 07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18980412, 24.00, ////, 07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18980413, 01.00, ////, 07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18980413, 02.00, ////, 07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18980413, 03.00, ////, 07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18980413, 04.00, ////, 07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18980413, 05.00, ////, 07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18980413, 06.00, ////, 07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18980413, 07.00, ////, 07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18980413, 08.00, ////, 07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18980413, 09.00, ////, 07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18980413, 10.00, ////, 07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18980413, 11.00, ////, 07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18980413, 12.00, ////, 07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18980413, 13.00, ////, 07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18980413, 14.00, ////, 07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18980413, 15.00, ////, 07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18980413, 16.00, ////, 07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18980413, 17.00, ////, 07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18980413, 18.00, ////, 07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18980413, 19.00, ////, 07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18980413, 20.00, ////, 07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18980413, 21.00, ////, 07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18980413, 22.00, ////, 07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18980413, 23.00, ////, 07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18980413, 24.00, ////, 07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18980414, 01.00, ////, 07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18980414, 02.00, ////, 07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18980414, 03.00, ////, 07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18980414, 04.00, ////, 07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18980414, 05.00, ////, 07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18980414, 06.00, ////, 07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18980414, 07.00, ////, 07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18980414, 08.00, ////, 07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18980414, 09.00, ////, 07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18980414, 10.00, ////, 07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18980414, 11.00, ////, 07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18980414, 12.00, ////, 07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18980414, 13.00, ////, 07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18980414, 14.00, ////, 07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18980414, 15.00, ////, 07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18980414, 16.00, ////, 07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18980414, 17.00, ////, 07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18980414, 18.00, ////, 07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18980414, 19.00, ////, 07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18980414, 20.00, ////, 07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18980414, 21.00, ////, 07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18980414, 22.00, ////, 07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18980414, 23.00, ////, 07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18980414, 24.00, ////, 07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18980415, 01.00, ////, 07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18980415, 02.00, ////, 07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18980415, 03.00, ////, 07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18980415, 04.00, ////, 07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18980415, 05.00, ////, 07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18980415, 06.00, ////, 07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18980415, 07.00, ////, 07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18980415, 08.00, ////, 07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18980415, 09.00, ////, 07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18980415, 10.00, ////, 07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18980415, 11.00, ////, 07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18980415, 12.00, ////, 07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18980415, 13.00, ////, 07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18980415, 14.00, ////, 07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18980415, 15.00, ////, 07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18980415, 16.00, ////, 07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18980415, 17.00, ////, 07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18980415, 18.00, ////, 07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18980415, 19.00, ////, 07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18980415, 20.00, ////, 07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18980415, 21.00, ////, 07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18980415, 22.00, ////, 07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18980415, 23.00, ////, 07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18980415, 24.00, ////, 07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18980416, 01.00, ////, 07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18980416, 02.00, ////, 07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18980416, 03.00, ////, 07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18980416, 04.00, ////, 07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18980416, 05.00, ////, 07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18980416, 06.00, ////, 07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18980416, 07.00, ////, 07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18980416, 08.00, ////, 07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18980416, 09.00, ////, 07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18980416, 10.00, ////, 07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18980416, 11.00, ////, 07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18980416, 12.00, ////, 07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18980416, 13.00, ////, 07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18980416, 14.00, ////, 07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18980416, 15.00, ////, 07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18980416, 16.00, ////, 07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18980416, 17.00, ////, 07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18980416, 18.00, ////, 07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18980416, 19.00, ////, 07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18980416, 20.00, ////, 07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18980416, 21.00, ////, 07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18980416, 22.00, ////, 07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18980416, 23.00, ////, 07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18980416, 24.00, ////, 07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18980417, 01.00, ////, 07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18980417, 02.00, ////, 07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18980417, 03.00, ////, 07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18980417, 04.00, ////, 07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18980417, 05.00, ////, 07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18980417, 06.00, ////, 07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18980417, 07.00, ////, 07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18980417, 08.00, ////, 07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18980417, 09.00, ////, 07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18980417, 10.00, ////, 07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18980417, 11.00, ////, 07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18980417, 12.00, ////, 07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18980417, 13.00, ////, 07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18980417, 14.00, ////, 07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18980417, 15.00, ////, 07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18980417, 16.00, ////, 07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18980417, 17.00, ////, 07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18980417, 18.00, ////, 07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18980417, 19.00, ////, 07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18980417, 20.00, ////, 07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18980417, 21.00, ////, 07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18980417, 22.00, ////, 07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18980417, 23.00, ////, 07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18980417, 24.00, ////, 07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18980418, 01.00, ////, 07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18980418, 02.00, ////, 07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18980418, 03.00, ////, 07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18980418, 04.00, ////, 07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18980418, 05.00, ////, 07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18980418, 06.00, ////, 07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18980418, 07.00, ////, 07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18980418, 08.00, ////, 07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18980418, 09.00, ////, 07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18980418, 10.00, ////, 07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18980418, 11.00, ////, 07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18980418, 12.00, ////, 07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18980418, 13.00, ////, 07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18980418, 14.00, ////, 07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18980418, 15.00, ////, 07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18980418, 16.00, ////, 07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18980418, 17.00, ////, 07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18980418, 18.00, ////, 07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18980418, 19.00, ////, 07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18980418, 20.00, ////, 07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18980418, 21.00, ////, 07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18980418, 22.00, ////, 07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18980418, 23.00, ////, 07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18980418, 24.00, ////, 07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18980419, 01.00, ////, 07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18980419, 02.00, ////, 07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18980419, 03.00, ////, 07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18980419, 04.00, ////, 07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18980419, 05.00, ////, 07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18980419, 06.00, ////, 07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18980419, 07.00, ////, 07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18980419, 08.00, ////, 07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18980419, 09.00, ////, 07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18980419, 10.00, ////, 07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18980419, 11.00, ////, 07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18980419, 12.00, ////, 07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18980419, 13.00, ////, 07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18980419, 14.00, ////, 07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18980419, 15.00, ////, 07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18980419, 16.00, ////, 07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18980419, 17.00, ////, 07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18980419, 18.00, ////, 07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18980419, 19.00, ////, 07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18980419, 20.00, ////, 07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18980419, 21.00, ////, 07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18980419, 22.00, ////, 07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18980419, 23.00, ////, 07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18980419, 24.00, ////, 07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18980420, 01.00, ////, 07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18980420, 02.00, ////, 07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18980420, 03.00, ////, 07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18980420, 04.00, ////, 07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18980420, 05.00, ////, 07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18980420, 06.00, ////, 07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18980420, 07.00, ////, 07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18980420, 08.00, ////, 07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18980420, 09.00, ////, 07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18980420, 10.00, ////, 07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18980420, 11.00, ////, 07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18980420, 12.00, ////, 07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18980420, 13.00, ////, 07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18980420, 14.00, ////, 07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18980420, 15.00, ////, 07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18980420, 16.00, ////, 07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18980420, 17.00, ////, 07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18980420, 18.00, ////, 07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18980420, 19.00, ////, 07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18980420, 20.00, ////, 07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18980420, 21.00, ////, 07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18980420, 22.00, ////, 07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18980420, 23.00, ////, 07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18980420, 24.00, ////, 07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18980421, 01.00, ////, 07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18980421, 02.00, ////, 07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18980421, 03.00, ////, 07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18980421, 04.00, ////, 07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18980421, 05.00, ////, 07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18980421, 06.00, ////, 07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18980421, 07.00, ////, 07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18980421, 08.00, ////, 07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18980421, 09.00, ////, 07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18980421, 10.00, ////, 07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18980421, 11.00, ////, 07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18980421, 12.00, ////, 07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18980421, 13.00, ////, 07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18980421, 14.00, ////, 07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18980421, 15.00, ////, 07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18980421, 16.00, ////, 07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18980421, 17.00, ////, 07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18980421, 18.00, ////, 07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18980421, 19.00, ////, 07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18980421, 20.00, ////, 07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18980421, 21.00, ////, 07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18980421, 22.00, ////, 07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18980421, 23.00, ////, 07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18980421, 24.00, ////, 07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18980422, 01.00, ////, 07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18980422, 02.00, ////, 07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18980422, 03.00, ////, 07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18980422, 04.00, ////, 07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18980422, 05.00, ////, 07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18980422, 06.00, ////, 07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18980422, 07.00, ////, 07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18980422, 08.00, ////, 07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18980422, 09.00, ////, 07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18980422, 10.00, ////, 07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18980422, 11.00, ////, 07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18980422, 12.00, ////, 07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18980422, 13.00, ////, 07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18980422, 14.00, ////, 07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18980422, 15.00, ////, 07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18980422, 16.00, ////, 07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18980422, 17.00, ////, 07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18980422, 18.00, ////, 07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18980422, 19.00, ////, 07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18980422, 20.00, ////, 07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18980422, 21.00, ////, 07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18980422, 22.00, ////, 07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18980422, 23.00, ////, 07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18980422, 24.00, ////, 07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18980423, 01.00, ////, 07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18980423, 02.00, ////, 07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18980423, 03.00, ////, 07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18980423, 04.00, ////, 07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18980423, 05.00, ////, 07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18980423, 06.00, ////, 07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18980423, 07.00, ////, 07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18980423, 08.00, ////, 07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18980423, 09.00, ////, 07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18980423, 10.00, ////, 07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18980423, 11.00, ////, 07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18980423, 12.00, ////, 07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18980423, 13.00, ////, 07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18980423, 14.00, ////, 07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18980423, 15.00, ////, 07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18980423, 16.00, ////, 07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18980423, 17.00, ////, 07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18980423, 18.00, ////, 07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18980423, 19.00, ////, 07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18980423, 20.00, ////, 07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18980423, 21.00, ////, 07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18980423, 22.00, ////, 07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18980423, 23.00, ////, 07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18980423, 24.00, ////, 07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18980424, 01.00, ////, 07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18980424, 02.00, ////, 07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18980424, 03.00, ////, 07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18980424, 04.00, ////, 07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18980424, 05.00, ////, 07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18980424, 06.00, ////, 07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18980424, 07.00, ////, 07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18980424, 08.00, ////, 07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18980424, 09.00, ////, 07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18980424, 10.00, ////, 07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18980424, 11.00, ////, 07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18980424, 12.00, ////, 07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18980424, 13.00, ////, 07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18980424, 14.00, ////, 07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18980424, 15.00, ////, 07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18980424, 16.00, ////, 07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18980424, 17.00, ////, 07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18980424, 18.00, ////, 07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18980424, 19.00, ////, 07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18980424, 20.00, ////, 07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18980424, 21.00, ////, 07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18980424, 22.00, ////, 07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18980424, 23.00, ////, 07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18980424, 24.00, ////, 07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18980425, 01.00, ////, 07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18980425, 02.00, ////, 07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18980425, 03.00, ////, 07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18980425, 04.00, ////, 07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18980425, 05.00, ////, 07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18980425, 06.00, ////, 07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18980425, 07.00, ////, 07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18980425, 08.00, ////, 07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18980425, 09.00, ////, 07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18980425, 10.00, ////, 07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18980425, 11.00, ////, 07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18980425, 12.00, ////, 07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18980425, 13.00, ////, 07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18980425, 14.00, ////, 07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18980425, 15.00, ////, 07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18980425, 16.00, ////, 07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18980425, 17.00, ////, 07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18980425, 18.00, ////, 07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18980425, 19.00, ////, 07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18980425, 20.00, ////, 07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18980425, 21.00, ////, 07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18980425, 22.00, ////, 07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18980425, 23.00, ////, 07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18980425, 24.00, ////, 07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18980426, 01.00, ////, 07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18980426, 02.00, ////, 07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18980426, 03.00, ////, 07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18980426, 04.00, ////, 07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18980426, 05.00, ////, 07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18980426, 06.00, ////, 07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18980426, 07.00, ////, 07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18980426, 08.00, ////, 07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18980426, 09.00, ////, 07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18980426, 10.00, ////, 07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18980426, 11.00, ////, 07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18980426, 12.00, ////, 07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18980426, 13.00, ////, 07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18980426, 14.00, ////, 07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18980426, 15.00, ////, 07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18980426, 16.00, ////, 07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18980426, 17.00, ////, 07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18980426, 18.00, ////, 07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18980426, 19.00, ////, 07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18980426, 20.00, ////, 07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18980426, 21.00, ////, 07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18980426, 22.00, ////, 07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18980426, 23.00, ////, 07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18980426, 24.00, ////, 07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18980427, 01.00, ////, 07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18980427, 02.00, ////, 07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18980427, 03.00, ////, 07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18980427, 04.00, ////, 07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18980427, 05.00, ////, 07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18980427, 06.00, ////, 07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18980427, 07.00, ////, 07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18980427, 08.00, ////, 07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18980427, 09.00, ////, 07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18980427, 10.00, ////, 07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18980427, 11.00, ////, 07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18980427, 12.00, ////, 07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18980427, 13.00, ////, 07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18980427, 14.00, ////, 07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18980427, 15.00, ////, 07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18980427, 16.00, ////, 07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18980427, 17.00, ////, 07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18980427, 18.00, ////, 07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18980427, 19.00, ////, 07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18980427, 20.00, ////, 07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18980427, 21.00, ////, 07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18980427, 22.00, ////, 07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18980427, 23.00, ////, 07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18980427, 24.00, ////, 07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18980428, 01.00, ////, 07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18980428, 02.00, ////, 07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18980428, 03.00, ////, 07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18980428, 04.00, ////, 07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18980428, 05.00, ////, 07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18980428, 06.00, ////, 07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18980428, 07.00, ////, 07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18980428, 08.00, ////, 07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18980428, 09.00, ////, 07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18980428, 10.00, ////, 07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18980428, 11.00, ////, 07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18980428, 12.00, ////, 07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18980428, 13.00, ////, 07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18980428, 14.00, ////, 07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18980428, 15.00, ////, 07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18980428, 16.00, ////, 07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18980428, 17.00, ////, 07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18980428, 18.00, ////, 07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18980428, 19.00, ////, 07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18980428, 20.00, ////, 07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18980428, 21.00, ////, 07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18980428, 22.00, ////, 07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18980428, 23.00, ////, 07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18980428, 24.00, ////, 07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18980429, 01.00, ////, 07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18980429, 02.00, ////, 07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18980429, 03.00, ////, 07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18980429, 04.00, ////, 07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18980429, 05.00, ////, 07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18980429, 06.00, ////, 07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18980429, 07.00, ////, 07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18980429, 08.00, ////, 07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18980429, 09.00, ////, 07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18980429, 10.00, ////, 07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18980429, 11.00, ////, 07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18980429, 12.00, ////, 07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18980429, 13.00, ////, 07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18980429, 14.00, ////, 07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18980429, 15.00, ////, 07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18980429, 16.00, ////, 07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18980429, 17.00, ////, 07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18980429, 18.00, ////, 07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18980429, 19.00, ////, 07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18980429, 20.00, ////, 07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18980429, 21.00, ////, 07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18980429, 22.00, ////, 07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18980429, 23.00, ////, 07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18980429, 24.00, ////, 07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18980430, 01.00, ////, 07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18980430, 02.00, ////, 07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18980430, 03.00, ////, 07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18980430, 04.00, ////, 07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18980430, 05.00, ////, 07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18980430, 06.00, ////, 07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18980430, 07.00, ////, 07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18980430, 08.00, ////, 07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18980430, 09.00, ////, 07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18980430, 10.00, ////, 07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18980430, 11.00, ////, 07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18980430, 12.00, ////, 07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18980430, 13.00, ////, 07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18980430, 14.00, ////, 07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18980430, 15.00, ////, 07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18980430, 16.00, ////, 07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18980430, 17.00, ////, 07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18980430, 18.00, ////, 07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18980430, 19.00, ////, 07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18980430, 20.00, ////, 07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18980430, 21.00, ////, 07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18980430, 22.00, ////, 07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18980430, 23.00, ////, 07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18980430, 24.00, ////, 07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18980501, 01.00, ////, 07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18980501, 02.00, ////, 07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18980501, 03.00, ////, 07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18980501, 04.00, ////, 07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18980501, 05.00, ////, 07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18980501, 06.00, ////, 07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18980501, 07.00, ////, 07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18980501, 08.00, ////, 07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18980501, 09.00, ////, 07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18980501, 10.00, ////, 07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18980501, 11.00, ////, 07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18980501, 12.00, ////, 07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18980501, 13.00, ////, 07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18980501, 14.00, ////, 07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18980501, 15.00, ////, 07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18980501, 16.00, ////, 07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18980501, 17.00, ////, 07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18980501, 18.00, ////, 07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18980501, 19.00, ////, 07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18980501, 20.00, ////, 07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18980501, 21.00, ////, 07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18980501, 22.00, ////, 07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18980501, 23.00, ////, 07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18980501, 24.00, ////, 07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18980502, 01.00, ////, 07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18980502, 02.00, ////, 07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18980502, 03.00, ////, 07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18980502, 04.00, ////, 07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18980502, 05.00, ////, 07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18980502, 06.00, ////, 07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18980502, 07.00, ////, 07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18980502, 08.00, ////, 07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18980502, 09.00, ////, 07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18980502, 10.00, ////, 07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18980502, 11.00, ////, 07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18980502, 12.00, ////, 07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18980502, 13.00, ////, 07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18980502, 14.00, ////, 07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18980502, 15.00, ////, 07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18980502, 16.00, ////, 07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18980502, 17.00, ////, 07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18980502, 18.00, ////, 07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18980502, 19.00, ////, 07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18980502, 20.00, ////, 07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18980502, 21.00, ////, 07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18980502, 22.00, ////, 07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18980502, 23.00, ////, 07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18980502, 24.00, ////, 07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18980503, 01.00, ////, 07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18980503, 02.00, ////, 07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18980503, 03.00, ////, 07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18980503, 04.00, ////, 07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18980503, 05.00, ////, 07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18980503, 06.00, ////, 07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18980503, 07.00, ////, 07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18980503, 08.00, ////, 07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18980503, 09.00, ////, 07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18980503, 10.00, ////, 07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18980503, 11.00, ////, 07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18980503, 12.00, ////, 07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18980503, 13.00, ////, 07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18980503, 14.00, ////, 07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18980503, 15.00, ////, 07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18980503, 16.00, ////, 07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18980503, 17.00, ////, 07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18980503, 18.00, ////, 07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18980503, 19.00, ////, 07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18980503, 20.00, ////, 07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18980503, 21.00, ////, 07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18980503, 22.00, ////, 07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18980503, 23.00, ////, 07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18980503, 24.00, ////, 07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18980504, 01.00, ////, 07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18980504, 02.00, ////, 07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18980504, 03.00, ////, 07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18980504, 04.00, ////, 07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18980504, 05.00, ////, 07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18980504, 06.00, ////, 07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18980504, 07.00, ////, 07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18980504, 08.00, ////, 07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18980504, 09.00, ////, 07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18980504, 10.00, ////, 07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18980504, 11.00, ////, 07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18980504, 12.00, ////, 07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18980504, 13.00, ////, 07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18980504, 14.00, ////, 07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18980504, 15.00, ////, 07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18980504, 16.00, ////, 07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18980504, 17.00, ////, 07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18980504, 18.00, ////, 07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18980504, 19.00, ////, 07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18980504, 20.00, ////, 07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18980504, 21.00, ////, 07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18980504, 22.00, ////, 07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18980504, 23.00, ////, 07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18980504, 24.00, ////, 07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18980505, 01.00, ////, 07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18980505, 02.00, ////, 07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18980505, 03.00, ////, 07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18980505, 04.00, ////, 07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18980505, 05.00, ////, 07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18980505, 06.00, ////, 07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18980505, 07.00, ////, 07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18980505, 08.00, ////, 07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18980505, 09.00, ////, 07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18980505, 10.00, ////, 07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18980505, 11.00, ////, 07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18980505, 12.00, ////, 07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18980505, 13.00, ////, 07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18980505, 14.00, ////, 07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18980505, 15.00, ////, 07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18980505, 16.00, ////, 07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18980505, 17.00, ////, 07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18980505, 18.00, ////, 07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18980505, 19.00, ////, 07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18980505, 20.00, ////, 07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18980505, 21.00, ////, 07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18980505, 22.00, ////, 07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18980505, 23.00, ////, 07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18980505, 24.00, ////, 07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18980506, 01.00, ////, 07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18980506, 02.00, ////, 07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18980506, 03.00, ////, 07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18980506, 04.00, ////, 07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18980506, 05.00, ////, 07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18980506, 06.00, ////, 07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18980506, 07.00, ////, 07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18980506, 08.00, ////, 07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18980506, 09.00, ////, 07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18980506, 10.00, ////, 07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18980506, 11.00, ////, 07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18980506, 12.00, ////, 07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18980506, 13.00, ////, 07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18980506, 14.00, ////, 07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18980506, 15.00, ////, 07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18980506, 16.00, ////, 07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18980506, 17.00, ////, 07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18980506, 18.00, ////, 07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18980506, 19.00, ////, 07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18980506, 20.00, ////, 07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18980506, 21.00, ////, 07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18980506, 22.00, ////, 07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18980506, 23.00, ////, 07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18980506, 24.00, ////, 07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18980507, 01.00, ////, 07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18980507, 02.00, ////, 07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18980507, 03.00, ////, 07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18980507, 04.00, ////, 07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18980507, 05.00, ////, 07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18980507, 06.00, ////, 07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18980507, 07.00, ////, 07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18980507, 08.00, ////, 07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18980507, 09.00, ////, 07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18980507, 10.00, ////, 07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18980507, 11.00, ////, 07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18980507, 12.00, ////, 07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18980507, 13.00, ////, 07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18980507, 14.00, ////, 07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18980507, 15.00, ////, 07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18980507, 16.00, ////, 07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18980507, 17.00, ////, 07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18980507, 18.00, ////, 07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18980507, 19.00, ////, 07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18980507, 20.00, ////, 07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18980507, 21.00, ////, 07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18980507, 22.00, ////, 07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18980507, 23.00, ////, 07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18980507, 24.00, ////, 07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18980508, 01.00, ////, 07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18980508, 02.00, ////, 07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18980508, 03.00, ////, 07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18980508, 04.00, ////, 07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18980508, 05.00, ////, 07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18980508, 06.00, ////, 07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18980508, 07.00, ////, 07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18980508, 08.00, ////, 07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18980508, 09.00, ////, 07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18980508, 10.00, ////, 07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18980508, 11.00, ////, 07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18980508, 12.00, ////, 07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18980508, 13.00, ////, 07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18980508, 14.00, ////, 07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18980508, 15.00, ////, 07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18980508, 16.00, ////, 07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18980508, 17.00, ////, 07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18980508, 18.00, ////, 07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18980508, 19.00, ////, 07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18980508, 20.00, ////, 07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18980508, 21.00, ////, 07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18980508, 22.00, ////, 07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18980508, 23.00, ////, 07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18980508, 24.00, ////, 07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18980509, 01.00, ////, 07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18980509, 02.00, ////, 07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18980509, 03.00, ////, 07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18980509, 04.00, ////, 07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18980509, 05.00, ////, 07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18980509, 06.00, ////, 07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18980509, 07.00, ////, 07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18980509, 08.00, ////, 07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18980509, 09.00, ////, 07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18980509, 10.00, ////, 07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18980509, 11.00, ////, 07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18980509, 12.00, ////, 07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18980509, 13.00, ////, 07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18980509, 14.00, ////, 07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18980509, 15.00, ////, 07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18980509, 16.00, ////, 07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18980509, 17.00, ////, 07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18980509, 18.00, ////, 07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18980509, 19.00, ////, 07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18980509, 20.00, ////, 07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18980509, 21.00, ////, 07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18980509, 22.00, ////, 07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18980509, 23.00, ////, 07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18980509, 24.00, ////, 07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18980510, 01.00, ////, 07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18980510, 02.00, ////, 07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18980510, 03.00, ////, 07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18980510, 04.00, ////, 07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18980510, 05.00, ////, 07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18980510, 06.00, ////, 07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18980510, 07.00, ////, 07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18980510, 08.00, ////, 07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18980510, 09.00, ////, 07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18980510, 10.00, ////, 07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18980510, 11.00, ////, 07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18980510, 12.00, ////, 07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18980510, 13.00, ////, 07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18980510, 14.00, ////, 07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18980510, 15.00, ////, 07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18980510, 16.00, ////, 07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18980510, 17.00, ////, 07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18980510, 18.00, ////, 07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18980510, 19.00, ////, 07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18980510, 20.00, ////, 07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18980510, 21.00, ////, 07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18980510, 22.00, ////, 07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18980510, 23.00, ////, 07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18980510, 24.00, ////, 07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18980511, 01.00, ////, 07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18980511, 02.00, ////, 07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18980511, 03.00, ////, 07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18980511, 04.00, ////, 07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18980511, 05.00, ////, 07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18980511, 06.00, ////, 07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18980511, 07.00, ////, 07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18980511, 08.00, ////, 07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18980511, 09.00, ////, 07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18980511, 10.00, ////, 07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18980511, 11.00, ////, 07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18980511, 12.00, ////, 07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18980511, 13.00, ////, 07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18980511, 14.00, ////, 07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18980511, 15.00, ////, 07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18980511, 16.00, ////, 07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18980511, 17.00, ////, 07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18980511, 18.00, ////, 07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18980511, 19.00, ////, 07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18980511, 20.00, ////, 07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18980511, 21.00, ////, 07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18980511, 22.00, ////, 07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18980511, 23.00, ////, 07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18980511, 24.00, ////, 07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18980512, 01.00, ////, 07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18980512, 02.00, ////, 07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18980512, 03.00, ////, 07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18980512, 04.00, ////, 07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18980512, 05.00, ////, 07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18980512, 06.00, ////, 07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18980512, 07.00, ////, 07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18980512, 08.00, ////, 07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18980512, 09.00, ////, 07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18980512, 10.00, ////, 07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18980512, 11.00, ////, 07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18980512, 12.00, ////, 07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18980512, 13.00, ////, 07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18980512, 14.00, ////, 07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18980512, 15.00, ////, 07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18980512, 16.00, ////, 07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18980512, 17.00, ////, 07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18980512, 18.00, ////, 07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18980512, 19.00, ////, 07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18980512, 20.00, ////, 07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18980512, 21.00, ////, 07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18980512, 22.00, ////, 07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18980512, 23.00, ////, 07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18980512, 24.00, ////, 07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18980513, 01.00, ////, 07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18980513, 02.00, ////, 07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18980513, 03.00, ////, 07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18980513, 04.00, ////, 07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18980513, 05.00, ////, 07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18980513, 06.00, ////, 07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18980513, 07.00, ////, 07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18980513, 08.00, ////, 07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18980513, 09.00, ////, 07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18980513, 10.00, ////, 07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18980513, 11.00, ////, 07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18980513, 12.00, ////, 07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18980513, 13.00, ////, 07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18980513, 14.00, ////, 07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18980513, 15.00, ////, 07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18980513, 16.00, ////, 07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18980513, 17.00, ////, 07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18980513, 18.00, ////, 07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18980513, 19.00, ////, 07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18980513, 20.00, ////, 07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18980513, 21.00, ////, 07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18980513, 22.00, ////, 07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18980513, 23.00, ////, 07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18980513, 24.00, ////, 07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18980514, 01.00, ////, 07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18980514, 02.00, ////, 07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18980514, 03.00, ////, 07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18980514, 04.00, ////, 07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18980514, 05.00, ////, 07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18980514, 06.00, ////, 07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18980514, 07.00, ////, 07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18980514, 08.00, ////, 07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18980514, 09.00, ////, 07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18980514, 10.00, ////, 07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18980514, 11.00, ////, 07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18980514, 12.00, ////, 07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18980514, 13.00, ////, 07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18980514, 14.00, ////, 07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18980514, 15.00, ////, 07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18980514, 16.00, ////, 07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18980514, 17.00, ////, 07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18980514, 18.00, ////, 07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18980514, 19.00, ////, 07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18980514, 20.00, ////, 07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18980514, 21.00, ////, 07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18980514, 22.00, ////, 07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18980514, 23.00, ////, 07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18980514, 24.00, ////, 07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18980515, 01.00, ////, 07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18980515, 02.00, ////, 07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18980515, 03.00, ////, 07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18980515, 04.00, ////, 07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18980515, 05.00, ////, 07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18980515, 06.00, ////, 07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18980515, 07.00, ////, 07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18980515, 08.00, ////, 07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18980515, 09.00, ////, 07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18980515, 10.00, ////, 07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18980515, 11.00, ////, 07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18980515, 12.00, ////, 07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18980515, 13.00, ////, 07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18980515, 14.00, ////, 07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18980515, 15.00, ////, 07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18980515, 16.00, ////, 07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18980515, 17.00, ////, 07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18980515, 18.00, ////, 07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18980515, 19.00, ////, 07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18980515, 20.00, ////, 07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18980515, 21.00, ////, 07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18980515, 22.00, ////, 07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18980515, 23.00, ////, 07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18980515, 24.00, ////, 07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18980516, 01.00, ////, 07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18980516, 02.00, ////, 07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18980516, 03.00, ////, 07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18980516, 04.00, ////, 07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18980516, 05.00, ////, 07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18980516, 06.00, ////, 07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18980516, 07.00, ////, 07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18980516, 08.00, ////, 07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18980516, 09.00, ////, 07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18980516, 10.00, ////, 07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18980516, 11.00, ////, 07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18980516, 12.00, ////, 07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18980516, 13.00, ////, 07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18980516, 14.00, ////, 07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18980516, 15.00, ////, 07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18980516, 16.00, ////, 07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18980516, 17.00, ////, 07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18980516, 18.00, ////, 07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18980516, 19.00, ////, 07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18980516, 20.00, ////, 07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18980516, 21.00, ////, 07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18980516, 22.00, ////, 07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18980516, 23.00, ////, 07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18980516, 24.00, ////, 07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18980517, 01.00, ////, 07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18980517, 02.00, ////, 07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18980517, 03.00, ////, 07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18980517, 04.00, ////, 07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18980517, 05.00, ////, 07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18980517, 06.00, ////, 07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18980517, 07.00, ////, 07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18980517, 08.00, ////, 07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18980517, 09.00, ////, 07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18980517, 10.00, ////, 07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18980517, 11.00, ////, 07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18980517, 12.00, ////, 07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18980517, 13.00, ////, 07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18980517, 14.00, ////, 07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18980517, 15.00, ////, 07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18980517, 16.00, ////, 07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18980517, 17.00, ////, 07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18980517, 18.00, ////, 07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18980517, 19.00, ////, 07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18980517, 20.00, ////, 07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18980517, 21.00, ////, 07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18980517, 22.00, ////, 07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18980517, 23.00, ////, 07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18980517, 24.00, ////, 07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18980518, 01.00, ////, 07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18980518, 02.00, ////, 07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18980518, 03.00, ////, 07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18980518, 04.00, ////, 07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18980518, 05.00, ////, 07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18980518, 06.00, ////, 07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18980518, 07.00, ////, 07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18980518, 08.00, ////, 07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18980518, 09.00, ////, 07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18980518, 10.00, ////, 07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18980518, 11.00, ////, 07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18980518, 12.00, ////, 07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18980518, 13.00, ////, 07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18980518, 14.00, ////, 07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18980518, 15.00, ////, 07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18980518, 16.00, ////, 07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18980518, 17.00, ////, 07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18980518, 18.00, ////, 07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18980518, 19.00, ////, 07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18980518, 20.00, ////, 07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18980518, 21.00, ////, 07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18980518, 22.00, ////, 07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18980518, 23.00, ////, 07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18980518, 24.00, ////, 07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18980519, 01.00, ////, 07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18980519, 02.00, ////, 07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18980519, 03.00, ////, 07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18980519, 04.00, ////, 07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18980519, 05.00, ////, 07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18980519, 06.00, ////, 07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18980519, 07.00, ////, 07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18980519, 08.00, ////, 07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18980519, 09.00, ////, 07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18980519, 10.00, ////, 07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18980519, 11.00, ////, 07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18980519, 12.00, ////, 07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18980519, 13.00, ////, 07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18980519, 14.00, ////, 07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18980519, 15.00, ////, 07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18980519, 16.00, ////, 07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18980519, 17.00, ////, 07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18980519, 18.00, ////, 07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18980519, 19.00, ////, 07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18980519, 20.00, ////, 07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18980519, 21.00, ////, 07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18980519, 22.00, ////, 07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18980519, 23.00, ////, 07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18980519, 24.00, ////, 07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18980520, 01.00, ////, 07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18980520, 02.00, ////, 07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18980520, 03.00, ////, 07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18980520, 04.00, ////, 07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18980520, 05.00, ////, 07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18980520, 06.00, ////, 07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18980520, 07.00, ////, 07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18980520, 08.00, ////, 07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18980520, 09.00, ////, 07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18980520, 10.00, ////, 07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18980520, 11.00, ////, 07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18980520, 12.00, ////, 07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18980520, 13.00, ////, 07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18980520, 14.00, ////, 07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18980520, 15.00, ////, 07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18980520, 16.00, ////, 07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18980520, 17.00, ////, 07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18980520, 18.00, ////, 07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18980520, 19.00, ////, 07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18980520, 20.00, ////, 07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18980520, 21.00, ////, 07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18980520, 22.00, ////, 07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18980520, 23.00, ////, 07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18980520, 24.00, ////, 07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18980521, 01.00, ////, 07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18980521, 02.00, ////, 07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18980521, 03.00, ////, 07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18980521, 04.00, ////, 07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18980521, 05.00, ////, 07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18980521, 06.00, ////, 07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18980521, 07.00, ////, 07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18980521, 08.00, ////, 07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18980521, 09.00, ////, 07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18980521, 10.00, ////, 07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18980521, 11.00, ////, 07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18980521, 12.00, ////, 07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18980521, 13.00, ////, 07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18980521, 14.00, ////, 07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18980521, 15.00, ////, 07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18980521, 16.00, ////, 07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18980521, 17.00, ////, 07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18980521, 18.00, ////, 07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18980521, 19.00, ////, 07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18980521, 20.00, ////, 07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18980521, 21.00, ////, 07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18980521, 22.00, ////, 07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18980521, 23.00, ////, 07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18980521, 24.00, ////, 07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18980522, 01.00, ////, 07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18980522, 02.00, ////, 07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18980522, 03.00, ////, 07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18980522, 04.00, ////, 07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18980522, 05.00, ////, 07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18980522, 06.00, ////, 07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18980522, 07.00, ////, 07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18980522, 08.00, ////, 07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18980522, 09.00, ////, 07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18980522, 10.00, ////, 07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18980522, 11.00, ////, 07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18980522, 12.00, ////, 07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18980522, 13.00, ////, 07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18980522, 14.00, ////, 07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18980522, 15.00, ////, 07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18980522, 16.00, ////, 07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18980522, 17.00, ////, 07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18980522, 18.00, ////, 07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18980522, 19.00, ////, 07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18980522, 20.00, ////, 07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18980522, 21.00, ////, 07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18980522, 22.00, ////, 07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18980522, 23.00, ////, 07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18980522, 24.00, ////, 07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18980523, 01.00, ////, 07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18980523, 02.00, ////, 07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18980523, 03.00, ////, 07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18980523, 04.00, ////, 07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18980523, 05.00, ////, 07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18980523, 06.00, ////, 07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18980523, 07.00, ////, 07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18980523, 08.00, ////, 07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18980523, 09.00, ////, 07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18980523, 10.00, ////, 07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18980523, 11.00, ////, 07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18980523, 12.00, ////, 07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18980523, 13.00, ////, 07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18980523, 14.00, ////, 07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18980523, 15.00, ////, 07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18980523, 16.00, ////, 07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18980523, 17.00, ////, 07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18980523, 18.00, ////, 07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18980523, 19.00, ////, 07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18980523, 20.00, ////, 07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18980523, 21.00, ////, 07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18980523, 22.00, ////, 07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18980523, 23.00, ////, 07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18980523, 24.00, ////, 07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18980524, 01.00, ////, 07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18980524, 02.00, ////, 07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18980524, 03.00, ////, 07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18980524, 04.00, ////, 07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18980524, 05.00, ////, 07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18980524, 06.00, ////, 07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18980524, 07.00, ////, 07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18980524, 08.00, ////, 07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18980524, 09.00, ////, 07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18980524, 10.00, ////, 07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18980524, 11.00, ////, 07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18980524, 12.00, ////, 07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18980524, 13.00, ////, 07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18980524, 14.00, ////, 07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18980524, 15.00, ////, 07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18980524, 16.00, ////, 07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18980524, 17.00, ////, 07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18980524, 18.00, ////, 07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18980524, 19.00, ////, 07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18980524, 20.00, ////, 07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18980524, 21.00, ////, 07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18980524, 22.00, ////, 07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18980524, 23.00, ////, 07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18980524, 24.00, ////, 07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18980525, 01.00, ////, 07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18980525, 02.00, ////, 07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18980525, 03.00, ////, 07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18980525, 04.00, ////, 07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18980525, 05.00, ////, 07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18980525, 06.00, ////, 07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18980525, 07.00, ////, 07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18980525, 08.00, ////, 07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18980525, 09.00, ////, 07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18980525, 10.00, ////, 07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18980525, 11.00, ////, 07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18980525, 12.00, ////, 07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18980525, 13.00, ////, 07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18980525, 14.00, ////, 07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18980525, 15.00, ////, 07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18980525, 16.00, ////, 07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18980525, 17.00, ////, 07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18980525, 18.00, ////, 07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18980525, 19.00, ////, 07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18980525, 20.00, ////, 07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18980525, 21.00, ////, 07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18980525, 22.00, ////, 07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18980525, 23.00, ////, 07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18980525, 24.00, ////, 07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18980526, 01.00, ////, 07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18980526, 02.00, ////, 07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18980526, 03.00, ////, 07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18980526, 04.00, ////, 07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18980526, 05.00, ////, 07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18980526, 06.00, ////, 07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18980526, 07.00, ////, 07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18980526, 08.00, ////, 07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18980526, 09.00, ////, 07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18980526, 10.00, ////, 07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18980526, 11.00, ////, 07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18980526, 12.00, ////, 07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18980526, 13.00, ////, 07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18980526, 14.00, ////, 07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18980526, 15.00, ////, 07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18980526, 16.00, ////, 07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18980526, 17.00, ////, 07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18980526, 18.00, ////, 07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18980526, 19.00, ////, 07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18980526, 20.00, ////, 07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18980526, 21.00, ////, 07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18980526, 22.00, ////, 07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18980526, 23.00, ////, 07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18980526, 24.00, ////, 07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18980527, 01.00, ////, 07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18980527, 02.00, ////, 07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18980527, 03.00, ////, 07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18980527, 04.00, ////, 07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18980527, 05.00, ////, 07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18980527, 06.00, ////, 07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18980527, 07.00, ////, 07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18980527, 08.00, ////, 07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18980527, 09.00, ////, 07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18980527, 10.00, ////, 07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18980527, 11.00, ////, 07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18980527, 12.00, ////, 07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18980527, 13.00, ////, 07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18980527, 14.00, ////, 07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18980527, 15.00, ////, 07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18980527, 16.00, ////, 07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18980527, 17.00, ////, 07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18980527, 18.00, ////, 07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18980527, 19.00, ////, 07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18980527, 20.00, ////, 07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18980527, 21.00, ////, 07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18980527, 22.00, ////, 07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18980527, 23.00, ////, 07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18980527, 24.00, ////, 07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18980528, 01.00, ////, 07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18980528, 02.00, ////, 07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18980528, 03.00, ////, 07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18980528, 04.00, ////, 07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18980528, 05.00, ////, 07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18980528, 06.00, ////, 07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18980528, 07.00, ////, 07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18980528, 08.00, ////, 07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18980528, 09.00, ////, 07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18980528, 10.00, ////, 07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18980528, 11.00, ////, 07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18980528, 12.00, ////, 07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18980528, 13.00, ////, 07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18980528, 14.00, ////, 07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18980528, 15.00, ////, 07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18980528, 16.00, ////, 07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18980528, 17.00, ////, 07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18980528, 18.00, ////, 07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18980528, 19.00, ////, 07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18980528, 20.00, ////, 07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18980528, 21.00, ////, 07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18980528, 22.00, ////, 07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18980528, 23.00, ////, 07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18980528, 24.00, ////, 07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18980529, 01.00, ////, 07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18980529, 02.00, ////, 07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18980529, 03.00, ////, 07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18980529, 04.00, ////, 07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18980529, 05.00, ////, 07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18980529, 06.00, ////, 07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18980529, 07.00, ////, 07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18980529, 08.00, ////, 07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18980529, 09.00, ////, 07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18980529, 10.00, ////, 07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18980529, 11.00, ////, 07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18980529, 12.00, ////, 07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18980529, 13.00, ////, 07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18980529, 14.00, ////, 07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18980529, 15.00, ////, 07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18980529, 16.00, ////, 07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18980529, 17.00, ////, 07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18980529, 18.00, ////, 07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18980529, 19.00, ////, 07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18980529, 20.00, ////, 07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18980529, 21.00, ////, 07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18980529, 22.00, ////, 07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18980529, 23.00, ////, 07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18980529, 24.00, ////, 07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18980530, 01.00, ////, 07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18980530, 02.00, ////, 07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18980530, 03.00, ////, 07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18980530, 04.00, ////, 07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18980530, 05.00, ////, 07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18980530, 06.00, ////, 07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18980530, 07.00, ////, 07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18980530, 08.00, ////, 07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18980530, 09.00, ////, 07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18980530, 10.00, ////, 07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18980530, 11.00, ////, 07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18980530, 12.00, ////, 07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18980530, 13.00, ////, 07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18980530, 14.00, ////, 07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18980530, 15.00, ////, 07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18980530, 16.00, ////, 07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18980530, 17.00, ////, 07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18980530, 18.00, ////, 07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18980530, 19.00, ////, 07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18980530, 20.00, ////, 07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18980530, 21.00, ////, 07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18980530, 22.00, ////, 07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18980530, 23.00, ////, 07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18980530, 24.00, ////, 07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18980531, 01.00, ////, 07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18980531, 02.00, ////, 07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18980531, 03.00, ////, 07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18980531, 04.00, ////, 07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18980531, 05.00, ////, 07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18980531, 06.00, ////, 07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18980531, 07.00, ////, 07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18980531, 08.00, ////, 07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18980531, 09.00, ////, 07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18980531, 10.00, ////, 07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18980531, 11.00, ////, 07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18980531, 12.00, ////, 07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18980531, 13.00, ////, 07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18980531, 14.00, ////, 07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18980531, 15.00, ////, 07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18980531, 16.00, ////, 07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18980531, 17.00, ////, 07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18980531, 18.00, ////, 07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18980531, 19.00, ////, 07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18980531, 20.00, ////, 07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18980531, 21.00, ////, 07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18980531, 22.00, ////, 07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18980531, 23.00, ////, 07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18980531, 24.00, ////, 07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18980601, 01.00, ////, 07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18980601, 02.00, ////, 07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18980601, 03.00, ////, 07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18980601, 04.00, ////, 07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18980601, 05.00, ////, 07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18980601, 06.00, ////, 07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18980601, 07.00, ////, 07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18980601, 08.00, ////, 07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18980601, 09.00, ////, 07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18980601, 10.00, ////, 07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18980601, 11.00, ////, 07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18980601, 12.00, ////, 07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18980601, 13.00, ////, 07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18980601, 14.00, ////, 07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18980601, 15.00, ////, 07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18980601, 16.00, ////, 07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18980601, 17.00, ////, 07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18980601, 18.00, ////, 07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18980601, 19.00, ////, 07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18980601, 20.00, ////, 07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18980601, 21.00, ////, 07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18980601, 22.00, ////, 07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18980601, 23.00, ////, 07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18980601, 24.00, ////, 07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18980602, 01.00, ////, 07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18980602, 02.00, ////, 07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18980602, 03.00, ////, 07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18980602, 04.00, ////, 07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18980602, 05.00, ////, 07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18980602, 06.00, ////, 07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18980602, 07.00, ////, 07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18980602, 08.00, ////, 07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18980602, 09.00, ////, 07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18980602, 10.00, ////, 07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18980602, 11.00, ////, 07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18980602, 12.00, ////, 07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18980602, 13.00, ////, 07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18980602, 14.00, ////, 07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18980602, 15.00, ////, 07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18980602, 16.00, ////, 07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18980602, 17.00, ////, 07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18980602, 18.00, ////, 07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18980602, 19.00, ////, 07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18980602, 20.00, ////, 07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18980602, 21.00, ////, 07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18980602, 22.00, ////, 07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18980602, 23.00, ////, 07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18980602, 24.00, ////, 07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18980603, 01.00, ////, 07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18980603, 02.00, ////, 07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18980603, 03.00, ////, 07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18980603, 04.00, ////, 07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18980603, 05.00, ////, 07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18980603, 06.00, ////, 07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18980603, 07.00, ////, 07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18980603, 08.00, ////, 07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18980603, 09.00, ////, 07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18980603, 10.00, ////, 07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18980603, 11.00, ////, 07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18980603, 12.00, ////, 07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18980603, 13.00, ////, 07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18980603, 14.00, ////, 07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18980603, 15.00, ////, 07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18980603, 16.00, ////, 07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18980603, 17.00, ////, 07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18980603, 18.00, ////, 07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18980603, 19.00, ////, 07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18980603, 20.00, ////, 07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18980603, 21.00, ////, 07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18980603, 22.00, ////, 07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18980603, 23.00, ////, 07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18980603, 24.00, ////, 07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18980604, 01.00, ////, 07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18980604, 02.00, ////, 07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18980604, 03.00, ////, 07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18980604, 04.00, ////, 07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18980604, 05.00, ////, 07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18980604, 06.00, ////, 07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18980604, 07.00, ////, 07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18980604, 08.00, ////, 07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18980604, 09.00, ////, 07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18980604, 10.00, ////, 07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18980604, 11.00, ////, 07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18980604, 12.00, ////, 07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18980604, 13.00, ////, 07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18980604, 14.00, ////, 07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18980604, 15.00, ////, 07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18980604, 16.00, ////, 07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18980604, 17.00, ////, 07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18980604, 18.00, ////, 07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18980604, 19.00, ////, 07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18980604, 20.00, ////, 07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18980604, 21.00, ////, 07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18980604, 22.00, ////, 07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18980604, 23.00, ////, 07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18980604, 24.00, ////, 07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18980605, 01.00, ////, 07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18980605, 02.00, ////, 07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18980605, 03.00, ////, 07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18980605, 04.00, ////, 07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18980605, 05.00, ////, 07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18980605, 06.00, ////, 07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18980605, 07.00, ////, 07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18980605, 08.00, ////, 07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18980605, 09.00, ////, 07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18980605, 10.00, ////, 07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18980605, 11.00, ////, 07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18980605, 12.00, ////, 07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18980605, 13.00, ////, 07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18980605, 14.00, ////, 07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18980605, 15.00, ////, 07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18980605, 16.00, ////, 07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18980605, 17.00, ////, 07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18980605, 18.00, ////, 07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18980605, 19.00, ////, 07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18980605, 20.00, ////, 07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18980605, 21.00, ////, 07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18980605, 22.00, ////, 07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18980605, 23.00, ////, 07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18980605, 24.00, ////, 07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18980606, 01.00, ////, 07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18980606, 02.00, ////, 07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18980606, 03.00, ////, 07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18980606, 04.00, ////, 07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18980606, 05.00, ////, 07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18980606, 06.00, ////, 07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18980606, 07.00, ////, 07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18980606, 08.00, ////, 07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18980606, 09.00, ////, 07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18980606, 10.00, ////, 07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18980606, 11.00, ////, 07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18980606, 12.00, ////, 07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18980606, 13.00, ////, 07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18980606, 14.00, ////, 07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18980606, 15.00, ////, 07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18980606, 16.00, ////, 07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18980606, 17.00, ////, 07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18980606, 18.00, ////, 07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18980606, 19.00, ////, 07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18980606, 20.00, ////, 07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18980606, 21.00, ////, 07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18980606, 22.00, ////, 07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18980606, 23.00, ////, 07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18980606, 24.00, ////, 07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18980607, 01.00, ////, 07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18980607, 02.00, ////, 07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18980607, 03.00, ////, 07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18980607, 04.00, ////, 07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18980607, 05.00, ////, 07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18980607, 06.00, ////, 07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18980607, 07.00, ////, 07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18980607, 08.00, ////, 07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18980607, 09.00, ////, 07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18980607, 10.00, ////, 07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18980607, 11.00, ////, 07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18980607, 12.00, ////, 07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18980607, 13.00, ////, 07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18980607, 14.00, ////, 07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18980607, 15.00, ////, 07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18980607, 16.00, ////, 07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18980607, 17.00, ////, 07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18980607, 18.00, ////, 07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18980607, 19.00, ////, 07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18980607, 20.00, ////, 07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18980607, 21.00, ////, 07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18980607, 22.00, ////, 07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18980607, 23.00, ////, 07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18980607, 24.00, ////, 07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18980608, 01.00, ////, 07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18980608, 02.00, ////, 07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18980608, 03.00, ////, 07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18980608, 04.00, ////, 07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18980608, 05.00, ////, 07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18980608, 06.00, ////, 07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18980608, 07.00, ////, 07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18980608, 08.00, ////, 07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18980608, 09.00, ////, 07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18980608, 10.00, ////, 07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18980608, 11.00, ////, 07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18980608, 12.00, ////, 07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18980608, 13.00, ////, 07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18980608, 14.00, ////, 07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18980608, 15.00, ////, 07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18980608, 16.00, ////, 07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18980608, 17.00, ////, 07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18980608, 18.00, ////, 07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18980608, 19.00, ////, 07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18980608, 20.00, ////, 07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18980608, 21.00, ////, 07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18980608, 22.00, ////, 07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18980608, 23.00, ////, 07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18980608, 24.00, ////, 07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18980609, 01.00, ////, 07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18980609, 02.00, ////, 07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18980609, 03.00, ////, 07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18980609, 04.00, ////, 07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18980609, 05.00, ////, 07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18980609, 06.00, ////, 07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18980609, 07.00, ////, 07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18980609, 08.00, ////, 07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18980609, 09.00, ////, 07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18980609, 10.00, ////, 07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18980609, 11.00, ////, 07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18980609, 12.00, ////, 07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18980609, 13.00, ////, 07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18980609, 14.00, ////, 07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18980609, 15.00, ////, 07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18980609, 16.00, ////, 07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18980609, 17.00, ////, 07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18980609, 18.00, ////, 07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18980609, 19.00, ////, 07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18980609, 20.00, ////, 07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18980609, 21.00, ////, 07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18980609, 22.00, ////, 07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18980609, 23.00, ////, 07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18980609, 24.00, ////, 07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18980610, 01.00, ////, 07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18980610, 02.00, ////, 07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18980610, 03.00, ////, 07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18980610, 04.00, ////, 07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18980610, 05.00, ////, 07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18980610, 06.00, ////, 07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18980610, 07.00, ////, 07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18980610, 08.00, ////, 07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18980610, 09.00, ////, 07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18980610, 10.00, ////, 07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18980610, 11.00, ////, 07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18980610, 12.00, ////, 07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18980610, 13.00, ////, 07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18980610, 14.00, ////, 07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18980610, 15.00, ////, 07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18980610, 16.00, ////, 07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18980610, 17.00, ////, 07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18980610, 18.00, ////, 07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18980610, 19.00, ////, 07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18980610, 20.00, ////, 07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18980610, 21.00, ////, 07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18980610, 22.00, ////, 07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18980610, 23.00, ////, 07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18980610, 24.00, ////, 07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18980611, 01.00, ////, 07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18980611, 02.00, ////, 07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18980611, 03.00, ////, 07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18980611, 04.00, ////, 07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18980611, 05.00, ////, 07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18980611, 06.00, ////, 07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18980611, 07.00, ////, 07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18980611, 08.00, ////, 07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18980611, 09.00, ////, 07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18980611, 10.00, ////, 07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18980611, 11.00, ////, 07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18980611, 12.00, ////, 07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18980611, 13.00, ////, 07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18980611, 14.00, ////, 07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18980611, 15.00, ////, 07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18980611, 16.00, ////, 07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18980611, 17.00, ////, 07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18980611, 18.00, ////, 07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18980611, 19.00, ////, 07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18980611, 20.00, ////, 07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18980611, 21.00, ////, 07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18980611, 22.00, ////, 07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18980611, 23.00, ////, 07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18980611, 24.00, ////, 07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18980612, 01.00, ////, 07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18980612, 02.00, ////, 07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18980612, 03.00, ////, 07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18980612, 04.00, ////, 07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18980612, 05.00, ////, 07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18980612, 06.00, ////, 07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18980612, 07.00, ////, 07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18980612, 08.00, ////, 07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18980612, 09.00, ////, 07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18980612, 10.00, ////, 07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18980612, 11.00, ////, 07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18980612, 12.00, ////, 07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18980612, 13.00, ////, 07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18980612, 14.00, ////, 07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18980612, 15.00, ////, 07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18980612, 16.00, ////, 07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18980612, 17.00, ////, 07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18980612, 18.00, ////, 07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18980612, 19.00, ////, 07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18980612, 20.00, ////, 07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18980612, 21.00, ////, 07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18980612, 22.00, ////, 07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18980612, 23.00, ////, 07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18980612, 24.00, ////, 07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18980613, 01.00, ////, 07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18980613, 02.00, ////, 07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18980613, 03.00, ////, 07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18980613, 04.00, ////, 07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18980613, 05.00, ////, 07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18980613, 06.00, ////, 07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18980613, 07.00, ////, 07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18980613, 08.00, ////, 07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18980613, 09.00, ////, 07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18980613, 10.00, ////, 07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18980613, 11.00, ////, 07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18980613, 12.00, ////, 07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18980613, 13.00, ////, 07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18980613, 14.00, ////, 07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18980613, 15.00, ////, 07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18980613, 16.00, ////, 07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18980613, 17.00, ////, 07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18980613, 18.00, ////, 07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18980613, 19.00, ////, 07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18980613, 20.00, ////, 07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18980613, 21.00, ////, 07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18980613, 22.00, ////, 07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18980613, 23.00, ////, 07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18980613, 24.00, ////, 07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18980614, 01.00, ////, 07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18980614, 02.00, ////, 07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18980614, 03.00, ////, 07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18980614, 04.00, ////, 07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18980614, 05.00, ////, 07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18980614, 06.00, ////, 07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18980614, 07.00, ////, 07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18980614, 08.00, ////, 07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18980614, 09.00, ////, 07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18980614, 10.00, ////, 07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18980614, 11.00, ////, 07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18980614, 12.00, ////, 07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18980614, 13.00, ////, 07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18980614, 14.00, ////, 07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18980614, 15.00, ////, 07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18980614, 16.00, ////, 07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18980614, 17.00, ////, 07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18980614, 18.00, ////, 07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18980614, 19.00, ////, 07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18980614, 20.00, ////, 07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18980614, 21.00, ////, 07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18980614, 22.00, ////, 07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18980614, 23.00, ////, 07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18980614, 24.00, ////, 07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18980615, 01.00, ////, 07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18980615, 02.00, ////, 07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18980615, 03.00, ////, 07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18980615, 04.00, ////, 07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18980615, 05.00, ////, 07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18980615, 06.00, ////, 07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18980615, 07.00, ////, 07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18980615, 08.00, ////, 07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18980615, 09.00, ////, 07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18980615, 10.00, ////, 07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18980615, 11.00, ////, 07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18980615, 12.00, ////, 07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18980615, 13.00, ////, 07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18980615, 14.00, ////, 07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18980615, 15.00, ////, 07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18980615, 16.00, ////, 07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18980615, 17.00, ////, 07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18980615, 18.00, ////, 07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18980615, 19.00, ////, 07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18980615, 20.00, ////, 07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18980615, 21.00, ////, 07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18980615, 22.00, ////, 07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18980615, 23.00, ////, 07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18980615, 24.00, ////, 07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18980616, 01.00, ////, 07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18980616, 02.00, ////, 07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18980616, 03.00, ////, 07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18980616, 04.00, ////, 07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18980616, 05.00, ////, 07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18980616, 06.00, ////, 07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18980616, 07.00, ////, 07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18980616, 08.00, ////, 07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18980616, 09.00, ////, 07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18980616, 10.00, ////, 07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18980616, 11.00, ////, 07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18980616, 12.00, ////, 07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18980616, 13.00, ////, 07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18980616, 14.00, ////, 07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18980616, 15.00, ////, 07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18980616, 16.00, ////, 07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18980616, 17.00, ////, 07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18980616, 18.00, ////, 07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18980616, 19.00, ////, 07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18980616, 20.00, ////, 07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18980616, 21.00, ////, 07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18980616, 22.00, ////, 07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18980616, 23.00, ////, 07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18980616, 24.00, ////, 07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18980617, 01.00, ////, 07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18980617, 02.00, ////, 07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18980617, 03.00, ////, 07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18980617, 04.00, ////, 07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18980617, 05.00, ////, 07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18980617, 06.00, ////, 07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18980617, 07.00, ////, 07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18980617, 08.00, ////, 07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18980617, 09.00, ////, 07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18980617, 10.00, ////, 07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18980617, 11.00, ////, 07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18980617, 12.00, ////, 07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18980617, 13.00, ////, 07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18980617, 14.00, ////, 07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18980617, 15.00, ////, 07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18980617, 16.00, ////, 07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18980617, 17.00, ////, 07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18980617, 18.00, ////, 07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18980617, 19.00, ////, 07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18980617, 20.00, ////, 07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18980617, 21.00, ////, 07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18980617, 22.00, ////, 07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18980617, 23.00, ////, 07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18980617, 24.00, ////, 07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18980618, 01.00, ////, 07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18980618, 02.00, ////, 07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18980618, 03.00, ////, 07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18980618, 04.00, ////, 07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18980618, 05.00, ////, 07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18980618, 06.00, ////, 07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18980618, 07.00, ////, 07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18980618, 08.00, ////, 07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18980618, 09.00, ////, 07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18980618, 10.00, ////, 07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18980618, 11.00, ////, 07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18980618, 12.00, ////, 07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18980618, 13.00, ////, 07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18980618, 14.00, ////, 07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18980618, 15.00, ////, 07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18980618, 16.00, ////, 07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18980618, 17.00, ////, 07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18980618, 18.00, ////, 07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18980618, 19.00, ////, 07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18980618, 20.00, ////, 07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18980618, 21.00, ////, 07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18980618, 22.00, ////, 07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18980618, 23.00, ////, 07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18980618, 24.00, ////, 07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18980619, 01.00, ////, 07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18980619, 02.00, ////, 07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18980619, 03.00, ////, 07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18980619, 04.00, ////, 07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18980619, 05.00, ////, 07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18980619, 06.00, ////, 07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18980619, 07.00, ////, 07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18980619, 08.00, ////, 07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18980619, 09.00, ////, 07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18980619, 10.00, ////, 07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18980619, 11.00, ////, 07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18980619, 12.00, ////, 07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18980619, 13.00, ////, 07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18980619, 14.00, ////, 07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18980619, 15.00, ////, 07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18980619, 16.00, ////, 07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18980619, 17.00, ////, 07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18980619, 18.00, ////, 07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18980619, 19.00, ////, 07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18980619, 20.00, ////, 07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18980619, 21.00, ////, 07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18980619, 22.00, ////, 07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18980619, 23.00, ////, 07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18980619, 24.00, ////, 07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18980620, 01.00, ////, 07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18980620, 02.00, ////, 07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18980620, 03.00, ////, 07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18980620, 04.00, ////, 07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18980620, 05.00, ////, 07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18980620, 06.00, ////, 07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18980620, 07.00, ////, 07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18980620, 08.00, ////, 07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18980620, 09.00, ////, 07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18980620, 10.00, ////, 07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18980620, 11.00, ////, 07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18980620, 12.00, ////, 07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18980620, 13.00, ////, 07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18980620, 14.00, ////, 07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18980620, 15.00, ////, 07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18980620, 16.00, ////, 07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18980620, 17.00, ////, 07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18980620, 18.00, ////, 07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18980620, 19.00, ////, 07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18980620, 20.00, ////, 07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18980620, 21.00, ////, 07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18980620, 22.00, ////, 07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18980620, 23.00, ////, 07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18980620, 24.00, ////, 07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18980621, 01.00, ////, 07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18980621, 02.00, ////, 07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18980621, 03.00, ////, 07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18980621, 04.00, ////, 07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18980621, 05.00, ////, 07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18980621, 06.00, ////, 07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18980621, 07.00, ////, 07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18980621, 08.00, ////, 07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18980621, 09.00, ////, 07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18980621, 10.00, ////, 07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18980621, 11.00, ////, 07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18980621, 12.00, ////, 07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18980621, 13.00, ////, 07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18980621, 14.00, ////, 07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18980621, 15.00, ////, 07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18980621, 16.00, ////, 07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18980621, 17.00, ////, 07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18980621, 18.00, ////, 07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18980621, 19.00, ////, 07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18980621, 20.00, ////, 07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18980621, 21.00, ////, 07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18980621, 22.00, ////, 07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18980621, 23.00, ////, 07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18980621, 24.00, ////, 07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18980622, 01.00, ////, 07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18980622, 02.00, ////, 07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18980622, 03.00, ////, 07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18980622, 04.00, ////, 07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18980622, 05.00, ////, 07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18980622, 06.00, ////, 07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18980622, 07.00, ////, 07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18980622, 08.00, ////, 07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18980622, 09.00, ////, 07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18980622, 10.00, ////, 07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18980622, 11.00, ////, 07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18980622, 12.00, ////, 07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18980622, 13.00, ////, 07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18980622, 14.00, ////, 07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18980622, 15.00, ////, 07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18980622, 16.00, ////, 07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18980622, 17.00, ////, 07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18980622, 18.00, ////, 07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18980622, 19.00, ////, 07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18980622, 20.00, ////, 07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18980622, 21.00, ////, 07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18980622, 22.00, ////, 07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18980622, 23.00, ////, 07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18980622, 24.00, ////, 07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18980623, 01.00, ////, 07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18980623, 02.00, ////, 07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18980623, 03.00, ////, 07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18980623, 04.00, ////, 07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18980623, 05.00, ////, 07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18980623, 06.00, ////, 07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18980623, 07.00, ////, 07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18980623, 08.00, ////, 07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18980623, 09.00, ////, 07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18980623, 10.00, ////, 07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18980623, 11.00, ////, 07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18980623, 12.00, ////, 07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18980623, 13.00, ////, 07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18980623, 14.00, ////, 07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18980623, 15.00, ////, 07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18980623, 16.00, ////, 07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18980623, 17.00, ////, 07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18980623, 18.00, ////, 07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18980623, 19.00, ////, 07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18980623, 20.00, ////, 07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18980623, 21.00, ////, 07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18980623, 22.00, ////, 07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18980623, 23.00, ////, 07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18980623, 24.00, ////, 07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18980624, 01.00, ////, 07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18980624, 02.00, ////, 07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18980624, 03.00, ////, 07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18980624, 04.00, ////, 07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18980624, 05.00, ////, 07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18980624, 06.00, ////, 07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18980624, 07.00, ////, 07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18980624, 08.00, ////, 07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18980624, 09.00, ////, 07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18980624, 10.00, ////, 07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18980624, 11.00, ////, 07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18980624, 12.00, ////, 07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18980624, 13.00, ////, 07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18980624, 14.00, ////, 07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18980624, 15.00, ////, 07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18980624, 16.00, ////, 07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18980624, 17.00, ////, 07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18980624, 18.00, ////, 07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18980624, 19.00, ////, 07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18980624, 20.00, ////, 07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18980624, 21.00, ////, 07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18980624, 22.00, ////, 07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18980624, 23.00, ////, 07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18980624, 24.00, ////, 07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18980625, 01.00, ////, 07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18980625, 02.00, ////, 07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18980625, 03.00, ////, 07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18980625, 04.00, ////, 07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18980625, 05.00, ////, 07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18980625, 06.00, ////, 07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18980625, 07.00, ////, 07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18980625, 08.00, ////, 07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18980625, 09.00, ////, 07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18980625, 10.00, ////, 07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18980625, 11.00, ////, 07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18980625, 12.00, ////, 07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18980625, 13.00, ////, 07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18980625, 14.00, ////, 07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18980625, 15.00, ////, 07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18980625, 16.00, ////, 07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18980625, 17.00, ////, 07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18980625, 18.00, ////, 07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18980625, 19.00, ////, 07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18980625, 20.00, ////, 07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18980625, 21.00, ////, 07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18980625, 22.00, ////, 07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18980625, 23.00, ////, 07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18980625, 24.00, ////, 07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18980626, 01.00, ////, 07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18980626, 02.00, ////, 07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18980626, 03.00, ////, 07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18980626, 04.00, ////, 07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18980626, 05.00, ////, 07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18980626, 06.00, ////, 07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18980626, 07.00, ////, 07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18980626, 08.00, ////, 07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18980626, 09.00, ////, 07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18980626, 10.00, ////, 07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18980626, 11.00, ////, 07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18980626, 12.00, ////, 07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18980626, 13.00, ////, 07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18980626, 14.00, ////, 07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18980626, 15.00, ////, 07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18980626, 16.00, ////, 07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18980626, 17.00, ////, 07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18980626, 18.00, ////, 07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18980626, 19.00, ////, 07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18980626, 20.00, ////, 07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18980626, 21.00, ////, 07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18980626, 22.00, ////, 07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18980626, 23.00, ////, 07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18980626, 24.00, ////, 07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18980627, 01.00, ////, 07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18980627, 02.00, ////, 07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18980627, 03.00, ////, 07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18980627, 04.00, ////, 07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18980627, 05.00, ////, 07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18980627, 06.00, ////, 07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18980627, 07.00, ////, 07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18980627, 08.00, ////, 07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18980627, 09.00, ////, 07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18980627, 10.00, ////, 07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18980627, 11.00, ////, 07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18980627, 12.00, ////, 07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18980627, 13.00, ////, 07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18980627, 14.00, ////, 07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18980627, 15.00, ////, 07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18980627, 16.00, ////, 07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18980627, 17.00, ////, 07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18980627, 18.00, ////, 07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18980627, 19.00, ////, 07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18980627, 20.00, ////, 07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18980627, 21.00, ////, 07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18980627, 22.00, ////, 07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18980627, 23.00, ////, 07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18980627, 24.00, ////, 07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18980628, 01.00, ////, 07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18980628, 02.00, ////, 07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18980628, 03.00, ////, 07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18980628, 04.00, ////, 07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18980628, 05.00, ////, 07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18980628, 06.00, ////, 07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18980628, 07.00, ////, 07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18980628, 08.00, ////, 07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18980628, 09.00, ////, 07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18980628, 10.00, ////, 07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18980628, 11.00, ////, 07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18980628, 12.00, ////, 07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18980628, 13.00, ////, 07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18980628, 14.00, ////, 07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18980628, 15.00, ////, 07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18980628, 16.00, ////, 07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18980628, 17.00, ////, 07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18980628, 18.00, ////, 07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18980628, 19.00, ////, 07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18980628, 20.00, ////, 07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18980628, 21.00, ////, 07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18980628, 22.00, ////, 07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18980628, 23.00, ////, 07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18980628, 24.00, ////, 07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18980629, 01.00, ////, 07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18980629, 02.00, ////, 07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18980629, 03.00, ////, 07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18980629, 04.00, ////, 07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18980629, 05.00, ////, 07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18980629, 06.00, ////, 07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18980629, 07.00, ////, 07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18980629, 08.00, ////, 07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18980629, 09.00, ////, 07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18980629, 10.00, ////, 07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18980629, 11.00, ////, 07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18980629, 12.00, ////, 07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18980629, 13.00, ////, 07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18980629, 14.00, ////, 07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18980629, 15.00, ////, 07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18980629, 16.00, ////, 07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18980629, 17.00, ////, 07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18980629, 18.00, ////, 07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18980629, 19.00, ////, 07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18980629, 20.00, ////, 07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18980629, 21.00, ////, 07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18980629, 22.00, ////, 07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18980629, 23.00, ////, 07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18980629, 24.00, ////, 07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18980630, 01.00, ////, 07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18980630, 02.00, ////, 07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18980630, 03.00, ////, 07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18980630, 04.00, ////, 07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18980630, 05.00, ////, 07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18980630, 06.00, ////, 07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18980630, 07.00, ////, 07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18980630, 08.00, ////, 07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18980630, 09.00, ////, 07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18980630, 10.00, ////, 07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18980630, 11.00, ////, 07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18980630, 12.00, ////, 07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18980630, 13.00, ////, 07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18980630, 14.00, ////, 07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18980630, 15.00, ////, 07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18980630, 16.00, ////, 07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18980630, 17.00, ////, 07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18980630, 18.00, ////, 07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18980630, 19.00, ////, 07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18980630, 20.00, ////, 07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18980630, 21.00, ////, 07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18980630, 22.00, ////, 07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18980630, 23.00, ////, 07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18980630, 24.00, ////, 07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18980701, 01.00, ////, 07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18980701, 02.00, ////, 07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18980701, 03.00, ////, 07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18980701, 04.00, ////, 07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18980701, 05.00, ////, 07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18980701, 06.00, ////, 07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18980701, 07.00, ////, 07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18980701, 08.00, ////, 07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18980701, 09.00, ////, 07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18980701, 10.00, ////, 07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18980701, 11.00, ////, 07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18980701, 12.00, ////, 07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18980701, 13.00, ////, 07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18980701, 14.00, ////, 07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18980701, 15.00, ////, 07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18980701, 16.00, ////, 07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18980701, 17.00, ////, 07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18980701, 18.00, ////, 07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18980701, 19.00, ////, 07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18980701, 20.00, ////, 07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18980701, 21.00, ////, 07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18980701, 22.00, ////, 07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18980701, 23.00, ////, 07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18980701, 24.00, ////, 07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18980702, 01.00, ////, 07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18980702, 02.00, ////, 07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18980702, 03.00, ////, 07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18980702, 04.00, ////, 07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18980702, 05.00, ////, 07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18980702, 06.00, ////, 07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18980702, 07.00, ////, 07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18980702, 08.00, ////, 07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18980702, 09.00, ////, 07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18980702, 10.00, ////, 07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18980702, 11.00, ////, 07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18980702, 12.00, ////, 07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18980702, 13.00, ////, 07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18980702, 14.00, ////, 07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18980702, 15.00, ////, 07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18980702, 16.00, ////, 07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18980702, 17.00, ////, 07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18980702, 18.00, ////, 07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18980702, 19.00, ////, 07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18980702, 20.00, ////, 07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18980702, 21.00, ////, 07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18980702, 22.00, ////, 07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18980702, 23.00, ////, 07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18980702, 24.00, ////, 07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18980703, 01.00, ////, 07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18980703, 02.00, ////, 07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18980703, 03.00, ////, 07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18980703, 04.00, ////, 07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18980703, 05.00, ////, 07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18980703, 06.00, ////, 07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18980703, 07.00, ////, 07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18980703, 08.00, ////, 07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18980703, 09.00, ////, 07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18980703, 10.00, ////, 07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18980703, 11.00, ////, 07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18980703, 12.00, ////, 07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18980703, 13.00, ////, 07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18980703, 14.00, ////, 07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18980703, 15.00, ////, 07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18980703, 16.00, ////, 07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18980703, 17.00, ////, 07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18980703, 18.00, ////, 07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18980703, 19.00, ////, 07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18980703, 20.00, ////, 07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18980703, 21.00, ////, 07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18980703, 22.00, ////, 07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18980703, 23.00, ////, 07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18980703, 24.00, ////, 07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18980704, 01.00, ////, 07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18980704, 02.00, ////, 07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18980704, 03.00, ////, 07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18980704, 04.00, ////, 07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18980704, 05.00, ////, 07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18980704, 06.00, ////, 07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18980704, 07.00, ////, 07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18980704, 08.00, ////, 07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18980704, 09.00, ////, 07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18980704, 10.00, ////, 07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18980704, 11.00, ////, 07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18980704, 12.00, ////, 07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18980704, 13.00, ////, 07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18980704, 14.00, ////, 07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18980704, 15.00, ////, 07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18980704, 16.00, ////, 07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18980704, 17.00, ////, 07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18980704, 18.00, ////, 07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18980704, 19.00, ////, 07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18980704, 20.00, ////, 07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18980704, 21.00, ////, 07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18980704, 22.00, ////, 07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18980704, 23.00, ////, 07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18980704, 24.00, ////, 07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18980705, 01.00, ////, 07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18980705, 02.00, ////, 07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18980705, 03.00, ////, 07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18980705, 04.00, ////, 07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18980705, 05.00, ////, 07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18980705, 06.00, ////, 07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18980705, 07.00, ////, 07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18980705, 08.00, ////, 07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18980705, 09.00, ////, 07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18980705, 10.00, ////, 07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18980705, 11.00, ////, 07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18980705, 12.00, ////, 07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18980705, 13.00, ////, 07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18980705, 14.00, ////, 07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18980705, 15.00, ////, 07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18980705, 16.00, ////, 07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18980705, 17.00, ////, 07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18980705, 18.00, ////, 07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18980705, 19.00, ////, 07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18980705, 20.00, ////, 07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18980705, 21.00, ////, 07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18980705, 22.00, ////, 07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18980705, 23.00, ////, 07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18980705, 24.00, ////, 07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18980706, 01.00, ////, 07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18980706, 02.00, ////, 07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18980706, 03.00, ////, 07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18980706, 05.00, ////, 07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18980706, 06.00, ////, 07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18980706, 07.00, ////, 07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18980706, 08.00, ////, 07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18980706, 09.00, ////, 07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18980706, 10.00, ////, 07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18980706, 11.00, ////, 07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18980706, 12.00, ////, 07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18980706, 13.00, ////, 07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18980706, 14.00, ////, 07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18980706, 15.00, ////, 07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18980706, 16.00, ////, 07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18980706, 17.00, ////, 07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18980706, 18.00, ////, 07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18980706, 19.00, ////, 07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18980706, 20.00, ////, 07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18980706, 21.00, ////, 07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18980706, 22.00, ////, 07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18980706, 23.00, ////, 07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18980706, 24.00, ////, 07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18980707, 01.00, ////, 07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18980707, 02.00, ////, 07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18980707, 03.00, ////, 07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18980707, 04.00, ////, 07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18980707, 05.00, ////, 07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18980707, 06.00, ////, 07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18980707, 07.00, ////, 07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18980707, 08.00, ////, 07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18980707, 09.00, ////, 07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18980707, 10.00, ////, 07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18980707, 11.00, ////, 07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18980707, 12.00, ////, 07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18980707, 13.00, ////, 07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18980707, 14.00, ////, 07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18980707, 15.00, ////, 07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18980707, 16.00, ////, 07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18980707, 17.00, ////, 07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18980707, 18.00, ////, 07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18980707, 19.00, ////, 07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18980707, 20.00, ////, 07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18980707, 21.00, ////, 07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18980707, 22.00, ////, 07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18980707, 23.00, ////, 07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18980707, 24.00, ////, 07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18980708, 01.00, ////, 07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18980708, 02.00, ////, 07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18980708, 03.00, ////, 07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18980708, 04.00, ////, 07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18980708, 05.00, ////, 07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18980708, 06.00, ////, 07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18980708, 07.00, ////, 07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18980708, 08.00, ////, 07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18980708, 09.00, ////, 07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18980708, 10.00, ////, 07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18980708, 11.00, ////, 07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18980708, 12.00, ////, 07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18980708, 13.00, ////, 07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18980708, 14.00, ////, 07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18980708, 15.00, ////, 07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18980708, 16.00, ////, 07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18980708, 17.00, ////, 07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18980708, 18.00, ////, 07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18980708, 19.00, ////, 07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18980708, 20.00, ////, 07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18980708, 21.00, ////, 07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18980708, 22.00, ////, 07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18980708, 23.00, ////, 07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18980708, 24.00, ////, 07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18980709, 01.00, ////, 07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18980709, 02.00, ////, 07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18980709, 03.00, ////, 07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18980709, 04.00, ////, 07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18980709, 05.00, ////, 07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18980709, 06.00, ////, 07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18980709, 07.00, ////, 07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18980709, 08.00, ////, 07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18980709, 09.00, ////, 07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18980709, 10.00, ////, 07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18980709, 11.00, ////, 07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18980709, 12.00, ////, 07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18980709, 13.00, ////, 07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18980709, 14.00, ////, 07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18980709, 15.00, ////, 07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18980709, 16.00, ////, 07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18980709, 17.00, ////, 07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18980709, 18.00, ////, 07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18980709, 19.00, ////, 07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18980709, 20.00, ////, 07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18980709, 21.00, ////, 07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18980709, 22.00, ////, 07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18980709, 23.00, ////, 07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18980709, 24.00, ////, 07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18980710, 01.00, ////, 07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18980710, 02.00, ////, 07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18980710, 03.00, ////, 07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18980710, 04.00, ////, 07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18980710, 05.00, ////, 07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18980710, 06.00, ////, 07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18980710, 07.00, ////, 07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18980710, 08.00, ////, 07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18980710, 09.00, ////, 07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18980710, 10.00, ////, 07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18980710, 11.00, ////, 07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18980710, 12.00, ////, 07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18980710, 13.00, ////, 07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18980710, 14.00, ////, 07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18980710, 15.00, ////, 07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18980710, 16.00, ////, 07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18980710, 17.00, ////, 07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18980710, 18.00, ////, 07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18980710, 19.00, ////, 07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18980710, 20.00, ////, 07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18980710, 21.00, ////, 07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18980710, 22.00, ////, 07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18980710, 23.00, ////, 07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18980710, 24.00, ////, 07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18980711, 01.00, ////, 07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18980711, 02.00, ////, 07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18980711, 03.00, ////, 07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18980711, 04.00, ////, 07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18980711, 05.00, ////, 07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18980711, 06.00, ////, 07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18980711, 07.00, ////, 07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18980711, 08.00, ////, 07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18980711, 09.00, ////, 07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18980711, 10.00, ////, 07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18980711, 11.00, ////, 07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18980711, 12.00, ////, 07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18980711, 13.00, ////, 07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18980711, 14.00, ////, 07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18980711, 15.00, ////, 07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18980711, 16.00, ////, 07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18980711, 17.00, ////, 07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18980711, 18.00, ////, 07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18980711, 19.00, ////, 07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18980711, 20.00, ////, 07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18980711, 21.00, ////, 07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18980711, 22.00, ////, 07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18980711, 23.00, ////, 07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18980711, 24.00, ////, 07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18980712, 01.00, ////, 07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18980712, 02.00, ////, 07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18980712, 03.00, ////, 07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18980712, 04.00, ////, 07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18980712, 05.00, ////, 07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18980712, 06.00, ////, 07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18980712, 07.00, ////, 07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18980712, 08.00, ////, 07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18980712, 09.00, ////, 07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18980712, 10.00, ////, 07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18980712, 11.00, ////, 07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18980712, 12.00, ////, 07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18980712, 13.00, ////, 07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18980712, 14.00, ////, 07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18980712, 15.00, ////, 07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18980712, 16.00, ////, 07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18980712, 17.00, ////, 07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18980712, 18.00, ////, 07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18980712, 19.00, ////, 07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18980712, 20.00, ////, 07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18980712, 21.00, ////, 07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18980712, 22.00, ////, 07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18980712, 23.00, ////, 07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18980712, 24.00, ////, 07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18980713, 01.00, ////, 07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18980713, 02.00, ////, 07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18980713, 03.00, ////, 07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18980713, 04.00, ////, 07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18980713, 05.00, ////, 07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18980713, 06.00, ////, 07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18980713, 07.00, ////, 07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18980713, 08.00, ////, 07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18980713, 09.00, ////, 07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18980713, 10.00, ////, 07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18980713, 11.00, ////, 07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18980713, 12.00, ////, 07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18980713, 13.00, ////, 07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18980713, 14.00, ////, 07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18980713, 15.00, ////, 07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18980713, 16.00, ////, 07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18980713, 17.00, ////, 07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18980713, 18.00, ////, 07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18980713, 19.00, ////, 07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18980713, 20.00, ////, 07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18980713, 21.00, ////, 07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18980713, 22.00, ////, 07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18980713, 23.00, ////, 07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18980713, 24.00, ////, 07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18980714, 01.00, ////, 07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18980714, 02.00, ////, 07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18980714, 03.00, ////, 07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18980714, 04.00, ////, 07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18980714, 05.00, ////, 07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18980714, 06.00, ////, 07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18980714, 07.00, ////, 07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18980714, 08.00, ////, 07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18980714, 09.00, ////, 07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18980714, 10.00, ////, 07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18980714, 11.00, ////, 07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18980714, 12.00, ////, 07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18980714, 13.00, ////, 07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18980714, 14.00, ////, 07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18980714, 15.00, ////, 07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18980714, 16.00, ////, 07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18980714, 17.00, ////, 07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18980714, 18.00, ////, 07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18980714, 19.00, ////, 07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18980714, 20.00, ////, 07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18980714, 21.00, ////, 07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18980714, 22.00, ////, 07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18980714, 23.00, ////, 07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18980714, 24.00, ////, 07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18980715, 01.00, ////, 07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18980715, 02.00, ////, 07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18980715, 03.00, ////, 07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18980715, 04.00, ////, 07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18980715, 05.00, ////, 07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18980715, 06.00, ////, 07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18980715, 07.00, ////, 07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18980715, 08.00, ////, 07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18980715, 09.00, ////, 07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18980715, 10.00, ////, 07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18980715, 11.00, ////, 07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18980715, 12.00, ////, 07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18980715, 13.00, ////, 07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18980715, 14.00, ////, 07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18980715, 15.00, ////, 07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18980715, 16.00, ////, 07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18980715, 17.00, ////, 07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18980715, 18.00, ////, 07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18980715, 19.00, ////, 07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18980715, 20.00, ////, 07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18980715, 21.00, ////, 07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18980715, 22.00, ////, 07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18980715, 23.00, ////, 07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18980715, 24.00, ////, 07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18980716, 01.00, ////, 07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18980716, 02.00, ////, 07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18980716, 03.00, ////, 07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18980716, 04.00, ////, 07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18980716, 05.00, ////, 07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18980716, 06.00, ////, 07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18980716, 07.00, ////, 07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18980716, 08.00, ////, 07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18980716, 09.00, ////, 07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18980716, 10.00, ////, 07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18980716, 11.00, ////, 07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18980716, 12.00, ////, 07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18980716, 13.00, ////, 07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18980716, 14.00, ////, 07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18980716, 15.00, ////, 07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18980716, 16.00, ////, 07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18980716, 17.00, ////, 07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18980716, 18.00, ////, 07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18980716, 19.00, ////, 07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18980716, 20.00, ////, 07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18980716, 21.00, ////, 07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18980716, 22.00, ////, 07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18980716, 23.00, ////, 07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18980716, 24.00, ////, 07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18980717, 01.00, ////, 07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18980717, 02.00, ////, 07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18980717, 03.00, ////, 07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18980717, 04.00, ////, 07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18980717, 05.00, ////, 07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18980717, 06.00, ////, 07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18980717, 07.00, ////, 07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18980717, 08.00, ////, 07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18980717, 09.00, ////, 07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18980717, 10.00, ////, 07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18980717, 11.00, ////, 07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18980717, 12.00, ////, 07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18980717, 13.00, ////, 07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18980717, 14.00, ////, 07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18980717, 15.00, ////, 07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18980717, 16.00, ////, 07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18980717, 17.00, ////, 07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18980717, 18.00, ////, 07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18980717, 19.00, ////, 07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18980717, 20.00, ////, 07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18980717, 21.00, ////, 07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18980717, 22.00, ////, 07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18980717, 23.00, ////, 07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18980717, 24.00, ////, 07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18980718, 01.00, ////, 07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18980718, 02.00, ////, 07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18980718, 03.00, ////, 07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18980718, 04.00, ////, 07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18980718, 05.00, ////, 07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18980718, 06.00, ////, 07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18980718, 07.00, ////, 07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18980718, 08.00, ////, 07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18980718, 09.00, ////, 07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18980718, 10.00, ////, 07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18980718, 11.00, ////, 07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18980718, 12.00, ////, 07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18980718, 13.00, ////, 07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18980718, 14.00, ////, 07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18980718, 15.00, ////, 07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18980718, 16.00, ////, 07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18980718, 17.00, ////, 07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18980718, 18.00, ////, 07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18980718, 19.00, ////, 07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18980718, 20.00, ////, 07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18980718, 21.00, ////, 07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18980718, 22.00, ////, 07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18980718, 23.00, ////, 07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18980718, 24.00, ////, 07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18980719, 01.00, ////, 07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18980719, 02.00, ////, 07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18980719, 03.00, ////, 07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18980719, 04.00, ////, 07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18980719, 05.00, ////, 07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18980719, 06.00, ////, 07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18980719, 07.00, ////, 07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18980719, 08.00, ////, 07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18980719, 09.00, ////, 07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18980719, 10.00, ////, 07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18980719, 11.00, ////, 07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18980719, 12.00, ////, 07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18980719, 13.00, ////, 07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18980719, 14.00, ////, 07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18980719, 15.00, ////, 07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18980719, 16.00, ////, 07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18980719, 17.00, ////, 07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18980719, 18.00, ////, 07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18980719, 19.00, ////, 07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18980719, 20.00, ////, 07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18980719, 21.00, ////, 07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18980719, 22.00, ////, 07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18980719, 23.00, ////, 07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18980719, 24.00, ////, 07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18980720, 01.00, ////, 07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18980720, 02.00, ////, 07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18980720, 03.00, ////, 07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18980720, 04.00, ////, 07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18980720, 05.00, ////, 07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18980720, 06.00, ////, 07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18980720, 07.00, ////, 07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18980720, 08.00, ////, 07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18980720, 09.00, ////, 07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18980720, 10.00, ////, 07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18980720, 11.00, ////, 07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18980720, 12.00, ////, 07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18980720, 13.00, ////, 07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18980720, 14.00, ////, 07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18980720, 15.00, ////, 07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18980720, 16.00, ////, 07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18980720, 17.00, ////, 07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18980720, 18.00, ////, 07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18980720, 19.00, ////, 07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18980720, 20.00, ////, 07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18980720, 21.00, ////, 07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18980720, 22.00, ////, 07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18980720, 23.00, ////, 07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18980720, 24.00, ////, 07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18980721, 01.00, ////, 07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18980721, 02.00, ////, 07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18980721, 03.00, ////, 07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18980721, 04.00, ////, 07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18980721, 05.00, ////, 07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18980721, 06.00, ////, 07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18980721, 07.00, ////, 07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18980721, 08.00, ////, 07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18980721, 09.00, ////, 07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18980721, 10.00, ////, 07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18980721, 11.00, ////, 07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18980721, 12.00, ////, 07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18980721, 13.00, ////, 07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18980721, 14.00, ////, 07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18980721, 15.00, ////, 07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18980721, 16.00, ////, 07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18980721, 17.00, ////, 07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18980721, 18.00, ////, 07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18980721, 19.00, ////, 07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18980721, 20.00, ////, 07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18980721, 21.00, ////, 07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18980721, 22.00, ////, 07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18980721, 23.00, ////, 07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18980721, 24.00, ////, 07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18980722, 01.00, ////, 07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18980722, 02.00, ////, 07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18980722, 03.00, ////, 07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18980722, 04.00, ////, 07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18980722, 05.00, ////, 07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18980722, 06.00, ////, 07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18980722, 07.00, ////, 07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18980722, 08.00, ////, 07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18980722, 09.00, ////, 07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18980722, 10.00, ////, 07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18980722, 11.00, ////, 07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18980722, 12.00, ////, 07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18980722, 13.00, ////, 07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18980722, 14.00, ////, 07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18980722, 15.00, ////, 07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18980722, 16.00, ////, 07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18980722, 17.00, ////, 07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18980722, 18.00, ////, 07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18980722, 19.00, ////, 07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18980722, 20.00, ////, 07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18980722, 21.00, ////, 07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18980722, 22.00, ////, 07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18980722, 23.00, ////, 07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18980722, 24.00, ////, 07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18980723, 01.00, ////, 07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18980723, 02.00, ////, 07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18980723, 03.00, ////, 07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18980723, 04.00, ////, 07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18980723, 05.00, ////, 07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18980723, 06.00, ////, 07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18980723, 07.00, ////, 07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18980723, 08.00, ////, 07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18980723, 09.00, ////, 07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18980723, 10.00, ////, 07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18980723, 11.00, ////, 07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18980723, 12.00, ////, 07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18980723, 13.00, ////, 07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18980723, 14.00, ////, 07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18980723, 15.00, ////, 07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18980723, 16.00, ////, 07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18980723, 17.00, ////, 07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18980723, 18.00, ////, 07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18980723, 19.00, ////, 07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18980723, 20.00, ////, 07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18980723, 21.00, ////, 07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18980723, 22.00, ////, 07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18980723, 23.00, ////, 07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18980723, 24.00, ////, 07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18980724, 01.00, ////, 07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18980724, 02.00, ////, 07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18980724, 03.00, ////, 07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18980724, 04.00, ////, 07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18980724, 05.00, ////, 07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18980724, 06.00, ////, 07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18980724, 07.00, ////, 07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18980724, 08.00, ////, 07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18980724, 09.00, ////, 07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18980724, 10.00, ////, 07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18980724, 11.00, ////, 07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18980724, 12.00, ////, 07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18980724, 13.00, ////, 07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18980724, 14.00, ////, 07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18980724, 15.00, ////, 07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18980724, 16.00, ////, 07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18980724, 17.00, ////, 07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18980724, 18.00, ////, 07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18980724, 19.00, ////, 07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18980724, 20.00, ////, 07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18980724, 21.00, ////, 07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18980724, 22.00, ////, 07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18980724, 23.00, ////, 07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18980724, 24.00, ////, 07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18980725, 01.00, ////, 07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18980725, 02.00, ////, 07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18980725, 03.00, ////, 07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18980725, 04.00, ////, 07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18980725, 05.00, ////, 07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18980725, 06.00, ////, 07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18980725, 07.00, ////, 07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18980725, 08.00, ////, 07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18980725, 09.00, ////, 07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18980725, 10.00, ////, 07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18980725, 11.00, ////, 07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18980725, 12.00, ////, 07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18980725, 13.00, ////, 07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18980725, 14.00, ////, 07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18980725, 15.00, ////, 07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18980725, 16.00, ////, 07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18980725, 17.00, ////, 07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18980725, 18.00, ////, 07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18980725, 19.00, ////, 07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18980725, 20.00, ////, 07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18980725, 21.00, ////, 07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18980725, 22.00, ////, 07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18980725, 23.00, ////, 07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18980725, 24.00, ////, 07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18980726, 01.00, ////, 07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18980726, 02.00, ////, 07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18980726, 03.00, ////, 07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18980726, 04.00, ////, 07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18980726, 05.00, ////, 07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18980726, 06.00, ////, 07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18980726, 07.00, ////, 07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18980726, 08.00, ////, 07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18980726, 09.00, ////, 07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18980726, 10.00, ////, 07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18980726, 11.00, ////, 07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18980726, 12.00, ////, 07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18980726, 13.00, ////, 07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18980726, 14.00, ////, 07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18980726, 15.00, ////, 07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18980726, 16.00, ////, 07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18980726, 17.00, ////, 07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18980726, 18.00, ////, 07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18980726, 19.00, ////, 07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18980726, 20.00, ////, 07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18980726, 21.00, ////, 07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18980726, 22.00, ////, 07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18980726, 23.00, ////, 07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18980726, 24.00, ////, 07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18980727, 01.00, ////, 07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18980727, 02.00, ////, 07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18980727, 03.00, ////, 07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18980727, 04.00, ////, 07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18980727, 05.00, ////, 07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18980727, 06.00, ////, 07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18980727, 07.00, ////, 07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18980727, 08.00, ////, 07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18980727, 09.00, ////, 07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18980727, 10.00, ////, 07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18980727, 11.00, ////, 07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18980727, 12.00, ////, 07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18980727, 13.00, ////, 07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18980727, 14.00, ////, 07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18980727, 15.00, ////, 07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18980727, 16.00, ////, 07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18980727, 17.00, ////, 07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18980727, 18.00, ////, 07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18980727, 19.00, ////, 07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18980727, 20.00, ////, 07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18980727, 21.00, ////, 07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18980727, 22.00, ////, 07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18980727, 23.00, ////, 07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18980727, 24.00, ////, 07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18980728, 01.00, ////, 07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18980728, 02.00, ////, 07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18980728, 03.00, ////, 07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18980728, 04.00, ////, 07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18980728, 05.00, ////, 07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18980728, 06.00, ////, 07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18980728, 07.00, ////, 07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18980728, 08.00, ////, 07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18980728, 09.00, ////, 07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18980728, 10.00, ////, 07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18980728, 11.00, ////, 07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18980728, 12.00, ////, 07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18980728, 13.00, ////, 07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18980728, 14.00, ////, 07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18980728, 15.00, ////, 07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18980728, 16.00, ////, 07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18980728, 17.00, ////, 07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18980728, 18.00, ////, 07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18980728, 19.00, ////, 07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18980728, 20.00, ////, 07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18980728, 21.00, ////, 07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18980728, 22.00, ////, 07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18980728, 23.00, ////, 07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18980728, 24.00, ////, 07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18980729, 01.00, ////, 07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18980729, 02.00, ////, 07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18980729, 03.00, ////, 07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18980729, 04.00, ////, 07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18980729, 05.00, ////, 07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18980729, 06.00, ////, 07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18980729, 07.00, ////, 07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18980729, 08.00, ////, 07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18980729, 09.00, ////, 07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18980729, 10.00, ////, 07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18980729, 11.00, ////, 07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18980729, 12.00, ////, 07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18980729, 13.00, ////, 07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18980729, 14.00, ////, 07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18980729, 15.00, ////, 07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18980729, 16.00, ////, 07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18980729, 17.00, ////, 07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18980729, 18.00, ////, 07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18980729, 19.00, ////, 07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18980729, 20.00, ////, 07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18980729, 21.00, ////, 07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18980729, 22.00, ////, 07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18980729, 23.00, ////, 07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18980729, 24.00, ////, 07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18980730, 01.00, ////, 07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18980730, 02.00, ////, 07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18980730, 03.00, ////, 07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18980730, 04.00, ////, 07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18980730, 05.00, ////, 07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18980730, 06.00, ////, 07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18980730, 07.00, ////, 07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18980730, 08.00, ////, 07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18980730, 09.00, ////, 07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18980730, 10.00, ////, 07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18980730, 11.00, ////, 07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18980730, 12.00, ////, 07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18980730, 13.00, ////, 07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18980730, 14.00, ////, 07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18980730, 15.00, ////, 07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18980730, 16.00, ////, 07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18980730, 17.00, ////, 07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18980730, 18.00, ////, 07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18980730, 19.00, ////, 07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18980730, 20.00, ////, 07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18980730, 21.00, ////, 07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18980730, 22.00, ////, 07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18980730, 23.00, ////, 07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18980730, 24.00, ////, 07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18980731, 01.00, ////, 07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18980731, 02.00, ////, 07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18980731, 03.00, ////, 07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18980731, 04.00, ////, 07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18980731, 05.00, ////, 07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18980731, 06.00, ////, 07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18980731, 07.00, ////, 07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18980731, 08.00, ////, 07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18980731, 09.00, ////, 07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18980731, 10.00, ////, 07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18980731, 11.00, ////, 07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18980731, 12.00, ////, 07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18980731, 13.00, ////, 07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18980731, 14.00, ////, 07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18980731, 15.00, ////, 07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18980731, 16.00, ////, 07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18980731, 17.00, ////, 07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18980731, 18.00, ////, 07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18980731, 19.00, ////, 07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18980731, 20.00, ////, 07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18980731, 21.00, ////, 07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18980731, 22.00, ////, 07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18980731, 23.00, ////, 07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18980731, 24.00, ////, 07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18980801, 01.00, ////, 07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18980801, 02.00, ////, 07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18980801, 03.00, ////, 07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18980801, 04.00, ////, 07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18980801, 05.00, ////, 07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18980801, 06.00, ////, 07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18980801, 07.00, ////, 07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18980801, 08.00, ////, 07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18980801, 09.00, ////, 07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18980801, 10.00, ////, 07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18980801, 11.00, ////, 07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18980801, 12.00, ////, 07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18980801, 13.00, ////, 07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18980801, 14.00, ////, 07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18980801, 15.00, ////, 07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18980801, 16.00, ////, 07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18980801, 17.00, ////, 07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18980801, 18.00, ////, 07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18980801, 19.00, ////, 07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18980801, 20.00, ////, 07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18980801, 21.00, ////, 07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18980801, 22.00, ////, 07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18980801, 23.00, ////, 07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18980801, 24.00, ////, 07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18980802, 01.00, ////, 07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18980802, 02.00, ////, 07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18980802, 03.00, ////, 07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18980802, 04.00, ////, 07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18980802, 05.00, ////, 07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18980802, 06.00, ////, 07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18980802, 07.00, ////, 07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18980802, 08.00, ////, 07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18980802, 09.00, ////, 07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18980802, 10.00, ////, 07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18980802, 11.00, ////, 07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18980802, 12.00, ////, 07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18980802, 13.00, ////, 07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18980802, 14.00, ////, 07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18980802, 15.00, ////, 07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18980802, 16.00, ////, 07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18980802, 17.00, ////, 07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18980802, 18.00, ////, 07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18980802, 19.00, ////, 07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18980802, 20.00, ////, 07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18980802, 21.00, ////, 07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18980802, 22.00, ////, 07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18980802, 23.00, ////, 07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18980802, 24.00, ////, 07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18980803, 01.00, ////, 07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18980803, 02.00, ////, 07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18980803, 03.00, ////, 07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18980803, 04.00, ////, 07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18980803, 05.00, ////, 07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18980803, 06.00, ////, 07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18980803, 07.00, ////, 07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18980803, 08.00, ////, 07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18980803, 09.00, ////, 07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18980803, 10.00, ////, 07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18980803, 11.00, ////, 07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18980803, 12.00, ////, 07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18980803, 13.00, ////, 07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18980803, 14.00, ////, 07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18980803, 15.00, ////, 07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18980803, 16.00, ////, 07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18980803, 17.00, ////, 07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18980803, 18.00, ////, 07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18980803, 19.00, ////, 07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18980803, 20.00, ////, 07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18980803, 21.00, ////, 07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18980803, 22.00, ////, 07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18980803, 23.00, ////, 07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18980803, 24.00, ////, 07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18980804, 01.00, ////, 07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18980804, 02.00, ////, 07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18980804, 03.00, ////, 07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18980804, 04.00, ////, 07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18980804, 05.00, ////, 07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18980804, 06.00, ////, 07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18980804, 07.00, ////, 07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18980804, 08.00, ////, 07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18980804, 09.00, ////, 07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18980804, 10.00, ////, 07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18980804, 11.00, ////, 07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18980804, 12.00, ////, 07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18980804, 13.00, ////, 07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18980804, 14.00, ////, 07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18980804, 15.00, ////, 07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18980804, 16.00, ////, 07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18980804, 17.00, ////, 07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18980804, 18.00, ////, 07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18980804, 19.00, ////, 07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18980804, 20.00, ////, 07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18980804, 21.00, ////, 07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18980804, 22.00, ////, 07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18980804, 23.00, ////, 07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18980804, 24.00, ////, 07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18980805, 01.00, ////, 07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18980805, 02.00, ////, 07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18980805, 03.00, ////, 07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18980805, 04.00, ////, 07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18980805, 05.00, ////, 07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18980805, 06.00, ////, 07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18980805, 07.00, ////, 07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18980805, 08.00, ////, 07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18980805, 09.00, ////, 07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18980805, 10.00, ////, 07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18980805, 11.00, ////, 07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18980805, 12.00, ////, 07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18980805, 13.00, ////, 07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18980805, 14.00, ////, 07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18980805, 15.00, ////, 07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18980805, 16.00, ////, 07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18980805, 17.00, ////, 07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18980805, 18.00, ////, 07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18980805, 19.00, ////, 07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18980805, 20.00, ////, 07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18980805, 21.00, ////, 07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18980805, 22.00, ////, 07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18980805, 23.00, ////, 07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18980805, 24.00, ////, 07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18980806, 01.00, ////, 07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18980806, 02.00, ////, 07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18980806, 03.00, ////, 07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18980806, 04.00, ////, 07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18980806, 05.00, ////, 07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18980806, 06.00, ////, 07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18980806, 07.00, ////, 07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18980806, 08.00, ////, 07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18980806, 09.00, ////, 07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18980806, 10.00, ////, 07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18980806, 11.00, ////, 07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18980806, 12.00, ////, 07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18980806, 13.00, ////, 07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18980806, 14.00, ////, 07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18980806, 15.00, ////, 07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18980806, 16.00, ////, 07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18980806, 17.00, ////, 07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18980806, 18.00, ////, 07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18980806, 19.00, ////, 07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18980806, 20.00, ////, 07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18980806, 21.00, ////, 07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18980806, 22.00, ////, 07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18980806, 23.00, ////, 07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18980806, 24.00, ////, 07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18980807, 01.00, ////, 07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18980807, 02.00, ////, 07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18980807, 03.00, ////, 07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18980807, 04.00, ////, 07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18980807, 05.00, ////, 07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18980807, 06.00, ////, 07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18980807, 07.00, ////, 07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18980807, 08.00, ////, 07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18980807, 09.00, ////, 07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18980807, 10.00, ////, 07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18980807, 11.00, ////, 07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18980807, 12.00, ////, 07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18980807, 13.00, ////, 07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18980807, 14.00, ////, 07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18980807, 15.00, ////, 07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18980807, 16.00, ////, 07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18980807, 17.00, ////, 07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18980807, 18.00, ////, 07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18980807, 19.00, ////, 07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18980807, 20.00, ////, 07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18980807, 21.00, ////, 07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18980807, 22.00, ////, 07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18980807, 23.00, ////, 07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18980807, 24.00, ////, 07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18980808, 01.00, ////, 07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18980808, 02.00, ////, 07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18980808, 03.00, ////, 07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18980808, 04.00, ////, 07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18980808, 05.00, ////, 07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18980808, 06.00, ////, 07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18980808, 07.00, ////, 07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18980808, 08.00, ////, 07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18980808, 09.00, ////, 07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18980808, 10.00, ////, 07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18980808, 11.00, ////, 07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18980808, 12.00, ////, 07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18980808, 13.00, ////, 07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18980808, 14.00, ////, 07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18980808, 15.00, ////, 07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18980808, 16.00, ////, 07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18980808, 17.00, ////, 07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18980808, 18.00, ////, 07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18980808, 19.00, ////, 07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18980808, 20.00, ////, 07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18980808, 21.00, ////, 07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18980808, 22.00, ////, 07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18980808, 23.00, ////, 07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18980808, 24.00, ////, 07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18980809, 01.00, ////, 07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18980809, 02.00, ////, 07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18980809, 03.00, ////, 07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18980809, 04.00, ////, 07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18980809, 05.00, ////, 07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18980809, 06.00, ////, 07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18980809, 07.00, ////, 07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18980809, 08.00, ////, 07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18980809, 09.00, ////, 07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18980809, 10.00, ////, 07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18980809, 11.00, ////, 07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18980809, 12.00, ////, 07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18980809, 13.00, ////, 07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18980809, 14.00, ////, 07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18980809, 15.00, ////, 07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18980809, 16.00, ////, 07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18980809, 17.00, ////, 07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18980809, 18.00, ////, 07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18980809, 19.00, ////, 07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18980809, 20.00, ////, 07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18980809, 21.00, ////, 07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18980809, 22.00, ////, 07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18980809, 23.00, ////, 07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18980809, 24.00, ////, 07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18980810, 01.00, ////, 07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18980810, 02.00, ////, 07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18980810, 03.00, ////, 07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18980810, 04.00, ////, 07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18980810, 05.00, ////, 07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18980810, 06.00, ////, 07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18980810, 07.00, ////, 07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18980810, 08.00, ////, 07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18980810, 09.00, ////, 07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18980810, 10.00, ////, 07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18980810, 11.00, ////, 07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18980810, 12.00, ////, 07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18980810, 13.00, ////, 07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18980810, 14.00, ////, 07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18980810, 15.00, ////, 07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18980810, 16.00, ////, 07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18980810, 17.00, ////, 07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18980810, 18.00, ////, 07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18980810, 19.00, ////, 07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18980810, 20.00, ////, 07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18980810, 21.00, ////, 07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18980810, 22.00, ////, 07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18980810, 23.00, ////, 07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18980810, 24.00, ////, 07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18980811, 01.00, ////, 07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18980811, 02.00, ////, 07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18980811, 03.00, ////, 07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18980811, 04.00, ////, 07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18980811, 05.00, ////, 07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18980811, 06.00, ////, 07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18980811, 07.00, ////, 07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18980811, 08.00, ////, 07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18980811, 09.00, ////, 07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18980811, 10.00, ////, 07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18980811, 11.00, ////, 07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18980811, 12.00, ////, 07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18980811, 13.00, ////, 07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18980811, 14.00, ////, 07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18980811, 15.00, ////, 07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18980811, 16.00, ////, 07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18980811, 17.00, ////, 07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18980811, 18.00, ////, 07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18980811, 19.00, ////, 07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18980811, 20.00, ////, 07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18980811, 21.00, ////, 07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18980811, 22.00, ////, 07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18980811, 23.00, ////, 07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18980811, 24.00, ////, 07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18980812, 01.00, ////, 07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18980812, 02.00, ////, 07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18980812, 03.00, ////, 07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18980812, 04.00, ////, 07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18980812, 05.00, ////, 07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18980812, 06.00, ////, 07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18980812, 07.00, ////, 07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18980812, 08.00, ////, 07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18980812, 09.00, ////, 07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18980812, 10.00, ////, 07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18980812, 11.00, ////, 07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18980812, 12.00, ////, 07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18980812, 13.00, ////, 07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18980812, 14.00, ////, 07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18980812, 15.00, ////, 07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18980812, 16.00, ////, 07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18980812, 17.00, ////, 07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18980812, 18.00, ////, 07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18980812, 19.00, ////, 07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18980812, 20.00, ////, 07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18980812, 21.00, ////, 07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18980812, 22.00, ////, 07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18980812, 23.00, ////, 07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18980812, 24.00, ////, 07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18980813, 01.00, ////, 07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18980813, 02.00, ////, 07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18980813, 03.00, ////, 07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18980813, 04.00, ////, 07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18980813, 05.00, ////, 07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18980813, 06.00, ////, 07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18980813, 07.00, ////, 07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18980813, 08.00, ////, 07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18980813, 09.00, ////, 07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18980813, 10.00, ////, 07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18980813, 11.00, ////, 07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18980813, 12.00, ////, 07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18980813, 13.00, ////, 07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18980813, 14.00, ////, 07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18980813, 15.00, ////, 07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18980813, 16.00, ////, 07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18980813, 17.00, ////, 07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18980813, 18.00, ////, 07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18980813, 19.00, ////, 07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18980813, 20.00, ////, 07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18980813, 21.00, ////, 07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18980813, 22.00, ////, 07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18980813, 23.00, ////, 07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18980813, 24.00, ////, 07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18980814, 01.00, ////, 07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18980814, 02.00, ////, 07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18980814, 03.00, ////, 07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18980814, 04.00, ////, 07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18980814, 05.00, ////, 07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18980814, 06.00, ////, 07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18980814, 07.00, ////, 07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18980814, 08.00, ////, 07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18980814, 09.00, ////, 07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18980814, 10.00, ////, 07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18980814, 11.00, ////, 07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78989, 18980814, 12.00,    6, 00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78989, 18980814, 13.00,    7, 06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78989, 18980814, 14.00,    7, 06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78989, 18980814, 15.00,    8, 06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78989, 18980814, 16.00,   10, 06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78989, 18980814, 17.00,    9, 06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78989, 18980814, 18.00,    9, 06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78989, 18980814, 19.00,   10, 06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78989, 18980814, 20.00,   10, 06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78989, 18980814, 21.00,    9, 06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78989, 18980814, 22.00,    8, 06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78989, 18980814, 23.00,    7, 06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78989, 18980814, 24.00,    6, 06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78989, 18980815, 01.00,    6, 06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78989, 18980815, 02.00,    5, 06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78989, 18980815, 03.00,    5, 06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78989, 18980815, 04.00,    5, 06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78989, 18980815, 05.00,    5, 06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78989, 18980815, 06.00,    4, 06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78989, 18980815, 07.00,    5, 06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78989, 18980815, 08.00,    6, 06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78989, 18980815, 09.00,    6, 06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78989, 18980815, 10.00,    6, 06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78989, 18980815, 11.00,    6, 06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78989, 18980815, 12.00,    7, 06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78989, 18980815, 13.00,    5, 06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78989, 18980815, 14.00,    5, 06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78989, 18980815, 15.00,    6, 06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78989, 18980815, 16.00,    7, 06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78989, 18980815, 17.00,   11, 00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78989, 18980815, 18.00,   10, 00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78989, 18980815, 19.00,   10, 00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78989, 18980815, 20.00,   10, 00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78989, 18980815, 21.00,   10, 00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78989, 18980815, 22.00,    9, 00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78989, 18980815, 23.00,    7, 00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78989, 18980815, 24.00,    6, 00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78989, 18980816, 01.00,    5, 00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78989, 18980816, 02.00,    6, 00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78989, 18980816, 03.00,    7, 00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78989, 18980816, 04.00,    5, 00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78989, 18980816, 05.00,    4, 00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78989, 18980816, 06.00,    5, 00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78989, 18980816, 07.00,    6, 00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78989, 18980816, 08.00,    7, 00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78989, 18980816, 09.00,    8, 00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78989, 18980816, 10.00,    7, 00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78989, 18980816, 11.00,    8, 00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78989, 18980816, 12.00,    7, 00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78989, 18980816, 13.00,    6, 00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78989, 18980816, 14.00,    5, 00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78989, 18980816, 15.00,    9, 00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78989, 18980816, 16.00,    9, 00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78989, 18980816, 17.00,    9, 00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78989, 18980816, 18.00,    9, 00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78989, 18980816, 19.00,    5, 00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78989, 18980816, 20.00,    4, 00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78989, 18980816, 21.00,    4, 00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78989, 18980816, 22.00,    4, 00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78989, 18980816, 23.00,    3, 00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78989, 18980816, 24.00,    3, 00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78989, 18980817, 01.00,    4, 00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78989, 18980817, 02.00,    5, 00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78989, 18980817, 03.00,    2, 00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78989, 18980817, 04.00,    0, 00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78989, 18980817, 05.00,    1, 00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78989, 18980817, 06.00,    1, 00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78989, 18980817, 07.00,    9, 00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78989, 18980817, 08.00,    6, 00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78989, 18980817, 09.00,    5, 00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78989, 18980817, 10.00,    6, 00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78989, 18980817, 11.00,    7, 00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78989, 18980817, 12.00,    5, 00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78989, 18980817, 13.00,    4, 00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78989, 18980817, 14.00,    9, 00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78989, 18980817, 15.00,   10, 00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78989, 18980817, 16.00,   12, 00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78989, 18980817, 17.00,   13, 00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78989, 18980817, 18.00,   14, 00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78989, 18980817, 19.00,   13, 00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78989, 18980817, 20.00,   12, 00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78989, 18980817, 21.00,   12, 00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78989, 18980817, 22.00,   11, 00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78989, 18980817, 23.00,   12, 00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78989, 18980817, 24.00,   10, 00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78989, 18980818, 01.00,   12, 00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78989, 18980818, 02.00,   10, 00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78989, 18980818, 03.00,    9, 00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78989, 18980818, 04.00,    8, 00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78989, 18980818, 05.00,   14, 00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78989, 18980818, 06.00,   13, 00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78989, 18980818, 07.00,   14, 00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78989, 18980818, 08.00,   14, 00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78989, 18980818, 09.00,   15, 00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78989, 18980818, 10.00,   13, 00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78989, 18980818, 11.00,   14, 00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78989, 18980818, 12.00,   12, 00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78989, 18980818, 13.00,   13, 00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78989, 18980818, 14.00,   11, 00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78989, 18980818, 15.00,   11, 00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78989, 18980818, 16.00,   13, 00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78989, 18980818, 17.00,   14, 00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78989, 18980818, 18.00,   15, 00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78989, 18980818, 19.00,   13, 00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78989, 18980818, 20.00,   11, 00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78989, 18980818, 21.00,   12, 00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78989, 18980818, 22.00,   13, 00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78989, 18980818, 23.00,   12, 00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78989, 18980818, 24.00,   10, 00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78989, 18980819, 01.00,   10, 00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78989, 18980819, 02.00,    9, 00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78989, 18980819, 03.00,    8, 00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78989, 18980819, 04.00,    7, 00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78989, 18980819, 05.00,    6, 00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78989, 18980819, 06.00,    6, 00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78989, 18980819, 07.00,    9, 00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78989, 18980819, 08.00,    8, 00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78989, 18980819, 09.00,    9, 00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78989, 18980819, 10.00,   11, 00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78989, 18980819, 11.00,   12, 00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78989, 18980819, 12.00,    9, 00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78989, 18980819, 13.00,    4, 00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78989, 18980819, 14.00,    9, 00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78989, 18980819, 15.00,   10, 00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78989, 18980819, 16.00,   11, 00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78989, 18980819, 17.00,   12, 00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78989, 18980819, 18.00,   13, 00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78989, 18980819, 19.00,   11, 00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78989, 18980819, 20.00,    9, 00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78989, 18980819, 21.00,    9, 00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78989, 18980819, 22.00,    9, 00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78989, 18980819, 23.00,    8, 00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78989, 18980819, 24.00,    7, 00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78989, 18980820, 01.00,    7, 00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78989, 18980820, 02.00,    6, 00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78989, 18980820, 03.00,    5, 00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78989, 18980820, 04.00,    7, 00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78989, 18980820, 05.00,    6, 00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78989, 18980820, 06.00,    8, 00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78989, 18980820, 07.00,    8, 00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78989, 18980820, 08.00,   11, 00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78989, 18980820, 09.00,   11, 00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78989, 18980820, 10.00,   14, 00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78989, 18980820, 11.00,   12, 00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78989, 18980820, 12.00,   13, 00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78989, 18980820, 13.00,   15, 00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78989, 18980820, 14.00,   12, 00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78989, 18980820, 15.00,   12, 00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78989, 18980820, 16.00,   14, 00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78989, 18980820, 17.00,   14, 00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78989, 18980820, 18.00,   14, 00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78989, 18980820, 19.00,   16, 00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78989, 18980820, 20.00,   13, 00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78989, 18980820, 21.00,   10, 00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78989, 18980820, 22.00,    9, 00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78989, 18980820, 23.00,    9, 00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78989, 18980820, 24.00,    9, 00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78989, 18980821, 01.00,   11, 00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78989, 18980821, 02.00,    9, 00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78989, 18980821, 03.00,    9, 00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78989, 18980821, 04.00,    8, 00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78989, 18980821, 05.00,    9, 00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78989, 18980821, 06.00,    7, 00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78989, 18980821, 07.00,   10, 00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78989, 18980821, 08.00,   11, 00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78989, 18980821, 09.00,   12, 00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78989, 18980821, 10.00,   11, 00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78989, 18980821, 11.00,   13, 00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78989, 18980821, 12.00,   12, 00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78989, 18980821, 13.00,   13, 00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78989, 18980821, 14.00,   14, 00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78989, 18980821, 15.00,   10, 00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78989, 18980821, 16.00,    9, 00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78989, 18980821, 17.00,    8, 00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78989, 18980821, 18.00,    8, 00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78989, 18980821, 19.00,   10, 00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78989, 18980821, 20.00,    9, 00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78989, 18980821, 21.00,    8, 00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78989, 18980821, 22.00,    7, 00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78989, 18980821, 23.00,    6, 00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78989, 18980821, 24.00,    7, 00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78989, 18980822, 01.00,    7, 00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78989, 18980822, 02.00,    6, 00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78989, 18980822, 03.00,    6, 00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78989, 18980822, 04.00,    6, 00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78989, 18980822, 05.00,    4, 00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78989, 18980822, 06.00,    6, 00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78989, 18980822, 07.00,    6, 00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78989, 18980822, 08.00,   10, 00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78989, 18980822, 09.00,   11, 00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78989, 18980822, 10.00,   13, 00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78989, 18980822, 11.00,   14, 00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78989, 18980822, 12.00,   15, 00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78989, 18980822, 13.00,   15, 00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78989, 18980822, 14.00,   14, 00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78989, 18980822, 15.00,   14, 00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78989, 18980822, 16.00,   14, 00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78989, 18980822, 17.00,   15, 00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78989, 18980822, 18.00,   14, 00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78989, 18980822, 19.00,   12, 00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78989, 18980822, 20.00,   11, 00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78989, 18980822, 21.00,   13, 00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78989, 18980822, 22.00,   17, 00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78989, 18980822, 23.00,   15, 00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78989, 18980822, 24.00,   14, 00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78989, 18980823, 01.00,   12, 00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78989, 18980823, 02.00,   13, 00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78989, 18980823, 03.00,   12, 00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78989, 18980823, 04.00,   11, 00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78989, 18980823, 05.00,   12, 00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78989, 18980823, 06.00,   10, 00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78989, 18980823, 07.00,   13, 00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78989, 18980823, 08.00,   14, 00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78989, 18980823, 09.00,   16, 00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78989, 18980823, 10.00,   15, 00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78989, 18980823, 11.00,   14, 00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78989, 18980823, 12.00,   13, 00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78989, 18980823, 13.00,   15, 00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78989, 18980823, 14.00,   15, 00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78989, 18980823, 15.00,   15, 00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78989, 18980823, 16.00,   15, 00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78989, 18980823, 17.00,   17, 00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78989, 18980823, 18.00,   17, 00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78989, 18980823, 19.00,   19, 00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78989, 18980823, 20.00,   16, 00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78989, 18980823, 21.00,   15, 00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78989, 18980823, 22.00,   16, 00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78989, 18980823, 23.00,   14, 00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78989, 18980823, 24.00,   14, 00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78989, 18980824, 01.00,   12, 00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78989, 18980824, 02.00,   13, 00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78989, 18980824, 03.00,    8, 00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78989, 18980824, 04.00,   10, 00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78989, 18980824, 05.00,    9, 00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78989, 18980824, 06.00,    8, 00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78989, 18980824, 07.00,   11, 00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78989, 18980824, 08.00,   13, 00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78989, 18980824, 09.00,   11, 00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78989, 18980824, 10.00,   13, 00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78989, 18980824, 11.00,   14, 00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78989, 18980824, 12.00,   14, 00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78989, 18980824, 13.00,   11, 00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78989, 18980824, 14.00,   12, 00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78989, 18980824, 15.00,   13, 00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78989, 18980824, 16.00,   14, 00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78989, 18980824, 17.00,   15, 00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78989, 18980824, 18.00,   15, 00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78989, 18980824, 19.00,   13, 00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78989, 18980824, 20.00,   12, 00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78989, 18980824, 21.00,   13, 00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78989, 18980824, 22.00,   11, 00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78989, 18980824, 23.00,   12, 00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78989, 18980824, 24.00,    9, 00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78989, 18980825, 01.00,    9, 00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78989, 18980825, 02.00,    9, 00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78989, 18980825, 03.00,    9, 00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78989, 18980825, 04.00,    8, 00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78989, 18980825, 05.00,    9, 00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78989, 18980825, 06.00,    7, 00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78989, 18980825, 07.00,    9, 00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78989, 18980825, 08.00,   11, 00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78989, 18980825, 09.00,   11, 00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78989, 18980825, 10.00,   12, 00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78989, 18980825, 11.00,   13, 00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78989, 18980825, 12.00,   13, 00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78989, 18980825, 13.00,   13, 00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78989, 18980825, 14.00,   12, 00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78989, 18980825, 15.00,   12, 00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78989, 18980825, 16.00,   13, 00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78989, 18980825, 17.00,   13, 00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78989, 18980825, 18.00,   11, 00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78989, 18980825, 19.00,   11, 00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78989, 18980825, 20.00,   10, 00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78989, 18980825, 21.00,   10, 00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78989, 18980825, 22.00,   10, 00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78989, 18980825, 23.00,    9, 00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78989, 18980825, 24.00,   10, 00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78989, 18980826, 01.00,    8, 00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78989, 18980826, 02.00,    8, 00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78989, 18980826, 03.00,    7, 00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78989, 18980826, 04.00,    4, 00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78989, 18980826, 05.00,    5, 00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78989, 18980826, 06.00,    5, 00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78989, 18980826, 07.00,    7, 00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78989, 18980826, 08.00,    9, 00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78989, 18980826, 09.00,   10, 00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78989, 18980826, 10.00,   12, 00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78989, 18980826, 11.00,   14, 00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78989, 18980826, 12.00,   13, 00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78989, 18980826, 13.00,   13, 00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78989, 18980826, 14.00,   11, 00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78989, 18980826, 15.00,   13, 00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78989, 18980826, 16.00,   14, 00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78989, 18980826, 17.00,   13, 00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78989, 18980826, 18.00,   12, 00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78989, 18980826, 19.00,   13, 00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78989, 18980826, 20.00,   11, 00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78989, 18980826, 21.00,    6, 00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78989, 18980826, 22.00,    9, 00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78989, 18980826, 23.00,    8, 00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78989, 18980826, 24.00,    6, 00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78989, 18980827, 01.00,    6, 00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78989, 18980827, 02.00,    6, 00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78989, 18980827, 03.00,    7, 00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78989, 18980827, 04.00,    8, 00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78989, 18980827, 05.00,    9, 00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78989, 18980827, 06.00,    8, 00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78989, 18980827, 07.00,   10, 00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78989, 18980827, 08.00,   13, 00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78989, 18980827, 09.00,   15, 00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78989, 18980827, 10.00,   14, 00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78989, 18980827, 11.00,   14, 00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78989, 18980827, 12.00,   14, 00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78989, 18980827, 13.00,   14, 00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78989, 18980827, 14.00,   14, 00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78989, 18980827, 15.00,   14, 00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78989, 18980827, 16.00,   14, 00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78989, 18980827, 17.00,   16, 00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78989, 18980827, 18.00,   17, 00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78989, 18980827, 19.00,   17, 00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78989, 18980827, 20.00,   15, 00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78989, 18980827, 21.00,   14, 00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78989, 18980827, 22.00,   12, 00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78989, 18980827, 23.00,   14, 00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78989, 18980827, 24.00,   13, 00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78989, 18980828, 01.00,   11, 00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78989, 18980828, 02.00,   11, 00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78989, 18980828, 03.00,   10, 00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78989, 18980828, 04.00,   11, 00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78989, 18980828, 05.00,   11, 00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78989, 18980828, 06.00,   12, 00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78989, 18980828, 07.00,   15, 00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78989, 18980828, 08.00,   17, 00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78989, 18980828, 09.00,   16, 00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78989, 18980828, 10.00,   14, 00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78989, 18980828, 11.00,   14, 00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78989, 18980828, 12.00,   12, 00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78989, 18980828, 13.00,   15, 00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78989, 18980828, 14.00,   17, 00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78989, 18980828, 15.00,   16, 00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78989, 18980828, 16.00,   18, 00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78989, 18980828, 17.00,   16, 00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78989, 18980828, 18.00,   14, 00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78989, 18980828, 19.00,   14, 00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78989, 18980828, 20.00,   13, 00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78989, 18980828, 21.00,   13, 00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78989, 18980828, 22.00,   11, 00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78989, 18980828, 23.00,   12, 00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78989, 18980828, 24.00,    9, 00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78989, 18980829, 01.00,   10, 00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78989, 18980829, 02.00,    9, 00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78989, 18980829, 03.00,   10, 00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78989, 18980829, 04.00,    9, 00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78989, 18980829, 05.00,    8, 00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78989, 18980829, 06.00,   10, 00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78989, 18980829, 07.00,    9, 00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78989, 18980829, 08.00,   11, 00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78989, 18980829, 09.00,   12, 00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78989, 18980829, 10.00,   13, 00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78989, 18980829, 11.00,   13, 00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78989, 18980829, 12.00,   12, 00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78989, 18980829, 13.00,   11, 00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78989, 18980829, 14.00,   13, 00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78989, 18980829, 15.00,   13, 00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78989, 18980829, 16.00,   13, 00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78989, 18980829, 17.00,   12, 00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78989, 18980829, 18.00,   13, 00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78989, 18980829, 19.00,   11, 00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78989, 18980829, 20.00,   12, 00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78989, 18980829, 21.00,   10, 00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78989, 18980829, 22.00,    9, 00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78989, 18980829, 23.00,    8, 00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78989, 18980829, 24.00,    8, 00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78989, 18980830, 01.00,   10, 00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78989, 18980830, 02.00,    9, 00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78989, 18980830, 03.00,    8, 00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78989, 18980830, 04.00,    8, 00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78989, 18980830, 05.00,    8, 00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78989, 18980830, 06.00,    6, 00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78989, 18980830, 07.00,    9, 00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78989, 18980830, 08.00,   12, 00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78989, 18980830, 09.00,   11, 00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78989, 18980830, 10.00,   11, 00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78989, 18980830, 11.00,   12, 00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78989, 18980830, 12.00,   15, 00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78989, 18980830, 13.00,   15, 00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78989, 18980830, 14.00,   12, 00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78989, 18980830, 15.00,   12, 00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78989, 18980830, 16.00,   13, 00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78989, 18980830, 17.00,   13, 00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78989, 18980830, 18.00,   12, 00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78989, 18980830, 19.00,   12, 00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78989, 18980830, 20.00,   10, 00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78989, 18980830, 21.00,    8, 00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78989, 18980830, 22.00,    7, 00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78989, 18980830, 23.00,    8, 00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78989, 18980830, 24.00,    9, 00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78989, 18980831, 01.00,   10, 00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78989, 18980831, 02.00,    8, 00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78989, 18980831, 03.00,    8, 00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78989, 18980831, 04.00,   10, 00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78989, 18980831, 05.00,    8, 00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78989, 18980831, 06.00,    9, 00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78989, 18980831, 07.00,    9, 00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78989, 18980831, 08.00,   12, 00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78989, 18980831, 09.00,   11, 00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78989, 18980831, 10.00,   14, 00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78989, 18980831, 11.00,   11, 00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78989, 18980831, 12.00,   11, 00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78989, 18980831, 13.00,   12, 00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78989, 18980831, 14.00,   15, 00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78989, 18980831, 15.00,   17, 00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78989, 18980831, 16.00,   16, 00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78989, 18980831, 17.00,   18, 00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78989, 18980831, 18.00,   16, 00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78989, 18980831, 19.00,   14, 00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78989, 18980831, 20.00,   14, 00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78989, 18980831, 21.00,   13, 00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78989, 18980831, 22.00,   11, 00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78989, 18980831, 23.00,   10, 00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78989, 18980831, 24.00,   11, 00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78989, 18980901, 01.00,    9, 00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78989, 18980901, 02.00,    8, 00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78989, 18980901, 03.00,    7, 00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78989, 18980901, 04.00,   10, 00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78989, 18980901, 05.00,    8, 00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78989, 18980901, 06.00,   10, 00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78989, 18980901, 07.00,    8, 00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78989, 18980901, 08.00,    9, 00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78989, 18980901, 09.00,   12, 00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78989, 18980901, 10.00,   18, 00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78989, 18980901, 11.00,   17, 00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78989, 18980901, 12.00,   17, 00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78989, 18980901, 13.00,   11, 00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78989, 18980901, 14.00,   14, 00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78989, 18980901, 15.00,   13, 00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78989, 18980901, 16.00,   13, 00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78989, 18980901, 17.00,   13, 00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78989, 18980901, 18.00,   13, 00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78989, 18980901, 19.00,   13, 00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78989, 18980901, 20.00,   11, 00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78989, 18980901, 21.00,    9, 00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78989, 18980901, 22.00,    9, 00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78989, 18980901, 23.00,    8, 00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78989, 18980901, 24.00,    7, 00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78989, 18980902, 01.00,    5, 00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78989, 18980902, 02.00,   10, 00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78989, 18980902, 03.00,   12, 00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78989, 18980902, 04.00,    9, 00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78989, 18980902, 05.00,    8, 00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78989, 18980902, 06.00,    6, 00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78989, 18980902, 07.00,    6, 00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78989, 18980902, 08.00,   10, 00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78989, 18980902, 09.00,   13, 00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78989, 18980902, 10.00,   13, 00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78989, 18980902, 11.00,   14, 00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78989, 18980902, 12.00,   14, 00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78989, 18980902, 13.00,   13, 00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78989, 18980902, 14.00,   14, 00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78989, 18980902, 15.00,   14, 00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78989, 18980902, 16.00,   14, 00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78989, 18980902, 17.00,   13, 00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78989, 18980902, 18.00,   12, 00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78989, 18980902, 19.00,   11, 00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78989, 18980902, 20.00,   12, 00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78989, 18980902, 21.00,   10, 00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78989, 18980902, 22.00,   11, 00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78989, 18980902, 23.00,   10, 00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78989, 18980902, 24.00,   10, 00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78989, 18980903, 01.00,   10, 00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78989, 18980903, 02.00,   10, 00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78989, 18980903, 03.00,   10, 00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78989, 18980903, 04.00,    8, 00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78989, 18980903, 05.00,    6, 00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78989, 18980903, 06.00,   10, 00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78989, 18980903, 07.00,   12, 00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78989, 18980903, 08.00,   14, 00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78989, 18980903, 09.00,   14, 00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78989, 18980903, 10.00,   14, 00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78989, 18980903, 11.00,   16, 00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78989, 18980903, 12.00,   16, 00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78989, 18980903, 13.00,   14, 00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78989, 18980903, 14.00,   16, 00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78989, 18980903, 15.00,   15, 00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78989, 18980903, 16.00,   17, 00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78989, 18980903, 17.00,   17, 00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78989, 18980903, 18.00,   17, 00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78989, 18980903, 19.00,   16, 00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78989, 18980903, 20.00,   15, 00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78989, 18980903, 21.00,   15, 00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78989, 18980903, 22.00,   14, 00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78989, 18980903, 23.00,   14, 00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78989, 18980903, 24.00,   11, 00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78989, 18980904, 01.00,   11, 00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78989, 18980904, 02.00,   10, 00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78989, 18980904, 03.00,    9, 00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78989, 18980904, 04.00,    9, 00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78989, 18980904, 05.00,    9, 00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78989, 18980904, 06.00,    9, 00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78989, 18980904, 07.00,   11, 00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78989, 18980904, 08.00,   14, 00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78989, 18980904, 09.00,   15, 00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78989, 18980904, 10.00,   14, 00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78989, 18980904, 11.00,   15, 00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78989, 18980904, 12.00,   16, 00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78989, 18980904, 13.00,   13, 00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78989, 18980904, 14.00,   13, 00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78989, 18980904, 15.00,   14, 00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78989, 18980904, 16.00,   16, 00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78989, 18980904, 17.00,   15, 00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78989, 18980904, 18.00,   13, 00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78989, 18980904, 19.00,   12, 00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78989, 18980904, 20.00,   13, 00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78989, 18980904, 21.00,   12, 00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78989, 18980904, 22.00,   10, 00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78989, 18980904, 23.00,    9, 00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78989, 18980904, 24.00,    9, 00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78989, 18980905, 01.00,    8, 00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78989, 18980905, 02.00,    8, 00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78989, 18980905, 03.00,    7, 00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78989, 18980905, 04.00,    7, 00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78989, 18980905, 05.00,    6, 00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78989, 18980905, 06.00,    5, 00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78989, 18980905, 07.00,    8, 00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78989, 18980905, 08.00,   10, 00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78989, 18980905, 09.00,   11, 00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78989, 18980905, 10.00,   14, 00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78989, 18980905, 11.00,   13, 00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78989, 18980905, 12.00,   11, 00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78989, 18980905, 13.00,   11, 00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78989, 18980905, 14.00,   11, 00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78989, 18980905, 15.00,   12, 00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78989, 18980905, 16.00,   13, 00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78989, 18980905, 17.00,   13, 00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78989, 18980905, 18.00,   12, 00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78989, 18980905, 19.00,   11, 00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78989, 18980905, 20.00,   11, 00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78989, 18980905, 21.00,   10, 00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78989, 18980905, 22.00,   11, 00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78989, 18980905, 23.00,    9, 00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78989, 18980905, 24.00,    9, 00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78989, 18980906, 01.00,    9, 00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78989, 18980906, 02.00,    8, 00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78989, 18980906, 03.00,   10, 00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78989, 18980906, 04.00,   10, 00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78989, 18980906, 05.00,    9, 00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78989, 18980906, 06.00,    9, 00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78989, 18980906, 07.00,   10, 00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78989, 18980906, 08.00,   12, 00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78989, 18980906, 09.00,   11, 00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78989, 18980906, 10.00,   11, 00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78989, 18980906, 11.00,   12, 00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78989, 18980906, 12.00,   11, 00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78989, 18980906, 13.00,   12, 00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78989, 18980906, 14.00,   13, 00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78989, 18980906, 15.00,   15, 00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78989, 18980906, 16.00,   14, 00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78989, 18980906, 17.00,   15, 00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78989, 18980906, 18.00,   13, 00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78989, 18980906, 19.00,   15, 00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78989, 18980906, 20.00,   12, 00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78989, 18980906, 21.00,   12, 00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78989, 18980906, 22.00,   10, 00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78989, 18980906, 23.00,    9, 00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78989, 18980906, 24.00,   10, 00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78989, 18980907, 01.00,    8, 00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78989, 18980907, 02.00,    8, 00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78989, 18980907, 03.00,    6, 00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78989, 18980907, 04.00,    8, 00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78989, 18980907, 05.00,    5, 00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78989, 18980907, 06.00,    5, 00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78989, 18980907, 07.00,    7, 00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78989, 18980907, 08.00,   12, 00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78989, 18980907, 09.00,   13, 00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78989, 18980907, 10.00,   13, 00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78989, 18980907, 11.00,   13, 00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78989, 18980907, 12.00,   13, 00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78989, 18980907, 13.00,   15, 00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78989, 18980907, 14.00,   11, 00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78989, 18980907, 15.00,   12, 00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78989, 18980907, 16.00,   11, 00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78989, 18980907, 17.00,   12, 00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78989, 18980907, 18.00,   11, 00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78989, 18980907, 19.00,   10, 00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78989, 18980907, 20.00,   10, 00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78989, 18980907, 21.00,    9, 00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78989, 18980907, 22.00,    9, 00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78989, 18980907, 23.00,    9, 00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78989, 18980907, 24.00,    9, 00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78989, 18980908, 01.00,    9, 00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78989, 18980908, 02.00,    7, 00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78989, 18980908, 03.00,    6, 00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78989, 18980908, 04.00,    5, 00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78989, 18980908, 05.00,    6, 00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78989, 18980908, 06.00,    4, 00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78989, 18980908, 07.00,    5, 00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78989, 18980908, 08.00,    6, 00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78989, 18980908, 09.00,    6, 00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78989, 18980908, 10.00,    7, 00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78989, 18980908, 11.00,   10, 00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78989, 18980908, 12.00,    9, 00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78989, 18980908, 13.00,    7, 00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78989, 18980908, 14.00,   11, 00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78989, 18980908, 15.00,   12, 00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78989, 18980908, 16.00,   13, 00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78989, 18980908, 17.00,   11, 00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78989, 18980908, 18.00,    9, 00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78989, 18980908, 19.00,    9, 00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78989, 18980908, 20.00,    5, 00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78989, 18980908, 21.00,    6, 00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78989, 18980908, 22.00,    6, 00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78989, 18980908, 23.00,    6, 00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78989, 18980908, 24.00,    6, 00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78989, 18980909, 01.00,    6, 00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78989, 18980909, 02.00,    6, 00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78989, 18980909, 03.00,    6, 00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78989, 18980909, 04.00,    8, 00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78989, 18980909, 05.00,    8, 00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78989, 18980909, 06.00,    9, 00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78989, 18980909, 07.00,    7, 00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78989, 18980909, 08.00,   10, 00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78989, 18980909, 09.00,   11, 00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78989, 18980909, 10.00,   11, 00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78989, 18980909, 11.00,   10, 00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78989, 18980909, 12.00,   10, 00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78989, 18980909, 13.00,    8, 00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78989, 18980909, 14.00,    9, 00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78989, 18980909, 15.00,   10, 00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78989, 18980909, 16.00,   13, 00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78989, 18980909, 17.00,   12, 00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78989, 18980909, 18.00,   12, 00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78989, 18980909, 19.00,   11, 00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78989, 18980909, 20.00,    9, 00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78989, 18980909, 21.00,   12, 00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78989, 18980909, 22.00,    9, 00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78989, 18980909, 23.00,    4, 00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78989, 18980909, 24.00,   10, 00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78989, 18980910, 01.00,    8, 00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78989, 18980910, 02.00,    9, 00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78989, 18980910, 03.00,    8, 00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78989, 18980910, 04.00,    8, 00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78989, 18980910, 05.00,    6, 00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78989, 18980910, 06.00,    5, 00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78989, 18980910, 07.00,    6, 00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78989, 18980910, 08.00,    8, 00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78989, 18980910, 09.00,   10, 00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78989, 18980910, 10.00,    9, 00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78989, 18980910, 11.00,    9, 00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78989, 18980910, 12.00,   13, 00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78989, 18980910, 13.00,   11, 00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78989, 18980910, 14.00,   11, 00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78989, 18980910, 15.00,   10, 00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78989, 18980910, 16.00,   10, 00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78989, 18980910, 17.00,    9, 00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78989, 18980910, 18.00,    8, 00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78989, 18980910, 19.00,    8, 00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78989, 18980910, 20.00,    7, 00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78989, 18980910, 21.00,    7, 00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78989, 18980910, 22.00,    6, 00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78989, 18980910, 23.00,    6, 00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78989, 18980910, 24.00,    5, 00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78989, 18980911, 01.00,    4, 00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78989, 18980911, 02.00,    3, 00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78989, 18980911, 03.00,    2, 00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78989, 18980911, 04.00,    4, 00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78989, 18980911, 05.00,    3, 00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78989, 18980911, 06.00,    3, 00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78989, 18980911, 07.00,    4, 00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78989, 18980911, 08.00,    5, 00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78989, 18980911, 09.00,    6, 00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78989, 18980911, 10.00,    7, 00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78989, 18980911, 11.00,    7, 00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78989, 18980911, 12.00,    2, 00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78989, 18980911, 13.00,    5, 00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78989, 18980911, 14.00,    9, 00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78989, 18980911, 15.00,    9, 00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78989, 18980911, 16.00,   10, 00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78989, 18980911, 17.00,    9, 00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78989, 18980911, 18.00,    7, 00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78989, 18980911, 19.00,    6, 00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78989, 18980911, 20.00,    3, 00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78989, 18980911, 21.00,    3, 00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78989, 18980911, 22.00,    3, 00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78989, 18980911, 23.00,    3, 00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78989, 18980911, 24.00,    3, 00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78989, 18980912, 01.00,    1, 00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78989, 18980912, 02.00,    2, 00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78989, 18980912, 03.00,    3, 00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78989, 18980912, 04.00,    4, 00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78989, 18980912, 05.00,    3, 00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78989, 18980912, 06.00,    3, 00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78989, 18980912, 07.00,    1, 00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78989, 18980912, 08.00,    3, 00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78989, 18980912, 09.00,    5, 00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78989, 18980912, 10.00,    8, 00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78989, 18980912, 11.00,    8, 00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78989, 18980912, 12.00,    8, 00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78989, 18980912, 13.00,    8, 00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78989, 18980912, 14.00,    6, 00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78989, 18980912, 15.00,    5, 00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78989, 18980912, 16.00,    3, 00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78989, 18980912, 17.00,   17, 00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78989, 18980912, 18.00,    9, 00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78989, 18980912, 19.00,    7, 00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78989, 18980912, 20.00,    7, 00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78989, 18980912, 21.00,    5, 00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78989, 18980912, 22.00,    7, 00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78989, 18980912, 23.00,    7, 00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78989, 18980912, 24.00,    7, 00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78989, 18980913, 01.00,    8, 00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78989, 18980913, 02.00,    5, 00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78989, 18980913, 03.00,    5, 00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78989, 18980913, 04.00,    7, 00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78989, 18980913, 05.00,    5, 00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78989, 18980913, 06.00,    3, 00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78989, 18980913, 07.00,    5, 00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78989, 18980913, 08.00,    6, 00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78989, 18980913, 09.00,    8, 00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78989, 18980913, 10.00,    8, 00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78989, 18980913, 11.00,    8, 00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78989, 18980913, 12.00,    6, 00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78989, 18980913, 13.00,    6, 00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78989, 18980913, 14.00,    7, 00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78989, 18980913, 15.00,    8, 00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78989, 18980913, 16.00,    5, 00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78989, 18980913, 17.00,    8, 00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78989, 18980913, 18.00,    8, 00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78989, 18980913, 19.00,    7, 00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78989, 18980913, 20.00,    6, 00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78989, 18980913, 21.00,    4, 00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78989, 18980913, 22.00,    5, 00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78989, 18980913, 23.00,    4, 00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78989, 18980913, 24.00,    4, 00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78989, 18980914, 01.00,    5, 00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78989, 18980914, 02.00,    3, 00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78989, 18980914, 03.00,    5, 00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78989, 18980914, 04.00,    4, 00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78989, 18980914, 05.00,    4, 00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78989, 18980914, 06.00,    2, 00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78989, 18980914, 07.00,    3, 00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78989, 18980914, 08.00,    7, 00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78989, 18980914, 09.00,    8, 00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78989, 18980914, 10.00,    8, 00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78989, 18980914, 11.00,    9, 00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78989, 18980914, 12.00,   10, 00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78989, 18980914, 13.00,    9, 00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78989, 18980914, 14.00,    6, 00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78989, 18980914, 15.00,    7, 00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78989, 18980914, 16.00,    5, 00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78989, 18980914, 17.00,    8, 00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78989, 18980914, 18.00,    8, 00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78989, 18980914, 19.00,    7, 00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78989, 18980914, 20.00,    8, 00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78989, 18980914, 21.00,    5, 00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78989, 18980914, 22.00,    5, 00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78989, 18980914, 23.00,    6, 00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78989, 18980914, 24.00,    5, 00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78989, 18980915, 01.00,    5, 00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78989, 18980915, 02.00,    4, 00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78989, 18980915, 03.00,    3, 00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78989, 18980915, 04.00,    3, 00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78989, 18980915, 05.00,    3, 00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78989, 18980915, 06.00,    3, 00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78989, 18980915, 07.00,    5, 00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78989, 18980915, 08.00,    7, 00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78989, 18980915, 09.00,   12, 00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78989, 18980915, 10.00,   11, 00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78989, 18980915, 11.00,   12, 00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78989, 18980915, 12.00,   10, 00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78989, 18980915, 13.00,   10, 00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78989, 18980915, 14.00,   10, 00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78989, 18980915, 15.00,   11, 00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78989, 18980915, 16.00,    8, 00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78989, 18980915, 17.00,   10, 00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78989, 18980915, 18.00,   11, 00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78989, 18980915, 19.00,   10, 00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78989, 18980915, 20.00,   10, 00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78989, 18980915, 21.00,    9, 00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78989, 18980915, 22.00,    8, 00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78989, 18980915, 23.00,    6, 00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78989, 18980915, 24.00,    8, 00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78989, 18980916, 01.00,    8, 00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78989, 18980916, 02.00,    7, 00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78989, 18980916, 03.00,    8, 00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78989, 18980916, 04.00,    8, 00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78989, 18980916, 05.00,    7, 00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78989, 18980916, 06.00,    6, 00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78989, 18980916, 07.00,    8, 00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78989, 18980916, 08.00,   11, 00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78989, 18980916, 09.00,   12, 00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78989, 18980916, 10.00,   15, 00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78989, 18980916, 11.00,   16, 00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78989, 18980916, 12.00,   14, 00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78989, 18980916, 13.00,   13, 00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78989, 18980916, 14.00,   12, 00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78989, 18980916, 15.00,   11, 00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78989, 18980916, 16.00,   12, 00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78989, 18980916, 17.00,   13, 00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78989, 18980916, 18.00,   12, 00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78989, 18980916, 19.00,   12, 00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78989, 18980916, 20.00,   11, 00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78989, 18980916, 21.00,   13, 00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78989, 18980916, 22.00,   11, 00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78989, 18980916, 23.00,   12, 00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78989, 18980916, 24.00,   11, 00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78989, 18980917, 01.00,   11, 00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78989, 18980917, 02.00,   10, 00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78989, 18980917, 03.00,   10, 00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78989, 18980917, 04.00,   10, 00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78989, 18980917, 05.00,   10, 00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78989, 18980917, 06.00,    8, 00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78989, 18980917, 07.00,    9, 00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78989, 18980917, 08.00,   12, 00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78989, 18980917, 09.00,   11, 00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78989, 18980917, 10.00,   13, 00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78989, 18980917, 11.00,   13, 00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78989, 18980917, 12.00,   15, 00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78989, 18980917, 13.00,   13, 00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78989, 18980917, 14.00,   17, 00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78989, 18980917, 15.00,   16, 00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78989, 18980917, 16.00,   16, 00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78989, 18980917, 17.00,   19, 00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78989, 18980917, 18.00,   16, 00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78989, 18980917, 19.00,   15, 00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78989, 18980917, 20.00,   14, 00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78989, 18980917, 21.00,   12, 00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78989, 18980917, 22.00,   12, 00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78989, 18980917, 23.00,   11, 00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78989, 18980917, 24.00,   12, 00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78989, 18980918, 01.00,   12, 00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78989, 18980918, 02.00,   11, 00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78989, 18980918, 03.00,   10, 00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78989, 18980918, 04.00,   10, 00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78989, 18980918, 05.00,    9, 00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78989, 18980918, 06.00,    9, 00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78989, 18980918, 07.00,   10, 00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78989, 18980918, 08.00,   12, 00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78989, 18980918, 09.00,   12, 00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78989, 18980918, 10.00,   13, 00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78989, 18980918, 11.00,   14, 00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78989, 18980918, 12.00,   13, 00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78989, 18980918, 13.00,   14, 00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78989, 18980918, 14.00,   12, 00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78989, 18980918, 15.00,   15, 00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78989, 18980918, 16.00,   16, 00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78989, 18980918, 17.00,   15, 00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78989, 18980918, 18.00,   14, 00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78989, 18980918, 19.00,   14, 00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78989, 18980918, 20.00,   13, 00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78989, 18980918, 21.00,   12, 00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78989, 18980918, 22.00,   14, 00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78989, 18980918, 23.00,   12, 00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78989, 18980918, 24.00,   10, 00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78989, 18980919, 01.00,   10, 00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78989, 18980919, 02.00,   12, 00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78989, 18980919, 03.00,   17, 00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78989, 18980919, 04.00,    4, 00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78989, 18980919, 05.00,    5, 00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78989, 18980919, 06.00,    6, 00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78989, 18980919, 07.00,    9, 00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78989, 18980919, 08.00,   11, 00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78989, 18980919, 09.00,   10, 00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78989, 18980919, 10.00,   10, 00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78989, 18980919, 11.00,   11, 00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78989, 18980919, 12.00,   10, 00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78989, 18980919, 13.00,   10, 00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78989, 18980919, 14.00,   10, 00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78989, 18980919, 15.00,   12, 00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78989, 18980919, 16.00,   11, 00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78989, 18980919, 17.00,   13, 00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78989, 18980919, 18.00,   13, 00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78989, 18980919, 19.00,    9, 00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78989, 18980919, 20.00,    9, 00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78989, 18980919, 21.00,    8, 00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78989, 18980919, 22.00,    7, 00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78989, 18980919, 23.00,    6, 00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78989, 18980919, 24.00,    7, 00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78989, 18980920, 01.00,    9, 00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78989, 18980920, 02.00,    7, 00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78989, 18980920, 03.00,    8, 00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78989, 18980920, 04.00,    8, 00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78989, 18980920, 05.00,   10, 00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78989, 18980920, 06.00,    9, 00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78989, 18980920, 07.00,    9, 00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78989, 18980920, 08.00,   11, 00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78989, 18980920, 09.00,   12, 00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78989, 18980920, 10.00,   13, 00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78989, 18980920, 11.00,   14, 00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78989, 18980920, 12.00,   13, 00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78989, 18980920, 13.00,   13, 00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78989, 18980920, 14.00,   12, 00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78989, 18980920, 15.00,   10, 00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78989, 18980920, 16.00,   11, 00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78989, 18980920, 17.00,   13, 00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78989, 18980920, 18.00,   12, 00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78989, 18980920, 19.00,   13, 00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78989, 18980920, 20.00,   14, 00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78989, 18980920, 21.00,   12, 00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78989, 18980920, 22.00,   10, 00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78989, 18980920, 23.00,    9, 00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78989, 18980920, 24.00,   10, 00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78989, 18980921, 01.00,    9, 00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78989, 18980921, 02.00,    8, 00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78989, 18980921, 03.00,    7, 00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78989, 18980921, 04.00,    9, 00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78989, 18980921, 05.00,    7, 00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78989, 18980921, 06.00,    7, 00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78989, 18980921, 07.00,    9, 00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78989, 18980921, 08.00,   11, 00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78989, 18980921, 09.00,   11, 00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78989, 18980921, 10.00,   11, 00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78989, 18980921, 11.00,   14, 00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78989, 18980921, 12.00,   12, 00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78989, 18980921, 13.00,   12, 00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78989, 18980921, 14.00,   10, 00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78989, 18980921, 15.00,   10, 00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78989, 18980921, 16.00,   10, 00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78989, 18980921, 17.00,   10, 00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78989, 18980921, 18.00,   11, 00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78989, 18980921, 19.00,   11, 00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78989, 18980921, 20.00,   10, 00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78989, 18980921, 21.00,   10, 00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78989, 18980921, 22.00,    7, 00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78989, 18980921, 23.00,    7, 00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78989, 18980921, 24.00,    5, 00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78989, 18980922, 01.00,    4, 00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78989, 18980922, 02.00,    5, 00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78989, 18980922, 03.00,    5, 00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78989, 18980922, 04.00,    6, 00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78989, 18980922, 05.00,    6, 00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78989, 18980922, 06.00,    4, 00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78989, 18980922, 07.00,    5, 00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78989, 18980922, 08.00,    8, 00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78989, 18980922, 09.00,    9, 00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78989, 18980922, 10.00,    9, 00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78989, 18980922, 11.00,    9, 00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78989, 18980922, 12.00,    7, 00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78989, 18980922, 13.00,    8, 00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78989, 18980922, 14.00,    6, 00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78989, 18980922, 15.00,    5, 00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78989, 18980922, 16.00,    6, 00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78989, 18980922, 17.00,    5, 00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78989, 18980922, 18.00,    7, 00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78989, 18980922, 19.00,    7, 00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78989, 18980922, 20.00,    5, 00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78989, 18980922, 21.00,    5, 00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78989, 18980922, 22.00,    2, 00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78989, 18980922, 23.00,    2, 00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78989, 18980922, 24.00,    2, 00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78989, 18980923, 01.00,    5, 00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78989, 18980923, 02.00,    7, 00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78989, 18980923, 03.00,    6, 00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78989, 18980923, 04.00,    3, 00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78989, 18980923, 05.00,    4, 00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78989, 18980923, 06.00,    4, 00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78989, 18980923, 07.00,    2, 00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78989, 18980923, 08.00,    8, 00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78989, 18980923, 09.00,    7, 00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78989, 18980923, 10.00,    9, 00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78989, 18980923, 11.00,    7, 00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78989, 18980923, 12.00,    5, 00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78989, 18980923, 13.00,    5, 00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78989, 18980923, 14.00,    4, 00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78989, 18980923, 15.00,    5, 00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78989, 18980923, 16.00,    5, 00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78989, 18980923, 17.00,    4, 00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78989, 18980923, 18.00,    5, 00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78989, 18980923, 19.00,    5, 00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78989, 18980923, 20.00,    6, 00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78989, 18980923, 21.00,    6, 00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78989, 18980923, 22.00,    7, 00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78989, 18980923, 23.00,    6, 00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78989, 18980923, 24.00,    7, 00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78989, 18980924, 01.00,    5, 00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78989, 18980924, 02.00,    4, 00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78989, 18980924, 03.00,    4, 00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78989, 18980924, 04.00,    4, 00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78989, 18980924, 05.00,    4, 00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78989, 18980924, 06.00,    6, 00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78989, 18980924, 07.00,    7, 00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78989, 18980924, 08.00,    9, 00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78989, 18980924, 09.00,   10, 00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78989, 18980924, 10.00,   12, 00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78989, 18980924, 11.00,   12, 00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78989, 18980924, 12.00,   12, 00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78989, 18980924, 13.00,   12, 00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78989, 18980924, 14.00,   13, 00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78989, 18980924, 15.00,   12, 00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78989, 18980924, 16.00,    8, 00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78989, 18980924, 17.00,    9, 00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78989, 18980924, 18.00,    9, 00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78989, 18980924, 19.00,    9, 00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78989, 18980924, 20.00,    8, 00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78989, 18980924, 21.00,    8, 00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78989, 18980924, 22.00,    8, 00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78989, 18980924, 23.00,    8, 00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78989, 18980924, 24.00,    7, 00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78989, 18980925, 01.00,    6, 00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78989, 18980925, 02.00,    6, 00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78989, 18980925, 03.00,    6, 00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78989, 18980925, 04.00,    7, 00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78989, 18980925, 05.00,    6, 00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78989, 18980925, 06.00,    6, 00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78989, 18980925, 07.00,    8, 00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78989, 18980925, 08.00,   12, 00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78989, 18980925, 09.00,   11, 00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78989, 18980925, 10.00,   13, 00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78989, 18980925, 11.00,   16, 00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78989, 18980925, 12.00,   15, 00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78989, 18980925, 13.00,   15, 00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78989, 18980925, 14.00,   14, 00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78989, 18980925, 15.00,   11, 00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78989, 18980925, 16.00,   12, 00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78989, 18980925, 17.00,   11, 00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78989, 18980925, 18.00,   11, 00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78989, 18980925, 19.00,   10, 00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78989, 18980925, 20.00,   10, 00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78989, 18980925, 21.00,   10, 00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78989, 18980925, 22.00,    9, 00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78989, 18980925, 23.00,   10, 00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78989, 18980925, 24.00,    9, 00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78989, 18980926, 01.00,    8, 00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78989, 18980926, 02.00,    9, 00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78989, 18980926, 03.00,    7, 00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78989, 18980926, 04.00,    5, 00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78989, 18980926, 05.00,    6, 00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78989, 18980926, 06.00,    6, 00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78989, 18980926, 07.00,    7, 00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78989, 18980926, 08.00,    9, 00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78989, 18980926, 09.00,   10, 00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78989, 18980926, 10.00,   11, 00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78989, 18980926, 11.00,   14, 00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78989, 18980926, 12.00,   13, 00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78989, 18980926, 13.00,   12, 00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78989, 18980926, 14.00,   12, 00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78989, 18980926, 15.00,   12, 00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78989, 18980926, 16.00,   11, 00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78989, 18980926, 17.00,   13, 00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78989, 18980926, 18.00,   12, 00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78989, 18980926, 19.00,   13, 00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78989, 18980926, 20.00,   13, 00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78989, 18980926, 21.00,    9, 00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78989, 18980926, 22.00,    8, 00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78989, 18980926, 23.00,    7, 00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78989, 18980926, 24.00,    8, 00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78989, 18980927, 01.00,    7, 00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78989, 18980927, 02.00,    7, 00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78989, 18980927, 03.00,    8, 00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78989, 18980927, 04.00,    7, 00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78989, 18980927, 05.00,    6, 00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78989, 18980927, 06.00,    4, 00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78989, 18980927, 07.00,    8, 00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78989, 18980927, 08.00,    8, 00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78989, 18980927, 09.00,   11, 00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78989, 18980927, 10.00,   12, 00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78989, 18980927, 11.00,   13, 00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78989, 18980927, 12.00,   12, 00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78989, 18980927, 13.00,   12, 00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78989, 18980927, 14.00,   11, 00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78989, 18980927, 15.00,   11, 00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78989, 18980927, 16.00,   11, 00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78989, 18980927, 17.00,   12, 00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78989, 18980927, 18.00,   12, 00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78989, 18980927, 19.00,   11, 00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78989, 18980927, 20.00,   10, 00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78989, 18980927, 21.00,   10, 00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78989, 18980927, 22.00,    8, 00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78989, 18980927, 23.00,    7, 00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78989, 18980927, 24.00,    6, 00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78989, 18980928, 01.00,    6, 00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78989, 18980928, 02.00,    6, 00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78989, 18980928, 03.00,    5, 00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78989, 18980928, 04.00,    6, 00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78989, 18980928, 05.00,    5, 00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78989, 18980928, 06.00,    5, 00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78989, 18980928, 07.00,    7, 00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78989, 18980928, 08.00,    7, 00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78989, 18980928, 09.00,   10, 00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78989, 18980928, 10.00,   12, 00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78989, 18980928, 11.00,   11, 00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78989, 18980928, 12.00,   13, 00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78989, 18980928, 13.00,   13, 00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78989, 18980928, 14.00,   10, 00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78989, 18980928, 15.00,   10, 00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78989, 18980928, 16.00,    9, 00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78989, 18980928, 17.00,   12, 00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78989, 18980928, 18.00,   11, 00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78989, 18980928, 19.00,   11, 00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78989, 18980928, 20.00,   10, 00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78989, 18980928, 21.00,    7, 00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78989, 18980928, 22.00,    5, 00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78989, 18980928, 23.00,    6, 00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78989, 18980928, 24.00,    5, 00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78989, 18980929, 01.00,    5, 00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78989, 18980929, 02.00,    4, 00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78989, 18980929, 03.00,    4, 00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78989, 18980929, 04.00,    5, 00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78989, 18980929, 05.00,    5, 00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78989, 18980929, 06.00,    3, 00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78989, 18980929, 07.00,    4, 00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78989, 18980929, 08.00,    6, 00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78989, 18980929, 09.00,    6, 00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78989, 18980929, 10.00,    9, 00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78989, 18980929, 11.00,   10, 00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78989, 18980929, 12.00,    8, 00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78989, 18980929, 13.00,    6, 00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78989, 18980929, 14.00,    7, 00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78989, 18980929, 15.00,    5, 00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78989, 18980929, 16.00,    9, 00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78989, 18980929, 17.00,   10, 00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78989, 18980929, 18.00,    6, 00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78989, 18980929, 19.00,    4, 00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78989, 18980929, 20.00,    4, 00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78989, 18980929, 21.00,    4, 00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78989, 18980929, 22.00,    3, 00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78989, 18980929, 23.00,    3, 00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78989, 18980929, 24.00,    4, 00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78989, 18980930, 01.00,    3, 00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78989, 18980930, 02.00,    2, 00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78989, 18980930, 03.00,    4, 00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78989, 18980930, 04.00,    2, 00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78989, 18980930, 05.00,    2, 00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78989, 18980930, 06.00,    2, 00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78989, 18980930, 07.00,    3, 00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78989, 18980930, 08.00,    4, 00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78989, 18980930, 09.00,    8, 00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78989, 18980930, 10.00,    7, 00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78989, 18980930, 11.00,    6, 00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78989, 18980930, 12.00,    6, 00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78989, 18980930, 13.00,    7, 00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78989, 18980930, 14.00,    5, 00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78989, 18980930, 15.00,    7, 00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78989, 18980930, 16.00,    7, 00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78989, 18980930, 17.00,    7, 00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78989, 18980930, 18.00,    7, 00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78989, 18980930, 19.00,    3, 00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78989, 18980930, 20.00,    5, 00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78989, 18980930, 21.00,    7, 00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78989, 18980930, 22.00,    7, 00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78989, 18980930, 23.00,    7, 00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78989, 18980930, 24.00,    5, 00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78989, 18981001, 01.00,    6, 00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78989, 18981001, 02.00,    6, 00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78989, 18981001, 03.00,    5, 00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78989, 18981001, 04.00,    5, 00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78989, 18981001, 05.00,    4, 00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78989, 18981001, 06.00,    2, 00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78989, 18981001, 07.00,    3, 00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78989, 18981001, 08.00,    5, 00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78989, 18981001, 09.00,    8, 00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78989, 18981001, 10.00,    9, 00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78989, 18981001, 11.00,   11, 00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78989, 18981001, 12.00,   10, 00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78989, 18981001, 13.00,   10, 00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78989, 18981001, 14.00,   10, 00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78989, 18981001, 15.00,   11, 00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78989, 18981001, 16.00,   12, 00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78989, 18981001, 17.00,   10, 00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78989, 18981001, 18.00,    9, 00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78989, 18981001, 19.00,   11, 00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78989, 18981001, 20.00,    8, 00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78989, 18981001, 21.00,    8, 00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78989, 18981001, 22.00,    6, 00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78989, 18981001, 23.00,    7, 00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78989, 18981001, 24.00,    6, 00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78989, 18981002, 01.00,    5, 00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78989, 18981002, 02.00,    5, 00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78989, 18981002, 03.00,    5, 00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78989, 18981002, 04.00,    5, 00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78989, 18981002, 05.00,    4, 00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78989, 18981002, 06.00,    5, 00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78989, 18981002, 07.00,    5, 00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78989, 18981002, 08.00,    7, 00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78989, 18981002, 09.00,    7, 00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78989, 18981002, 10.00,    9, 00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78989, 18981002, 11.00,    8, 00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78989, 18981002, 12.00,   10, 00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78989, 18981002, 13.00,    7, 00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78989, 18981002, 14.00,    5, 00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78989, 18981002, 15.00,    8, 00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78989, 18981002, 16.00,    6, 00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78989, 18981002, 17.00,    5, 00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78989, 18981002, 18.00,    5, 00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78989, 18981002, 19.00,    5, 00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78989, 18981002, 20.00,    6, 00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78989, 18981002, 21.00,    6, 00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78989, 18981002, 22.00,    4, 00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78989, 18981002, 23.00,    4, 00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78989, 18981002, 24.00,    4, 00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78989, 18981003, 01.00,    3, 00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78989, 18981003, 02.00,    4, 00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78989, 18981003, 03.00,    4, 00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78989, 18981003, 04.00,    3, 00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78989, 18981003, 05.00,    7, 00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78989, 18981003, 06.00,    6, 00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78989, 18981003, 07.00,    6, 00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78989, 18981003, 08.00,    9, 00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78989, 18981003, 09.00,    9, 00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78989, 18981003, 10.00,   11, 00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78989, 18981003, 11.00,   11, 00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78989, 18981003, 12.00,   12, 00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78989, 18981003, 13.00,   11, 00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78989, 18981003, 14.00,   12, 00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78989, 18981003, 15.00,    8, 00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78989, 18981003, 16.00,    8, 00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78989, 18981003, 17.00,    8, 00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78989, 18981003, 18.00,    9, 00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78989, 18981003, 19.00,    7, 00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78989, 18981003, 20.00,    8, 00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78989, 18981003, 21.00,    7, 00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78989, 18981003, 22.00,    6, 00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78989, 18981003, 23.00,    5, 00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78989, 18981003, 24.00,    5, 00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78989, 18981004, 01.00,    5, 00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78989, 18981004, 02.00,    4, 00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78989, 18981004, 03.00,    5, 00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78989, 18981004, 04.00,    6, 00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78989, 18981004, 05.00,    5, 00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78989, 18981004, 06.00,    5, 00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78989, 18981004, 07.00,    7, 00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78989, 18981004, 08.00,   10, 00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78989, 18981004, 09.00,   10, 00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78989, 18981004, 10.00,   11, 00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78989, 18981004, 11.00,   11, 00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78989, 18981004, 12.00,   14, 00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78989, 18981004, 13.00,   16, 00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78989, 18981004, 14.00,   13, 00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78989, 18981004, 15.00,   12, 00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78989, 18981004, 16.00,   12, 00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78989, 18981004, 17.00,   12, 00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78989, 18981004, 18.00,   10, 00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78989, 18981004, 19.00,   11, 00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78989, 18981004, 20.00,   10, 00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78989, 18981004, 21.00,   11, 00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78989, 18981004, 22.00,   10, 00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78989, 18981004, 23.00,   10, 00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78989, 18981004, 24.00,    9, 00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78989, 18981005, 01.00,    8, 00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78989, 18981005, 02.00,    9, 00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78989, 18981005, 03.00,    9, 00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78989, 18981005, 04.00,    9, 00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78989, 18981005, 05.00,    7, 00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78989, 18981005, 06.00,    9, 00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78989, 18981005, 07.00,   11, 00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78989, 18981005, 08.00,   10, 00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78989, 18981005, 09.00,   13, 00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78989, 18981005, 10.00,   13, 00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78989, 18981005, 11.00,   13, 00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78989, 18981005, 12.00,   10, 00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78989, 18981005, 13.00,    8, 00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78989, 18981005, 14.00,    8, 00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78989, 18981005, 15.00,    6, 00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78989, 18981005, 16.00,    6, 00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78989, 18981005, 17.00,    3, 00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78989, 18981005, 18.00,    2, 00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78989, 18981005, 19.00,    2, 00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78989, 18981005, 20.00,    2, 00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78989, 18981005, 21.00,    2, 00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78989, 18981005, 22.00,    1, 00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78989, 18981005, 23.00,    2, 00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78989, 18981005, 24.00,    1, 00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78989, 18981006, 01.00,    2, 00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78989, 18981006, 02.00,    1, 00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78989, 18981006, 03.00,    2, 00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78989, 18981006, 04.00,    2, 00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78989, 18981006, 05.00,    1, 00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78989, 18981006, 06.00,    2, 00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78989, 18981006, 07.00,    1, 00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78989, 18981006, 08.00,    3, 00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78989, 18981006, 09.00,    6, 00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78989, 18981006, 10.00,   10, 00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78989, 18981006, 11.00,   10, 00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78989, 18981006, 12.00,    9, 00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78989, 18981006, 13.00,   11, 00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78989, 18981006, 14.00,   12, 00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78989, 18981006, 15.00,   13, 00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78989, 18981006, 16.00,   11, 00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78989, 18981006, 17.00,   13, 00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78989, 18981006, 18.00,   10, 00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78989, 18981006, 19.00,   10, 00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78989, 18981006, 20.00,   12, 00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78989, 18981006, 21.00,   11, 00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78989, 18981006, 22.00,   11, 00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78989, 18981006, 23.00,   13, 00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78989, 18981006, 24.00,   13, 00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78989, 18981007, 01.00,   13, 00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78989, 18981007, 02.00,   11, 00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78989, 18981007, 03.00,   10, 00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78989, 18981007, 04.00,   11, 00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78989, 18981007, 05.00,   11, 00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78989, 18981007, 06.00,   10, 00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78989, 18981007, 07.00,   14, 00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78989, 18981007, 08.00,   15, 00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78989, 18981007, 09.00,   14, 00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78989, 18981007, 10.00,   16, 00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78989, 18981007, 11.00,   18, 00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78989, 18981007, 12.00,   16, 00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78989, 18981007, 13.00,   17, 00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78989, 18981007, 14.00,   16, 00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78989, 18981007, 15.00,   15, 00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78989, 18981007, 16.00,   14, 00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78989, 18981007, 17.00,   15, 00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78989, 18981007, 18.00,   15, 00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78989, 18981007, 19.00,   14, 00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78989, 18981007, 20.00,   14, 00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78989, 18981007, 21.00,   13, 00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78989, 18981007, 22.00,   13, 00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78989, 18981007, 23.00,   13, 00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78989, 18981007, 24.00,   10, 00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78989, 18981008, 01.00,   12, 00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78989, 18981008, 02.00,   11, 00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78989, 18981008, 03.00,   12, 00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78989, 18981008, 04.00,   10, 00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78989, 18981008, 05.00,   10, 00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78989, 18981008, 06.00,   10, 00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78989, 18981008, 07.00,   13, 00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78989, 18981008, 08.00,   14, 00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78989, 18981008, 09.00,   14, 00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78989, 18981008, 10.00,   15, 00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78989, 18981008, 11.00,   16, 00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78989, 18981008, 12.00,   16, 00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78989, 18981008, 13.00,   16, 00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78989, 18981008, 14.00,   15, 00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78989, 18981008, 15.00,   17, 00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78989, 18981008, 16.00,   18, 00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78989, 18981008, 17.00,   19, 00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78989, 18981008, 18.00,   16, 00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78989, 18981008, 19.00,   16, 00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78989, 18981008, 20.00,   17, 00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78989, 18981008, 21.00,   14, 00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78989, 18981008, 22.00,   13, 00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78989, 18981008, 23.00,   12, 00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78989, 18981008, 24.00,   12, 00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78989, 18981009, 01.00,   10, 00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78989, 18981009, 02.00,    9, 00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78989, 18981009, 03.00,    9, 00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78989, 18981009, 04.00,   10, 00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78989, 18981009, 05.00,    9, 00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78989, 18981009, 06.00,   10, 00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78989, 18981009, 07.00,   12, 00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78989, 18981009, 08.00,   14, 00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78989, 18981009, 09.00,   13, 00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78989, 18981009, 10.00,   14, 00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78989, 18981009, 11.00,   13, 00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78989, 18981009, 12.00,   16, 00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78989, 18981009, 13.00,   16, 00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78989, 18981009, 14.00,   13, 00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78989, 18981009, 15.00,   14, 00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78989, 18981009, 16.00,   15, 00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78989, 18981009, 17.00,   14, 00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78989, 18981009, 18.00,   15, 00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78989, 18981009, 19.00,   12, 00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78989, 18981009, 20.00,   11, 00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78989, 18981009, 21.00,   10, 00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78989, 18981009, 22.00,    9, 00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78989, 18981009, 23.00,    8, 00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78989, 18981009, 24.00,    8, 00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78989, 18981010, 01.00,    9, 00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78989, 18981010, 02.00,    7, 00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78989, 18981010, 03.00,    5, 00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78989, 18981010, 04.00,    9, 00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78989, 18981010, 05.00,    8, 00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78989, 18981010, 06.00,    5, 00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78989, 18981010, 07.00,    6, 00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78989, 18981010, 08.00,    8, 00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78989, 18981010, 09.00,   12, 00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78989, 18981010, 10.00,   10, 00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78989, 18981010, 11.00,   10, 00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78989, 18981010, 12.00,   12, 00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78989, 18981010, 13.00,   13, 00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78989, 18981010, 14.00,   13, 00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78989, 18981010, 15.00,   12, 00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78989, 18981010, 16.00,   11, 00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78989, 18981010, 17.00,   10, 00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78989, 18981010, 18.00,    9, 00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78989, 18981010, 19.00,    9, 00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78989, 18981010, 20.00,    7, 00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78989, 18981010, 21.00,    6, 00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78989, 18981010, 22.00,    7, 00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78989, 18981010, 23.00,    6, 00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78989, 18981010, 24.00,    8, 00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78989, 18981011, 01.00,    6, 00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78989, 18981011, 02.00,    5, 00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78989, 18981011, 03.00,    5, 00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78989, 18981011, 04.00,    6, 00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78989, 18981011, 05.00,    6, 00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78989, 18981011, 06.00,    5, 00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78989, 18981011, 07.00,    8, 00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78989, 18981011, 08.00,   10, 00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78989, 18981011, 09.00,   10, 00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78989, 18981011, 10.00,    9, 00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78989, 18981011, 11.00,   12, 00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78989, 18981011, 12.00,   14, 00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78989, 18981011, 13.00,   11, 00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78989, 18981011, 14.00,   10, 00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78989, 18981011, 15.00,   11, 00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78989, 18981011, 16.00,   11, 00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78989, 18981011, 17.00,   14, 00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78989, 18981011, 18.00,   13, 00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78989, 18981011, 19.00,   11, 00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78989, 18981011, 20.00,   12, 00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78989, 18981011, 21.00,    9, 00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78989, 18981011, 22.00,    8, 00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78989, 18981011, 23.00,    8, 00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78989, 18981011, 24.00,    8, 00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78989, 18981012, 01.00,    7, 00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78989, 18981012, 02.00,    8, 00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78989, 18981012, 03.00,    7, 00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78989, 18981012, 04.00,    8, 00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78989, 18981012, 05.00,    7, 00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78989, 18981012, 06.00,    7, 00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78989, 18981012, 07.00,    8, 00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78989, 18981012, 08.00,   11, 00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78989, 18981012, 09.00,   14, 00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78989, 18981012, 10.00,   14, 00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78989, 18981012, 11.00,   14, 00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78989, 18981012, 12.00,   15, 00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78989, 18981012, 13.00,   15, 00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78989, 18981012, 14.00,   14, 00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78989, 18981012, 15.00,   10, 00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78989, 18981012, 16.00,   10, 00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78989, 18981012, 17.00,   10, 00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78989, 18981012, 18.00,    9, 00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78989, 18981012, 19.00,    8, 00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78989, 18981012, 20.00,    7, 00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78989, 18981012, 21.00,    9, 00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78989, 18981012, 22.00,    8, 00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78989, 18981012, 23.00,    8, 00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78989, 18981012, 24.00,   10, 00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78989, 18981013, 01.00,    7, 00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78989, 18981013, 02.00,    7, 00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78989, 18981013, 03.00,    7, 00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78989, 18981013, 04.00,    8, 00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78989, 18981013, 05.00,    8, 00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78989, 18981013, 06.00,    7, 00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78989, 18981013, 07.00,    6, 00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78989, 18981013, 08.00,   10, 00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78989, 18981013, 09.00,   10, 00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78989, 18981013, 10.00,   11, 00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78989, 18981013, 11.00,   11, 00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78989, 18981013, 12.00,   10, 00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78989, 18981013, 13.00,    9, 00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78989, 18981013, 14.00,   11, 00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78989, 18981013, 15.00,   10, 00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78989, 18981013, 16.00,   12, 00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78989, 18981013, 17.00,   11, 00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78989, 18981013, 18.00,   11, 00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78989, 18981013, 19.00,   10, 00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78989, 18981013, 20.00,   11, 00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78989, 18981013, 21.00,   11, 00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78989, 18981013, 22.00,   10, 00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78989, 18981013, 23.00,   10, 00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78989, 18981013, 24.00,   10, 00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78989, 18981014, 01.00,    9, 00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78989, 18981014, 02.00,    9, 00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78989, 18981014, 03.00,    8, 00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78989, 18981014, 04.00,    6, 00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78989, 18981014, 05.00,    8, 00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78989, 18981014, 06.00,    9, 00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78989, 18981014, 07.00,   10, 00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78989, 18981014, 08.00,    9, 00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78989, 18981014, 09.00,   10, 00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78989, 18981014, 10.00,    8, 00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78989, 18981014, 11.00,   10, 00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78989, 18981014, 12.00,   11, 00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78989, 18981014, 13.00,   11, 00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78989, 18981014, 14.00,   10, 00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78989, 18981014, 15.00,   12, 00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78989, 18981014, 16.00,   12, 00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78989, 18981014, 17.00,   14, 00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78989, 18981014, 18.00,   14, 00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78989, 18981014, 19.00,   14, 00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78989, 18981014, 20.00,   14, 00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78989, 18981014, 21.00,   13, 00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78989, 18981014, 22.00,   12, 00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78989, 18981014, 23.00,   11, 00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78989, 18981014, 24.00,   10, 00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78989, 18981015, 01.00,    9, 00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78989, 18981015, 02.00,    7, 00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78989, 18981015, 03.00,   10, 00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78989, 18981015, 04.00,   10, 00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78989, 18981015, 05.00,   10, 00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78989, 18981015, 06.00,    9, 00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78989, 18981015, 07.00,   12, 00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78989, 18981015, 08.00,   15, 00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78989, 18981015, 09.00,   15, 00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78989, 18981015, 10.00,   13, 00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78989, 18981015, 11.00,   15, 00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78989, 18981015, 12.00,   15, 00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78989, 18981015, 13.00,   15, 00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78989, 18981015, 14.00,   15, 00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78989, 18981015, 15.00,   14, 00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78989, 18981015, 16.00,   16, 00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78989, 18981015, 17.00,   15, 00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78989, 18981015, 18.00,   13, 00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78989, 18981015, 19.00,   13, 00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78989, 18981015, 20.00,   11, 00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78989, 18981015, 21.00,    9, 00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78989, 18981015, 22.00,   11, 00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78989, 18981015, 23.00,   11, 00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78989, 18981015, 24.00,   10, 00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78989, 18981016, 01.00,    8, 00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78989, 18981016, 02.00,    8, 00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78989, 18981016, 03.00,    8, 00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78989, 18981016, 04.00,    7, 00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78989, 18981016, 05.00,    9, 00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78989, 18981016, 06.00,    6, 00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78989, 18981016, 07.00,   10, 00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78989, 18981016, 08.00,   13, 00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78989, 18981016, 09.00,   12, 00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78989, 18981016, 10.00,   14, 00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78989, 18981016, 11.00,   14, 00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78989, 18981016, 12.00,   15, 00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78989, 18981016, 13.00,   15, 00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78989, 18981016, 14.00,   14, 00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78989, 18981016, 15.00,   12, 00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78989, 18981016, 16.00,   14, 00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78989, 18981016, 17.00,   14, 00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78989, 18981016, 18.00,   13, 00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78989, 18981016, 19.00,   12, 00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78989, 18981016, 20.00,   13, 00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78989, 18981016, 21.00,   12, 00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78989, 18981016, 22.00,   13, 00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78989, 18981016, 23.00,   11, 00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78989, 18981016, 24.00,   10, 00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78989, 18981017, 01.00,    9, 00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78989, 18981017, 02.00,   10, 00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78989, 18981017, 03.00,    9, 00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78989, 18981017, 04.00,    8, 00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78989, 18981017, 05.00,   10, 00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78989, 18981017, 06.00,    9, 00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78989, 18981017, 07.00,   11, 00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78989, 18981017, 08.00,   14, 00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78989, 18981017, 09.00,   14, 00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78989, 18981017, 10.00,   15, 00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78989, 18981017, 11.00,   14, 00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78989, 18981017, 12.00,   17, 00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78989, 18981017, 13.00,   16, 00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78989, 18981017, 14.00,   14, 00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78989, 18981017, 15.00,   18, 00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78989, 18981017, 16.00,   18, 00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78989, 18981017, 17.00,   18, 00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78989, 18981017, 18.00,   16, 00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78989, 18981017, 19.00,   15, 00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78989, 18981017, 20.00,   14, 00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78989, 18981017, 21.00,   14, 00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78989, 18981017, 22.00,   14, 00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78989, 18981017, 23.00,   12, 00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78989, 18981017, 24.00,   11, 00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78989, 18981018, 01.00,   10, 00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78989, 18981018, 02.00,   11, 00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78989, 18981018, 03.00,   11, 00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78989, 18981018, 04.00,   13, 00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78989, 18981018, 05.00,   12, 00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78989, 18981018, 06.00,   14, 00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78989, 18981018, 07.00,    9, 00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78989, 18981018, 08.00,   14, 00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78989, 18981018, 09.00,   13, 00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78989, 18981018, 10.00,   14, 00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78989, 18981018, 11.00,   16, 00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78989, 18981018, 12.00,   14, 00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78989, 18981018, 13.00,   15, 00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78989, 18981018, 14.00,   15, 00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78989, 18981018, 15.00,   18, 00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78989, 18981018, 16.00,   17, 00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78989, 18981018, 17.00,   16, 00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78989, 18981018, 18.00,   14, 00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78989, 18981018, 19.00,   14, 00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78989, 18981018, 20.00,   13, 00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78989, 18981018, 21.00,   12, 00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78989, 18981018, 22.00,   10, 00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78989, 18981018, 23.00,   11, 00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78989, 18981018, 24.00,   10, 00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78989, 18981019, 01.00,   11, 00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78989, 18981019, 02.00,   12, 00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78989, 18981019, 03.00,   11, 00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78989, 18981019, 04.00,   10, 00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78989, 18981019, 05.00,   10, 00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78989, 18981019, 06.00,   10, 00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78989, 18981019, 07.00,   11, 00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78989, 18981019, 08.00,   13, 00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78989, 18981019, 09.00,   14, 00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78989, 18981019, 10.00,   12, 00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78989, 18981019, 11.00,   13, 00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78989, 18981019, 12.00,   14, 00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78989, 18981019, 13.00,   17, 00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78989, 18981019, 14.00,   17, 00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78989, 18981019, 15.00,   18, 00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78989, 18981019, 16.00,   18, 00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78989, 18981019, 17.00,   15, 00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78989, 18981019, 18.00,   15, 00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78989, 18981019, 19.00,   15, 00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78989, 18981019, 20.00,   15, 00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78989, 18981019, 21.00,   13, 00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78989, 18981019, 22.00,   13, 00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78989, 18981019, 23.00,   13, 00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78989, 18981019, 24.00,   11, 00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78989, 18981020, 01.00,   11, 00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78989, 18981020, 02.00,   10, 00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78989, 18981020, 03.00,   11, 00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78989, 18981020, 04.00,    8, 00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78989, 18981020, 05.00,    8, 00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78989, 18981020, 06.00,    8, 00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78989, 18981020, 07.00,    9, 00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78989, 18981020, 08.00,   13, 00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78989, 18981020, 09.00,   12, 00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78989, 18981020, 10.00,   17, 00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78989, 18981020, 11.00,   15, 00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78989, 18981020, 12.00,   15, 00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78989, 18981020, 13.00,   15, 00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78989, 18981020, 14.00,   16, 00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78989, 18981020, 15.00,   16, 00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78989, 18981020, 16.00,   14, 00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78989, 18981020, 17.00,   14, 00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78989, 18981020, 18.00,   13, 00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78989, 18981020, 19.00,   13, 00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78989, 18981020, 20.00,   12, 00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78989, 18981020, 21.00,   15, 00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78989, 18981020, 22.00,   12, 00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78989, 18981020, 23.00,    9, 00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78989, 18981020, 24.00,    9, 00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78989, 18981021, 01.00,    8, 00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78989, 18981021, 02.00,    7, 00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78989, 18981021, 03.00,    9, 00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78989, 18981021, 04.00,    8, 00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78989, 18981021, 05.00,    7, 00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78989, 18981021, 06.00,    6, 00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78989, 18981021, 07.00,    8, 00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78989, 18981021, 08.00,   13, 00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78989, 18981021, 09.00,   13, 00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78989, 18981021, 10.00,   13, 00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78989, 18981021, 11.00,   12, 00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78989, 18981021, 12.00,   13, 00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78989, 18981021, 13.00,   14, 00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78989, 18981021, 14.00,   12, 00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78989, 18981021, 15.00,   13, 00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78989, 18981021, 16.00,   13, 00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78989, 18981021, 17.00,   11, 00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78989, 18981021, 18.00,   12, 00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78989, 18981021, 19.00,   10, 00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78989, 18981021, 20.00,   10, 00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78989, 18981021, 21.00,   10, 00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78989, 18981021, 22.00,    8, 00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78989, 18981021, 23.00,    6, 00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78989, 18981021, 24.00,    5, 00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78989, 18981022, 01.00,    5, 00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78989, 18981022, 02.00,    4, 00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78989, 18981022, 03.00,    5, 00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78989, 18981022, 04.00,    4, 00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78989, 18981022, 05.00,    7, 00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78989, 18981022, 06.00,    4, 00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78989, 18981022, 07.00,    5, 00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78989, 18981022, 08.00,    8, 00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78989, 18981022, 09.00,   11, 00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78989, 18981022, 10.00,   11, 00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78989, 18981022, 11.00,   12, 00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78989, 18981022, 12.00,   13, 00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78989, 18981022, 13.00,    9, 00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78989, 18981022, 14.00,    9, 00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78989, 18981022, 15.00,    8, 00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78989, 18981022, 16.00,   10, 00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78989, 18981022, 17.00,    9, 00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78989, 18981022, 18.00,    7, 00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78989, 18981022, 19.00,    6, 00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78989, 18981022, 20.00,    5, 00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78989, 18981022, 21.00,    6, 00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78989, 18981022, 22.00,    4, 00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78989, 18981022, 23.00,    4, 00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78989, 18981022, 24.00,    3, 00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78989, 18981023, 01.00,    4, 00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78989, 18981023, 02.00,    4, 00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78989, 18981023, 03.00,    2, 00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78989, 18981023, 04.00,    5, 00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78989, 18981023, 05.00,    3, 00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78989, 18981023, 06.00,    4, 00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78989, 18981023, 07.00,    3, 00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78989, 18981023, 08.00,    3, 00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78989, 18981023, 09.00,    2, 00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78989, 18981023, 10.00,    8, 00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78989, 18981023, 11.00,    7, 00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78989, 18981023, 12.00,    8, 00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78989, 18981023, 13.00,    7, 00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78989, 18981023, 14.00,   11, 00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78989, 18981023, 15.00,    8, 00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78989, 18981023, 16.00,    7, 00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78989, 18981023, 17.00,    6, 00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78989, 18981023, 18.00,    5, 00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78989, 18981023, 19.00,    4, 00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78989, 18981023, 20.00,    4, 00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78989, 18981023, 21.00,    6, 00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78989, 18981023, 22.00,    4, 00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78989, 18981023, 23.00,    5, 00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78989, 18981023, 24.00,    7, 00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78989, 18981024, 01.00,    6, 00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78989, 18981024, 02.00,    5, 00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78989, 18981024, 03.00,    5, 00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78989, 18981024, 04.00,    7, 00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78989, 18981024, 05.00,    6, 00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78989, 18981024, 06.00,    8, 00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78989, 18981024, 07.00,    8, 00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78989, 18981024, 08.00,   12, 00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78989, 18981024, 09.00,   11, 00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78989, 18981024, 10.00,   15, 00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78989, 18981024, 11.00,   14, 00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78989, 18981024, 12.00,   14, 00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78989, 18981024, 13.00,   12, 00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78989, 18981024, 14.00,   14, 00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78989, 18981024, 15.00,   13, 00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78989, 18981024, 16.00,   12, 00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78989, 18981024, 17.00,   10, 00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78989, 18981024, 18.00,    9, 00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78989, 18981024, 19.00,    9, 00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78989, 18981024, 20.00,    8, 00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78989, 18981024, 21.00,    7, 00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78989, 18981024, 22.00,    7, 00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78989, 18981024, 23.00,    7, 00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78989, 18981024, 24.00,    6, 00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78989, 18981025, 01.00,    3, 00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78989, 18981025, 02.00,    3, 00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78989, 18981025, 03.00,    4, 00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78989, 18981025, 04.00,    3, 00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78989, 18981025, 05.00,    5, 00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78989, 18981025, 06.00,    6, 00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78989, 18981025, 07.00,    5, 00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78989, 18981025, 08.00,   10, 00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78989, 18981025, 09.00,   12, 00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78989, 18981025, 10.00,   11, 00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78989, 18981025, 11.00,   12, 00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78989, 18981025, 12.00,   13, 00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78989, 18981025, 13.00,   11, 00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78989, 18981025, 14.00,   12, 00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78989, 18981025, 15.00,   12, 00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78989, 18981025, 16.00,    9, 00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78989, 18981025, 17.00,   10, 00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78989, 18981025, 18.00,    9, 00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78989, 18981025, 19.00,    8, 00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78989, 18981025, 20.00,   10, 00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78989, 18981025, 21.00,   10, 00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78989, 18981025, 22.00,    9, 00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78989, 18981025, 23.00,    6, 00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78989, 18981025, 24.00,    8, 00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78989, 18981026, 01.00,    6, 00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78989, 18981026, 02.00,    6, 00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78989, 18981026, 03.00,    8, 00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78989, 18981026, 04.00,    6, 00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78989, 18981026, 05.00,    6, 00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78989, 18981026, 06.00,    7, 00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78989, 18981026, 07.00,    8, 00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78989, 18981026, 08.00,   10, 00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78989, 18981026, 09.00,   11, 00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78989, 18981026, 10.00,   10, 00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78989, 18981026, 11.00,   10, 00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78989, 18981026, 12.00,   13, 00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78989, 18981026, 13.00,   12, 00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78989, 18981026, 14.00,   12, 00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78989, 18981026, 15.00,   11, 00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78989, 18981026, 16.00,   12, 00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78989, 18981026, 17.00,   10, 00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78989, 18981026, 18.00,   10, 00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78989, 18981026, 19.00,    9, 00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78989, 18981026, 20.00,    7, 00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78989, 18981026, 21.00,    8, 00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78989, 18981026, 22.00,    6, 00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78989, 18981026, 23.00,    6, 00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78989, 18981026, 24.00,    4, 00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78989, 18981027, 01.00,    5, 00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78989, 18981027, 02.00,    5, 00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78989, 18981027, 03.00,    4, 00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78989, 18981027, 04.00,    4, 00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78989, 18981027, 05.00,    5, 00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78989, 18981027, 06.00,    5, 00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78989, 18981027, 07.00,    5, 00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78989, 18981027, 08.00,    8, 00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78989, 18981027, 09.00,   11, 00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78989, 18981027, 10.00,   12, 00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78989, 18981027, 11.00,   12, 00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78989, 18981027, 12.00,   12, 00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78989, 18981027, 13.00,   14, 00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78989, 18981027, 14.00,   10, 00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78989, 18981027, 15.00,   11, 00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78989, 18981027, 16.00,   11, 00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78989, 18981027, 17.00,   11, 00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78989, 18981027, 18.00,    9, 00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78989, 18981027, 19.00,    8, 00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78989, 18981027, 20.00,    7, 00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78989, 18981027, 21.00,    7, 00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78989, 18981027, 22.00,    4, 00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78989, 18981027, 23.00,    5, 00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78989, 18981027, 24.00,    5, 00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78989, 18981028, 01.00,    5, 00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78989, 18981028, 02.00,    6, 00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78989, 18981028, 03.00,   10, 00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78989, 18981028, 04.00,    9, 00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78989, 18981028, 05.00,    5, 00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78989, 18981028, 06.00,    4, 00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78989, 18981028, 07.00,    4, 00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78989, 18981028, 08.00,    7, 00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78989, 18981028, 09.00,    9, 00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78989, 18981028, 10.00,   12, 00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78989, 18981028, 11.00,   11, 00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78989, 18981028, 12.00,   13, 00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78989, 18981028, 13.00,   11, 00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78989, 18981028, 14.00,   12, 00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78989, 18981028, 15.00,   10, 00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78989, 18981028, 16.00,   11, 00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78989, 18981028, 17.00,   10, 00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78989, 18981028, 18.00,    9, 00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78989, 18981028, 19.00,    8, 00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78989, 18981028, 20.00,    5, 00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78989, 18981028, 21.00,    8, 00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78989, 18981028, 22.00,    6, 00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78989, 18981028, 23.00,    5, 00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78989, 18981028, 24.00,    4, 00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78989, 18981029, 01.00,    4, 00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78989, 18981029, 02.00,    5, 00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78989, 18981029, 03.00,    5, 00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78989, 18981029, 04.00,    6, 00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78989, 18981029, 05.00,    6, 00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78989, 18981029, 06.00,    6, 00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78989, 18981029, 07.00,    8, 00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78989, 18981029, 08.00,   12, 00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78989, 18981029, 09.00,   11, 00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78989, 18981029, 10.00,   12, 00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78989, 18981029, 11.00,   14, 00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78989, 18981029, 12.00,   14, 00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78989, 18981029, 13.00,   11, 00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78989, 18981029, 14.00,   11, 00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78989, 18981029, 15.00,   11, 00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78989, 18981029, 16.00,   12, 00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78989, 18981029, 17.00,   10, 00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78989, 18981029, 18.00,    8, 00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78989, 18981029, 19.00,    9, 00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78989, 18981029, 20.00,   10, 00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78989, 18981029, 21.00,    9, 00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78989, 18981029, 22.00,    7, 00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78989, 18981029, 23.00,    6, 00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78989, 18981029, 24.00,    6, 00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78989, 18981030, 01.00,    7, 00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78989, 18981030, 02.00,   10, 00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78989, 18981030, 03.00,    7, 00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78989, 18981030, 04.00,    7, 00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78989, 18981030, 05.00,    8, 00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78989, 18981030, 06.00,    7, 00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78989, 18981030, 07.00,    8, 00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78989, 18981030, 08.00,   10, 00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78989, 18981030, 09.00,   11, 00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78989, 18981030, 10.00,   14, 00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78989, 18981030, 11.00,   14, 00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78989, 18981030, 12.00,   13, 00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78989, 18981030, 13.00,   14, 00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78989, 18981030, 14.00,   14, 00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78989, 18981030, 15.00,   16, 00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78989, 18981030, 16.00,   15, 00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78989, 18981030, 17.00,   15, 00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78989, 18981030, 18.00,   14, 00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78989, 18981030, 19.00,   12, 00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78989, 18981030, 20.00,   12, 00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78989, 18981030, 21.00,   12, 00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78989, 18981030, 22.00,   10, 00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78989, 18981030, 23.00,   10, 00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78989, 18981030, 24.00,   10, 00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78989, 18981031, 01.00,   10, 00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78989, 18981031, 02.00,   10, 00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78989, 18981031, 03.00,   10, 00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78989, 18981031, 04.00,   10, 00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78989, 18981031, 05.00,   11, 00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78989, 18981031, 06.00,   10, 00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78989, 18981031, 07.00,   10, 00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78989, 18981031, 08.00,   13, 00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78989, 18981031, 09.00,   13, 00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78989, 18981031, 10.00,   12, 00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78989, 18981031, 11.00,   14, 00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78989, 18981031, 12.00,   14, 00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78989, 18981031, 13.00,   12, 00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78989, 18981031, 14.00,   13, 00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78989, 18981031, 15.00,   12, 00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78989, 18981031, 16.00,   14, 00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78989, 18981031, 17.00,   13, 00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78989, 18981031, 18.00,   13, 00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78989, 18981031, 19.00,   14, 00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78989, 18981031, 20.00,   15, 00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78989, 18981031, 21.00,   11, 00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78989, 18981031, 22.00,    9, 00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78989, 18981031, 23.00,    9, 00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78989, 18981031, 24.00,    9, 00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78989, 18981101, 01.00,    7, 00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78989, 18981101, 02.00,    7, 00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78989, 18981101, 03.00,    6, 00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78989, 18981101, 04.00,    6, 00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78989, 18981101, 05.00,    6, 00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78989, 18981101, 06.00,    6, 00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78989, 18981101, 07.00,    9, 00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78989, 18981101, 08.00,   14, 00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78989, 18981101, 09.00,   17, 00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78989, 18981101, 10.00,   14, 00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78989, 18981101, 11.00,   15, 00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78989, 18981101, 12.00,   15, 00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78989, 18981101, 13.00,   15, 00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78989, 18981101, 14.00,   12, 00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78989, 18981101, 15.00,   12, 00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78989, 18981101, 16.00,   12, 00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78989, 18981101, 17.00,   12, 00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78989, 18981101, 18.00,   12, 00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78989, 18981101, 19.00,    9, 00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78989, 18981101, 20.00,    8, 00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78989, 18981101, 21.00,    9, 00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78989, 18981101, 22.00,    9, 00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78989, 18981101, 23.00,    7, 00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78989, 18981101, 24.00,    8, 00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78989, 18981102, 01.00,    8, 00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78989, 18981102, 02.00,    7, 00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78989, 18981102, 03.00,    5, 00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78989, 18981102, 04.00,    6, 00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78989, 18981102, 05.00,    5, 00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78989, 18981102, 06.00,    6, 00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78989, 18981102, 07.00,    5, 00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78989, 18981102, 08.00,    6, 00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78989, 18981102, 09.00,    7, 00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78989, 18981102, 10.00,   10, 00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78989, 18981102, 11.00,    9, 00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78989, 18981102, 12.00,   10, 00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78989, 18981102, 13.00,   11, 00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78989, 18981102, 14.00,   11, 00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78989, 18981102, 15.00,    8, 00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78989, 18981102, 16.00,   10, 00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78989, 18981102, 17.00,    8, 00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78989, 18981102, 18.00,    7, 00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78989, 18981102, 19.00,    5, 00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78989, 18981102, 20.00,    7, 00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78989, 18981102, 21.00,    7, 00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78989, 18981102, 22.00,    6, 00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78989, 18981102, 23.00,    6, 00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78989, 18981102, 24.00,    6, 00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78989, 18981103, 01.00,    6, 00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78989, 18981103, 02.00,    5, 00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78989, 18981103, 03.00,    5, 00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78989, 18981103, 04.00,    5, 00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78989, 18981103, 05.00,    5, 00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78989, 18981103, 06.00,    4, 00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78989, 18981103, 07.00,    6, 00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78989, 18981103, 08.00,    9, 00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78989, 18981103, 09.00,   11, 00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78989, 18981103, 10.00,   10, 00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78989, 18981103, 11.00,   11, 00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78989, 18981103, 12.00,   11, 00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78989, 18981103, 13.00,   12, 00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78989, 18981103, 14.00,   11, 00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78989, 18981103, 15.00,   10, 00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78989, 18981103, 16.00,   10, 00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78989, 18981103, 17.00,   11, 00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78989, 18981103, 18.00,   10, 00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78989, 18981103, 19.00,   10, 00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78989, 18981103, 20.00,    9, 00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78989, 18981103, 21.00,   11, 00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78989, 18981103, 22.00,    8, 00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78989, 18981103, 23.00,    5, 00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78989, 18981103, 24.00,    5, 00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78989, 18981104, 01.00,    6, 00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78989, 18981104, 02.00,    4, 00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78989, 18981104, 03.00,    4, 00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78989, 18981104, 04.00,    5, 00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78989, 18981104, 05.00,    6, 00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78989, 18981104, 06.00,    5, 00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78989, 18981104, 07.00,    5, 00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78989, 18981104, 08.00,    8, 00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78989, 18981104, 09.00,   11, 00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78989, 18981104, 10.00,   11, 00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78989, 18981104, 11.00,   11, 00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78989, 18981104, 12.00,   11, 00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78989, 18981104, 13.00,   10, 00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78989, 18981104, 14.00,   10, 00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78989, 18981104, 15.00,    9, 00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78989, 18981104, 16.00,    7, 00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78989, 18981104, 17.00,    6, 00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78989, 18981104, 18.00,    6, 00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78989, 18981104, 19.00,    5, 00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78989, 18981104, 20.00,    5, 00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78989, 18981104, 21.00,    6, 00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78989, 18981104, 22.00,    6, 00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78989, 18981104, 23.00,    7, 00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78989, 18981104, 24.00,    6, 00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78989, 18981105, 01.00,    4, 00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78989, 18981105, 02.00,    3, 00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78989, 18981105, 03.00,    5, 00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78989, 18981105, 04.00,    4, 00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78989, 18981105, 05.00,    4, 00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78989, 18981105, 06.00,    5, 00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78989, 18981105, 07.00,    6, 00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78989, 18981105, 08.00,    8, 00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78989, 18981105, 09.00,   10, 00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78989, 18981105, 10.00,   10, 00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78989, 18981105, 11.00,   11, 00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78989, 18981105, 12.00,   10, 00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78989, 18981105, 13.00,   10, 00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78989, 18981105, 14.00,   11, 00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78989, 18981105, 15.00,    9, 00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78989, 18981105, 16.00,    8, 00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78989, 18981105, 17.00,    8, 00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78989, 18981105, 18.00,    6, 00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78989, 18981105, 19.00,    9, 00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78989, 18981105, 20.00,    9, 00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78989, 18981105, 21.00,    7, 00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78989, 18981105, 22.00,   10, 00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78989, 18981105, 23.00,    6, 00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78989, 18981105, 24.00,    5, 00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78989, 18981106, 01.00,    4, 00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78989, 18981106, 02.00,    5, 00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78989, 18981106, 03.00,    5, 00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78989, 18981106, 04.00,    4, 00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78989, 18981106, 05.00,    4, 00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78989, 18981106, 06.00,    5, 00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78989, 18981106, 07.00,    5, 00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78989, 18981106, 08.00,    6, 00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78989, 18981106, 09.00,    5, 00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78989, 18981106, 10.00,    8, 00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78989, 18981106, 11.00,    8, 00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78989, 18981106, 12.00,    7, 00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78989, 18981106, 13.00,    4, 00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78989, 18981106, 14.00,    8, 00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78989, 18981106, 15.00,    9, 00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78989, 18981106, 16.00,   10, 00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78989, 18981106, 17.00,    8, 00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78989, 18981106, 18.00,    7, 00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78989, 18981106, 19.00,    7, 00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78989, 18981106, 20.00,    8, 00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78989, 18981106, 21.00,    7, 00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78989, 18981106, 22.00,    7, 00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78989, 18981106, 23.00,    6, 00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78989, 18981106, 24.00,    5, 00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78989, 18981107, 01.00,    5, 00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78989, 18981107, 02.00,    2, 00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78989, 18981107, 03.00,    3, 00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78989, 18981107, 04.00,    4, 00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78989, 18981107, 05.00,    3, 00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78989, 18981107, 06.00,    3, 00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78989, 18981107, 07.00,    2, 00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78989, 18981107, 08.00,    4, 00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78989, 18981107, 09.00,    6, 00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78989, 18981107, 10.00,    6, 00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78989, 18981107, 11.00,    7, 00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78989, 18981107, 12.00,    8, 00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78989, 18981107, 13.00,    8, 00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78989, 18981107, 14.00,   10, 00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78989, 18981107, 15.00,    9, 00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78989, 18981107, 16.00,   11, 00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78989, 18981107, 17.00,   11, 00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78989, 18981107, 18.00,   12, 00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78989, 18981107, 19.00,   11, 00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78989, 18981107, 20.00,   11, 00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78989, 18981107, 21.00,   12, 00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78989, 18981107, 22.00,   11, 00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78989, 18981107, 23.00,   11, 00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78989, 18981107, 24.00,    9, 00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78989, 18981108, 01.00,    8, 00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78989, 18981108, 02.00,    8, 00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78989, 18981108, 03.00,    9, 00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78989, 18981108, 04.00,    6, 00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78989, 18981108, 05.00,    7, 00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78989, 18981108, 06.00,    4, 00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78989, 18981108, 07.00,    5, 00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78989, 18981108, 08.00,    8, 00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78989, 18981108, 09.00,    7, 00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78989, 18981108, 10.00,    6, 00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78989, 18981108, 11.00,    5, 00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78989, 18981108, 12.00,    7, 00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78989, 18981108, 13.00,    8, 00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78989, 18981108, 14.00,   10, 00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78989, 18981108, 15.00,   10, 00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78989, 18981108, 16.00,   12, 00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78989, 18981108, 17.00,   11, 00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78989, 18981108, 18.00,   10, 00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78989, 18981108, 19.00,   11, 00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78989, 18981108, 20.00,   13, 00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78989, 18981108, 21.00,   11, 00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78989, 18981108, 22.00,    9, 00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78989, 18981108, 23.00,   10, 00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78989, 18981108, 24.00,   10, 00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78989, 18981109, 01.00,    8, 00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78989, 18981109, 02.00,    9, 00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78989, 18981109, 03.00,    8, 00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78989, 18981109, 04.00,    6, 00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78989, 18981109, 05.00,    7, 00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78989, 18981109, 06.00,    9, 00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78989, 18981109, 07.00,    9, 00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78989, 18981109, 08.00,   11, 00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78989, 18981109, 09.00,   11, 00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78989, 18981109, 10.00,   10, 00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78989, 18981109, 11.00,    7, 00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78989, 18981109, 12.00,   11, 00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78989, 18981109, 13.00,   11, 00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78989, 18981109, 14.00,   11, 00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78989, 18981109, 15.00,    9, 00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78989, 18981109, 16.00,   13, 00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78989, 18981109, 17.00,   13, 00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78989, 18981109, 18.00,   11, 00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78989, 18981109, 19.00,   11, 00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78989, 18981109, 20.00,   11, 00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78989, 18981109, 21.00,   13, 00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78989, 18981109, 22.00,   10, 00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78989, 18981109, 23.00,    9, 00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78989, 18981109, 24.00,   10, 00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78989, 18981110, 01.00,    8, 00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78989, 18981110, 02.00,    6, 00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78989, 18981110, 03.00,    7, 00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78989, 18981110, 04.00,    9, 00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78989, 18981110, 05.00,    8, 00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78989, 18981110, 06.00,    7, 00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78989, 18981110, 07.00,    8, 00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78989, 18981110, 08.00,   11, 00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78989, 18981110, 09.00,    9, 00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78989, 18981110, 10.00,    8, 00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78989, 18981110, 11.00,    9, 00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78989, 18981110, 12.00,    8, 00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78989, 18981110, 13.00,   10, 00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78989, 18981110, 14.00,   11, 00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78989, 18981110, 15.00,    8, 00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78989, 18981110, 16.00,   10, 00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78989, 18981110, 17.00,   10, 00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78989, 18981110, 18.00,   12, 00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78989, 18981110, 19.00,   10, 00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78989, 18981110, 20.00,   10, 00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78989, 18981110, 21.00,    8, 00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78989, 18981110, 22.00,   10, 00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78989, 18981110, 23.00,    8, 00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78989, 18981110, 24.00,    9, 00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78989, 18981111, 01.00,    7, 00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78989, 18981111, 02.00,    7, 00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78989, 18981111, 03.00,    5, 00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78989, 18981111, 04.00,    5, 00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78989, 18981111, 05.00,    7, 00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78989, 18981111, 06.00,    6, 00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78989, 18981111, 07.00,    5, 00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78989, 18981111, 08.00,    7, 00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78989, 18981111, 09.00,    9, 00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78989, 18981111, 10.00,    8, 00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78989, 18981111, 11.00,   10, 00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78989, 18981111, 12.00,   11, 00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78989, 18981111, 13.00,   11, 00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78989, 18981111, 14.00,   11, 00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78989, 18981111, 15.00,   13, 00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78989, 18981111, 16.00,   13, 00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78989, 18981111, 17.00,   13, 00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78989, 18981111, 18.00,   14, 00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78989, 18981111, 19.00,   11, 00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78989, 18981111, 20.00,   12, 00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78989, 18981111, 21.00,   13, 00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78989, 18981111, 22.00,   11, 00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78989, 18981111, 23.00,    9, 00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78989, 18981111, 24.00,    7, 00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78989, 18981112, 01.00,    8, 00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78989, 18981112, 02.00,    6, 00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78989, 18981112, 03.00,    5, 00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78989, 18981112, 04.00,    4, 00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78989, 18981112, 05.00,    6, 00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78989, 18981112, 06.00,    6, 00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78989, 18981112, 07.00,    8, 00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78989, 18981112, 08.00,   11, 00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78989, 18981112, 09.00,   11, 00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78989, 18981112, 10.00,   11, 00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78989, 18981112, 11.00,    8, 00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78989, 18981112, 12.00,   12, 00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78989, 18981112, 13.00,   13, 00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78989, 18981112, 14.00,   13, 00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78989, 18981112, 15.00,   11, 00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78989, 18981112, 16.00,   10, 00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78989, 18981112, 17.00,    9, 00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78989, 18981112, 18.00,    9, 00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78989, 18981112, 19.00,   11, 00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78989, 18981112, 20.00,   12, 00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78989, 18981112, 21.00,   10, 00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78989, 18981112, 22.00,   12, 00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78989, 18981112, 23.00,   11, 00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78989, 18981112, 24.00,   12, 00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78989, 18981113, 01.00,   12, 00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78989, 18981113, 02.00,   10, 00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78989, 18981113, 03.00,   10, 00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78989, 18981113, 04.00,   10, 00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78989, 18981113, 05.00,   10, 00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78989, 18981113, 06.00,   10, 00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78989, 18981113, 07.00,    9, 00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78989, 18981113, 08.00,   13, 00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78989, 18981113, 09.00,   13, 00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78989, 18981113, 10.00,   15, 00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78989, 18981113, 11.00,   15, 00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78989, 18981113, 12.00,   16, 00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78989, 18981113, 13.00,   13, 00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78989, 18981113, 14.00,   16, 00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78989, 18981113, 15.00,   16, 00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78989, 18981113, 16.00,   15, 00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78989, 18981113, 17.00,   15, 00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78989, 18981113, 18.00,   13, 00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78989, 18981113, 19.00,   13, 00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78989, 18981113, 20.00,   12, 00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78989, 18981113, 21.00,   14, 00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78989, 18981113, 22.00,   13, 00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78989, 18981113, 23.00,   13, 00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78989, 18981113, 24.00,   13, 00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78989, 18981114, 01.00,   12, 00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78989, 18981114, 02.00,   13, 00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78989, 18981114, 03.00,   11, 00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78989, 18981114, 04.00,   12, 00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78989, 18981114, 05.00,   13, 00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78989, 18981114, 06.00,   12, 00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78989, 18981114, 07.00,   13, 00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78989, 18981114, 08.00,   14, 00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78989, 18981114, 09.00,   15, 00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78989, 18981114, 10.00,   15, 00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78989, 18981114, 11.00,   16, 00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78989, 18981114, 12.00,   16, 00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78989, 18981114, 13.00,   15, 00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78989, 18981114, 14.00,   15, 00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78989, 18981114, 15.00,   15, 00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78989, 18981114, 16.00,   15, 00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78989, 18981114, 17.00,   16, 00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78989, 18981114, 18.00,   14, 00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78989, 18981114, 19.00,   12, 00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78989, 18981114, 20.00,   11, 00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78989, 18981114, 21.00,   10, 00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78989, 18981114, 22.00,    9, 00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78989, 18981114, 23.00,    8, 00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78989, 18981114, 24.00,    8, 00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78989, 18981115, 01.00,   10, 00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78989, 18981115, 02.00,   10, 00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78989, 18981115, 03.00,    8, 00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78989, 18981115, 04.00,    9, 00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78989, 18981115, 05.00,    9, 00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78989, 18981115, 06.00,   11, 00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78989, 18981115, 07.00,    9, 00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78989, 18981115, 08.00,   11, 00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78989, 18981115, 09.00,   14, 00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78989, 18981115, 10.00,   14, 00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78989, 18981115, 11.00,   14, 00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78989, 18981115, 12.00,   15, 00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78989, 18981115, 13.00,   13, 00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78989, 18981115, 14.00,   13, 00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78989, 18981115, 15.00,   13, 00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78989, 18981115, 16.00,   12, 00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78989, 18981115, 17.00,   12, 00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78989, 18981115, 18.00,   11, 00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78989, 18981115, 19.00,   13, 00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78989, 18981115, 20.00,   12, 00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78989, 18981115, 21.00,   12, 00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78989, 18981115, 22.00,   12, 00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78989, 18981115, 23.00,   11, 00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78989, 18981115, 24.00,   11, 00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78989, 18981116, 01.00,   10, 00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78989, 18981116, 02.00,    9, 00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78989, 18981116, 03.00,   10, 00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78989, 18981116, 04.00,   11, 00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78989, 18981116, 05.00,   13, 00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78989, 18981116, 06.00,   13, 00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78989, 18981116, 07.00,   12, 00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78989, 18981116, 08.00,   14, 00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78989, 18981116, 09.00,   14, 00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78989, 18981116, 10.00,   13, 00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78989, 18981116, 11.00,   12, 00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78989, 18981116, 12.00,   13, 00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78989, 18981116, 13.00,   13, 00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78989, 18981116, 14.00,   11, 00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78989, 18981116, 15.00,   12, 00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78989, 18981116, 16.00,   13, 00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78989, 18981116, 17.00,   13, 00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78989, 18981116, 18.00,   11, 00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78989, 18981116, 19.00,   11, 00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78989, 18981116, 20.00,   10, 00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78989, 18981116, 21.00,   12, 00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78989, 18981116, 22.00,   13, 00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78989, 18981116, 23.00,   12, 00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78989, 18981116, 24.00,   11, 00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78989, 18981117, 01.00,   10, 00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78989, 18981117, 02.00,   11, 00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78989, 18981117, 03.00,   11, 00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78989, 18981117, 04.00,   10, 00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78989, 18981117, 05.00,   10, 00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78989, 18981117, 06.00,   10, 00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78989, 18981117, 07.00,   12, 00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78989, 18981117, 08.00,   13, 00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78989, 18981117, 09.00,   13, 00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78989, 18981117, 10.00,   13, 00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78989, 18981117, 11.00,   12, 00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78989, 18981117, 12.00,   13, 00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78989, 18981117, 13.00,   12, 00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78989, 18981117, 14.00,   13, 00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78989, 18981117, 15.00,   11, 00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78989, 18981117, 16.00,   14, 00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78989, 18981117, 17.00,   12, 00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78989, 18981117, 18.00,   10, 00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78989, 18981117, 19.00,   11, 00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78989, 18981117, 20.00,   10, 00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78989, 18981117, 21.00,   10, 00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78989, 18981117, 22.00,   13, 00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78989, 18981117, 23.00,   11, 00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78989, 18981117, 24.00,    7, 00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78989, 18981118, 01.00,   12, 00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78989, 18981118, 02.00,   11, 00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78989, 18981118, 03.00,    9, 00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78989, 18981118, 04.00,   10, 00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78989, 18981118, 05.00,   11, 00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78989, 18981118, 06.00,   10, 00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78989, 18981118, 07.00,    9, 00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78989, 18981118, 08.00,   12, 00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78989, 18981118, 09.00,   12, 00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78989, 18981118, 10.00,   13, 00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78989, 18981118, 11.00,   12, 00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78989, 18981118, 12.00,   13, 00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78989, 18981118, 13.00,   12, 00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78989, 18981118, 14.00,   12, 00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78989, 18981118, 15.00,   13, 00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78989, 18981118, 16.00,   12, 00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78989, 18981118, 17.00,   11, 00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78989, 18981118, 18.00,    9, 00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78989, 18981118, 19.00,    9, 00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78989, 18981118, 20.00,   10, 00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78989, 18981118, 21.00,   10, 00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78989, 18981118, 22.00,   11, 00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78989, 18981118, 23.00,    9, 00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78989, 18981118, 24.00,    8, 00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78989, 18981119, 01.00,    7, 00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78989, 18981119, 02.00,    6, 00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78989, 18981119, 03.00,    6, 00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78989, 18981119, 04.00,    7, 00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78989, 18981119, 05.00,    8, 00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78989, 18981119, 06.00,    9, 00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78989, 18981119, 07.00,    9, 00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78989, 18981119, 08.00,   10, 00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78989, 18981119, 09.00,   12, 00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78989, 18981119, 10.00,   11, 00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78989, 18981119, 11.00,   12, 00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78989, 18981119, 12.00,   13, 00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78989, 18981119, 13.00,   12, 00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78989, 18981119, 14.00,   11, 00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78989, 18981119, 15.00,   11, 00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78989, 18981119, 16.00,   11, 00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78989, 18981119, 17.00,   10, 00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78989, 18981119, 18.00,    9, 00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78989, 18981119, 19.00,    9, 00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78989, 18981119, 20.00,   10, 00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78989, 18981119, 21.00,    8, 00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78989, 18981119, 22.00,    6, 00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78989, 18981119, 23.00,    6, 00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78989, 18981119, 24.00,    6, 00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78989, 18981120, 01.00,    5, 00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78989, 18981120, 02.00,    4, 00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78989, 18981120, 03.00,    5, 00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78989, 18981120, 04.00,    4, 00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78989, 18981120, 05.00,    3, 00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78989, 18981120, 06.00,    6, 00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78989, 18981120, 07.00,    4, 00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78989, 18981120, 08.00,    8, 00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78989, 18981120, 09.00,   11, 00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78989, 18981120, 10.00,   10, 00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78989, 18981120, 11.00,   11, 00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78989, 18981120, 12.00,   11, 00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78989, 18981120, 13.00,   10, 00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78989, 18981120, 14.00,   10, 00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78989, 18981120, 15.00,    9, 00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78989, 18981120, 16.00,    9, 00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78989, 18981120, 17.00,    8, 00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78989, 18981120, 18.00,    7, 00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78989, 18981120, 19.00,    6, 00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78989, 18981120, 20.00,    6, 00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78989, 18981120, 21.00,    8, 00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78989, 18981120, 22.00,    7, 00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78989, 18981120, 23.00,    6, 00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78989, 18981120, 24.00,    7, 00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78989, 18981121, 01.00,    7, 00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78989, 18981121, 02.00,    4, 00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78989, 18981121, 03.00,    5, 00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78989, 18981121, 04.00,    5, 00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78989, 18981121, 05.00,    5, 00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78989, 18981121, 06.00,    5, 00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78989, 18981121, 07.00,    6, 00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78989, 18981121, 08.00,    9, 00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78989, 18981121, 09.00,   10, 00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78989, 18981121, 10.00,   10, 00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78989, 18981121, 11.00,   11, 00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78989, 18981121, 12.00,   13, 00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78989, 18981121, 13.00,   12, 00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78989, 18981121, 14.00,   12, 00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78989, 18981121, 15.00,   13, 00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78989, 18981121, 16.00,   13, 00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78989, 18981121, 17.00,   12, 00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78989, 18981121, 18.00,   10, 00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78989, 18981121, 19.00,    9, 00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78989, 18981121, 20.00,    9, 00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78989, 18981121, 21.00,    9, 00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78989, 18981121, 22.00,    9, 00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78989, 18981121, 23.00,    8, 00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78989, 18981121, 24.00,    8, 00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78989, 18981122, 01.00,    8, 00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78989, 18981122, 02.00,    9, 00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78989, 18981122, 03.00,    8, 00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78989, 18981122, 04.00,    7, 00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78989, 18981122, 05.00,    6, 00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78989, 18981122, 06.00,    5, 00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78989, 18981122, 07.00,    7, 00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78989, 18981122, 08.00,   11, 00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78989, 18981122, 09.00,   11, 00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78989, 18981122, 10.00,   13, 00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78989, 18981122, 11.00,   13, 00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78989, 18981122, 12.00,   15, 00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78989, 18981122, 13.00,   12, 00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78989, 18981122, 14.00,   12, 00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78989, 18981122, 15.00,   12, 00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78989, 18981122, 16.00,   12, 00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78989, 18981122, 17.00,    9, 00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78989, 18981122, 18.00,   11, 00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78989, 18981122, 19.00,   11, 00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78989, 18981122, 20.00,   15, 00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78989, 18981122, 21.00,   15, 00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78989, 18981122, 22.00,   12, 00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78989, 18981122, 23.00,    9, 00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78989, 18981122, 24.00,    2, 00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78989, 18981123, 01.00,    3, 00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78989, 18981123, 02.00,    4, 00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78989, 18981123, 03.00,    4, 00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78989, 18981123, 04.00,    5, 00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78989, 18981123, 05.00,   10, 00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78989, 18981123, 06.00,   12, 00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78989, 18981123, 07.00,   12, 00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78989, 18981123, 08.00,   10, 00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78989, 18981123, 09.00,   11, 00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78989, 18981123, 10.00,   11, 00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78989, 18981123, 11.00,    9, 00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78989, 18981123, 12.00,   11, 00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78989, 18981123, 13.00,   14, 00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78989, 18981123, 14.00,   15, 00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78989, 18981123, 15.00,   14, 00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78989, 18981123, 16.00,   15, 00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78989, 18981123, 17.00,   11, 00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78989, 18981123, 18.00,   10, 00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78989, 18981123, 19.00,   10, 00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78989, 18981123, 20.00,   10, 00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78989, 18981123, 21.00,   10, 00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78989, 18981123, 22.00,   11, 00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78989, 18981123, 23.00,   10, 00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78989, 18981123, 24.00,    9, 00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78989, 18981124, 01.00,   10, 00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78989, 18981124, 02.00,    7, 00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78989, 18981124, 03.00,    6, 00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78989, 18981124, 04.00,    7, 00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78989, 18981124, 05.00,    8, 00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78989, 18981124, 06.00,    7, 00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78989, 18981124, 07.00,    8, 00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78989, 18981124, 08.00,   11, 00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78989, 18981124, 09.00,   13, 00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78989, 18981124, 10.00,   13, 00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78989, 18981124, 11.00,   13, 00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78989, 18981124, 12.00,   13, 00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78989, 18981124, 13.00,   12, 00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78989, 18981124, 14.00,   12, 00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78989, 18981124, 15.00,   12, 00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78989, 18981124, 16.00,   13, 00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78989, 18981124, 17.00,   12, 00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78989, 18981124, 18.00,   10, 00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78989, 18981124, 19.00,   10, 00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78989, 18981124, 20.00,   11, 00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78989, 18981124, 21.00,   10, 00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78989, 18981124, 22.00,   11, 00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78989, 18981124, 23.00,   11, 00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78989, 18981124, 24.00,   11, 00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78989, 18981125, 01.00,    9, 00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78989, 18981125, 02.00,   10, 00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78989, 18981125, 03.00,    7, 00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78989, 18981125, 04.00,    8, 00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78989, 18981125, 05.00,    6, 00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78989, 18981125, 06.00,    8, 00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78989, 18981125, 07.00,    8, 00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78989, 18981125, 08.00,   11, 00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78989, 18981125, 09.00,   11, 00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78989, 18981125, 10.00,   11, 00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78989, 18981125, 11.00,   12, 00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78989, 18981125, 12.00,   14, 00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78989, 18981125, 13.00,   12, 00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78989, 18981125, 14.00,   14, 00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78989, 18981125, 15.00,   13, 00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78989, 18981125, 16.00,   15, 00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78989, 18981125, 17.00,   15, 00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78989, 18981125, 18.00,   13, 00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78989, 18981125, 19.00,   14, 00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78989, 18981125, 20.00,   11, 00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78989, 18981125, 21.00,   11, 00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78989, 18981125, 22.00,   13, 00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78989, 18981125, 23.00,   12, 00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78989, 18981125, 24.00,   13, 00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78989, 18981126, 01.00,   11, 00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78989, 18981126, 02.00,   10, 00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78989, 18981126, 03.00,   11, 00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78989, 18981126, 04.00,   10, 00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78989, 18981126, 05.00,   11, 00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78989, 18981126, 06.00,    9, 00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78989, 18981126, 07.00,   10, 00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78989, 18981126, 08.00,   15, 00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78989, 18981126, 09.00,   17, 00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78989, 18981126, 10.00,   15, 00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78989, 18981126, 11.00,   15, 00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78989, 18981126, 12.00,   18, 00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78989, 18981126, 13.00,   17, 00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78989, 18981126, 14.00,   16, 00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78989, 18981126, 15.00,   16, 00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78989, 18981126, 16.00,   16, 00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78989, 18981126, 17.00,   13, 00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78989, 18981126, 18.00,   12, 00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78989, 18981126, 19.00,   10, 00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78989, 18981126, 20.00,   11, 00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78989, 18981126, 21.00,   11, 00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78989, 18981126, 22.00,   10, 00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78989, 18981126, 23.00,    9, 00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78989, 18981126, 24.00,    9, 00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78989, 18981127, 01.00,    7, 00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78989, 18981127, 02.00,    8, 00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78989, 18981127, 03.00,    6, 00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78989, 18981127, 04.00,    6, 00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78989, 18981127, 05.00,    7, 00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78989, 18981127, 06.00,    8, 00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78989, 18981127, 07.00,    6, 00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78989, 18981127, 08.00,   10, 00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78989, 18981127, 09.00,   12, 00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78989, 18981127, 10.00,   14, 00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78989, 18981127, 11.00,   12, 00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78989, 18981127, 12.00,   14, 00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78989, 18981127, 13.00,   13, 00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78989, 18981127, 14.00,   13, 00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78989, 18981127, 15.00,   14, 00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78989, 18981127, 16.00,   13, 00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78989, 18981127, 17.00,   12, 00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78989, 18981127, 18.00,   10, 00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78989, 18981127, 19.00,    9, 00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78989, 18981127, 20.00,   10, 00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78989, 18981127, 21.00,   10, 00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78989, 18981127, 22.00,    8, 00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78989, 18981127, 23.00,    8, 00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78989, 18981127, 24.00,    8, 00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78989, 18981128, 01.00,    7, 00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78989, 18981128, 02.00,    7, 00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78989, 18981128, 03.00,    6, 00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78989, 18981128, 04.00,    7, 00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78989, 18981128, 05.00,    5, 00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78989, 18981128, 06.00,    7, 00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78989, 18981128, 07.00,    7, 00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78989, 18981128, 08.00,   11, 00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78989, 18981128, 09.00,   13, 00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78989, 18981128, 10.00,   12, 00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78989, 18981128, 11.00,   12, 00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78989, 18981128, 12.00,   13, 00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78989, 18981128, 13.00,   13, 00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78989, 18981128, 14.00,   13, 00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78989, 18981128, 15.00,   11, 00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78989, 18981128, 16.00,   10, 00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78989, 18981128, 17.00,    9, 00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78989, 18981128, 18.00,    7, 00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78989, 18981128, 19.00,    6, 00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78989, 18981128, 20.00,    8, 00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78989, 18981128, 21.00,    8, 00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78989, 18981128, 22.00,    8, 00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78989, 18981128, 23.00,    8, 00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78989, 18981128, 24.00,    7, 00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78989, 18981129, 01.00,    6, 00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78989, 18981129, 02.00,    5, 00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78989, 18981129, 03.00,    6, 00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78989, 18981129, 04.00,    5, 00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78989, 18981129, 05.00,    5, 00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78989, 18981129, 06.00,    6, 00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78989, 18981129, 07.00,    4, 00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78989, 18981129, 08.00,    9, 00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78989, 18981129, 09.00,   13, 00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78989, 18981129, 10.00,   12, 00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78989, 18981129, 11.00,   11, 00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78989, 18981129, 12.00,   12, 00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78989, 18981129, 13.00,   12, 00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78989, 18981129, 14.00,   12, 00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78989, 18981129, 15.00,   13, 00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78989, 18981129, 16.00,   14, 00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78989, 18981129, 17.00,   13, 00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78989, 18981129, 18.00,   11, 00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78989, 18981129, 19.00,   12, 00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78989, 18981129, 20.00,   12, 00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78989, 18981129, 21.00,   12, 00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78989, 18981129, 22.00,   11, 00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78989, 18981129, 23.00,   11, 00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78989, 18981129, 24.00,   10, 00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78989, 18981130, 01.00,   10, 00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78989, 18981130, 02.00,   11, 00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78989, 18981130, 03.00,    8, 00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78989, 18981130, 04.00,   10, 00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78989, 18981130, 05.00,   11, 00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78989, 18981130, 06.00,    9, 00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78989, 18981130, 07.00,   11, 00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78989, 18981130, 08.00,   14, 00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78989, 18981130, 09.00,   14, 00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78989, 18981130, 10.00,   16, 00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78989, 18981130, 11.00,   16, 00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78989, 18981130, 12.00,   16, 00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78989, 18981130, 13.00,   16, 00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78989, 18981130, 14.00,   16, 00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78989, 18981130, 15.00,   16, 00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78989, 18981130, 16.00,   15, 00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78989, 18981130, 17.00,   14, 00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78989, 18981130, 18.00,   13, 00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78989, 18981130, 19.00,   11, 00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78989, 18981130, 20.00,   12, 00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78989, 18981130, 21.00,   10, 00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78989, 18981130, 22.00,   12, 00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78989, 18981130, 23.00,   11, 00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78989, 18981130, 24.00,   11, 00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78989, 18981201, 01.00,   11, 00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78989, 18981201, 02.00,   10, 00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78989, 18981201, 03.00,   11, 00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78989, 18981201, 04.00,   12, 00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78989, 18981201, 05.00,   11, 00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78989, 18981201, 06.00,   12, 00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78989, 18981201, 07.00,   14, 00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78989, 18981201, 08.00,   16, 00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78989, 18981201, 09.00,   17, 00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78989, 18981201, 10.00,   17, 00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78989, 18981201, 11.00,   17, 00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78989, 18981201, 12.00,   16, 00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78989, 18981201, 13.00,   16, 00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78989, 18981201, 14.00,   17, 00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78989, 18981201, 15.00,   15, 00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78989, 18981201, 16.00,   15, 00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78989, 18981201, 17.00,   14, 00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78989, 18981201, 18.00,   11, 00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78989, 18981201, 19.00,   12, 00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78989, 18981201, 20.00,   12, 00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78989, 18981201, 21.00,   12, 00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78989, 18981201, 22.00,   11, 00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78989, 18981201, 23.00,   10, 00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78989, 18981201, 24.00,   12, 00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78989, 18981202, 01.00,   10, 00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78989, 18981202, 02.00,   11, 00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78989, 18981202, 03.00,   10, 00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78989, 18981202, 04.00,   10, 00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78989, 18981202, 05.00,   11, 00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78989, 18981202, 06.00,   10, 00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78989, 18981202, 07.00,   11, 00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78989, 18981202, 08.00,   13, 00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78989, 18981202, 09.00,   14, 00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78989, 18981202, 10.00,   15, 00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78989, 18981202, 11.00,   16, 00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78989, 18981202, 12.00,   16, 00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78989, 18981202, 13.00,   16, 00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78989, 18981202, 14.00,   18, 00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78989, 18981202, 15.00,   17, 00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78989, 18981202, 16.00,   15, 00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78989, 18981202, 17.00,   16, 00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78989, 18981202, 18.00,   14, 00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78989, 18981202, 19.00,   14, 00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78989, 18981202, 20.00,   15, 00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78989, 18981202, 21.00,   15, 00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78989, 18981202, 22.00,   12, 00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78989, 18981202, 23.00,   13, 00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78989, 18981202, 24.00,   12, 00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78989, 18981203, 01.00,   11, 00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78989, 18981203, 02.00,   11, 00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78989, 18981203, 03.00,   11, 00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78989, 18981203, 04.00,   11, 00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78989, 18981203, 05.00,   10, 00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78989, 18981203, 06.00,   11, 00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78989, 18981203, 07.00,   10, 00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78989, 18981203, 08.00,   13, 00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78989, 18981203, 09.00,   14, 00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78989, 18981203, 10.00,   15, 00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78989, 18981203, 11.00,   17, 00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78989, 18981203, 12.00,   16, 00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78989, 18981203, 13.00,   17, 00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78989, 18981203, 14.00,   16, 00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78989, 18981203, 15.00,   15, 00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78989, 18981203, 16.00,   14, 00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78989, 18981203, 17.00,   13, 00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78989, 18981203, 18.00,   11, 00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78989, 18981203, 19.00,   12, 00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78989, 18981203, 20.00,   12, 00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78989, 18981203, 21.00,   11, 00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78989, 18981203, 22.00,   11, 00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78989, 18981203, 23.00,    9, 00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78989, 18981203, 24.00,   11, 00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78989, 18981204, 01.00,   11, 00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78989, 18981204, 02.00,    8, 00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78989, 18981204, 03.00,   10, 00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78989, 18981204, 04.00,    8, 00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78989, 18981204, 05.00,    8, 00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78989, 18981204, 06.00,    9, 00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78989, 18981204, 07.00,   10, 00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78989, 18981204, 08.00,   14, 00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78989, 18981204, 09.00,   14, 00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78989, 18981204, 10.00,   16, 00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78989, 18981204, 11.00,   14, 00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78989, 18981204, 12.00,   16, 00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78989, 18981204, 13.00,   15, 00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78989, 18981204, 14.00,   14, 00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78989, 18981204, 15.00,   16, 00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78989, 18981204, 16.00,   14, 00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78989, 18981204, 17.00,   12, 00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78989, 18981204, 18.00,   11, 00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78989, 18981204, 19.00,    9, 00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78989, 18981204, 20.00,    9, 00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78989, 18981204, 21.00,    9, 00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78989, 18981204, 22.00,    6, 00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78989, 18981204, 23.00,    5, 00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78989, 18981204, 24.00,    6, 00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78989, 18981205, 01.00,    5, 00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78989, 18981205, 02.00,    6, 00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78989, 18981205, 03.00,    6, 00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78989, 18981205, 04.00,    6, 00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78989, 18981205, 05.00,    7, 00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78989, 18981205, 06.00,    5, 00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78989, 18981205, 07.00,    8, 00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78989, 18981205, 08.00,   11, 00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78989, 18981205, 09.00,   13, 00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78989, 18981205, 10.00,   16, 00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78989, 18981205, 11.00,   16, 00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78989, 18981205, 12.00,   13, 00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78989, 18981205, 13.00,   16, 00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78989, 18981205, 14.00,   14, 00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78989, 18981205, 15.00,   14, 00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78989, 18981205, 16.00,   14, 00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78989, 18981205, 17.00,   13, 00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78989, 18981205, 18.00,   10, 00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78989, 18981205, 19.00,    9, 00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78989, 18981205, 20.00,   10, 00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78989, 18981205, 21.00,    9, 00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78989, 18981205, 22.00,    7, 00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78989, 18981205, 23.00,    6, 00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78989, 18981205, 24.00,    6, 00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78989, 18981206, 01.00,    6, 00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78989, 18981206, 02.00,    7, 00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78989, 18981206, 03.00,    9, 00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78989, 18981206, 04.00,    9, 00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78989, 18981206, 05.00,   11, 00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78989, 18981206, 06.00,   10, 00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78989, 18981206, 07.00,    8, 00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78989, 18981206, 08.00,   13, 00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78989, 18981206, 09.00,   14, 00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78989, 18981206, 10.00,   16, 00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78989, 18981206, 11.00,   15, 00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78989, 18981206, 12.00,   14, 00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78989, 18981206, 13.00,   15, 00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78989, 18981206, 14.00,   11, 00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78989, 18981206, 15.00,   13, 00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78989, 18981206, 16.00,   13, 00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78989, 18981206, 17.00,   12, 00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78989, 18981206, 18.00,    9, 00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78989, 18981206, 19.00,    8, 00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78989, 18981206, 20.00,    8, 00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78989, 18981206, 21.00,    6, 00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78989, 18981206, 22.00,    6, 00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78989, 18981206, 23.00,    6, 00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78989, 18981206, 24.00,    6, 00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78989, 18981207, 01.00,    5, 00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78989, 18981207, 02.00,    6, 00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78989, 18981207, 03.00,    9, 00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78989, 18981207, 04.00,    6, 00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78989, 18981207, 05.00,    6, 00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78989, 18981207, 06.00,    7, 00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78989, 18981207, 07.00,    8, 00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78989, 18981207, 08.00,   13, 00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78989, 18981207, 09.00,   14, 00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78989, 18981207, 10.00,   15, 00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78989, 18981207, 11.00,   15, 00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78989, 18981207, 12.00,   16, 00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78989, 18981207, 13.00,   16, 00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78989, 18981207, 14.00,   15, 00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78989, 18981207, 15.00,   15, 00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78989, 18981207, 16.00,   15, 00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78989, 18981207, 17.00,   13, 00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78989, 18981207, 18.00,   13, 00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78989, 18981207, 19.00,   11, 00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78989, 18981207, 20.00,   10, 00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78989, 18981207, 21.00,   10, 00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78989, 18981207, 22.00,   10, 00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78989, 18981207, 23.00,    9, 00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78989, 18981207, 24.00,   10, 00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78989, 18981208, 01.00,   11, 00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78989, 18981208, 02.00,   11, 00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78989, 18981208, 03.00,   13, 00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78989, 18981208, 04.00,   11, 00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78989, 18981208, 05.00,   11, 00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78989, 18981208, 06.00,   12, 00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78989, 18981208, 07.00,   11, 00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78989, 18981208, 08.00,   12, 00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78989, 18981208, 09.00,   15, 00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78989, 18981208, 10.00,   16, 00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78989, 18981208, 11.00,   16, 00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78989, 18981208, 12.00,   15, 00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78989, 18981208, 13.00,   14, 00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78989, 18981208, 14.00,   16, 00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78989, 18981208, 15.00,   17, 00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78989, 18981208, 16.00,   14, 00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78989, 18981208, 17.00,   14, 00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78989, 18981208, 18.00,   10, 00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78989, 18981208, 19.00,   10, 00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78989, 18981208, 20.00,   10, 00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78989, 18981208, 21.00,   10, 00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78989, 18981208, 22.00,    9, 00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78989, 18981208, 23.00,   10, 00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78989, 18981208, 24.00,    9, 00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78989, 18981209, 01.00,    8, 00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78989, 18981209, 02.00,    6, 00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78989, 18981209, 03.00,    5, 00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78989, 18981209, 04.00,    6, 00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78989, 18981209, 05.00,    5, 00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78989, 18981209, 06.00,    6, 00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78989, 18981209, 07.00,    6, 00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78989, 18981209, 08.00,    9, 00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78989, 18981209, 09.00,   12, 00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78989, 18981209, 10.00,   12, 00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78989, 18981209, 11.00,   15, 00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78989, 18981209, 12.00,   15, 00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78989, 18981209, 13.00,   14, 00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78989, 18981209, 14.00,   12, 00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78989, 18981209, 15.00,   11, 00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78989, 18981209, 16.00,    9, 00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78989, 18981209, 17.00,    8, 00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78989, 18981209, 18.00,    9, 00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78989, 18981209, 19.00,    5, 00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78989, 18981209, 20.00,    6, 00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78989, 18981209, 21.00,    8, 00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78989, 18981209, 22.00,    9, 00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78989, 18981209, 23.00,    9, 00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78989, 18981209, 24.00,    8, 00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78989, 18981210, 01.00,    8, 00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78989, 18981210, 02.00,    7, 00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78989, 18981210, 03.00,    7, 00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78989, 18981210, 04.00,    9, 00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78989, 18981210, 05.00,    8, 00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78989, 18981210, 06.00,    5, 00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78989, 18981210, 07.00,    7, 00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78989, 18981210, 08.00,   13, 00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78989, 18981210, 09.00,   15, 00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78989, 18981210, 10.00,   16, 00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78989, 18981210, 11.00,   14, 00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78989, 18981210, 12.00,   13, 00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78989, 18981210, 13.00,   13, 00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78989, 18981210, 14.00,   11, 00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78989, 18981210, 15.00,   11, 00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78989, 18981210, 16.00,   12, 00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78989, 18981210, 17.00,   10, 00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78989, 18981210, 18.00,    7, 00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78989, 18981210, 19.00,    6, 00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78989, 18981210, 20.00,    6, 00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78989, 18981210, 21.00,    7, 00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78989, 18981210, 22.00,    6, 00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78989, 18981210, 23.00,    8, 00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78989, 18981210, 24.00,    6, 00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78989, 18981211, 01.00,    7, 00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78989, 18981211, 02.00,    6, 00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78989, 18981211, 03.00,    6, 00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78989, 18981211, 04.00,    7, 00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78989, 18981211, 05.00,    6, 00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78989, 18981211, 06.00,    6, 00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78989, 18981211, 07.00,    7, 00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78989, 18981211, 08.00,    9, 00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78989, 18981211, 09.00,   11, 00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78989, 18981211, 10.00,   10, 00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78989, 18981211, 11.00,   11, 00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78989, 18981211, 12.00,   11, 00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78989, 18981211, 13.00,   11, 00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78989, 18981211, 14.00,   10, 00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78989, 18981211, 15.00,   11, 00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78989, 18981211, 16.00,   13, 00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78989, 18981211, 17.00,   10, 00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78989, 18981211, 18.00,    9, 00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78989, 18981211, 19.00,    8, 00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78989, 18981211, 20.00,    7, 00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78989, 18981211, 21.00,    7, 00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78989, 18981211, 22.00,    6, 00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78989, 18981211, 23.00,    6, 00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78989, 18981211, 24.00,    5, 00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78989, 18981212, 01.00,    7, 00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78989, 18981212, 02.00,    7, 00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78989, 18981212, 03.00,    6, 00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78989, 18981212, 04.00,    7, 00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78989, 18981212, 05.00,    6, 00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78989, 18981212, 06.00,    6, 00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78989, 18981212, 07.00,    6, 00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78989, 18981212, 08.00,    9, 00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78989, 18981212, 09.00,   10, 00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78989, 18981212, 10.00,   10, 00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78989, 18981212, 11.00,   14, 00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78989, 18981212, 12.00,   14, 00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78989, 18981212, 13.00,   14, 00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78989, 18981212, 14.00,   13, 00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78989, 18981212, 15.00,   12, 00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78989, 18981212, 16.00,   12, 00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78989, 18981212, 17.00,   10, 00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78989, 18981212, 18.00,    9, 00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78989, 18981212, 19.00,    6, 00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78989, 18981212, 20.00,    8, 00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78989, 18981212, 21.00,    8, 00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78989, 18981212, 22.00,    6, 00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78989, 18981212, 23.00,    7, 00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78989, 18981212, 24.00,    6, 00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78989, 18981213, 01.00,    7, 00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78989, 18981213, 02.00,    8, 00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78989, 18981213, 03.00,    9, 00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78989, 18981213, 04.00,    6, 00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78989, 18981213, 05.00,    7, 00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78989, 18981213, 06.00,    6, 00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78989, 18981213, 07.00,    8, 00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78989, 18981213, 08.00,    9, 00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78989, 18981213, 09.00,   15, 00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78989, 18981213, 10.00,   15, 00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78989, 18981213, 11.00,   16, 00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78989, 18981213, 12.00,   15, 00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78989, 18981213, 13.00,   14, 00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78989, 18981213, 14.00,   15, 00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78989, 18981213, 15.00,   13, 00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78989, 18981213, 16.00,   12, 00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78989, 18981213, 17.00,   11, 00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78989, 18981213, 18.00,    9, 00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78989, 18981213, 19.00,    8, 00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78989, 18981213, 20.00,    8, 00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78989, 18981213, 21.00,    6, 00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78989, 18981213, 22.00,    6, 00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78989, 18981213, 23.00,    6, 00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78989, 18981213, 24.00,    6, 00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78989, 18981214, 01.00,    7, 00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78989, 18981214, 02.00,    5, 00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78989, 18981214, 03.00,    8, 00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78989, 18981214, 04.00,    7, 00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78989, 18981214, 05.00,    5, 00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78989, 18981214, 06.00,    6, 00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78989, 18981214, 07.00,    5, 00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78989, 18981214, 08.00,    7, 00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78989, 18981214, 09.00,    8, 00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78989, 18981214, 10.00,    9, 00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78989, 18981214, 11.00,   12, 00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78989, 18981214, 12.00,   14, 00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78989, 18981214, 13.00,   13, 00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78989, 18981214, 14.00,   12, 00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78989, 18981214, 15.00,   13, 00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78989, 18981214, 16.00,   10, 00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78989, 18981214, 17.00,   11, 00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78989, 18981214, 18.00,    7, 00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78989, 18981214, 19.00,    6, 00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78989, 18981214, 20.00,    6, 00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78989, 18981214, 21.00,    4, 00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78989, 18981214, 22.00,    3, 00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78989, 18981214, 23.00,    5, 00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78989, 18981214, 24.00,    5, 00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78989, 18981215, 01.00,    6, 00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78989, 18981215, 02.00,    4, 00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78989, 18981215, 03.00,    5, 00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78989, 18981215, 04.00,    6, 00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78989, 18981215, 05.00,    6, 00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78989, 18981215, 06.00,    7, 00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78989, 18981215, 07.00,   11, 00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78989, 18981215, 08.00,   11, 00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78989, 18981215, 09.00,   12, 00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78989, 18981215, 10.00,   15, 00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78989, 18981215, 11.00,   15, 00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78989, 18981215, 12.00,   16, 00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78989, 18981215, 13.00,   15, 00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78989, 18981215, 14.00,   13, 00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78989, 18981215, 15.00,   13, 00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78989, 18981215, 16.00,   12, 00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78989, 18981215, 17.00,   11, 00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78989, 18981215, 18.00,    8, 00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78989, 18981215, 19.00,    9, 00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78989, 18981215, 20.00,    9, 00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78989, 18981215, 21.00,    5, 00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78989, 18981215, 22.00,    7, 00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78989, 18981215, 23.00,    6, 00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78989, 18981215, 24.00,    7, 00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78989, 18981216, 01.00,    8, 00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78989, 18981216, 02.00,    7, 00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78989, 18981216, 03.00,    7, 00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78989, 18981216, 04.00,    7, 00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78989, 18981216, 05.00,   10, 00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78989, 18981216, 06.00,    9, 00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78989, 18981216, 07.00,    9, 00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78989, 18981216, 08.00,    9, 00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78989, 18981216, 09.00,   11, 00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78989, 18981216, 10.00,   11, 00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78989, 18981216, 11.00,   11, 00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78989, 18981216, 12.00,   11, 00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78989, 18981216, 13.00,   11, 00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78989, 18981216, 14.00,    9, 00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78989, 18981216, 15.00,   10, 00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78989, 18981216, 16.00,    9, 00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78989, 18981216, 17.00,    9, 00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78989, 18981216, 18.00,    4, 00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78989, 18981216, 19.00,    5, 00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78989, 18981216, 20.00,    6, 00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78989, 18981216, 21.00,    6, 00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78989, 18981216, 22.00,    7, 00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78989, 18981216, 23.00,    8, 00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78989, 18981216, 24.00,    7, 00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78989, 18981217, 01.00,    8, 00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78989, 18981217, 02.00,    8, 00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78989, 18981217, 03.00,    8, 00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78989, 18981217, 04.00,    8, 00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78989, 18981217, 05.00,   11, 00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78989, 18981217, 06.00,    6, 00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78989, 18981217, 07.00,    6, 00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78989, 18981217, 08.00,   11, 00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78989, 18981217, 09.00,    9, 00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78989, 18981217, 10.00,   10, 00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78989, 18981217, 11.00,   10, 00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78989, 18981217, 12.00,   13, 00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78989, 18981217, 13.00,   11, 00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78989, 18981217, 14.00,    9, 00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78989, 18981217, 15.00,    9, 00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78989, 18981217, 16.00,    9, 00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78989, 18981217, 17.00,    8, 00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78989, 18981217, 18.00,    5, 00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78989, 18981217, 19.00,    5, 00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78989, 18981217, 20.00,    4, 00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78989, 18981217, 21.00,    6, 00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78989, 18981217, 22.00,    5, 00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78989, 18981217, 23.00,    5, 00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78989, 18981217, 24.00,    6, 00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78989, 18981218, 01.00,    6, 00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78989, 18981218, 02.00,    5, 00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78989, 18981218, 03.00,    5, 00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78989, 18981218, 04.00,    5, 00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78989, 18981218, 05.00,    5, 00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78989, 18981218, 06.00,    6, 00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78989, 18981218, 07.00,    5, 00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78989, 18981218, 08.00,    8, 00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78989, 18981218, 09.00,   11, 00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78989, 18981218, 10.00,   10, 00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78989, 18981218, 11.00,   11, 00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78989, 18981218, 12.00,   10, 00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78989, 18981218, 13.00,   10, 00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78989, 18981218, 14.00,    9, 00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78989, 18981218, 15.00,    4, 00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78989, 18981218, 16.00,    7, 00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78989, 18981218, 17.00,    7, 00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78989, 18981218, 18.00,    5, 00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78989, 18981218, 19.00,    7, 00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78989, 18981218, 20.00,    6, 00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78989, 18981218, 21.00,    7, 00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78989, 18981218, 22.00,    7, 00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78989, 18981218, 23.00,    5, 00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78989, 18981218, 24.00,    5, 00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78989, 18981219, 01.00,    7, 00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78989, 18981219, 02.00,    7, 00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78989, 18981219, 03.00,    7, 00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78989, 18981219, 04.00,    7, 00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78989, 18981219, 05.00,    5, 00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78989, 18981219, 06.00,    7, 00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78989, 18981219, 07.00,    7, 00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78989, 18981219, 08.00,    9, 00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78989, 18981219, 09.00,   10, 00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78989, 18981219, 10.00,   11, 00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78989, 18981219, 11.00,    8, 00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78989, 18981219, 12.00,   10, 00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78989, 18981219, 13.00,   10, 00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78989, 18981219, 14.00,    9, 00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78989, 18981219, 15.00,    8, 00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78989, 18981219, 16.00,    7, 00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78989, 18981219, 17.00,    5, 00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78989, 18981219, 18.00,    7, 00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78989, 18981219, 19.00,    6, 00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78989, 18981219, 20.00,    7, 00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78989, 18981219, 21.00,    5, 00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78989, 18981219, 22.00,    4, 00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78989, 18981219, 23.00,    5, 00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78989, 18981219, 24.00,    5, 00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78989, 18981220, 01.00,    6, 00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78989, 18981220, 02.00,    6, 00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78989, 18981220, 03.00,    4, 00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78989, 18981220, 04.00,    6, 00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78989, 18981220, 05.00,    4, 00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78989, 18981220, 06.00,    5, 00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78989, 18981220, 07.00,    5, 00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78989, 18981220, 08.00,    4, 00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78989, 18981220, 09.00,    9, 00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78989, 18981220, 10.00,    8, 00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78989, 18981220, 11.00,   10, 00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78989, 18981220, 12.00,    8, 00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78989, 18981220, 13.00,    9, 00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78989, 18981220, 14.00,    9, 00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78989, 18981220, 15.00,    9, 00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78989, 18981220, 16.00,    8, 00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78989, 18981220, 17.00,    6, 00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78989, 18981220, 18.00,    6, 00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78989, 18981220, 19.00,    6, 00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78989, 18981220, 20.00,    5, 00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78989, 18981220, 21.00,    7, 00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78989, 18981220, 22.00,    5, 00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78989, 18981220, 23.00,    4, 00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78989, 18981220, 24.00,    5, 00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78989, 18981221, 01.00,    5, 00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78989, 18981221, 02.00,    4, 00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78989, 18981221, 03.00,    5, 00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78989, 18981221, 04.00,    5, 00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78989, 18981221, 05.00,    6, 00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78989, 18981221, 06.00,    5, 00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78989, 18981221, 07.00,    5, 00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78989, 18981221, 08.00,    5, 00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78989, 18981221, 09.00,    8, 00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78989, 18981221, 10.00,    9, 00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78989, 18981221, 11.00,    8, 00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78989, 18981221, 12.00,    9, 00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78989, 18981221, 13.00,    8, 00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78989, 18981221, 14.00,   11, 00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78989, 18981221, 15.00,   12, 00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78989, 18981221, 16.00,   10, 00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78989, 18981221, 17.00,    9, 00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78989, 18981221, 18.00,    8, 00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78989, 18981221, 19.00,    5, 00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78989, 18981221, 20.00,    5, 00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78989, 18981221, 21.00,    6, 00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78989, 18981221, 22.00,    5, 00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78989, 18981221, 23.00,    6, 00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78989, 18981221, 24.00,    6, 00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78989, 18981222, 01.00,    6, 00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78989, 18981222, 02.00,    6, 00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78989, 18981222, 03.00,    6, 00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78989, 18981222, 04.00,    6, 00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78989, 18981222, 05.00,    6, 00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78989, 18981222, 06.00,    6, 00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78989, 18981222, 07.00,    6, 00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78989, 18981222, 08.00,    7, 00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78989, 18981222, 09.00,   10, 00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78989, 18981222, 10.00,   12, 00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78989, 18981222, 11.00,   12, 00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78989, 18981222, 12.00,   12, 00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78989, 18981222, 13.00,   12, 00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78989, 18981222, 14.00,   10, 00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78989, 18981222, 15.00,   11, 00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78989, 18981222, 16.00,   14, 00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78989, 18981222, 17.00,   12, 00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78989, 18981222, 18.00,   10, 00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78989, 18981222, 19.00,    8, 00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78989, 18981222, 20.00,   10, 00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78989, 18981222, 21.00,    9, 00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78989, 18981222, 22.00,    8, 00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78989, 18981222, 23.00,    7, 00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78989, 18981222, 24.00,    8, 00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78989, 18981223, 01.00,    8, 00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78989, 18981223, 02.00,    7, 00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78989, 18981223, 03.00,    7, 00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78989, 18981223, 04.00,    7, 00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78989, 18981223, 05.00,    7, 00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78989, 18981223, 06.00,    6, 00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78989, 18981223, 07.00,    8, 00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78989, 18981223, 08.00,    7, 00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78989, 18981223, 09.00,   11, 00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78989, 18981223, 10.00,   13, 00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78989, 18981223, 11.00,   14, 00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78989, 18981223, 12.00,   13, 00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78989, 18981223, 13.00,   10, 00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78989, 18981223, 14.00,   10, 00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78989, 18981223, 15.00,   12, 00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78989, 18981223, 16.00,   11, 00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78989, 18981223, 17.00,   13, 00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78989, 18981223, 18.00,   11, 00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78989, 18981223, 19.00,    9, 00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78989, 18981223, 20.00,    9, 00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78989, 18981223, 21.00,   10, 00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78989, 18981223, 22.00,    8, 00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78989, 18981223, 23.00,    7, 00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78989, 18981223, 24.00,    7, 00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78989, 18981224, 01.00,    8, 00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78989, 18981224, 02.00,    6, 00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78989, 18981224, 03.00,    6, 00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78989, 18981224, 04.00,    6, 00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78989, 18981224, 05.00,    6, 00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78989, 18981224, 06.00,    5, 00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78989, 18981224, 07.00,    7, 00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78989, 18981224, 08.00,    8, 00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78989, 18981224, 09.00,   12, 00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78989, 18981224, 10.00,   13, 00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78989, 18981224, 11.00,   13, 00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78989, 18981224, 12.00,   12, 00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78989, 18981224, 13.00,   13, 00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78989, 18981224, 14.00,   12, 00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78989, 18981224, 15.00,   12, 00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78989, 18981224, 16.00,   13, 00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78989, 18981224, 17.00,   12, 00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78989, 18981224, 18.00,   11, 00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78989, 18981224, 19.00,    9, 00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78989, 18981224, 20.00,   11, 00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78989, 18981224, 21.00,   11, 00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78989, 18981224, 22.00,    9, 00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78989, 18981224, 23.00,    7, 00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78989, 18981224, 24.00,    6, 00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78989, 18981225, 01.00,    6, 00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78989, 18981225, 02.00,    6, 00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78989, 18981225, 03.00,    6, 00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78989, 18981225, 04.00,    6, 00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78989, 18981225, 05.00,    6, 00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78989, 18981225, 06.00,    6, 00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78989, 18981225, 07.00,    6, 00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78989, 18981225, 08.00,   11, 00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78989, 18981225, 09.00,   11, 00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78989, 18981225, 10.00,   11, 00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78989, 18981225, 11.00,   11, 00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78989, 18981225, 12.00,   15, 00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78989, 18981225, 13.00,   12, 00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78989, 18981225, 14.00,   14, 00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78989, 18981225, 15.00,   13, 00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78989, 18981225, 16.00,   10, 00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78989, 18981225, 17.00,   10, 00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78989, 18981225, 18.00,   10, 00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78989, 18981225, 19.00,    8, 00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78989, 18981225, 20.00,    7, 00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78989, 18981225, 21.00,    8, 00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78989, 18981225, 22.00,    7, 00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78989, 18981225, 23.00,    6, 00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78989, 18981225, 24.00,    6, 00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78989, 18981226, 01.00,    5, 00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78989, 18981226, 02.00,    6, 00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78989, 18981226, 03.00,    5, 00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78989, 18981226, 04.00,    4, 00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78989, 18981226, 05.00,    5, 00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78989, 18981226, 06.00,    6, 00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78989, 18981226, 07.00,    6, 00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78989, 18981226, 08.00,    8, 00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78989, 18981226, 09.00,   11, 00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78989, 18981226, 10.00,   11, 00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78989, 18981226, 11.00,   11, 00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78989, 18981226, 12.00,   11, 00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78989, 18981226, 13.00,   11, 00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78989, 18981226, 14.00,   12, 00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78989, 18981226, 15.00,   11, 00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78989, 18981226, 16.00,   10, 00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78989, 18981226, 17.00,   11, 00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78989, 18981226, 18.00,    9, 00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78989, 18981226, 19.00,    8, 00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78989, 18981226, 20.00,    8, 00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78989, 18981226, 21.00,    7, 00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78989, 18981226, 22.00,    7, 00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78989, 18981226, 23.00,    6, 00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78989, 18981226, 24.00,    5, 00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78989, 18981227, 01.00,    6, 00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78989, 18981227, 02.00,    6, 00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78989, 18981227, 03.00,    5, 00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78989, 18981227, 04.00,    5, 00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78989, 18981227, 05.00,    7, 00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78989, 18981227, 06.00,    8, 00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78989, 18981227, 07.00,    5, 00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78989, 18981227, 08.00,    9, 00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78989, 18981227, 09.00,    8, 00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78989, 18981227, 10.00,    8, 00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78989, 18981227, 11.00,   11, 00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78989, 18981227, 12.00,    9, 00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78989, 18981227, 13.00,   11, 00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78989, 18981227, 14.00,   13, 00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78989, 18981227, 15.00,   13, 00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78989, 18981227, 16.00,   13, 00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78989, 18981227, 17.00,    9, 00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78989, 18981227, 18.00,    9, 00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78989, 18981227, 19.00,    7, 00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78989, 18981227, 20.00,   11, 00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78989, 18981227, 21.00,    8, 00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78989, 18981227, 22.00,    5, 00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78989, 18981227, 23.00,    8, 00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78989, 18981227, 24.00,    7, 00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78989, 18981228, 01.00,    9, 00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78989, 18981228, 02.00,    7, 00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78989, 18981228, 03.00,    7, 00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78989, 18981228, 04.00,    8, 00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78989, 18981228, 05.00,    8, 00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78989, 18981228, 06.00,    7, 00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78989, 18981228, 07.00,   10, 00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78989, 18981228, 08.00,    9, 00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78989, 18981228, 09.00,   11, 00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78989, 18981228, 10.00,   13, 00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78989, 18981228, 11.00,   12, 00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78989, 18981228, 12.00,   13, 00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78989, 18981228, 13.00,   12, 00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78989, 18981228, 14.00,   13, 00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78989, 18981228, 15.00,   13, 00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78989, 18981228, 16.00,   11, 00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78989, 18981228, 17.00,   11, 00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78989, 18981228, 18.00,    9, 00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78989, 18981228, 19.00,    9, 00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78989, 18981228, 20.00,    8, 00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78989, 18981228, 21.00,    8, 00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78989, 18981228, 22.00,    8, 00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78989, 18981228, 23.00,    8, 00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78989, 18981228, 24.00,   10, 00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78989, 18981229, 01.00,    7, 00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78989, 18981229, 02.00,    7, 00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78989, 18981229, 03.00,    8, 00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78989, 18981229, 04.00,    7, 00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78989, 18981229, 05.00,    5, 00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78989, 18981229, 06.00,    8, 00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78989, 18981229, 07.00,    8, 00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78989, 18981229, 08.00,   10, 00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78989, 18981229, 09.00,   12, 00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78989, 18981229, 10.00,   13, 00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78989, 18981229, 11.00,   15, 00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78989, 18981229, 12.00,   14, 00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78989, 18981229, 13.00,   14, 00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78989, 18981229, 14.00,   13, 00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78989, 18981229, 15.00,   12, 00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78989, 18981229, 16.00,   13, 00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78989, 18981229, 17.00,   13, 00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78989, 18981229, 18.00,   11, 00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78989, 18981229, 19.00,    9, 00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78989, 18981229, 20.00,   12, 00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78989, 18981229, 21.00,   11, 00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78989, 18981229, 22.00,   12, 00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78989, 18981229, 23.00,   12, 00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78989, 18981229, 24.00,   11, 00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78989, 18981230, 01.00,   11, 00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78989, 18981230, 02.00,   10, 00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78989, 18981230, 03.00,   12, 00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78989, 18981230, 04.00,   11, 00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78989, 18981230, 05.00,   10, 00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78989, 18981230, 06.00,   11, 00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78989, 18981230, 07.00,   10, 00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78989, 18981230, 08.00,   14, 00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78989, 18981230, 09.00,   14, 00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78989, 18981230, 10.00,   16, 00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78989, 18981230, 11.00,   17, 00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78989, 18981230, 12.00,   18, 00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78989, 18981230, 13.00,   18, 00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78989, 18981230, 14.00,   18, 00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78989, 18981230, 15.00,   20, 00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78989, 18981230, 16.00,   19, 00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78989, 18981230, 17.00,   16, 00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78989, 18981230, 18.00,   14, 00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78989, 18981230, 19.00,   11, 00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78989, 18981230, 20.00,   11, 00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78989, 18981230, 21.00,   12, 00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78989, 18981230, 22.00,   11, 00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78989, 18981230, 23.00,   12, 00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78989, 18981230, 24.00,   11, 00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78989, 18981231, 01.00,    9, 00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78989, 18981231, 02.00,    9, 00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78989, 18981231, 03.00,    9, 00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78989, 18981231, 04.00,    6, 00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78989, 18981231, 05.00,    6, 00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78989, 18981231, 06.00,    6, 00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78989, 18981231, 07.00,    7, 00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78989, 18981231, 08.00,   11, 00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78989, 18981231, 09.00,   13, 00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78989, 18981231, 10.00,   13, 00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78989, 18981231, 11.00,   16, 00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78989, 18981231, 12.00,   15, 00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78989, 18981231, 13.00,   16, 00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78989, 18981231, 14.00,   15, 00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78989, 18981231, 15.00,   16, 00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78989, 18981231, 16.00,   16, 00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78989, 18981231, 17.00,   13, 00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78989, 18981231, 18.00,   13, 00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78989, 18981231, 19.00,   11, 00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78989, 18981231, 20.00,   14, 00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78989, 18981231, 21.00,   10, 00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78989, 18981231, 22.00,    9, 00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78989, 18981231, 23.00,   10, 00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78989, 18981231, 24.00,    9, 00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2015-11-04T09:28:23Z</dcterms:modified>
</cp:coreProperties>
</file>