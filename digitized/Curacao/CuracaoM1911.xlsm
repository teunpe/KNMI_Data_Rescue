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<sst xmlns="http://schemas.openxmlformats.org/spreadsheetml/2006/main" count="340" uniqueCount="136">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</sst>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D303" activePane="bottomRight" state="frozen"/>
      <selection pane="topRight" activeCell="B1" sqref="B1"/>
      <selection pane="bottomLeft" activeCell="A5" sqref="A5"/>
      <selection pane="bottomRight" activeCell="R334" sqref="R334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4019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4020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4021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4022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4023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4024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4025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4026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4027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4028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4029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4030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4031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4032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4033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4034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4035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4036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4037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4038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4039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4040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4041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4042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4043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4044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4045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4046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4047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4048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4049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4050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4051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4052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4053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4054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4055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4056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4057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4058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4059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4060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4061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4062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4063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4064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4065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4066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4067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4068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4069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4070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4071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4072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4073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4074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4075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4076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4077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4078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4079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4080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4081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4082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4083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4084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4085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4086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4087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4088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4089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4090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4091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4092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4093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4094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4095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4096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4097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4098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4099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4100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4101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4102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4103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4104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4105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4106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4107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4108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4109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4110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4111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4112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4113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4114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4115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4116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4117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4118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4119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4120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4121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4122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4123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4124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4125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4126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4127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4128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4129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4130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4131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4132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4133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4134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4135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4136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4137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4138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4139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4140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4141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4142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4143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4144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4145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4146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4147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4148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4149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4150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4151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4152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4153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4154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4155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4156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4157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4158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4159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4160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4161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4162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4163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4164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4165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4166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4167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4168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4169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4170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4171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4172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4173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4174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4175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4176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4177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4178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4179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4180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4181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4182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4183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4184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4185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4186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4187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4188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4189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4190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4191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4192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4193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4194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4195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4196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4197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4198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4199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4200</v>
      </c>
      <c r="B192" s="29"/>
      <c r="C192" s="29"/>
      <c r="D192" s="29"/>
      <c r="E192" s="29"/>
      <c r="F192" s="29">
        <v>2996</v>
      </c>
      <c r="G192" s="39"/>
      <c r="H192" s="40"/>
      <c r="I192" s="52"/>
      <c r="J192" s="53"/>
      <c r="K192" s="17"/>
      <c r="L192" s="39">
        <v>856</v>
      </c>
      <c r="M192" s="43">
        <v>634</v>
      </c>
      <c r="N192" s="45" t="s">
        <v>108</v>
      </c>
      <c r="O192" s="55">
        <v>13</v>
      </c>
      <c r="P192" s="56"/>
      <c r="Q192" s="74"/>
      <c r="R192" s="70">
        <v>11</v>
      </c>
      <c r="S192" s="19"/>
      <c r="T192" s="60"/>
      <c r="U192" s="59"/>
    </row>
    <row r="193" spans="1:21" ht="15" customHeight="1" x14ac:dyDescent="0.25">
      <c r="A193" s="1">
        <f t="shared" ca="1" si="7"/>
        <v>4201</v>
      </c>
      <c r="B193" s="29"/>
      <c r="C193" s="29"/>
      <c r="D193" s="29"/>
      <c r="E193" s="29"/>
      <c r="F193" s="29">
        <v>2993</v>
      </c>
      <c r="G193" s="39"/>
      <c r="H193" s="40"/>
      <c r="I193" s="52"/>
      <c r="J193" s="53"/>
      <c r="K193" s="17"/>
      <c r="L193" s="39">
        <v>849</v>
      </c>
      <c r="M193" s="43">
        <v>705</v>
      </c>
      <c r="N193" s="45" t="s">
        <v>108</v>
      </c>
      <c r="O193" s="55">
        <v>18</v>
      </c>
      <c r="P193" s="56"/>
      <c r="Q193" s="74"/>
      <c r="R193" s="70">
        <v>8</v>
      </c>
      <c r="S193" s="19"/>
      <c r="T193" s="60"/>
      <c r="U193" s="59"/>
    </row>
    <row r="194" spans="1:21" ht="15" customHeight="1" x14ac:dyDescent="0.25">
      <c r="A194" s="1">
        <f t="shared" ca="1" si="7"/>
        <v>4202</v>
      </c>
      <c r="B194" s="29"/>
      <c r="C194" s="29"/>
      <c r="D194" s="29"/>
      <c r="E194" s="29"/>
      <c r="F194" s="29">
        <v>2995</v>
      </c>
      <c r="G194" s="39"/>
      <c r="H194" s="40"/>
      <c r="I194" s="52"/>
      <c r="J194" s="53"/>
      <c r="K194" s="17"/>
      <c r="L194" s="39">
        <v>799</v>
      </c>
      <c r="M194" s="43">
        <v>610</v>
      </c>
      <c r="N194" s="45" t="s">
        <v>108</v>
      </c>
      <c r="O194" s="55">
        <v>15</v>
      </c>
      <c r="P194" s="56"/>
      <c r="Q194" s="74"/>
      <c r="R194" s="70">
        <v>0</v>
      </c>
      <c r="S194" s="19"/>
      <c r="T194" s="60"/>
      <c r="U194" s="59"/>
    </row>
    <row r="195" spans="1:21" ht="15" customHeight="1" x14ac:dyDescent="0.25">
      <c r="A195" s="1">
        <f t="shared" ca="1" si="7"/>
        <v>4203</v>
      </c>
      <c r="B195" s="29"/>
      <c r="C195" s="29"/>
      <c r="D195" s="29"/>
      <c r="E195" s="29"/>
      <c r="F195" s="29">
        <v>2999</v>
      </c>
      <c r="G195" s="39"/>
      <c r="H195" s="40"/>
      <c r="I195" s="52"/>
      <c r="J195" s="53"/>
      <c r="K195" s="17"/>
      <c r="L195" s="39">
        <v>848</v>
      </c>
      <c r="M195" s="43">
        <v>702</v>
      </c>
      <c r="N195" s="45" t="s">
        <v>110</v>
      </c>
      <c r="O195" s="55">
        <v>13</v>
      </c>
      <c r="P195" s="56"/>
      <c r="Q195" s="74"/>
      <c r="R195" s="70">
        <v>0</v>
      </c>
      <c r="S195" s="19"/>
      <c r="T195" s="60"/>
      <c r="U195" s="59"/>
    </row>
    <row r="196" spans="1:21" ht="15" customHeight="1" x14ac:dyDescent="0.25">
      <c r="A196" s="1">
        <f t="shared" ca="1" si="7"/>
        <v>4204</v>
      </c>
      <c r="B196" s="29"/>
      <c r="C196" s="29"/>
      <c r="D196" s="29"/>
      <c r="E196" s="29"/>
      <c r="F196" s="29">
        <v>3003</v>
      </c>
      <c r="G196" s="39"/>
      <c r="H196" s="40"/>
      <c r="I196" s="52"/>
      <c r="J196" s="53"/>
      <c r="K196" s="17"/>
      <c r="L196" s="39">
        <v>851</v>
      </c>
      <c r="M196" s="43">
        <v>732</v>
      </c>
      <c r="N196" s="45" t="s">
        <v>108</v>
      </c>
      <c r="O196" s="55">
        <v>18</v>
      </c>
      <c r="P196" s="56"/>
      <c r="Q196" s="74"/>
      <c r="R196" s="70"/>
      <c r="S196" s="19"/>
      <c r="T196" s="60"/>
      <c r="U196" s="59"/>
    </row>
    <row r="197" spans="1:21" ht="15" customHeight="1" x14ac:dyDescent="0.25">
      <c r="A197" s="1">
        <f t="shared" ca="1" si="7"/>
        <v>4205</v>
      </c>
      <c r="B197" s="29"/>
      <c r="C197" s="29"/>
      <c r="D197" s="29"/>
      <c r="E197" s="29"/>
      <c r="F197" s="29">
        <v>3003</v>
      </c>
      <c r="G197" s="39"/>
      <c r="H197" s="40"/>
      <c r="I197" s="52"/>
      <c r="J197" s="53"/>
      <c r="K197" s="17"/>
      <c r="L197" s="39">
        <v>854</v>
      </c>
      <c r="M197" s="43">
        <v>502</v>
      </c>
      <c r="N197" s="45" t="s">
        <v>108</v>
      </c>
      <c r="O197" s="55">
        <v>14</v>
      </c>
      <c r="P197" s="56"/>
      <c r="Q197" s="74"/>
      <c r="R197" s="70">
        <v>0</v>
      </c>
      <c r="S197" s="19"/>
      <c r="T197" s="60"/>
      <c r="U197" s="59"/>
    </row>
    <row r="198" spans="1:21" ht="15" customHeight="1" x14ac:dyDescent="0.25">
      <c r="A198" s="1">
        <f t="shared" ca="1" si="7"/>
        <v>4206</v>
      </c>
      <c r="B198" s="29"/>
      <c r="C198" s="29"/>
      <c r="D198" s="29"/>
      <c r="E198" s="29"/>
      <c r="F198" s="29">
        <v>2997</v>
      </c>
      <c r="G198" s="39"/>
      <c r="H198" s="40"/>
      <c r="I198" s="52"/>
      <c r="J198" s="53"/>
      <c r="K198" s="17"/>
      <c r="L198" s="39">
        <v>862</v>
      </c>
      <c r="M198" s="43">
        <v>610</v>
      </c>
      <c r="N198" s="45" t="s">
        <v>108</v>
      </c>
      <c r="O198" s="55">
        <v>16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4207</v>
      </c>
      <c r="B199" s="29"/>
      <c r="C199" s="29"/>
      <c r="D199" s="29"/>
      <c r="E199" s="29"/>
      <c r="F199" s="29">
        <v>2997</v>
      </c>
      <c r="G199" s="39"/>
      <c r="H199" s="40"/>
      <c r="I199" s="52"/>
      <c r="J199" s="53"/>
      <c r="K199" s="17"/>
      <c r="L199" s="39">
        <v>856</v>
      </c>
      <c r="M199" s="43">
        <v>714</v>
      </c>
      <c r="N199" s="45" t="s">
        <v>108</v>
      </c>
      <c r="O199" s="55">
        <v>16</v>
      </c>
      <c r="P199" s="56"/>
      <c r="Q199" s="74"/>
      <c r="R199" s="70">
        <v>0</v>
      </c>
      <c r="S199" s="19"/>
      <c r="T199" s="60"/>
      <c r="U199" s="59"/>
    </row>
    <row r="200" spans="1:21" ht="15" customHeight="1" x14ac:dyDescent="0.25">
      <c r="A200" s="1">
        <f t="shared" ca="1" si="11"/>
        <v>4208</v>
      </c>
      <c r="B200" s="29"/>
      <c r="C200" s="29"/>
      <c r="D200" s="29"/>
      <c r="E200" s="29"/>
      <c r="F200" s="29">
        <v>2999</v>
      </c>
      <c r="G200" s="39"/>
      <c r="H200" s="40"/>
      <c r="I200" s="52"/>
      <c r="J200" s="53"/>
      <c r="K200" s="17"/>
      <c r="L200" s="39">
        <v>848</v>
      </c>
      <c r="M200" s="43">
        <v>610</v>
      </c>
      <c r="N200" s="45" t="s">
        <v>108</v>
      </c>
      <c r="O200" s="55">
        <v>14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4209</v>
      </c>
      <c r="B201" s="29"/>
      <c r="C201" s="29"/>
      <c r="D201" s="29"/>
      <c r="E201" s="29"/>
      <c r="F201" s="29">
        <v>2997</v>
      </c>
      <c r="G201" s="39"/>
      <c r="H201" s="40"/>
      <c r="I201" s="52"/>
      <c r="J201" s="53"/>
      <c r="K201" s="17"/>
      <c r="L201" s="39">
        <v>853</v>
      </c>
      <c r="M201" s="43">
        <v>724</v>
      </c>
      <c r="N201" s="45" t="s">
        <v>110</v>
      </c>
      <c r="O201" s="55">
        <v>12</v>
      </c>
      <c r="P201" s="56"/>
      <c r="Q201" s="74"/>
      <c r="R201" s="70">
        <v>0</v>
      </c>
      <c r="S201" s="19"/>
      <c r="T201" s="60"/>
      <c r="U201" s="59"/>
    </row>
    <row r="202" spans="1:21" ht="15" customHeight="1" x14ac:dyDescent="0.25">
      <c r="A202" s="1">
        <f t="shared" ca="1" si="11"/>
        <v>4210</v>
      </c>
      <c r="B202" s="29"/>
      <c r="C202" s="29"/>
      <c r="D202" s="29"/>
      <c r="E202" s="29"/>
      <c r="F202" s="29">
        <v>2997</v>
      </c>
      <c r="G202" s="39"/>
      <c r="H202" s="40"/>
      <c r="I202" s="52"/>
      <c r="J202" s="53"/>
      <c r="K202" s="17"/>
      <c r="L202" s="39">
        <v>860</v>
      </c>
      <c r="M202" s="43">
        <v>731</v>
      </c>
      <c r="N202" s="45" t="s">
        <v>108</v>
      </c>
      <c r="O202" s="55">
        <v>14</v>
      </c>
      <c r="P202" s="56"/>
      <c r="Q202" s="74"/>
      <c r="R202" s="70">
        <v>0</v>
      </c>
      <c r="S202" s="19"/>
      <c r="T202" s="60"/>
      <c r="U202" s="59"/>
    </row>
    <row r="203" spans="1:21" ht="15" customHeight="1" x14ac:dyDescent="0.25">
      <c r="A203" s="1">
        <f t="shared" ca="1" si="11"/>
        <v>4211</v>
      </c>
      <c r="B203" s="29"/>
      <c r="C203" s="29"/>
      <c r="D203" s="29"/>
      <c r="E203" s="29"/>
      <c r="F203" s="29">
        <v>2992</v>
      </c>
      <c r="G203" s="39"/>
      <c r="H203" s="40"/>
      <c r="I203" s="52"/>
      <c r="J203" s="53"/>
      <c r="K203" s="17"/>
      <c r="L203" s="39">
        <v>861</v>
      </c>
      <c r="M203" s="43">
        <v>760</v>
      </c>
      <c r="N203" s="45" t="s">
        <v>110</v>
      </c>
      <c r="O203" s="55">
        <v>14</v>
      </c>
      <c r="P203" s="56"/>
      <c r="Q203" s="74"/>
      <c r="R203" s="70">
        <v>0</v>
      </c>
      <c r="S203" s="19"/>
      <c r="T203" s="60"/>
      <c r="U203" s="59"/>
    </row>
    <row r="204" spans="1:21" ht="15" customHeight="1" x14ac:dyDescent="0.25">
      <c r="A204" s="1">
        <f t="shared" ca="1" si="11"/>
        <v>4212</v>
      </c>
      <c r="B204" s="29"/>
      <c r="C204" s="29"/>
      <c r="D204" s="29"/>
      <c r="E204" s="29"/>
      <c r="F204" s="29">
        <v>2996</v>
      </c>
      <c r="G204" s="39"/>
      <c r="H204" s="40"/>
      <c r="I204" s="52"/>
      <c r="J204" s="53"/>
      <c r="K204" s="17"/>
      <c r="L204" s="39">
        <v>864</v>
      </c>
      <c r="M204" s="43">
        <v>969</v>
      </c>
      <c r="N204" s="45" t="s">
        <v>108</v>
      </c>
      <c r="O204" s="55">
        <v>18</v>
      </c>
      <c r="P204" s="56"/>
      <c r="Q204" s="74"/>
      <c r="R204" s="70">
        <v>0</v>
      </c>
      <c r="S204" s="19"/>
      <c r="T204" s="60"/>
      <c r="U204" s="59"/>
    </row>
    <row r="205" spans="1:21" ht="15" customHeight="1" x14ac:dyDescent="0.25">
      <c r="A205" s="1">
        <f t="shared" ca="1" si="11"/>
        <v>4213</v>
      </c>
      <c r="B205" s="29"/>
      <c r="C205" s="29"/>
      <c r="D205" s="29"/>
      <c r="E205" s="29"/>
      <c r="F205" s="29">
        <v>2998</v>
      </c>
      <c r="G205" s="39"/>
      <c r="H205" s="40"/>
      <c r="I205" s="52"/>
      <c r="J205" s="53"/>
      <c r="K205" s="17"/>
      <c r="L205" s="39">
        <v>860</v>
      </c>
      <c r="M205" s="43">
        <v>701</v>
      </c>
      <c r="N205" s="45" t="s">
        <v>108</v>
      </c>
      <c r="O205" s="55">
        <v>14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4214</v>
      </c>
      <c r="B206" s="29"/>
      <c r="C206" s="29"/>
      <c r="D206" s="29"/>
      <c r="E206" s="29"/>
      <c r="F206" s="29">
        <v>2996</v>
      </c>
      <c r="G206" s="39"/>
      <c r="H206" s="40"/>
      <c r="I206" s="52"/>
      <c r="J206" s="53"/>
      <c r="K206" s="17"/>
      <c r="L206" s="39">
        <v>871</v>
      </c>
      <c r="M206" s="43">
        <v>688</v>
      </c>
      <c r="N206" s="45" t="s">
        <v>108</v>
      </c>
      <c r="O206" s="55">
        <v>14</v>
      </c>
      <c r="P206" s="56"/>
      <c r="Q206" s="74"/>
      <c r="R206" s="70">
        <v>1</v>
      </c>
      <c r="S206" s="19"/>
      <c r="T206" s="60"/>
      <c r="U206" s="59"/>
    </row>
    <row r="207" spans="1:21" ht="15" customHeight="1" x14ac:dyDescent="0.25">
      <c r="A207" s="1">
        <f t="shared" ca="1" si="11"/>
        <v>4215</v>
      </c>
      <c r="B207" s="29"/>
      <c r="C207" s="29"/>
      <c r="D207" s="29"/>
      <c r="E207" s="29"/>
      <c r="F207" s="29">
        <v>2996</v>
      </c>
      <c r="G207" s="39"/>
      <c r="H207" s="40"/>
      <c r="I207" s="52"/>
      <c r="J207" s="53"/>
      <c r="K207" s="17"/>
      <c r="L207" s="39">
        <v>858</v>
      </c>
      <c r="M207" s="43">
        <v>689</v>
      </c>
      <c r="N207" s="45" t="s">
        <v>108</v>
      </c>
      <c r="O207" s="55">
        <v>14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4216</v>
      </c>
      <c r="B208" s="29"/>
      <c r="C208" s="29"/>
      <c r="D208" s="29"/>
      <c r="E208" s="29"/>
      <c r="F208" s="29">
        <v>2998</v>
      </c>
      <c r="G208" s="39"/>
      <c r="H208" s="40"/>
      <c r="I208" s="52"/>
      <c r="J208" s="53"/>
      <c r="K208" s="17"/>
      <c r="L208" s="39">
        <v>868</v>
      </c>
      <c r="M208" s="43">
        <v>755</v>
      </c>
      <c r="N208" s="45" t="s">
        <v>108</v>
      </c>
      <c r="O208" s="55">
        <v>14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4217</v>
      </c>
      <c r="B209" s="29"/>
      <c r="C209" s="29"/>
      <c r="D209" s="29"/>
      <c r="E209" s="29"/>
      <c r="F209" s="29">
        <v>2999</v>
      </c>
      <c r="G209" s="39"/>
      <c r="H209" s="40"/>
      <c r="I209" s="52"/>
      <c r="J209" s="53"/>
      <c r="K209" s="17"/>
      <c r="L209" s="39">
        <v>853</v>
      </c>
      <c r="M209" s="43">
        <v>719</v>
      </c>
      <c r="N209" s="45" t="s">
        <v>108</v>
      </c>
      <c r="O209" s="55">
        <v>12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4218</v>
      </c>
      <c r="B210" s="29"/>
      <c r="C210" s="29"/>
      <c r="D210" s="29"/>
      <c r="E210" s="29"/>
      <c r="F210" s="29">
        <v>2995</v>
      </c>
      <c r="G210" s="39"/>
      <c r="H210" s="40"/>
      <c r="I210" s="52"/>
      <c r="J210" s="53"/>
      <c r="K210" s="17"/>
      <c r="L210" s="39">
        <v>864</v>
      </c>
      <c r="M210" s="43">
        <v>732</v>
      </c>
      <c r="N210" s="45" t="s">
        <v>110</v>
      </c>
      <c r="O210" s="55">
        <v>14</v>
      </c>
      <c r="P210" s="56"/>
      <c r="Q210" s="74"/>
      <c r="R210" s="70">
        <v>2</v>
      </c>
      <c r="S210" s="19"/>
      <c r="T210" s="60"/>
      <c r="U210" s="59"/>
    </row>
    <row r="211" spans="1:21" ht="15" customHeight="1" x14ac:dyDescent="0.25">
      <c r="A211" s="1">
        <f t="shared" ca="1" si="11"/>
        <v>4219</v>
      </c>
      <c r="B211" s="29"/>
      <c r="C211" s="29"/>
      <c r="D211" s="29"/>
      <c r="E211" s="29"/>
      <c r="F211" s="29">
        <v>2995</v>
      </c>
      <c r="G211" s="39"/>
      <c r="H211" s="40"/>
      <c r="I211" s="52"/>
      <c r="J211" s="53"/>
      <c r="K211" s="17"/>
      <c r="L211" s="39">
        <v>872</v>
      </c>
      <c r="M211" s="43">
        <v>691</v>
      </c>
      <c r="N211" s="45" t="s">
        <v>108</v>
      </c>
      <c r="O211" s="55">
        <v>14</v>
      </c>
      <c r="P211" s="56"/>
      <c r="Q211" s="74"/>
      <c r="R211" s="70">
        <v>4</v>
      </c>
      <c r="S211" s="19"/>
      <c r="T211" s="60"/>
      <c r="U211" s="59"/>
    </row>
    <row r="212" spans="1:21" ht="15" customHeight="1" x14ac:dyDescent="0.25">
      <c r="A212" s="1">
        <f t="shared" ca="1" si="11"/>
        <v>4220</v>
      </c>
      <c r="B212" s="29"/>
      <c r="C212" s="29"/>
      <c r="D212" s="29"/>
      <c r="E212" s="29"/>
      <c r="F212" s="29">
        <v>2993</v>
      </c>
      <c r="G212" s="39"/>
      <c r="H212" s="40"/>
      <c r="I212" s="52"/>
      <c r="J212" s="53"/>
      <c r="K212" s="17"/>
      <c r="L212" s="39">
        <v>856</v>
      </c>
      <c r="M212" s="43">
        <v>701</v>
      </c>
      <c r="N212" s="45" t="s">
        <v>108</v>
      </c>
      <c r="O212" s="55">
        <v>14</v>
      </c>
      <c r="P212" s="56"/>
      <c r="Q212" s="74"/>
      <c r="R212" s="70">
        <v>0</v>
      </c>
      <c r="S212" s="19"/>
      <c r="T212" s="60"/>
      <c r="U212" s="59"/>
    </row>
    <row r="213" spans="1:21" ht="15" customHeight="1" x14ac:dyDescent="0.25">
      <c r="A213" s="1">
        <f t="shared" ca="1" si="11"/>
        <v>4221</v>
      </c>
      <c r="B213" s="29"/>
      <c r="C213" s="29"/>
      <c r="D213" s="29"/>
      <c r="E213" s="29"/>
      <c r="F213" s="29">
        <v>2997</v>
      </c>
      <c r="G213" s="39"/>
      <c r="H213" s="40"/>
      <c r="I213" s="52"/>
      <c r="J213" s="53"/>
      <c r="K213" s="17"/>
      <c r="L213" s="39">
        <v>854</v>
      </c>
      <c r="M213" s="43">
        <v>695</v>
      </c>
      <c r="N213" s="45" t="s">
        <v>108</v>
      </c>
      <c r="O213" s="55">
        <v>14</v>
      </c>
      <c r="P213" s="56"/>
      <c r="Q213" s="74"/>
      <c r="R213" s="70">
        <v>16</v>
      </c>
      <c r="S213" s="19"/>
      <c r="T213" s="60"/>
      <c r="U213" s="59"/>
    </row>
    <row r="214" spans="1:21" ht="15" customHeight="1" x14ac:dyDescent="0.25">
      <c r="A214" s="1">
        <f t="shared" ca="1" si="11"/>
        <v>4222</v>
      </c>
      <c r="B214" s="29"/>
      <c r="C214" s="29"/>
      <c r="D214" s="29"/>
      <c r="E214" s="29"/>
      <c r="F214" s="29">
        <v>2997</v>
      </c>
      <c r="G214" s="39"/>
      <c r="H214" s="40"/>
      <c r="I214" s="52"/>
      <c r="J214" s="53"/>
      <c r="K214" s="17"/>
      <c r="L214" s="39">
        <v>868</v>
      </c>
      <c r="M214" s="43">
        <v>701</v>
      </c>
      <c r="N214" s="45" t="s">
        <v>110</v>
      </c>
      <c r="O214" s="55">
        <v>18</v>
      </c>
      <c r="P214" s="56"/>
      <c r="Q214" s="74"/>
      <c r="R214" s="70">
        <v>0</v>
      </c>
      <c r="S214" s="19"/>
      <c r="T214" s="60"/>
      <c r="U214" s="59"/>
    </row>
    <row r="215" spans="1:21" ht="15" customHeight="1" x14ac:dyDescent="0.25">
      <c r="A215" s="1">
        <f t="shared" ca="1" si="11"/>
        <v>4223</v>
      </c>
      <c r="B215" s="29"/>
      <c r="C215" s="29"/>
      <c r="D215" s="29"/>
      <c r="E215" s="29"/>
      <c r="F215" s="29">
        <v>2999</v>
      </c>
      <c r="G215" s="39"/>
      <c r="H215" s="40"/>
      <c r="I215" s="52"/>
      <c r="J215" s="53"/>
      <c r="K215" s="17"/>
      <c r="L215" s="39">
        <v>862</v>
      </c>
      <c r="M215" s="43">
        <v>698</v>
      </c>
      <c r="N215" s="45" t="s">
        <v>108</v>
      </c>
      <c r="O215" s="55">
        <v>12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4224</v>
      </c>
      <c r="B216" s="29"/>
      <c r="C216" s="29"/>
      <c r="D216" s="29"/>
      <c r="E216" s="29"/>
      <c r="F216" s="29">
        <v>3000</v>
      </c>
      <c r="G216" s="39"/>
      <c r="H216" s="40"/>
      <c r="I216" s="52"/>
      <c r="J216" s="53"/>
      <c r="K216" s="17"/>
      <c r="L216" s="39">
        <v>861</v>
      </c>
      <c r="M216" s="43">
        <v>693</v>
      </c>
      <c r="N216" s="45" t="s">
        <v>108</v>
      </c>
      <c r="O216" s="55">
        <v>14</v>
      </c>
      <c r="P216" s="56"/>
      <c r="Q216" s="74"/>
      <c r="R216" s="70">
        <v>18</v>
      </c>
      <c r="S216" s="19"/>
      <c r="T216" s="60"/>
      <c r="U216" s="59"/>
    </row>
    <row r="217" spans="1:21" ht="15" customHeight="1" x14ac:dyDescent="0.25">
      <c r="A217" s="1">
        <f t="shared" ca="1" si="11"/>
        <v>4225</v>
      </c>
      <c r="B217" s="29"/>
      <c r="C217" s="29"/>
      <c r="D217" s="29"/>
      <c r="E217" s="29"/>
      <c r="F217" s="29">
        <v>2995</v>
      </c>
      <c r="G217" s="39"/>
      <c r="H217" s="40"/>
      <c r="I217" s="52"/>
      <c r="J217" s="53"/>
      <c r="K217" s="17"/>
      <c r="L217" s="39">
        <v>858</v>
      </c>
      <c r="M217" s="43">
        <v>701</v>
      </c>
      <c r="N217" s="45" t="s">
        <v>108</v>
      </c>
      <c r="O217" s="55">
        <v>14</v>
      </c>
      <c r="P217" s="56"/>
      <c r="Q217" s="74"/>
      <c r="R217" s="70">
        <v>50</v>
      </c>
      <c r="S217" s="19"/>
      <c r="T217" s="60"/>
      <c r="U217" s="59"/>
    </row>
    <row r="218" spans="1:21" ht="15" customHeight="1" x14ac:dyDescent="0.25">
      <c r="A218" s="1">
        <f t="shared" ca="1" si="11"/>
        <v>4226</v>
      </c>
      <c r="B218" s="29"/>
      <c r="C218" s="29"/>
      <c r="D218" s="29"/>
      <c r="E218" s="29"/>
      <c r="F218" s="29">
        <v>2995</v>
      </c>
      <c r="G218" s="39"/>
      <c r="H218" s="40"/>
      <c r="I218" s="52"/>
      <c r="J218" s="53"/>
      <c r="K218" s="17"/>
      <c r="L218" s="39">
        <v>851</v>
      </c>
      <c r="M218" s="43">
        <v>702</v>
      </c>
      <c r="N218" s="45" t="s">
        <v>108</v>
      </c>
      <c r="O218" s="55">
        <v>12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4227</v>
      </c>
      <c r="B219" s="29"/>
      <c r="C219" s="29"/>
      <c r="D219" s="29"/>
      <c r="E219" s="29"/>
      <c r="F219" s="29">
        <v>2993</v>
      </c>
      <c r="G219" s="39"/>
      <c r="H219" s="40"/>
      <c r="I219" s="52"/>
      <c r="J219" s="53"/>
      <c r="K219" s="17"/>
      <c r="L219" s="39">
        <v>861</v>
      </c>
      <c r="M219" s="43">
        <v>721</v>
      </c>
      <c r="N219" s="45" t="s">
        <v>108</v>
      </c>
      <c r="O219" s="55">
        <v>15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4228</v>
      </c>
      <c r="B220" s="29"/>
      <c r="C220" s="29"/>
      <c r="D220" s="29"/>
      <c r="E220" s="29"/>
      <c r="F220" s="29">
        <v>2995</v>
      </c>
      <c r="G220" s="39"/>
      <c r="H220" s="40"/>
      <c r="I220" s="52"/>
      <c r="J220" s="53"/>
      <c r="K220" s="17"/>
      <c r="L220" s="39">
        <v>859</v>
      </c>
      <c r="M220" s="43">
        <v>702</v>
      </c>
      <c r="N220" s="45" t="s">
        <v>108</v>
      </c>
      <c r="O220" s="55">
        <v>14</v>
      </c>
      <c r="P220" s="56"/>
      <c r="Q220" s="74"/>
      <c r="R220" s="70">
        <v>0</v>
      </c>
      <c r="S220" s="19"/>
      <c r="T220" s="60"/>
      <c r="U220" s="59"/>
    </row>
    <row r="221" spans="1:21" ht="15" customHeight="1" x14ac:dyDescent="0.25">
      <c r="A221" s="1">
        <f t="shared" ca="1" si="11"/>
        <v>4229</v>
      </c>
      <c r="B221" s="29"/>
      <c r="C221" s="29"/>
      <c r="D221" s="29"/>
      <c r="E221" s="29"/>
      <c r="F221" s="29">
        <v>2993</v>
      </c>
      <c r="G221" s="39"/>
      <c r="H221" s="40"/>
      <c r="I221" s="52"/>
      <c r="J221" s="53"/>
      <c r="K221" s="17"/>
      <c r="L221" s="39">
        <v>863</v>
      </c>
      <c r="M221" s="43">
        <v>723</v>
      </c>
      <c r="N221" s="45" t="s">
        <v>108</v>
      </c>
      <c r="O221" s="55">
        <v>14</v>
      </c>
      <c r="P221" s="56"/>
      <c r="Q221" s="74"/>
      <c r="R221" s="70">
        <v>0</v>
      </c>
      <c r="S221" s="19"/>
      <c r="T221" s="60"/>
      <c r="U221" s="59"/>
    </row>
    <row r="222" spans="1:21" ht="15" customHeight="1" x14ac:dyDescent="0.25">
      <c r="A222" s="1">
        <f t="shared" ca="1" si="11"/>
        <v>4230</v>
      </c>
      <c r="B222" s="29"/>
      <c r="C222" s="29"/>
      <c r="D222" s="29"/>
      <c r="E222" s="29"/>
      <c r="F222" s="29">
        <v>2990</v>
      </c>
      <c r="G222" s="39"/>
      <c r="H222" s="40"/>
      <c r="I222" s="52"/>
      <c r="J222" s="53"/>
      <c r="K222" s="17"/>
      <c r="L222" s="39">
        <v>865</v>
      </c>
      <c r="M222" s="43">
        <v>698</v>
      </c>
      <c r="N222" s="45" t="s">
        <v>110</v>
      </c>
      <c r="O222" s="55">
        <v>14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29.963870967741936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85.693548387096769</v>
      </c>
      <c r="M223" s="44">
        <f>IF(COUNT(M192:M222)&gt;0,AVERAGE(M192:M222)/10,"")</f>
        <v>70.041935483870958</v>
      </c>
      <c r="N223" s="46"/>
      <c r="O223" s="57">
        <f>IF(COUNT(O192:O222)&gt;0,AVERAGE(O192:O222),"")</f>
        <v>14.387096774193548</v>
      </c>
      <c r="P223" s="58" t="str">
        <f>IF(COUNT(P192:P222)&gt;0,AVERAGE(P192:P222),"")</f>
        <v/>
      </c>
      <c r="Q223" s="47"/>
      <c r="R223" s="68">
        <f>IF(COUNT(R192:R222)&gt;0,SUM(R192:R222)/100,"")</f>
        <v>1.1000000000000001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4231</v>
      </c>
      <c r="B224" s="29"/>
      <c r="C224" s="29"/>
      <c r="D224" s="29"/>
      <c r="E224" s="29"/>
      <c r="F224" s="29">
        <v>2986</v>
      </c>
      <c r="G224" s="39"/>
      <c r="H224" s="40"/>
      <c r="I224" s="52"/>
      <c r="J224" s="53"/>
      <c r="K224" s="17"/>
      <c r="L224" s="39">
        <v>864</v>
      </c>
      <c r="M224" s="43">
        <v>701</v>
      </c>
      <c r="N224" s="45" t="s">
        <v>108</v>
      </c>
      <c r="O224" s="55">
        <v>12</v>
      </c>
      <c r="P224" s="56"/>
      <c r="Q224" s="74"/>
      <c r="R224" s="70">
        <v>5</v>
      </c>
      <c r="S224" s="19"/>
      <c r="T224" s="60"/>
      <c r="U224" s="59"/>
    </row>
    <row r="225" spans="1:21" ht="15" customHeight="1" x14ac:dyDescent="0.25">
      <c r="A225" s="1">
        <f t="shared" ca="1" si="11"/>
        <v>4232</v>
      </c>
      <c r="B225" s="29"/>
      <c r="C225" s="29"/>
      <c r="D225" s="29"/>
      <c r="E225" s="29"/>
      <c r="F225" s="29">
        <v>2992</v>
      </c>
      <c r="G225" s="39"/>
      <c r="H225" s="40"/>
      <c r="I225" s="52"/>
      <c r="J225" s="53"/>
      <c r="K225" s="17"/>
      <c r="L225" s="39">
        <v>840</v>
      </c>
      <c r="M225" s="43">
        <v>698</v>
      </c>
      <c r="N225" s="45" t="s">
        <v>110</v>
      </c>
      <c r="O225" s="55">
        <v>14</v>
      </c>
      <c r="P225" s="56"/>
      <c r="Q225" s="74"/>
      <c r="R225" s="70">
        <v>5</v>
      </c>
      <c r="S225" s="19"/>
      <c r="T225" s="60"/>
      <c r="U225" s="59"/>
    </row>
    <row r="226" spans="1:21" ht="15" customHeight="1" x14ac:dyDescent="0.25">
      <c r="A226" s="1">
        <f t="shared" ca="1" si="11"/>
        <v>4233</v>
      </c>
      <c r="B226" s="29"/>
      <c r="C226" s="29"/>
      <c r="D226" s="29"/>
      <c r="E226" s="29"/>
      <c r="F226" s="29">
        <v>2996</v>
      </c>
      <c r="G226" s="39"/>
      <c r="H226" s="40"/>
      <c r="I226" s="52"/>
      <c r="J226" s="53"/>
      <c r="K226" s="17"/>
      <c r="L226" s="39">
        <v>860</v>
      </c>
      <c r="M226" s="43">
        <v>722</v>
      </c>
      <c r="N226" s="45" t="s">
        <v>108</v>
      </c>
      <c r="O226" s="55">
        <v>12</v>
      </c>
      <c r="P226" s="56"/>
      <c r="Q226" s="74"/>
      <c r="R226" s="70">
        <v>0</v>
      </c>
      <c r="S226" s="19"/>
      <c r="T226" s="60"/>
      <c r="U226" s="59"/>
    </row>
    <row r="227" spans="1:21" ht="15" customHeight="1" x14ac:dyDescent="0.25">
      <c r="A227" s="1">
        <f t="shared" ca="1" si="11"/>
        <v>4234</v>
      </c>
      <c r="B227" s="29"/>
      <c r="C227" s="29"/>
      <c r="D227" s="29"/>
      <c r="E227" s="29"/>
      <c r="F227" s="29">
        <v>2991</v>
      </c>
      <c r="G227" s="39"/>
      <c r="H227" s="40"/>
      <c r="I227" s="52"/>
      <c r="J227" s="53"/>
      <c r="K227" s="17"/>
      <c r="L227" s="39">
        <v>872</v>
      </c>
      <c r="M227" s="43">
        <v>720</v>
      </c>
      <c r="N227" s="45"/>
      <c r="O227" s="55"/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4235</v>
      </c>
      <c r="B228" s="29"/>
      <c r="C228" s="29"/>
      <c r="D228" s="29"/>
      <c r="E228" s="29"/>
      <c r="F228" s="29">
        <v>2991</v>
      </c>
      <c r="G228" s="39"/>
      <c r="H228" s="40"/>
      <c r="I228" s="52"/>
      <c r="J228" s="53"/>
      <c r="K228" s="17"/>
      <c r="L228" s="39">
        <v>862</v>
      </c>
      <c r="M228" s="43">
        <v>700</v>
      </c>
      <c r="N228" s="45" t="s">
        <v>110</v>
      </c>
      <c r="O228" s="55">
        <v>14</v>
      </c>
      <c r="P228" s="56"/>
      <c r="Q228" s="74"/>
      <c r="R228" s="70">
        <v>4</v>
      </c>
      <c r="S228" s="19"/>
      <c r="T228" s="60"/>
      <c r="U228" s="59"/>
    </row>
    <row r="229" spans="1:21" ht="15" customHeight="1" x14ac:dyDescent="0.25">
      <c r="A229" s="1">
        <f t="shared" ca="1" si="11"/>
        <v>4236</v>
      </c>
      <c r="B229" s="29"/>
      <c r="C229" s="29"/>
      <c r="D229" s="29"/>
      <c r="E229" s="29"/>
      <c r="F229" s="29">
        <v>2994</v>
      </c>
      <c r="G229" s="39"/>
      <c r="H229" s="40"/>
      <c r="I229" s="52"/>
      <c r="J229" s="53"/>
      <c r="K229" s="17"/>
      <c r="L229" s="39">
        <v>871</v>
      </c>
      <c r="M229" s="43">
        <v>698</v>
      </c>
      <c r="N229" s="45" t="s">
        <v>108</v>
      </c>
      <c r="O229" s="55">
        <v>14</v>
      </c>
      <c r="P229" s="56"/>
      <c r="Q229" s="74"/>
      <c r="R229" s="70">
        <v>0</v>
      </c>
      <c r="S229" s="19"/>
      <c r="T229" s="60"/>
      <c r="U229" s="59"/>
    </row>
    <row r="230" spans="1:21" ht="15" customHeight="1" x14ac:dyDescent="0.25">
      <c r="A230" s="1">
        <f t="shared" ca="1" si="11"/>
        <v>4237</v>
      </c>
      <c r="B230" s="29"/>
      <c r="C230" s="29"/>
      <c r="D230" s="29"/>
      <c r="E230" s="29"/>
      <c r="F230" s="29">
        <v>2996</v>
      </c>
      <c r="G230" s="39"/>
      <c r="H230" s="40"/>
      <c r="I230" s="52"/>
      <c r="J230" s="53"/>
      <c r="K230" s="17"/>
      <c r="L230" s="39">
        <v>871</v>
      </c>
      <c r="M230" s="43">
        <v>703</v>
      </c>
      <c r="N230" s="45" t="s">
        <v>108</v>
      </c>
      <c r="O230" s="55">
        <v>10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4238</v>
      </c>
      <c r="B231" s="29"/>
      <c r="C231" s="29"/>
      <c r="D231" s="29"/>
      <c r="E231" s="29"/>
      <c r="F231" s="29">
        <v>2992</v>
      </c>
      <c r="G231" s="39"/>
      <c r="H231" s="40"/>
      <c r="I231" s="52"/>
      <c r="J231" s="53"/>
      <c r="K231" s="17"/>
      <c r="L231" s="39">
        <v>862</v>
      </c>
      <c r="M231" s="43">
        <v>723</v>
      </c>
      <c r="N231" s="45" t="s">
        <v>108</v>
      </c>
      <c r="O231" s="55">
        <v>13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4239</v>
      </c>
      <c r="B232" s="29"/>
      <c r="C232" s="29"/>
      <c r="D232" s="29"/>
      <c r="E232" s="29"/>
      <c r="F232" s="29">
        <v>2993</v>
      </c>
      <c r="G232" s="39"/>
      <c r="H232" s="40"/>
      <c r="I232" s="52"/>
      <c r="J232" s="53"/>
      <c r="K232" s="17"/>
      <c r="L232" s="39">
        <v>863</v>
      </c>
      <c r="M232" s="43">
        <v>721</v>
      </c>
      <c r="N232" s="45" t="s">
        <v>108</v>
      </c>
      <c r="O232" s="55">
        <v>14</v>
      </c>
      <c r="P232" s="56"/>
      <c r="Q232" s="74"/>
      <c r="R232" s="70">
        <v>0</v>
      </c>
      <c r="S232" s="19"/>
      <c r="T232" s="60"/>
      <c r="U232" s="59"/>
    </row>
    <row r="233" spans="1:21" ht="15" customHeight="1" x14ac:dyDescent="0.25">
      <c r="A233" s="1">
        <f t="shared" ca="1" si="11"/>
        <v>4240</v>
      </c>
      <c r="B233" s="29"/>
      <c r="C233" s="29"/>
      <c r="D233" s="29"/>
      <c r="E233" s="29"/>
      <c r="F233" s="29">
        <v>2995</v>
      </c>
      <c r="G233" s="39"/>
      <c r="H233" s="40"/>
      <c r="I233" s="52"/>
      <c r="J233" s="53"/>
      <c r="K233" s="17"/>
      <c r="L233" s="39">
        <v>875</v>
      </c>
      <c r="M233" s="43">
        <v>730</v>
      </c>
      <c r="N233" s="45" t="s">
        <v>108</v>
      </c>
      <c r="O233" s="55">
        <v>13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4241</v>
      </c>
      <c r="B234" s="29"/>
      <c r="C234" s="29"/>
      <c r="D234" s="29"/>
      <c r="E234" s="29"/>
      <c r="F234" s="29">
        <v>2993</v>
      </c>
      <c r="G234" s="39"/>
      <c r="H234" s="40"/>
      <c r="I234" s="52"/>
      <c r="J234" s="53"/>
      <c r="K234" s="17"/>
      <c r="L234" s="39">
        <v>858</v>
      </c>
      <c r="M234" s="43">
        <v>714</v>
      </c>
      <c r="N234" s="45" t="s">
        <v>108</v>
      </c>
      <c r="O234" s="55">
        <v>14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4242</v>
      </c>
      <c r="B235" s="29"/>
      <c r="C235" s="29"/>
      <c r="D235" s="29"/>
      <c r="E235" s="29"/>
      <c r="F235" s="29">
        <v>2990</v>
      </c>
      <c r="G235" s="39"/>
      <c r="H235" s="40"/>
      <c r="I235" s="52"/>
      <c r="J235" s="53"/>
      <c r="K235" s="17"/>
      <c r="L235" s="39">
        <v>862</v>
      </c>
      <c r="M235" s="43">
        <v>740</v>
      </c>
      <c r="N235" s="45" t="s">
        <v>108</v>
      </c>
      <c r="O235" s="55">
        <v>16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4243</v>
      </c>
      <c r="B236" s="29"/>
      <c r="C236" s="29"/>
      <c r="D236" s="29"/>
      <c r="E236" s="29"/>
      <c r="F236" s="29">
        <v>2992</v>
      </c>
      <c r="G236" s="39"/>
      <c r="H236" s="40"/>
      <c r="I236" s="52"/>
      <c r="J236" s="53"/>
      <c r="K236" s="17"/>
      <c r="L236" s="39">
        <v>870</v>
      </c>
      <c r="M236" s="43">
        <v>713</v>
      </c>
      <c r="N236" s="45" t="s">
        <v>108</v>
      </c>
      <c r="O236" s="55">
        <v>12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4244</v>
      </c>
      <c r="B237" s="29"/>
      <c r="C237" s="29"/>
      <c r="D237" s="29"/>
      <c r="E237" s="29"/>
      <c r="F237" s="29">
        <v>2989</v>
      </c>
      <c r="G237" s="39"/>
      <c r="H237" s="40"/>
      <c r="I237" s="52"/>
      <c r="J237" s="53"/>
      <c r="K237" s="17"/>
      <c r="L237" s="39">
        <v>850</v>
      </c>
      <c r="M237" s="43">
        <v>741</v>
      </c>
      <c r="N237" s="45" t="s">
        <v>108</v>
      </c>
      <c r="O237" s="55">
        <v>14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4245</v>
      </c>
      <c r="B238" s="29"/>
      <c r="C238" s="29"/>
      <c r="D238" s="29"/>
      <c r="E238" s="29"/>
      <c r="F238" s="29">
        <v>2989</v>
      </c>
      <c r="G238" s="39"/>
      <c r="H238" s="40"/>
      <c r="I238" s="52"/>
      <c r="J238" s="53"/>
      <c r="K238" s="17"/>
      <c r="L238" s="39">
        <v>870</v>
      </c>
      <c r="M238" s="43">
        <v>718</v>
      </c>
      <c r="N238" s="45" t="s">
        <v>108</v>
      </c>
      <c r="O238" s="55">
        <v>14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4246</v>
      </c>
      <c r="B239" s="29"/>
      <c r="C239" s="29"/>
      <c r="D239" s="29"/>
      <c r="E239" s="29"/>
      <c r="F239" s="29">
        <v>2990</v>
      </c>
      <c r="G239" s="39"/>
      <c r="H239" s="40"/>
      <c r="I239" s="52"/>
      <c r="J239" s="53"/>
      <c r="K239" s="17"/>
      <c r="L239" s="39">
        <v>869</v>
      </c>
      <c r="M239" s="43">
        <v>689</v>
      </c>
      <c r="N239" s="45" t="s">
        <v>108</v>
      </c>
      <c r="O239" s="55">
        <v>14</v>
      </c>
      <c r="P239" s="56"/>
      <c r="Q239" s="74"/>
      <c r="R239" s="70">
        <v>0</v>
      </c>
      <c r="S239" s="19"/>
      <c r="T239" s="60"/>
      <c r="U239" s="59"/>
    </row>
    <row r="240" spans="1:21" ht="15" customHeight="1" x14ac:dyDescent="0.25">
      <c r="A240" s="1">
        <f t="shared" ca="1" si="11"/>
        <v>4247</v>
      </c>
      <c r="B240" s="29"/>
      <c r="C240" s="29"/>
      <c r="D240" s="29"/>
      <c r="E240" s="29"/>
      <c r="F240" s="29">
        <v>2992</v>
      </c>
      <c r="G240" s="39"/>
      <c r="H240" s="40"/>
      <c r="I240" s="52"/>
      <c r="J240" s="53"/>
      <c r="K240" s="17"/>
      <c r="L240" s="39">
        <v>869</v>
      </c>
      <c r="M240" s="43">
        <v>701</v>
      </c>
      <c r="N240" s="45" t="s">
        <v>108</v>
      </c>
      <c r="O240" s="55">
        <v>14</v>
      </c>
      <c r="P240" s="56"/>
      <c r="Q240" s="74"/>
      <c r="R240" s="70">
        <v>0</v>
      </c>
      <c r="S240" s="19"/>
      <c r="T240" s="60"/>
      <c r="U240" s="59"/>
    </row>
    <row r="241" spans="1:21" ht="15" customHeight="1" x14ac:dyDescent="0.25">
      <c r="A241" s="1">
        <f t="shared" ca="1" si="11"/>
        <v>4248</v>
      </c>
      <c r="B241" s="29"/>
      <c r="C241" s="29"/>
      <c r="D241" s="29"/>
      <c r="E241" s="29"/>
      <c r="F241" s="29">
        <v>2996</v>
      </c>
      <c r="G241" s="39"/>
      <c r="H241" s="40"/>
      <c r="I241" s="52"/>
      <c r="J241" s="53"/>
      <c r="K241" s="17"/>
      <c r="L241" s="39">
        <v>875</v>
      </c>
      <c r="M241" s="43">
        <v>720</v>
      </c>
      <c r="N241" s="45" t="s">
        <v>108</v>
      </c>
      <c r="O241" s="55">
        <v>14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4249</v>
      </c>
      <c r="B242" s="29"/>
      <c r="C242" s="29"/>
      <c r="D242" s="29"/>
      <c r="E242" s="29"/>
      <c r="F242" s="29">
        <v>2993</v>
      </c>
      <c r="G242" s="39"/>
      <c r="H242" s="40"/>
      <c r="I242" s="52"/>
      <c r="J242" s="53"/>
      <c r="K242" s="17"/>
      <c r="L242" s="39">
        <v>878</v>
      </c>
      <c r="M242" s="43">
        <v>710</v>
      </c>
      <c r="N242" s="45" t="s">
        <v>108</v>
      </c>
      <c r="O242" s="55">
        <v>12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4250</v>
      </c>
      <c r="B243" s="29"/>
      <c r="C243" s="29"/>
      <c r="D243" s="29"/>
      <c r="E243" s="29"/>
      <c r="F243" s="29">
        <v>2990</v>
      </c>
      <c r="G243" s="39"/>
      <c r="H243" s="40"/>
      <c r="I243" s="52"/>
      <c r="J243" s="53"/>
      <c r="K243" s="17"/>
      <c r="L243" s="39">
        <v>874</v>
      </c>
      <c r="M243" s="43">
        <v>712</v>
      </c>
      <c r="N243" s="45" t="s">
        <v>106</v>
      </c>
      <c r="O243" s="55">
        <v>14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4251</v>
      </c>
      <c r="B244" s="29"/>
      <c r="C244" s="29"/>
      <c r="D244" s="29"/>
      <c r="E244" s="29"/>
      <c r="F244" s="29">
        <v>2990</v>
      </c>
      <c r="G244" s="39"/>
      <c r="H244" s="40"/>
      <c r="I244" s="52"/>
      <c r="J244" s="53"/>
      <c r="K244" s="17"/>
      <c r="L244" s="39">
        <v>868</v>
      </c>
      <c r="M244" s="43">
        <v>710</v>
      </c>
      <c r="N244" s="45" t="s">
        <v>108</v>
      </c>
      <c r="O244" s="55">
        <v>12</v>
      </c>
      <c r="P244" s="56"/>
      <c r="Q244" s="74"/>
      <c r="R244" s="70">
        <v>0</v>
      </c>
      <c r="S244" s="19"/>
      <c r="T244" s="60"/>
      <c r="U244" s="59"/>
    </row>
    <row r="245" spans="1:21" ht="15" customHeight="1" x14ac:dyDescent="0.25">
      <c r="A245" s="1">
        <f t="shared" ca="1" si="11"/>
        <v>4252</v>
      </c>
      <c r="B245" s="29"/>
      <c r="C245" s="29"/>
      <c r="D245" s="29"/>
      <c r="E245" s="29"/>
      <c r="F245" s="29">
        <v>2991</v>
      </c>
      <c r="G245" s="39"/>
      <c r="H245" s="40"/>
      <c r="I245" s="52"/>
      <c r="J245" s="53"/>
      <c r="K245" s="17"/>
      <c r="L245" s="39">
        <v>859</v>
      </c>
      <c r="M245" s="43">
        <v>715</v>
      </c>
      <c r="N245" s="45" t="s">
        <v>108</v>
      </c>
      <c r="O245" s="55">
        <v>12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4253</v>
      </c>
      <c r="B246" s="29"/>
      <c r="C246" s="29"/>
      <c r="D246" s="29"/>
      <c r="E246" s="29"/>
      <c r="F246" s="29">
        <v>2990</v>
      </c>
      <c r="G246" s="39"/>
      <c r="H246" s="40"/>
      <c r="I246" s="52"/>
      <c r="J246" s="53"/>
      <c r="K246" s="17"/>
      <c r="L246" s="39">
        <v>875</v>
      </c>
      <c r="M246" s="43">
        <v>712</v>
      </c>
      <c r="N246" s="45" t="s">
        <v>108</v>
      </c>
      <c r="O246" s="55">
        <v>14</v>
      </c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4254</v>
      </c>
      <c r="B247" s="29"/>
      <c r="C247" s="29"/>
      <c r="D247" s="29"/>
      <c r="E247" s="29"/>
      <c r="F247" s="29">
        <v>2987</v>
      </c>
      <c r="G247" s="39"/>
      <c r="H247" s="40"/>
      <c r="I247" s="52"/>
      <c r="J247" s="53"/>
      <c r="K247" s="17"/>
      <c r="L247" s="39">
        <v>876</v>
      </c>
      <c r="M247" s="43">
        <v>713</v>
      </c>
      <c r="N247" s="45" t="s">
        <v>110</v>
      </c>
      <c r="O247" s="55">
        <v>14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4255</v>
      </c>
      <c r="B248" s="29"/>
      <c r="C248" s="29"/>
      <c r="D248" s="29"/>
      <c r="E248" s="29"/>
      <c r="F248" s="29">
        <v>2998</v>
      </c>
      <c r="G248" s="39"/>
      <c r="H248" s="40"/>
      <c r="I248" s="52"/>
      <c r="J248" s="53"/>
      <c r="K248" s="17"/>
      <c r="L248" s="39">
        <v>880</v>
      </c>
      <c r="M248" s="43">
        <v>713</v>
      </c>
      <c r="N248" s="45" t="s">
        <v>110</v>
      </c>
      <c r="O248" s="55">
        <v>12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4256</v>
      </c>
      <c r="B249" s="29"/>
      <c r="C249" s="29"/>
      <c r="D249" s="29"/>
      <c r="E249" s="29"/>
      <c r="F249" s="29">
        <v>2991</v>
      </c>
      <c r="G249" s="39"/>
      <c r="H249" s="40"/>
      <c r="I249" s="52"/>
      <c r="J249" s="53"/>
      <c r="K249" s="17"/>
      <c r="L249" s="39">
        <v>878</v>
      </c>
      <c r="M249" s="43">
        <v>721</v>
      </c>
      <c r="N249" s="45" t="s">
        <v>108</v>
      </c>
      <c r="O249" s="55">
        <v>15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4257</v>
      </c>
      <c r="B250" s="29"/>
      <c r="C250" s="29"/>
      <c r="D250" s="29"/>
      <c r="E250" s="29"/>
      <c r="F250" s="29">
        <v>2992</v>
      </c>
      <c r="G250" s="39"/>
      <c r="H250" s="40"/>
      <c r="I250" s="52"/>
      <c r="J250" s="53"/>
      <c r="K250" s="17"/>
      <c r="L250" s="39">
        <v>876</v>
      </c>
      <c r="M250" s="43">
        <v>705</v>
      </c>
      <c r="N250" s="45" t="s">
        <v>108</v>
      </c>
      <c r="O250" s="55">
        <v>14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4258</v>
      </c>
      <c r="B251" s="29"/>
      <c r="C251" s="29"/>
      <c r="D251" s="29"/>
      <c r="E251" s="29"/>
      <c r="F251" s="29">
        <v>2988</v>
      </c>
      <c r="G251" s="39"/>
      <c r="H251" s="40"/>
      <c r="I251" s="52"/>
      <c r="J251" s="53"/>
      <c r="K251" s="17"/>
      <c r="L251" s="39">
        <v>881</v>
      </c>
      <c r="M251" s="43">
        <v>705</v>
      </c>
      <c r="N251" s="45" t="s">
        <v>108</v>
      </c>
      <c r="O251" s="55">
        <v>15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4259</v>
      </c>
      <c r="B252" s="29"/>
      <c r="C252" s="29"/>
      <c r="D252" s="29"/>
      <c r="E252" s="29"/>
      <c r="F252" s="29">
        <v>2991</v>
      </c>
      <c r="G252" s="39"/>
      <c r="H252" s="40"/>
      <c r="I252" s="52"/>
      <c r="J252" s="53"/>
      <c r="K252" s="17"/>
      <c r="L252" s="39">
        <v>868</v>
      </c>
      <c r="M252" s="43">
        <v>689</v>
      </c>
      <c r="N252" s="45" t="s">
        <v>108</v>
      </c>
      <c r="O252" s="55">
        <v>14</v>
      </c>
      <c r="P252" s="56"/>
      <c r="Q252" s="74"/>
      <c r="R252" s="70">
        <v>5</v>
      </c>
      <c r="S252" s="19"/>
      <c r="T252" s="60"/>
      <c r="U252" s="59"/>
    </row>
    <row r="253" spans="1:21" ht="15" customHeight="1" x14ac:dyDescent="0.25">
      <c r="A253" s="1">
        <f t="shared" ca="1" si="11"/>
        <v>4260</v>
      </c>
      <c r="B253" s="29"/>
      <c r="C253" s="29"/>
      <c r="D253" s="29"/>
      <c r="E253" s="29"/>
      <c r="F253" s="29">
        <v>2991</v>
      </c>
      <c r="G253" s="39"/>
      <c r="H253" s="40"/>
      <c r="I253" s="52"/>
      <c r="J253" s="53"/>
      <c r="K253" s="17"/>
      <c r="L253" s="39">
        <v>876</v>
      </c>
      <c r="M253" s="43">
        <v>688</v>
      </c>
      <c r="N253" s="45" t="s">
        <v>108</v>
      </c>
      <c r="O253" s="55">
        <v>14</v>
      </c>
      <c r="P253" s="56"/>
      <c r="Q253" s="74"/>
      <c r="R253" s="70">
        <v>0</v>
      </c>
      <c r="S253" s="19"/>
      <c r="T253" s="60"/>
      <c r="U253" s="59"/>
    </row>
    <row r="254" spans="1:21" ht="15" customHeight="1" x14ac:dyDescent="0.25">
      <c r="A254" s="1">
        <f t="shared" ca="1" si="11"/>
        <v>4261</v>
      </c>
      <c r="B254" s="29"/>
      <c r="C254" s="29"/>
      <c r="D254" s="29"/>
      <c r="E254" s="29"/>
      <c r="F254" s="29">
        <v>2989</v>
      </c>
      <c r="G254" s="39"/>
      <c r="H254" s="40"/>
      <c r="I254" s="52"/>
      <c r="J254" s="53"/>
      <c r="K254" s="17"/>
      <c r="L254" s="39">
        <v>846</v>
      </c>
      <c r="M254" s="43">
        <v>731</v>
      </c>
      <c r="N254" s="45" t="s">
        <v>110</v>
      </c>
      <c r="O254" s="55">
        <v>14</v>
      </c>
      <c r="P254" s="56"/>
      <c r="Q254" s="74"/>
      <c r="R254" s="70">
        <v>0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29.915483870967741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86.767741935483869</v>
      </c>
      <c r="M255" s="44">
        <f>IF(COUNT(M224:M254)&gt;0,AVERAGE(M224:M254)/10,"")</f>
        <v>71.212903225806457</v>
      </c>
      <c r="N255" s="46"/>
      <c r="O255" s="57">
        <f>IF(COUNT(O224:O254)&gt;0,AVERAGE(O224:O254),"")</f>
        <v>13.466666666666667</v>
      </c>
      <c r="P255" s="58" t="str">
        <f>IF(COUNT(P224:P254)&gt;0,AVERAGE(P224:P254),"")</f>
        <v/>
      </c>
      <c r="Q255" s="47"/>
      <c r="R255" s="68">
        <f>IF(COUNT(R224:R254)&gt;0,SUM(R224:R254)/100,"")</f>
        <v>0.19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4262</v>
      </c>
      <c r="B256" s="29"/>
      <c r="C256" s="29"/>
      <c r="D256" s="29"/>
      <c r="E256" s="29"/>
      <c r="F256" s="29">
        <v>2987</v>
      </c>
      <c r="G256" s="39"/>
      <c r="H256" s="40"/>
      <c r="I256" s="52"/>
      <c r="J256" s="53"/>
      <c r="K256" s="17"/>
      <c r="L256" s="39">
        <v>880</v>
      </c>
      <c r="M256" s="43">
        <v>741</v>
      </c>
      <c r="N256" s="45" t="s">
        <v>108</v>
      </c>
      <c r="O256" s="55">
        <v>14</v>
      </c>
      <c r="P256" s="56"/>
      <c r="Q256" s="74"/>
      <c r="R256" s="70">
        <v>0</v>
      </c>
      <c r="S256" s="19"/>
      <c r="T256" s="60"/>
      <c r="U256" s="59"/>
    </row>
    <row r="257" spans="1:21" ht="15" customHeight="1" x14ac:dyDescent="0.25">
      <c r="A257" s="1">
        <f t="shared" ca="1" si="11"/>
        <v>4263</v>
      </c>
      <c r="B257" s="29"/>
      <c r="C257" s="29"/>
      <c r="D257" s="29"/>
      <c r="E257" s="29"/>
      <c r="F257" s="29">
        <v>2994</v>
      </c>
      <c r="G257" s="39"/>
      <c r="H257" s="40"/>
      <c r="I257" s="52"/>
      <c r="J257" s="53"/>
      <c r="K257" s="17"/>
      <c r="L257" s="39">
        <v>874</v>
      </c>
      <c r="M257" s="43">
        <v>712</v>
      </c>
      <c r="N257" s="45" t="s">
        <v>110</v>
      </c>
      <c r="O257" s="55">
        <v>13</v>
      </c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4264</v>
      </c>
      <c r="B258" s="29"/>
      <c r="C258" s="29"/>
      <c r="D258" s="29"/>
      <c r="E258" s="29"/>
      <c r="F258" s="29">
        <v>2985</v>
      </c>
      <c r="G258" s="39"/>
      <c r="H258" s="40"/>
      <c r="I258" s="52"/>
      <c r="J258" s="53"/>
      <c r="K258" s="17"/>
      <c r="L258" s="39">
        <v>873</v>
      </c>
      <c r="M258" s="43">
        <v>730</v>
      </c>
      <c r="N258" s="45" t="s">
        <v>108</v>
      </c>
      <c r="O258" s="55">
        <v>12</v>
      </c>
      <c r="P258" s="56"/>
      <c r="Q258" s="74"/>
      <c r="R258" s="70">
        <v>5</v>
      </c>
      <c r="S258" s="19"/>
      <c r="T258" s="60"/>
      <c r="U258" s="59"/>
    </row>
    <row r="259" spans="1:21" ht="15" customHeight="1" x14ac:dyDescent="0.25">
      <c r="A259" s="1">
        <f t="shared" ca="1" si="11"/>
        <v>4265</v>
      </c>
      <c r="B259" s="29"/>
      <c r="C259" s="29"/>
      <c r="D259" s="29"/>
      <c r="E259" s="29"/>
      <c r="F259" s="29">
        <v>2985</v>
      </c>
      <c r="G259" s="39"/>
      <c r="H259" s="40"/>
      <c r="I259" s="52"/>
      <c r="J259" s="53"/>
      <c r="K259" s="17"/>
      <c r="L259" s="39">
        <v>871</v>
      </c>
      <c r="M259" s="43">
        <v>726</v>
      </c>
      <c r="N259" s="45" t="s">
        <v>108</v>
      </c>
      <c r="O259" s="55">
        <v>14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4266</v>
      </c>
      <c r="B260" s="29"/>
      <c r="C260" s="29"/>
      <c r="D260" s="29"/>
      <c r="E260" s="29"/>
      <c r="F260" s="29">
        <v>2980</v>
      </c>
      <c r="G260" s="39"/>
      <c r="H260" s="40"/>
      <c r="I260" s="52"/>
      <c r="J260" s="53"/>
      <c r="K260" s="17"/>
      <c r="L260" s="39">
        <v>870</v>
      </c>
      <c r="M260" s="43">
        <v>741</v>
      </c>
      <c r="N260" s="45" t="s">
        <v>110</v>
      </c>
      <c r="O260" s="55">
        <v>14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4267</v>
      </c>
      <c r="B261" s="29"/>
      <c r="C261" s="29"/>
      <c r="D261" s="29"/>
      <c r="E261" s="29"/>
      <c r="F261" s="29">
        <v>2985</v>
      </c>
      <c r="G261" s="39"/>
      <c r="H261" s="40"/>
      <c r="I261" s="52"/>
      <c r="J261" s="53"/>
      <c r="K261" s="17"/>
      <c r="L261" s="39">
        <v>840</v>
      </c>
      <c r="M261" s="43">
        <v>732</v>
      </c>
      <c r="N261" s="45" t="s">
        <v>108</v>
      </c>
      <c r="O261" s="55">
        <v>14</v>
      </c>
      <c r="P261" s="56"/>
      <c r="Q261" s="74"/>
      <c r="R261" s="70">
        <v>0</v>
      </c>
      <c r="S261" s="19"/>
      <c r="T261" s="60"/>
      <c r="U261" s="59"/>
    </row>
    <row r="262" spans="1:21" ht="15" customHeight="1" x14ac:dyDescent="0.25">
      <c r="A262" s="1">
        <f t="shared" ca="1" si="11"/>
        <v>4268</v>
      </c>
      <c r="B262" s="29"/>
      <c r="C262" s="29"/>
      <c r="D262" s="29"/>
      <c r="E262" s="29"/>
      <c r="F262" s="29">
        <v>2989</v>
      </c>
      <c r="G262" s="39"/>
      <c r="H262" s="40"/>
      <c r="I262" s="52"/>
      <c r="J262" s="53"/>
      <c r="K262" s="17"/>
      <c r="L262" s="39">
        <v>890</v>
      </c>
      <c r="M262" s="43">
        <v>731</v>
      </c>
      <c r="N262" s="45" t="s">
        <v>110</v>
      </c>
      <c r="O262" s="55">
        <v>9</v>
      </c>
      <c r="P262" s="56"/>
      <c r="Q262" s="74"/>
      <c r="R262" s="70">
        <v>6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4269</v>
      </c>
      <c r="B263" s="29"/>
      <c r="C263" s="29"/>
      <c r="D263" s="29"/>
      <c r="E263" s="29"/>
      <c r="F263" s="29">
        <v>2994</v>
      </c>
      <c r="G263" s="39"/>
      <c r="H263" s="40"/>
      <c r="I263" s="52"/>
      <c r="J263" s="53"/>
      <c r="K263" s="17"/>
      <c r="L263" s="39">
        <v>890</v>
      </c>
      <c r="M263" s="43">
        <v>741</v>
      </c>
      <c r="N263" s="45" t="s">
        <v>110</v>
      </c>
      <c r="O263" s="55">
        <v>15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ca="1" si="18"/>
        <v>4270</v>
      </c>
      <c r="B264" s="29"/>
      <c r="C264" s="29"/>
      <c r="D264" s="29"/>
      <c r="E264" s="29"/>
      <c r="F264" s="29">
        <v>2996</v>
      </c>
      <c r="G264" s="39"/>
      <c r="H264" s="40"/>
      <c r="I264" s="52"/>
      <c r="J264" s="53"/>
      <c r="K264" s="17"/>
      <c r="L264" s="39">
        <v>891</v>
      </c>
      <c r="M264" s="43">
        <v>712</v>
      </c>
      <c r="N264" s="45" t="s">
        <v>108</v>
      </c>
      <c r="O264" s="55">
        <v>15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4271</v>
      </c>
      <c r="B265" s="29"/>
      <c r="C265" s="29"/>
      <c r="D265" s="29"/>
      <c r="E265" s="29"/>
      <c r="F265" s="29">
        <v>2991</v>
      </c>
      <c r="G265" s="39"/>
      <c r="H265" s="40"/>
      <c r="I265" s="52"/>
      <c r="J265" s="53"/>
      <c r="K265" s="17"/>
      <c r="L265" s="39">
        <v>861</v>
      </c>
      <c r="M265" s="43">
        <v>698</v>
      </c>
      <c r="N265" s="45" t="s">
        <v>108</v>
      </c>
      <c r="O265" s="55">
        <v>18</v>
      </c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4272</v>
      </c>
      <c r="B266" s="29"/>
      <c r="C266" s="29"/>
      <c r="D266" s="29"/>
      <c r="E266" s="29"/>
      <c r="F266" s="29">
        <v>2986</v>
      </c>
      <c r="G266" s="39"/>
      <c r="H266" s="40"/>
      <c r="I266" s="52"/>
      <c r="J266" s="53"/>
      <c r="K266" s="17"/>
      <c r="L266" s="39">
        <v>881</v>
      </c>
      <c r="M266" s="43">
        <v>700</v>
      </c>
      <c r="N266" s="45" t="s">
        <v>108</v>
      </c>
      <c r="O266" s="55">
        <v>16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4273</v>
      </c>
      <c r="B267" s="29"/>
      <c r="C267" s="29"/>
      <c r="D267" s="29"/>
      <c r="E267" s="29"/>
      <c r="F267" s="29">
        <v>2987</v>
      </c>
      <c r="G267" s="39"/>
      <c r="H267" s="40"/>
      <c r="I267" s="52"/>
      <c r="J267" s="53"/>
      <c r="K267" s="17"/>
      <c r="L267" s="39">
        <v>878</v>
      </c>
      <c r="M267" s="43">
        <v>723</v>
      </c>
      <c r="N267" s="45" t="s">
        <v>108</v>
      </c>
      <c r="O267" s="55">
        <v>13</v>
      </c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4274</v>
      </c>
      <c r="B268" s="29"/>
      <c r="C268" s="29"/>
      <c r="D268" s="29"/>
      <c r="E268" s="29"/>
      <c r="F268" s="29">
        <v>2992</v>
      </c>
      <c r="G268" s="39"/>
      <c r="H268" s="40"/>
      <c r="I268" s="52"/>
      <c r="J268" s="53"/>
      <c r="K268" s="17"/>
      <c r="L268" s="39">
        <v>872</v>
      </c>
      <c r="M268" s="43">
        <v>721</v>
      </c>
      <c r="N268" s="45" t="s">
        <v>110</v>
      </c>
      <c r="O268" s="55">
        <v>14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4275</v>
      </c>
      <c r="B269" s="29"/>
      <c r="C269" s="29"/>
      <c r="D269" s="29"/>
      <c r="E269" s="29"/>
      <c r="F269" s="29">
        <v>2993</v>
      </c>
      <c r="G269" s="39"/>
      <c r="H269" s="40"/>
      <c r="I269" s="52"/>
      <c r="J269" s="53"/>
      <c r="K269" s="17"/>
      <c r="L269" s="39">
        <v>882</v>
      </c>
      <c r="M269" s="43">
        <v>731</v>
      </c>
      <c r="N269" s="45" t="s">
        <v>108</v>
      </c>
      <c r="O269" s="55">
        <v>12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4276</v>
      </c>
      <c r="B270" s="29"/>
      <c r="C270" s="29"/>
      <c r="D270" s="29"/>
      <c r="E270" s="29"/>
      <c r="F270" s="29">
        <v>2992</v>
      </c>
      <c r="G270" s="39"/>
      <c r="H270" s="40"/>
      <c r="I270" s="52"/>
      <c r="J270" s="53"/>
      <c r="K270" s="17"/>
      <c r="L270" s="39">
        <v>892</v>
      </c>
      <c r="M270" s="43">
        <v>724</v>
      </c>
      <c r="N270" s="45" t="s">
        <v>108</v>
      </c>
      <c r="O270" s="55">
        <v>14</v>
      </c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4277</v>
      </c>
      <c r="B271" s="29"/>
      <c r="C271" s="29"/>
      <c r="D271" s="29"/>
      <c r="E271" s="29"/>
      <c r="F271" s="29">
        <v>2985</v>
      </c>
      <c r="G271" s="39"/>
      <c r="H271" s="40"/>
      <c r="I271" s="52"/>
      <c r="J271" s="53"/>
      <c r="K271" s="17"/>
      <c r="L271" s="39">
        <v>883</v>
      </c>
      <c r="M271" s="43">
        <v>720</v>
      </c>
      <c r="N271" s="45" t="s">
        <v>108</v>
      </c>
      <c r="O271" s="55">
        <v>10</v>
      </c>
      <c r="P271" s="56"/>
      <c r="Q271" s="74"/>
      <c r="R271" s="70">
        <v>0</v>
      </c>
      <c r="S271" s="19"/>
      <c r="T271" s="60"/>
      <c r="U271" s="59"/>
    </row>
    <row r="272" spans="1:21" ht="15" customHeight="1" x14ac:dyDescent="0.25">
      <c r="A272" s="1">
        <f t="shared" ca="1" si="18"/>
        <v>4278</v>
      </c>
      <c r="B272" s="29"/>
      <c r="C272" s="29"/>
      <c r="D272" s="29"/>
      <c r="E272" s="29"/>
      <c r="F272" s="29">
        <v>2982</v>
      </c>
      <c r="G272" s="39"/>
      <c r="H272" s="40"/>
      <c r="I272" s="52"/>
      <c r="J272" s="53"/>
      <c r="K272" s="17"/>
      <c r="L272" s="39">
        <v>890</v>
      </c>
      <c r="M272" s="43">
        <v>741</v>
      </c>
      <c r="N272" s="45" t="s">
        <v>108</v>
      </c>
      <c r="O272" s="55">
        <v>14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4279</v>
      </c>
      <c r="B273" s="29"/>
      <c r="C273" s="29"/>
      <c r="D273" s="29"/>
      <c r="E273" s="29"/>
      <c r="F273" s="29">
        <v>2987</v>
      </c>
      <c r="G273" s="39"/>
      <c r="H273" s="40"/>
      <c r="I273" s="52"/>
      <c r="J273" s="53"/>
      <c r="K273" s="17"/>
      <c r="L273" s="39">
        <v>890</v>
      </c>
      <c r="M273" s="43">
        <v>734</v>
      </c>
      <c r="N273" s="45" t="s">
        <v>110</v>
      </c>
      <c r="O273" s="55">
        <v>12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4280</v>
      </c>
      <c r="B274" s="29"/>
      <c r="C274" s="29"/>
      <c r="D274" s="29"/>
      <c r="E274" s="29"/>
      <c r="F274" s="29">
        <v>2988</v>
      </c>
      <c r="G274" s="39"/>
      <c r="H274" s="40"/>
      <c r="I274" s="52"/>
      <c r="J274" s="53"/>
      <c r="K274" s="17"/>
      <c r="L274" s="39">
        <v>874</v>
      </c>
      <c r="M274" s="43">
        <v>726</v>
      </c>
      <c r="N274" s="45" t="s">
        <v>108</v>
      </c>
      <c r="O274" s="55">
        <v>12</v>
      </c>
      <c r="P274" s="56"/>
      <c r="Q274" s="74"/>
      <c r="R274" s="70">
        <v>0</v>
      </c>
      <c r="S274" s="19"/>
      <c r="T274" s="60"/>
      <c r="U274" s="59"/>
    </row>
    <row r="275" spans="1:21" ht="15" customHeight="1" x14ac:dyDescent="0.25">
      <c r="A275" s="1">
        <f t="shared" ca="1" si="18"/>
        <v>4281</v>
      </c>
      <c r="B275" s="29"/>
      <c r="C275" s="29"/>
      <c r="D275" s="29"/>
      <c r="E275" s="29"/>
      <c r="F275" s="29">
        <v>2988</v>
      </c>
      <c r="G275" s="39"/>
      <c r="H275" s="40"/>
      <c r="I275" s="52"/>
      <c r="J275" s="53"/>
      <c r="K275" s="17"/>
      <c r="L275" s="39">
        <v>878</v>
      </c>
      <c r="M275" s="43">
        <v>699</v>
      </c>
      <c r="N275" s="45" t="s">
        <v>108</v>
      </c>
      <c r="O275" s="55">
        <v>12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4282</v>
      </c>
      <c r="B276" s="29"/>
      <c r="C276" s="29"/>
      <c r="D276" s="29"/>
      <c r="E276" s="29"/>
      <c r="F276" s="29">
        <v>2989</v>
      </c>
      <c r="G276" s="39"/>
      <c r="H276" s="40"/>
      <c r="I276" s="52"/>
      <c r="J276" s="53"/>
      <c r="K276" s="17"/>
      <c r="L276" s="39">
        <v>870</v>
      </c>
      <c r="M276" s="43">
        <v>725</v>
      </c>
      <c r="N276" s="45" t="s">
        <v>106</v>
      </c>
      <c r="O276" s="55">
        <v>14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4283</v>
      </c>
      <c r="B277" s="29"/>
      <c r="C277" s="29"/>
      <c r="D277" s="29"/>
      <c r="E277" s="29"/>
      <c r="F277" s="29">
        <v>2990</v>
      </c>
      <c r="G277" s="39"/>
      <c r="H277" s="40"/>
      <c r="I277" s="52"/>
      <c r="J277" s="53"/>
      <c r="K277" s="17"/>
      <c r="L277" s="39">
        <v>875</v>
      </c>
      <c r="M277" s="43">
        <v>701</v>
      </c>
      <c r="N277" s="45" t="s">
        <v>108</v>
      </c>
      <c r="O277" s="55">
        <v>12</v>
      </c>
      <c r="P277" s="56"/>
      <c r="Q277" s="74"/>
      <c r="R277" s="70">
        <v>3</v>
      </c>
      <c r="S277" s="19"/>
      <c r="T277" s="60"/>
      <c r="U277" s="59"/>
    </row>
    <row r="278" spans="1:21" ht="15" customHeight="1" x14ac:dyDescent="0.25">
      <c r="A278" s="1">
        <f t="shared" ca="1" si="18"/>
        <v>4284</v>
      </c>
      <c r="B278" s="29"/>
      <c r="C278" s="29"/>
      <c r="D278" s="29"/>
      <c r="E278" s="29"/>
      <c r="F278" s="29">
        <v>2988</v>
      </c>
      <c r="G278" s="39"/>
      <c r="H278" s="40"/>
      <c r="I278" s="52"/>
      <c r="J278" s="53"/>
      <c r="K278" s="17"/>
      <c r="L278" s="39">
        <v>883</v>
      </c>
      <c r="M278" s="43">
        <v>724</v>
      </c>
      <c r="N278" s="45" t="s">
        <v>110</v>
      </c>
      <c r="O278" s="55">
        <v>12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4285</v>
      </c>
      <c r="B279" s="29"/>
      <c r="C279" s="29"/>
      <c r="D279" s="29"/>
      <c r="E279" s="29"/>
      <c r="F279" s="29">
        <v>2989</v>
      </c>
      <c r="G279" s="39"/>
      <c r="H279" s="40"/>
      <c r="I279" s="52"/>
      <c r="J279" s="53"/>
      <c r="K279" s="17"/>
      <c r="L279" s="39">
        <v>865</v>
      </c>
      <c r="M279" s="43">
        <v>750</v>
      </c>
      <c r="N279" s="45" t="s">
        <v>110</v>
      </c>
      <c r="O279" s="55">
        <v>14</v>
      </c>
      <c r="P279" s="56"/>
      <c r="Q279" s="74"/>
      <c r="R279" s="70">
        <v>3</v>
      </c>
      <c r="S279" s="19"/>
      <c r="T279" s="60"/>
      <c r="U279" s="59"/>
    </row>
    <row r="280" spans="1:21" ht="15" customHeight="1" x14ac:dyDescent="0.25">
      <c r="A280" s="1">
        <f t="shared" ca="1" si="18"/>
        <v>4286</v>
      </c>
      <c r="B280" s="29"/>
      <c r="C280" s="29"/>
      <c r="D280" s="29"/>
      <c r="E280" s="29"/>
      <c r="F280" s="29">
        <v>2987</v>
      </c>
      <c r="G280" s="39"/>
      <c r="H280" s="40"/>
      <c r="I280" s="52"/>
      <c r="J280" s="53"/>
      <c r="K280" s="17"/>
      <c r="L280" s="39">
        <v>875</v>
      </c>
      <c r="M280" s="43">
        <v>698</v>
      </c>
      <c r="N280" s="45" t="s">
        <v>108</v>
      </c>
      <c r="O280" s="55">
        <v>12</v>
      </c>
      <c r="P280" s="56"/>
      <c r="Q280" s="74"/>
      <c r="R280" s="70">
        <v>3</v>
      </c>
      <c r="S280" s="19"/>
      <c r="T280" s="60"/>
      <c r="U280" s="59"/>
    </row>
    <row r="281" spans="1:21" ht="15" customHeight="1" x14ac:dyDescent="0.25">
      <c r="A281" s="1">
        <f t="shared" ca="1" si="18"/>
        <v>4287</v>
      </c>
      <c r="B281" s="29"/>
      <c r="C281" s="29"/>
      <c r="D281" s="29"/>
      <c r="E281" s="29"/>
      <c r="F281" s="29">
        <v>2988</v>
      </c>
      <c r="G281" s="39"/>
      <c r="H281" s="40"/>
      <c r="I281" s="52"/>
      <c r="J281" s="53"/>
      <c r="K281" s="17"/>
      <c r="L281" s="39">
        <v>882</v>
      </c>
      <c r="M281" s="43">
        <v>723</v>
      </c>
      <c r="N281" s="45" t="s">
        <v>110</v>
      </c>
      <c r="O281" s="55">
        <v>14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4288</v>
      </c>
      <c r="B282" s="29"/>
      <c r="C282" s="29"/>
      <c r="D282" s="29"/>
      <c r="E282" s="29"/>
      <c r="F282" s="29">
        <v>2990</v>
      </c>
      <c r="G282" s="39"/>
      <c r="H282" s="40"/>
      <c r="I282" s="52"/>
      <c r="J282" s="53"/>
      <c r="K282" s="17"/>
      <c r="L282" s="39">
        <v>881</v>
      </c>
      <c r="M282" s="43">
        <v>735</v>
      </c>
      <c r="N282" s="45" t="s">
        <v>110</v>
      </c>
      <c r="O282" s="55">
        <v>14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4289</v>
      </c>
      <c r="B283" s="29"/>
      <c r="C283" s="29"/>
      <c r="D283" s="29"/>
      <c r="E283" s="29"/>
      <c r="F283" s="29">
        <v>2987</v>
      </c>
      <c r="G283" s="39"/>
      <c r="H283" s="40"/>
      <c r="I283" s="52"/>
      <c r="J283" s="53"/>
      <c r="K283" s="17"/>
      <c r="L283" s="39">
        <v>873</v>
      </c>
      <c r="M283" s="43">
        <v>689</v>
      </c>
      <c r="N283" s="45" t="s">
        <v>110</v>
      </c>
      <c r="O283" s="55">
        <v>14</v>
      </c>
      <c r="P283" s="56"/>
      <c r="Q283" s="74"/>
      <c r="R283" s="70">
        <v>0</v>
      </c>
      <c r="S283" s="19"/>
      <c r="T283" s="60"/>
      <c r="U283" s="59"/>
    </row>
    <row r="284" spans="1:21" ht="15" customHeight="1" x14ac:dyDescent="0.25">
      <c r="A284" s="1">
        <f t="shared" ca="1" si="18"/>
        <v>4290</v>
      </c>
      <c r="B284" s="29"/>
      <c r="C284" s="29"/>
      <c r="D284" s="29"/>
      <c r="E284" s="29"/>
      <c r="F284" s="29">
        <v>2987</v>
      </c>
      <c r="G284" s="39"/>
      <c r="H284" s="40"/>
      <c r="I284" s="52"/>
      <c r="J284" s="53"/>
      <c r="K284" s="17"/>
      <c r="L284" s="39">
        <v>882</v>
      </c>
      <c r="M284" s="43">
        <v>688</v>
      </c>
      <c r="N284" s="45" t="s">
        <v>108</v>
      </c>
      <c r="O284" s="55">
        <v>14</v>
      </c>
      <c r="P284" s="56"/>
      <c r="Q284" s="74"/>
      <c r="R284" s="70">
        <v>0</v>
      </c>
      <c r="S284" s="19"/>
      <c r="T284" s="60"/>
      <c r="U284" s="59"/>
    </row>
    <row r="285" spans="1:21" ht="15" customHeight="1" x14ac:dyDescent="0.25">
      <c r="A285" s="1">
        <f t="shared" ca="1" si="18"/>
        <v>4291</v>
      </c>
      <c r="B285" s="29"/>
      <c r="C285" s="29"/>
      <c r="D285" s="29"/>
      <c r="E285" s="29"/>
      <c r="F285" s="29">
        <v>2990</v>
      </c>
      <c r="G285" s="39"/>
      <c r="H285" s="40"/>
      <c r="I285" s="52"/>
      <c r="J285" s="53"/>
      <c r="K285" s="17"/>
      <c r="L285" s="39">
        <v>855</v>
      </c>
      <c r="M285" s="43">
        <v>721</v>
      </c>
      <c r="N285" s="45" t="s">
        <v>108</v>
      </c>
      <c r="O285" s="55">
        <v>14</v>
      </c>
      <c r="P285" s="56"/>
      <c r="Q285" s="74"/>
      <c r="R285" s="70">
        <v>0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29.883666666666667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87.67</v>
      </c>
      <c r="M286" s="44">
        <f>IF(COUNT(M256:M285)&gt;0,AVERAGE(M256:M285)/10,"")</f>
        <v>72.123333333333335</v>
      </c>
      <c r="N286" s="46"/>
      <c r="O286" s="57">
        <f>IF(COUNT(O256:O285)&gt;0,AVERAGE(O256:O285),"")</f>
        <v>13.366666666666667</v>
      </c>
      <c r="P286" s="58" t="str">
        <f>IF(COUNT(P256:P285)&gt;0,AVERAGE(P256:P285),"")</f>
        <v/>
      </c>
      <c r="Q286" s="47"/>
      <c r="R286" s="68">
        <f>IF(COUNT(R256:R285)&gt;0,SUM(R256:R285)/100,"")</f>
        <v>0.2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4292</v>
      </c>
      <c r="B287" s="29"/>
      <c r="C287" s="29"/>
      <c r="D287" s="29"/>
      <c r="E287" s="29"/>
      <c r="F287" s="29">
        <v>2991</v>
      </c>
      <c r="G287" s="39"/>
      <c r="H287" s="40"/>
      <c r="I287" s="52"/>
      <c r="J287" s="53"/>
      <c r="K287" s="17"/>
      <c r="L287" s="39">
        <v>871</v>
      </c>
      <c r="M287" s="43">
        <v>750</v>
      </c>
      <c r="N287" s="45" t="s">
        <v>108</v>
      </c>
      <c r="O287" s="55">
        <v>16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4293</v>
      </c>
      <c r="B288" s="29"/>
      <c r="C288" s="29"/>
      <c r="D288" s="29"/>
      <c r="E288" s="29"/>
      <c r="F288" s="29">
        <v>2989</v>
      </c>
      <c r="G288" s="39"/>
      <c r="H288" s="40"/>
      <c r="I288" s="52"/>
      <c r="J288" s="53"/>
      <c r="K288" s="17"/>
      <c r="L288" s="39">
        <v>880</v>
      </c>
      <c r="M288" s="43">
        <v>723</v>
      </c>
      <c r="N288" s="45" t="s">
        <v>108</v>
      </c>
      <c r="O288" s="55">
        <v>14</v>
      </c>
      <c r="P288" s="56"/>
      <c r="Q288" s="74"/>
      <c r="R288" s="70">
        <v>0</v>
      </c>
      <c r="S288" s="19"/>
      <c r="T288" s="60"/>
      <c r="U288" s="59"/>
    </row>
    <row r="289" spans="1:21" ht="15" customHeight="1" x14ac:dyDescent="0.25">
      <c r="A289" s="1">
        <f t="shared" ca="1" si="18"/>
        <v>4294</v>
      </c>
      <c r="B289" s="29"/>
      <c r="C289" s="29"/>
      <c r="D289" s="29"/>
      <c r="E289" s="29"/>
      <c r="F289" s="29">
        <v>2988</v>
      </c>
      <c r="G289" s="39"/>
      <c r="H289" s="40"/>
      <c r="I289" s="52"/>
      <c r="J289" s="53"/>
      <c r="K289" s="17"/>
      <c r="L289" s="39">
        <v>885</v>
      </c>
      <c r="M289" s="43">
        <v>722</v>
      </c>
      <c r="N289" s="45" t="s">
        <v>108</v>
      </c>
      <c r="O289" s="55">
        <v>14</v>
      </c>
      <c r="P289" s="56"/>
      <c r="Q289" s="74"/>
      <c r="R289" s="70">
        <v>0</v>
      </c>
      <c r="S289" s="19"/>
      <c r="T289" s="60"/>
      <c r="U289" s="59"/>
    </row>
    <row r="290" spans="1:21" ht="15" customHeight="1" x14ac:dyDescent="0.25">
      <c r="A290" s="1">
        <f t="shared" ca="1" si="18"/>
        <v>4295</v>
      </c>
      <c r="B290" s="29"/>
      <c r="C290" s="29"/>
      <c r="D290" s="29"/>
      <c r="E290" s="29"/>
      <c r="F290" s="29">
        <v>2985</v>
      </c>
      <c r="G290" s="39"/>
      <c r="H290" s="40"/>
      <c r="I290" s="52"/>
      <c r="J290" s="53"/>
      <c r="K290" s="17"/>
      <c r="L290" s="39">
        <v>885</v>
      </c>
      <c r="M290" s="43">
        <v>723</v>
      </c>
      <c r="N290" s="45" t="s">
        <v>108</v>
      </c>
      <c r="O290" s="55">
        <v>14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4296</v>
      </c>
      <c r="B291" s="29"/>
      <c r="C291" s="29"/>
      <c r="D291" s="29"/>
      <c r="E291" s="29"/>
      <c r="F291" s="29">
        <v>2990</v>
      </c>
      <c r="G291" s="39"/>
      <c r="H291" s="40"/>
      <c r="I291" s="52"/>
      <c r="J291" s="53"/>
      <c r="K291" s="17"/>
      <c r="L291" s="39">
        <v>882</v>
      </c>
      <c r="M291" s="43">
        <v>733</v>
      </c>
      <c r="N291" s="45" t="s">
        <v>108</v>
      </c>
      <c r="O291" s="55">
        <v>16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4297</v>
      </c>
      <c r="B292" s="29"/>
      <c r="C292" s="29"/>
      <c r="D292" s="29"/>
      <c r="E292" s="29"/>
      <c r="F292" s="29">
        <v>2989</v>
      </c>
      <c r="G292" s="39"/>
      <c r="H292" s="40"/>
      <c r="I292" s="52"/>
      <c r="J292" s="53"/>
      <c r="K292" s="17"/>
      <c r="L292" s="39">
        <v>882</v>
      </c>
      <c r="M292" s="43">
        <v>720</v>
      </c>
      <c r="N292" s="45" t="s">
        <v>110</v>
      </c>
      <c r="O292" s="55">
        <v>14</v>
      </c>
      <c r="P292" s="56"/>
      <c r="Q292" s="74"/>
      <c r="R292" s="70">
        <v>0</v>
      </c>
      <c r="S292" s="19"/>
      <c r="T292" s="60"/>
      <c r="U292" s="59"/>
    </row>
    <row r="293" spans="1:21" ht="15" customHeight="1" x14ac:dyDescent="0.25">
      <c r="A293" s="1">
        <f t="shared" ca="1" si="18"/>
        <v>4298</v>
      </c>
      <c r="B293" s="29"/>
      <c r="C293" s="29"/>
      <c r="D293" s="29"/>
      <c r="E293" s="29"/>
      <c r="F293" s="29">
        <v>2990</v>
      </c>
      <c r="G293" s="39"/>
      <c r="H293" s="40"/>
      <c r="I293" s="52"/>
      <c r="J293" s="53"/>
      <c r="K293" s="17"/>
      <c r="L293" s="39">
        <v>874</v>
      </c>
      <c r="M293" s="43">
        <v>354</v>
      </c>
      <c r="N293" s="45" t="s">
        <v>108</v>
      </c>
      <c r="O293" s="55">
        <v>14</v>
      </c>
      <c r="P293" s="56"/>
      <c r="Q293" s="74"/>
      <c r="R293" s="70">
        <v>0</v>
      </c>
      <c r="S293" s="19"/>
      <c r="T293" s="60"/>
      <c r="U293" s="59"/>
    </row>
    <row r="294" spans="1:21" ht="15" customHeight="1" x14ac:dyDescent="0.25">
      <c r="A294" s="1">
        <f t="shared" ca="1" si="18"/>
        <v>4299</v>
      </c>
      <c r="B294" s="29"/>
      <c r="C294" s="29"/>
      <c r="D294" s="29"/>
      <c r="E294" s="29"/>
      <c r="F294" s="29">
        <v>2989</v>
      </c>
      <c r="G294" s="39"/>
      <c r="H294" s="40"/>
      <c r="I294" s="52"/>
      <c r="J294" s="53"/>
      <c r="K294" s="17"/>
      <c r="L294" s="39">
        <v>879</v>
      </c>
      <c r="M294" s="43">
        <v>751</v>
      </c>
      <c r="N294" s="45" t="s">
        <v>108</v>
      </c>
      <c r="O294" s="55">
        <v>12</v>
      </c>
      <c r="P294" s="56"/>
      <c r="Q294" s="74"/>
      <c r="R294" s="70">
        <v>0</v>
      </c>
      <c r="S294" s="19"/>
      <c r="T294" s="60"/>
      <c r="U294" s="59"/>
    </row>
    <row r="295" spans="1:21" ht="15" customHeight="1" x14ac:dyDescent="0.25">
      <c r="A295" s="1">
        <f t="shared" ca="1" si="18"/>
        <v>4300</v>
      </c>
      <c r="B295" s="29"/>
      <c r="C295" s="29"/>
      <c r="D295" s="29"/>
      <c r="E295" s="29"/>
      <c r="F295" s="29">
        <v>2990</v>
      </c>
      <c r="G295" s="39"/>
      <c r="H295" s="40"/>
      <c r="I295" s="52"/>
      <c r="J295" s="53"/>
      <c r="K295" s="17"/>
      <c r="L295" s="39">
        <v>878</v>
      </c>
      <c r="M295" s="43">
        <v>742</v>
      </c>
      <c r="N295" s="45" t="s">
        <v>108</v>
      </c>
      <c r="O295" s="55">
        <v>12</v>
      </c>
      <c r="P295" s="56"/>
      <c r="Q295" s="74"/>
      <c r="R295" s="70">
        <v>0</v>
      </c>
      <c r="S295" s="19"/>
      <c r="T295" s="60"/>
      <c r="U295" s="59"/>
    </row>
    <row r="296" spans="1:21" ht="15" customHeight="1" x14ac:dyDescent="0.25">
      <c r="A296" s="1">
        <f t="shared" ca="1" si="18"/>
        <v>4301</v>
      </c>
      <c r="B296" s="29"/>
      <c r="C296" s="29"/>
      <c r="D296" s="29"/>
      <c r="E296" s="29"/>
      <c r="F296" s="29">
        <v>2990</v>
      </c>
      <c r="G296" s="39"/>
      <c r="H296" s="40"/>
      <c r="I296" s="52"/>
      <c r="J296" s="53"/>
      <c r="K296" s="17"/>
      <c r="L296" s="39">
        <v>860</v>
      </c>
      <c r="M296" s="43">
        <v>745</v>
      </c>
      <c r="N296" s="45" t="s">
        <v>108</v>
      </c>
      <c r="O296" s="55">
        <v>14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4302</v>
      </c>
      <c r="B297" s="29"/>
      <c r="C297" s="29"/>
      <c r="D297" s="29"/>
      <c r="E297" s="29"/>
      <c r="F297" s="29">
        <v>2988</v>
      </c>
      <c r="G297" s="39"/>
      <c r="H297" s="40"/>
      <c r="I297" s="52"/>
      <c r="J297" s="53"/>
      <c r="K297" s="17"/>
      <c r="L297" s="39">
        <v>852</v>
      </c>
      <c r="M297" s="43">
        <v>730</v>
      </c>
      <c r="N297" s="45" t="s">
        <v>110</v>
      </c>
      <c r="O297" s="55">
        <v>12</v>
      </c>
      <c r="P297" s="56"/>
      <c r="Q297" s="74"/>
      <c r="R297" s="70">
        <v>2</v>
      </c>
      <c r="S297" s="19"/>
      <c r="T297" s="60"/>
      <c r="U297" s="59"/>
    </row>
    <row r="298" spans="1:21" ht="15" customHeight="1" x14ac:dyDescent="0.25">
      <c r="A298" s="1">
        <f t="shared" ca="1" si="18"/>
        <v>4303</v>
      </c>
      <c r="B298" s="29"/>
      <c r="C298" s="29"/>
      <c r="D298" s="29"/>
      <c r="E298" s="29"/>
      <c r="F298" s="29">
        <v>2987</v>
      </c>
      <c r="G298" s="39"/>
      <c r="H298" s="40"/>
      <c r="I298" s="52"/>
      <c r="J298" s="53"/>
      <c r="K298" s="17"/>
      <c r="L298" s="39">
        <v>873</v>
      </c>
      <c r="M298" s="43">
        <v>744</v>
      </c>
      <c r="N298" s="45" t="s">
        <v>108</v>
      </c>
      <c r="O298" s="55">
        <v>12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4304</v>
      </c>
      <c r="B299" s="29"/>
      <c r="C299" s="29"/>
      <c r="D299" s="29"/>
      <c r="E299" s="29"/>
      <c r="F299" s="29">
        <v>2991</v>
      </c>
      <c r="G299" s="39"/>
      <c r="H299" s="40"/>
      <c r="I299" s="52"/>
      <c r="J299" s="53"/>
      <c r="K299" s="17"/>
      <c r="L299" s="39">
        <v>890</v>
      </c>
      <c r="M299" s="43">
        <v>741</v>
      </c>
      <c r="N299" s="45" t="s">
        <v>110</v>
      </c>
      <c r="O299" s="55">
        <v>14</v>
      </c>
      <c r="P299" s="56"/>
      <c r="Q299" s="74"/>
      <c r="R299" s="70">
        <v>0</v>
      </c>
      <c r="S299" s="19"/>
      <c r="T299" s="60"/>
      <c r="U299" s="59"/>
    </row>
    <row r="300" spans="1:21" ht="15" customHeight="1" x14ac:dyDescent="0.25">
      <c r="A300" s="1">
        <f t="shared" ca="1" si="18"/>
        <v>4305</v>
      </c>
      <c r="B300" s="29"/>
      <c r="C300" s="29"/>
      <c r="D300" s="29"/>
      <c r="E300" s="29"/>
      <c r="F300" s="29">
        <v>2996</v>
      </c>
      <c r="G300" s="39"/>
      <c r="H300" s="40"/>
      <c r="I300" s="52"/>
      <c r="J300" s="53"/>
      <c r="K300" s="17"/>
      <c r="L300" s="39">
        <v>889</v>
      </c>
      <c r="M300" s="43">
        <v>760</v>
      </c>
      <c r="N300" s="45" t="s">
        <v>110</v>
      </c>
      <c r="O300" s="55">
        <v>16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4306</v>
      </c>
      <c r="B301" s="29"/>
      <c r="C301" s="29"/>
      <c r="D301" s="29"/>
      <c r="E301" s="29"/>
      <c r="F301" s="29">
        <v>2996</v>
      </c>
      <c r="G301" s="39"/>
      <c r="H301" s="40"/>
      <c r="I301" s="52"/>
      <c r="J301" s="53"/>
      <c r="K301" s="17"/>
      <c r="L301" s="39">
        <v>889</v>
      </c>
      <c r="M301" s="43">
        <v>695</v>
      </c>
      <c r="N301" s="45" t="s">
        <v>110</v>
      </c>
      <c r="O301" s="55">
        <v>14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4307</v>
      </c>
      <c r="B302" s="29"/>
      <c r="C302" s="29"/>
      <c r="D302" s="29"/>
      <c r="E302" s="29"/>
      <c r="F302" s="29">
        <v>2988</v>
      </c>
      <c r="G302" s="39"/>
      <c r="H302" s="40"/>
      <c r="I302" s="52"/>
      <c r="J302" s="53"/>
      <c r="K302" s="17"/>
      <c r="L302" s="39">
        <v>893</v>
      </c>
      <c r="M302" s="43">
        <v>752</v>
      </c>
      <c r="N302" s="45" t="s">
        <v>110</v>
      </c>
      <c r="O302" s="55">
        <v>16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4308</v>
      </c>
      <c r="B303" s="29"/>
      <c r="C303" s="29"/>
      <c r="D303" s="29"/>
      <c r="E303" s="29"/>
      <c r="F303" s="29">
        <v>2989</v>
      </c>
      <c r="G303" s="39"/>
      <c r="H303" s="40"/>
      <c r="I303" s="52"/>
      <c r="J303" s="53"/>
      <c r="K303" s="17"/>
      <c r="L303" s="39">
        <v>876</v>
      </c>
      <c r="M303" s="43">
        <v>730</v>
      </c>
      <c r="N303" s="45" t="s">
        <v>108</v>
      </c>
      <c r="O303" s="55">
        <v>14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4309</v>
      </c>
      <c r="B304" s="29"/>
      <c r="C304" s="29"/>
      <c r="D304" s="29"/>
      <c r="E304" s="29"/>
      <c r="F304" s="29">
        <v>2987</v>
      </c>
      <c r="G304" s="39"/>
      <c r="H304" s="40"/>
      <c r="I304" s="52"/>
      <c r="J304" s="53"/>
      <c r="K304" s="17"/>
      <c r="L304" s="39">
        <v>883</v>
      </c>
      <c r="M304" s="43">
        <v>698</v>
      </c>
      <c r="N304" s="45" t="s">
        <v>108</v>
      </c>
      <c r="O304" s="55">
        <v>13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4310</v>
      </c>
      <c r="B305" s="29"/>
      <c r="C305" s="29"/>
      <c r="D305" s="29"/>
      <c r="E305" s="29"/>
      <c r="F305" s="29">
        <v>2986</v>
      </c>
      <c r="G305" s="39"/>
      <c r="H305" s="40"/>
      <c r="I305" s="52"/>
      <c r="J305" s="53"/>
      <c r="K305" s="17"/>
      <c r="L305" s="39">
        <v>893</v>
      </c>
      <c r="M305" s="43">
        <v>746</v>
      </c>
      <c r="N305" s="45" t="s">
        <v>108</v>
      </c>
      <c r="O305" s="55">
        <v>12</v>
      </c>
      <c r="P305" s="56"/>
      <c r="Q305" s="74"/>
      <c r="R305" s="70">
        <v>0</v>
      </c>
      <c r="S305" s="19"/>
      <c r="T305" s="60"/>
      <c r="U305" s="59"/>
    </row>
    <row r="306" spans="1:21" ht="15" customHeight="1" x14ac:dyDescent="0.25">
      <c r="A306" s="1">
        <f t="shared" ca="1" si="18"/>
        <v>4311</v>
      </c>
      <c r="B306" s="29"/>
      <c r="C306" s="29"/>
      <c r="D306" s="29"/>
      <c r="E306" s="29"/>
      <c r="F306" s="29">
        <v>2991</v>
      </c>
      <c r="G306" s="39"/>
      <c r="H306" s="40"/>
      <c r="I306" s="52"/>
      <c r="J306" s="53"/>
      <c r="K306" s="17"/>
      <c r="L306" s="39">
        <v>881</v>
      </c>
      <c r="M306" s="43">
        <v>762</v>
      </c>
      <c r="N306" s="45" t="s">
        <v>108</v>
      </c>
      <c r="O306" s="55">
        <v>12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4312</v>
      </c>
      <c r="B307" s="29"/>
      <c r="C307" s="29"/>
      <c r="D307" s="29"/>
      <c r="E307" s="29"/>
      <c r="F307" s="29">
        <v>2992</v>
      </c>
      <c r="G307" s="39"/>
      <c r="H307" s="40"/>
      <c r="I307" s="52"/>
      <c r="J307" s="53"/>
      <c r="K307" s="17"/>
      <c r="L307" s="39">
        <v>880</v>
      </c>
      <c r="M307" s="43">
        <v>756</v>
      </c>
      <c r="N307" s="45" t="s">
        <v>110</v>
      </c>
      <c r="O307" s="55">
        <v>13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4313</v>
      </c>
      <c r="B308" s="29"/>
      <c r="C308" s="29"/>
      <c r="D308" s="29"/>
      <c r="E308" s="29"/>
      <c r="F308" s="29">
        <v>2988</v>
      </c>
      <c r="G308" s="39"/>
      <c r="H308" s="40"/>
      <c r="I308" s="52"/>
      <c r="J308" s="53"/>
      <c r="K308" s="17"/>
      <c r="L308" s="39">
        <v>885</v>
      </c>
      <c r="M308" s="43">
        <v>746</v>
      </c>
      <c r="N308" s="45" t="s">
        <v>110</v>
      </c>
      <c r="O308" s="55">
        <v>13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4314</v>
      </c>
      <c r="B309" s="29"/>
      <c r="C309" s="29"/>
      <c r="D309" s="29"/>
      <c r="E309" s="29"/>
      <c r="F309" s="29">
        <v>2984</v>
      </c>
      <c r="G309" s="39"/>
      <c r="H309" s="40"/>
      <c r="I309" s="52"/>
      <c r="J309" s="53"/>
      <c r="K309" s="17"/>
      <c r="L309" s="39">
        <v>889</v>
      </c>
      <c r="M309" s="43">
        <v>745</v>
      </c>
      <c r="N309" s="45" t="s">
        <v>108</v>
      </c>
      <c r="O309" s="55">
        <v>12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4315</v>
      </c>
      <c r="B310" s="29"/>
      <c r="C310" s="29"/>
      <c r="D310" s="29"/>
      <c r="E310" s="29"/>
      <c r="F310" s="29">
        <v>2985</v>
      </c>
      <c r="G310" s="39"/>
      <c r="H310" s="40"/>
      <c r="I310" s="52"/>
      <c r="J310" s="53"/>
      <c r="K310" s="17"/>
      <c r="L310" s="39">
        <v>870</v>
      </c>
      <c r="M310" s="43">
        <v>761</v>
      </c>
      <c r="N310" s="45" t="s">
        <v>110</v>
      </c>
      <c r="O310" s="55">
        <v>14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4316</v>
      </c>
      <c r="B311" s="29"/>
      <c r="C311" s="29"/>
      <c r="D311" s="29"/>
      <c r="E311" s="29"/>
      <c r="F311" s="29">
        <v>2987</v>
      </c>
      <c r="G311" s="39"/>
      <c r="H311" s="40"/>
      <c r="I311" s="52"/>
      <c r="J311" s="53"/>
      <c r="K311" s="17"/>
      <c r="L311" s="39">
        <v>868</v>
      </c>
      <c r="M311" s="43">
        <v>747</v>
      </c>
      <c r="N311" s="45" t="s">
        <v>110</v>
      </c>
      <c r="O311" s="55">
        <v>12</v>
      </c>
      <c r="P311" s="56"/>
      <c r="Q311" s="74"/>
      <c r="R311" s="70">
        <v>5</v>
      </c>
      <c r="S311" s="19"/>
      <c r="T311" s="60"/>
      <c r="U311" s="59"/>
    </row>
    <row r="312" spans="1:21" ht="15" customHeight="1" x14ac:dyDescent="0.25">
      <c r="A312" s="1">
        <f t="shared" ca="1" si="18"/>
        <v>4317</v>
      </c>
      <c r="B312" s="29"/>
      <c r="C312" s="29"/>
      <c r="D312" s="29"/>
      <c r="E312" s="29"/>
      <c r="F312" s="29">
        <v>2987</v>
      </c>
      <c r="G312" s="39"/>
      <c r="H312" s="40"/>
      <c r="I312" s="52"/>
      <c r="J312" s="53"/>
      <c r="K312" s="17"/>
      <c r="L312" s="39">
        <v>885</v>
      </c>
      <c r="M312" s="43">
        <v>751</v>
      </c>
      <c r="N312" s="45" t="s">
        <v>110</v>
      </c>
      <c r="O312" s="55">
        <v>10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4318</v>
      </c>
      <c r="B313" s="29"/>
      <c r="C313" s="29"/>
      <c r="D313" s="29"/>
      <c r="E313" s="29"/>
      <c r="F313" s="29">
        <v>2982</v>
      </c>
      <c r="G313" s="39"/>
      <c r="H313" s="40"/>
      <c r="I313" s="52"/>
      <c r="J313" s="53"/>
      <c r="K313" s="17"/>
      <c r="L313" s="39">
        <v>890</v>
      </c>
      <c r="M313" s="43">
        <v>750</v>
      </c>
      <c r="N313" s="45" t="s">
        <v>110</v>
      </c>
      <c r="O313" s="55">
        <v>10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4319</v>
      </c>
      <c r="B314" s="29"/>
      <c r="C314" s="29"/>
      <c r="D314" s="29"/>
      <c r="E314" s="29"/>
      <c r="F314" s="29">
        <v>2985</v>
      </c>
      <c r="G314" s="39"/>
      <c r="H314" s="40"/>
      <c r="I314" s="52"/>
      <c r="J314" s="53"/>
      <c r="K314" s="17"/>
      <c r="L314" s="39">
        <v>893</v>
      </c>
      <c r="M314" s="43">
        <v>748</v>
      </c>
      <c r="N314" s="45" t="s">
        <v>108</v>
      </c>
      <c r="O314" s="55">
        <v>12</v>
      </c>
      <c r="P314" s="56"/>
      <c r="Q314" s="74"/>
      <c r="R314" s="70">
        <v>0</v>
      </c>
      <c r="S314" s="19"/>
      <c r="T314" s="60"/>
      <c r="U314" s="59"/>
    </row>
    <row r="315" spans="1:21" ht="15" customHeight="1" x14ac:dyDescent="0.25">
      <c r="A315" s="1">
        <f t="shared" ca="1" si="18"/>
        <v>4320</v>
      </c>
      <c r="B315" s="29"/>
      <c r="C315" s="29"/>
      <c r="D315" s="29"/>
      <c r="E315" s="29"/>
      <c r="F315" s="29">
        <v>2985</v>
      </c>
      <c r="G315" s="39"/>
      <c r="H315" s="40"/>
      <c r="I315" s="52"/>
      <c r="J315" s="53"/>
      <c r="K315" s="17"/>
      <c r="L315" s="39">
        <v>888</v>
      </c>
      <c r="M315" s="43">
        <v>748</v>
      </c>
      <c r="N315" s="45" t="s">
        <v>108</v>
      </c>
      <c r="O315" s="55">
        <v>12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4321</v>
      </c>
      <c r="B316" s="29"/>
      <c r="C316" s="29"/>
      <c r="D316" s="29"/>
      <c r="E316" s="29"/>
      <c r="F316" s="29">
        <v>2987</v>
      </c>
      <c r="G316" s="39"/>
      <c r="H316" s="40"/>
      <c r="I316" s="52"/>
      <c r="J316" s="53"/>
      <c r="K316" s="17"/>
      <c r="L316" s="39">
        <v>892</v>
      </c>
      <c r="M316" s="43">
        <v>745</v>
      </c>
      <c r="N316" s="45" t="s">
        <v>108</v>
      </c>
      <c r="O316" s="55">
        <v>12</v>
      </c>
      <c r="P316" s="56"/>
      <c r="Q316" s="74"/>
      <c r="R316" s="70">
        <v>0</v>
      </c>
      <c r="S316" s="19"/>
      <c r="T316" s="60"/>
      <c r="U316" s="59"/>
    </row>
    <row r="317" spans="1:21" ht="15" customHeight="1" x14ac:dyDescent="0.25">
      <c r="A317" s="1">
        <f t="shared" ca="1" si="18"/>
        <v>4322</v>
      </c>
      <c r="B317" s="29"/>
      <c r="C317" s="29"/>
      <c r="D317" s="29"/>
      <c r="E317" s="29"/>
      <c r="F317" s="29">
        <v>2990</v>
      </c>
      <c r="G317" s="39"/>
      <c r="H317" s="40"/>
      <c r="I317" s="52"/>
      <c r="J317" s="53"/>
      <c r="K317" s="17"/>
      <c r="L317" s="39">
        <v>880</v>
      </c>
      <c r="M317" s="43">
        <v>756</v>
      </c>
      <c r="N317" s="45" t="s">
        <v>110</v>
      </c>
      <c r="O317" s="55">
        <v>14</v>
      </c>
      <c r="P317" s="56"/>
      <c r="Q317" s="74"/>
      <c r="R317" s="70">
        <v>0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29.88451612903226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88.112903225806448</v>
      </c>
      <c r="M318" s="44">
        <f>IF(COUNT(M287:M317)&gt;0,AVERAGE(M287:M317)/10,"")</f>
        <v>72.819354838709685</v>
      </c>
      <c r="N318" s="46"/>
      <c r="O318" s="57">
        <f>IF(COUNT(O287:O317)&gt;0,AVERAGE(O287:O317),"")</f>
        <v>13.193548387096774</v>
      </c>
      <c r="P318" s="58" t="str">
        <f>IF(COUNT(P287:P317)&gt;0,AVERAGE(P287:P317),"")</f>
        <v/>
      </c>
      <c r="Q318" s="47"/>
      <c r="R318" s="68">
        <f>IF(COUNT(R287:R317)&gt;0,SUM(R287:R317)/100,"")</f>
        <v>7.0000000000000007E-2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4323</v>
      </c>
      <c r="B319" s="29"/>
      <c r="C319" s="29"/>
      <c r="D319" s="29"/>
      <c r="E319" s="29"/>
      <c r="F319" s="29">
        <v>2991</v>
      </c>
      <c r="G319" s="39"/>
      <c r="H319" s="40"/>
      <c r="I319" s="52"/>
      <c r="J319" s="53"/>
      <c r="K319" s="17"/>
      <c r="L319" s="39">
        <v>880</v>
      </c>
      <c r="M319" s="43">
        <v>768</v>
      </c>
      <c r="N319" s="45" t="s">
        <v>108</v>
      </c>
      <c r="O319" s="55">
        <v>10</v>
      </c>
      <c r="P319" s="56"/>
      <c r="Q319" s="74"/>
      <c r="R319" s="70">
        <v>0</v>
      </c>
      <c r="S319" s="19"/>
      <c r="T319" s="60"/>
      <c r="U319" s="59"/>
    </row>
    <row r="320" spans="1:21" ht="15" customHeight="1" x14ac:dyDescent="0.25">
      <c r="A320" s="1">
        <f t="shared" ca="1" si="18"/>
        <v>4324</v>
      </c>
      <c r="B320" s="29"/>
      <c r="C320" s="29"/>
      <c r="D320" s="29"/>
      <c r="E320" s="29"/>
      <c r="F320" s="29">
        <v>2986</v>
      </c>
      <c r="G320" s="39"/>
      <c r="H320" s="40"/>
      <c r="I320" s="52"/>
      <c r="J320" s="53"/>
      <c r="K320" s="17"/>
      <c r="L320" s="39">
        <v>870</v>
      </c>
      <c r="M320" s="43">
        <v>714</v>
      </c>
      <c r="N320" s="45" t="s">
        <v>108</v>
      </c>
      <c r="O320" s="55">
        <v>10</v>
      </c>
      <c r="P320" s="56"/>
      <c r="Q320" s="74"/>
      <c r="R320" s="70">
        <v>15</v>
      </c>
      <c r="S320" s="19"/>
      <c r="T320" s="60"/>
      <c r="U320" s="59"/>
    </row>
    <row r="321" spans="1:21" ht="15" customHeight="1" x14ac:dyDescent="0.25">
      <c r="A321" s="1">
        <f t="shared" ca="1" si="18"/>
        <v>4325</v>
      </c>
      <c r="B321" s="29"/>
      <c r="C321" s="29"/>
      <c r="D321" s="29"/>
      <c r="E321" s="29"/>
      <c r="F321" s="29">
        <v>2985</v>
      </c>
      <c r="G321" s="39"/>
      <c r="H321" s="40"/>
      <c r="I321" s="52"/>
      <c r="J321" s="53"/>
      <c r="K321" s="17"/>
      <c r="L321" s="39">
        <v>798</v>
      </c>
      <c r="M321" s="43">
        <v>685</v>
      </c>
      <c r="N321" s="45" t="s">
        <v>108</v>
      </c>
      <c r="O321" s="55">
        <v>10</v>
      </c>
      <c r="P321" s="56"/>
      <c r="Q321" s="74"/>
      <c r="R321" s="70">
        <v>47</v>
      </c>
      <c r="S321" s="19"/>
      <c r="T321" s="60"/>
      <c r="U321" s="59"/>
    </row>
    <row r="322" spans="1:21" ht="15" customHeight="1" x14ac:dyDescent="0.25">
      <c r="A322" s="1">
        <f t="shared" ca="1" si="18"/>
        <v>4326</v>
      </c>
      <c r="B322" s="29"/>
      <c r="C322" s="29"/>
      <c r="D322" s="29"/>
      <c r="E322" s="29"/>
      <c r="F322" s="29">
        <v>2985</v>
      </c>
      <c r="G322" s="39"/>
      <c r="H322" s="40"/>
      <c r="I322" s="52"/>
      <c r="J322" s="53"/>
      <c r="K322" s="17"/>
      <c r="L322" s="39">
        <v>845</v>
      </c>
      <c r="M322" s="43">
        <v>731</v>
      </c>
      <c r="N322" s="45" t="s">
        <v>108</v>
      </c>
      <c r="O322" s="55">
        <v>14</v>
      </c>
      <c r="P322" s="56"/>
      <c r="Q322" s="74"/>
      <c r="R322" s="70">
        <v>0</v>
      </c>
      <c r="S322" s="19"/>
      <c r="T322" s="60"/>
      <c r="U322" s="59"/>
    </row>
    <row r="323" spans="1:21" ht="15" customHeight="1" x14ac:dyDescent="0.25">
      <c r="A323" s="1">
        <f t="shared" ca="1" si="18"/>
        <v>4327</v>
      </c>
      <c r="B323" s="29"/>
      <c r="C323" s="29"/>
      <c r="D323" s="29"/>
      <c r="E323" s="29"/>
      <c r="F323" s="29">
        <v>2989</v>
      </c>
      <c r="G323" s="39"/>
      <c r="H323" s="40"/>
      <c r="I323" s="52"/>
      <c r="J323" s="53"/>
      <c r="K323" s="17"/>
      <c r="L323" s="39">
        <v>865</v>
      </c>
      <c r="M323" s="43">
        <v>728</v>
      </c>
      <c r="N323" s="45" t="s">
        <v>108</v>
      </c>
      <c r="O323" s="55">
        <v>12</v>
      </c>
      <c r="P323" s="56"/>
      <c r="Q323" s="74"/>
      <c r="R323" s="70">
        <v>16</v>
      </c>
      <c r="S323" s="19"/>
      <c r="T323" s="60"/>
      <c r="U323" s="59"/>
    </row>
    <row r="324" spans="1:21" ht="15" customHeight="1" x14ac:dyDescent="0.25">
      <c r="A324" s="1">
        <f t="shared" ca="1" si="18"/>
        <v>4328</v>
      </c>
      <c r="B324" s="29"/>
      <c r="C324" s="29"/>
      <c r="D324" s="29"/>
      <c r="E324" s="29"/>
      <c r="F324" s="29">
        <v>2988</v>
      </c>
      <c r="G324" s="39"/>
      <c r="H324" s="40"/>
      <c r="I324" s="52"/>
      <c r="J324" s="53"/>
      <c r="K324" s="17"/>
      <c r="L324" s="39">
        <v>866</v>
      </c>
      <c r="M324" s="43">
        <v>760</v>
      </c>
      <c r="N324" s="45" t="s">
        <v>108</v>
      </c>
      <c r="O324" s="55">
        <v>14</v>
      </c>
      <c r="P324" s="56"/>
      <c r="Q324" s="74"/>
      <c r="R324" s="70">
        <v>0</v>
      </c>
      <c r="S324" s="19"/>
      <c r="T324" s="60"/>
      <c r="U324" s="59"/>
    </row>
    <row r="325" spans="1:21" ht="15" customHeight="1" x14ac:dyDescent="0.25">
      <c r="A325" s="1">
        <f t="shared" ca="1" si="18"/>
        <v>4329</v>
      </c>
      <c r="B325" s="29"/>
      <c r="C325" s="29"/>
      <c r="D325" s="29"/>
      <c r="E325" s="29"/>
      <c r="F325" s="29">
        <v>2987</v>
      </c>
      <c r="G325" s="39"/>
      <c r="H325" s="40"/>
      <c r="I325" s="52"/>
      <c r="J325" s="53"/>
      <c r="K325" s="17"/>
      <c r="L325" s="39">
        <v>872</v>
      </c>
      <c r="M325" s="43">
        <v>755</v>
      </c>
      <c r="N325" s="45" t="s">
        <v>108</v>
      </c>
      <c r="O325" s="55">
        <v>12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4330</v>
      </c>
      <c r="B326" s="29"/>
      <c r="C326" s="29"/>
      <c r="D326" s="29"/>
      <c r="E326" s="29"/>
      <c r="F326" s="29">
        <v>2987</v>
      </c>
      <c r="G326" s="39"/>
      <c r="H326" s="40"/>
      <c r="I326" s="52"/>
      <c r="J326" s="53"/>
      <c r="K326" s="17"/>
      <c r="L326" s="39">
        <v>885</v>
      </c>
      <c r="M326" s="43">
        <v>749</v>
      </c>
      <c r="N326" s="45" t="s">
        <v>106</v>
      </c>
      <c r="O326" s="55">
        <v>14</v>
      </c>
      <c r="P326" s="56"/>
      <c r="Q326" s="74"/>
      <c r="R326" s="70">
        <v>0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4331</v>
      </c>
      <c r="B327" s="29"/>
      <c r="C327" s="29"/>
      <c r="D327" s="29"/>
      <c r="E327" s="29"/>
      <c r="F327" s="29">
        <v>2990</v>
      </c>
      <c r="G327" s="39"/>
      <c r="H327" s="40"/>
      <c r="I327" s="52"/>
      <c r="J327" s="53"/>
      <c r="K327" s="17"/>
      <c r="L327" s="39">
        <v>873</v>
      </c>
      <c r="M327" s="43">
        <v>742</v>
      </c>
      <c r="N327" s="45" t="s">
        <v>108</v>
      </c>
      <c r="O327" s="55">
        <v>12</v>
      </c>
      <c r="P327" s="56"/>
      <c r="Q327" s="74"/>
      <c r="R327" s="70">
        <v>0</v>
      </c>
      <c r="S327" s="19"/>
      <c r="T327" s="60"/>
      <c r="U327" s="59"/>
    </row>
    <row r="328" spans="1:21" ht="15" customHeight="1" x14ac:dyDescent="0.25">
      <c r="A328" s="1">
        <f t="shared" ca="1" si="22"/>
        <v>4332</v>
      </c>
      <c r="B328" s="29"/>
      <c r="C328" s="29"/>
      <c r="D328" s="29"/>
      <c r="E328" s="29"/>
      <c r="F328" s="29">
        <v>2995</v>
      </c>
      <c r="G328" s="39"/>
      <c r="H328" s="40"/>
      <c r="I328" s="52"/>
      <c r="J328" s="53"/>
      <c r="K328" s="17"/>
      <c r="L328" s="39">
        <v>872</v>
      </c>
      <c r="M328" s="43">
        <v>760</v>
      </c>
      <c r="N328" s="45" t="s">
        <v>108</v>
      </c>
      <c r="O328" s="55">
        <v>10</v>
      </c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4333</v>
      </c>
      <c r="B329" s="29"/>
      <c r="C329" s="29"/>
      <c r="D329" s="29"/>
      <c r="E329" s="29"/>
      <c r="F329" s="29">
        <v>2989</v>
      </c>
      <c r="G329" s="39"/>
      <c r="H329" s="40"/>
      <c r="I329" s="52"/>
      <c r="J329" s="53"/>
      <c r="K329" s="17"/>
      <c r="L329" s="39">
        <v>868</v>
      </c>
      <c r="M329" s="43">
        <v>756</v>
      </c>
      <c r="N329" s="45" t="s">
        <v>108</v>
      </c>
      <c r="O329" s="55">
        <v>14</v>
      </c>
      <c r="P329" s="56"/>
      <c r="Q329" s="74"/>
      <c r="R329" s="70">
        <v>0</v>
      </c>
      <c r="S329" s="19"/>
      <c r="T329" s="60"/>
      <c r="U329" s="59"/>
    </row>
    <row r="330" spans="1:21" ht="15" customHeight="1" x14ac:dyDescent="0.25">
      <c r="A330" s="1">
        <f t="shared" ca="1" si="22"/>
        <v>4334</v>
      </c>
      <c r="B330" s="29"/>
      <c r="C330" s="29"/>
      <c r="D330" s="29"/>
      <c r="E330" s="29"/>
      <c r="F330" s="29">
        <v>2987</v>
      </c>
      <c r="G330" s="39"/>
      <c r="H330" s="40"/>
      <c r="I330" s="52"/>
      <c r="J330" s="53"/>
      <c r="K330" s="17"/>
      <c r="L330" s="39">
        <v>818</v>
      </c>
      <c r="M330" s="43">
        <v>705</v>
      </c>
      <c r="N330" s="45" t="s">
        <v>110</v>
      </c>
      <c r="O330" s="55">
        <v>6</v>
      </c>
      <c r="P330" s="56"/>
      <c r="Q330" s="74"/>
      <c r="R330" s="70">
        <v>15</v>
      </c>
      <c r="S330" s="19"/>
      <c r="T330" s="60"/>
      <c r="U330" s="59"/>
    </row>
    <row r="331" spans="1:21" ht="15" customHeight="1" x14ac:dyDescent="0.25">
      <c r="A331" s="1">
        <f t="shared" ca="1" si="22"/>
        <v>4335</v>
      </c>
      <c r="B331" s="29"/>
      <c r="C331" s="29"/>
      <c r="D331" s="29"/>
      <c r="E331" s="29"/>
      <c r="F331" s="29">
        <v>2987</v>
      </c>
      <c r="G331" s="39"/>
      <c r="H331" s="40"/>
      <c r="I331" s="52"/>
      <c r="J331" s="53"/>
      <c r="K331" s="17"/>
      <c r="L331" s="39">
        <v>851</v>
      </c>
      <c r="M331" s="43">
        <v>699</v>
      </c>
      <c r="N331" s="45" t="s">
        <v>108</v>
      </c>
      <c r="O331" s="55">
        <v>12</v>
      </c>
      <c r="P331" s="56"/>
      <c r="Q331" s="74"/>
      <c r="R331" s="70">
        <v>44</v>
      </c>
      <c r="S331" s="19"/>
      <c r="T331" s="60"/>
      <c r="U331" s="59"/>
    </row>
    <row r="332" spans="1:21" ht="15" customHeight="1" x14ac:dyDescent="0.25">
      <c r="A332" s="1">
        <f t="shared" ca="1" si="22"/>
        <v>4336</v>
      </c>
      <c r="B332" s="29"/>
      <c r="C332" s="29"/>
      <c r="D332" s="29"/>
      <c r="E332" s="29"/>
      <c r="F332" s="29">
        <v>2987</v>
      </c>
      <c r="G332" s="39"/>
      <c r="H332" s="40"/>
      <c r="I332" s="52"/>
      <c r="J332" s="53"/>
      <c r="K332" s="17"/>
      <c r="L332" s="39">
        <v>852</v>
      </c>
      <c r="M332" s="43">
        <v>698</v>
      </c>
      <c r="N332" s="45" t="s">
        <v>110</v>
      </c>
      <c r="O332" s="55">
        <v>14</v>
      </c>
      <c r="P332" s="56"/>
      <c r="Q332" s="74"/>
      <c r="R332" s="70">
        <v>20</v>
      </c>
      <c r="S332" s="19"/>
      <c r="T332" s="60"/>
      <c r="U332" s="59"/>
    </row>
    <row r="333" spans="1:21" ht="15" customHeight="1" x14ac:dyDescent="0.25">
      <c r="A333" s="1">
        <f t="shared" ca="1" si="22"/>
        <v>4337</v>
      </c>
      <c r="B333" s="29"/>
      <c r="C333" s="29"/>
      <c r="D333" s="29"/>
      <c r="E333" s="29"/>
      <c r="F333" s="29">
        <v>2990</v>
      </c>
      <c r="G333" s="39"/>
      <c r="H333" s="40"/>
      <c r="I333" s="52"/>
      <c r="J333" s="53"/>
      <c r="K333" s="17"/>
      <c r="L333" s="39">
        <v>854</v>
      </c>
      <c r="M333" s="43">
        <v>740</v>
      </c>
      <c r="N333" s="45" t="s">
        <v>108</v>
      </c>
      <c r="O333" s="55">
        <v>12</v>
      </c>
      <c r="P333" s="56"/>
      <c r="Q333" s="74"/>
      <c r="R333" s="70">
        <v>2</v>
      </c>
      <c r="S333" s="19"/>
      <c r="T333" s="60"/>
      <c r="U333" s="59"/>
    </row>
    <row r="334" spans="1:21" ht="15" customHeight="1" x14ac:dyDescent="0.25">
      <c r="A334" s="1">
        <f t="shared" ca="1" si="22"/>
        <v>4338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4339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4340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4341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4342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4343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4344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4345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4346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4347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4348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4349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4350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4351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4352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29.881999999999998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85.793333333333322</v>
      </c>
      <c r="M349" s="44">
        <f>IF(COUNT(M319:M348)&gt;0,AVERAGE(M319:M348)/10,"")</f>
        <v>73.266666666666666</v>
      </c>
      <c r="N349" s="46"/>
      <c r="O349" s="57">
        <f>IF(COUNT(O319:O348)&gt;0,AVERAGE(O319:O348),"")</f>
        <v>11.733333333333333</v>
      </c>
      <c r="P349" s="58" t="str">
        <f>IF(COUNT(P319:P348)&gt;0,AVERAGE(P319:P348),"")</f>
        <v/>
      </c>
      <c r="Q349" s="47"/>
      <c r="R349" s="68">
        <f>IF(COUNT(R319:R348)&gt;0,SUM(R319:R348)/100,"")</f>
        <v>1.59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4353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4354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4355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4356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4357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4358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4359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4360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4361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4362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4363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4364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4365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4366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4367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4368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4369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4370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4371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4372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4373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4374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4375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4376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4377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4378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4379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4380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4381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4382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4383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19110101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19110102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19110103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19110104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19110105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19110106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19110107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19110108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19110109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19110110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19110111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19110112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19110113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19110114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19110115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19110116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19110117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19110118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19110119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19110120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19110121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19110122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19110123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19110124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19110125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19110126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19110127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19110128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19110129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19110130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19110131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19110201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19110202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19110203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19110204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19110205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19110206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19110207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19110208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19110209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19110210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19110211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19110212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19110213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19110214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19110215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19110216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19110217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19110218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19110219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19110220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19110221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19110222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19110223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19110224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19110225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19110226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19110227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19110228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19110301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19110302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19110303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19110304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19110305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19110306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19110307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19110308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19110309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19110310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19110311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19110312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19110313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19110314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19110315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19110316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19110317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19110318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19110319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19110320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19110321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19110322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19110323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19110324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19110325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19110326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19110327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19110328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19110329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19110330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19110331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19110401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19110402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19110403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19110404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19110405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19110406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19110407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19110408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19110409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19110410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19110411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19110412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19110413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19110414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19110415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19110416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19110417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19110418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19110419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19110420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19110421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19110422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19110423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19110424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19110425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19110426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19110427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19110428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19110429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19110430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19110501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19110502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19110503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19110504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19110505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19110506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19110507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19110508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19110509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19110510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19110511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19110512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19110513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19110514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19110515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19110516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19110517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19110518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19110519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19110520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19110521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19110522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19110523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19110524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19110525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19110526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19110527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19110528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19110529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19110530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19110531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19110601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19110602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19110603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19110604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19110605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19110606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19110607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19110608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19110609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19110610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19110611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19110612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19110613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19110614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19110615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19110616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19110617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19110618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19110619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19110620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19110621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19110622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19110623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19110624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19110625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19110626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19110627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19110628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19110629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19110630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19110701</v>
      </c>
      <c r="C183" s="5">
        <v>1</v>
      </c>
      <c r="D183" s="69">
        <f t="shared" ca="1" si="4"/>
        <v>2.8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19110702</v>
      </c>
      <c r="C184" s="5">
        <v>1</v>
      </c>
      <c r="D184" s="69">
        <f t="shared" ca="1" si="4"/>
        <v>2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19110703</v>
      </c>
      <c r="C185" s="5">
        <v>1</v>
      </c>
      <c r="D185" s="69">
        <f t="shared" ca="1" si="4"/>
        <v>0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19110704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19110705</v>
      </c>
      <c r="C187" s="5">
        <v>1</v>
      </c>
      <c r="D187" s="69" t="str">
        <f t="shared" ca="1" si="4"/>
        <v>—</v>
      </c>
      <c r="E187" s="10">
        <f t="shared" ca="1" si="5"/>
        <v>7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19110706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19110707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19110708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19110709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19110710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19110711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19110712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19110713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19110714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19110715</v>
      </c>
      <c r="C197" s="5">
        <v>1</v>
      </c>
      <c r="D197" s="69">
        <f t="shared" ca="1" si="6"/>
        <v>0.3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19110716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19110717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19110718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19110719</v>
      </c>
      <c r="C201" s="5">
        <v>1</v>
      </c>
      <c r="D201" s="69">
        <f t="shared" ca="1" si="6"/>
        <v>0.5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19110720</v>
      </c>
      <c r="C202" s="5">
        <v>1</v>
      </c>
      <c r="D202" s="69">
        <f t="shared" ca="1" si="6"/>
        <v>1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19110721</v>
      </c>
      <c r="C203" s="5">
        <v>1</v>
      </c>
      <c r="D203" s="69">
        <f t="shared" ca="1" si="6"/>
        <v>0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19110722</v>
      </c>
      <c r="C204" s="5">
        <v>1</v>
      </c>
      <c r="D204" s="69">
        <f t="shared" ca="1" si="6"/>
        <v>4.0999999999999996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19110723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19110724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19110725</v>
      </c>
      <c r="C207" s="5">
        <v>1</v>
      </c>
      <c r="D207" s="69">
        <f t="shared" ca="1" si="6"/>
        <v>4.5999999999999996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19110726</v>
      </c>
      <c r="C208" s="5">
        <v>1</v>
      </c>
      <c r="D208" s="69">
        <f t="shared" ca="1" si="6"/>
        <v>12.7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19110727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19110728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19110729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19110730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19110731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19110801</v>
      </c>
      <c r="C214" s="5">
        <v>1</v>
      </c>
      <c r="D214" s="69">
        <f t="shared" ca="1" si="6"/>
        <v>1.3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19110802</v>
      </c>
      <c r="C215" s="5">
        <v>1</v>
      </c>
      <c r="D215" s="69">
        <f t="shared" ca="1" si="6"/>
        <v>1.3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19110803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19110804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19110805</v>
      </c>
      <c r="C218" s="5">
        <v>1</v>
      </c>
      <c r="D218" s="69">
        <f t="shared" ca="1" si="6"/>
        <v>1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19110806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19110807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19110808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19110809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19110810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19110811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19110812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19110813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19110814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19110815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19110816</v>
      </c>
      <c r="C229" s="5">
        <v>1</v>
      </c>
      <c r="D229" s="69">
        <f t="shared" ca="1" si="6"/>
        <v>0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19110817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19110818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19110819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19110820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19110821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19110822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19110823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19110824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19110825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19110826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19110827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19110828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19110829</v>
      </c>
      <c r="C242" s="5">
        <v>1</v>
      </c>
      <c r="D242" s="69">
        <f t="shared" ca="1" si="6"/>
        <v>1.3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19110830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19110831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19110901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19110902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19110903</v>
      </c>
      <c r="C247" s="5">
        <v>1</v>
      </c>
      <c r="D247" s="69">
        <f t="shared" ca="1" si="6"/>
        <v>1.3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19110904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19110905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19110906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19110907</v>
      </c>
      <c r="C251" s="5">
        <v>1</v>
      </c>
      <c r="D251" s="69">
        <f t="shared" ca="1" si="6"/>
        <v>1.5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19110908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19110909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19110910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19110911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19110912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19110913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19110914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19110915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19110916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19110917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19110918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19110919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19110920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19110921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19110922</v>
      </c>
      <c r="C266" s="5">
        <v>1</v>
      </c>
      <c r="D266" s="69">
        <f t="shared" ca="1" si="8"/>
        <v>0.8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19110923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19110924</v>
      </c>
      <c r="C268" s="5">
        <v>1</v>
      </c>
      <c r="D268" s="69">
        <f t="shared" ca="1" si="8"/>
        <v>0.8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19110925</v>
      </c>
      <c r="C269" s="5">
        <v>1</v>
      </c>
      <c r="D269" s="69">
        <f t="shared" ca="1" si="8"/>
        <v>0.8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19110926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19110927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19110928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19110929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19110930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19111001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19111002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19111003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19111004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19111005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19111006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19111007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19111008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19111009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19111010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19111011</v>
      </c>
      <c r="C285" s="5">
        <v>1</v>
      </c>
      <c r="D285" s="69">
        <f t="shared" ca="1" si="8"/>
        <v>0.5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19111012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19111013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19111014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19111015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19111016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19111017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19111018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19111019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19111020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19111021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19111022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19111023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19111024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19111025</v>
      </c>
      <c r="C299" s="5">
        <v>1</v>
      </c>
      <c r="D299" s="69">
        <f t="shared" ca="1" si="8"/>
        <v>1.3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19111026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19111027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19111028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19111029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19111030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19111031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19111101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19111102</v>
      </c>
      <c r="C307" s="5">
        <v>1</v>
      </c>
      <c r="D307" s="69">
        <f t="shared" ca="1" si="8"/>
        <v>3.8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19111103</v>
      </c>
      <c r="C308" s="5">
        <v>1</v>
      </c>
      <c r="D308" s="69">
        <f t="shared" ca="1" si="8"/>
        <v>11.9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19111104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19111105</v>
      </c>
      <c r="C310" s="5">
        <v>1</v>
      </c>
      <c r="D310" s="69">
        <f t="shared" ca="1" si="8"/>
        <v>4.0999999999999996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19111106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19111107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19111108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19111109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19111110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19111111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19111112</v>
      </c>
      <c r="C317" s="5">
        <v>1</v>
      </c>
      <c r="D317" s="69">
        <f t="shared" ca="1" si="8"/>
        <v>3.8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19111113</v>
      </c>
      <c r="C318" s="5">
        <v>1</v>
      </c>
      <c r="D318" s="69">
        <f t="shared" ca="1" si="8"/>
        <v>11.2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19111114</v>
      </c>
      <c r="C319" s="5">
        <v>1</v>
      </c>
      <c r="D319" s="69">
        <f t="shared" ca="1" si="8"/>
        <v>5.0999999999999996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19111115</v>
      </c>
      <c r="C320" s="5">
        <v>1</v>
      </c>
      <c r="D320" s="69">
        <f t="shared" ca="1" si="8"/>
        <v>0.5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19111116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19111117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19111118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19111119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19111120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19111121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19111122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19111123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19111124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19111125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19111126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19111127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19111128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19111129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19111130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19111201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19111202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19111203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19111204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19111205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19111206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19111207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19111208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19111209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19111210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19111211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19111212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19111213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19111214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19111215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19111216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19111217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19111218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19111219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19111220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19111221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19111222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19111223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19111224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19111225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19111226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19111227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19111228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19111229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19111230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19111231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19110101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19110102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19110103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19110104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19110105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19110106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19110107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19110108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19110109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19110110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19110111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19110112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19110113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19110114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19110115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19110116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19110117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19110118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19110119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19110120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19110121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19110122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19110123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19110124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19110125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19110126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19110127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19110128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19110129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19110130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19110131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19110201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19110202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19110203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19110204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19110205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19110206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19110207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19110208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19110209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19110210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19110211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19110212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19110213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19110214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19110215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19110216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19110217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19110218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19110219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19110220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19110221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19110222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19110223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19110224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19110225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19110226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19110227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19110228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19110301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19110302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19110303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19110304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19110305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19110306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19110307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19110308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19110309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19110310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19110311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19110312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19110313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19110314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19110315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19110316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19110317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19110318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19110319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19110320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19110321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19110322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19110323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19110324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19110325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19110326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19110327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19110328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19110329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19110330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19110331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19110401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19110402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19110403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19110404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19110405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19110406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19110407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19110408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19110409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19110410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19110411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19110412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19110413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19110414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19110415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19110416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19110417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19110418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19110419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19110420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19110421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19110422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19110423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19110424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19110425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19110426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19110427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19110428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19110429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19110430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19110501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19110502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19110503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19110504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19110505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19110506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19110507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19110508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19110509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19110510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19110511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19110512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19110513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19110514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19110515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19110516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19110517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19110518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19110519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19110520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19110521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19110522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19110523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19110524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19110525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19110526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19110527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19110528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19110529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19110530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19110531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19110601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19110602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19110603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19110604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19110605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19110606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19110607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19110608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19110609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19110610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19110611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19110612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19110613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19110614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19110615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19110616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19110617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19110618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19110619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19110620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19110621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19110622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19110623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19110624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19110625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19110626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19110627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19110628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19110629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19110630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19110701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761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29.8</v>
      </c>
      <c r="Y183" s="15">
        <f t="shared" ca="1" si="103"/>
        <v>0</v>
      </c>
      <c r="Z183" s="16">
        <f t="shared" ca="1" si="104"/>
        <v>17.399999999999999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6.7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19110702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760.2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29.4</v>
      </c>
      <c r="Y184" s="15">
        <f t="shared" ca="1" si="103"/>
        <v>0</v>
      </c>
      <c r="Z184" s="16">
        <f t="shared" ca="1" si="104"/>
        <v>21.4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9.3000000000000007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19110703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760.7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26.6</v>
      </c>
      <c r="Y185" s="15">
        <f t="shared" ca="1" si="103"/>
        <v>0</v>
      </c>
      <c r="Z185" s="16">
        <f t="shared" ca="1" si="104"/>
        <v>16.100000000000001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7.7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19110704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761.7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29.3</v>
      </c>
      <c r="Y186" s="15">
        <f t="shared" ca="1" si="103"/>
        <v>0</v>
      </c>
      <c r="Z186" s="16">
        <f t="shared" ca="1" si="104"/>
        <v>21.2</v>
      </c>
      <c r="AA186" s="15">
        <f t="shared" ca="1" si="105"/>
        <v>0</v>
      </c>
      <c r="AB186" s="9">
        <f t="shared" ca="1" si="106"/>
        <v>135</v>
      </c>
      <c r="AC186" s="15">
        <f t="shared" ca="1" si="107"/>
        <v>0</v>
      </c>
      <c r="AD186" s="76">
        <f t="shared" ca="1" si="108"/>
        <v>6.7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19110705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762.8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29.5</v>
      </c>
      <c r="Y187" s="15">
        <f t="shared" ca="1" si="103"/>
        <v>0</v>
      </c>
      <c r="Z187" s="16">
        <f t="shared" ca="1" si="104"/>
        <v>22.9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9.3000000000000007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19110706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762.8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29.7</v>
      </c>
      <c r="Y188" s="15">
        <f t="shared" ca="1" si="103"/>
        <v>0</v>
      </c>
      <c r="Z188" s="16">
        <f t="shared" ca="1" si="104"/>
        <v>10.1</v>
      </c>
      <c r="AA188" s="15">
        <f t="shared" ca="1" si="105"/>
        <v>0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7.2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19110707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761.2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30.1</v>
      </c>
      <c r="Y189" s="15">
        <f t="shared" ca="1" si="103"/>
        <v>0</v>
      </c>
      <c r="Z189" s="16">
        <f t="shared" ca="1" si="104"/>
        <v>16.100000000000001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8.1999999999999993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19110708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761.2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29.8</v>
      </c>
      <c r="Y190" s="15">
        <f t="shared" ca="1" si="103"/>
        <v>0</v>
      </c>
      <c r="Z190" s="16">
        <f t="shared" ca="1" si="104"/>
        <v>21.9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8.1999999999999993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19110709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761.7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29.3</v>
      </c>
      <c r="Y191" s="15">
        <f t="shared" ca="1" si="103"/>
        <v>0</v>
      </c>
      <c r="Z191" s="16">
        <f t="shared" ca="1" si="104"/>
        <v>16.100000000000001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7.2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19110710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761.2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29.6</v>
      </c>
      <c r="Y192" s="15">
        <f t="shared" ca="1" si="103"/>
        <v>0</v>
      </c>
      <c r="Z192" s="16">
        <f t="shared" ca="1" si="104"/>
        <v>22.4</v>
      </c>
      <c r="AA192" s="15">
        <f t="shared" ca="1" si="105"/>
        <v>0</v>
      </c>
      <c r="AB192" s="9">
        <f t="shared" ca="1" si="106"/>
        <v>135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19110711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761.2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30</v>
      </c>
      <c r="Y193" s="15">
        <f t="shared" ca="1" si="103"/>
        <v>0</v>
      </c>
      <c r="Z193" s="16">
        <f t="shared" ca="1" si="104"/>
        <v>22.8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7.2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19110712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760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30.1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24.4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135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7.2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19110713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761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30.2</v>
      </c>
      <c r="Y195" s="15">
        <f t="shared" ca="1" si="143"/>
        <v>0</v>
      </c>
      <c r="Z195" s="16">
        <f t="shared" ca="1" si="144"/>
        <v>36.1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9.3000000000000007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19110714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761.5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30</v>
      </c>
      <c r="Y196" s="15">
        <f t="shared" ca="1" si="143"/>
        <v>0</v>
      </c>
      <c r="Z196" s="16">
        <f t="shared" ca="1" si="144"/>
        <v>21.2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7.2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19110715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761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30.6</v>
      </c>
      <c r="Y197" s="15">
        <f t="shared" ca="1" si="143"/>
        <v>0</v>
      </c>
      <c r="Z197" s="16">
        <f t="shared" ca="1" si="144"/>
        <v>20.399999999999999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7.2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19110716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761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29.9</v>
      </c>
      <c r="Y198" s="15">
        <f t="shared" ca="1" si="143"/>
        <v>0</v>
      </c>
      <c r="Z198" s="16">
        <f t="shared" ca="1" si="144"/>
        <v>20.5</v>
      </c>
      <c r="AA198" s="15">
        <f t="shared" ca="1" si="145"/>
        <v>0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7.2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19110717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761.5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30.4</v>
      </c>
      <c r="Y199" s="15">
        <f t="shared" ca="1" si="143"/>
        <v>0</v>
      </c>
      <c r="Z199" s="16">
        <f t="shared" ca="1" si="144"/>
        <v>24.2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7.2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19110718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761.7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29.6</v>
      </c>
      <c r="Y200" s="15">
        <f t="shared" ca="1" si="143"/>
        <v>0</v>
      </c>
      <c r="Z200" s="16">
        <f t="shared" ca="1" si="144"/>
        <v>22.2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6.2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19110719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760.7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30.2</v>
      </c>
      <c r="Y201" s="15">
        <f t="shared" ca="1" si="143"/>
        <v>0</v>
      </c>
      <c r="Z201" s="16">
        <f t="shared" ca="1" si="144"/>
        <v>22.9</v>
      </c>
      <c r="AA201" s="15">
        <f t="shared" ca="1" si="145"/>
        <v>0</v>
      </c>
      <c r="AB201" s="9">
        <f t="shared" ca="1" si="146"/>
        <v>135</v>
      </c>
      <c r="AC201" s="15">
        <f t="shared" ca="1" si="147"/>
        <v>0</v>
      </c>
      <c r="AD201" s="76">
        <f t="shared" ca="1" si="148"/>
        <v>7.2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19110720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760.7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30.7</v>
      </c>
      <c r="Y202" s="15">
        <f t="shared" ca="1" si="143"/>
        <v>0</v>
      </c>
      <c r="Z202" s="16">
        <f t="shared" ca="1" si="144"/>
        <v>20.6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7.2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19110721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760.2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29.8</v>
      </c>
      <c r="Y203" s="15">
        <f t="shared" ca="1" si="143"/>
        <v>0</v>
      </c>
      <c r="Z203" s="16">
        <f t="shared" ca="1" si="144"/>
        <v>21.2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7.2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19110722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761.2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29.7</v>
      </c>
      <c r="Y204" s="15">
        <f t="shared" ca="1" si="143"/>
        <v>0</v>
      </c>
      <c r="Z204" s="16">
        <f t="shared" ca="1" si="144"/>
        <v>20.8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7.2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19110723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761.2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30.4</v>
      </c>
      <c r="Y205" s="15">
        <f t="shared" ca="1" si="143"/>
        <v>0</v>
      </c>
      <c r="Z205" s="16">
        <f t="shared" ca="1" si="144"/>
        <v>21.2</v>
      </c>
      <c r="AA205" s="15">
        <f t="shared" ca="1" si="145"/>
        <v>0</v>
      </c>
      <c r="AB205" s="9">
        <f t="shared" ca="1" si="146"/>
        <v>135</v>
      </c>
      <c r="AC205" s="15">
        <f t="shared" ca="1" si="147"/>
        <v>0</v>
      </c>
      <c r="AD205" s="76">
        <f t="shared" ca="1" si="148"/>
        <v>9.3000000000000007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19110724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761.7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30.1</v>
      </c>
      <c r="Y206" s="15">
        <f t="shared" ca="1" si="143"/>
        <v>0</v>
      </c>
      <c r="Z206" s="16">
        <f t="shared" ca="1" si="144"/>
        <v>21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6.2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19110725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762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30.1</v>
      </c>
      <c r="Y207" s="15">
        <f t="shared" ca="1" si="143"/>
        <v>0</v>
      </c>
      <c r="Z207" s="16">
        <f t="shared" ca="1" si="144"/>
        <v>20.7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7.2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19110726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760.7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29.9</v>
      </c>
      <c r="Y208" s="15">
        <f t="shared" ca="1" si="143"/>
        <v>0</v>
      </c>
      <c r="Z208" s="16">
        <f t="shared" ca="1" si="144"/>
        <v>21.2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7.2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19110727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760.7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29.5</v>
      </c>
      <c r="Y209" s="15">
        <f t="shared" ca="1" si="143"/>
        <v>0</v>
      </c>
      <c r="Z209" s="16">
        <f t="shared" ca="1" si="144"/>
        <v>21.2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6.2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19110728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760.2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30.1</v>
      </c>
      <c r="Y210" s="15">
        <f t="shared" ca="1" si="143"/>
        <v>0</v>
      </c>
      <c r="Z210" s="16">
        <f t="shared" ca="1" si="144"/>
        <v>22.3</v>
      </c>
      <c r="AA210" s="15">
        <f t="shared" ca="1" si="145"/>
        <v>0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7.7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19110729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760.7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29.9</v>
      </c>
      <c r="Y211" s="15">
        <f t="shared" ca="1" si="143"/>
        <v>0</v>
      </c>
      <c r="Z211" s="16">
        <f t="shared" ca="1" si="144"/>
        <v>21.2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7.2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19110730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760.2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30.2</v>
      </c>
      <c r="Y212" s="15">
        <f t="shared" ca="1" si="143"/>
        <v>0</v>
      </c>
      <c r="Z212" s="16">
        <f t="shared" ca="1" si="144"/>
        <v>22.4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7.2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19110731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759.5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30.3</v>
      </c>
      <c r="Y213" s="15">
        <f t="shared" ca="1" si="143"/>
        <v>0</v>
      </c>
      <c r="Z213" s="16">
        <f t="shared" ca="1" si="144"/>
        <v>21</v>
      </c>
      <c r="AA213" s="15">
        <f t="shared" ca="1" si="145"/>
        <v>0</v>
      </c>
      <c r="AB213" s="9">
        <f t="shared" ca="1" si="146"/>
        <v>135</v>
      </c>
      <c r="AC213" s="15">
        <f t="shared" ca="1" si="147"/>
        <v>0</v>
      </c>
      <c r="AD213" s="76">
        <f t="shared" ca="1" si="148"/>
        <v>7.2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19110801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758.4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30.2</v>
      </c>
      <c r="Y214" s="15">
        <f t="shared" ca="1" si="143"/>
        <v>0</v>
      </c>
      <c r="Z214" s="16">
        <f t="shared" ca="1" si="144"/>
        <v>21.2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6.2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19110802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28.9</v>
      </c>
      <c r="Y215" s="15">
        <f t="shared" ca="1" si="143"/>
        <v>0</v>
      </c>
      <c r="Z215" s="16">
        <f t="shared" ca="1" si="144"/>
        <v>21</v>
      </c>
      <c r="AA215" s="15">
        <f t="shared" ca="1" si="145"/>
        <v>0</v>
      </c>
      <c r="AB215" s="9">
        <f t="shared" ca="1" si="146"/>
        <v>135</v>
      </c>
      <c r="AC215" s="15">
        <f t="shared" ca="1" si="147"/>
        <v>0</v>
      </c>
      <c r="AD215" s="76">
        <f t="shared" ca="1" si="148"/>
        <v>7.2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19110803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761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30</v>
      </c>
      <c r="Y216" s="15">
        <f t="shared" ca="1" si="143"/>
        <v>0</v>
      </c>
      <c r="Z216" s="16">
        <f t="shared" ca="1" si="144"/>
        <v>22.3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6.2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19110804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759.7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30.7</v>
      </c>
      <c r="Y217" s="15">
        <f t="shared" ca="1" si="143"/>
        <v>0</v>
      </c>
      <c r="Z217" s="16">
        <f t="shared" ca="1" si="144"/>
        <v>22.2</v>
      </c>
      <c r="AA217" s="15">
        <f t="shared" ca="1" si="145"/>
        <v>0</v>
      </c>
      <c r="AB217" s="9" t="str">
        <f t="shared" ca="1" si="146"/>
        <v>—</v>
      </c>
      <c r="AC217" s="15">
        <f t="shared" ca="1" si="147"/>
        <v>7</v>
      </c>
      <c r="AD217" s="76" t="str">
        <f t="shared" ca="1" si="148"/>
        <v>—</v>
      </c>
      <c r="AE217" s="15">
        <f t="shared" ca="1" si="149"/>
        <v>7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19110805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759.7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30.1</v>
      </c>
      <c r="Y218" s="15">
        <f t="shared" ca="1" si="143"/>
        <v>0</v>
      </c>
      <c r="Z218" s="16">
        <f t="shared" ca="1" si="144"/>
        <v>21.1</v>
      </c>
      <c r="AA218" s="15">
        <f t="shared" ca="1" si="145"/>
        <v>0</v>
      </c>
      <c r="AB218" s="9">
        <f t="shared" ca="1" si="146"/>
        <v>135</v>
      </c>
      <c r="AC218" s="15">
        <f t="shared" ca="1" si="147"/>
        <v>0</v>
      </c>
      <c r="AD218" s="76">
        <f t="shared" ca="1" si="148"/>
        <v>7.2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19110806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760.5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30.6</v>
      </c>
      <c r="Y219" s="15">
        <f t="shared" ca="1" si="143"/>
        <v>0</v>
      </c>
      <c r="Z219" s="16">
        <f t="shared" ca="1" si="144"/>
        <v>21</v>
      </c>
      <c r="AA219" s="15">
        <f t="shared" ca="1" si="145"/>
        <v>0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7.2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19110807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761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30.6</v>
      </c>
      <c r="Y220" s="15">
        <f t="shared" ca="1" si="143"/>
        <v>0</v>
      </c>
      <c r="Z220" s="16">
        <f t="shared" ca="1" si="144"/>
        <v>21.3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5.0999999999999996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19110808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760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30.1</v>
      </c>
      <c r="Y221" s="15">
        <f t="shared" ca="1" si="143"/>
        <v>0</v>
      </c>
      <c r="Z221" s="16">
        <f t="shared" ca="1" si="144"/>
        <v>22.4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6.7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19110809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760.2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30.2</v>
      </c>
      <c r="Y222" s="15">
        <f t="shared" ca="1" si="143"/>
        <v>0</v>
      </c>
      <c r="Z222" s="16">
        <f t="shared" ca="1" si="144"/>
        <v>22.3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7.2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19110810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30.8</v>
      </c>
      <c r="Y223" s="15">
        <f t="shared" ca="1" si="143"/>
        <v>0</v>
      </c>
      <c r="Z223" s="16">
        <f t="shared" ca="1" si="144"/>
        <v>22.8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6.7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19110811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760.2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29.9</v>
      </c>
      <c r="Y224" s="15">
        <f t="shared" ca="1" si="143"/>
        <v>0</v>
      </c>
      <c r="Z224" s="16">
        <f t="shared" ca="1" si="144"/>
        <v>21.9</v>
      </c>
      <c r="AA224" s="15">
        <f t="shared" ca="1" si="145"/>
        <v>0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7.2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19110812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759.5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30.1</v>
      </c>
      <c r="Y225" s="15">
        <f t="shared" ca="1" si="143"/>
        <v>0</v>
      </c>
      <c r="Z225" s="16">
        <f t="shared" ca="1" si="144"/>
        <v>23.3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8.1999999999999993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19110813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760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30.6</v>
      </c>
      <c r="Y226" s="15">
        <f t="shared" ca="1" si="143"/>
        <v>0</v>
      </c>
      <c r="Z226" s="16">
        <f t="shared" ca="1" si="144"/>
        <v>21.8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6.2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19110814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759.2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29.4</v>
      </c>
      <c r="Y227" s="15">
        <f t="shared" ca="1" si="143"/>
        <v>0</v>
      </c>
      <c r="Z227" s="16">
        <f t="shared" ca="1" si="144"/>
        <v>23.4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7.2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19110815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759.2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30.6</v>
      </c>
      <c r="Y228" s="15">
        <f t="shared" ca="1" si="143"/>
        <v>0</v>
      </c>
      <c r="Z228" s="16">
        <f t="shared" ca="1" si="144"/>
        <v>22.1</v>
      </c>
      <c r="AA228" s="15">
        <f t="shared" ca="1" si="145"/>
        <v>0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7.2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19110816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759.5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30.5</v>
      </c>
      <c r="Y229" s="15">
        <f t="shared" ca="1" si="143"/>
        <v>0</v>
      </c>
      <c r="Z229" s="16">
        <f t="shared" ca="1" si="144"/>
        <v>20.5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7.2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19110817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760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30.5</v>
      </c>
      <c r="Y230" s="15">
        <f t="shared" ca="1" si="143"/>
        <v>0</v>
      </c>
      <c r="Z230" s="16">
        <f t="shared" ca="1" si="144"/>
        <v>21.2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7.2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19110818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761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30.8</v>
      </c>
      <c r="Y231" s="15">
        <f t="shared" ca="1" si="143"/>
        <v>0</v>
      </c>
      <c r="Z231" s="16">
        <f t="shared" ca="1" si="144"/>
        <v>22.2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7.2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19110819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760.2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31</v>
      </c>
      <c r="Y232" s="15">
        <f t="shared" ca="1" si="143"/>
        <v>0</v>
      </c>
      <c r="Z232" s="16">
        <f t="shared" ca="1" si="144"/>
        <v>21.7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6.2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19110820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759.5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30.8</v>
      </c>
      <c r="Y233" s="15">
        <f t="shared" ca="1" si="143"/>
        <v>0</v>
      </c>
      <c r="Z233" s="16">
        <f t="shared" ca="1" si="144"/>
        <v>21.8</v>
      </c>
      <c r="AA233" s="15">
        <f t="shared" ca="1" si="145"/>
        <v>0</v>
      </c>
      <c r="AB233" s="9">
        <f t="shared" ca="1" si="146"/>
        <v>45</v>
      </c>
      <c r="AC233" s="15">
        <f t="shared" ca="1" si="147"/>
        <v>0</v>
      </c>
      <c r="AD233" s="76">
        <f t="shared" ca="1" si="148"/>
        <v>7.2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19110821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759.5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30.4</v>
      </c>
      <c r="Y234" s="15">
        <f t="shared" ca="1" si="143"/>
        <v>0</v>
      </c>
      <c r="Z234" s="16">
        <f t="shared" ca="1" si="144"/>
        <v>21.7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6.2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19110822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759.7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29.9</v>
      </c>
      <c r="Y235" s="15">
        <f t="shared" ca="1" si="143"/>
        <v>0</v>
      </c>
      <c r="Z235" s="16">
        <f t="shared" ca="1" si="144"/>
        <v>21.9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6.2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19110823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759.5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30.8</v>
      </c>
      <c r="Y236" s="15">
        <f t="shared" ca="1" si="143"/>
        <v>0</v>
      </c>
      <c r="Z236" s="16">
        <f t="shared" ca="1" si="144"/>
        <v>21.8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7.2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19110824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758.7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30.9</v>
      </c>
      <c r="Y237" s="15">
        <f t="shared" ca="1" si="143"/>
        <v>0</v>
      </c>
      <c r="Z237" s="16">
        <f t="shared" ca="1" si="144"/>
        <v>21.8</v>
      </c>
      <c r="AA237" s="15">
        <f t="shared" ca="1" si="145"/>
        <v>0</v>
      </c>
      <c r="AB237" s="9">
        <f t="shared" ca="1" si="146"/>
        <v>135</v>
      </c>
      <c r="AC237" s="15">
        <f t="shared" ca="1" si="147"/>
        <v>0</v>
      </c>
      <c r="AD237" s="76">
        <f t="shared" ca="1" si="148"/>
        <v>7.2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19110825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761.5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31.1</v>
      </c>
      <c r="Y238" s="15">
        <f t="shared" ca="1" si="143"/>
        <v>0</v>
      </c>
      <c r="Z238" s="16">
        <f t="shared" ca="1" si="144"/>
        <v>21.8</v>
      </c>
      <c r="AA238" s="15">
        <f t="shared" ca="1" si="145"/>
        <v>0</v>
      </c>
      <c r="AB238" s="9">
        <f t="shared" ca="1" si="146"/>
        <v>135</v>
      </c>
      <c r="AC238" s="15">
        <f t="shared" ca="1" si="147"/>
        <v>0</v>
      </c>
      <c r="AD238" s="76">
        <f t="shared" ca="1" si="148"/>
        <v>6.2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19110826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759.7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31</v>
      </c>
      <c r="Y239" s="15">
        <f t="shared" ca="1" si="143"/>
        <v>0</v>
      </c>
      <c r="Z239" s="16">
        <f t="shared" ca="1" si="144"/>
        <v>22.3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7.7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19110827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760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30.9</v>
      </c>
      <c r="Y240" s="15">
        <f t="shared" ca="1" si="143"/>
        <v>0</v>
      </c>
      <c r="Z240" s="16">
        <f t="shared" ca="1" si="144"/>
        <v>21.4</v>
      </c>
      <c r="AA240" s="15">
        <f t="shared" ca="1" si="145"/>
        <v>0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7.2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19110828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759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31.2</v>
      </c>
      <c r="Y241" s="15">
        <f t="shared" ca="1" si="143"/>
        <v>0</v>
      </c>
      <c r="Z241" s="16">
        <f t="shared" ca="1" si="144"/>
        <v>21.4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7.7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19110829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759.7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30.4</v>
      </c>
      <c r="Y242" s="15">
        <f t="shared" ca="1" si="143"/>
        <v>0</v>
      </c>
      <c r="Z242" s="16">
        <f t="shared" ca="1" si="144"/>
        <v>20.5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7.2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19110830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759.7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30.9</v>
      </c>
      <c r="Y243" s="15">
        <f t="shared" ca="1" si="143"/>
        <v>0</v>
      </c>
      <c r="Z243" s="16">
        <f t="shared" ca="1" si="144"/>
        <v>20.399999999999999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7.2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19110831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759.2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29.2</v>
      </c>
      <c r="Y244" s="15">
        <f t="shared" ca="1" si="143"/>
        <v>0</v>
      </c>
      <c r="Z244" s="16">
        <f t="shared" ca="1" si="144"/>
        <v>22.8</v>
      </c>
      <c r="AA244" s="15">
        <f t="shared" ca="1" si="145"/>
        <v>0</v>
      </c>
      <c r="AB244" s="9">
        <f t="shared" ca="1" si="146"/>
        <v>135</v>
      </c>
      <c r="AC244" s="15">
        <f t="shared" ca="1" si="147"/>
        <v>0</v>
      </c>
      <c r="AD244" s="76">
        <f t="shared" ca="1" si="148"/>
        <v>7.2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19110901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758.7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31.1</v>
      </c>
      <c r="Y245" s="15">
        <f t="shared" ca="1" si="143"/>
        <v>0</v>
      </c>
      <c r="Z245" s="16">
        <f t="shared" ca="1" si="144"/>
        <v>23.4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7.2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19110902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760.5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30.8</v>
      </c>
      <c r="Y246" s="15">
        <f t="shared" ca="1" si="143"/>
        <v>0</v>
      </c>
      <c r="Z246" s="16">
        <f t="shared" ca="1" si="144"/>
        <v>21.8</v>
      </c>
      <c r="AA246" s="15">
        <f t="shared" ca="1" si="145"/>
        <v>0</v>
      </c>
      <c r="AB246" s="9">
        <f t="shared" ca="1" si="146"/>
        <v>135</v>
      </c>
      <c r="AC246" s="15">
        <f t="shared" ca="1" si="147"/>
        <v>0</v>
      </c>
      <c r="AD246" s="76">
        <f t="shared" ca="1" si="148"/>
        <v>6.7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19110903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758.2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30.7</v>
      </c>
      <c r="Y247" s="15">
        <f t="shared" ca="1" si="143"/>
        <v>0</v>
      </c>
      <c r="Z247" s="16">
        <f t="shared" ca="1" si="144"/>
        <v>22.8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6.2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19110904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758.2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30.6</v>
      </c>
      <c r="Y248" s="15">
        <f t="shared" ca="1" si="143"/>
        <v>0</v>
      </c>
      <c r="Z248" s="16">
        <f t="shared" ca="1" si="144"/>
        <v>22.6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7.2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19110905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756.9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30.6</v>
      </c>
      <c r="Y249" s="15">
        <f t="shared" ca="1" si="143"/>
        <v>0</v>
      </c>
      <c r="Z249" s="16">
        <f t="shared" ca="1" si="144"/>
        <v>23.4</v>
      </c>
      <c r="AA249" s="15">
        <f t="shared" ca="1" si="145"/>
        <v>0</v>
      </c>
      <c r="AB249" s="9">
        <f t="shared" ca="1" si="146"/>
        <v>135</v>
      </c>
      <c r="AC249" s="15">
        <f t="shared" ca="1" si="147"/>
        <v>0</v>
      </c>
      <c r="AD249" s="76">
        <f t="shared" ca="1" si="148"/>
        <v>7.2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19110906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758.2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28.9</v>
      </c>
      <c r="Y250" s="15">
        <f t="shared" ca="1" si="143"/>
        <v>0</v>
      </c>
      <c r="Z250" s="16">
        <f t="shared" ca="1" si="144"/>
        <v>22.9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7.2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19110907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759.2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31.7</v>
      </c>
      <c r="Y251" s="15">
        <f t="shared" ca="1" si="143"/>
        <v>0</v>
      </c>
      <c r="Z251" s="16">
        <f t="shared" ca="1" si="144"/>
        <v>22.8</v>
      </c>
      <c r="AA251" s="15">
        <f t="shared" ca="1" si="145"/>
        <v>0</v>
      </c>
      <c r="AB251" s="9">
        <f t="shared" ca="1" si="146"/>
        <v>135</v>
      </c>
      <c r="AC251" s="15">
        <f t="shared" ca="1" si="147"/>
        <v>0</v>
      </c>
      <c r="AD251" s="76">
        <f t="shared" ca="1" si="148"/>
        <v>4.5999999999999996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19110908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760.5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31.7</v>
      </c>
      <c r="Y252" s="15">
        <f t="shared" ca="1" si="143"/>
        <v>0</v>
      </c>
      <c r="Z252" s="16">
        <f t="shared" ca="1" si="144"/>
        <v>23.4</v>
      </c>
      <c r="AA252" s="15">
        <f t="shared" ca="1" si="145"/>
        <v>0</v>
      </c>
      <c r="AB252" s="9">
        <f t="shared" ca="1" si="146"/>
        <v>135</v>
      </c>
      <c r="AC252" s="15">
        <f t="shared" ca="1" si="147"/>
        <v>0</v>
      </c>
      <c r="AD252" s="76">
        <f t="shared" ca="1" si="148"/>
        <v>7.7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19110909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761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31.7</v>
      </c>
      <c r="Y253" s="15">
        <f t="shared" ca="1" si="143"/>
        <v>0</v>
      </c>
      <c r="Z253" s="16">
        <f t="shared" ca="1" si="144"/>
        <v>21.8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7.7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19110910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759.7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30.1</v>
      </c>
      <c r="Y254" s="15">
        <f t="shared" ca="1" si="143"/>
        <v>0</v>
      </c>
      <c r="Z254" s="16">
        <f t="shared" ca="1" si="144"/>
        <v>21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9.3000000000000007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19110911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758.4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31.2</v>
      </c>
      <c r="Y255" s="15">
        <f t="shared" ca="1" si="143"/>
        <v>0</v>
      </c>
      <c r="Z255" s="16">
        <f t="shared" ca="1" si="144"/>
        <v>21.1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8.1999999999999993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19110912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758.7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31</v>
      </c>
      <c r="Y256" s="15">
        <f t="shared" ca="1" si="143"/>
        <v>0</v>
      </c>
      <c r="Z256" s="16">
        <f t="shared" ca="1" si="144"/>
        <v>22.4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6.7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19110913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760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30.7</v>
      </c>
      <c r="Y257" s="15">
        <f t="shared" ca="1" si="143"/>
        <v>0</v>
      </c>
      <c r="Z257" s="16">
        <f t="shared" ca="1" si="144"/>
        <v>22.3</v>
      </c>
      <c r="AA257" s="15">
        <f t="shared" ca="1" si="145"/>
        <v>0</v>
      </c>
      <c r="AB257" s="9">
        <f t="shared" ca="1" si="146"/>
        <v>135</v>
      </c>
      <c r="AC257" s="15">
        <f t="shared" ca="1" si="147"/>
        <v>0</v>
      </c>
      <c r="AD257" s="76">
        <f t="shared" ca="1" si="148"/>
        <v>7.2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19110914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760.2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31.2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22.8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6.2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19110915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760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31.8</v>
      </c>
      <c r="Y259" s="15">
        <f t="shared" ca="1" si="183"/>
        <v>0</v>
      </c>
      <c r="Z259" s="16">
        <f t="shared" ca="1" si="184"/>
        <v>22.4</v>
      </c>
      <c r="AA259" s="15">
        <f t="shared" ca="1" si="185"/>
        <v>0</v>
      </c>
      <c r="AB259" s="9">
        <f t="shared" ca="1" si="186"/>
        <v>90</v>
      </c>
      <c r="AC259" s="15">
        <f t="shared" ca="1" si="187"/>
        <v>0</v>
      </c>
      <c r="AD259" s="76">
        <f t="shared" ca="1" si="188"/>
        <v>7.2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19110916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758.2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31.3</v>
      </c>
      <c r="Y260" s="15">
        <f t="shared" ca="1" si="183"/>
        <v>0</v>
      </c>
      <c r="Z260" s="16">
        <f t="shared" ca="1" si="184"/>
        <v>22.2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5.0999999999999996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19110917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757.4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31.7</v>
      </c>
      <c r="Y261" s="15">
        <f t="shared" ca="1" si="183"/>
        <v>0</v>
      </c>
      <c r="Z261" s="16">
        <f t="shared" ca="1" si="184"/>
        <v>23.4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7.2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19110918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758.7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31.7</v>
      </c>
      <c r="Y262" s="15">
        <f t="shared" ca="1" si="183"/>
        <v>0</v>
      </c>
      <c r="Z262" s="16">
        <f t="shared" ca="1" si="184"/>
        <v>23</v>
      </c>
      <c r="AA262" s="15">
        <f t="shared" ca="1" si="185"/>
        <v>0</v>
      </c>
      <c r="AB262" s="9">
        <f t="shared" ca="1" si="186"/>
        <v>135</v>
      </c>
      <c r="AC262" s="15">
        <f t="shared" ca="1" si="187"/>
        <v>0</v>
      </c>
      <c r="AD262" s="76">
        <f t="shared" ca="1" si="188"/>
        <v>6.2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19110919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30.8</v>
      </c>
      <c r="Y263" s="15">
        <f t="shared" ca="1" si="183"/>
        <v>0</v>
      </c>
      <c r="Z263" s="16">
        <f t="shared" ca="1" si="184"/>
        <v>22.6</v>
      </c>
      <c r="AA263" s="15">
        <f t="shared" ca="1" si="185"/>
        <v>0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6.2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19110920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31</v>
      </c>
      <c r="Y264" s="15">
        <f t="shared" ca="1" si="183"/>
        <v>0</v>
      </c>
      <c r="Z264" s="16">
        <f t="shared" ca="1" si="184"/>
        <v>21.1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6.2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19110921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759.2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30.6</v>
      </c>
      <c r="Y265" s="15">
        <f t="shared" ca="1" si="183"/>
        <v>0</v>
      </c>
      <c r="Z265" s="16">
        <f t="shared" ca="1" si="184"/>
        <v>22.5</v>
      </c>
      <c r="AA265" s="15">
        <f t="shared" ca="1" si="185"/>
        <v>0</v>
      </c>
      <c r="AB265" s="9">
        <f t="shared" ca="1" si="186"/>
        <v>45</v>
      </c>
      <c r="AC265" s="15">
        <f t="shared" ca="1" si="187"/>
        <v>0</v>
      </c>
      <c r="AD265" s="76">
        <f t="shared" ca="1" si="188"/>
        <v>7.2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19110922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759.5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30.8</v>
      </c>
      <c r="Y266" s="15">
        <f t="shared" ca="1" si="183"/>
        <v>0</v>
      </c>
      <c r="Z266" s="16">
        <f t="shared" ca="1" si="184"/>
        <v>21.2</v>
      </c>
      <c r="AA266" s="15">
        <f t="shared" ca="1" si="185"/>
        <v>0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6.2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19110923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31.3</v>
      </c>
      <c r="Y267" s="15">
        <f t="shared" ca="1" si="183"/>
        <v>0</v>
      </c>
      <c r="Z267" s="16">
        <f t="shared" ca="1" si="184"/>
        <v>22.4</v>
      </c>
      <c r="AA267" s="15">
        <f t="shared" ca="1" si="185"/>
        <v>0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6.2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19110924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759.2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30.3</v>
      </c>
      <c r="Y268" s="15">
        <f t="shared" ca="1" si="183"/>
        <v>0</v>
      </c>
      <c r="Z268" s="16">
        <f t="shared" ca="1" si="184"/>
        <v>23.9</v>
      </c>
      <c r="AA268" s="15">
        <f t="shared" ca="1" si="185"/>
        <v>0</v>
      </c>
      <c r="AB268" s="9">
        <f t="shared" ca="1" si="186"/>
        <v>135</v>
      </c>
      <c r="AC268" s="15">
        <f t="shared" ca="1" si="187"/>
        <v>0</v>
      </c>
      <c r="AD268" s="76">
        <f t="shared" ca="1" si="188"/>
        <v>7.2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19110925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758.7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30.8</v>
      </c>
      <c r="Y269" s="15">
        <f t="shared" ca="1" si="183"/>
        <v>0</v>
      </c>
      <c r="Z269" s="16">
        <f t="shared" ca="1" si="184"/>
        <v>21</v>
      </c>
      <c r="AA269" s="15">
        <f t="shared" ca="1" si="185"/>
        <v>0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6.2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19110926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31.2</v>
      </c>
      <c r="Y270" s="15">
        <f t="shared" ca="1" si="183"/>
        <v>0</v>
      </c>
      <c r="Z270" s="16">
        <f t="shared" ca="1" si="184"/>
        <v>22.4</v>
      </c>
      <c r="AA270" s="15">
        <f t="shared" ca="1" si="185"/>
        <v>0</v>
      </c>
      <c r="AB270" s="9">
        <f t="shared" ca="1" si="186"/>
        <v>135</v>
      </c>
      <c r="AC270" s="15">
        <f t="shared" ca="1" si="187"/>
        <v>0</v>
      </c>
      <c r="AD270" s="76">
        <f t="shared" ca="1" si="188"/>
        <v>7.2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19110927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759.5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31.2</v>
      </c>
      <c r="Y271" s="15">
        <f t="shared" ca="1" si="183"/>
        <v>0</v>
      </c>
      <c r="Z271" s="16">
        <f t="shared" ca="1" si="184"/>
        <v>23.1</v>
      </c>
      <c r="AA271" s="15">
        <f t="shared" ca="1" si="185"/>
        <v>0</v>
      </c>
      <c r="AB271" s="9">
        <f t="shared" ca="1" si="186"/>
        <v>135</v>
      </c>
      <c r="AC271" s="15">
        <f t="shared" ca="1" si="187"/>
        <v>0</v>
      </c>
      <c r="AD271" s="76">
        <f t="shared" ca="1" si="188"/>
        <v>7.2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19110928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758.7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30.7</v>
      </c>
      <c r="Y272" s="15">
        <f t="shared" ca="1" si="183"/>
        <v>0</v>
      </c>
      <c r="Z272" s="16">
        <f t="shared" ca="1" si="184"/>
        <v>20.5</v>
      </c>
      <c r="AA272" s="15">
        <f t="shared" ca="1" si="185"/>
        <v>0</v>
      </c>
      <c r="AB272" s="9">
        <f t="shared" ca="1" si="186"/>
        <v>135</v>
      </c>
      <c r="AC272" s="15">
        <f t="shared" ca="1" si="187"/>
        <v>0</v>
      </c>
      <c r="AD272" s="76">
        <f t="shared" ca="1" si="188"/>
        <v>7.2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19110929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758.7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31.2</v>
      </c>
      <c r="Y273" s="15">
        <f t="shared" ca="1" si="183"/>
        <v>0</v>
      </c>
      <c r="Z273" s="16">
        <f t="shared" ca="1" si="184"/>
        <v>20.399999999999999</v>
      </c>
      <c r="AA273" s="15">
        <f t="shared" ca="1" si="185"/>
        <v>0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7.2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19110930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759.5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29.7</v>
      </c>
      <c r="Y274" s="15">
        <f t="shared" ca="1" si="183"/>
        <v>0</v>
      </c>
      <c r="Z274" s="16">
        <f t="shared" ca="1" si="184"/>
        <v>22.3</v>
      </c>
      <c r="AA274" s="15">
        <f t="shared" ca="1" si="185"/>
        <v>0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7.2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19111001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759.7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30.6</v>
      </c>
      <c r="Y275" s="15">
        <f t="shared" ca="1" si="183"/>
        <v>0</v>
      </c>
      <c r="Z275" s="16">
        <f t="shared" ca="1" si="184"/>
        <v>23.9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8.1999999999999993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19111002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759.2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31.1</v>
      </c>
      <c r="Y276" s="15">
        <f t="shared" ca="1" si="183"/>
        <v>0</v>
      </c>
      <c r="Z276" s="16">
        <f t="shared" ca="1" si="184"/>
        <v>22.4</v>
      </c>
      <c r="AA276" s="15">
        <f t="shared" ca="1" si="185"/>
        <v>0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7.2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19111003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759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31.4</v>
      </c>
      <c r="Y277" s="15">
        <f t="shared" ca="1" si="183"/>
        <v>0</v>
      </c>
      <c r="Z277" s="16">
        <f t="shared" ca="1" si="184"/>
        <v>22.3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7.2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19111004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758.2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31.4</v>
      </c>
      <c r="Y278" s="15">
        <f t="shared" ca="1" si="183"/>
        <v>0</v>
      </c>
      <c r="Z278" s="16">
        <f t="shared" ca="1" si="184"/>
        <v>22.4</v>
      </c>
      <c r="AA278" s="15">
        <f t="shared" ca="1" si="185"/>
        <v>0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7.2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19111005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759.5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31.2</v>
      </c>
      <c r="Y279" s="15">
        <f t="shared" ca="1" si="183"/>
        <v>0</v>
      </c>
      <c r="Z279" s="16">
        <f t="shared" ca="1" si="184"/>
        <v>22.9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8.1999999999999993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19111006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759.2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31.2</v>
      </c>
      <c r="Y280" s="15">
        <f t="shared" ca="1" si="183"/>
        <v>0</v>
      </c>
      <c r="Z280" s="16">
        <f t="shared" ca="1" si="184"/>
        <v>22.2</v>
      </c>
      <c r="AA280" s="15">
        <f t="shared" ca="1" si="185"/>
        <v>0</v>
      </c>
      <c r="AB280" s="9">
        <f t="shared" ca="1" si="186"/>
        <v>135</v>
      </c>
      <c r="AC280" s="15">
        <f t="shared" ca="1" si="187"/>
        <v>0</v>
      </c>
      <c r="AD280" s="76">
        <f t="shared" ca="1" si="188"/>
        <v>7.2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19111007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759.5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30.8</v>
      </c>
      <c r="Y281" s="15">
        <f t="shared" ca="1" si="183"/>
        <v>0</v>
      </c>
      <c r="Z281" s="16">
        <f t="shared" ca="1" si="184"/>
        <v>1.9</v>
      </c>
      <c r="AA281" s="15">
        <f t="shared" ca="1" si="185"/>
        <v>0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7.2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19111008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759.2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31.1</v>
      </c>
      <c r="Y282" s="15">
        <f t="shared" ca="1" si="183"/>
        <v>0</v>
      </c>
      <c r="Z282" s="16">
        <f t="shared" ca="1" si="184"/>
        <v>23.9</v>
      </c>
      <c r="AA282" s="15">
        <f t="shared" ca="1" si="185"/>
        <v>0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6.2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19111009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759.5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31</v>
      </c>
      <c r="Y283" s="15">
        <f t="shared" ca="1" si="183"/>
        <v>0</v>
      </c>
      <c r="Z283" s="16">
        <f t="shared" ca="1" si="184"/>
        <v>23.4</v>
      </c>
      <c r="AA283" s="15">
        <f t="shared" ca="1" si="185"/>
        <v>0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6.2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19111010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759.5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30</v>
      </c>
      <c r="Y284" s="15">
        <f t="shared" ca="1" si="183"/>
        <v>0</v>
      </c>
      <c r="Z284" s="16">
        <f t="shared" ca="1" si="184"/>
        <v>23.6</v>
      </c>
      <c r="AA284" s="15">
        <f t="shared" ca="1" si="185"/>
        <v>0</v>
      </c>
      <c r="AB284" s="9">
        <f t="shared" ca="1" si="186"/>
        <v>90</v>
      </c>
      <c r="AC284" s="15">
        <f t="shared" ca="1" si="187"/>
        <v>0</v>
      </c>
      <c r="AD284" s="76">
        <f t="shared" ca="1" si="188"/>
        <v>7.2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19111011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759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29.6</v>
      </c>
      <c r="Y285" s="15">
        <f t="shared" ca="1" si="183"/>
        <v>0</v>
      </c>
      <c r="Z285" s="16">
        <f t="shared" ca="1" si="184"/>
        <v>22.8</v>
      </c>
      <c r="AA285" s="15">
        <f t="shared" ca="1" si="185"/>
        <v>0</v>
      </c>
      <c r="AB285" s="9">
        <f t="shared" ca="1" si="186"/>
        <v>135</v>
      </c>
      <c r="AC285" s="15">
        <f t="shared" ca="1" si="187"/>
        <v>0</v>
      </c>
      <c r="AD285" s="76">
        <f t="shared" ca="1" si="188"/>
        <v>6.2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19111012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758.7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30.7</v>
      </c>
      <c r="Y286" s="15">
        <f t="shared" ca="1" si="183"/>
        <v>0</v>
      </c>
      <c r="Z286" s="16">
        <f t="shared" ca="1" si="184"/>
        <v>23.6</v>
      </c>
      <c r="AA286" s="15">
        <f t="shared" ca="1" si="185"/>
        <v>0</v>
      </c>
      <c r="AB286" s="9">
        <f t="shared" ca="1" si="186"/>
        <v>90</v>
      </c>
      <c r="AC286" s="15">
        <f t="shared" ca="1" si="187"/>
        <v>0</v>
      </c>
      <c r="AD286" s="76">
        <f t="shared" ca="1" si="188"/>
        <v>6.2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19111013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759.7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31.7</v>
      </c>
      <c r="Y287" s="15">
        <f t="shared" ca="1" si="183"/>
        <v>0</v>
      </c>
      <c r="Z287" s="16">
        <f t="shared" ca="1" si="184"/>
        <v>23.4</v>
      </c>
      <c r="AA287" s="15">
        <f t="shared" ca="1" si="185"/>
        <v>0</v>
      </c>
      <c r="AB287" s="9">
        <f t="shared" ca="1" si="186"/>
        <v>135</v>
      </c>
      <c r="AC287" s="15">
        <f t="shared" ca="1" si="187"/>
        <v>0</v>
      </c>
      <c r="AD287" s="76">
        <f t="shared" ca="1" si="188"/>
        <v>7.2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19111014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761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31.6</v>
      </c>
      <c r="Y288" s="15">
        <f t="shared" ca="1" si="183"/>
        <v>0</v>
      </c>
      <c r="Z288" s="16">
        <f t="shared" ca="1" si="184"/>
        <v>24.4</v>
      </c>
      <c r="AA288" s="15">
        <f t="shared" ca="1" si="185"/>
        <v>0</v>
      </c>
      <c r="AB288" s="9">
        <f t="shared" ca="1" si="186"/>
        <v>135</v>
      </c>
      <c r="AC288" s="15">
        <f t="shared" ca="1" si="187"/>
        <v>0</v>
      </c>
      <c r="AD288" s="76">
        <f t="shared" ca="1" si="188"/>
        <v>8.1999999999999993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19111015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761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31.6</v>
      </c>
      <c r="Y289" s="15">
        <f t="shared" ca="1" si="183"/>
        <v>0</v>
      </c>
      <c r="Z289" s="16">
        <f t="shared" ca="1" si="184"/>
        <v>20.8</v>
      </c>
      <c r="AA289" s="15">
        <f t="shared" ca="1" si="185"/>
        <v>0</v>
      </c>
      <c r="AB289" s="9">
        <f t="shared" ca="1" si="186"/>
        <v>135</v>
      </c>
      <c r="AC289" s="15">
        <f t="shared" ca="1" si="187"/>
        <v>0</v>
      </c>
      <c r="AD289" s="76">
        <f t="shared" ca="1" si="188"/>
        <v>7.2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19111016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759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31.8</v>
      </c>
      <c r="Y290" s="15">
        <f t="shared" ca="1" si="183"/>
        <v>0</v>
      </c>
      <c r="Z290" s="16">
        <f t="shared" ca="1" si="184"/>
        <v>24</v>
      </c>
      <c r="AA290" s="15">
        <f t="shared" ca="1" si="185"/>
        <v>0</v>
      </c>
      <c r="AB290" s="9">
        <f t="shared" ca="1" si="186"/>
        <v>135</v>
      </c>
      <c r="AC290" s="15">
        <f t="shared" ca="1" si="187"/>
        <v>0</v>
      </c>
      <c r="AD290" s="76">
        <f t="shared" ca="1" si="188"/>
        <v>8.1999999999999993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19111017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759.2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30.9</v>
      </c>
      <c r="Y291" s="15">
        <f t="shared" ca="1" si="183"/>
        <v>0</v>
      </c>
      <c r="Z291" s="16">
        <f t="shared" ca="1" si="184"/>
        <v>22.8</v>
      </c>
      <c r="AA291" s="15">
        <f t="shared" ca="1" si="185"/>
        <v>0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7.2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19111018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758.7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31.3</v>
      </c>
      <c r="Y292" s="15">
        <f t="shared" ca="1" si="183"/>
        <v>0</v>
      </c>
      <c r="Z292" s="16">
        <f t="shared" ca="1" si="184"/>
        <v>21</v>
      </c>
      <c r="AA292" s="15">
        <f t="shared" ca="1" si="185"/>
        <v>0</v>
      </c>
      <c r="AB292" s="9">
        <f t="shared" ca="1" si="186"/>
        <v>90</v>
      </c>
      <c r="AC292" s="15">
        <f t="shared" ca="1" si="187"/>
        <v>0</v>
      </c>
      <c r="AD292" s="76">
        <f t="shared" ca="1" si="188"/>
        <v>6.7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19111019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758.4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31.8</v>
      </c>
      <c r="Y293" s="15">
        <f t="shared" ca="1" si="183"/>
        <v>0</v>
      </c>
      <c r="Z293" s="16">
        <f t="shared" ca="1" si="184"/>
        <v>23.7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6.2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19111020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759.7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31.2</v>
      </c>
      <c r="Y294" s="15">
        <f t="shared" ca="1" si="183"/>
        <v>0</v>
      </c>
      <c r="Z294" s="16">
        <f t="shared" ca="1" si="184"/>
        <v>24.6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6.2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19111021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760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31.1</v>
      </c>
      <c r="Y295" s="15">
        <f t="shared" ca="1" si="183"/>
        <v>0</v>
      </c>
      <c r="Z295" s="16">
        <f t="shared" ca="1" si="184"/>
        <v>24.2</v>
      </c>
      <c r="AA295" s="15">
        <f t="shared" ca="1" si="185"/>
        <v>0</v>
      </c>
      <c r="AB295" s="9">
        <f t="shared" ca="1" si="186"/>
        <v>135</v>
      </c>
      <c r="AC295" s="15">
        <f t="shared" ca="1" si="187"/>
        <v>0</v>
      </c>
      <c r="AD295" s="76">
        <f t="shared" ca="1" si="188"/>
        <v>6.7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19111022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759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31.4</v>
      </c>
      <c r="Y296" s="15">
        <f t="shared" ca="1" si="183"/>
        <v>0</v>
      </c>
      <c r="Z296" s="16">
        <f t="shared" ca="1" si="184"/>
        <v>23.7</v>
      </c>
      <c r="AA296" s="15">
        <f t="shared" ca="1" si="185"/>
        <v>0</v>
      </c>
      <c r="AB296" s="9">
        <f t="shared" ca="1" si="186"/>
        <v>135</v>
      </c>
      <c r="AC296" s="15">
        <f t="shared" ca="1" si="187"/>
        <v>0</v>
      </c>
      <c r="AD296" s="76">
        <f t="shared" ca="1" si="188"/>
        <v>6.7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19111023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757.9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31.6</v>
      </c>
      <c r="Y297" s="15">
        <f t="shared" ca="1" si="183"/>
        <v>0</v>
      </c>
      <c r="Z297" s="16">
        <f t="shared" ca="1" si="184"/>
        <v>23.6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6.2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19111024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758.2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30.6</v>
      </c>
      <c r="Y298" s="15">
        <f t="shared" ca="1" si="183"/>
        <v>0</v>
      </c>
      <c r="Z298" s="16">
        <f t="shared" ca="1" si="184"/>
        <v>24.5</v>
      </c>
      <c r="AA298" s="15">
        <f t="shared" ca="1" si="185"/>
        <v>0</v>
      </c>
      <c r="AB298" s="9">
        <f t="shared" ca="1" si="186"/>
        <v>135</v>
      </c>
      <c r="AC298" s="15">
        <f t="shared" ca="1" si="187"/>
        <v>0</v>
      </c>
      <c r="AD298" s="76">
        <f t="shared" ca="1" si="188"/>
        <v>7.2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19111025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758.7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30.4</v>
      </c>
      <c r="Y299" s="15">
        <f t="shared" ca="1" si="183"/>
        <v>0</v>
      </c>
      <c r="Z299" s="16">
        <f t="shared" ca="1" si="184"/>
        <v>23.7</v>
      </c>
      <c r="AA299" s="15">
        <f t="shared" ca="1" si="185"/>
        <v>0</v>
      </c>
      <c r="AB299" s="9">
        <f t="shared" ca="1" si="186"/>
        <v>135</v>
      </c>
      <c r="AC299" s="15">
        <f t="shared" ca="1" si="187"/>
        <v>0</v>
      </c>
      <c r="AD299" s="76">
        <f t="shared" ca="1" si="188"/>
        <v>6.2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19111026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758.7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31.4</v>
      </c>
      <c r="Y300" s="15">
        <f t="shared" ca="1" si="183"/>
        <v>0</v>
      </c>
      <c r="Z300" s="16">
        <f t="shared" ca="1" si="184"/>
        <v>23.9</v>
      </c>
      <c r="AA300" s="15">
        <f t="shared" ca="1" si="185"/>
        <v>0</v>
      </c>
      <c r="AB300" s="9">
        <f t="shared" ca="1" si="186"/>
        <v>135</v>
      </c>
      <c r="AC300" s="15">
        <f t="shared" ca="1" si="187"/>
        <v>0</v>
      </c>
      <c r="AD300" s="76">
        <f t="shared" ca="1" si="188"/>
        <v>5.0999999999999996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19111027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757.4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31.7</v>
      </c>
      <c r="Y301" s="15">
        <f t="shared" ca="1" si="183"/>
        <v>0</v>
      </c>
      <c r="Z301" s="16">
        <f t="shared" ca="1" si="184"/>
        <v>23.9</v>
      </c>
      <c r="AA301" s="15">
        <f t="shared" ca="1" si="185"/>
        <v>0</v>
      </c>
      <c r="AB301" s="9">
        <f t="shared" ca="1" si="186"/>
        <v>135</v>
      </c>
      <c r="AC301" s="15">
        <f t="shared" ca="1" si="187"/>
        <v>0</v>
      </c>
      <c r="AD301" s="76">
        <f t="shared" ca="1" si="188"/>
        <v>5.0999999999999996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19111028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758.2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31.8</v>
      </c>
      <c r="Y302" s="15">
        <f t="shared" ca="1" si="183"/>
        <v>0</v>
      </c>
      <c r="Z302" s="16">
        <f t="shared" ca="1" si="184"/>
        <v>23.8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6.2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19111029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758.2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31.6</v>
      </c>
      <c r="Y303" s="15">
        <f t="shared" ca="1" si="183"/>
        <v>0</v>
      </c>
      <c r="Z303" s="16">
        <f t="shared" ca="1" si="184"/>
        <v>23.8</v>
      </c>
      <c r="AA303" s="15">
        <f t="shared" ca="1" si="185"/>
        <v>0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6.2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19111030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758.7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31.8</v>
      </c>
      <c r="Y304" s="15">
        <f t="shared" ca="1" si="183"/>
        <v>0</v>
      </c>
      <c r="Z304" s="16">
        <f t="shared" ca="1" si="184"/>
        <v>23.6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6.2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19111031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759.5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31.1</v>
      </c>
      <c r="Y305" s="15">
        <f t="shared" ca="1" si="183"/>
        <v>0</v>
      </c>
      <c r="Z305" s="16">
        <f t="shared" ca="1" si="184"/>
        <v>24.2</v>
      </c>
      <c r="AA305" s="15">
        <f t="shared" ca="1" si="185"/>
        <v>0</v>
      </c>
      <c r="AB305" s="9">
        <f t="shared" ca="1" si="186"/>
        <v>135</v>
      </c>
      <c r="AC305" s="15">
        <f t="shared" ca="1" si="187"/>
        <v>0</v>
      </c>
      <c r="AD305" s="76">
        <f t="shared" ca="1" si="188"/>
        <v>7.2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19111101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759.7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31.1</v>
      </c>
      <c r="Y306" s="15">
        <f t="shared" ca="1" si="183"/>
        <v>0</v>
      </c>
      <c r="Z306" s="16">
        <f t="shared" ca="1" si="184"/>
        <v>24.9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5.0999999999999996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19111102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758.4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30.6</v>
      </c>
      <c r="Y307" s="15">
        <f t="shared" ca="1" si="183"/>
        <v>0</v>
      </c>
      <c r="Z307" s="16">
        <f t="shared" ca="1" si="184"/>
        <v>21.9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5.0999999999999996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19111103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758.2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26.6</v>
      </c>
      <c r="Y308" s="15">
        <f t="shared" ca="1" si="183"/>
        <v>0</v>
      </c>
      <c r="Z308" s="16">
        <f t="shared" ca="1" si="184"/>
        <v>20.3</v>
      </c>
      <c r="AA308" s="15">
        <f t="shared" ca="1" si="185"/>
        <v>0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5.0999999999999996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19111104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758.2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29.2</v>
      </c>
      <c r="Y309" s="15">
        <f t="shared" ca="1" si="183"/>
        <v>0</v>
      </c>
      <c r="Z309" s="16">
        <f t="shared" ca="1" si="184"/>
        <v>22.8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7.2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19111105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759.2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30.3</v>
      </c>
      <c r="Y310" s="15">
        <f t="shared" ca="1" si="183"/>
        <v>0</v>
      </c>
      <c r="Z310" s="16">
        <f t="shared" ca="1" si="184"/>
        <v>22.7</v>
      </c>
      <c r="AA310" s="15">
        <f t="shared" ca="1" si="185"/>
        <v>0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6.2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19111106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759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30.3</v>
      </c>
      <c r="Y311" s="15">
        <f t="shared" ca="1" si="183"/>
        <v>0</v>
      </c>
      <c r="Z311" s="16">
        <f t="shared" ca="1" si="184"/>
        <v>24.4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7.2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19111107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758.7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30.7</v>
      </c>
      <c r="Y312" s="15">
        <f t="shared" ca="1" si="183"/>
        <v>0</v>
      </c>
      <c r="Z312" s="16">
        <f t="shared" ca="1" si="184"/>
        <v>24.2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6.2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19111108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758.7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31.4</v>
      </c>
      <c r="Y313" s="15">
        <f t="shared" ca="1" si="183"/>
        <v>0</v>
      </c>
      <c r="Z313" s="16">
        <f t="shared" ca="1" si="184"/>
        <v>23.8</v>
      </c>
      <c r="AA313" s="15">
        <f t="shared" ca="1" si="185"/>
        <v>0</v>
      </c>
      <c r="AB313" s="9">
        <f t="shared" ca="1" si="186"/>
        <v>45</v>
      </c>
      <c r="AC313" s="15">
        <f t="shared" ca="1" si="187"/>
        <v>0</v>
      </c>
      <c r="AD313" s="76">
        <f t="shared" ca="1" si="188"/>
        <v>7.2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19111109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759.5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30.7</v>
      </c>
      <c r="Y314" s="15">
        <f t="shared" ca="1" si="183"/>
        <v>0</v>
      </c>
      <c r="Z314" s="16">
        <f t="shared" ca="1" si="184"/>
        <v>23.4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6.2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19111110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760.7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30.7</v>
      </c>
      <c r="Y315" s="15">
        <f t="shared" ca="1" si="183"/>
        <v>0</v>
      </c>
      <c r="Z315" s="16">
        <f t="shared" ca="1" si="184"/>
        <v>24.4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5.0999999999999996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19111111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759.2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30.4</v>
      </c>
      <c r="Y316" s="15">
        <f t="shared" ca="1" si="183"/>
        <v>0</v>
      </c>
      <c r="Z316" s="16">
        <f t="shared" ca="1" si="184"/>
        <v>24.2</v>
      </c>
      <c r="AA316" s="15">
        <f t="shared" ca="1" si="185"/>
        <v>0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7.2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19111112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758.7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27.7</v>
      </c>
      <c r="Y317" s="15">
        <f t="shared" ca="1" si="183"/>
        <v>0</v>
      </c>
      <c r="Z317" s="16">
        <f t="shared" ca="1" si="184"/>
        <v>21.4</v>
      </c>
      <c r="AA317" s="15">
        <f t="shared" ca="1" si="185"/>
        <v>0</v>
      </c>
      <c r="AB317" s="9">
        <f t="shared" ca="1" si="186"/>
        <v>135</v>
      </c>
      <c r="AC317" s="15">
        <f t="shared" ca="1" si="187"/>
        <v>0</v>
      </c>
      <c r="AD317" s="76">
        <f t="shared" ca="1" si="188"/>
        <v>3.1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19111113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758.7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29.5</v>
      </c>
      <c r="Y318" s="15">
        <f t="shared" ca="1" si="183"/>
        <v>0</v>
      </c>
      <c r="Z318" s="16">
        <f t="shared" ca="1" si="184"/>
        <v>21.1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6.2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19111114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758.7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29.6</v>
      </c>
      <c r="Y319" s="15">
        <f t="shared" ca="1" si="183"/>
        <v>0</v>
      </c>
      <c r="Z319" s="16">
        <f t="shared" ca="1" si="184"/>
        <v>21</v>
      </c>
      <c r="AA319" s="15">
        <f t="shared" ca="1" si="185"/>
        <v>0</v>
      </c>
      <c r="AB319" s="9">
        <f t="shared" ca="1" si="186"/>
        <v>135</v>
      </c>
      <c r="AC319" s="15">
        <f t="shared" ca="1" si="187"/>
        <v>0</v>
      </c>
      <c r="AD319" s="76">
        <f t="shared" ca="1" si="188"/>
        <v>7.2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19111115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759.5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29.7</v>
      </c>
      <c r="Y320" s="15">
        <f t="shared" ca="1" si="183"/>
        <v>0</v>
      </c>
      <c r="Z320" s="16">
        <f t="shared" ca="1" si="184"/>
        <v>23.3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6.2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19111116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19111117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19111118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19111119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19111120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19111121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19111122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19111123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19111124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19111125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19111126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19111127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19111128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19111129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19111130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19111201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19111202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19111203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19111204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19111205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19111206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19111207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19111208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19111209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19111210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19111211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19111212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19111213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19111214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19111215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19111216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19111217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19111218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19111219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19111220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19111221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19111222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19111223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19111224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19111225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19111226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19111227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19111228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19111229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19111230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19111231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19110101,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19110102,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19110103,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19110104,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19110105,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19110106,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19110107,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19110108,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19110109,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19110110,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19110111,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19110112,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19110113,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19110114,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19110115,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19110116,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19110117,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19110118,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19110119,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19110120,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19110121,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19110122,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19110123,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19110124,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19110125,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19110126,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19110127,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19110128,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19110129,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19110130,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19110131,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19110201,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19110202,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19110203,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19110204,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19110205,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19110206,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19110207,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19110208,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19110209,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19110210,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19110211,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19110212,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19110213,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19110214,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19110215,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19110216,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19110217,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19110218,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19110219,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19110220,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19110221,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19110222,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19110223,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19110224,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19110225,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19110226,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19110227,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19110228,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19110301,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19110302,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19110303,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19110304,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19110305,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19110306,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19110307,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19110308,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19110309,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19110310,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19110311,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19110312,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19110313,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19110314,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19110315,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19110316,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19110317,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19110318,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19110319,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19110320,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19110321,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19110322,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19110323,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19110324,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19110325,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19110326,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19110327,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19110328,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19110329,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19110330,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19110331,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19110401,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19110402,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19110403,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19110404,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19110405,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19110406,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19110407,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19110408,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19110409,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19110410,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19110411,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19110412,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19110413,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19110414,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19110415,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19110416,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19110417,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19110418,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19110419,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19110420,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19110421,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19110422,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19110423,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19110424,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19110425,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19110426,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19110427,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19110428,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19110429,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19110430,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19110501,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19110502,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19110503,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19110504,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19110505,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19110506,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19110507,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19110508,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19110509,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19110510,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19110511,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19110512,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19110513,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19110514,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19110515,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19110516,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19110517,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19110518,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19110519,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19110520,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19110521,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19110522,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19110523,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19110524,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19110525,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19110526,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19110527,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19110528,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19110529,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19110530,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19110531,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19110601,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19110602,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19110603,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19110604,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19110605,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19110606,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19110607,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19110608,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19110609,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19110610,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19110611,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19110612,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19110613,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19110614,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19110615,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19110616,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19110617,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19110618,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19110619,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19110620,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19110621,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19110622,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19110623,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19110624,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19110625,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19110626,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19110627,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19110628,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19110629,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19110630,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78989, 19110701, 1,   28, 00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78989, 19110702, 1,   20, 00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78989, 19110703, 1,    0, 00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78989, 19110704, 1,    0, 00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19110705, 1, ////, 07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78989, 19110706, 1,    0, 00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78989, 19110707, 1,    0, 00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78989, 19110708, 1,    0, 00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78989, 19110709, 1,    0, 00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78989, 19110710, 1,    0, 00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78989, 19110711, 1,    0, 00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78989, 19110712, 1,    0, 00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78989, 19110713, 1,    0, 00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78989, 19110714, 1,    0, 00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78989, 19110715, 1,    3, 00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78989, 19110716, 1,    0, 00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78989, 19110717, 1,    0, 00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78989, 19110718, 1,    0, 00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78989, 19110719, 1,    5, 00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78989, 19110720, 1,   10, 00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78989, 19110721, 1,    0, 00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78989, 19110722, 1,   41, 00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78989, 19110723, 1,    0, 00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78989, 19110724, 1,    0, 00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78989, 19110725, 1,   46, 00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78989, 19110726, 1,  127, 00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78989, 19110727, 1,    0, 00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78989, 19110728, 1,    0, 00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78989, 19110729, 1,    0, 00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78989, 19110730, 1,    0, 00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78989, 19110731, 1,    0, 00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78989, 19110801, 1,   13, 00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78989, 19110802, 1,   13, 00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78989, 19110803, 1,    0, 00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78989, 19110804, 1,    0, 00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78989, 19110805, 1,   10, 00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78989, 19110806, 1,    0, 00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78989, 19110807, 1,    0, 00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78989, 19110808, 1,    0, 00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78989, 19110809, 1,    0, 00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78989, 19110810, 1,    0, 00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78989, 19110811, 1,    0, 00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78989, 19110812, 1,    0, 00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78989, 19110813, 1,    0, 00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78989, 19110814, 1,    0, 00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78989, 19110815, 1,    0, 00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78989, 19110816, 1,    0, 00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78989, 19110817, 1,    0, 00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78989, 19110818, 1,    0, 00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78989, 19110819, 1,    0, 00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78989, 19110820, 1,    0, 00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78989, 19110821, 1,    0, 00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78989, 19110822, 1,    0, 00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78989, 19110823, 1,    0, 00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78989, 19110824, 1,    0, 00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78989, 19110825, 1,    0, 00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78989, 19110826, 1,    0, 00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78989, 19110827, 1,    0, 00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78989, 19110828, 1,    0, 00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78989, 19110829, 1,   13, 00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78989, 19110830, 1,    0, 00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78989, 19110831, 1,    0, 00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78989, 19110901, 1,    0, 00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78989, 19110902, 1,    0, 00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78989, 19110903, 1,   13, 00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78989, 19110904, 1,    0, 00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78989, 19110905, 1,    0, 00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78989, 19110906, 1,    0, 00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78989, 19110907, 1,   15, 00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78989, 19110908, 1,    0, 00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78989, 19110909, 1,    0, 00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78989, 19110910, 1,    0, 00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78989, 19110911, 1,    0, 00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78989, 19110912, 1,    0, 00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78989, 19110913, 1,    0, 00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78989, 19110914, 1,    0, 00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78989, 19110915, 1,    0, 00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78989, 19110916, 1,    0, 00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78989, 19110917, 1,    0, 00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78989, 19110918, 1,    0, 00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78989, 19110919, 1,    0, 00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78989, 19110920, 1,    0, 00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78989, 19110921, 1,    0, 00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78989, 19110922, 1,    8, 00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78989, 19110923, 1,    0, 00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78989, 19110924, 1,    8, 00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78989, 19110925, 1,    8, 00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78989, 19110926, 1,    0, 00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78989, 19110927, 1,    0, 00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78989, 19110928, 1,    0, 00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78989, 19110929, 1,    0, 00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78989, 19110930, 1,    0, 00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78989, 19111001, 1,    0, 00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78989, 19111002, 1,    0, 00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78989, 19111003, 1,    0, 00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78989, 19111004, 1,    0, 00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78989, 19111005, 1,    0, 00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78989, 19111006, 1,    0, 00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78989, 19111007, 1,    0, 00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78989, 19111008, 1,    0, 00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78989, 19111009, 1,    0, 00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78989, 19111010, 1,    0, 00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78989, 19111011, 1,    5, 00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78989, 19111012, 1,    0, 00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78989, 19111013, 1,    0, 00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78989, 19111014, 1,    0, 00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78989, 19111015, 1,    0, 00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78989, 19111016, 1,    0, 00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78989, 19111017, 1,    0, 00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78989, 19111018, 1,    0, 00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78989, 19111019, 1,    0, 00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78989, 19111020, 1,    0, 00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78989, 19111021, 1,    0, 00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78989, 19111022, 1,    0, 00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78989, 19111023, 1,    0, 00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78989, 19111024, 1,    0, 00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78989, 19111025, 1,   13, 00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78989, 19111026, 1,    0, 00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78989, 19111027, 1,    0, 00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78989, 19111028, 1,    0, 00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78989, 19111029, 1,    0, 00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78989, 19111030, 1,    0, 00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78989, 19111031, 1,    0, 00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78989, 19111101, 1,    0, 00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78989, 19111102, 1,   38, 00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78989, 19111103, 1,  119, 00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78989, 19111104, 1,    0, 00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78989, 19111105, 1,   41, 00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78989, 19111106, 1,    0, 00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78989, 19111107, 1,    0, 00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78989, 19111108, 1,    0, 00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78989, 19111109, 1,    0, 00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78989, 19111110, 1,    0, 00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78989, 19111111, 1,    0, 00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78989, 19111112, 1,   38, 00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78989, 19111113, 1,  112, 00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78989, 19111114, 1,   51, 00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78989, 19111115, 1,    5, 00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19111116,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19111117,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19111118,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19111119,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19111120,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19111121,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19111122,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19111123,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19111124,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19111125,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19111126,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19111127,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19111128,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19111129,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19111130,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19111201,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19111202,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19111203,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19111204,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19111205,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19111206,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19111207,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19111208,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19111209,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19111210,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19111211,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19111212,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19111213,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19111214,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19111215,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19111216,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19111217,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19111218,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19111219,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19111220,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19111221,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19111222,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19111223,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19111224,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19111225,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19111226,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19111227,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19111228,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19111229,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19111230,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19111231,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19110101,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19110102,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19110103,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19110104,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19110105,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19110106,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19110107,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19110108,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19110109,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19110110,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19110111,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19110112,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19110113,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19110114,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19110115,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19110116,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19110117,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19110118,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19110119,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19110120,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19110121,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19110122,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19110123,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19110124,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19110125,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19110126,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19110127,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19110128,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19110129,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19110130,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19110131,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19110201,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19110202,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19110203,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19110204,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19110205,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19110206,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19110207,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19110208,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19110209,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19110210,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19110211,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19110212,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19110213,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19110214,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19110215,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19110216,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19110217,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19110218,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19110219,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19110220,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19110221,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19110222,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19110223,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19110224,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19110225,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19110226,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19110227,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19110228,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19110301,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19110302,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19110303,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19110304,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19110305,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19110306,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19110307,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19110308,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19110309,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19110310,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19110311,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19110312,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19110313,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19110314,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19110315,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19110316,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19110317,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19110318,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19110319,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19110320,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19110321,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19110322,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19110323,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19110324,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19110325,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19110326,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19110327,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19110328,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19110329,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19110330,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19110331,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19110401,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19110402,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19110403,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19110404,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19110405,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19110406,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19110407,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19110408,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19110409,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19110410,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19110411,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19110412,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19110413,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19110414,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19110415,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19110416,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19110417,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19110418,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19110419,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19110420,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19110421,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19110422,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19110423,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19110424,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19110425,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19110426,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19110427,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19110428,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19110429,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19110430,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19110501,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19110502,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19110503,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19110504,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19110505,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19110506,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19110507,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19110508,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19110509,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19110510,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19110511,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19110512,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19110513,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19110514,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19110515,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19110516,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19110517,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19110518,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19110519,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19110520,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19110521,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19110522,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19110523,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19110524,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19110525,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19110526,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19110527,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19110528,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19110529,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19110530,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19110531,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19110601,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19110602,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19110603,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19110604,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19110605,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19110606,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19110607,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19110608,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19110609,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19110610,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19110611,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19110612,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19110613,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19110614,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19110615,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19110616,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19110617,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19110618,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19110619,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19110620,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19110621,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19110622,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19110623,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19110624,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19110625,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19110626,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19110627,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19110628,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19110629,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19110630,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19110701, 0800, ////, 07, /////, 07, ////, 07, /////, 07, 7610, 00, ////, 07, ////, 07, ////, 07, ///, 07, ///, 07,  298, 00,  174, 00,  90, 00,   67,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19110702, 0800, ////, 07, /////, 07, ////, 07, /////, 07, 7602, 00, ////, 07, ////, 07, ////, 07, ///, 07, ///, 07,  294, 00,  214, 00,  90, 00,   93,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19110703, 0800, ////, 07, /////, 07, ////, 07, /////, 07, 7607, 00, ////, 07, ////, 07, ////, 07, ///, 07, ///, 07,  266, 00,  161, 00,  90, 00,   77,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19110704, 0800, ////, 07, /////, 07, ////, 07, /////, 07, 7617, 00, ////, 07, ////, 07, ////, 07, ///, 07, ///, 07,  293, 00,  212, 00, 135, 00,   67,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19110705, 0800, ////, 07, /////, 07, ////, 07, /////, 07, 7628, 00, ////, 07, ////, 07, ////, 07, ///, 07, ///, 07,  295, 00,  229, 00,  90, 00,   93,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19110706, 0800, ////, 07, /////, 07, ////, 07, /////, 07, 7628, 00, ////, 07, ////, 07, ////, 07, ///, 07, ///, 07,  297, 00,  101, 00,  90, 00,   72,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19110707, 0800, ////, 07, /////, 07, ////, 07, /////, 07, 7612, 00, ////, 07, ////, 07, ////, 07, ///, 07, ///, 07,  301, 00,  161, 00,  90, 00,   82,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19110708, 0800, ////, 07, /////, 07, ////, 07, /////, 07, 7612, 00, ////, 07, ////, 07, ////, 07, ///, 07, ///, 07,  298, 00,  219, 00,  90, 00,   82,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19110709, 0800, ////, 07, /////, 07, ////, 07, /////, 07, 7617, 00, ////, 07, ////, 07, ////, 07, ///, 07, ///, 07,  293, 00,  161, 00,  90, 00,   72,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19110710, 0800, ////, 07, /////, 07, ////, 07, /////, 07, 7612, 00, ////, 07, ////, 07, ////, 07, ///, 07, ///, 07,  296, 00,  224, 00, 135, 00,   62,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19110711, 0800, ////, 07, /////, 07, ////, 07, /////, 07, 7612, 00, ////, 07, ////, 07, ////, 07, ///, 07, ///, 07,  300, 00,  228, 00,  90, 00,   72,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19110712, 0800, ////, 07, /////, 07, ////, 07, /////, 07, 7600, 00, ////, 07, ////, 07, ////, 07, ///, 07, ///, 07,  301, 00,  244, 00, 135, 00,   72,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19110713, 0800, ////, 07, /////, 07, ////, 07, /////, 07, 7610, 00, ////, 07, ////, 07, ////, 07, ///, 07, ///, 07,  302, 00,  361, 00,  90, 00,   93,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19110714, 0800, ////, 07, /////, 07, ////, 07, /////, 07, 7615, 00, ////, 07, ////, 07, ////, 07, ///, 07, ///, 07,  300, 00,  212, 00,  90, 00,   72,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19110715, 0800, ////, 07, /////, 07, ////, 07, /////, 07, 7610, 00, ////, 07, ////, 07, ////, 07, ///, 07, ///, 07,  306, 00,  204, 00,  90, 00,   72,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19110716, 0800, ////, 07, /////, 07, ////, 07, /////, 07, 7610, 00, ////, 07, ////, 07, ////, 07, ///, 07, ///, 07,  299, 00,  205, 00,  90, 00,   72,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19110717, 0800, ////, 07, /////, 07, ////, 07, /////, 07, 7615, 00, ////, 07, ////, 07, ////, 07, ///, 07, ///, 07,  304, 00,  242, 00,  90, 00,   72,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19110718, 0800, ////, 07, /////, 07, ////, 07, /////, 07, 7617, 00, ////, 07, ////, 07, ////, 07, ///, 07, ///, 07,  296, 00,  222, 00,  90, 00,   62,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19110719, 0800, ////, 07, /////, 07, ////, 07, /////, 07, 7607, 00, ////, 07, ////, 07, ////, 07, ///, 07, ///, 07,  302, 00,  229, 00, 135, 00,   72,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19110720, 0800, ////, 07, /////, 07, ////, 07, /////, 07, 7607, 00, ////, 07, ////, 07, ////, 07, ///, 07, ///, 07,  307, 00,  206, 00,  90, 00,   72,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19110721, 0800, ////, 07, /////, 07, ////, 07, /////, 07, 7602, 00, ////, 07, ////, 07, ////, 07, ///, 07, ///, 07,  298, 00,  212, 00,  90, 00,   72,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19110722, 0800, ////, 07, /////, 07, ////, 07, /////, 07, 7612, 00, ////, 07, ////, 07, ////, 07, ///, 07, ///, 07,  297, 00,  208, 00,  90, 00,   72,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19110723, 0800, ////, 07, /////, 07, ////, 07, /////, 07, 7612, 00, ////, 07, ////, 07, ////, 07, ///, 07, ///, 07,  304, 00,  212, 00, 135, 00,   93,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19110724, 0800, ////, 07, /////, 07, ////, 07, /////, 07, 7617, 00, ////, 07, ////, 07, ////, 07, ///, 07, ///, 07,  301, 00,  210, 00,  90, 00,   62,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19110725, 0800, ////, 07, /////, 07, ////, 07, /////, 07, 7620, 00, ////, 07, ////, 07, ////, 07, ///, 07, ///, 07,  301, 00,  207, 00,  90, 00,   72,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19110726, 0800, ////, 07, /////, 07, ////, 07, /////, 07, 7607, 00, ////, 07, ////, 07, ////, 07, ///, 07, ///, 07,  299, 00,  212, 00,  90, 00,   72,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19110727, 0800, ////, 07, /////, 07, ////, 07, /////, 07, 7607, 00, ////, 07, ////, 07, ////, 07, ///, 07, ///, 07,  295, 00,  212, 00,  90, 00,   62,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19110728, 0800, ////, 07, /////, 07, ////, 07, /////, 07, 7602, 00, ////, 07, ////, 07, ////, 07, ///, 07, ///, 07,  301, 00,  223, 00,  90, 00,   77,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19110729, 0800, ////, 07, /////, 07, ////, 07, /////, 07, 7607, 00, ////, 07, ////, 07, ////, 07, ///, 07, ///, 07,  299, 00,  212, 00,  90, 00,   72,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19110730, 0800, ////, 07, /////, 07, ////, 07, /////, 07, 7602, 00, ////, 07, ////, 07, ////, 07, ///, 07, ///, 07,  302, 00,  224, 00,  90, 00,   72,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19110731, 0800, ////, 07, /////, 07, ////, 07, /////, 07, 7595, 00, ////, 07, ////, 07, ////, 07, ///, 07, ///, 07,  303, 00,  210, 00, 135, 00,   72,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19110801, 0800, ////, 07, /////, 07, ////, 07, /////, 07, 7584, 00, ////, 07, ////, 07, ////, 07, ///, 07, ///, 07,  302, 00,  212, 00,  90, 00,   62,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19110802, 0800, ////, 07, /////, 07, ////, 07, /////, 07, 7600, 00, ////, 07, ////, 07, ////, 07, ///, 07, ///, 07,  289, 00,  210, 00, 135, 00,   72,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19110803, 0800, ////, 07, /////, 07, ////, 07, /////, 07, 7610, 00, ////, 07, ////, 07, ////, 07, ///, 07, ///, 07,  300, 00,  223, 00,  90, 00,   62,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19110804, 0800, ////, 07, /////, 07, ////, 07, /////, 07, 7597, 00, ////, 07, ////, 07, ////, 07, ///, 07, ///, 07,  307, 00,  222, 00, ///, 07, ////, 07,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19110805, 0800, ////, 07, /////, 07, ////, 07, /////, 07, 7597, 00, ////, 07, ////, 07, ////, 07, ///, 07, ///, 07,  301, 00,  211, 00, 135, 00,   72,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19110806, 0800, ////, 07, /////, 07, ////, 07, /////, 07, 7605, 00, ////, 07, ////, 07, ////, 07, ///, 07, ///, 07,  306, 00,  210, 00,  90, 00,   72,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19110807, 0800, ////, 07, /////, 07, ////, 07, /////, 07, 7610, 00, ////, 07, ////, 07, ////, 07, ///, 07, ///, 07,  306, 00,  213, 00,  90, 00,   51,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19110808, 0800, ////, 07, /////, 07, ////, 07, /////, 07, 7600, 00, ////, 07, ////, 07, ////, 07, ///, 07, ///, 07,  301, 00,  224, 00,  90, 00,   67,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19110809, 0800, ////, 07, /////, 07, ////, 07, /////, 07, 7602, 00, ////, 07, ////, 07, ////, 07, ///, 07, ///, 07,  302, 00,  223, 00,  90, 00,   72,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19110810, 0800, ////, 07, /////, 07, ////, 07, /////, 07, 7607, 00, ////, 07, ////, 07, ////, 07, ///, 07, ///, 07,  308, 00,  228, 00,  90, 00,   67,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19110811, 0800, ////, 07, /////, 07, ////, 07, /////, 07, 7602, 00, ////, 07, ////, 07, ////, 07, ///, 07, ///, 07,  299, 00,  219, 00,  90, 00,   72,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19110812, 0800, ////, 07, /////, 07, ////, 07, /////, 07, 7595, 00, ////, 07, ////, 07, ////, 07, ///, 07, ///, 07,  301, 00,  233, 00,  90, 00,   82,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19110813, 0800, ////, 07, /////, 07, ////, 07, /////, 07, 7600, 00, ////, 07, ////, 07, ////, 07, ///, 07, ///, 07,  306, 00,  218, 00,  90, 00,   62,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19110814, 0800, ////, 07, /////, 07, ////, 07, /////, 07, 7592, 00, ////, 07, ////, 07, ////, 07, ///, 07, ///, 07,  294, 00,  234, 00,  90, 00,   72,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19110815, 0800, ////, 07, /////, 07, ////, 07, /////, 07, 7592, 00, ////, 07, ////, 07, ////, 07, ///, 07, ///, 07,  306, 00,  221, 00,  90, 00,   72,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19110816, 0800, ////, 07, /////, 07, ////, 07, /////, 07, 7595, 00, ////, 07, ////, 07, ////, 07, ///, 07, ///, 07,  305, 00,  205, 00,  90, 00,   72,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19110817, 0800, ////, 07, /////, 07, ////, 07, /////, 07, 7600, 00, ////, 07, ////, 07, ////, 07, ///, 07, ///, 07,  305, 00,  212, 00,  90, 00,   72,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19110818, 0800, ////, 07, /////, 07, ////, 07, /////, 07, 7610, 00, ////, 07, ////, 07, ////, 07, ///, 07, ///, 07,  308, 00,  222, 00,  90, 00,   72,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19110819, 0800, ////, 07, /////, 07, ////, 07, /////, 07, 7602, 00, ////, 07, ////, 07, ////, 07, ///, 07, ///, 07,  310, 00,  217, 00,  90, 00,   62,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19110820, 0800, ////, 07, /////, 07, ////, 07, /////, 07, 7595, 00, ////, 07, ////, 07, ////, 07, ///, 07, ///, 07,  308, 00,  218, 00,  45, 00,   72,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19110821, 0800, ////, 07, /////, 07, ////, 07, /////, 07, 7595, 00, ////, 07, ////, 07, ////, 07, ///, 07, ///, 07,  304, 00,  217, 00,  90, 00,   62,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19110822, 0800, ////, 07, /////, 07, ////, 07, /////, 07, 7597, 00, ////, 07, ////, 07, ////, 07, ///, 07, ///, 07,  299, 00,  219, 00,  90, 00,   62,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19110823, 0800, ////, 07, /////, 07, ////, 07, /////, 07, 7595, 00, ////, 07, ////, 07, ////, 07, ///, 07, ///, 07,  308, 00,  218, 00,  90, 00,   72,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19110824, 0800, ////, 07, /////, 07, ////, 07, /////, 07, 7587, 00, ////, 07, ////, 07, ////, 07, ///, 07, ///, 07,  309, 00,  218, 00, 135, 00,   72,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19110825, 0800, ////, 07, /////, 07, ////, 07, /////, 07, 7615, 00, ////, 07, ////, 07, ////, 07, ///, 07, ///, 07,  311, 00,  218, 00, 135, 00,   62,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19110826, 0800, ////, 07, /////, 07, ////, 07, /////, 07, 7597, 00, ////, 07, ////, 07, ////, 07, ///, 07, ///, 07,  310, 00,  223, 00,  90, 00,   77,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19110827, 0800, ////, 07, /////, 07, ////, 07, /////, 07, 7600, 00, ////, 07, ////, 07, ////, 07, ///, 07, ///, 07,  309, 00,  214, 00,  90, 00,   72,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19110828, 0800, ////, 07, /////, 07, ////, 07, /////, 07, 7590, 00, ////, 07, ////, 07, ////, 07, ///, 07, ///, 07,  312, 00,  214, 00,  90, 00,   77,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19110829, 0800, ////, 07, /////, 07, ////, 07, /////, 07, 7597, 00, ////, 07, ////, 07, ////, 07, ///, 07, ///, 07,  304, 00,  205, 00,  90, 00,   72,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19110830, 0800, ////, 07, /////, 07, ////, 07, /////, 07, 7597, 00, ////, 07, ////, 07, ////, 07, ///, 07, ///, 07,  309, 00,  204, 00,  90, 00,   72,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19110831, 0800, ////, 07, /////, 07, ////, 07, /////, 07, 7592, 00, ////, 07, ////, 07, ////, 07, ///, 07, ///, 07,  292, 00,  228, 00, 135, 00,   72,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19110901, 0800, ////, 07, /////, 07, ////, 07, /////, 07, 7587, 00, ////, 07, ////, 07, ////, 07, ///, 07, ///, 07,  311, 00,  234, 00,  90, 00,   72,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19110902, 0800, ////, 07, /////, 07, ////, 07, /////, 07, 7605, 00, ////, 07, ////, 07, ////, 07, ///, 07, ///, 07,  308, 00,  218, 00, 135, 00,   67,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19110903, 0800, ////, 07, /////, 07, ////, 07, /////, 07, 7582, 00, ////, 07, ////, 07, ////, 07, ///, 07, ///, 07,  307, 00,  228, 00,  90, 00,   62,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19110904, 0800, ////, 07, /////, 07, ////, 07, /////, 07, 7582, 00, ////, 07, ////, 07, ////, 07, ///, 07, ///, 07,  306, 00,  226, 00,  90, 00,   72,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19110905, 0800, ////, 07, /////, 07, ////, 07, /////, 07, 7569, 00, ////, 07, ////, 07, ////, 07, ///, 07, ///, 07,  306, 00,  234, 00, 135, 00,   72,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19110906, 0800, ////, 07, /////, 07, ////, 07, /////, 07, 7582, 00, ////, 07, ////, 07, ////, 07, ///, 07, ///, 07,  289, 00,  229, 00,  90, 00,   72,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19110907, 0800, ////, 07, /////, 07, ////, 07, /////, 07, 7592, 00, ////, 07, ////, 07, ////, 07, ///, 07, ///, 07,  317, 00,  228, 00, 135, 00,   46,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19110908, 0800, ////, 07, /////, 07, ////, 07, /////, 07, 7605, 00, ////, 07, ////, 07, ////, 07, ///, 07, ///, 07,  317, 00,  234, 00, 135, 00,   77,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19110909, 0800, ////, 07, /////, 07, ////, 07, /////, 07, 7610, 00, ////, 07, ////, 07, ////, 07, ///, 07, ///, 07,  317, 00,  218, 00,  90, 00,   77,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19110910, 0800, ////, 07, /////, 07, ////, 07, /////, 07, 7597, 00, ////, 07, ////, 07, ////, 07, ///, 07, ///, 07,  301, 00,  210, 00,  90, 00,   93,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19110911, 0800, ////, 07, /////, 07, ////, 07, /////, 07, 7584, 00, ////, 07, ////, 07, ////, 07, ///, 07, ///, 07,  312, 00,  211, 00,  90, 00,   82,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19110912, 0800, ////, 07, /////, 07, ////, 07, /////, 07, 7587, 00, ////, 07, ////, 07, ////, 07, ///, 07, ///, 07,  310, 00,  224, 00,  90, 00,   67,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19110913, 0800, ////, 07, /////, 07, ////, 07, /////, 07, 7600, 00, ////, 07, ////, 07, ////, 07, ///, 07, ///, 07,  307, 00,  223, 00, 135, 00,   72,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19110914, 0800, ////, 07, /////, 07, ////, 07, /////, 07, 7602, 00, ////, 07, ////, 07, ////, 07, ///, 07, ///, 07,  312, 00,  228, 00,  90, 00,   62,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19110915, 0800, ////, 07, /////, 07, ////, 07, /////, 07, 7600, 00, ////, 07, ////, 07, ////, 07, ///, 07, ///, 07,  318, 00,  224, 00,  90, 00,   72,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19110916, 0800, ////, 07, /////, 07, ////, 07, /////, 07, 7582, 00, ////, 07, ////, 07, ////, 07, ///, 07, ///, 07,  313, 00,  222, 00,  90, 00,   51,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19110917, 0800, ////, 07, /////, 07, ////, 07, /////, 07, 7574, 00, ////, 07, ////, 07, ////, 07, ///, 07, ///, 07,  317, 00,  234, 00,  90, 00,   72,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19110918, 0800, ////, 07, /////, 07, ////, 07, /////, 07, 7587, 00, ////, 07, ////, 07, ////, 07, ///, 07, ///, 07,  317, 00,  230, 00, 135, 00,   62,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19110919, 0800, ////, 07, /////, 07, ////, 07, /////, 07, 7590, 00, ////, 07, ////, 07, ////, 07, ///, 07, ///, 07,  308, 00,  226, 00,  90, 00,   62,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19110920, 0800, ////, 07, /////, 07, ////, 07, /////, 07, 7590, 00, ////, 07, ////, 07, ////, 07, ///, 07, ///, 07,  310, 00,  211, 00,  90, 00,   62,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19110921, 0800, ////, 07, /////, 07, ////, 07, /////, 07, 7592, 00, ////, 07, ////, 07, ////, 07, ///, 07, ///, 07,  306, 00,  225, 00,  45, 00,   72,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19110922, 0800, ////, 07, /////, 07, ////, 07, /////, 07, 7595, 00, ////, 07, ////, 07, ////, 07, ///, 07, ///, 07,  308, 00,  212, 00,  90, 00,   62,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19110923, 0800, ////, 07, /////, 07, ////, 07, /////, 07, 7590, 00, ////, 07, ////, 07, ////, 07, ///, 07, ///, 07,  313, 00,  224, 00, 135, 00,   62,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19110924, 0800, ////, 07, /////, 07, ////, 07, /////, 07, 7592, 00, ////, 07, ////, 07, ////, 07, ///, 07, ///, 07,  303, 00,  239, 00, 135, 00,   72,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19110925, 0800, ////, 07, /////, 07, ////, 07, /////, 07, 7587, 00, ////, 07, ////, 07, ////, 07, ///, 07, ///, 07,  308, 00,  210, 00,  90, 00,   62,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19110926, 0800, ////, 07, /////, 07, ////, 07, /////, 07, 7590, 00, ////, 07, ////, 07, ////, 07, ///, 07, ///, 07,  312, 00,  224, 00, 135, 00,   72,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19110927, 0800, ////, 07, /////, 07, ////, 07, /////, 07, 7595, 00, ////, 07, ////, 07, ////, 07, ///, 07, ///, 07,  312, 00,  231, 00, 135, 00,   72,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19110928, 0800, ////, 07, /////, 07, ////, 07, /////, 07, 7587, 00, ////, 07, ////, 07, ////, 07, ///, 07, ///, 07,  307, 00,  205, 00, 135, 00,   72,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19110929, 0800, ////, 07, /////, 07, ////, 07, /////, 07, 7587, 00, ////, 07, ////, 07, ////, 07, ///, 07, ///, 07,  312, 00,  204, 00,  90, 00,   72,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19110930, 0800, ////, 07, /////, 07, ////, 07, /////, 07, 7595, 00, ////, 07, ////, 07, ////, 07, ///, 07, ///, 07,  297, 00,  223, 00,  90, 00,   72,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19111001, 0800, ////, 07, /////, 07, ////, 07, /////, 07, 7597, 00, ////, 07, ////, 07, ////, 07, ///, 07, ///, 07,  306, 00,  239, 00,  90, 00,   82,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19111002, 0800, ////, 07, /////, 07, ////, 07, /////, 07, 7592, 00, ////, 07, ////, 07, ////, 07, ///, 07, ///, 07,  311, 00,  224, 00,  90, 00,   72,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19111003, 0800, ////, 07, /////, 07, ////, 07, /////, 07, 7590, 00, ////, 07, ////, 07, ////, 07, ///, 07, ///, 07,  314, 00,  223, 00,  90, 00,   72,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19111004, 0800, ////, 07, /////, 07, ////, 07, /////, 07, 7582, 00, ////, 07, ////, 07, ////, 07, ///, 07, ///, 07,  314, 00,  224, 00,  90, 00,   72,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19111005, 0800, ////, 07, /////, 07, ////, 07, /////, 07, 7595, 00, ////, 07, ////, 07, ////, 07, ///, 07, ///, 07,  312, 00,  229, 00,  90, 00,   82,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19111006, 0800, ////, 07, /////, 07, ////, 07, /////, 07, 7592, 00, ////, 07, ////, 07, ////, 07, ///, 07, ///, 07,  312, 00,  222, 00, 135, 00,   72,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19111007, 0800, ////, 07, /////, 07, ////, 07, /////, 07, 7595, 00, ////, 07, ////, 07, ////, 07, ///, 07, ///, 07,  308, 00,   19, 00,  90, 00,   72,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19111008, 0800, ////, 07, /////, 07, ////, 07, /////, 07, 7592, 00, ////, 07, ////, 07, ////, 07, ///, 07, ///, 07,  311, 00,  239, 00,  90, 00,   62,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19111009, 0800, ////, 07, /////, 07, ////, 07, /////, 07, 7595, 00, ////, 07, ////, 07, ////, 07, ///, 07, ///, 07,  310, 00,  234, 00,  90, 00,   62,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19111010, 0800, ////, 07, /////, 07, ////, 07, /////, 07, 7595, 00, ////, 07, ////, 07, ////, 07, ///, 07, ///, 07,  300, 00,  236, 00,  90, 00,   72,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19111011, 0800, ////, 07, /////, 07, ////, 07, /////, 07, 7590, 00, ////, 07, ////, 07, ////, 07, ///, 07, ///, 07,  296, 00,  228, 00, 135, 00,   62,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19111012, 0800, ////, 07, /////, 07, ////, 07, /////, 07, 7587, 00, ////, 07, ////, 07, ////, 07, ///, 07, ///, 07,  307, 00,  236, 00,  90, 00,   62,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19111013, 0800, ////, 07, /////, 07, ////, 07, /////, 07, 7597, 00, ////, 07, ////, 07, ////, 07, ///, 07, ///, 07,  317, 00,  234, 00, 135, 00,   72,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19111014, 0800, ////, 07, /////, 07, ////, 07, /////, 07, 7610, 00, ////, 07, ////, 07, ////, 07, ///, 07, ///, 07,  316, 00,  244, 00, 135, 00,   82,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19111015, 0800, ////, 07, /////, 07, ////, 07, /////, 07, 7610, 00, ////, 07, ////, 07, ////, 07, ///, 07, ///, 07,  316, 00,  208, 00, 135, 00,   72,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19111016, 0800, ////, 07, /////, 07, ////, 07, /////, 07, 7590, 00, ////, 07, ////, 07, ////, 07, ///, 07, ///, 07,  318, 00,  240, 00, 135, 00,   82,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19111017, 0800, ////, 07, /////, 07, ////, 07, /////, 07, 7592, 00, ////, 07, ////, 07, ////, 07, ///, 07, ///, 07,  309, 00,  228, 00,  90, 00,   72,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19111018, 0800, ////, 07, /////, 07, ////, 07, /////, 07, 7587, 00, ////, 07, ////, 07, ////, 07, ///, 07, ///, 07,  313, 00,  210, 00,  90, 00,   67,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19111019, 0800, ////, 07, /////, 07, ////, 07, /////, 07, 7584, 00, ////, 07, ////, 07, ////, 07, ///, 07, ///, 07,  318, 00,  237, 00,  90, 00,   62,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19111020, 0800, ////, 07, /////, 07, ////, 07, /////, 07, 7597, 00, ////, 07, ////, 07, ////, 07, ///, 07, ///, 07,  312, 00,  246, 00,  90, 00,   62,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19111021, 0800, ////, 07, /////, 07, ////, 07, /////, 07, 7600, 00, ////, 07, ////, 07, ////, 07, ///, 07, ///, 07,  311, 00,  242, 00, 135, 00,   67,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19111022, 0800, ////, 07, /////, 07, ////, 07, /////, 07, 7590, 00, ////, 07, ////, 07, ////, 07, ///, 07, ///, 07,  314, 00,  237, 00, 135, 00,   67,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19111023, 0800, ////, 07, /////, 07, ////, 07, /////, 07, 7579, 00, ////, 07, ////, 07, ////, 07, ///, 07, ///, 07,  316, 00,  236, 00,  90, 00,   62,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19111024, 0800, ////, 07, /////, 07, ////, 07, /////, 07, 7582, 00, ////, 07, ////, 07, ////, 07, ///, 07, ///, 07,  306, 00,  245, 00, 135, 00,   72,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19111025, 0800, ////, 07, /////, 07, ////, 07, /////, 07, 7587, 00, ////, 07, ////, 07, ////, 07, ///, 07, ///, 07,  304, 00,  237, 00, 135, 00,   62,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19111026, 0800, ////, 07, /////, 07, ////, 07, /////, 07, 7587, 00, ////, 07, ////, 07, ////, 07, ///, 07, ///, 07,  314, 00,  239, 00, 135, 00,   51,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19111027, 0800, ////, 07, /////, 07, ////, 07, /////, 07, 7574, 00, ////, 07, ////, 07, ////, 07, ///, 07, ///, 07,  317, 00,  239, 00, 135, 00,   51,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19111028, 0800, ////, 07, /////, 07, ////, 07, /////, 07, 7582, 00, ////, 07, ////, 07, ////, 07, ///, 07, ///, 07,  318, 00,  238, 00,  90, 00,   62,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19111029, 0800, ////, 07, /////, 07, ////, 07, /////, 07, 7582, 00, ////, 07, ////, 07, ////, 07, ///, 07, ///, 07,  316, 00,  238, 00,  90, 00,   62,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19111030, 0800, ////, 07, /////, 07, ////, 07, /////, 07, 7587, 00, ////, 07, ////, 07, ////, 07, ///, 07, ///, 07,  318, 00,  236, 00,  90, 00,   62,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19111031, 0800, ////, 07, /////, 07, ////, 07, /////, 07, 7595, 00, ////, 07, ////, 07, ////, 07, ///, 07, ///, 07,  311, 00,  242, 00, 135, 00,   72,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19111101, 0800, ////, 07, /////, 07, ////, 07, /////, 07, 7597, 00, ////, 07, ////, 07, ////, 07, ///, 07, ///, 07,  311, 00,  249, 00,  90, 00,   51,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19111102, 0800, ////, 07, /////, 07, ////, 07, /////, 07, 7584, 00, ////, 07, ////, 07, ////, 07, ///, 07, ///, 07,  306, 00,  219, 00,  90, 00,   51,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19111103, 0800, ////, 07, /////, 07, ////, 07, /////, 07, 7582, 00, ////, 07, ////, 07, ////, 07, ///, 07, ///, 07,  266, 00,  203, 00,  90, 00,   51,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19111104, 0800, ////, 07, /////, 07, ////, 07, /////, 07, 7582, 00, ////, 07, ////, 07, ////, 07, ///, 07, ///, 07,  292, 00,  228, 00,  90, 00,   72,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19111105, 0800, ////, 07, /////, 07, ////, 07, /////, 07, 7592, 00, ////, 07, ////, 07, ////, 07, ///, 07, ///, 07,  303, 00,  227, 00,  90, 00,   62,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19111106, 0800, ////, 07, /////, 07, ////, 07, /////, 07, 7590, 00, ////, 07, ////, 07, ////, 07, ///, 07, ///, 07,  303, 00,  244, 00,  90, 00,   72,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19111107, 0800, ////, 07, /////, 07, ////, 07, /////, 07, 7587, 00, ////, 07, ////, 07, ////, 07, ///, 07, ///, 07,  307, 00,  242, 00,  90, 00,   62,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19111108, 0800, ////, 07, /////, 07, ////, 07, /////, 07, 7587, 00, ////, 07, ////, 07, ////, 07, ///, 07, ///, 07,  314, 00,  238, 00,  45, 00,   72,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19111109, 0800, ////, 07, /////, 07, ////, 07, /////, 07, 7595, 00, ////, 07, ////, 07, ////, 07, ///, 07, ///, 07,  307, 00,  234, 00,  90, 00,   62,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19111110, 0800, ////, 07, /////, 07, ////, 07, /////, 07, 7607, 00, ////, 07, ////, 07, ////, 07, ///, 07, ///, 07,  307, 00,  244, 00,  90, 00,   51,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19111111, 0800, ////, 07, /////, 07, ////, 07, /////, 07, 7592, 00, ////, 07, ////, 07, ////, 07, ///, 07, ///, 07,  304, 00,  242, 00,  90, 00,   72,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19111112, 0800, ////, 07, /////, 07, ////, 07, /////, 07, 7587, 00, ////, 07, ////, 07, ////, 07, ///, 07, ///, 07,  277, 00,  214, 00, 135, 00,   31,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19111113, 0800, ////, 07, /////, 07, ////, 07, /////, 07, 7587, 00, ////, 07, ////, 07, ////, 07, ///, 07, ///, 07,  295, 00,  211, 00,  90, 00,   62,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19111114, 0800, ////, 07, /////, 07, ////, 07, /////, 07, 7587, 00, ////, 07, ////, 07, ////, 07, ///, 07, ///, 07,  296, 00,  210, 00, 135, 00,   72,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19111115, 0800, ////, 07, /////, 07, ////, 07, /////, 07, 7595, 00, ////, 07, ////, 07, ////, 07, ///, 07, ///, 07,  297, 00,  233, 00,  90, 00,   62,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19111116,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19111117,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19111118,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19111119,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19111120,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19111121,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19111122,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19111123,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19111124,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19111125,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19111126,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19111127,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19111128,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19111129,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19111130,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19111201,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19111202,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19111203,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19111204,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19111205,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19111206,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19111207,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19111208,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19111209,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19111210,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19111211,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19111212,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19111213,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19111214,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19111215,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19111216,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19111217,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19111218,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19111219,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19111220,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19111221,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19111222,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19111223,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19111224,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19111225,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19111226,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19111227,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19111228,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19111229,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19111230,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19111231,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2015-11-30T12:41:50Z</dcterms:modified>
</cp:coreProperties>
</file>