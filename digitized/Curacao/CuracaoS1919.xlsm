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<sst xmlns="http://schemas.openxmlformats.org/spreadsheetml/2006/main" count="568" uniqueCount="136">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</sst>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F317" activePane="bottomRight" state="frozen"/>
      <selection pane="topRight" activeCell="B1" sqref="B1"/>
      <selection pane="bottomLeft" activeCell="A5" sqref="A5"/>
      <selection pane="bottomRight" activeCell="U348" sqref="U348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6941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6942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6943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6944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6945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6946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6947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6948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6949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6950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6951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6952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6953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6954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6955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6956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6957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6958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6959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6960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6961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6962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6963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6964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6965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6966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6967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6968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6969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6970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6971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6972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6973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6974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6975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6976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6977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6978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6979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6980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6981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6982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6983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6984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6985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6986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6987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6988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6989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6990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6991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6992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6993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6994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6995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6996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6997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6998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6999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7000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7001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7002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7003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7004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7005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7006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7007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7008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7009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7010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7011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7012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7013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7014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7015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7016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7017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7018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7019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7020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7021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7022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7023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7024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7025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7026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7027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7028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7029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7030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7031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7032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7033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7034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7035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7036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7037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7038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7039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7040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7041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7042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7043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7044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7045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7046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7047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7048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7049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7050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7051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7052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7053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7054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7055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7056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7057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7058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7059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7060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7061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7062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7063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7064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7065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7066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7067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7068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7069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7070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7071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7072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7073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7074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7075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7076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7077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7078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7079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7080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7081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7082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7083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7084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7085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7086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7087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7088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7089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7090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7091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7092</v>
      </c>
      <c r="B161" s="29">
        <v>860</v>
      </c>
      <c r="C161" s="29">
        <v>29960</v>
      </c>
      <c r="D161" s="29">
        <v>272</v>
      </c>
      <c r="E161" s="29">
        <v>29688</v>
      </c>
      <c r="F161" s="29">
        <v>2977</v>
      </c>
      <c r="G161" s="39"/>
      <c r="H161" s="40"/>
      <c r="I161" s="52"/>
      <c r="J161" s="53"/>
      <c r="K161" s="17"/>
      <c r="L161" s="39">
        <v>891</v>
      </c>
      <c r="M161" s="43"/>
      <c r="N161" s="45" t="s">
        <v>108</v>
      </c>
      <c r="O161" s="55">
        <v>12</v>
      </c>
      <c r="P161" s="56"/>
      <c r="Q161" s="74"/>
      <c r="R161" s="70">
        <v>0</v>
      </c>
      <c r="S161" s="19"/>
      <c r="T161" s="60"/>
      <c r="U161" s="59" t="s">
        <v>108</v>
      </c>
    </row>
    <row r="162" spans="1:21" ht="15" customHeight="1" x14ac:dyDescent="0.25">
      <c r="A162" s="1">
        <f t="shared" ca="1" si="7"/>
        <v>7093</v>
      </c>
      <c r="B162" s="29">
        <v>845</v>
      </c>
      <c r="C162" s="29">
        <v>30000</v>
      </c>
      <c r="D162" s="29">
        <v>268</v>
      </c>
      <c r="E162" s="29">
        <v>29732</v>
      </c>
      <c r="F162" s="29">
        <v>2981</v>
      </c>
      <c r="G162" s="39"/>
      <c r="H162" s="40"/>
      <c r="I162" s="52"/>
      <c r="J162" s="53"/>
      <c r="K162" s="17"/>
      <c r="L162" s="39">
        <v>882</v>
      </c>
      <c r="M162" s="43"/>
      <c r="N162" s="45" t="s">
        <v>108</v>
      </c>
      <c r="O162" s="55">
        <v>15</v>
      </c>
      <c r="P162" s="56"/>
      <c r="Q162" s="74"/>
      <c r="R162" s="70">
        <v>0</v>
      </c>
      <c r="S162" s="19"/>
      <c r="T162" s="60"/>
      <c r="U162" s="59" t="s">
        <v>108</v>
      </c>
    </row>
    <row r="163" spans="1:21" ht="15" customHeight="1" x14ac:dyDescent="0.25">
      <c r="A163" s="1">
        <f t="shared" ca="1" si="7"/>
        <v>7094</v>
      </c>
      <c r="B163" s="29">
        <v>845</v>
      </c>
      <c r="C163" s="29">
        <v>30017</v>
      </c>
      <c r="D163" s="29">
        <v>268</v>
      </c>
      <c r="E163" s="29">
        <v>29749</v>
      </c>
      <c r="F163" s="29">
        <v>2983</v>
      </c>
      <c r="G163" s="39"/>
      <c r="H163" s="40"/>
      <c r="I163" s="52"/>
      <c r="J163" s="53"/>
      <c r="K163" s="17"/>
      <c r="L163" s="39">
        <v>871</v>
      </c>
      <c r="M163" s="43"/>
      <c r="N163" s="45" t="s">
        <v>108</v>
      </c>
      <c r="O163" s="55">
        <v>15</v>
      </c>
      <c r="P163" s="56"/>
      <c r="Q163" s="74"/>
      <c r="R163" s="70">
        <v>0</v>
      </c>
      <c r="S163" s="19"/>
      <c r="T163" s="60"/>
      <c r="U163" s="59" t="s">
        <v>108</v>
      </c>
    </row>
    <row r="164" spans="1:21" ht="15" customHeight="1" x14ac:dyDescent="0.25">
      <c r="A164" s="1">
        <f t="shared" ca="1" si="7"/>
        <v>7095</v>
      </c>
      <c r="B164" s="29">
        <v>845</v>
      </c>
      <c r="C164" s="29">
        <v>30061</v>
      </c>
      <c r="D164" s="29">
        <v>268</v>
      </c>
      <c r="E164" s="29">
        <v>29793</v>
      </c>
      <c r="F164" s="29">
        <v>2987</v>
      </c>
      <c r="G164" s="39"/>
      <c r="H164" s="40"/>
      <c r="I164" s="52"/>
      <c r="J164" s="53"/>
      <c r="K164" s="17"/>
      <c r="L164" s="39">
        <v>874</v>
      </c>
      <c r="M164" s="43"/>
      <c r="N164" s="45" t="s">
        <v>108</v>
      </c>
      <c r="O164" s="55">
        <v>15</v>
      </c>
      <c r="P164" s="56"/>
      <c r="Q164" s="74"/>
      <c r="R164" s="70">
        <v>0</v>
      </c>
      <c r="S164" s="19"/>
      <c r="T164" s="60"/>
      <c r="U164" s="59" t="s">
        <v>108</v>
      </c>
    </row>
    <row r="165" spans="1:21" ht="15" customHeight="1" x14ac:dyDescent="0.25">
      <c r="A165" s="1">
        <f t="shared" ca="1" si="7"/>
        <v>7096</v>
      </c>
      <c r="B165" s="29">
        <v>840</v>
      </c>
      <c r="C165" s="29">
        <v>30058</v>
      </c>
      <c r="D165" s="29">
        <v>267</v>
      </c>
      <c r="E165" s="29">
        <v>29791</v>
      </c>
      <c r="F165" s="29">
        <v>2987</v>
      </c>
      <c r="G165" s="39"/>
      <c r="H165" s="40"/>
      <c r="I165" s="52"/>
      <c r="J165" s="53"/>
      <c r="K165" s="17"/>
      <c r="L165" s="39">
        <v>873</v>
      </c>
      <c r="M165" s="43"/>
      <c r="N165" s="45" t="s">
        <v>108</v>
      </c>
      <c r="O165" s="55">
        <v>12</v>
      </c>
      <c r="P165" s="56"/>
      <c r="Q165" s="74"/>
      <c r="R165" s="70">
        <v>0</v>
      </c>
      <c r="S165" s="19"/>
      <c r="T165" s="60"/>
      <c r="U165" s="59" t="s">
        <v>108</v>
      </c>
    </row>
    <row r="166" spans="1:21" ht="15" customHeight="1" x14ac:dyDescent="0.25">
      <c r="A166" s="1">
        <f t="shared" ca="1" si="7"/>
        <v>7097</v>
      </c>
      <c r="B166" s="29">
        <v>845</v>
      </c>
      <c r="C166" s="29">
        <v>30078</v>
      </c>
      <c r="D166" s="29">
        <v>268</v>
      </c>
      <c r="E166" s="29">
        <v>29810</v>
      </c>
      <c r="F166" s="29">
        <v>2989</v>
      </c>
      <c r="G166" s="39"/>
      <c r="H166" s="40"/>
      <c r="I166" s="52"/>
      <c r="J166" s="53"/>
      <c r="K166" s="17"/>
      <c r="L166" s="39">
        <v>866</v>
      </c>
      <c r="M166" s="43"/>
      <c r="N166" s="45" t="s">
        <v>108</v>
      </c>
      <c r="O166" s="55">
        <v>10</v>
      </c>
      <c r="P166" s="56"/>
      <c r="Q166" s="74"/>
      <c r="R166" s="70">
        <v>0</v>
      </c>
      <c r="S166" s="19"/>
      <c r="T166" s="60"/>
      <c r="U166" s="59" t="s">
        <v>108</v>
      </c>
    </row>
    <row r="167" spans="1:21" ht="15" customHeight="1" x14ac:dyDescent="0.25">
      <c r="A167" s="1">
        <f t="shared" ca="1" si="7"/>
        <v>7098</v>
      </c>
      <c r="B167" s="29">
        <v>845</v>
      </c>
      <c r="C167" s="29">
        <v>30086</v>
      </c>
      <c r="D167" s="29">
        <v>268</v>
      </c>
      <c r="E167" s="29">
        <v>29818</v>
      </c>
      <c r="F167" s="29">
        <v>2990</v>
      </c>
      <c r="G167" s="39"/>
      <c r="H167" s="40"/>
      <c r="I167" s="52"/>
      <c r="J167" s="53"/>
      <c r="K167" s="17"/>
      <c r="L167" s="39">
        <v>866</v>
      </c>
      <c r="M167" s="43"/>
      <c r="N167" s="45" t="s">
        <v>108</v>
      </c>
      <c r="O167" s="55">
        <v>12</v>
      </c>
      <c r="P167" s="56"/>
      <c r="Q167" s="74"/>
      <c r="R167" s="70">
        <v>0</v>
      </c>
      <c r="S167" s="19"/>
      <c r="T167" s="60"/>
      <c r="U167" s="59" t="s">
        <v>108</v>
      </c>
    </row>
    <row r="168" spans="1:21" ht="15" customHeight="1" x14ac:dyDescent="0.25">
      <c r="A168" s="1">
        <f t="shared" ca="1" si="7"/>
        <v>7099</v>
      </c>
      <c r="B168" s="29">
        <v>840</v>
      </c>
      <c r="C168" s="29">
        <v>30085</v>
      </c>
      <c r="D168" s="29">
        <v>267</v>
      </c>
      <c r="E168" s="29">
        <v>29818</v>
      </c>
      <c r="F168" s="29">
        <v>2990</v>
      </c>
      <c r="G168" s="39"/>
      <c r="H168" s="40"/>
      <c r="I168" s="52"/>
      <c r="J168" s="53"/>
      <c r="K168" s="17"/>
      <c r="L168" s="39">
        <v>864</v>
      </c>
      <c r="M168" s="43"/>
      <c r="N168" s="45" t="s">
        <v>110</v>
      </c>
      <c r="O168" s="55">
        <v>12</v>
      </c>
      <c r="P168" s="56"/>
      <c r="Q168" s="74"/>
      <c r="R168" s="70">
        <v>0</v>
      </c>
      <c r="S168" s="19"/>
      <c r="T168" s="60"/>
      <c r="U168" s="59" t="s">
        <v>110</v>
      </c>
    </row>
    <row r="169" spans="1:21" ht="15" customHeight="1" x14ac:dyDescent="0.25">
      <c r="A169" s="1">
        <f t="shared" ca="1" si="7"/>
        <v>7100</v>
      </c>
      <c r="B169" s="29">
        <v>845</v>
      </c>
      <c r="C169" s="29">
        <v>30041</v>
      </c>
      <c r="D169" s="29">
        <v>268</v>
      </c>
      <c r="E169" s="29">
        <v>29773</v>
      </c>
      <c r="F169" s="29">
        <v>2985</v>
      </c>
      <c r="G169" s="39"/>
      <c r="H169" s="40"/>
      <c r="I169" s="52"/>
      <c r="J169" s="53"/>
      <c r="K169" s="17"/>
      <c r="L169" s="39">
        <v>863</v>
      </c>
      <c r="M169" s="43"/>
      <c r="N169" s="45" t="s">
        <v>106</v>
      </c>
      <c r="O169" s="55">
        <v>12</v>
      </c>
      <c r="P169" s="56"/>
      <c r="Q169" s="74"/>
      <c r="R169" s="70">
        <v>0</v>
      </c>
      <c r="S169" s="19"/>
      <c r="T169" s="60"/>
      <c r="U169" s="59" t="s">
        <v>108</v>
      </c>
    </row>
    <row r="170" spans="1:21" ht="15" customHeight="1" x14ac:dyDescent="0.25">
      <c r="A170" s="1">
        <f t="shared" ca="1" si="7"/>
        <v>7101</v>
      </c>
      <c r="B170" s="29">
        <v>845</v>
      </c>
      <c r="C170" s="29">
        <v>30017</v>
      </c>
      <c r="D170" s="29">
        <v>268</v>
      </c>
      <c r="E170" s="29">
        <v>29749</v>
      </c>
      <c r="F170" s="29">
        <v>2983</v>
      </c>
      <c r="G170" s="39"/>
      <c r="H170" s="40"/>
      <c r="I170" s="52"/>
      <c r="J170" s="53"/>
      <c r="K170" s="17"/>
      <c r="L170" s="39">
        <v>865</v>
      </c>
      <c r="M170" s="43"/>
      <c r="N170" s="45" t="s">
        <v>108</v>
      </c>
      <c r="O170" s="55">
        <v>12</v>
      </c>
      <c r="P170" s="56"/>
      <c r="Q170" s="74"/>
      <c r="R170" s="70">
        <v>3</v>
      </c>
      <c r="S170" s="19"/>
      <c r="T170" s="60"/>
      <c r="U170" s="59" t="s">
        <v>108</v>
      </c>
    </row>
    <row r="171" spans="1:21" ht="15" customHeight="1" x14ac:dyDescent="0.25">
      <c r="A171" s="1">
        <f t="shared" ca="1" si="7"/>
        <v>7102</v>
      </c>
      <c r="B171" s="29">
        <v>845</v>
      </c>
      <c r="C171" s="29">
        <v>29982</v>
      </c>
      <c r="D171" s="29">
        <v>266</v>
      </c>
      <c r="E171" s="29">
        <v>29716</v>
      </c>
      <c r="F171" s="29">
        <v>2980</v>
      </c>
      <c r="G171" s="39"/>
      <c r="H171" s="40"/>
      <c r="I171" s="52"/>
      <c r="J171" s="53"/>
      <c r="K171" s="17"/>
      <c r="L171" s="39">
        <v>862</v>
      </c>
      <c r="M171" s="43"/>
      <c r="N171" s="45" t="s">
        <v>108</v>
      </c>
      <c r="O171" s="55">
        <v>12</v>
      </c>
      <c r="P171" s="56"/>
      <c r="Q171" s="74"/>
      <c r="R171" s="70">
        <v>0</v>
      </c>
      <c r="S171" s="19"/>
      <c r="T171" s="60"/>
      <c r="U171" s="59" t="s">
        <v>108</v>
      </c>
    </row>
    <row r="172" spans="1:21" ht="15" customHeight="1" x14ac:dyDescent="0.25">
      <c r="A172" s="1">
        <f t="shared" ca="1" si="7"/>
        <v>7103</v>
      </c>
      <c r="B172" s="29">
        <v>850</v>
      </c>
      <c r="C172" s="29">
        <v>29992</v>
      </c>
      <c r="D172" s="29">
        <v>267</v>
      </c>
      <c r="E172" s="29">
        <v>29725</v>
      </c>
      <c r="F172" s="29">
        <v>2981</v>
      </c>
      <c r="G172" s="39"/>
      <c r="H172" s="40"/>
      <c r="I172" s="52"/>
      <c r="J172" s="53"/>
      <c r="K172" s="17"/>
      <c r="L172" s="39">
        <v>874</v>
      </c>
      <c r="M172" s="43"/>
      <c r="N172" s="45" t="s">
        <v>108</v>
      </c>
      <c r="O172" s="55">
        <v>12</v>
      </c>
      <c r="P172" s="56"/>
      <c r="Q172" s="74"/>
      <c r="R172" s="70">
        <v>0</v>
      </c>
      <c r="S172" s="19"/>
      <c r="T172" s="60"/>
      <c r="U172" s="59" t="s">
        <v>108</v>
      </c>
    </row>
    <row r="173" spans="1:21" ht="15" customHeight="1" x14ac:dyDescent="0.25">
      <c r="A173" s="1">
        <f t="shared" ca="1" si="7"/>
        <v>7104</v>
      </c>
      <c r="B173" s="29">
        <v>850</v>
      </c>
      <c r="C173" s="29">
        <v>30000</v>
      </c>
      <c r="D173" s="29">
        <v>270</v>
      </c>
      <c r="E173" s="29">
        <v>29730</v>
      </c>
      <c r="F173" s="29">
        <v>2981</v>
      </c>
      <c r="G173" s="39"/>
      <c r="H173" s="40"/>
      <c r="I173" s="52"/>
      <c r="J173" s="53"/>
      <c r="K173" s="17"/>
      <c r="L173" s="39">
        <v>874</v>
      </c>
      <c r="M173" s="43"/>
      <c r="N173" s="45" t="s">
        <v>108</v>
      </c>
      <c r="O173" s="55">
        <v>12</v>
      </c>
      <c r="P173" s="56"/>
      <c r="Q173" s="74"/>
      <c r="R173" s="70">
        <v>0</v>
      </c>
      <c r="S173" s="19"/>
      <c r="T173" s="60"/>
      <c r="U173" s="59" t="s">
        <v>108</v>
      </c>
    </row>
    <row r="174" spans="1:21" ht="15" customHeight="1" x14ac:dyDescent="0.25">
      <c r="A174" s="1">
        <f t="shared" ca="1" si="7"/>
        <v>7105</v>
      </c>
      <c r="B174" s="29">
        <v>850</v>
      </c>
      <c r="C174" s="29">
        <v>29998</v>
      </c>
      <c r="D174" s="29">
        <v>267</v>
      </c>
      <c r="E174" s="29">
        <v>29731</v>
      </c>
      <c r="F174" s="29">
        <v>2981</v>
      </c>
      <c r="G174" s="39"/>
      <c r="H174" s="40"/>
      <c r="I174" s="52"/>
      <c r="J174" s="53"/>
      <c r="K174" s="17"/>
      <c r="L174" s="39">
        <v>876</v>
      </c>
      <c r="M174" s="43"/>
      <c r="N174" s="45" t="s">
        <v>110</v>
      </c>
      <c r="O174" s="55">
        <v>15</v>
      </c>
      <c r="P174" s="56"/>
      <c r="Q174" s="74"/>
      <c r="R174" s="70">
        <v>0</v>
      </c>
      <c r="S174" s="19"/>
      <c r="T174" s="60"/>
      <c r="U174" s="59" t="s">
        <v>108</v>
      </c>
    </row>
    <row r="175" spans="1:21" ht="15" customHeight="1" x14ac:dyDescent="0.25">
      <c r="A175" s="1">
        <f t="shared" ca="1" si="7"/>
        <v>7106</v>
      </c>
      <c r="B175" s="29">
        <v>760</v>
      </c>
      <c r="C175" s="29">
        <v>29978</v>
      </c>
      <c r="D175" s="29">
        <v>270</v>
      </c>
      <c r="E175" s="29">
        <v>29708</v>
      </c>
      <c r="F175" s="29">
        <v>2979</v>
      </c>
      <c r="G175" s="39"/>
      <c r="H175" s="40"/>
      <c r="I175" s="52"/>
      <c r="J175" s="53"/>
      <c r="K175" s="17"/>
      <c r="L175" s="39">
        <v>882</v>
      </c>
      <c r="M175" s="43"/>
      <c r="N175" s="45" t="s">
        <v>108</v>
      </c>
      <c r="O175" s="55">
        <v>12</v>
      </c>
      <c r="P175" s="56"/>
      <c r="Q175" s="74"/>
      <c r="R175" s="70">
        <v>0</v>
      </c>
      <c r="S175" s="19"/>
      <c r="T175" s="60"/>
      <c r="U175" s="59" t="s">
        <v>108</v>
      </c>
    </row>
    <row r="176" spans="1:21" ht="15" customHeight="1" x14ac:dyDescent="0.25">
      <c r="A176" s="1">
        <f t="shared" ca="1" si="7"/>
        <v>7107</v>
      </c>
      <c r="B176" s="29">
        <v>760</v>
      </c>
      <c r="C176" s="29">
        <v>30018</v>
      </c>
      <c r="D176" s="29">
        <v>272</v>
      </c>
      <c r="E176" s="29">
        <v>29746</v>
      </c>
      <c r="F176" s="29">
        <v>2983</v>
      </c>
      <c r="G176" s="39"/>
      <c r="H176" s="40"/>
      <c r="I176" s="52"/>
      <c r="J176" s="53"/>
      <c r="K176" s="17"/>
      <c r="L176" s="39">
        <v>876</v>
      </c>
      <c r="M176" s="43"/>
      <c r="N176" s="45" t="s">
        <v>108</v>
      </c>
      <c r="O176" s="55">
        <v>12</v>
      </c>
      <c r="P176" s="56"/>
      <c r="Q176" s="74"/>
      <c r="R176" s="70">
        <v>0</v>
      </c>
      <c r="S176" s="19"/>
      <c r="T176" s="60"/>
      <c r="U176" s="59" t="s">
        <v>108</v>
      </c>
    </row>
    <row r="177" spans="1:21" ht="15" customHeight="1" x14ac:dyDescent="0.25">
      <c r="A177" s="1">
        <f t="shared" ca="1" si="7"/>
        <v>7108</v>
      </c>
      <c r="B177" s="29">
        <v>750</v>
      </c>
      <c r="C177" s="29">
        <v>30030</v>
      </c>
      <c r="D177" s="29">
        <v>270</v>
      </c>
      <c r="E177" s="29">
        <v>29760</v>
      </c>
      <c r="F177" s="29">
        <v>2984</v>
      </c>
      <c r="G177" s="39"/>
      <c r="H177" s="40"/>
      <c r="I177" s="52"/>
      <c r="J177" s="53"/>
      <c r="K177" s="17"/>
      <c r="L177" s="39">
        <v>876</v>
      </c>
      <c r="M177" s="43"/>
      <c r="N177" s="45" t="s">
        <v>108</v>
      </c>
      <c r="O177" s="55">
        <v>12</v>
      </c>
      <c r="P177" s="56"/>
      <c r="Q177" s="74"/>
      <c r="R177" s="70">
        <v>0</v>
      </c>
      <c r="S177" s="19"/>
      <c r="T177" s="60"/>
      <c r="U177" s="59" t="s">
        <v>108</v>
      </c>
    </row>
    <row r="178" spans="1:21" ht="15" customHeight="1" x14ac:dyDescent="0.25">
      <c r="A178" s="1">
        <f t="shared" ca="1" si="7"/>
        <v>7109</v>
      </c>
      <c r="B178" s="29">
        <v>750</v>
      </c>
      <c r="C178" s="29">
        <v>30071</v>
      </c>
      <c r="D178" s="29">
        <v>270</v>
      </c>
      <c r="E178" s="29">
        <v>29801</v>
      </c>
      <c r="F178" s="29">
        <v>2988</v>
      </c>
      <c r="G178" s="39"/>
      <c r="H178" s="40"/>
      <c r="I178" s="52"/>
      <c r="J178" s="53"/>
      <c r="K178" s="17"/>
      <c r="L178" s="39">
        <v>862</v>
      </c>
      <c r="M178" s="43"/>
      <c r="N178" s="45" t="s">
        <v>108</v>
      </c>
      <c r="O178" s="55">
        <v>12</v>
      </c>
      <c r="P178" s="56"/>
      <c r="Q178" s="74"/>
      <c r="R178" s="70">
        <v>0</v>
      </c>
      <c r="S178" s="19"/>
      <c r="T178" s="60"/>
      <c r="U178" s="59" t="s">
        <v>108</v>
      </c>
    </row>
    <row r="179" spans="1:21" ht="15" customHeight="1" x14ac:dyDescent="0.25">
      <c r="A179" s="1">
        <f t="shared" ca="1" si="7"/>
        <v>7110</v>
      </c>
      <c r="B179" s="29">
        <v>755</v>
      </c>
      <c r="C179" s="29">
        <v>30073</v>
      </c>
      <c r="D179" s="29">
        <v>271</v>
      </c>
      <c r="E179" s="29">
        <v>29802</v>
      </c>
      <c r="F179" s="29">
        <v>2988</v>
      </c>
      <c r="G179" s="39"/>
      <c r="H179" s="40"/>
      <c r="I179" s="52"/>
      <c r="J179" s="53"/>
      <c r="K179" s="17"/>
      <c r="L179" s="39">
        <v>874</v>
      </c>
      <c r="M179" s="43"/>
      <c r="N179" s="45" t="s">
        <v>106</v>
      </c>
      <c r="O179" s="55">
        <v>10</v>
      </c>
      <c r="P179" s="56"/>
      <c r="Q179" s="74"/>
      <c r="R179" s="70">
        <v>0</v>
      </c>
      <c r="S179" s="19"/>
      <c r="T179" s="60"/>
      <c r="U179" s="59" t="s">
        <v>33</v>
      </c>
    </row>
    <row r="180" spans="1:21" ht="15" customHeight="1" x14ac:dyDescent="0.25">
      <c r="A180" s="1">
        <f t="shared" ca="1" si="7"/>
        <v>7111</v>
      </c>
      <c r="B180" s="29">
        <v>845</v>
      </c>
      <c r="C180" s="29">
        <v>30069</v>
      </c>
      <c r="D180" s="29">
        <v>268</v>
      </c>
      <c r="E180" s="29">
        <v>29801</v>
      </c>
      <c r="F180" s="29">
        <v>2988</v>
      </c>
      <c r="G180" s="39"/>
      <c r="H180" s="40"/>
      <c r="I180" s="52"/>
      <c r="J180" s="53"/>
      <c r="K180" s="17"/>
      <c r="L180" s="39">
        <v>863</v>
      </c>
      <c r="M180" s="43"/>
      <c r="N180" s="45" t="s">
        <v>110</v>
      </c>
      <c r="O180" s="55">
        <v>12</v>
      </c>
      <c r="P180" s="56"/>
      <c r="Q180" s="74"/>
      <c r="R180" s="70">
        <v>0</v>
      </c>
      <c r="S180" s="19"/>
      <c r="T180" s="60"/>
      <c r="U180" s="59" t="s">
        <v>110</v>
      </c>
    </row>
    <row r="181" spans="1:21" ht="15" customHeight="1" x14ac:dyDescent="0.25">
      <c r="A181" s="1">
        <f t="shared" ca="1" si="7"/>
        <v>7112</v>
      </c>
      <c r="B181" s="29">
        <v>850</v>
      </c>
      <c r="C181" s="29">
        <v>30020</v>
      </c>
      <c r="D181" s="29">
        <v>270</v>
      </c>
      <c r="E181" s="29">
        <v>29750</v>
      </c>
      <c r="F181" s="29">
        <v>2983</v>
      </c>
      <c r="G181" s="39"/>
      <c r="H181" s="40"/>
      <c r="I181" s="52"/>
      <c r="J181" s="53"/>
      <c r="K181" s="17"/>
      <c r="L181" s="39">
        <v>866</v>
      </c>
      <c r="M181" s="43"/>
      <c r="N181" s="45" t="s">
        <v>108</v>
      </c>
      <c r="O181" s="55">
        <v>15</v>
      </c>
      <c r="P181" s="56"/>
      <c r="Q181" s="74"/>
      <c r="R181" s="70">
        <v>0</v>
      </c>
      <c r="S181" s="19"/>
      <c r="T181" s="60"/>
      <c r="U181" s="59" t="s">
        <v>108</v>
      </c>
    </row>
    <row r="182" spans="1:21" ht="15" customHeight="1" x14ac:dyDescent="0.25">
      <c r="A182" s="1">
        <f t="shared" ca="1" si="7"/>
        <v>7113</v>
      </c>
      <c r="B182" s="29">
        <v>835</v>
      </c>
      <c r="C182" s="29">
        <v>30052</v>
      </c>
      <c r="D182" s="29">
        <v>266</v>
      </c>
      <c r="E182" s="29">
        <v>29786</v>
      </c>
      <c r="F182" s="29">
        <v>2987</v>
      </c>
      <c r="G182" s="39"/>
      <c r="H182" s="40"/>
      <c r="I182" s="52"/>
      <c r="J182" s="53"/>
      <c r="K182" s="17"/>
      <c r="L182" s="39">
        <v>860</v>
      </c>
      <c r="M182" s="43"/>
      <c r="N182" s="45" t="s">
        <v>106</v>
      </c>
      <c r="O182" s="55">
        <v>15</v>
      </c>
      <c r="P182" s="56"/>
      <c r="Q182" s="74"/>
      <c r="R182" s="70">
        <v>0</v>
      </c>
      <c r="S182" s="19"/>
      <c r="T182" s="60"/>
      <c r="U182" s="59" t="s">
        <v>108</v>
      </c>
    </row>
    <row r="183" spans="1:21" ht="15" customHeight="1" x14ac:dyDescent="0.25">
      <c r="A183" s="1">
        <f t="shared" ca="1" si="7"/>
        <v>7114</v>
      </c>
      <c r="B183" s="29">
        <v>845</v>
      </c>
      <c r="C183" s="29">
        <v>30044</v>
      </c>
      <c r="D183" s="29">
        <v>268</v>
      </c>
      <c r="E183" s="29">
        <v>29776</v>
      </c>
      <c r="F183" s="29">
        <v>2986</v>
      </c>
      <c r="G183" s="39"/>
      <c r="H183" s="40"/>
      <c r="I183" s="52"/>
      <c r="J183" s="53"/>
      <c r="K183" s="17"/>
      <c r="L183" s="39">
        <v>852</v>
      </c>
      <c r="M183" s="43"/>
      <c r="N183" s="45" t="s">
        <v>108</v>
      </c>
      <c r="O183" s="55">
        <v>15</v>
      </c>
      <c r="P183" s="56"/>
      <c r="Q183" s="74"/>
      <c r="R183" s="70">
        <v>0</v>
      </c>
      <c r="S183" s="19"/>
      <c r="T183" s="60"/>
      <c r="U183" s="59" t="s">
        <v>108</v>
      </c>
    </row>
    <row r="184" spans="1:21" ht="15" customHeight="1" x14ac:dyDescent="0.25">
      <c r="A184" s="1">
        <f t="shared" ca="1" si="7"/>
        <v>7115</v>
      </c>
      <c r="B184" s="29">
        <v>820</v>
      </c>
      <c r="C184" s="29">
        <v>30016</v>
      </c>
      <c r="D184" s="29">
        <v>262</v>
      </c>
      <c r="E184" s="29">
        <v>29754</v>
      </c>
      <c r="F184" s="29">
        <v>2983</v>
      </c>
      <c r="G184" s="39"/>
      <c r="H184" s="40"/>
      <c r="I184" s="52"/>
      <c r="J184" s="53"/>
      <c r="K184" s="17"/>
      <c r="L184" s="39">
        <v>846</v>
      </c>
      <c r="M184" s="43"/>
      <c r="N184" s="45" t="s">
        <v>108</v>
      </c>
      <c r="O184" s="55">
        <v>10</v>
      </c>
      <c r="P184" s="56"/>
      <c r="Q184" s="74"/>
      <c r="R184" s="70">
        <v>0</v>
      </c>
      <c r="S184" s="19"/>
      <c r="T184" s="60"/>
      <c r="U184" s="59" t="s">
        <v>108</v>
      </c>
    </row>
    <row r="185" spans="1:21" ht="15" customHeight="1" x14ac:dyDescent="0.25">
      <c r="A185" s="1">
        <f t="shared" ca="1" si="7"/>
        <v>7116</v>
      </c>
      <c r="B185" s="29">
        <v>835</v>
      </c>
      <c r="C185" s="29">
        <v>30019</v>
      </c>
      <c r="D185" s="29">
        <v>266</v>
      </c>
      <c r="E185" s="29">
        <v>29753</v>
      </c>
      <c r="F185" s="29">
        <v>2983</v>
      </c>
      <c r="G185" s="39"/>
      <c r="H185" s="40"/>
      <c r="I185" s="52"/>
      <c r="J185" s="53"/>
      <c r="K185" s="17"/>
      <c r="L185" s="39">
        <v>861</v>
      </c>
      <c r="M185" s="43"/>
      <c r="N185" s="45" t="s">
        <v>108</v>
      </c>
      <c r="O185" s="55">
        <v>12</v>
      </c>
      <c r="P185" s="56"/>
      <c r="Q185" s="74"/>
      <c r="R185" s="70">
        <v>0</v>
      </c>
      <c r="S185" s="19"/>
      <c r="T185" s="60"/>
      <c r="U185" s="59" t="s">
        <v>108</v>
      </c>
    </row>
    <row r="186" spans="1:21" ht="15" customHeight="1" x14ac:dyDescent="0.25">
      <c r="A186" s="1">
        <f t="shared" ca="1" si="7"/>
        <v>7117</v>
      </c>
      <c r="B186" s="29">
        <v>840</v>
      </c>
      <c r="C186" s="29">
        <v>30020</v>
      </c>
      <c r="D186" s="29">
        <v>267</v>
      </c>
      <c r="E186" s="29">
        <v>29753</v>
      </c>
      <c r="F186" s="29">
        <v>2983</v>
      </c>
      <c r="G186" s="39"/>
      <c r="H186" s="40"/>
      <c r="I186" s="52"/>
      <c r="J186" s="53"/>
      <c r="K186" s="17"/>
      <c r="L186" s="39">
        <v>868</v>
      </c>
      <c r="M186" s="43"/>
      <c r="N186" s="45" t="s">
        <v>108</v>
      </c>
      <c r="O186" s="55">
        <v>12</v>
      </c>
      <c r="P186" s="56"/>
      <c r="Q186" s="74"/>
      <c r="R186" s="70">
        <v>0</v>
      </c>
      <c r="S186" s="19"/>
      <c r="T186" s="60"/>
      <c r="U186" s="59" t="s">
        <v>108</v>
      </c>
    </row>
    <row r="187" spans="1:21" ht="15" customHeight="1" x14ac:dyDescent="0.25">
      <c r="A187" s="1">
        <f t="shared" ca="1" si="7"/>
        <v>7118</v>
      </c>
      <c r="B187" s="29">
        <v>835</v>
      </c>
      <c r="C187" s="29">
        <v>30012</v>
      </c>
      <c r="D187" s="29">
        <v>266</v>
      </c>
      <c r="E187" s="29">
        <v>29746</v>
      </c>
      <c r="F187" s="29">
        <v>2983</v>
      </c>
      <c r="G187" s="39"/>
      <c r="H187" s="40"/>
      <c r="I187" s="52"/>
      <c r="J187" s="53"/>
      <c r="K187" s="17"/>
      <c r="L187" s="39">
        <v>856</v>
      </c>
      <c r="M187" s="43"/>
      <c r="N187" s="45" t="s">
        <v>108</v>
      </c>
      <c r="O187" s="55">
        <v>14</v>
      </c>
      <c r="P187" s="56"/>
      <c r="Q187" s="74"/>
      <c r="R187" s="70">
        <v>0</v>
      </c>
      <c r="S187" s="19"/>
      <c r="T187" s="60"/>
      <c r="U187" s="59" t="s">
        <v>108</v>
      </c>
    </row>
    <row r="188" spans="1:21" ht="15" customHeight="1" x14ac:dyDescent="0.25">
      <c r="A188" s="1">
        <f t="shared" ca="1" si="7"/>
        <v>7119</v>
      </c>
      <c r="B188" s="29">
        <v>845</v>
      </c>
      <c r="C188" s="29">
        <v>29992</v>
      </c>
      <c r="D188" s="29">
        <v>268</v>
      </c>
      <c r="E188" s="29">
        <v>29724</v>
      </c>
      <c r="F188" s="29">
        <v>2980</v>
      </c>
      <c r="G188" s="39"/>
      <c r="H188" s="40"/>
      <c r="I188" s="52"/>
      <c r="J188" s="53"/>
      <c r="K188" s="17"/>
      <c r="L188" s="39">
        <v>860</v>
      </c>
      <c r="M188" s="43"/>
      <c r="N188" s="45" t="s">
        <v>108</v>
      </c>
      <c r="O188" s="55">
        <v>15</v>
      </c>
      <c r="P188" s="56"/>
      <c r="Q188" s="74"/>
      <c r="R188" s="70">
        <v>0</v>
      </c>
      <c r="S188" s="19"/>
      <c r="T188" s="60"/>
      <c r="U188" s="59" t="s">
        <v>108</v>
      </c>
    </row>
    <row r="189" spans="1:21" ht="15" customHeight="1" x14ac:dyDescent="0.25">
      <c r="A189" s="1">
        <f t="shared" ca="1" si="7"/>
        <v>7120</v>
      </c>
      <c r="B189" s="29">
        <v>845</v>
      </c>
      <c r="C189" s="29">
        <v>30084</v>
      </c>
      <c r="D189" s="29">
        <v>268</v>
      </c>
      <c r="E189" s="29">
        <v>29786</v>
      </c>
      <c r="F189" s="29">
        <v>2987</v>
      </c>
      <c r="G189" s="39"/>
      <c r="H189" s="40"/>
      <c r="I189" s="52"/>
      <c r="J189" s="53"/>
      <c r="K189" s="17"/>
      <c r="L189" s="39">
        <v>881</v>
      </c>
      <c r="M189" s="43"/>
      <c r="N189" s="45" t="s">
        <v>108</v>
      </c>
      <c r="O189" s="55">
        <v>12</v>
      </c>
      <c r="P189" s="56"/>
      <c r="Q189" s="74"/>
      <c r="R189" s="70">
        <v>0</v>
      </c>
      <c r="S189" s="19"/>
      <c r="T189" s="60"/>
      <c r="U189" s="59" t="s">
        <v>108</v>
      </c>
    </row>
    <row r="190" spans="1:21" ht="15" customHeight="1" x14ac:dyDescent="0.25">
      <c r="A190" s="1">
        <f t="shared" ca="1" si="7"/>
        <v>7121</v>
      </c>
      <c r="B190" s="29">
        <v>840</v>
      </c>
      <c r="C190" s="29">
        <v>30077</v>
      </c>
      <c r="D190" s="29">
        <v>267</v>
      </c>
      <c r="E190" s="29">
        <v>29810</v>
      </c>
      <c r="F190" s="29">
        <v>2989</v>
      </c>
      <c r="G190" s="39"/>
      <c r="H190" s="40"/>
      <c r="I190" s="52"/>
      <c r="J190" s="53"/>
      <c r="K190" s="17"/>
      <c r="L190" s="39">
        <v>861</v>
      </c>
      <c r="M190" s="43"/>
      <c r="N190" s="45" t="s">
        <v>108</v>
      </c>
      <c r="O190" s="55">
        <v>10</v>
      </c>
      <c r="P190" s="56"/>
      <c r="Q190" s="74"/>
      <c r="R190" s="70">
        <v>0</v>
      </c>
      <c r="S190" s="19"/>
      <c r="T190" s="60"/>
      <c r="U190" s="59" t="s">
        <v>108</v>
      </c>
    </row>
    <row r="191" spans="1:21" x14ac:dyDescent="0.25">
      <c r="A191" s="1" t="str">
        <f t="shared" ca="1" si="7"/>
        <v>Totaal</v>
      </c>
      <c r="B191" s="61">
        <f>IF(COUNT(B161:B190)&gt;0,AVERAGE(B161:B190)/10,"")</f>
        <v>82.86666666666666</v>
      </c>
      <c r="C191" s="62">
        <f>IF(COUNT(C161:C190)&gt;0,AVERAGE(C161:C190)/1000,"")</f>
        <v>30.031666666666666</v>
      </c>
      <c r="D191" s="62">
        <f>IF(COUNT(D161:D190)&gt;0,AVERAGE(D161:D190)/1000,"")</f>
        <v>0.26803333333333335</v>
      </c>
      <c r="E191" s="62">
        <f>IF(COUNT(E161:E190)&gt;0,AVERAGE(E161:E190)/1000,"")</f>
        <v>29.762633333333333</v>
      </c>
      <c r="F191" s="62">
        <f>IF(COUNT(F161:F190)&gt;0,AVERAGE(F161:F190)/100,"")</f>
        <v>29.843000000000004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86.816666666666663</v>
      </c>
      <c r="M191" s="44" t="str">
        <f>IF(COUNT(M161:M190)&gt;0,AVERAGE(M161:M190)/10,"")</f>
        <v/>
      </c>
      <c r="N191" s="46"/>
      <c r="O191" s="57">
        <f>IF(COUNT(O161:O190)&gt;0,AVERAGE(O161:O190),"")</f>
        <v>12.6</v>
      </c>
      <c r="P191" s="58" t="str">
        <f>IF(COUNT(P161:P190)&gt;0,AVERAGE(P161:P190),"")</f>
        <v/>
      </c>
      <c r="Q191" s="47"/>
      <c r="R191" s="68">
        <f>IF(COUNT(R161:R190)&gt;0,SUM(R161:R190)/100,"")</f>
        <v>0.03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7122</v>
      </c>
      <c r="B192" s="29">
        <v>840</v>
      </c>
      <c r="C192" s="29">
        <v>30052</v>
      </c>
      <c r="D192" s="29">
        <v>267</v>
      </c>
      <c r="E192" s="29">
        <v>29785</v>
      </c>
      <c r="F192" s="29">
        <v>2987</v>
      </c>
      <c r="G192" s="39"/>
      <c r="H192" s="40"/>
      <c r="I192" s="52"/>
      <c r="J192" s="53"/>
      <c r="K192" s="17"/>
      <c r="L192" s="39">
        <v>853</v>
      </c>
      <c r="M192" s="43"/>
      <c r="N192" s="45" t="s">
        <v>108</v>
      </c>
      <c r="O192" s="55">
        <v>10</v>
      </c>
      <c r="P192" s="56"/>
      <c r="Q192" s="74"/>
      <c r="R192" s="70">
        <v>0</v>
      </c>
      <c r="S192" s="19"/>
      <c r="T192" s="60"/>
      <c r="U192" s="59" t="s">
        <v>108</v>
      </c>
    </row>
    <row r="193" spans="1:21" ht="15" customHeight="1" x14ac:dyDescent="0.25">
      <c r="A193" s="1">
        <f t="shared" ca="1" si="7"/>
        <v>7123</v>
      </c>
      <c r="B193" s="29">
        <v>850</v>
      </c>
      <c r="C193" s="29">
        <v>30036</v>
      </c>
      <c r="D193" s="29">
        <v>270</v>
      </c>
      <c r="E193" s="29">
        <v>29766</v>
      </c>
      <c r="F193" s="29">
        <v>2985</v>
      </c>
      <c r="G193" s="39"/>
      <c r="H193" s="40"/>
      <c r="I193" s="52"/>
      <c r="J193" s="53"/>
      <c r="K193" s="17"/>
      <c r="L193" s="39">
        <v>858</v>
      </c>
      <c r="M193" s="43"/>
      <c r="N193" s="45" t="s">
        <v>108</v>
      </c>
      <c r="O193" s="55">
        <v>12</v>
      </c>
      <c r="P193" s="56"/>
      <c r="Q193" s="74"/>
      <c r="R193" s="70">
        <v>0</v>
      </c>
      <c r="S193" s="19"/>
      <c r="T193" s="60"/>
      <c r="U193" s="59" t="s">
        <v>108</v>
      </c>
    </row>
    <row r="194" spans="1:21" ht="15" customHeight="1" x14ac:dyDescent="0.25">
      <c r="A194" s="1">
        <f t="shared" ca="1" si="7"/>
        <v>7124</v>
      </c>
      <c r="B194" s="29">
        <v>850</v>
      </c>
      <c r="C194" s="29">
        <v>30050</v>
      </c>
      <c r="D194" s="29">
        <v>270</v>
      </c>
      <c r="E194" s="29">
        <v>29780</v>
      </c>
      <c r="F194" s="29">
        <v>2986</v>
      </c>
      <c r="G194" s="39"/>
      <c r="H194" s="40"/>
      <c r="I194" s="52"/>
      <c r="J194" s="53"/>
      <c r="K194" s="17"/>
      <c r="L194" s="39">
        <v>867</v>
      </c>
      <c r="M194" s="43"/>
      <c r="N194" s="45" t="s">
        <v>108</v>
      </c>
      <c r="O194" s="55">
        <v>12</v>
      </c>
      <c r="P194" s="56"/>
      <c r="Q194" s="74"/>
      <c r="R194" s="70">
        <v>0</v>
      </c>
      <c r="S194" s="19"/>
      <c r="T194" s="60"/>
      <c r="U194" s="59" t="s">
        <v>108</v>
      </c>
    </row>
    <row r="195" spans="1:21" ht="15" customHeight="1" x14ac:dyDescent="0.25">
      <c r="A195" s="1">
        <f t="shared" ca="1" si="7"/>
        <v>7125</v>
      </c>
      <c r="B195" s="29">
        <v>850</v>
      </c>
      <c r="C195" s="29">
        <v>30060</v>
      </c>
      <c r="D195" s="29">
        <v>270</v>
      </c>
      <c r="E195" s="29">
        <v>29790</v>
      </c>
      <c r="F195" s="29">
        <v>2987</v>
      </c>
      <c r="G195" s="39"/>
      <c r="H195" s="40"/>
      <c r="I195" s="52"/>
      <c r="J195" s="53"/>
      <c r="K195" s="17"/>
      <c r="L195" s="39">
        <v>862</v>
      </c>
      <c r="M195" s="43"/>
      <c r="N195" s="45" t="s">
        <v>108</v>
      </c>
      <c r="O195" s="55">
        <v>12</v>
      </c>
      <c r="P195" s="56"/>
      <c r="Q195" s="74"/>
      <c r="R195" s="70">
        <v>0</v>
      </c>
      <c r="S195" s="19"/>
      <c r="T195" s="60"/>
      <c r="U195" s="59" t="s">
        <v>108</v>
      </c>
    </row>
    <row r="196" spans="1:21" ht="15" customHeight="1" x14ac:dyDescent="0.25">
      <c r="A196" s="1">
        <f t="shared" ca="1" si="7"/>
        <v>7126</v>
      </c>
      <c r="B196" s="29">
        <v>800</v>
      </c>
      <c r="C196" s="29">
        <v>30003</v>
      </c>
      <c r="D196" s="29">
        <v>256</v>
      </c>
      <c r="E196" s="29">
        <v>29747</v>
      </c>
      <c r="F196" s="29">
        <v>2983</v>
      </c>
      <c r="G196" s="39"/>
      <c r="H196" s="40"/>
      <c r="I196" s="52"/>
      <c r="J196" s="53"/>
      <c r="K196" s="17"/>
      <c r="L196" s="39">
        <v>883</v>
      </c>
      <c r="M196" s="43"/>
      <c r="N196" s="45" t="s">
        <v>106</v>
      </c>
      <c r="O196" s="55">
        <v>12</v>
      </c>
      <c r="P196" s="56"/>
      <c r="Q196" s="74"/>
      <c r="R196" s="70">
        <v>0</v>
      </c>
      <c r="S196" s="19"/>
      <c r="T196" s="60"/>
      <c r="U196" s="59" t="s">
        <v>106</v>
      </c>
    </row>
    <row r="197" spans="1:21" ht="15" customHeight="1" x14ac:dyDescent="0.25">
      <c r="A197" s="1">
        <f t="shared" ca="1" si="7"/>
        <v>7127</v>
      </c>
      <c r="B197" s="29">
        <v>795</v>
      </c>
      <c r="C197" s="29">
        <v>30024</v>
      </c>
      <c r="D197" s="29">
        <v>255</v>
      </c>
      <c r="E197" s="29">
        <v>29769</v>
      </c>
      <c r="F197" s="29">
        <v>2985</v>
      </c>
      <c r="G197" s="39"/>
      <c r="H197" s="40"/>
      <c r="I197" s="52"/>
      <c r="J197" s="53"/>
      <c r="K197" s="17"/>
      <c r="L197" s="39">
        <v>865</v>
      </c>
      <c r="M197" s="43"/>
      <c r="N197" s="45" t="s">
        <v>108</v>
      </c>
      <c r="O197" s="55">
        <v>12</v>
      </c>
      <c r="P197" s="56"/>
      <c r="Q197" s="74"/>
      <c r="R197" s="70">
        <v>0</v>
      </c>
      <c r="S197" s="19"/>
      <c r="T197" s="60"/>
      <c r="U197" s="59" t="s">
        <v>108</v>
      </c>
    </row>
    <row r="198" spans="1:21" ht="15" customHeight="1" x14ac:dyDescent="0.25">
      <c r="A198" s="1">
        <f t="shared" ca="1" si="7"/>
        <v>7128</v>
      </c>
      <c r="B198" s="29">
        <v>835</v>
      </c>
      <c r="C198" s="29">
        <v>30052</v>
      </c>
      <c r="D198" s="29">
        <v>266</v>
      </c>
      <c r="E198" s="29">
        <v>29786</v>
      </c>
      <c r="F198" s="29">
        <v>2987</v>
      </c>
      <c r="G198" s="39"/>
      <c r="H198" s="40"/>
      <c r="I198" s="52"/>
      <c r="J198" s="53"/>
      <c r="K198" s="17"/>
      <c r="L198" s="39">
        <v>862</v>
      </c>
      <c r="M198" s="43"/>
      <c r="N198" s="45" t="s">
        <v>108</v>
      </c>
      <c r="O198" s="55">
        <v>12</v>
      </c>
      <c r="P198" s="56"/>
      <c r="Q198" s="74"/>
      <c r="R198" s="70">
        <v>0</v>
      </c>
      <c r="S198" s="19"/>
      <c r="T198" s="60"/>
      <c r="U198" s="59" t="s">
        <v>108</v>
      </c>
    </row>
    <row r="199" spans="1:21" ht="15" customHeight="1" x14ac:dyDescent="0.25">
      <c r="A199" s="1">
        <f t="shared" ref="A199:A262" ca="1" si="11">IF(ISTEXT(A198),A197+1,IF(MONTH(A198+1)=MONTH(A198),A198+1,"Totaal"))</f>
        <v>7129</v>
      </c>
      <c r="B199" s="29">
        <v>850</v>
      </c>
      <c r="C199" s="29">
        <v>30122</v>
      </c>
      <c r="D199" s="29">
        <v>270</v>
      </c>
      <c r="E199" s="29">
        <v>29852</v>
      </c>
      <c r="F199" s="29">
        <v>2993</v>
      </c>
      <c r="G199" s="39"/>
      <c r="H199" s="40"/>
      <c r="I199" s="52"/>
      <c r="J199" s="53"/>
      <c r="K199" s="17"/>
      <c r="L199" s="39">
        <v>874</v>
      </c>
      <c r="M199" s="43"/>
      <c r="N199" s="45" t="s">
        <v>108</v>
      </c>
      <c r="O199" s="55">
        <v>10</v>
      </c>
      <c r="P199" s="56"/>
      <c r="Q199" s="74"/>
      <c r="R199" s="70">
        <v>0</v>
      </c>
      <c r="S199" s="19"/>
      <c r="T199" s="60"/>
      <c r="U199" s="59" t="s">
        <v>108</v>
      </c>
    </row>
    <row r="200" spans="1:21" ht="15" customHeight="1" x14ac:dyDescent="0.25">
      <c r="A200" s="1">
        <f t="shared" ca="1" si="11"/>
        <v>7130</v>
      </c>
      <c r="B200" s="29">
        <v>850</v>
      </c>
      <c r="C200" s="29">
        <v>30088</v>
      </c>
      <c r="D200" s="29">
        <v>270</v>
      </c>
      <c r="E200" s="29">
        <v>29818</v>
      </c>
      <c r="F200" s="29">
        <v>2990</v>
      </c>
      <c r="G200" s="39"/>
      <c r="H200" s="40"/>
      <c r="I200" s="52"/>
      <c r="J200" s="53"/>
      <c r="K200" s="17"/>
      <c r="L200" s="39">
        <v>882</v>
      </c>
      <c r="M200" s="43"/>
      <c r="N200" s="45" t="s">
        <v>108</v>
      </c>
      <c r="O200" s="55">
        <v>10</v>
      </c>
      <c r="P200" s="56"/>
      <c r="Q200" s="74"/>
      <c r="R200" s="70">
        <v>0</v>
      </c>
      <c r="S200" s="19"/>
      <c r="T200" s="60"/>
      <c r="U200" s="59" t="s">
        <v>108</v>
      </c>
    </row>
    <row r="201" spans="1:21" ht="15" customHeight="1" x14ac:dyDescent="0.25">
      <c r="A201" s="1">
        <f t="shared" ca="1" si="11"/>
        <v>7131</v>
      </c>
      <c r="B201" s="29">
        <v>850</v>
      </c>
      <c r="C201" s="29">
        <v>30072</v>
      </c>
      <c r="D201" s="29">
        <v>270</v>
      </c>
      <c r="E201" s="29">
        <v>29802</v>
      </c>
      <c r="F201" s="29">
        <v>2988</v>
      </c>
      <c r="G201" s="39"/>
      <c r="H201" s="40"/>
      <c r="I201" s="52"/>
      <c r="J201" s="53"/>
      <c r="K201" s="17"/>
      <c r="L201" s="39">
        <v>871</v>
      </c>
      <c r="M201" s="43"/>
      <c r="N201" s="45" t="s">
        <v>108</v>
      </c>
      <c r="O201" s="55">
        <v>10</v>
      </c>
      <c r="P201" s="56"/>
      <c r="Q201" s="74"/>
      <c r="R201" s="70">
        <v>0</v>
      </c>
      <c r="S201" s="19"/>
      <c r="T201" s="60"/>
      <c r="U201" s="59" t="s">
        <v>108</v>
      </c>
    </row>
    <row r="202" spans="1:21" ht="15" customHeight="1" x14ac:dyDescent="0.25">
      <c r="A202" s="1">
        <f t="shared" ca="1" si="11"/>
        <v>7132</v>
      </c>
      <c r="B202" s="29">
        <v>850</v>
      </c>
      <c r="C202" s="29">
        <v>30072</v>
      </c>
      <c r="D202" s="29">
        <v>270</v>
      </c>
      <c r="E202" s="29">
        <v>29802</v>
      </c>
      <c r="F202" s="29">
        <v>2988</v>
      </c>
      <c r="G202" s="39"/>
      <c r="H202" s="40"/>
      <c r="I202" s="52"/>
      <c r="J202" s="53"/>
      <c r="K202" s="17"/>
      <c r="L202" s="39">
        <v>874</v>
      </c>
      <c r="M202" s="43"/>
      <c r="N202" s="45" t="s">
        <v>108</v>
      </c>
      <c r="O202" s="55">
        <v>10</v>
      </c>
      <c r="P202" s="56"/>
      <c r="Q202" s="74"/>
      <c r="R202" s="70">
        <v>0</v>
      </c>
      <c r="S202" s="19"/>
      <c r="T202" s="60"/>
      <c r="U202" s="59" t="s">
        <v>108</v>
      </c>
    </row>
    <row r="203" spans="1:21" ht="15" customHeight="1" x14ac:dyDescent="0.25">
      <c r="A203" s="1">
        <f t="shared" ca="1" si="11"/>
        <v>7133</v>
      </c>
      <c r="B203" s="29">
        <v>850</v>
      </c>
      <c r="C203" s="29">
        <v>30102</v>
      </c>
      <c r="D203" s="29">
        <v>270</v>
      </c>
      <c r="E203" s="29">
        <v>29832</v>
      </c>
      <c r="F203" s="29">
        <v>2991</v>
      </c>
      <c r="G203" s="39"/>
      <c r="H203" s="40"/>
      <c r="I203" s="52"/>
      <c r="J203" s="53"/>
      <c r="K203" s="17"/>
      <c r="L203" s="39">
        <v>876</v>
      </c>
      <c r="M203" s="43"/>
      <c r="N203" s="45" t="s">
        <v>108</v>
      </c>
      <c r="O203" s="55">
        <v>12</v>
      </c>
      <c r="P203" s="56"/>
      <c r="Q203" s="74"/>
      <c r="R203" s="70">
        <v>0</v>
      </c>
      <c r="S203" s="19"/>
      <c r="T203" s="60"/>
      <c r="U203" s="59" t="s">
        <v>108</v>
      </c>
    </row>
    <row r="204" spans="1:21" ht="15" customHeight="1" x14ac:dyDescent="0.25">
      <c r="A204" s="1">
        <f t="shared" ca="1" si="11"/>
        <v>7134</v>
      </c>
      <c r="B204" s="29">
        <v>845</v>
      </c>
      <c r="C204" s="29">
        <v>30090</v>
      </c>
      <c r="D204" s="29">
        <v>268</v>
      </c>
      <c r="E204" s="29">
        <v>29822</v>
      </c>
      <c r="F204" s="29">
        <v>2990</v>
      </c>
      <c r="G204" s="39"/>
      <c r="H204" s="40"/>
      <c r="I204" s="52"/>
      <c r="J204" s="53"/>
      <c r="K204" s="17"/>
      <c r="L204" s="39">
        <v>866</v>
      </c>
      <c r="M204" s="43"/>
      <c r="N204" s="45" t="s">
        <v>108</v>
      </c>
      <c r="O204" s="55">
        <v>8</v>
      </c>
      <c r="P204" s="56"/>
      <c r="Q204" s="74"/>
      <c r="R204" s="70">
        <v>0</v>
      </c>
      <c r="S204" s="19"/>
      <c r="T204" s="60"/>
      <c r="U204" s="59" t="s">
        <v>108</v>
      </c>
    </row>
    <row r="205" spans="1:21" ht="15" customHeight="1" x14ac:dyDescent="0.25">
      <c r="A205" s="1">
        <f t="shared" ca="1" si="11"/>
        <v>7135</v>
      </c>
      <c r="B205" s="29">
        <v>850</v>
      </c>
      <c r="C205" s="29">
        <v>30022</v>
      </c>
      <c r="D205" s="29">
        <v>270</v>
      </c>
      <c r="E205" s="29">
        <v>29752</v>
      </c>
      <c r="F205" s="29">
        <v>2983</v>
      </c>
      <c r="G205" s="39"/>
      <c r="H205" s="40"/>
      <c r="I205" s="52"/>
      <c r="J205" s="53"/>
      <c r="K205" s="17"/>
      <c r="L205" s="39">
        <v>854</v>
      </c>
      <c r="M205" s="43"/>
      <c r="N205" s="45" t="s">
        <v>108</v>
      </c>
      <c r="O205" s="55">
        <v>8</v>
      </c>
      <c r="P205" s="56"/>
      <c r="Q205" s="74"/>
      <c r="R205" s="70">
        <v>0</v>
      </c>
      <c r="S205" s="19"/>
      <c r="T205" s="60"/>
      <c r="U205" s="59" t="s">
        <v>108</v>
      </c>
    </row>
    <row r="206" spans="1:21" ht="15" customHeight="1" x14ac:dyDescent="0.25">
      <c r="A206" s="1">
        <f t="shared" ca="1" si="11"/>
        <v>7136</v>
      </c>
      <c r="B206" s="29">
        <v>850</v>
      </c>
      <c r="C206" s="29">
        <v>30024</v>
      </c>
      <c r="D206" s="29">
        <v>270</v>
      </c>
      <c r="E206" s="29">
        <v>29752</v>
      </c>
      <c r="F206" s="29">
        <v>2983</v>
      </c>
      <c r="G206" s="39"/>
      <c r="H206" s="40"/>
      <c r="I206" s="52"/>
      <c r="J206" s="53"/>
      <c r="K206" s="17"/>
      <c r="L206" s="39">
        <v>862</v>
      </c>
      <c r="M206" s="43"/>
      <c r="N206" s="45" t="s">
        <v>108</v>
      </c>
      <c r="O206" s="55">
        <v>10</v>
      </c>
      <c r="P206" s="56"/>
      <c r="Q206" s="74"/>
      <c r="R206" s="70">
        <v>0</v>
      </c>
      <c r="S206" s="19"/>
      <c r="T206" s="60"/>
      <c r="U206" s="59" t="s">
        <v>108</v>
      </c>
    </row>
    <row r="207" spans="1:21" ht="15" customHeight="1" x14ac:dyDescent="0.25">
      <c r="A207" s="1">
        <f t="shared" ca="1" si="11"/>
        <v>7137</v>
      </c>
      <c r="B207" s="29">
        <v>850</v>
      </c>
      <c r="C207" s="29">
        <v>30049</v>
      </c>
      <c r="D207" s="29">
        <v>270</v>
      </c>
      <c r="E207" s="29">
        <v>29779</v>
      </c>
      <c r="F207" s="29">
        <v>2986</v>
      </c>
      <c r="G207" s="39"/>
      <c r="H207" s="40"/>
      <c r="I207" s="52"/>
      <c r="J207" s="53"/>
      <c r="K207" s="17"/>
      <c r="L207" s="39">
        <v>869</v>
      </c>
      <c r="M207" s="43"/>
      <c r="N207" s="45" t="s">
        <v>108</v>
      </c>
      <c r="O207" s="55">
        <v>12</v>
      </c>
      <c r="P207" s="56"/>
      <c r="Q207" s="74"/>
      <c r="R207" s="70">
        <v>0</v>
      </c>
      <c r="S207" s="19"/>
      <c r="T207" s="60"/>
      <c r="U207" s="59" t="s">
        <v>108</v>
      </c>
    </row>
    <row r="208" spans="1:21" ht="15" customHeight="1" x14ac:dyDescent="0.25">
      <c r="A208" s="1">
        <f t="shared" ca="1" si="11"/>
        <v>7138</v>
      </c>
      <c r="B208" s="29">
        <v>845</v>
      </c>
      <c r="C208" s="29">
        <v>30074</v>
      </c>
      <c r="D208" s="29">
        <v>268</v>
      </c>
      <c r="E208" s="29">
        <v>29806</v>
      </c>
      <c r="F208" s="29">
        <v>2989</v>
      </c>
      <c r="G208" s="39"/>
      <c r="H208" s="40"/>
      <c r="I208" s="52"/>
      <c r="J208" s="53"/>
      <c r="K208" s="17"/>
      <c r="L208" s="39">
        <v>863</v>
      </c>
      <c r="M208" s="43"/>
      <c r="N208" s="45" t="s">
        <v>108</v>
      </c>
      <c r="O208" s="55">
        <v>12</v>
      </c>
      <c r="P208" s="56"/>
      <c r="Q208" s="74"/>
      <c r="R208" s="70">
        <v>0</v>
      </c>
      <c r="S208" s="19"/>
      <c r="T208" s="60"/>
      <c r="U208" s="59" t="s">
        <v>108</v>
      </c>
    </row>
    <row r="209" spans="1:21" ht="15" customHeight="1" x14ac:dyDescent="0.25">
      <c r="A209" s="1">
        <f t="shared" ca="1" si="11"/>
        <v>7139</v>
      </c>
      <c r="B209" s="29">
        <v>850</v>
      </c>
      <c r="C209" s="29">
        <v>30073</v>
      </c>
      <c r="D209" s="29">
        <v>270</v>
      </c>
      <c r="E209" s="29">
        <v>29803</v>
      </c>
      <c r="F209" s="29">
        <v>2988</v>
      </c>
      <c r="G209" s="39"/>
      <c r="H209" s="40"/>
      <c r="I209" s="52"/>
      <c r="J209" s="53"/>
      <c r="K209" s="17"/>
      <c r="L209" s="39">
        <v>866</v>
      </c>
      <c r="M209" s="43"/>
      <c r="N209" s="45" t="s">
        <v>108</v>
      </c>
      <c r="O209" s="55">
        <v>12</v>
      </c>
      <c r="P209" s="56"/>
      <c r="Q209" s="74"/>
      <c r="R209" s="70">
        <v>0</v>
      </c>
      <c r="S209" s="19"/>
      <c r="T209" s="60"/>
      <c r="U209" s="59" t="s">
        <v>108</v>
      </c>
    </row>
    <row r="210" spans="1:21" ht="15" customHeight="1" x14ac:dyDescent="0.25">
      <c r="A210" s="1">
        <f t="shared" ca="1" si="11"/>
        <v>7140</v>
      </c>
      <c r="B210" s="29">
        <v>840</v>
      </c>
      <c r="C210" s="29">
        <v>30048</v>
      </c>
      <c r="D210" s="29">
        <v>267</v>
      </c>
      <c r="E210" s="29">
        <v>29781</v>
      </c>
      <c r="F210" s="29">
        <v>2986</v>
      </c>
      <c r="G210" s="39"/>
      <c r="H210" s="40"/>
      <c r="I210" s="52"/>
      <c r="J210" s="53"/>
      <c r="K210" s="17"/>
      <c r="L210" s="39">
        <v>868</v>
      </c>
      <c r="M210" s="43"/>
      <c r="N210" s="45" t="s">
        <v>110</v>
      </c>
      <c r="O210" s="55">
        <v>12</v>
      </c>
      <c r="P210" s="56"/>
      <c r="Q210" s="74"/>
      <c r="R210" s="70">
        <v>0</v>
      </c>
      <c r="S210" s="19"/>
      <c r="T210" s="60"/>
      <c r="U210" s="59" t="s">
        <v>110</v>
      </c>
    </row>
    <row r="211" spans="1:21" ht="15" customHeight="1" x14ac:dyDescent="0.25">
      <c r="A211" s="1">
        <f t="shared" ca="1" si="11"/>
        <v>7141</v>
      </c>
      <c r="B211" s="29">
        <v>855</v>
      </c>
      <c r="C211" s="29">
        <v>30023</v>
      </c>
      <c r="D211" s="29">
        <v>271</v>
      </c>
      <c r="E211" s="29">
        <v>29752</v>
      </c>
      <c r="F211" s="29">
        <v>2983</v>
      </c>
      <c r="G211" s="39"/>
      <c r="H211" s="40"/>
      <c r="I211" s="52"/>
      <c r="J211" s="53"/>
      <c r="K211" s="17"/>
      <c r="L211" s="39">
        <v>870</v>
      </c>
      <c r="M211" s="43"/>
      <c r="N211" s="45" t="s">
        <v>108</v>
      </c>
      <c r="O211" s="55">
        <v>12</v>
      </c>
      <c r="P211" s="56"/>
      <c r="Q211" s="74"/>
      <c r="R211" s="70">
        <v>1</v>
      </c>
      <c r="S211" s="19"/>
      <c r="T211" s="60"/>
      <c r="U211" s="59" t="s">
        <v>108</v>
      </c>
    </row>
    <row r="212" spans="1:21" ht="15" customHeight="1" x14ac:dyDescent="0.25">
      <c r="A212" s="1">
        <f t="shared" ca="1" si="11"/>
        <v>7142</v>
      </c>
      <c r="B212" s="29">
        <v>850</v>
      </c>
      <c r="C212" s="29">
        <v>30030</v>
      </c>
      <c r="D212" s="29">
        <v>270</v>
      </c>
      <c r="E212" s="29">
        <v>29760</v>
      </c>
      <c r="F212" s="29">
        <v>2984</v>
      </c>
      <c r="G212" s="39"/>
      <c r="H212" s="40"/>
      <c r="I212" s="52"/>
      <c r="J212" s="53"/>
      <c r="K212" s="17"/>
      <c r="L212" s="39">
        <v>870</v>
      </c>
      <c r="M212" s="43"/>
      <c r="N212" s="45" t="s">
        <v>108</v>
      </c>
      <c r="O212" s="55">
        <v>12</v>
      </c>
      <c r="P212" s="56"/>
      <c r="Q212" s="74"/>
      <c r="R212" s="70">
        <v>0</v>
      </c>
      <c r="S212" s="19"/>
      <c r="T212" s="60"/>
      <c r="U212" s="59" t="s">
        <v>108</v>
      </c>
    </row>
    <row r="213" spans="1:21" ht="15" customHeight="1" x14ac:dyDescent="0.25">
      <c r="A213" s="1">
        <f t="shared" ca="1" si="11"/>
        <v>7143</v>
      </c>
      <c r="B213" s="29">
        <v>860</v>
      </c>
      <c r="C213" s="29">
        <v>30040</v>
      </c>
      <c r="D213" s="29">
        <v>272</v>
      </c>
      <c r="E213" s="29">
        <v>29768</v>
      </c>
      <c r="F213" s="29">
        <v>2985</v>
      </c>
      <c r="G213" s="39"/>
      <c r="H213" s="40"/>
      <c r="I213" s="52"/>
      <c r="J213" s="53"/>
      <c r="K213" s="17"/>
      <c r="L213" s="39">
        <v>874</v>
      </c>
      <c r="M213" s="43"/>
      <c r="N213" s="45" t="s">
        <v>106</v>
      </c>
      <c r="O213" s="55">
        <v>10</v>
      </c>
      <c r="P213" s="56"/>
      <c r="Q213" s="74"/>
      <c r="R213" s="70">
        <v>0</v>
      </c>
      <c r="S213" s="19"/>
      <c r="T213" s="60"/>
      <c r="U213" s="59" t="s">
        <v>108</v>
      </c>
    </row>
    <row r="214" spans="1:21" ht="15" customHeight="1" x14ac:dyDescent="0.25">
      <c r="A214" s="1">
        <f t="shared" ca="1" si="11"/>
        <v>7144</v>
      </c>
      <c r="B214" s="29">
        <v>845</v>
      </c>
      <c r="C214" s="29">
        <v>30010</v>
      </c>
      <c r="D214" s="29">
        <v>268</v>
      </c>
      <c r="E214" s="29">
        <v>29742</v>
      </c>
      <c r="F214" s="29">
        <v>2982</v>
      </c>
      <c r="G214" s="39"/>
      <c r="H214" s="40"/>
      <c r="I214" s="52"/>
      <c r="J214" s="53"/>
      <c r="K214" s="17"/>
      <c r="L214" s="39">
        <v>853</v>
      </c>
      <c r="M214" s="43"/>
      <c r="N214" s="45" t="s">
        <v>108</v>
      </c>
      <c r="O214" s="55">
        <v>15</v>
      </c>
      <c r="P214" s="56"/>
      <c r="Q214" s="74"/>
      <c r="R214" s="70">
        <v>29</v>
      </c>
      <c r="S214" s="19"/>
      <c r="T214" s="60"/>
      <c r="U214" s="59" t="s">
        <v>108</v>
      </c>
    </row>
    <row r="215" spans="1:21" ht="15" customHeight="1" x14ac:dyDescent="0.25">
      <c r="A215" s="1">
        <f t="shared" ca="1" si="11"/>
        <v>7145</v>
      </c>
      <c r="B215" s="29">
        <v>855</v>
      </c>
      <c r="C215" s="29">
        <v>30024</v>
      </c>
      <c r="D215" s="29">
        <v>271</v>
      </c>
      <c r="E215" s="29">
        <v>29753</v>
      </c>
      <c r="F215" s="29">
        <v>2983</v>
      </c>
      <c r="G215" s="39"/>
      <c r="H215" s="40"/>
      <c r="I215" s="52"/>
      <c r="J215" s="53"/>
      <c r="K215" s="17"/>
      <c r="L215" s="39">
        <v>869</v>
      </c>
      <c r="M215" s="43"/>
      <c r="N215" s="45" t="s">
        <v>108</v>
      </c>
      <c r="O215" s="55">
        <v>10</v>
      </c>
      <c r="P215" s="56"/>
      <c r="Q215" s="74"/>
      <c r="R215" s="70">
        <v>0</v>
      </c>
      <c r="S215" s="19"/>
      <c r="T215" s="60"/>
      <c r="U215" s="59" t="s">
        <v>108</v>
      </c>
    </row>
    <row r="216" spans="1:21" ht="15" customHeight="1" x14ac:dyDescent="0.25">
      <c r="A216" s="1">
        <f t="shared" ca="1" si="11"/>
        <v>7146</v>
      </c>
      <c r="B216" s="29">
        <v>855</v>
      </c>
      <c r="C216" s="29">
        <v>29989</v>
      </c>
      <c r="D216" s="29">
        <v>271</v>
      </c>
      <c r="E216" s="29">
        <v>29718</v>
      </c>
      <c r="F216" s="29">
        <v>2989</v>
      </c>
      <c r="G216" s="39"/>
      <c r="H216" s="40"/>
      <c r="I216" s="52"/>
      <c r="J216" s="53"/>
      <c r="K216" s="17"/>
      <c r="L216" s="39">
        <v>872</v>
      </c>
      <c r="M216" s="43"/>
      <c r="N216" s="45" t="s">
        <v>108</v>
      </c>
      <c r="O216" s="55">
        <v>14</v>
      </c>
      <c r="P216" s="56"/>
      <c r="Q216" s="74"/>
      <c r="R216" s="70">
        <v>0</v>
      </c>
      <c r="S216" s="19"/>
      <c r="T216" s="60"/>
      <c r="U216" s="59" t="s">
        <v>108</v>
      </c>
    </row>
    <row r="217" spans="1:21" ht="15" customHeight="1" x14ac:dyDescent="0.25">
      <c r="A217" s="1">
        <f t="shared" ca="1" si="11"/>
        <v>7147</v>
      </c>
      <c r="B217" s="29">
        <v>860</v>
      </c>
      <c r="C217" s="29">
        <v>29982</v>
      </c>
      <c r="D217" s="29">
        <v>270</v>
      </c>
      <c r="E217" s="29">
        <v>29712</v>
      </c>
      <c r="F217" s="29">
        <v>2979</v>
      </c>
      <c r="G217" s="39"/>
      <c r="H217" s="40"/>
      <c r="I217" s="52"/>
      <c r="J217" s="53"/>
      <c r="K217" s="17"/>
      <c r="L217" s="39">
        <v>878</v>
      </c>
      <c r="M217" s="43"/>
      <c r="N217" s="45" t="s">
        <v>108</v>
      </c>
      <c r="O217" s="55">
        <v>15</v>
      </c>
      <c r="P217" s="56"/>
      <c r="Q217" s="74"/>
      <c r="R217" s="70">
        <v>0</v>
      </c>
      <c r="S217" s="19"/>
      <c r="T217" s="60"/>
      <c r="U217" s="59" t="s">
        <v>108</v>
      </c>
    </row>
    <row r="218" spans="1:21" ht="15" customHeight="1" x14ac:dyDescent="0.25">
      <c r="A218" s="1">
        <f t="shared" ca="1" si="11"/>
        <v>7148</v>
      </c>
      <c r="B218" s="29">
        <v>860</v>
      </c>
      <c r="C218" s="29">
        <v>30054</v>
      </c>
      <c r="D218" s="29">
        <v>272</v>
      </c>
      <c r="E218" s="29">
        <v>29782</v>
      </c>
      <c r="F218" s="29">
        <v>2986</v>
      </c>
      <c r="G218" s="39"/>
      <c r="H218" s="40"/>
      <c r="I218" s="52"/>
      <c r="J218" s="53"/>
      <c r="K218" s="17"/>
      <c r="L218" s="39">
        <v>876</v>
      </c>
      <c r="M218" s="43"/>
      <c r="N218" s="45" t="s">
        <v>108</v>
      </c>
      <c r="O218" s="55">
        <v>15</v>
      </c>
      <c r="P218" s="56"/>
      <c r="Q218" s="74"/>
      <c r="R218" s="70">
        <v>0</v>
      </c>
      <c r="S218" s="19"/>
      <c r="T218" s="60"/>
      <c r="U218" s="59" t="s">
        <v>108</v>
      </c>
    </row>
    <row r="219" spans="1:21" ht="15" customHeight="1" x14ac:dyDescent="0.25">
      <c r="A219" s="1">
        <f t="shared" ca="1" si="11"/>
        <v>7149</v>
      </c>
      <c r="B219" s="29">
        <v>860</v>
      </c>
      <c r="C219" s="29">
        <v>30008</v>
      </c>
      <c r="D219" s="29">
        <v>272</v>
      </c>
      <c r="E219" s="29">
        <v>29736</v>
      </c>
      <c r="F219" s="29">
        <v>2982</v>
      </c>
      <c r="G219" s="39"/>
      <c r="H219" s="40"/>
      <c r="I219" s="52"/>
      <c r="J219" s="53"/>
      <c r="K219" s="17"/>
      <c r="L219" s="39">
        <v>877</v>
      </c>
      <c r="M219" s="43"/>
      <c r="N219" s="45" t="s">
        <v>108</v>
      </c>
      <c r="O219" s="55">
        <v>12</v>
      </c>
      <c r="P219" s="56"/>
      <c r="Q219" s="74"/>
      <c r="R219" s="70">
        <v>0</v>
      </c>
      <c r="S219" s="19"/>
      <c r="T219" s="60"/>
      <c r="U219" s="59" t="s">
        <v>108</v>
      </c>
    </row>
    <row r="220" spans="1:21" ht="15" customHeight="1" x14ac:dyDescent="0.25">
      <c r="A220" s="1">
        <f t="shared" ca="1" si="11"/>
        <v>7150</v>
      </c>
      <c r="B220" s="29">
        <v>860</v>
      </c>
      <c r="C220" s="29">
        <v>30003</v>
      </c>
      <c r="D220" s="29">
        <v>272</v>
      </c>
      <c r="E220" s="29">
        <v>29731</v>
      </c>
      <c r="F220" s="29">
        <v>2981</v>
      </c>
      <c r="G220" s="39"/>
      <c r="H220" s="40"/>
      <c r="I220" s="52"/>
      <c r="J220" s="53"/>
      <c r="K220" s="17"/>
      <c r="L220" s="39">
        <v>883</v>
      </c>
      <c r="M220" s="43"/>
      <c r="N220" s="45" t="s">
        <v>108</v>
      </c>
      <c r="O220" s="55">
        <v>10</v>
      </c>
      <c r="P220" s="56"/>
      <c r="Q220" s="74"/>
      <c r="R220" s="70">
        <v>1</v>
      </c>
      <c r="S220" s="19"/>
      <c r="T220" s="60"/>
      <c r="U220" s="59" t="s">
        <v>108</v>
      </c>
    </row>
    <row r="221" spans="1:21" ht="15" customHeight="1" x14ac:dyDescent="0.25">
      <c r="A221" s="1">
        <f t="shared" ca="1" si="11"/>
        <v>7151</v>
      </c>
      <c r="B221" s="29">
        <v>850</v>
      </c>
      <c r="C221" s="29">
        <v>30072</v>
      </c>
      <c r="D221" s="29">
        <v>270</v>
      </c>
      <c r="E221" s="29">
        <v>29802</v>
      </c>
      <c r="F221" s="29">
        <v>2988</v>
      </c>
      <c r="G221" s="39"/>
      <c r="H221" s="40"/>
      <c r="I221" s="52"/>
      <c r="J221" s="53"/>
      <c r="K221" s="17"/>
      <c r="L221" s="39">
        <v>884</v>
      </c>
      <c r="M221" s="43"/>
      <c r="N221" s="45" t="s">
        <v>108</v>
      </c>
      <c r="O221" s="55">
        <v>12</v>
      </c>
      <c r="P221" s="56"/>
      <c r="Q221" s="74"/>
      <c r="R221" s="70">
        <v>0</v>
      </c>
      <c r="S221" s="19"/>
      <c r="T221" s="60"/>
      <c r="U221" s="59" t="s">
        <v>108</v>
      </c>
    </row>
    <row r="222" spans="1:21" ht="15" customHeight="1" x14ac:dyDescent="0.25">
      <c r="A222" s="1">
        <f t="shared" ca="1" si="11"/>
        <v>7152</v>
      </c>
      <c r="B222" s="29">
        <v>860</v>
      </c>
      <c r="C222" s="29">
        <v>30074</v>
      </c>
      <c r="D222" s="29">
        <v>272</v>
      </c>
      <c r="E222" s="29">
        <v>29802</v>
      </c>
      <c r="F222" s="29">
        <v>2988</v>
      </c>
      <c r="G222" s="39"/>
      <c r="H222" s="40"/>
      <c r="I222" s="52"/>
      <c r="J222" s="53"/>
      <c r="K222" s="17"/>
      <c r="L222" s="39">
        <v>886</v>
      </c>
      <c r="M222" s="43"/>
      <c r="N222" s="45" t="s">
        <v>108</v>
      </c>
      <c r="O222" s="55">
        <v>10</v>
      </c>
      <c r="P222" s="56"/>
      <c r="Q222" s="74"/>
      <c r="R222" s="70">
        <v>0</v>
      </c>
      <c r="S222" s="19"/>
      <c r="T222" s="60"/>
      <c r="U222" s="59" t="s">
        <v>108</v>
      </c>
    </row>
    <row r="223" spans="1:21" x14ac:dyDescent="0.25">
      <c r="A223" s="1" t="str">
        <f t="shared" ca="1" si="11"/>
        <v>Totaal</v>
      </c>
      <c r="B223" s="61">
        <f>IF(COUNT(B192:B222)&gt;0,AVERAGE(B192:B222)/10,"")</f>
        <v>84.741935483870961</v>
      </c>
      <c r="C223" s="62">
        <f>IF(COUNT(C192:C222)&gt;0,AVERAGE(C192:C222)/1000,"")</f>
        <v>30.045870967741937</v>
      </c>
      <c r="D223" s="62">
        <f t="shared" ref="D223" si="12">IF(COUNT(D192:D222)&gt;0,AVERAGE(D192:D222)/1000,"")</f>
        <v>0.26896774193548384</v>
      </c>
      <c r="E223" s="62">
        <f t="shared" ref="E223" si="13">IF(COUNT(E192:E222)&gt;0,AVERAGE(E192:E222)/1000,"")</f>
        <v>29.776838709677421</v>
      </c>
      <c r="F223" s="62">
        <f>IF(COUNT(F192:F222)&gt;0,AVERAGE(F192:F222)/100,"")</f>
        <v>29.859677419354838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86.990322580645156</v>
      </c>
      <c r="M223" s="44" t="str">
        <f>IF(COUNT(M192:M222)&gt;0,AVERAGE(M192:M222)/10,"")</f>
        <v/>
      </c>
      <c r="N223" s="46"/>
      <c r="O223" s="57">
        <f>IF(COUNT(O192:O222)&gt;0,AVERAGE(O192:O222),"")</f>
        <v>11.451612903225806</v>
      </c>
      <c r="P223" s="58" t="str">
        <f>IF(COUNT(P192:P222)&gt;0,AVERAGE(P192:P222),"")</f>
        <v/>
      </c>
      <c r="Q223" s="47"/>
      <c r="R223" s="68">
        <f>IF(COUNT(R192:R222)&gt;0,SUM(R192:R222)/100,"")</f>
        <v>0.31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7153</v>
      </c>
      <c r="B224" s="29">
        <v>855</v>
      </c>
      <c r="C224" s="29">
        <v>30074</v>
      </c>
      <c r="D224" s="29">
        <v>271</v>
      </c>
      <c r="E224" s="29">
        <v>29803</v>
      </c>
      <c r="F224" s="29">
        <v>2988</v>
      </c>
      <c r="G224" s="39"/>
      <c r="H224" s="40"/>
      <c r="I224" s="52"/>
      <c r="J224" s="53"/>
      <c r="K224" s="17"/>
      <c r="L224" s="39">
        <v>881</v>
      </c>
      <c r="M224" s="43"/>
      <c r="N224" s="45" t="s">
        <v>108</v>
      </c>
      <c r="O224" s="55">
        <v>15</v>
      </c>
      <c r="P224" s="56"/>
      <c r="Q224" s="74"/>
      <c r="R224" s="70">
        <v>0</v>
      </c>
      <c r="S224" s="19"/>
      <c r="T224" s="60"/>
      <c r="U224" s="59" t="s">
        <v>108</v>
      </c>
    </row>
    <row r="225" spans="1:21" ht="15" customHeight="1" x14ac:dyDescent="0.25">
      <c r="A225" s="1">
        <f t="shared" ca="1" si="11"/>
        <v>7154</v>
      </c>
      <c r="B225" s="29">
        <v>865</v>
      </c>
      <c r="C225" s="29">
        <v>30066</v>
      </c>
      <c r="D225" s="29">
        <v>274</v>
      </c>
      <c r="E225" s="29">
        <v>29792</v>
      </c>
      <c r="F225" s="29">
        <v>2987</v>
      </c>
      <c r="G225" s="39"/>
      <c r="H225" s="40"/>
      <c r="I225" s="52"/>
      <c r="J225" s="53"/>
      <c r="K225" s="17"/>
      <c r="L225" s="39">
        <v>884</v>
      </c>
      <c r="M225" s="43"/>
      <c r="N225" s="45" t="s">
        <v>108</v>
      </c>
      <c r="O225" s="55">
        <v>15</v>
      </c>
      <c r="P225" s="56"/>
      <c r="Q225" s="74"/>
      <c r="R225" s="70">
        <v>1</v>
      </c>
      <c r="S225" s="19"/>
      <c r="T225" s="60"/>
      <c r="U225" s="59" t="s">
        <v>108</v>
      </c>
    </row>
    <row r="226" spans="1:21" ht="15" customHeight="1" x14ac:dyDescent="0.25">
      <c r="A226" s="1">
        <f t="shared" ca="1" si="11"/>
        <v>7155</v>
      </c>
      <c r="B226" s="29">
        <v>865</v>
      </c>
      <c r="C226" s="29">
        <v>30016</v>
      </c>
      <c r="D226" s="29">
        <v>274</v>
      </c>
      <c r="E226" s="29">
        <v>29742</v>
      </c>
      <c r="F226" s="29">
        <v>2982</v>
      </c>
      <c r="G226" s="39"/>
      <c r="H226" s="40"/>
      <c r="I226" s="52"/>
      <c r="J226" s="53"/>
      <c r="K226" s="17"/>
      <c r="L226" s="39">
        <v>883</v>
      </c>
      <c r="M226" s="43"/>
      <c r="N226" s="45" t="s">
        <v>108</v>
      </c>
      <c r="O226" s="55">
        <v>15</v>
      </c>
      <c r="P226" s="56"/>
      <c r="Q226" s="74"/>
      <c r="R226" s="70">
        <v>0</v>
      </c>
      <c r="S226" s="19"/>
      <c r="T226" s="60"/>
      <c r="U226" s="59" t="s">
        <v>108</v>
      </c>
    </row>
    <row r="227" spans="1:21" ht="15" customHeight="1" x14ac:dyDescent="0.25">
      <c r="A227" s="1">
        <f t="shared" ca="1" si="11"/>
        <v>7156</v>
      </c>
      <c r="B227" s="29">
        <v>865</v>
      </c>
      <c r="C227" s="29">
        <v>30016</v>
      </c>
      <c r="D227" s="29">
        <v>274</v>
      </c>
      <c r="E227" s="29">
        <v>29742</v>
      </c>
      <c r="F227" s="29">
        <v>2982</v>
      </c>
      <c r="G227" s="39"/>
      <c r="H227" s="40"/>
      <c r="I227" s="52"/>
      <c r="J227" s="53"/>
      <c r="K227" s="17"/>
      <c r="L227" s="39">
        <v>874</v>
      </c>
      <c r="M227" s="43"/>
      <c r="N227" s="45" t="s">
        <v>108</v>
      </c>
      <c r="O227" s="55">
        <v>12</v>
      </c>
      <c r="P227" s="56"/>
      <c r="Q227" s="74"/>
      <c r="R227" s="70">
        <v>0</v>
      </c>
      <c r="S227" s="19"/>
      <c r="T227" s="60"/>
      <c r="U227" s="59" t="s">
        <v>108</v>
      </c>
    </row>
    <row r="228" spans="1:21" ht="15" customHeight="1" x14ac:dyDescent="0.25">
      <c r="A228" s="1">
        <f t="shared" ca="1" si="11"/>
        <v>7157</v>
      </c>
      <c r="B228" s="29">
        <v>865</v>
      </c>
      <c r="C228" s="29">
        <v>30025</v>
      </c>
      <c r="D228" s="29">
        <v>274</v>
      </c>
      <c r="E228" s="29">
        <v>29751</v>
      </c>
      <c r="F228" s="29">
        <v>2983</v>
      </c>
      <c r="G228" s="39"/>
      <c r="H228" s="40"/>
      <c r="I228" s="52"/>
      <c r="J228" s="53"/>
      <c r="K228" s="17"/>
      <c r="L228" s="39">
        <v>882</v>
      </c>
      <c r="M228" s="43"/>
      <c r="N228" s="45" t="s">
        <v>108</v>
      </c>
      <c r="O228" s="55">
        <v>12</v>
      </c>
      <c r="P228" s="56"/>
      <c r="Q228" s="74"/>
      <c r="R228" s="70">
        <v>0</v>
      </c>
      <c r="S228" s="19"/>
      <c r="T228" s="60"/>
      <c r="U228" s="59" t="s">
        <v>108</v>
      </c>
    </row>
    <row r="229" spans="1:21" ht="15" customHeight="1" x14ac:dyDescent="0.25">
      <c r="A229" s="1">
        <f t="shared" ca="1" si="11"/>
        <v>7158</v>
      </c>
      <c r="B229" s="29">
        <v>855</v>
      </c>
      <c r="C229" s="29">
        <v>30040</v>
      </c>
      <c r="D229" s="29">
        <v>271</v>
      </c>
      <c r="E229" s="29">
        <v>29769</v>
      </c>
      <c r="F229" s="29">
        <v>2985</v>
      </c>
      <c r="G229" s="39"/>
      <c r="H229" s="40"/>
      <c r="I229" s="52"/>
      <c r="J229" s="53"/>
      <c r="K229" s="17"/>
      <c r="L229" s="39">
        <v>871</v>
      </c>
      <c r="M229" s="43"/>
      <c r="N229" s="45" t="s">
        <v>108</v>
      </c>
      <c r="O229" s="55">
        <v>8</v>
      </c>
      <c r="P229" s="56"/>
      <c r="Q229" s="74"/>
      <c r="R229" s="70">
        <v>0</v>
      </c>
      <c r="S229" s="19"/>
      <c r="T229" s="60"/>
      <c r="U229" s="59" t="s">
        <v>108</v>
      </c>
    </row>
    <row r="230" spans="1:21" ht="15" customHeight="1" x14ac:dyDescent="0.25">
      <c r="A230" s="1">
        <f t="shared" ca="1" si="11"/>
        <v>7159</v>
      </c>
      <c r="B230" s="29">
        <v>865</v>
      </c>
      <c r="C230" s="29">
        <v>30026</v>
      </c>
      <c r="D230" s="29">
        <v>274</v>
      </c>
      <c r="E230" s="29">
        <v>29752</v>
      </c>
      <c r="F230" s="29">
        <v>2983</v>
      </c>
      <c r="G230" s="39"/>
      <c r="H230" s="40"/>
      <c r="I230" s="52"/>
      <c r="J230" s="53"/>
      <c r="K230" s="17"/>
      <c r="L230" s="39">
        <v>881</v>
      </c>
      <c r="M230" s="43"/>
      <c r="N230" s="45" t="s">
        <v>108</v>
      </c>
      <c r="O230" s="55">
        <v>12</v>
      </c>
      <c r="P230" s="56"/>
      <c r="Q230" s="74"/>
      <c r="R230" s="70">
        <v>0</v>
      </c>
      <c r="S230" s="19"/>
      <c r="T230" s="60"/>
      <c r="U230" s="59" t="s">
        <v>108</v>
      </c>
    </row>
    <row r="231" spans="1:21" ht="15" customHeight="1" x14ac:dyDescent="0.25">
      <c r="A231" s="1">
        <f t="shared" ca="1" si="11"/>
        <v>7160</v>
      </c>
      <c r="B231" s="29">
        <v>860</v>
      </c>
      <c r="C231" s="29">
        <v>30024</v>
      </c>
      <c r="D231" s="29">
        <v>272</v>
      </c>
      <c r="E231" s="29">
        <v>29752</v>
      </c>
      <c r="F231" s="29">
        <v>2983</v>
      </c>
      <c r="G231" s="39"/>
      <c r="H231" s="40"/>
      <c r="I231" s="52"/>
      <c r="J231" s="53"/>
      <c r="K231" s="17"/>
      <c r="L231" s="39">
        <v>873</v>
      </c>
      <c r="M231" s="43"/>
      <c r="N231" s="45" t="s">
        <v>106</v>
      </c>
      <c r="O231" s="55">
        <v>8</v>
      </c>
      <c r="P231" s="56"/>
      <c r="Q231" s="74"/>
      <c r="R231" s="70">
        <v>0</v>
      </c>
      <c r="S231" s="19"/>
      <c r="T231" s="60"/>
      <c r="U231" s="59" t="s">
        <v>108</v>
      </c>
    </row>
    <row r="232" spans="1:21" ht="15" customHeight="1" x14ac:dyDescent="0.25">
      <c r="A232" s="1">
        <f t="shared" ca="1" si="11"/>
        <v>7161</v>
      </c>
      <c r="B232" s="29">
        <v>860</v>
      </c>
      <c r="C232" s="29">
        <v>30054</v>
      </c>
      <c r="D232" s="29">
        <v>272</v>
      </c>
      <c r="E232" s="29">
        <v>29782</v>
      </c>
      <c r="F232" s="29">
        <v>2986</v>
      </c>
      <c r="G232" s="39"/>
      <c r="H232" s="40"/>
      <c r="I232" s="52"/>
      <c r="J232" s="53"/>
      <c r="K232" s="17"/>
      <c r="L232" s="39">
        <v>876</v>
      </c>
      <c r="M232" s="43"/>
      <c r="N232" s="45" t="s">
        <v>108</v>
      </c>
      <c r="O232" s="55">
        <v>10</v>
      </c>
      <c r="P232" s="56"/>
      <c r="Q232" s="74"/>
      <c r="R232" s="70">
        <v>9</v>
      </c>
      <c r="S232" s="19"/>
      <c r="T232" s="60"/>
      <c r="U232" s="59" t="s">
        <v>108</v>
      </c>
    </row>
    <row r="233" spans="1:21" ht="15" customHeight="1" x14ac:dyDescent="0.25">
      <c r="A233" s="1">
        <f t="shared" ca="1" si="11"/>
        <v>7162</v>
      </c>
      <c r="B233" s="29">
        <v>865</v>
      </c>
      <c r="C233" s="29">
        <v>30049</v>
      </c>
      <c r="D233" s="29">
        <v>274</v>
      </c>
      <c r="E233" s="29">
        <v>29775</v>
      </c>
      <c r="F233" s="29">
        <v>2986</v>
      </c>
      <c r="G233" s="39"/>
      <c r="H233" s="40"/>
      <c r="I233" s="52"/>
      <c r="J233" s="53"/>
      <c r="K233" s="17"/>
      <c r="L233" s="39">
        <v>851</v>
      </c>
      <c r="M233" s="43"/>
      <c r="N233" s="45" t="s">
        <v>106</v>
      </c>
      <c r="O233" s="55">
        <v>12</v>
      </c>
      <c r="P233" s="56"/>
      <c r="Q233" s="74"/>
      <c r="R233" s="70">
        <v>0</v>
      </c>
      <c r="S233" s="19"/>
      <c r="T233" s="60"/>
      <c r="U233" s="59" t="s">
        <v>106</v>
      </c>
    </row>
    <row r="234" spans="1:21" ht="15" customHeight="1" x14ac:dyDescent="0.25">
      <c r="A234" s="1">
        <f t="shared" ca="1" si="11"/>
        <v>7163</v>
      </c>
      <c r="B234" s="29">
        <v>865</v>
      </c>
      <c r="C234" s="29">
        <v>30066</v>
      </c>
      <c r="D234" s="29">
        <v>274</v>
      </c>
      <c r="E234" s="29">
        <v>29792</v>
      </c>
      <c r="F234" s="29">
        <v>2987</v>
      </c>
      <c r="G234" s="39"/>
      <c r="H234" s="40"/>
      <c r="I234" s="52"/>
      <c r="J234" s="53"/>
      <c r="K234" s="17"/>
      <c r="L234" s="39">
        <v>875</v>
      </c>
      <c r="M234" s="43"/>
      <c r="N234" s="45" t="s">
        <v>108</v>
      </c>
      <c r="O234" s="55">
        <v>12</v>
      </c>
      <c r="P234" s="56"/>
      <c r="Q234" s="74"/>
      <c r="R234" s="70">
        <v>4</v>
      </c>
      <c r="S234" s="19"/>
      <c r="T234" s="60"/>
      <c r="U234" s="59" t="s">
        <v>108</v>
      </c>
    </row>
    <row r="235" spans="1:21" ht="15" customHeight="1" x14ac:dyDescent="0.25">
      <c r="A235" s="1">
        <f t="shared" ca="1" si="11"/>
        <v>7164</v>
      </c>
      <c r="B235" s="29">
        <v>860</v>
      </c>
      <c r="C235" s="29">
        <v>30030</v>
      </c>
      <c r="D235" s="29">
        <v>272</v>
      </c>
      <c r="E235" s="29">
        <v>29758</v>
      </c>
      <c r="F235" s="29">
        <v>2984</v>
      </c>
      <c r="G235" s="39"/>
      <c r="H235" s="40"/>
      <c r="I235" s="52"/>
      <c r="J235" s="53"/>
      <c r="K235" s="17"/>
      <c r="L235" s="39">
        <v>886</v>
      </c>
      <c r="M235" s="43"/>
      <c r="N235" s="45" t="s">
        <v>108</v>
      </c>
      <c r="O235" s="55">
        <v>14</v>
      </c>
      <c r="P235" s="56"/>
      <c r="Q235" s="74"/>
      <c r="R235" s="70">
        <v>0</v>
      </c>
      <c r="S235" s="19"/>
      <c r="T235" s="60"/>
      <c r="U235" s="59" t="s">
        <v>108</v>
      </c>
    </row>
    <row r="236" spans="1:21" ht="15" customHeight="1" x14ac:dyDescent="0.25">
      <c r="A236" s="1">
        <f t="shared" ca="1" si="11"/>
        <v>7165</v>
      </c>
      <c r="B236" s="29">
        <v>855</v>
      </c>
      <c r="C236" s="29">
        <v>30027</v>
      </c>
      <c r="D236" s="29">
        <v>271</v>
      </c>
      <c r="E236" s="29">
        <v>29756</v>
      </c>
      <c r="F236" s="29">
        <v>2984</v>
      </c>
      <c r="G236" s="39"/>
      <c r="H236" s="40"/>
      <c r="I236" s="52"/>
      <c r="J236" s="53"/>
      <c r="K236" s="17"/>
      <c r="L236" s="39">
        <v>874</v>
      </c>
      <c r="M236" s="43"/>
      <c r="N236" s="45" t="s">
        <v>108</v>
      </c>
      <c r="O236" s="55">
        <v>10</v>
      </c>
      <c r="P236" s="56"/>
      <c r="Q236" s="74"/>
      <c r="R236" s="70">
        <v>9</v>
      </c>
      <c r="S236" s="19"/>
      <c r="T236" s="60"/>
      <c r="U236" s="59" t="s">
        <v>108</v>
      </c>
    </row>
    <row r="237" spans="1:21" ht="15" customHeight="1" x14ac:dyDescent="0.25">
      <c r="A237" s="1">
        <f t="shared" ca="1" si="11"/>
        <v>7166</v>
      </c>
      <c r="B237" s="29">
        <v>860</v>
      </c>
      <c r="C237" s="29">
        <v>30074</v>
      </c>
      <c r="D237" s="29">
        <v>272</v>
      </c>
      <c r="E237" s="29">
        <v>29802</v>
      </c>
      <c r="F237" s="29">
        <v>2988</v>
      </c>
      <c r="G237" s="39"/>
      <c r="H237" s="40"/>
      <c r="I237" s="52"/>
      <c r="J237" s="53"/>
      <c r="K237" s="17"/>
      <c r="L237" s="39">
        <v>881</v>
      </c>
      <c r="M237" s="43"/>
      <c r="N237" s="45" t="s">
        <v>108</v>
      </c>
      <c r="O237" s="55">
        <v>12</v>
      </c>
      <c r="P237" s="56"/>
      <c r="Q237" s="74"/>
      <c r="R237" s="70">
        <v>0</v>
      </c>
      <c r="S237" s="19"/>
      <c r="T237" s="60"/>
      <c r="U237" s="59" t="s">
        <v>108</v>
      </c>
    </row>
    <row r="238" spans="1:21" ht="15" customHeight="1" x14ac:dyDescent="0.25">
      <c r="A238" s="1">
        <f t="shared" ca="1" si="11"/>
        <v>7167</v>
      </c>
      <c r="B238" s="29">
        <v>870</v>
      </c>
      <c r="C238" s="29">
        <v>30088</v>
      </c>
      <c r="D238" s="29">
        <v>275</v>
      </c>
      <c r="E238" s="29">
        <v>29813</v>
      </c>
      <c r="F238" s="29">
        <v>2989</v>
      </c>
      <c r="G238" s="39"/>
      <c r="H238" s="40"/>
      <c r="I238" s="52"/>
      <c r="J238" s="53"/>
      <c r="K238" s="17"/>
      <c r="L238" s="39">
        <v>893</v>
      </c>
      <c r="M238" s="43"/>
      <c r="N238" s="45" t="s">
        <v>108</v>
      </c>
      <c r="O238" s="55">
        <v>10</v>
      </c>
      <c r="P238" s="56"/>
      <c r="Q238" s="74"/>
      <c r="R238" s="70">
        <v>0</v>
      </c>
      <c r="S238" s="19"/>
      <c r="T238" s="60"/>
      <c r="U238" s="59" t="s">
        <v>108</v>
      </c>
    </row>
    <row r="239" spans="1:21" ht="15" customHeight="1" x14ac:dyDescent="0.25">
      <c r="A239" s="1">
        <f t="shared" ca="1" si="11"/>
        <v>7168</v>
      </c>
      <c r="B239" s="29">
        <v>870</v>
      </c>
      <c r="C239" s="29">
        <v>30098</v>
      </c>
      <c r="D239" s="29">
        <v>275</v>
      </c>
      <c r="E239" s="29">
        <v>29823</v>
      </c>
      <c r="F239" s="29">
        <v>2990</v>
      </c>
      <c r="G239" s="39"/>
      <c r="H239" s="40"/>
      <c r="I239" s="52"/>
      <c r="J239" s="53"/>
      <c r="K239" s="17"/>
      <c r="L239" s="39">
        <v>891</v>
      </c>
      <c r="M239" s="43"/>
      <c r="N239" s="45" t="s">
        <v>108</v>
      </c>
      <c r="O239" s="55">
        <v>12</v>
      </c>
      <c r="P239" s="56"/>
      <c r="Q239" s="74"/>
      <c r="R239" s="70">
        <v>2</v>
      </c>
      <c r="S239" s="19"/>
      <c r="T239" s="60"/>
      <c r="U239" s="59" t="s">
        <v>108</v>
      </c>
    </row>
    <row r="240" spans="1:21" ht="15" customHeight="1" x14ac:dyDescent="0.25">
      <c r="A240" s="1">
        <f t="shared" ca="1" si="11"/>
        <v>7169</v>
      </c>
      <c r="B240" s="29">
        <v>850</v>
      </c>
      <c r="C240" s="29">
        <v>30076</v>
      </c>
      <c r="D240" s="29">
        <v>270</v>
      </c>
      <c r="E240" s="29">
        <v>29806</v>
      </c>
      <c r="F240" s="29">
        <v>2989</v>
      </c>
      <c r="G240" s="39"/>
      <c r="H240" s="40"/>
      <c r="I240" s="52"/>
      <c r="J240" s="53"/>
      <c r="K240" s="17"/>
      <c r="L240" s="39">
        <v>863</v>
      </c>
      <c r="M240" s="43"/>
      <c r="N240" s="45" t="s">
        <v>108</v>
      </c>
      <c r="O240" s="55">
        <v>8</v>
      </c>
      <c r="P240" s="56"/>
      <c r="Q240" s="74"/>
      <c r="R240" s="70">
        <v>8</v>
      </c>
      <c r="S240" s="19"/>
      <c r="T240" s="60"/>
      <c r="U240" s="59" t="s">
        <v>108</v>
      </c>
    </row>
    <row r="241" spans="1:21" ht="15" customHeight="1" x14ac:dyDescent="0.25">
      <c r="A241" s="1">
        <f t="shared" ca="1" si="11"/>
        <v>7170</v>
      </c>
      <c r="B241" s="29">
        <v>865</v>
      </c>
      <c r="C241" s="29">
        <v>30110</v>
      </c>
      <c r="D241" s="29">
        <v>274</v>
      </c>
      <c r="E241" s="29">
        <v>29836</v>
      </c>
      <c r="F241" s="29">
        <v>2992</v>
      </c>
      <c r="G241" s="39"/>
      <c r="H241" s="40"/>
      <c r="I241" s="52"/>
      <c r="J241" s="53"/>
      <c r="K241" s="17"/>
      <c r="L241" s="39">
        <v>883</v>
      </c>
      <c r="M241" s="43"/>
      <c r="N241" s="45" t="s">
        <v>108</v>
      </c>
      <c r="O241" s="55">
        <v>12</v>
      </c>
      <c r="P241" s="56"/>
      <c r="Q241" s="74"/>
      <c r="R241" s="70">
        <v>0</v>
      </c>
      <c r="S241" s="19"/>
      <c r="T241" s="60"/>
      <c r="U241" s="59" t="s">
        <v>108</v>
      </c>
    </row>
    <row r="242" spans="1:21" ht="15" customHeight="1" x14ac:dyDescent="0.25">
      <c r="A242" s="1">
        <f t="shared" ca="1" si="11"/>
        <v>7171</v>
      </c>
      <c r="B242" s="29">
        <v>860</v>
      </c>
      <c r="C242" s="29">
        <v>30146</v>
      </c>
      <c r="D242" s="29">
        <v>272</v>
      </c>
      <c r="E242" s="29">
        <v>29874</v>
      </c>
      <c r="F242" s="29">
        <v>2995</v>
      </c>
      <c r="G242" s="39"/>
      <c r="H242" s="40"/>
      <c r="I242" s="52"/>
      <c r="J242" s="53"/>
      <c r="K242" s="17"/>
      <c r="L242" s="39">
        <v>874</v>
      </c>
      <c r="M242" s="43"/>
      <c r="N242" s="45" t="s">
        <v>108</v>
      </c>
      <c r="O242" s="55">
        <v>12</v>
      </c>
      <c r="P242" s="56"/>
      <c r="Q242" s="74"/>
      <c r="R242" s="70">
        <v>0</v>
      </c>
      <c r="S242" s="19"/>
      <c r="T242" s="60"/>
      <c r="U242" s="59" t="s">
        <v>108</v>
      </c>
    </row>
    <row r="243" spans="1:21" ht="15" customHeight="1" x14ac:dyDescent="0.25">
      <c r="A243" s="1">
        <f t="shared" ca="1" si="11"/>
        <v>7172</v>
      </c>
      <c r="B243" s="29">
        <v>865</v>
      </c>
      <c r="C243" s="29">
        <v>30125</v>
      </c>
      <c r="D243" s="29">
        <v>274</v>
      </c>
      <c r="E243" s="29">
        <v>29851</v>
      </c>
      <c r="F243" s="29">
        <v>2993</v>
      </c>
      <c r="G243" s="39"/>
      <c r="H243" s="40"/>
      <c r="I243" s="52"/>
      <c r="J243" s="53"/>
      <c r="K243" s="17"/>
      <c r="L243" s="39">
        <v>880</v>
      </c>
      <c r="M243" s="43"/>
      <c r="N243" s="45" t="s">
        <v>108</v>
      </c>
      <c r="O243" s="55">
        <v>12</v>
      </c>
      <c r="P243" s="56"/>
      <c r="Q243" s="74"/>
      <c r="R243" s="70">
        <v>0</v>
      </c>
      <c r="S243" s="19"/>
      <c r="T243" s="60"/>
      <c r="U243" s="59" t="s">
        <v>108</v>
      </c>
    </row>
    <row r="244" spans="1:21" ht="15" customHeight="1" x14ac:dyDescent="0.25">
      <c r="A244" s="1">
        <f t="shared" ca="1" si="11"/>
        <v>7173</v>
      </c>
      <c r="B244" s="29">
        <v>855</v>
      </c>
      <c r="C244" s="29">
        <v>30080</v>
      </c>
      <c r="D244" s="29">
        <v>271</v>
      </c>
      <c r="E244" s="29">
        <v>29809</v>
      </c>
      <c r="F244" s="29">
        <v>2989</v>
      </c>
      <c r="G244" s="39"/>
      <c r="H244" s="40"/>
      <c r="I244" s="52"/>
      <c r="J244" s="53"/>
      <c r="K244" s="17"/>
      <c r="L244" s="39">
        <v>874</v>
      </c>
      <c r="M244" s="43"/>
      <c r="N244" s="45" t="s">
        <v>106</v>
      </c>
      <c r="O244" s="55">
        <v>10</v>
      </c>
      <c r="P244" s="56"/>
      <c r="Q244" s="74"/>
      <c r="R244" s="70">
        <v>32</v>
      </c>
      <c r="S244" s="19"/>
      <c r="T244" s="60"/>
      <c r="U244" s="59" t="s">
        <v>108</v>
      </c>
    </row>
    <row r="245" spans="1:21" ht="15" customHeight="1" x14ac:dyDescent="0.25">
      <c r="A245" s="1">
        <f t="shared" ca="1" si="11"/>
        <v>7174</v>
      </c>
      <c r="B245" s="29">
        <v>870</v>
      </c>
      <c r="C245" s="29">
        <v>30058</v>
      </c>
      <c r="D245" s="29">
        <v>275</v>
      </c>
      <c r="E245" s="29">
        <v>29783</v>
      </c>
      <c r="F245" s="29">
        <v>2986</v>
      </c>
      <c r="G245" s="39"/>
      <c r="H245" s="40"/>
      <c r="I245" s="52"/>
      <c r="J245" s="53"/>
      <c r="K245" s="17"/>
      <c r="L245" s="39">
        <v>880</v>
      </c>
      <c r="M245" s="43"/>
      <c r="N245" s="45" t="s">
        <v>108</v>
      </c>
      <c r="O245" s="55">
        <v>8</v>
      </c>
      <c r="P245" s="56"/>
      <c r="Q245" s="74"/>
      <c r="R245" s="70">
        <v>0</v>
      </c>
      <c r="S245" s="19"/>
      <c r="T245" s="60"/>
      <c r="U245" s="59" t="s">
        <v>108</v>
      </c>
    </row>
    <row r="246" spans="1:21" ht="15" customHeight="1" x14ac:dyDescent="0.25">
      <c r="A246" s="1">
        <f t="shared" ca="1" si="11"/>
        <v>7175</v>
      </c>
      <c r="B246" s="29">
        <v>865</v>
      </c>
      <c r="C246" s="29">
        <v>30058</v>
      </c>
      <c r="D246" s="29">
        <v>274</v>
      </c>
      <c r="E246" s="29">
        <v>29784</v>
      </c>
      <c r="F246" s="29">
        <v>2986</v>
      </c>
      <c r="G246" s="39"/>
      <c r="H246" s="40"/>
      <c r="I246" s="52"/>
      <c r="J246" s="53"/>
      <c r="K246" s="17"/>
      <c r="L246" s="39">
        <v>881</v>
      </c>
      <c r="M246" s="43"/>
      <c r="N246" s="45" t="s">
        <v>108</v>
      </c>
      <c r="O246" s="55">
        <v>10</v>
      </c>
      <c r="P246" s="56"/>
      <c r="Q246" s="74"/>
      <c r="R246" s="70">
        <v>3</v>
      </c>
      <c r="S246" s="19"/>
      <c r="T246" s="60"/>
      <c r="U246" s="59" t="s">
        <v>108</v>
      </c>
    </row>
    <row r="247" spans="1:21" ht="15" customHeight="1" x14ac:dyDescent="0.25">
      <c r="A247" s="1">
        <f t="shared" ca="1" si="11"/>
        <v>7176</v>
      </c>
      <c r="B247" s="29">
        <v>840</v>
      </c>
      <c r="C247" s="29">
        <v>30049</v>
      </c>
      <c r="D247" s="29">
        <v>267</v>
      </c>
      <c r="E247" s="29">
        <v>29782</v>
      </c>
      <c r="F247" s="29">
        <v>2986</v>
      </c>
      <c r="G247" s="39"/>
      <c r="H247" s="40"/>
      <c r="I247" s="52"/>
      <c r="J247" s="53"/>
      <c r="K247" s="17"/>
      <c r="L247" s="39">
        <v>870</v>
      </c>
      <c r="M247" s="43"/>
      <c r="N247" s="45" t="s">
        <v>108</v>
      </c>
      <c r="O247" s="55">
        <v>12</v>
      </c>
      <c r="P247" s="56"/>
      <c r="Q247" s="74"/>
      <c r="R247" s="70">
        <v>16</v>
      </c>
      <c r="S247" s="19"/>
      <c r="T247" s="60"/>
      <c r="U247" s="59" t="s">
        <v>108</v>
      </c>
    </row>
    <row r="248" spans="1:21" ht="15" customHeight="1" x14ac:dyDescent="0.25">
      <c r="A248" s="1">
        <f t="shared" ca="1" si="11"/>
        <v>7177</v>
      </c>
      <c r="B248" s="29">
        <v>860</v>
      </c>
      <c r="C248" s="29">
        <v>30026</v>
      </c>
      <c r="D248" s="29">
        <v>272</v>
      </c>
      <c r="E248" s="29">
        <v>29754</v>
      </c>
      <c r="F248" s="29">
        <v>2983</v>
      </c>
      <c r="G248" s="39"/>
      <c r="H248" s="40"/>
      <c r="I248" s="52"/>
      <c r="J248" s="53"/>
      <c r="K248" s="17"/>
      <c r="L248" s="39">
        <v>882</v>
      </c>
      <c r="M248" s="43"/>
      <c r="N248" s="45" t="s">
        <v>106</v>
      </c>
      <c r="O248" s="55">
        <v>12</v>
      </c>
      <c r="P248" s="56"/>
      <c r="Q248" s="74"/>
      <c r="R248" s="70">
        <v>0</v>
      </c>
      <c r="S248" s="19"/>
      <c r="T248" s="60"/>
      <c r="U248" s="59" t="s">
        <v>108</v>
      </c>
    </row>
    <row r="249" spans="1:21" ht="15" customHeight="1" x14ac:dyDescent="0.25">
      <c r="A249" s="1">
        <f t="shared" ca="1" si="11"/>
        <v>7178</v>
      </c>
      <c r="B249" s="29">
        <v>865</v>
      </c>
      <c r="C249" s="29">
        <v>30028</v>
      </c>
      <c r="D249" s="29">
        <v>274</v>
      </c>
      <c r="E249" s="29">
        <v>29754</v>
      </c>
      <c r="F249" s="29">
        <v>2983</v>
      </c>
      <c r="G249" s="39"/>
      <c r="H249" s="40"/>
      <c r="I249" s="52"/>
      <c r="J249" s="53"/>
      <c r="K249" s="17"/>
      <c r="L249" s="39">
        <v>876</v>
      </c>
      <c r="M249" s="43"/>
      <c r="N249" s="45" t="s">
        <v>108</v>
      </c>
      <c r="O249" s="55">
        <v>10</v>
      </c>
      <c r="P249" s="56"/>
      <c r="Q249" s="74"/>
      <c r="R249" s="70">
        <v>2</v>
      </c>
      <c r="S249" s="19"/>
      <c r="T249" s="60"/>
      <c r="U249" s="59" t="s">
        <v>108</v>
      </c>
    </row>
    <row r="250" spans="1:21" ht="15" customHeight="1" x14ac:dyDescent="0.25">
      <c r="A250" s="1">
        <f t="shared" ca="1" si="11"/>
        <v>7179</v>
      </c>
      <c r="B250" s="29">
        <v>870</v>
      </c>
      <c r="C250" s="29">
        <v>30007</v>
      </c>
      <c r="D250" s="29">
        <v>275</v>
      </c>
      <c r="E250" s="29">
        <v>29732</v>
      </c>
      <c r="F250" s="29">
        <v>2981</v>
      </c>
      <c r="G250" s="39"/>
      <c r="H250" s="40"/>
      <c r="I250" s="52"/>
      <c r="J250" s="53"/>
      <c r="K250" s="17"/>
      <c r="L250" s="39">
        <v>877</v>
      </c>
      <c r="M250" s="43"/>
      <c r="N250" s="45" t="s">
        <v>108</v>
      </c>
      <c r="O250" s="55">
        <v>10</v>
      </c>
      <c r="P250" s="56"/>
      <c r="Q250" s="74"/>
      <c r="R250" s="70">
        <v>0</v>
      </c>
      <c r="S250" s="19"/>
      <c r="T250" s="60"/>
      <c r="U250" s="59" t="s">
        <v>108</v>
      </c>
    </row>
    <row r="251" spans="1:21" ht="15" customHeight="1" x14ac:dyDescent="0.25">
      <c r="A251" s="1">
        <f t="shared" ca="1" si="11"/>
        <v>7180</v>
      </c>
      <c r="B251" s="29">
        <v>870</v>
      </c>
      <c r="C251" s="29">
        <v>29986</v>
      </c>
      <c r="D251" s="29">
        <v>273</v>
      </c>
      <c r="E251" s="29">
        <v>29713</v>
      </c>
      <c r="F251" s="29">
        <v>2979</v>
      </c>
      <c r="G251" s="39"/>
      <c r="H251" s="40"/>
      <c r="I251" s="52"/>
      <c r="J251" s="53"/>
      <c r="K251" s="17"/>
      <c r="L251" s="39">
        <v>896</v>
      </c>
      <c r="M251" s="43"/>
      <c r="N251" s="45" t="s">
        <v>108</v>
      </c>
      <c r="O251" s="55">
        <v>12</v>
      </c>
      <c r="P251" s="56"/>
      <c r="Q251" s="74"/>
      <c r="R251" s="70">
        <v>0</v>
      </c>
      <c r="S251" s="19"/>
      <c r="T251" s="60"/>
      <c r="U251" s="59" t="s">
        <v>108</v>
      </c>
    </row>
    <row r="252" spans="1:21" ht="15" customHeight="1" x14ac:dyDescent="0.25">
      <c r="A252" s="1">
        <f t="shared" ca="1" si="11"/>
        <v>7181</v>
      </c>
      <c r="B252" s="29">
        <v>865</v>
      </c>
      <c r="C252" s="29">
        <v>30026</v>
      </c>
      <c r="D252" s="29">
        <v>274</v>
      </c>
      <c r="E252" s="29">
        <v>29752</v>
      </c>
      <c r="F252" s="29">
        <v>2983</v>
      </c>
      <c r="G252" s="39"/>
      <c r="H252" s="40"/>
      <c r="I252" s="52"/>
      <c r="J252" s="53"/>
      <c r="K252" s="17"/>
      <c r="L252" s="39">
        <v>882</v>
      </c>
      <c r="M252" s="43"/>
      <c r="N252" s="45" t="s">
        <v>108</v>
      </c>
      <c r="O252" s="55">
        <v>12</v>
      </c>
      <c r="P252" s="56"/>
      <c r="Q252" s="74"/>
      <c r="R252" s="70">
        <v>3</v>
      </c>
      <c r="S252" s="19"/>
      <c r="T252" s="60"/>
      <c r="U252" s="59" t="s">
        <v>108</v>
      </c>
    </row>
    <row r="253" spans="1:21" ht="15" customHeight="1" x14ac:dyDescent="0.25">
      <c r="A253" s="1">
        <f t="shared" ca="1" si="11"/>
        <v>7182</v>
      </c>
      <c r="B253" s="29">
        <v>850</v>
      </c>
      <c r="C253" s="29">
        <v>30002</v>
      </c>
      <c r="D253" s="29">
        <v>270</v>
      </c>
      <c r="E253" s="29">
        <v>29752</v>
      </c>
      <c r="F253" s="29">
        <v>2981</v>
      </c>
      <c r="G253" s="39"/>
      <c r="H253" s="40"/>
      <c r="I253" s="52"/>
      <c r="J253" s="53"/>
      <c r="K253" s="17"/>
      <c r="L253" s="39">
        <v>876</v>
      </c>
      <c r="M253" s="43"/>
      <c r="N253" s="45" t="s">
        <v>108</v>
      </c>
      <c r="O253" s="55">
        <v>10</v>
      </c>
      <c r="P253" s="56"/>
      <c r="Q253" s="74"/>
      <c r="R253" s="70">
        <v>0</v>
      </c>
      <c r="S253" s="19"/>
      <c r="T253" s="60"/>
      <c r="U253" s="59" t="s">
        <v>108</v>
      </c>
    </row>
    <row r="254" spans="1:21" ht="15" customHeight="1" x14ac:dyDescent="0.25">
      <c r="A254" s="1">
        <f t="shared" ca="1" si="11"/>
        <v>7183</v>
      </c>
      <c r="B254" s="29">
        <v>870</v>
      </c>
      <c r="C254" s="29">
        <v>29980</v>
      </c>
      <c r="D254" s="29">
        <v>272</v>
      </c>
      <c r="E254" s="29">
        <v>29708</v>
      </c>
      <c r="F254" s="29">
        <v>2979</v>
      </c>
      <c r="G254" s="39"/>
      <c r="H254" s="40"/>
      <c r="I254" s="52"/>
      <c r="J254" s="53"/>
      <c r="K254" s="17"/>
      <c r="L254" s="39">
        <v>874</v>
      </c>
      <c r="M254" s="43"/>
      <c r="N254" s="45" t="s">
        <v>108</v>
      </c>
      <c r="O254" s="55">
        <v>10</v>
      </c>
      <c r="P254" s="56"/>
      <c r="Q254" s="74"/>
      <c r="R254" s="70">
        <v>0</v>
      </c>
      <c r="S254" s="19"/>
      <c r="T254" s="60"/>
      <c r="U254" s="59" t="s">
        <v>108</v>
      </c>
    </row>
    <row r="255" spans="1:21" x14ac:dyDescent="0.25">
      <c r="A255" s="1" t="str">
        <f t="shared" ca="1" si="11"/>
        <v>Totaal</v>
      </c>
      <c r="B255" s="61">
        <f>IF(COUNT(B224:B254)&gt;0,AVERAGE(B224:B254)/10,"")</f>
        <v>86.193548387096769</v>
      </c>
      <c r="C255" s="62">
        <f>IF(COUNT(C224:C254)&gt;0,AVERAGE(C224:C254)/1000,"")</f>
        <v>30.049354838709679</v>
      </c>
      <c r="D255" s="62">
        <f t="shared" ref="D255" si="15">IF(COUNT(D224:D254)&gt;0,AVERAGE(D224:D254)/1000,"")</f>
        <v>0.27277419354838706</v>
      </c>
      <c r="E255" s="62">
        <f t="shared" ref="E255" si="16">IF(COUNT(E224:E254)&gt;0,AVERAGE(E224:E254)/1000,"")</f>
        <v>29.777225806451614</v>
      </c>
      <c r="F255" s="62">
        <f>IF(COUNT(F224:F254)&gt;0,AVERAGE(F224:F254)/100,"")</f>
        <v>29.855483870967742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87.819354838709685</v>
      </c>
      <c r="M255" s="44" t="str">
        <f>IF(COUNT(M224:M254)&gt;0,AVERAGE(M224:M254)/10,"")</f>
        <v/>
      </c>
      <c r="N255" s="46"/>
      <c r="O255" s="57">
        <f>IF(COUNT(O224:O254)&gt;0,AVERAGE(O224:O254),"")</f>
        <v>11.258064516129032</v>
      </c>
      <c r="P255" s="58" t="str">
        <f>IF(COUNT(P224:P254)&gt;0,AVERAGE(P224:P254),"")</f>
        <v/>
      </c>
      <c r="Q255" s="47"/>
      <c r="R255" s="68">
        <f>IF(COUNT(R224:R254)&gt;0,SUM(R224:R254)/100,"")</f>
        <v>0.89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7184</v>
      </c>
      <c r="B256" s="29">
        <v>875</v>
      </c>
      <c r="C256" s="29">
        <v>29980</v>
      </c>
      <c r="D256" s="29">
        <v>274</v>
      </c>
      <c r="E256" s="29">
        <v>29706</v>
      </c>
      <c r="F256" s="29">
        <v>2979</v>
      </c>
      <c r="G256" s="39"/>
      <c r="H256" s="40"/>
      <c r="I256" s="52"/>
      <c r="J256" s="53"/>
      <c r="K256" s="17"/>
      <c r="L256" s="39">
        <v>881</v>
      </c>
      <c r="M256" s="43"/>
      <c r="N256" s="45" t="s">
        <v>108</v>
      </c>
      <c r="O256" s="55">
        <v>12</v>
      </c>
      <c r="P256" s="56"/>
      <c r="Q256" s="74"/>
      <c r="R256" s="70">
        <v>0</v>
      </c>
      <c r="S256" s="19"/>
      <c r="T256" s="60"/>
      <c r="U256" s="59" t="s">
        <v>108</v>
      </c>
    </row>
    <row r="257" spans="1:21" ht="15" customHeight="1" x14ac:dyDescent="0.25">
      <c r="A257" s="1">
        <f t="shared" ca="1" si="11"/>
        <v>7185</v>
      </c>
      <c r="B257" s="29">
        <v>860</v>
      </c>
      <c r="C257" s="29">
        <v>29972</v>
      </c>
      <c r="D257" s="29">
        <v>270</v>
      </c>
      <c r="E257" s="29">
        <v>29702</v>
      </c>
      <c r="F257" s="29">
        <v>2978</v>
      </c>
      <c r="G257" s="39"/>
      <c r="H257" s="40"/>
      <c r="I257" s="52"/>
      <c r="J257" s="53"/>
      <c r="K257" s="17"/>
      <c r="L257" s="39">
        <v>876</v>
      </c>
      <c r="M257" s="43"/>
      <c r="N257" s="45" t="s">
        <v>106</v>
      </c>
      <c r="O257" s="55">
        <v>8</v>
      </c>
      <c r="P257" s="56"/>
      <c r="Q257" s="74"/>
      <c r="R257" s="70">
        <v>0</v>
      </c>
      <c r="S257" s="19"/>
      <c r="T257" s="60"/>
      <c r="U257" s="59" t="s">
        <v>108</v>
      </c>
    </row>
    <row r="258" spans="1:21" ht="15" customHeight="1" x14ac:dyDescent="0.25">
      <c r="A258" s="1">
        <f t="shared" ca="1" si="11"/>
        <v>7186</v>
      </c>
      <c r="B258" s="29">
        <v>865</v>
      </c>
      <c r="C258" s="29">
        <v>29940</v>
      </c>
      <c r="D258" s="29">
        <v>272</v>
      </c>
      <c r="E258" s="29">
        <v>29668</v>
      </c>
      <c r="F258" s="29">
        <v>2975</v>
      </c>
      <c r="G258" s="39"/>
      <c r="H258" s="40"/>
      <c r="I258" s="52"/>
      <c r="J258" s="53"/>
      <c r="K258" s="17"/>
      <c r="L258" s="39">
        <v>882</v>
      </c>
      <c r="M258" s="43"/>
      <c r="N258" s="45" t="s">
        <v>108</v>
      </c>
      <c r="O258" s="55">
        <v>12</v>
      </c>
      <c r="P258" s="56"/>
      <c r="Q258" s="74"/>
      <c r="R258" s="70">
        <v>0</v>
      </c>
      <c r="S258" s="19"/>
      <c r="T258" s="60"/>
      <c r="U258" s="59" t="s">
        <v>108</v>
      </c>
    </row>
    <row r="259" spans="1:21" ht="15" customHeight="1" x14ac:dyDescent="0.25">
      <c r="A259" s="1">
        <f t="shared" ca="1" si="11"/>
        <v>7187</v>
      </c>
      <c r="B259" s="29">
        <v>875</v>
      </c>
      <c r="C259" s="29">
        <v>29930</v>
      </c>
      <c r="D259" s="29">
        <v>274</v>
      </c>
      <c r="E259" s="29">
        <v>29656</v>
      </c>
      <c r="F259" s="29">
        <v>2974</v>
      </c>
      <c r="G259" s="39"/>
      <c r="H259" s="40"/>
      <c r="I259" s="52"/>
      <c r="J259" s="53"/>
      <c r="K259" s="17"/>
      <c r="L259" s="39">
        <v>893</v>
      </c>
      <c r="M259" s="43"/>
      <c r="N259" s="45" t="s">
        <v>108</v>
      </c>
      <c r="O259" s="55">
        <v>12</v>
      </c>
      <c r="P259" s="56"/>
      <c r="Q259" s="74"/>
      <c r="R259" s="70">
        <v>0</v>
      </c>
      <c r="S259" s="19"/>
      <c r="T259" s="60"/>
      <c r="U259" s="59" t="s">
        <v>108</v>
      </c>
    </row>
    <row r="260" spans="1:21" ht="15" customHeight="1" x14ac:dyDescent="0.25">
      <c r="A260" s="1">
        <f t="shared" ca="1" si="11"/>
        <v>7188</v>
      </c>
      <c r="B260" s="29">
        <v>875</v>
      </c>
      <c r="C260" s="29">
        <v>29980</v>
      </c>
      <c r="D260" s="29">
        <v>274</v>
      </c>
      <c r="E260" s="29">
        <v>29706</v>
      </c>
      <c r="F260" s="29">
        <v>2979</v>
      </c>
      <c r="G260" s="39"/>
      <c r="H260" s="40"/>
      <c r="I260" s="52"/>
      <c r="J260" s="53"/>
      <c r="K260" s="17"/>
      <c r="L260" s="39">
        <v>902</v>
      </c>
      <c r="M260" s="43"/>
      <c r="N260" s="45" t="s">
        <v>106</v>
      </c>
      <c r="O260" s="55">
        <v>10</v>
      </c>
      <c r="P260" s="56"/>
      <c r="Q260" s="74"/>
      <c r="R260" s="70">
        <v>0</v>
      </c>
      <c r="S260" s="19"/>
      <c r="T260" s="60"/>
      <c r="U260" s="59" t="s">
        <v>108</v>
      </c>
    </row>
    <row r="261" spans="1:21" ht="15" customHeight="1" x14ac:dyDescent="0.25">
      <c r="A261" s="1">
        <f t="shared" ca="1" si="11"/>
        <v>7189</v>
      </c>
      <c r="B261" s="29">
        <v>875</v>
      </c>
      <c r="C261" s="29">
        <v>29962</v>
      </c>
      <c r="D261" s="29">
        <v>274</v>
      </c>
      <c r="E261" s="29">
        <v>29688</v>
      </c>
      <c r="F261" s="29">
        <v>2977</v>
      </c>
      <c r="G261" s="39"/>
      <c r="H261" s="40"/>
      <c r="I261" s="52"/>
      <c r="J261" s="53"/>
      <c r="K261" s="17"/>
      <c r="L261" s="39">
        <v>884</v>
      </c>
      <c r="M261" s="43"/>
      <c r="N261" s="45" t="s">
        <v>106</v>
      </c>
      <c r="O261" s="55">
        <v>10</v>
      </c>
      <c r="P261" s="56"/>
      <c r="Q261" s="74"/>
      <c r="R261" s="70">
        <v>0</v>
      </c>
      <c r="S261" s="19"/>
      <c r="T261" s="60"/>
      <c r="U261" s="59" t="s">
        <v>108</v>
      </c>
    </row>
    <row r="262" spans="1:21" ht="15" customHeight="1" x14ac:dyDescent="0.25">
      <c r="A262" s="1">
        <f t="shared" ca="1" si="11"/>
        <v>7190</v>
      </c>
      <c r="B262" s="29">
        <v>875</v>
      </c>
      <c r="C262" s="29">
        <v>29927</v>
      </c>
      <c r="D262" s="29">
        <v>274</v>
      </c>
      <c r="E262" s="29">
        <v>29653</v>
      </c>
      <c r="F262" s="29">
        <v>2973</v>
      </c>
      <c r="G262" s="39"/>
      <c r="H262" s="40"/>
      <c r="I262" s="52"/>
      <c r="J262" s="53"/>
      <c r="K262" s="17"/>
      <c r="L262" s="39">
        <v>901</v>
      </c>
      <c r="M262" s="43"/>
      <c r="N262" s="45" t="s">
        <v>110</v>
      </c>
      <c r="O262" s="55">
        <v>12</v>
      </c>
      <c r="P262" s="56"/>
      <c r="Q262" s="74"/>
      <c r="R262" s="70">
        <v>0</v>
      </c>
      <c r="S262" s="19"/>
      <c r="T262" s="60"/>
      <c r="U262" s="59" t="s">
        <v>108</v>
      </c>
    </row>
    <row r="263" spans="1:21" ht="15" customHeight="1" x14ac:dyDescent="0.25">
      <c r="A263" s="1">
        <f t="shared" ref="A263:A326" ca="1" si="18">IF(ISTEXT(A262),A261+1,IF(MONTH(A262+1)=MONTH(A262),A262+1,"Totaal"))</f>
        <v>7191</v>
      </c>
      <c r="B263" s="29">
        <v>870</v>
      </c>
      <c r="C263" s="29">
        <v>29918</v>
      </c>
      <c r="D263" s="29">
        <v>272</v>
      </c>
      <c r="E263" s="29">
        <v>29646</v>
      </c>
      <c r="F263" s="29">
        <v>2973</v>
      </c>
      <c r="G263" s="39"/>
      <c r="H263" s="40"/>
      <c r="I263" s="52"/>
      <c r="J263" s="53"/>
      <c r="K263" s="17"/>
      <c r="L263" s="39">
        <v>890</v>
      </c>
      <c r="M263" s="43"/>
      <c r="N263" s="45" t="s">
        <v>108</v>
      </c>
      <c r="O263" s="55">
        <v>10</v>
      </c>
      <c r="P263" s="56"/>
      <c r="Q263" s="74"/>
      <c r="R263" s="70">
        <v>0</v>
      </c>
      <c r="S263" s="19"/>
      <c r="T263" s="60"/>
      <c r="U263" s="59" t="s">
        <v>108</v>
      </c>
    </row>
    <row r="264" spans="1:21" ht="15" customHeight="1" x14ac:dyDescent="0.25">
      <c r="A264" s="1">
        <f t="shared" ca="1" si="18"/>
        <v>7192</v>
      </c>
      <c r="B264" s="29">
        <v>880</v>
      </c>
      <c r="C264" s="29">
        <v>29908</v>
      </c>
      <c r="D264" s="29">
        <v>275</v>
      </c>
      <c r="E264" s="29">
        <v>29633</v>
      </c>
      <c r="F264" s="29">
        <v>2971</v>
      </c>
      <c r="G264" s="39"/>
      <c r="H264" s="40"/>
      <c r="I264" s="52"/>
      <c r="J264" s="53"/>
      <c r="K264" s="17"/>
      <c r="L264" s="39">
        <v>891</v>
      </c>
      <c r="M264" s="43"/>
      <c r="N264" s="45" t="s">
        <v>108</v>
      </c>
      <c r="O264" s="55">
        <v>12</v>
      </c>
      <c r="P264" s="56"/>
      <c r="Q264" s="74"/>
      <c r="R264" s="70">
        <v>0</v>
      </c>
      <c r="S264" s="19"/>
      <c r="T264" s="60"/>
      <c r="U264" s="59" t="s">
        <v>108</v>
      </c>
    </row>
    <row r="265" spans="1:21" ht="15" customHeight="1" x14ac:dyDescent="0.25">
      <c r="A265" s="1">
        <f t="shared" ca="1" si="18"/>
        <v>7193</v>
      </c>
      <c r="B265" s="29">
        <v>880</v>
      </c>
      <c r="C265" s="29">
        <v>29949</v>
      </c>
      <c r="D265" s="29">
        <v>275</v>
      </c>
      <c r="E265" s="29">
        <v>29674</v>
      </c>
      <c r="F265" s="29">
        <v>2975</v>
      </c>
      <c r="G265" s="39"/>
      <c r="H265" s="40"/>
      <c r="I265" s="52"/>
      <c r="J265" s="53"/>
      <c r="K265" s="17"/>
      <c r="L265" s="39">
        <v>886</v>
      </c>
      <c r="M265" s="43"/>
      <c r="N265" s="45" t="s">
        <v>108</v>
      </c>
      <c r="O265" s="55">
        <v>8</v>
      </c>
      <c r="P265" s="56"/>
      <c r="Q265" s="74"/>
      <c r="R265" s="70">
        <v>0</v>
      </c>
      <c r="S265" s="19"/>
      <c r="T265" s="60"/>
      <c r="U265" s="59" t="s">
        <v>108</v>
      </c>
    </row>
    <row r="266" spans="1:21" ht="15" customHeight="1" x14ac:dyDescent="0.25">
      <c r="A266" s="1">
        <f t="shared" ca="1" si="18"/>
        <v>7194</v>
      </c>
      <c r="B266" s="29">
        <v>880</v>
      </c>
      <c r="C266" s="29">
        <v>29978</v>
      </c>
      <c r="D266" s="29">
        <v>275</v>
      </c>
      <c r="E266" s="29">
        <v>29703</v>
      </c>
      <c r="F266" s="29">
        <v>2978</v>
      </c>
      <c r="G266" s="39"/>
      <c r="H266" s="40"/>
      <c r="I266" s="52"/>
      <c r="J266" s="53"/>
      <c r="K266" s="17"/>
      <c r="L266" s="39">
        <v>890</v>
      </c>
      <c r="M266" s="43"/>
      <c r="N266" s="45" t="s">
        <v>108</v>
      </c>
      <c r="O266" s="55">
        <v>9</v>
      </c>
      <c r="P266" s="56"/>
      <c r="Q266" s="74"/>
      <c r="R266" s="70">
        <v>0</v>
      </c>
      <c r="S266" s="19"/>
      <c r="T266" s="60"/>
      <c r="U266" s="59" t="s">
        <v>108</v>
      </c>
    </row>
    <row r="267" spans="1:21" ht="15" customHeight="1" x14ac:dyDescent="0.25">
      <c r="A267" s="1">
        <f t="shared" ca="1" si="18"/>
        <v>7195</v>
      </c>
      <c r="B267" s="29">
        <v>875</v>
      </c>
      <c r="C267" s="29">
        <v>29936</v>
      </c>
      <c r="D267" s="29">
        <v>274</v>
      </c>
      <c r="E267" s="29">
        <v>29602</v>
      </c>
      <c r="F267" s="29">
        <v>2974</v>
      </c>
      <c r="G267" s="39"/>
      <c r="H267" s="40"/>
      <c r="I267" s="52"/>
      <c r="J267" s="53"/>
      <c r="K267" s="17"/>
      <c r="L267" s="39">
        <v>890</v>
      </c>
      <c r="M267" s="43"/>
      <c r="N267" s="45" t="s">
        <v>108</v>
      </c>
      <c r="O267" s="55">
        <v>10</v>
      </c>
      <c r="P267" s="56"/>
      <c r="Q267" s="74"/>
      <c r="R267" s="70">
        <v>0</v>
      </c>
      <c r="S267" s="19"/>
      <c r="T267" s="60"/>
      <c r="U267" s="59" t="s">
        <v>108</v>
      </c>
    </row>
    <row r="268" spans="1:21" ht="15" customHeight="1" x14ac:dyDescent="0.25">
      <c r="A268" s="1">
        <f t="shared" ca="1" si="18"/>
        <v>7196</v>
      </c>
      <c r="B268" s="29">
        <v>875</v>
      </c>
      <c r="C268" s="29">
        <v>29946</v>
      </c>
      <c r="D268" s="29">
        <v>274</v>
      </c>
      <c r="E268" s="29">
        <v>29672</v>
      </c>
      <c r="F268" s="29">
        <v>2975</v>
      </c>
      <c r="G268" s="39"/>
      <c r="H268" s="40"/>
      <c r="I268" s="52"/>
      <c r="J268" s="53"/>
      <c r="K268" s="17"/>
      <c r="L268" s="39">
        <v>876</v>
      </c>
      <c r="M268" s="43"/>
      <c r="N268" s="45" t="s">
        <v>106</v>
      </c>
      <c r="O268" s="55">
        <v>8</v>
      </c>
      <c r="P268" s="56"/>
      <c r="Q268" s="74"/>
      <c r="R268" s="70">
        <v>0</v>
      </c>
      <c r="S268" s="19"/>
      <c r="T268" s="60"/>
      <c r="U268" s="59" t="s">
        <v>108</v>
      </c>
    </row>
    <row r="269" spans="1:21" ht="15" customHeight="1" x14ac:dyDescent="0.25">
      <c r="A269" s="1">
        <f t="shared" ca="1" si="18"/>
        <v>7197</v>
      </c>
      <c r="B269" s="29">
        <v>880</v>
      </c>
      <c r="C269" s="29">
        <v>29926</v>
      </c>
      <c r="D269" s="29">
        <v>275</v>
      </c>
      <c r="E269" s="29">
        <v>29647</v>
      </c>
      <c r="F269" s="29">
        <v>2973</v>
      </c>
      <c r="G269" s="39"/>
      <c r="H269" s="40"/>
      <c r="I269" s="52"/>
      <c r="J269" s="53"/>
      <c r="K269" s="17"/>
      <c r="L269" s="39">
        <v>886</v>
      </c>
      <c r="M269" s="43"/>
      <c r="N269" s="45" t="s">
        <v>108</v>
      </c>
      <c r="O269" s="55">
        <v>10</v>
      </c>
      <c r="P269" s="56"/>
      <c r="Q269" s="74"/>
      <c r="R269" s="70">
        <v>0</v>
      </c>
      <c r="S269" s="19"/>
      <c r="T269" s="60"/>
      <c r="U269" s="59" t="s">
        <v>108</v>
      </c>
    </row>
    <row r="270" spans="1:21" ht="15" customHeight="1" x14ac:dyDescent="0.25">
      <c r="A270" s="1">
        <f t="shared" ca="1" si="18"/>
        <v>7198</v>
      </c>
      <c r="B270" s="29">
        <v>860</v>
      </c>
      <c r="C270" s="29">
        <v>29961</v>
      </c>
      <c r="D270" s="29">
        <v>270</v>
      </c>
      <c r="E270" s="29">
        <v>29691</v>
      </c>
      <c r="F270" s="29">
        <v>2977</v>
      </c>
      <c r="G270" s="39"/>
      <c r="H270" s="40"/>
      <c r="I270" s="52"/>
      <c r="J270" s="53"/>
      <c r="K270" s="17"/>
      <c r="L270" s="39">
        <v>874</v>
      </c>
      <c r="M270" s="43"/>
      <c r="N270" s="45" t="s">
        <v>106</v>
      </c>
      <c r="O270" s="55">
        <v>12</v>
      </c>
      <c r="P270" s="56"/>
      <c r="Q270" s="74"/>
      <c r="R270" s="70">
        <v>18</v>
      </c>
      <c r="S270" s="19"/>
      <c r="T270" s="60"/>
      <c r="U270" s="59" t="s">
        <v>108</v>
      </c>
    </row>
    <row r="271" spans="1:21" ht="15" customHeight="1" x14ac:dyDescent="0.25">
      <c r="A271" s="1">
        <f t="shared" ca="1" si="18"/>
        <v>7199</v>
      </c>
      <c r="B271" s="29">
        <v>855</v>
      </c>
      <c r="C271" s="29">
        <v>30004</v>
      </c>
      <c r="D271" s="29">
        <v>271</v>
      </c>
      <c r="E271" s="29">
        <v>29733</v>
      </c>
      <c r="F271" s="29">
        <v>2981</v>
      </c>
      <c r="G271" s="39"/>
      <c r="H271" s="40"/>
      <c r="I271" s="52"/>
      <c r="J271" s="53"/>
      <c r="K271" s="17"/>
      <c r="L271" s="39">
        <v>876</v>
      </c>
      <c r="M271" s="43"/>
      <c r="N271" s="45" t="s">
        <v>106</v>
      </c>
      <c r="O271" s="55">
        <v>15</v>
      </c>
      <c r="P271" s="56"/>
      <c r="Q271" s="74"/>
      <c r="R271" s="70">
        <v>2</v>
      </c>
      <c r="S271" s="19"/>
      <c r="T271" s="60"/>
      <c r="U271" s="59" t="s">
        <v>108</v>
      </c>
    </row>
    <row r="272" spans="1:21" ht="15" customHeight="1" x14ac:dyDescent="0.25">
      <c r="A272" s="1">
        <f t="shared" ca="1" si="18"/>
        <v>7200</v>
      </c>
      <c r="B272" s="29">
        <v>865</v>
      </c>
      <c r="C272" s="29">
        <v>29964</v>
      </c>
      <c r="D272" s="29">
        <v>271</v>
      </c>
      <c r="E272" s="29">
        <v>29693</v>
      </c>
      <c r="F272" s="29">
        <v>2977</v>
      </c>
      <c r="G272" s="39"/>
      <c r="H272" s="40"/>
      <c r="I272" s="52"/>
      <c r="J272" s="53"/>
      <c r="K272" s="17"/>
      <c r="L272" s="39">
        <v>887</v>
      </c>
      <c r="M272" s="43"/>
      <c r="N272" s="45" t="s">
        <v>108</v>
      </c>
      <c r="O272" s="55">
        <v>8</v>
      </c>
      <c r="P272" s="56"/>
      <c r="Q272" s="74"/>
      <c r="R272" s="70">
        <v>0</v>
      </c>
      <c r="S272" s="19"/>
      <c r="T272" s="60"/>
      <c r="U272" s="59" t="s">
        <v>108</v>
      </c>
    </row>
    <row r="273" spans="1:21" ht="15" customHeight="1" x14ac:dyDescent="0.25">
      <c r="A273" s="1">
        <f t="shared" ca="1" si="18"/>
        <v>7201</v>
      </c>
      <c r="B273" s="29">
        <v>880</v>
      </c>
      <c r="C273" s="29">
        <v>29958</v>
      </c>
      <c r="D273" s="29">
        <v>275</v>
      </c>
      <c r="E273" s="29">
        <v>29683</v>
      </c>
      <c r="F273" s="29">
        <v>2976</v>
      </c>
      <c r="G273" s="39"/>
      <c r="H273" s="40"/>
      <c r="I273" s="52"/>
      <c r="J273" s="53"/>
      <c r="K273" s="17"/>
      <c r="L273" s="39">
        <v>964</v>
      </c>
      <c r="M273" s="43"/>
      <c r="N273" s="45" t="s">
        <v>108</v>
      </c>
      <c r="O273" s="55">
        <v>12</v>
      </c>
      <c r="P273" s="56"/>
      <c r="Q273" s="74"/>
      <c r="R273" s="70">
        <v>0</v>
      </c>
      <c r="S273" s="19"/>
      <c r="T273" s="60"/>
      <c r="U273" s="59" t="s">
        <v>108</v>
      </c>
    </row>
    <row r="274" spans="1:21" ht="15" customHeight="1" x14ac:dyDescent="0.25">
      <c r="A274" s="1">
        <f t="shared" ca="1" si="18"/>
        <v>7202</v>
      </c>
      <c r="B274" s="29">
        <v>875</v>
      </c>
      <c r="C274" s="29">
        <v>30012</v>
      </c>
      <c r="D274" s="29">
        <v>276</v>
      </c>
      <c r="E274" s="29">
        <v>29736</v>
      </c>
      <c r="F274" s="29">
        <v>2982</v>
      </c>
      <c r="G274" s="39"/>
      <c r="H274" s="40"/>
      <c r="I274" s="52"/>
      <c r="J274" s="53"/>
      <c r="K274" s="17"/>
      <c r="L274" s="39">
        <v>887</v>
      </c>
      <c r="M274" s="43"/>
      <c r="N274" s="45" t="s">
        <v>108</v>
      </c>
      <c r="O274" s="55">
        <v>15</v>
      </c>
      <c r="P274" s="56"/>
      <c r="Q274" s="74"/>
      <c r="R274" s="70">
        <v>0</v>
      </c>
      <c r="S274" s="19"/>
      <c r="T274" s="60"/>
      <c r="U274" s="59" t="s">
        <v>108</v>
      </c>
    </row>
    <row r="275" spans="1:21" ht="15" customHeight="1" x14ac:dyDescent="0.25">
      <c r="A275" s="1">
        <f t="shared" ca="1" si="18"/>
        <v>7203</v>
      </c>
      <c r="B275" s="29">
        <v>870</v>
      </c>
      <c r="C275" s="29">
        <v>30007</v>
      </c>
      <c r="D275" s="29">
        <v>275</v>
      </c>
      <c r="E275" s="29">
        <v>29732</v>
      </c>
      <c r="F275" s="29">
        <v>2981</v>
      </c>
      <c r="G275" s="39"/>
      <c r="H275" s="40"/>
      <c r="I275" s="52"/>
      <c r="J275" s="53"/>
      <c r="K275" s="17"/>
      <c r="L275" s="39">
        <v>876</v>
      </c>
      <c r="M275" s="43"/>
      <c r="N275" s="45" t="s">
        <v>108</v>
      </c>
      <c r="O275" s="55">
        <v>10</v>
      </c>
      <c r="P275" s="56"/>
      <c r="Q275" s="74"/>
      <c r="R275" s="70">
        <v>0</v>
      </c>
      <c r="S275" s="19"/>
      <c r="T275" s="60"/>
      <c r="U275" s="59" t="s">
        <v>108</v>
      </c>
    </row>
    <row r="276" spans="1:21" ht="15" customHeight="1" x14ac:dyDescent="0.25">
      <c r="A276" s="1">
        <f t="shared" ca="1" si="18"/>
        <v>7204</v>
      </c>
      <c r="B276" s="29">
        <v>875</v>
      </c>
      <c r="C276" s="29">
        <v>29978</v>
      </c>
      <c r="D276" s="29">
        <v>274</v>
      </c>
      <c r="E276" s="29">
        <v>29704</v>
      </c>
      <c r="F276" s="29">
        <v>2978</v>
      </c>
      <c r="G276" s="39"/>
      <c r="H276" s="40"/>
      <c r="I276" s="52"/>
      <c r="J276" s="53"/>
      <c r="K276" s="17"/>
      <c r="L276" s="39">
        <v>874</v>
      </c>
      <c r="M276" s="43"/>
      <c r="N276" s="45" t="s">
        <v>108</v>
      </c>
      <c r="O276" s="55">
        <v>8</v>
      </c>
      <c r="P276" s="56"/>
      <c r="Q276" s="74"/>
      <c r="R276" s="70">
        <v>0</v>
      </c>
      <c r="S276" s="19"/>
      <c r="T276" s="60"/>
      <c r="U276" s="59" t="s">
        <v>108</v>
      </c>
    </row>
    <row r="277" spans="1:21" ht="15" customHeight="1" x14ac:dyDescent="0.25">
      <c r="A277" s="1">
        <f t="shared" ca="1" si="18"/>
        <v>7205</v>
      </c>
      <c r="B277" s="29">
        <v>870</v>
      </c>
      <c r="C277" s="29">
        <v>29974</v>
      </c>
      <c r="D277" s="29">
        <v>272</v>
      </c>
      <c r="E277" s="29">
        <v>29702</v>
      </c>
      <c r="F277" s="29">
        <v>2978</v>
      </c>
      <c r="G277" s="39"/>
      <c r="H277" s="40"/>
      <c r="I277" s="52"/>
      <c r="J277" s="53"/>
      <c r="K277" s="17"/>
      <c r="L277" s="39">
        <v>863</v>
      </c>
      <c r="M277" s="43"/>
      <c r="N277" s="45" t="s">
        <v>110</v>
      </c>
      <c r="O277" s="55">
        <v>8</v>
      </c>
      <c r="P277" s="56"/>
      <c r="Q277" s="74"/>
      <c r="R277" s="70">
        <v>0</v>
      </c>
      <c r="S277" s="19"/>
      <c r="T277" s="60"/>
      <c r="U277" s="59" t="s">
        <v>110</v>
      </c>
    </row>
    <row r="278" spans="1:21" ht="15" customHeight="1" x14ac:dyDescent="0.25">
      <c r="A278" s="1">
        <f t="shared" ca="1" si="18"/>
        <v>7206</v>
      </c>
      <c r="B278" s="29">
        <v>880</v>
      </c>
      <c r="C278" s="29">
        <v>29958</v>
      </c>
      <c r="D278" s="29">
        <v>275</v>
      </c>
      <c r="E278" s="29">
        <v>29683</v>
      </c>
      <c r="F278" s="29">
        <v>2976</v>
      </c>
      <c r="G278" s="39"/>
      <c r="H278" s="40"/>
      <c r="I278" s="52"/>
      <c r="J278" s="53"/>
      <c r="K278" s="17"/>
      <c r="L278" s="39">
        <v>906</v>
      </c>
      <c r="M278" s="43"/>
      <c r="N278" s="45" t="s">
        <v>106</v>
      </c>
      <c r="O278" s="55">
        <v>10</v>
      </c>
      <c r="P278" s="56"/>
      <c r="Q278" s="74"/>
      <c r="R278" s="70">
        <v>0</v>
      </c>
      <c r="S278" s="19"/>
      <c r="T278" s="60"/>
      <c r="U278" s="59" t="s">
        <v>108</v>
      </c>
    </row>
    <row r="279" spans="1:21" ht="15" customHeight="1" x14ac:dyDescent="0.25">
      <c r="A279" s="1">
        <f t="shared" ca="1" si="18"/>
        <v>7207</v>
      </c>
      <c r="B279" s="29">
        <v>885</v>
      </c>
      <c r="C279" s="29">
        <v>29952</v>
      </c>
      <c r="D279" s="29">
        <v>276</v>
      </c>
      <c r="E279" s="29">
        <v>29676</v>
      </c>
      <c r="F279" s="29">
        <v>2974</v>
      </c>
      <c r="G279" s="39"/>
      <c r="H279" s="40"/>
      <c r="I279" s="52"/>
      <c r="J279" s="53"/>
      <c r="K279" s="17"/>
      <c r="L279" s="39">
        <v>912</v>
      </c>
      <c r="M279" s="43"/>
      <c r="N279" s="45" t="s">
        <v>108</v>
      </c>
      <c r="O279" s="55">
        <v>10</v>
      </c>
      <c r="P279" s="56"/>
      <c r="Q279" s="74"/>
      <c r="R279" s="70">
        <v>0</v>
      </c>
      <c r="S279" s="19"/>
      <c r="T279" s="60"/>
      <c r="U279" s="59" t="s">
        <v>108</v>
      </c>
    </row>
    <row r="280" spans="1:21" ht="15" customHeight="1" x14ac:dyDescent="0.25">
      <c r="A280" s="1">
        <f t="shared" ca="1" si="18"/>
        <v>7208</v>
      </c>
      <c r="B280" s="29">
        <v>885</v>
      </c>
      <c r="C280" s="29">
        <v>29959</v>
      </c>
      <c r="D280" s="29">
        <v>276</v>
      </c>
      <c r="E280" s="29">
        <v>29683</v>
      </c>
      <c r="F280" s="29">
        <v>2976</v>
      </c>
      <c r="G280" s="39"/>
      <c r="H280" s="40"/>
      <c r="I280" s="52"/>
      <c r="J280" s="53"/>
      <c r="K280" s="17"/>
      <c r="L280" s="39">
        <v>896</v>
      </c>
      <c r="M280" s="43"/>
      <c r="N280" s="45" t="s">
        <v>106</v>
      </c>
      <c r="O280" s="55">
        <v>10</v>
      </c>
      <c r="P280" s="56"/>
      <c r="Q280" s="74"/>
      <c r="R280" s="70">
        <v>0</v>
      </c>
      <c r="S280" s="19"/>
      <c r="T280" s="60"/>
      <c r="U280" s="59" t="s">
        <v>108</v>
      </c>
    </row>
    <row r="281" spans="1:21" ht="15" customHeight="1" x14ac:dyDescent="0.25">
      <c r="A281" s="1">
        <f t="shared" ca="1" si="18"/>
        <v>7209</v>
      </c>
      <c r="B281" s="29">
        <v>875</v>
      </c>
      <c r="C281" s="29">
        <v>29986</v>
      </c>
      <c r="D281" s="29">
        <v>274</v>
      </c>
      <c r="E281" s="29">
        <v>29712</v>
      </c>
      <c r="F281" s="29">
        <v>2979</v>
      </c>
      <c r="G281" s="39"/>
      <c r="H281" s="40"/>
      <c r="I281" s="52"/>
      <c r="J281" s="53"/>
      <c r="K281" s="17"/>
      <c r="L281" s="39">
        <v>891</v>
      </c>
      <c r="M281" s="43"/>
      <c r="N281" s="45" t="s">
        <v>108</v>
      </c>
      <c r="O281" s="55">
        <v>8</v>
      </c>
      <c r="P281" s="56"/>
      <c r="Q281" s="74"/>
      <c r="R281" s="70">
        <v>0</v>
      </c>
      <c r="S281" s="19"/>
      <c r="T281" s="60"/>
      <c r="U281" s="59" t="s">
        <v>108</v>
      </c>
    </row>
    <row r="282" spans="1:21" ht="15" customHeight="1" x14ac:dyDescent="0.25">
      <c r="A282" s="1">
        <f t="shared" ca="1" si="18"/>
        <v>7210</v>
      </c>
      <c r="B282" s="29">
        <v>875</v>
      </c>
      <c r="C282" s="29">
        <v>29978</v>
      </c>
      <c r="D282" s="29">
        <v>274</v>
      </c>
      <c r="E282" s="29">
        <v>29704</v>
      </c>
      <c r="F282" s="29">
        <v>2978</v>
      </c>
      <c r="G282" s="39"/>
      <c r="H282" s="40"/>
      <c r="I282" s="52"/>
      <c r="J282" s="53"/>
      <c r="K282" s="17"/>
      <c r="L282" s="39">
        <v>884</v>
      </c>
      <c r="M282" s="43"/>
      <c r="N282" s="45" t="s">
        <v>108</v>
      </c>
      <c r="O282" s="55">
        <v>10</v>
      </c>
      <c r="P282" s="56"/>
      <c r="Q282" s="74"/>
      <c r="R282" s="70">
        <v>0</v>
      </c>
      <c r="S282" s="19"/>
      <c r="T282" s="60"/>
      <c r="U282" s="59" t="s">
        <v>108</v>
      </c>
    </row>
    <row r="283" spans="1:21" ht="15" customHeight="1" x14ac:dyDescent="0.25">
      <c r="A283" s="1">
        <f t="shared" ca="1" si="18"/>
        <v>7211</v>
      </c>
      <c r="B283" s="29">
        <v>870</v>
      </c>
      <c r="C283" s="29">
        <v>29946</v>
      </c>
      <c r="D283" s="29">
        <v>272</v>
      </c>
      <c r="E283" s="29">
        <v>29674</v>
      </c>
      <c r="F283" s="29">
        <v>2975</v>
      </c>
      <c r="G283" s="39"/>
      <c r="H283" s="40"/>
      <c r="I283" s="52"/>
      <c r="J283" s="53"/>
      <c r="K283" s="17"/>
      <c r="L283" s="39">
        <v>880</v>
      </c>
      <c r="M283" s="43"/>
      <c r="N283" s="45" t="s">
        <v>106</v>
      </c>
      <c r="O283" s="55">
        <v>10</v>
      </c>
      <c r="P283" s="56"/>
      <c r="Q283" s="74"/>
      <c r="R283" s="70">
        <v>0</v>
      </c>
      <c r="S283" s="19"/>
      <c r="T283" s="60"/>
      <c r="U283" s="59" t="s">
        <v>108</v>
      </c>
    </row>
    <row r="284" spans="1:21" ht="15" customHeight="1" x14ac:dyDescent="0.25">
      <c r="A284" s="1">
        <f t="shared" ca="1" si="18"/>
        <v>7212</v>
      </c>
      <c r="B284" s="29">
        <v>865</v>
      </c>
      <c r="C284" s="29">
        <v>29980</v>
      </c>
      <c r="D284" s="29">
        <v>271</v>
      </c>
      <c r="E284" s="29">
        <v>29709</v>
      </c>
      <c r="F284" s="29">
        <v>2979</v>
      </c>
      <c r="G284" s="39"/>
      <c r="H284" s="40"/>
      <c r="I284" s="52"/>
      <c r="J284" s="53"/>
      <c r="K284" s="17"/>
      <c r="L284" s="39">
        <v>876</v>
      </c>
      <c r="M284" s="43"/>
      <c r="N284" s="45" t="s">
        <v>106</v>
      </c>
      <c r="O284" s="55">
        <v>10</v>
      </c>
      <c r="P284" s="56"/>
      <c r="Q284" s="74"/>
      <c r="R284" s="70">
        <v>0</v>
      </c>
      <c r="S284" s="19"/>
      <c r="T284" s="60"/>
      <c r="U284" s="59" t="s">
        <v>108</v>
      </c>
    </row>
    <row r="285" spans="1:21" ht="15" customHeight="1" x14ac:dyDescent="0.25">
      <c r="A285" s="1">
        <f t="shared" ca="1" si="18"/>
        <v>7213</v>
      </c>
      <c r="B285" s="29">
        <v>870</v>
      </c>
      <c r="C285" s="29">
        <v>30007</v>
      </c>
      <c r="D285" s="29">
        <v>275</v>
      </c>
      <c r="E285" s="29">
        <v>29732</v>
      </c>
      <c r="F285" s="29">
        <v>2981</v>
      </c>
      <c r="G285" s="39"/>
      <c r="H285" s="40"/>
      <c r="I285" s="52"/>
      <c r="J285" s="53"/>
      <c r="K285" s="17"/>
      <c r="L285" s="39">
        <v>889</v>
      </c>
      <c r="M285" s="43"/>
      <c r="N285" s="45" t="s">
        <v>108</v>
      </c>
      <c r="O285" s="55">
        <v>12</v>
      </c>
      <c r="P285" s="56"/>
      <c r="Q285" s="74"/>
      <c r="R285" s="70">
        <v>0</v>
      </c>
      <c r="S285" s="19"/>
      <c r="T285" s="60"/>
      <c r="U285" s="59" t="s">
        <v>108</v>
      </c>
    </row>
    <row r="286" spans="1:21" x14ac:dyDescent="0.25">
      <c r="A286" s="1" t="str">
        <f t="shared" ca="1" si="18"/>
        <v>Totaal</v>
      </c>
      <c r="B286" s="61">
        <f>IF(COUNT(B256:B285)&gt;0,AVERAGE(B256:B285)/10,"")</f>
        <v>87.316666666666663</v>
      </c>
      <c r="C286" s="62">
        <f>IF(COUNT(C256:C285)&gt;0,AVERAGE(C256:C285)/1000,"")</f>
        <v>29.962533333333333</v>
      </c>
      <c r="D286" s="62">
        <f>IF(COUNT(D256:D285)&gt;0,AVERAGE(D256:D285)/1000,"")</f>
        <v>0.27363333333333334</v>
      </c>
      <c r="E286" s="62">
        <f>IF(COUNT(E256:E285)&gt;0,AVERAGE(E256:E285)/1000,"")</f>
        <v>29.686766666666667</v>
      </c>
      <c r="F286" s="62">
        <f>IF(COUNT(F256:F285)&gt;0,AVERAGE(F256:F285)/100,"")</f>
        <v>29.76733333333333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88.876666666666665</v>
      </c>
      <c r="M286" s="44" t="str">
        <f>IF(COUNT(M256:M285)&gt;0,AVERAGE(M256:M285)/10,"")</f>
        <v/>
      </c>
      <c r="N286" s="46"/>
      <c r="O286" s="57">
        <f>IF(COUNT(O256:O285)&gt;0,AVERAGE(O256:O285),"")</f>
        <v>10.366666666666667</v>
      </c>
      <c r="P286" s="58" t="str">
        <f>IF(COUNT(P256:P285)&gt;0,AVERAGE(P256:P285),"")</f>
        <v/>
      </c>
      <c r="Q286" s="47"/>
      <c r="R286" s="68">
        <f>IF(COUNT(R256:R285)&gt;0,SUM(R256:R285)/100,"")</f>
        <v>0.2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7214</v>
      </c>
      <c r="B287" s="29">
        <v>875</v>
      </c>
      <c r="C287" s="29">
        <v>29974</v>
      </c>
      <c r="D287" s="29">
        <v>274</v>
      </c>
      <c r="E287" s="29">
        <v>29700</v>
      </c>
      <c r="F287" s="29">
        <v>2978</v>
      </c>
      <c r="G287" s="39"/>
      <c r="H287" s="40"/>
      <c r="I287" s="52"/>
      <c r="J287" s="53"/>
      <c r="K287" s="17"/>
      <c r="L287" s="39">
        <v>884</v>
      </c>
      <c r="M287" s="43"/>
      <c r="N287" s="45" t="s">
        <v>108</v>
      </c>
      <c r="O287" s="55">
        <v>12</v>
      </c>
      <c r="P287" s="56"/>
      <c r="Q287" s="74"/>
      <c r="R287" s="70">
        <v>0</v>
      </c>
      <c r="S287" s="19"/>
      <c r="T287" s="60"/>
      <c r="U287" s="59" t="s">
        <v>108</v>
      </c>
    </row>
    <row r="288" spans="1:21" ht="15" customHeight="1" x14ac:dyDescent="0.25">
      <c r="A288" s="1">
        <f t="shared" ca="1" si="18"/>
        <v>7215</v>
      </c>
      <c r="B288" s="29">
        <v>880</v>
      </c>
      <c r="C288" s="29">
        <v>29997</v>
      </c>
      <c r="D288" s="29">
        <v>275</v>
      </c>
      <c r="E288" s="29">
        <v>29722</v>
      </c>
      <c r="F288" s="29">
        <v>2980</v>
      </c>
      <c r="G288" s="39"/>
      <c r="H288" s="40"/>
      <c r="I288" s="52"/>
      <c r="J288" s="53"/>
      <c r="K288" s="17"/>
      <c r="L288" s="39">
        <v>894</v>
      </c>
      <c r="M288" s="43"/>
      <c r="N288" s="45" t="s">
        <v>108</v>
      </c>
      <c r="O288" s="55">
        <v>9</v>
      </c>
      <c r="P288" s="56"/>
      <c r="Q288" s="74"/>
      <c r="R288" s="70">
        <v>0</v>
      </c>
      <c r="S288" s="19"/>
      <c r="T288" s="60"/>
      <c r="U288" s="59" t="s">
        <v>108</v>
      </c>
    </row>
    <row r="289" spans="1:21" ht="15" customHeight="1" x14ac:dyDescent="0.25">
      <c r="A289" s="1">
        <f t="shared" ca="1" si="18"/>
        <v>7216</v>
      </c>
      <c r="B289" s="29">
        <v>880</v>
      </c>
      <c r="C289" s="29">
        <v>29972</v>
      </c>
      <c r="D289" s="29">
        <v>275</v>
      </c>
      <c r="E289" s="29">
        <v>29697</v>
      </c>
      <c r="F289" s="29">
        <v>2978</v>
      </c>
      <c r="G289" s="39"/>
      <c r="H289" s="40"/>
      <c r="I289" s="52"/>
      <c r="J289" s="53"/>
      <c r="K289" s="17"/>
      <c r="L289" s="39">
        <v>884</v>
      </c>
      <c r="M289" s="43"/>
      <c r="N289" s="45" t="s">
        <v>106</v>
      </c>
      <c r="O289" s="55">
        <v>10</v>
      </c>
      <c r="P289" s="56"/>
      <c r="Q289" s="74"/>
      <c r="R289" s="70">
        <v>0</v>
      </c>
      <c r="S289" s="19"/>
      <c r="T289" s="60"/>
      <c r="U289" s="59" t="s">
        <v>108</v>
      </c>
    </row>
    <row r="290" spans="1:21" ht="15" customHeight="1" x14ac:dyDescent="0.25">
      <c r="A290" s="1">
        <f t="shared" ca="1" si="18"/>
        <v>7217</v>
      </c>
      <c r="B290" s="29">
        <v>880</v>
      </c>
      <c r="C290" s="29">
        <v>29926</v>
      </c>
      <c r="D290" s="29">
        <v>275</v>
      </c>
      <c r="E290" s="29">
        <v>29651</v>
      </c>
      <c r="F290" s="29">
        <v>2973</v>
      </c>
      <c r="G290" s="39"/>
      <c r="H290" s="40"/>
      <c r="I290" s="52"/>
      <c r="J290" s="53"/>
      <c r="K290" s="17"/>
      <c r="L290" s="39">
        <v>881</v>
      </c>
      <c r="M290" s="43"/>
      <c r="N290" s="45" t="s">
        <v>106</v>
      </c>
      <c r="O290" s="55">
        <v>8</v>
      </c>
      <c r="P290" s="56"/>
      <c r="Q290" s="74"/>
      <c r="R290" s="70">
        <v>0</v>
      </c>
      <c r="S290" s="19"/>
      <c r="T290" s="60"/>
      <c r="U290" s="59" t="s">
        <v>108</v>
      </c>
    </row>
    <row r="291" spans="1:21" ht="15" customHeight="1" x14ac:dyDescent="0.25">
      <c r="A291" s="1">
        <f t="shared" ca="1" si="18"/>
        <v>7218</v>
      </c>
      <c r="B291" s="29">
        <v>880</v>
      </c>
      <c r="C291" s="29">
        <v>29948</v>
      </c>
      <c r="D291" s="29">
        <v>275</v>
      </c>
      <c r="E291" s="29">
        <v>29673</v>
      </c>
      <c r="F291" s="29">
        <v>2975</v>
      </c>
      <c r="G291" s="39"/>
      <c r="H291" s="40"/>
      <c r="I291" s="52"/>
      <c r="J291" s="53"/>
      <c r="K291" s="17"/>
      <c r="L291" s="39">
        <v>894</v>
      </c>
      <c r="M291" s="43"/>
      <c r="N291" s="45" t="s">
        <v>108</v>
      </c>
      <c r="O291" s="55">
        <v>10</v>
      </c>
      <c r="P291" s="56"/>
      <c r="Q291" s="74"/>
      <c r="R291" s="70">
        <v>0</v>
      </c>
      <c r="S291" s="19"/>
      <c r="T291" s="60"/>
      <c r="U291" s="59" t="s">
        <v>108</v>
      </c>
    </row>
    <row r="292" spans="1:21" ht="15" customHeight="1" x14ac:dyDescent="0.25">
      <c r="A292" s="1">
        <f t="shared" ca="1" si="18"/>
        <v>7219</v>
      </c>
      <c r="B292" s="29">
        <v>875</v>
      </c>
      <c r="C292" s="29">
        <v>29946</v>
      </c>
      <c r="D292" s="29">
        <v>274</v>
      </c>
      <c r="E292" s="29">
        <v>29672</v>
      </c>
      <c r="F292" s="29">
        <v>2975</v>
      </c>
      <c r="G292" s="39"/>
      <c r="H292" s="40"/>
      <c r="I292" s="52"/>
      <c r="J292" s="53"/>
      <c r="K292" s="17"/>
      <c r="L292" s="39">
        <v>882</v>
      </c>
      <c r="M292" s="43"/>
      <c r="N292" s="45" t="s">
        <v>108</v>
      </c>
      <c r="O292" s="55">
        <v>12</v>
      </c>
      <c r="P292" s="56"/>
      <c r="Q292" s="74"/>
      <c r="R292" s="70">
        <v>0</v>
      </c>
      <c r="S292" s="19"/>
      <c r="T292" s="60"/>
      <c r="U292" s="59" t="s">
        <v>108</v>
      </c>
    </row>
    <row r="293" spans="1:21" ht="15" customHeight="1" x14ac:dyDescent="0.25">
      <c r="A293" s="1">
        <f t="shared" ca="1" si="18"/>
        <v>7220</v>
      </c>
      <c r="B293" s="29">
        <v>870</v>
      </c>
      <c r="C293" s="29">
        <v>29893</v>
      </c>
      <c r="D293" s="29">
        <v>272</v>
      </c>
      <c r="E293" s="29">
        <v>29621</v>
      </c>
      <c r="F293" s="29">
        <v>2970</v>
      </c>
      <c r="G293" s="39"/>
      <c r="H293" s="40"/>
      <c r="I293" s="52"/>
      <c r="J293" s="53"/>
      <c r="K293" s="17"/>
      <c r="L293" s="39">
        <v>884</v>
      </c>
      <c r="M293" s="43"/>
      <c r="N293" s="45" t="s">
        <v>106</v>
      </c>
      <c r="O293" s="55">
        <v>10</v>
      </c>
      <c r="P293" s="56"/>
      <c r="Q293" s="74"/>
      <c r="R293" s="70">
        <v>0</v>
      </c>
      <c r="S293" s="19"/>
      <c r="T293" s="60"/>
      <c r="U293" s="59" t="s">
        <v>108</v>
      </c>
    </row>
    <row r="294" spans="1:21" ht="15" customHeight="1" x14ac:dyDescent="0.25">
      <c r="A294" s="1">
        <f t="shared" ca="1" si="18"/>
        <v>7221</v>
      </c>
      <c r="B294" s="29">
        <v>860</v>
      </c>
      <c r="C294" s="29">
        <v>29942</v>
      </c>
      <c r="D294" s="29">
        <v>270</v>
      </c>
      <c r="E294" s="29">
        <v>29672</v>
      </c>
      <c r="F294" s="29">
        <v>2975</v>
      </c>
      <c r="G294" s="39"/>
      <c r="H294" s="40"/>
      <c r="I294" s="52"/>
      <c r="J294" s="53"/>
      <c r="K294" s="17"/>
      <c r="L294" s="39">
        <v>895</v>
      </c>
      <c r="M294" s="43"/>
      <c r="N294" s="45" t="s">
        <v>110</v>
      </c>
      <c r="O294" s="55">
        <v>12</v>
      </c>
      <c r="P294" s="56"/>
      <c r="Q294" s="74"/>
      <c r="R294" s="70">
        <v>0</v>
      </c>
      <c r="S294" s="19"/>
      <c r="T294" s="60"/>
      <c r="U294" s="59" t="s">
        <v>108</v>
      </c>
    </row>
    <row r="295" spans="1:21" ht="15" customHeight="1" x14ac:dyDescent="0.25">
      <c r="A295" s="1">
        <f t="shared" ca="1" si="18"/>
        <v>7222</v>
      </c>
      <c r="B295" s="29">
        <v>880</v>
      </c>
      <c r="C295" s="29">
        <v>29948</v>
      </c>
      <c r="D295" s="29">
        <v>275</v>
      </c>
      <c r="E295" s="29">
        <v>29673</v>
      </c>
      <c r="F295" s="29">
        <v>2975</v>
      </c>
      <c r="G295" s="39"/>
      <c r="H295" s="40"/>
      <c r="I295" s="52"/>
      <c r="J295" s="53"/>
      <c r="K295" s="17"/>
      <c r="L295" s="39">
        <v>891</v>
      </c>
      <c r="M295" s="43"/>
      <c r="N295" s="45" t="s">
        <v>108</v>
      </c>
      <c r="O295" s="55">
        <v>12</v>
      </c>
      <c r="P295" s="56"/>
      <c r="Q295" s="74"/>
      <c r="R295" s="70">
        <v>0</v>
      </c>
      <c r="S295" s="19"/>
      <c r="T295" s="60"/>
      <c r="U295" s="59" t="s">
        <v>108</v>
      </c>
    </row>
    <row r="296" spans="1:21" ht="15" customHeight="1" x14ac:dyDescent="0.25">
      <c r="A296" s="1">
        <f t="shared" ca="1" si="18"/>
        <v>7223</v>
      </c>
      <c r="B296" s="29">
        <v>875</v>
      </c>
      <c r="C296" s="29">
        <v>29974</v>
      </c>
      <c r="D296" s="29">
        <v>274</v>
      </c>
      <c r="E296" s="29">
        <v>29700</v>
      </c>
      <c r="F296" s="29">
        <v>2978</v>
      </c>
      <c r="G296" s="39"/>
      <c r="H296" s="40"/>
      <c r="I296" s="52"/>
      <c r="J296" s="53"/>
      <c r="K296" s="17"/>
      <c r="L296" s="39">
        <v>900</v>
      </c>
      <c r="M296" s="43"/>
      <c r="N296" s="45" t="s">
        <v>106</v>
      </c>
      <c r="O296" s="55">
        <v>8</v>
      </c>
      <c r="P296" s="56"/>
      <c r="Q296" s="74"/>
      <c r="R296" s="70">
        <v>0</v>
      </c>
      <c r="S296" s="19"/>
      <c r="T296" s="60"/>
      <c r="U296" s="59" t="s">
        <v>108</v>
      </c>
    </row>
    <row r="297" spans="1:21" ht="15" customHeight="1" x14ac:dyDescent="0.25">
      <c r="A297" s="1">
        <f t="shared" ca="1" si="18"/>
        <v>7224</v>
      </c>
      <c r="B297" s="29">
        <v>860</v>
      </c>
      <c r="C297" s="29">
        <v>29933</v>
      </c>
      <c r="D297" s="29">
        <v>270</v>
      </c>
      <c r="E297" s="29">
        <v>29663</v>
      </c>
      <c r="F297" s="29">
        <v>2974</v>
      </c>
      <c r="G297" s="39"/>
      <c r="H297" s="40"/>
      <c r="I297" s="52"/>
      <c r="J297" s="53"/>
      <c r="K297" s="17"/>
      <c r="L297" s="39">
        <v>886</v>
      </c>
      <c r="M297" s="43"/>
      <c r="N297" s="45" t="s">
        <v>106</v>
      </c>
      <c r="O297" s="55">
        <v>6</v>
      </c>
      <c r="P297" s="56"/>
      <c r="Q297" s="74"/>
      <c r="R297" s="70">
        <v>0</v>
      </c>
      <c r="S297" s="19"/>
      <c r="T297" s="60"/>
      <c r="U297" s="59" t="s">
        <v>108</v>
      </c>
    </row>
    <row r="298" spans="1:21" ht="15" customHeight="1" x14ac:dyDescent="0.25">
      <c r="A298" s="1">
        <f t="shared" ca="1" si="18"/>
        <v>7225</v>
      </c>
      <c r="B298" s="29">
        <v>875</v>
      </c>
      <c r="C298" s="29">
        <v>29930</v>
      </c>
      <c r="D298" s="29">
        <v>274</v>
      </c>
      <c r="E298" s="29">
        <v>29656</v>
      </c>
      <c r="F298" s="29">
        <v>2974</v>
      </c>
      <c r="G298" s="39"/>
      <c r="H298" s="40"/>
      <c r="I298" s="52"/>
      <c r="J298" s="53"/>
      <c r="K298" s="17"/>
      <c r="L298" s="39">
        <v>878</v>
      </c>
      <c r="M298" s="43"/>
      <c r="N298" s="45" t="s">
        <v>106</v>
      </c>
      <c r="O298" s="55">
        <v>5</v>
      </c>
      <c r="P298" s="56"/>
      <c r="Q298" s="74"/>
      <c r="R298" s="70">
        <v>0</v>
      </c>
      <c r="S298" s="19"/>
      <c r="T298" s="60"/>
      <c r="U298" s="59" t="s">
        <v>106</v>
      </c>
    </row>
    <row r="299" spans="1:21" ht="15" customHeight="1" x14ac:dyDescent="0.25">
      <c r="A299" s="1">
        <f t="shared" ca="1" si="18"/>
        <v>7226</v>
      </c>
      <c r="B299" s="29">
        <v>865</v>
      </c>
      <c r="C299" s="29">
        <v>29918</v>
      </c>
      <c r="D299" s="29">
        <v>274</v>
      </c>
      <c r="E299" s="29">
        <v>29647</v>
      </c>
      <c r="F299" s="29">
        <v>2973</v>
      </c>
      <c r="G299" s="39"/>
      <c r="H299" s="40"/>
      <c r="I299" s="52"/>
      <c r="J299" s="53"/>
      <c r="K299" s="17"/>
      <c r="L299" s="39">
        <v>873</v>
      </c>
      <c r="M299" s="43"/>
      <c r="N299" s="45" t="s">
        <v>106</v>
      </c>
      <c r="O299" s="55">
        <v>9</v>
      </c>
      <c r="P299" s="56"/>
      <c r="Q299" s="74"/>
      <c r="R299" s="70">
        <v>0</v>
      </c>
      <c r="S299" s="19"/>
      <c r="T299" s="60"/>
      <c r="U299" s="59" t="s">
        <v>108</v>
      </c>
    </row>
    <row r="300" spans="1:21" ht="15" customHeight="1" x14ac:dyDescent="0.25">
      <c r="A300" s="1">
        <f t="shared" ca="1" si="18"/>
        <v>7227</v>
      </c>
      <c r="B300" s="29">
        <v>865</v>
      </c>
      <c r="C300" s="29">
        <v>29922</v>
      </c>
      <c r="D300" s="29">
        <v>271</v>
      </c>
      <c r="E300" s="29">
        <v>29651</v>
      </c>
      <c r="F300" s="29">
        <v>2973</v>
      </c>
      <c r="G300" s="39"/>
      <c r="H300" s="40"/>
      <c r="I300" s="52"/>
      <c r="J300" s="53"/>
      <c r="K300" s="17"/>
      <c r="L300" s="39">
        <v>873</v>
      </c>
      <c r="M300" s="43"/>
      <c r="N300" s="45" t="s">
        <v>108</v>
      </c>
      <c r="O300" s="55">
        <v>10</v>
      </c>
      <c r="P300" s="56"/>
      <c r="Q300" s="74"/>
      <c r="R300" s="70">
        <v>3</v>
      </c>
      <c r="S300" s="19"/>
      <c r="T300" s="60"/>
      <c r="U300" s="59" t="s">
        <v>108</v>
      </c>
    </row>
    <row r="301" spans="1:21" ht="15" customHeight="1" x14ac:dyDescent="0.25">
      <c r="A301" s="1">
        <f t="shared" ca="1" si="18"/>
        <v>7228</v>
      </c>
      <c r="B301" s="29">
        <v>865</v>
      </c>
      <c r="C301" s="29">
        <v>29994</v>
      </c>
      <c r="D301" s="29">
        <v>271</v>
      </c>
      <c r="E301" s="29">
        <v>29723</v>
      </c>
      <c r="F301" s="29">
        <v>2980</v>
      </c>
      <c r="G301" s="39"/>
      <c r="H301" s="40"/>
      <c r="I301" s="52"/>
      <c r="J301" s="53"/>
      <c r="K301" s="17"/>
      <c r="L301" s="39">
        <v>874</v>
      </c>
      <c r="M301" s="43"/>
      <c r="N301" s="45" t="s">
        <v>108</v>
      </c>
      <c r="O301" s="55">
        <v>10</v>
      </c>
      <c r="P301" s="56"/>
      <c r="Q301" s="74"/>
      <c r="R301" s="70">
        <v>0</v>
      </c>
      <c r="S301" s="19"/>
      <c r="T301" s="60"/>
      <c r="U301" s="59" t="s">
        <v>108</v>
      </c>
    </row>
    <row r="302" spans="1:21" ht="15" customHeight="1" x14ac:dyDescent="0.25">
      <c r="A302" s="1">
        <f t="shared" ca="1" si="18"/>
        <v>7229</v>
      </c>
      <c r="B302" s="29">
        <v>880</v>
      </c>
      <c r="C302" s="29">
        <v>29976</v>
      </c>
      <c r="D302" s="29">
        <v>275</v>
      </c>
      <c r="E302" s="29">
        <v>29701</v>
      </c>
      <c r="F302" s="29">
        <v>2978</v>
      </c>
      <c r="G302" s="39"/>
      <c r="H302" s="40"/>
      <c r="I302" s="52"/>
      <c r="J302" s="53"/>
      <c r="K302" s="17"/>
      <c r="L302" s="39">
        <v>886</v>
      </c>
      <c r="M302" s="43"/>
      <c r="N302" s="45" t="s">
        <v>108</v>
      </c>
      <c r="O302" s="55">
        <v>12</v>
      </c>
      <c r="P302" s="56"/>
      <c r="Q302" s="74"/>
      <c r="R302" s="70">
        <v>0</v>
      </c>
      <c r="S302" s="19"/>
      <c r="T302" s="60"/>
      <c r="U302" s="59" t="s">
        <v>108</v>
      </c>
    </row>
    <row r="303" spans="1:21" ht="15" customHeight="1" x14ac:dyDescent="0.25">
      <c r="A303" s="1">
        <f t="shared" ca="1" si="18"/>
        <v>7230</v>
      </c>
      <c r="B303" s="29">
        <v>880</v>
      </c>
      <c r="C303" s="29">
        <v>29948</v>
      </c>
      <c r="D303" s="29">
        <v>275</v>
      </c>
      <c r="E303" s="29">
        <v>29673</v>
      </c>
      <c r="F303" s="29">
        <v>2975</v>
      </c>
      <c r="G303" s="39"/>
      <c r="H303" s="40"/>
      <c r="I303" s="52"/>
      <c r="J303" s="53"/>
      <c r="K303" s="17"/>
      <c r="L303" s="39">
        <v>890</v>
      </c>
      <c r="M303" s="43"/>
      <c r="N303" s="45" t="s">
        <v>108</v>
      </c>
      <c r="O303" s="55">
        <v>12</v>
      </c>
      <c r="P303" s="56"/>
      <c r="Q303" s="74"/>
      <c r="R303" s="70">
        <v>0</v>
      </c>
      <c r="S303" s="19"/>
      <c r="T303" s="60"/>
      <c r="U303" s="59" t="s">
        <v>108</v>
      </c>
    </row>
    <row r="304" spans="1:21" ht="15" customHeight="1" x14ac:dyDescent="0.25">
      <c r="A304" s="1">
        <f t="shared" ca="1" si="18"/>
        <v>7231</v>
      </c>
      <c r="B304" s="29">
        <v>875</v>
      </c>
      <c r="C304" s="29">
        <v>30000</v>
      </c>
      <c r="D304" s="29">
        <v>276</v>
      </c>
      <c r="E304" s="29">
        <v>29724</v>
      </c>
      <c r="F304" s="29">
        <v>2980</v>
      </c>
      <c r="G304" s="39"/>
      <c r="H304" s="40"/>
      <c r="I304" s="52"/>
      <c r="J304" s="53"/>
      <c r="K304" s="17"/>
      <c r="L304" s="39">
        <v>881</v>
      </c>
      <c r="M304" s="43"/>
      <c r="N304" s="45" t="s">
        <v>106</v>
      </c>
      <c r="O304" s="55">
        <v>9</v>
      </c>
      <c r="P304" s="56"/>
      <c r="Q304" s="74"/>
      <c r="R304" s="70">
        <v>0</v>
      </c>
      <c r="S304" s="19"/>
      <c r="T304" s="60"/>
      <c r="U304" s="59" t="s">
        <v>108</v>
      </c>
    </row>
    <row r="305" spans="1:21" ht="15" customHeight="1" x14ac:dyDescent="0.25">
      <c r="A305" s="1">
        <f t="shared" ca="1" si="18"/>
        <v>7232</v>
      </c>
      <c r="B305" s="29">
        <v>865</v>
      </c>
      <c r="C305" s="29">
        <v>29997</v>
      </c>
      <c r="D305" s="29">
        <v>271</v>
      </c>
      <c r="E305" s="29">
        <v>29726</v>
      </c>
      <c r="F305" s="29">
        <v>2981</v>
      </c>
      <c r="G305" s="39"/>
      <c r="H305" s="40"/>
      <c r="I305" s="52"/>
      <c r="J305" s="53"/>
      <c r="K305" s="17"/>
      <c r="L305" s="39">
        <v>889</v>
      </c>
      <c r="M305" s="43"/>
      <c r="N305" s="45" t="s">
        <v>108</v>
      </c>
      <c r="O305" s="55">
        <v>12</v>
      </c>
      <c r="P305" s="56"/>
      <c r="Q305" s="74"/>
      <c r="R305" s="70">
        <v>0</v>
      </c>
      <c r="S305" s="19"/>
      <c r="T305" s="60"/>
      <c r="U305" s="59" t="s">
        <v>108</v>
      </c>
    </row>
    <row r="306" spans="1:21" ht="15" customHeight="1" x14ac:dyDescent="0.25">
      <c r="A306" s="1">
        <f t="shared" ca="1" si="18"/>
        <v>7233</v>
      </c>
      <c r="B306" s="29">
        <v>865</v>
      </c>
      <c r="C306" s="29">
        <v>29983</v>
      </c>
      <c r="D306" s="29">
        <v>271</v>
      </c>
      <c r="E306" s="29">
        <v>29712</v>
      </c>
      <c r="F306" s="29">
        <v>2979</v>
      </c>
      <c r="G306" s="39"/>
      <c r="H306" s="40"/>
      <c r="I306" s="52"/>
      <c r="J306" s="53"/>
      <c r="K306" s="17"/>
      <c r="L306" s="39">
        <v>889</v>
      </c>
      <c r="M306" s="43"/>
      <c r="N306" s="45" t="s">
        <v>108</v>
      </c>
      <c r="O306" s="55">
        <v>10</v>
      </c>
      <c r="P306" s="56"/>
      <c r="Q306" s="74"/>
      <c r="R306" s="70">
        <v>0</v>
      </c>
      <c r="S306" s="19"/>
      <c r="T306" s="60"/>
      <c r="U306" s="59" t="s">
        <v>108</v>
      </c>
    </row>
    <row r="307" spans="1:21" ht="15" customHeight="1" x14ac:dyDescent="0.25">
      <c r="A307" s="1">
        <f t="shared" ca="1" si="18"/>
        <v>7234</v>
      </c>
      <c r="B307" s="29">
        <v>875</v>
      </c>
      <c r="C307" s="29">
        <v>29976</v>
      </c>
      <c r="D307" s="29">
        <v>274</v>
      </c>
      <c r="E307" s="29">
        <v>29702</v>
      </c>
      <c r="F307" s="29">
        <v>2978</v>
      </c>
      <c r="G307" s="39"/>
      <c r="H307" s="40"/>
      <c r="I307" s="52"/>
      <c r="J307" s="53"/>
      <c r="K307" s="17"/>
      <c r="L307" s="39">
        <v>892</v>
      </c>
      <c r="M307" s="43"/>
      <c r="N307" s="45" t="s">
        <v>106</v>
      </c>
      <c r="O307" s="55">
        <v>12</v>
      </c>
      <c r="P307" s="56"/>
      <c r="Q307" s="74"/>
      <c r="R307" s="70">
        <v>0</v>
      </c>
      <c r="S307" s="19"/>
      <c r="T307" s="60"/>
      <c r="U307" s="59" t="s">
        <v>108</v>
      </c>
    </row>
    <row r="308" spans="1:21" ht="15" customHeight="1" x14ac:dyDescent="0.25">
      <c r="A308" s="1">
        <f t="shared" ca="1" si="18"/>
        <v>7235</v>
      </c>
      <c r="B308" s="29">
        <v>880</v>
      </c>
      <c r="C308" s="29">
        <v>30040</v>
      </c>
      <c r="D308" s="29">
        <v>277</v>
      </c>
      <c r="E308" s="29">
        <v>29763</v>
      </c>
      <c r="F308" s="29">
        <v>2984</v>
      </c>
      <c r="G308" s="39"/>
      <c r="H308" s="40"/>
      <c r="I308" s="52"/>
      <c r="J308" s="53"/>
      <c r="K308" s="17"/>
      <c r="L308" s="39">
        <v>890</v>
      </c>
      <c r="M308" s="43"/>
      <c r="N308" s="45" t="s">
        <v>108</v>
      </c>
      <c r="O308" s="55">
        <v>10</v>
      </c>
      <c r="P308" s="56"/>
      <c r="Q308" s="74"/>
      <c r="R308" s="70">
        <v>0</v>
      </c>
      <c r="S308" s="19"/>
      <c r="T308" s="60"/>
      <c r="U308" s="59" t="s">
        <v>108</v>
      </c>
    </row>
    <row r="309" spans="1:21" ht="15" customHeight="1" x14ac:dyDescent="0.25">
      <c r="A309" s="1">
        <f t="shared" ca="1" si="18"/>
        <v>7236</v>
      </c>
      <c r="B309" s="29">
        <v>880</v>
      </c>
      <c r="C309" s="29">
        <v>30030</v>
      </c>
      <c r="D309" s="29">
        <v>277</v>
      </c>
      <c r="E309" s="29">
        <v>29753</v>
      </c>
      <c r="F309" s="29">
        <v>2983</v>
      </c>
      <c r="G309" s="39"/>
      <c r="H309" s="40"/>
      <c r="I309" s="52"/>
      <c r="J309" s="53"/>
      <c r="K309" s="17"/>
      <c r="L309" s="39">
        <v>876</v>
      </c>
      <c r="M309" s="43"/>
      <c r="N309" s="45" t="s">
        <v>106</v>
      </c>
      <c r="O309" s="55">
        <v>10</v>
      </c>
      <c r="P309" s="56"/>
      <c r="Q309" s="74"/>
      <c r="R309" s="70">
        <v>0</v>
      </c>
      <c r="S309" s="19"/>
      <c r="T309" s="60"/>
      <c r="U309" s="59" t="s">
        <v>108</v>
      </c>
    </row>
    <row r="310" spans="1:21" ht="15" customHeight="1" x14ac:dyDescent="0.25">
      <c r="A310" s="1">
        <f t="shared" ca="1" si="18"/>
        <v>7237</v>
      </c>
      <c r="B310" s="29">
        <v>870</v>
      </c>
      <c r="C310" s="29">
        <v>29956</v>
      </c>
      <c r="D310" s="29">
        <v>272</v>
      </c>
      <c r="E310" s="29">
        <v>29684</v>
      </c>
      <c r="F310" s="29">
        <v>2976</v>
      </c>
      <c r="G310" s="39"/>
      <c r="H310" s="40"/>
      <c r="I310" s="52"/>
      <c r="J310" s="53"/>
      <c r="K310" s="17"/>
      <c r="L310" s="39">
        <v>883</v>
      </c>
      <c r="M310" s="43"/>
      <c r="N310" s="45" t="s">
        <v>108</v>
      </c>
      <c r="O310" s="55">
        <v>12</v>
      </c>
      <c r="P310" s="56"/>
      <c r="Q310" s="74"/>
      <c r="R310" s="70">
        <v>0</v>
      </c>
      <c r="S310" s="19"/>
      <c r="T310" s="60"/>
      <c r="U310" s="59" t="s">
        <v>108</v>
      </c>
    </row>
    <row r="311" spans="1:21" ht="15" customHeight="1" x14ac:dyDescent="0.25">
      <c r="A311" s="1">
        <f t="shared" ca="1" si="18"/>
        <v>7238</v>
      </c>
      <c r="B311" s="29">
        <v>860</v>
      </c>
      <c r="C311" s="29">
        <v>29978</v>
      </c>
      <c r="D311" s="29">
        <v>270</v>
      </c>
      <c r="E311" s="29">
        <v>29708</v>
      </c>
      <c r="F311" s="29">
        <v>2979</v>
      </c>
      <c r="G311" s="39"/>
      <c r="H311" s="40"/>
      <c r="I311" s="52"/>
      <c r="J311" s="53"/>
      <c r="K311" s="17"/>
      <c r="L311" s="39">
        <v>862</v>
      </c>
      <c r="M311" s="43"/>
      <c r="N311" s="45" t="s">
        <v>108</v>
      </c>
      <c r="O311" s="55">
        <v>8</v>
      </c>
      <c r="P311" s="56"/>
      <c r="Q311" s="74"/>
      <c r="R311" s="70">
        <v>0</v>
      </c>
      <c r="S311" s="19"/>
      <c r="T311" s="60"/>
      <c r="U311" s="59" t="s">
        <v>108</v>
      </c>
    </row>
    <row r="312" spans="1:21" ht="15" customHeight="1" x14ac:dyDescent="0.25">
      <c r="A312" s="1">
        <f t="shared" ca="1" si="18"/>
        <v>7239</v>
      </c>
      <c r="B312" s="29">
        <v>860</v>
      </c>
      <c r="C312" s="29">
        <v>29974</v>
      </c>
      <c r="D312" s="29">
        <v>270</v>
      </c>
      <c r="E312" s="29">
        <v>29724</v>
      </c>
      <c r="F312" s="29">
        <v>2980</v>
      </c>
      <c r="G312" s="39"/>
      <c r="H312" s="40"/>
      <c r="I312" s="52"/>
      <c r="J312" s="53"/>
      <c r="K312" s="17"/>
      <c r="L312" s="39">
        <v>862</v>
      </c>
      <c r="M312" s="43"/>
      <c r="N312" s="45" t="s">
        <v>108</v>
      </c>
      <c r="O312" s="55">
        <v>5</v>
      </c>
      <c r="P312" s="56"/>
      <c r="Q312" s="74"/>
      <c r="R312" s="70">
        <v>38</v>
      </c>
      <c r="S312" s="19"/>
      <c r="T312" s="60"/>
      <c r="U312" s="59" t="s">
        <v>108</v>
      </c>
    </row>
    <row r="313" spans="1:21" ht="15" customHeight="1" x14ac:dyDescent="0.25">
      <c r="A313" s="1">
        <f t="shared" ca="1" si="18"/>
        <v>7240</v>
      </c>
      <c r="B313" s="29">
        <v>860</v>
      </c>
      <c r="C313" s="29">
        <v>29966</v>
      </c>
      <c r="D313" s="29">
        <v>270</v>
      </c>
      <c r="E313" s="29">
        <v>29696</v>
      </c>
      <c r="F313" s="29">
        <v>2978</v>
      </c>
      <c r="G313" s="39"/>
      <c r="H313" s="40"/>
      <c r="I313" s="52"/>
      <c r="J313" s="53"/>
      <c r="K313" s="17"/>
      <c r="L313" s="39">
        <v>884</v>
      </c>
      <c r="M313" s="43"/>
      <c r="N313" s="45" t="s">
        <v>108</v>
      </c>
      <c r="O313" s="55">
        <v>8</v>
      </c>
      <c r="P313" s="56"/>
      <c r="Q313" s="74"/>
      <c r="R313" s="70">
        <v>0</v>
      </c>
      <c r="S313" s="19"/>
      <c r="T313" s="60"/>
      <c r="U313" s="59" t="s">
        <v>108</v>
      </c>
    </row>
    <row r="314" spans="1:21" ht="15" customHeight="1" x14ac:dyDescent="0.25">
      <c r="A314" s="1">
        <f t="shared" ca="1" si="18"/>
        <v>7241</v>
      </c>
      <c r="B314" s="29">
        <v>860</v>
      </c>
      <c r="C314" s="29">
        <v>29952</v>
      </c>
      <c r="D314" s="29">
        <v>270</v>
      </c>
      <c r="E314" s="29">
        <v>29682</v>
      </c>
      <c r="F314" s="29">
        <v>2976</v>
      </c>
      <c r="G314" s="39"/>
      <c r="H314" s="40"/>
      <c r="I314" s="52"/>
      <c r="J314" s="53"/>
      <c r="K314" s="17"/>
      <c r="L314" s="39">
        <v>886</v>
      </c>
      <c r="M314" s="43"/>
      <c r="N314" s="45" t="s">
        <v>108</v>
      </c>
      <c r="O314" s="55">
        <v>9</v>
      </c>
      <c r="P314" s="56"/>
      <c r="Q314" s="74"/>
      <c r="R314" s="70">
        <v>0</v>
      </c>
      <c r="S314" s="19"/>
      <c r="T314" s="60"/>
      <c r="U314" s="59" t="s">
        <v>108</v>
      </c>
    </row>
    <row r="315" spans="1:21" ht="15" customHeight="1" x14ac:dyDescent="0.25">
      <c r="A315" s="1">
        <f t="shared" ca="1" si="18"/>
        <v>7242</v>
      </c>
      <c r="B315" s="29">
        <v>870</v>
      </c>
      <c r="C315" s="29">
        <v>30028</v>
      </c>
      <c r="D315" s="29">
        <v>275</v>
      </c>
      <c r="E315" s="29">
        <v>29753</v>
      </c>
      <c r="F315" s="29">
        <v>2983</v>
      </c>
      <c r="G315" s="39"/>
      <c r="H315" s="40"/>
      <c r="I315" s="52"/>
      <c r="J315" s="53"/>
      <c r="K315" s="17"/>
      <c r="L315" s="39">
        <v>891</v>
      </c>
      <c r="M315" s="43"/>
      <c r="N315" s="45" t="s">
        <v>108</v>
      </c>
      <c r="O315" s="55">
        <v>10</v>
      </c>
      <c r="P315" s="56"/>
      <c r="Q315" s="74"/>
      <c r="R315" s="70">
        <v>0</v>
      </c>
      <c r="S315" s="19"/>
      <c r="T315" s="60"/>
      <c r="U315" s="59" t="s">
        <v>108</v>
      </c>
    </row>
    <row r="316" spans="1:21" ht="15" customHeight="1" x14ac:dyDescent="0.25">
      <c r="A316" s="1">
        <f t="shared" ca="1" si="18"/>
        <v>7243</v>
      </c>
      <c r="B316" s="29">
        <v>860</v>
      </c>
      <c r="C316" s="29">
        <v>30023</v>
      </c>
      <c r="D316" s="29">
        <v>272</v>
      </c>
      <c r="E316" s="29">
        <v>29751</v>
      </c>
      <c r="F316" s="29">
        <v>2983</v>
      </c>
      <c r="G316" s="39"/>
      <c r="H316" s="40"/>
      <c r="I316" s="52"/>
      <c r="J316" s="53"/>
      <c r="K316" s="17"/>
      <c r="L316" s="39">
        <v>876</v>
      </c>
      <c r="M316" s="43"/>
      <c r="N316" s="45" t="s">
        <v>108</v>
      </c>
      <c r="O316" s="55">
        <v>10</v>
      </c>
      <c r="P316" s="56"/>
      <c r="Q316" s="74"/>
      <c r="R316" s="70">
        <v>0</v>
      </c>
      <c r="S316" s="19"/>
      <c r="T316" s="60"/>
      <c r="U316" s="59" t="s">
        <v>108</v>
      </c>
    </row>
    <row r="317" spans="1:21" ht="15" customHeight="1" x14ac:dyDescent="0.25">
      <c r="A317" s="1">
        <f t="shared" ca="1" si="18"/>
        <v>7244</v>
      </c>
      <c r="B317" s="29">
        <v>860</v>
      </c>
      <c r="C317" s="29">
        <v>29990</v>
      </c>
      <c r="D317" s="29">
        <v>270</v>
      </c>
      <c r="E317" s="29">
        <v>29720</v>
      </c>
      <c r="F317" s="29">
        <v>2980</v>
      </c>
      <c r="G317" s="39"/>
      <c r="H317" s="40"/>
      <c r="I317" s="52"/>
      <c r="J317" s="53"/>
      <c r="K317" s="17"/>
      <c r="L317" s="39">
        <v>881</v>
      </c>
      <c r="M317" s="43"/>
      <c r="N317" s="45" t="s">
        <v>108</v>
      </c>
      <c r="O317" s="55">
        <v>8</v>
      </c>
      <c r="P317" s="56"/>
      <c r="Q317" s="74"/>
      <c r="R317" s="70">
        <v>0</v>
      </c>
      <c r="S317" s="19"/>
      <c r="T317" s="60"/>
      <c r="U317" s="59" t="s">
        <v>108</v>
      </c>
    </row>
    <row r="318" spans="1:21" x14ac:dyDescent="0.25">
      <c r="A318" s="1" t="str">
        <f t="shared" ca="1" si="18"/>
        <v>Totaal</v>
      </c>
      <c r="B318" s="61">
        <f>IF(COUNT(B287:B317)&gt;0,AVERAGE(B287:B317)/10,"")</f>
        <v>87.048387096774192</v>
      </c>
      <c r="C318" s="62">
        <f>IF(COUNT(C287:C317)&gt;0,AVERAGE(C287:C317)/1000,"")</f>
        <v>29.968838709677421</v>
      </c>
      <c r="D318" s="62">
        <f t="shared" ref="D318" si="19">IF(COUNT(D287:D317)&gt;0,AVERAGE(D287:D317)/1000,"")</f>
        <v>0.27303225806451614</v>
      </c>
      <c r="E318" s="62">
        <f t="shared" ref="E318" si="20">IF(COUNT(E287:E317)&gt;0,AVERAGE(E287:E317)/1000,"")</f>
        <v>29.696548387096772</v>
      </c>
      <c r="F318" s="62">
        <f>IF(COUNT(F287:F317)&gt;0,AVERAGE(F287:F317)/100,"")</f>
        <v>29.77548387096774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88.358064516129033</v>
      </c>
      <c r="M318" s="44" t="str">
        <f>IF(COUNT(M287:M317)&gt;0,AVERAGE(M287:M317)/10,"")</f>
        <v/>
      </c>
      <c r="N318" s="46"/>
      <c r="O318" s="57">
        <f>IF(COUNT(O287:O317)&gt;0,AVERAGE(O287:O317),"")</f>
        <v>9.67741935483871</v>
      </c>
      <c r="P318" s="58" t="str">
        <f>IF(COUNT(P287:P317)&gt;0,AVERAGE(P287:P317),"")</f>
        <v/>
      </c>
      <c r="Q318" s="47"/>
      <c r="R318" s="68">
        <f>IF(COUNT(R287:R317)&gt;0,SUM(R287:R317)/100,"")</f>
        <v>0.41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7245</v>
      </c>
      <c r="B319" s="29">
        <v>860</v>
      </c>
      <c r="C319" s="29">
        <v>30024</v>
      </c>
      <c r="D319" s="29">
        <v>272</v>
      </c>
      <c r="E319" s="29">
        <v>29752</v>
      </c>
      <c r="F319" s="29">
        <v>2983</v>
      </c>
      <c r="G319" s="39"/>
      <c r="H319" s="40"/>
      <c r="I319" s="52"/>
      <c r="J319" s="53"/>
      <c r="K319" s="17"/>
      <c r="L319" s="39">
        <v>870</v>
      </c>
      <c r="M319" s="43"/>
      <c r="N319" s="45" t="s">
        <v>108</v>
      </c>
      <c r="O319" s="55">
        <v>8</v>
      </c>
      <c r="P319" s="56"/>
      <c r="Q319" s="74"/>
      <c r="R319" s="70">
        <v>0</v>
      </c>
      <c r="S319" s="19"/>
      <c r="T319" s="60"/>
      <c r="U319" s="59" t="s">
        <v>108</v>
      </c>
    </row>
    <row r="320" spans="1:21" ht="15" customHeight="1" x14ac:dyDescent="0.25">
      <c r="A320" s="1">
        <f t="shared" ca="1" si="18"/>
        <v>7246</v>
      </c>
      <c r="B320" s="29">
        <v>855</v>
      </c>
      <c r="C320" s="29">
        <v>30014</v>
      </c>
      <c r="D320" s="29">
        <v>271</v>
      </c>
      <c r="E320" s="29">
        <v>29743</v>
      </c>
      <c r="F320" s="29">
        <v>2982</v>
      </c>
      <c r="G320" s="39"/>
      <c r="H320" s="40"/>
      <c r="I320" s="52"/>
      <c r="J320" s="53"/>
      <c r="K320" s="17"/>
      <c r="L320" s="39">
        <v>903</v>
      </c>
      <c r="M320" s="43"/>
      <c r="N320" s="45" t="s">
        <v>108</v>
      </c>
      <c r="O320" s="55">
        <v>6</v>
      </c>
      <c r="P320" s="56"/>
      <c r="Q320" s="74"/>
      <c r="R320" s="70">
        <v>4</v>
      </c>
      <c r="S320" s="19"/>
      <c r="T320" s="60"/>
      <c r="U320" s="59" t="s">
        <v>108</v>
      </c>
    </row>
    <row r="321" spans="1:21" ht="15" customHeight="1" x14ac:dyDescent="0.25">
      <c r="A321" s="1">
        <f t="shared" ca="1" si="18"/>
        <v>7247</v>
      </c>
      <c r="B321" s="29">
        <v>850</v>
      </c>
      <c r="C321" s="29">
        <v>30022</v>
      </c>
      <c r="D321" s="29">
        <v>270</v>
      </c>
      <c r="E321" s="29">
        <v>29752</v>
      </c>
      <c r="F321" s="29">
        <v>2983</v>
      </c>
      <c r="G321" s="39"/>
      <c r="H321" s="40"/>
      <c r="I321" s="52"/>
      <c r="J321" s="53"/>
      <c r="K321" s="17"/>
      <c r="L321" s="39">
        <v>876</v>
      </c>
      <c r="M321" s="43"/>
      <c r="N321" s="45" t="s">
        <v>108</v>
      </c>
      <c r="O321" s="55">
        <v>8</v>
      </c>
      <c r="P321" s="56"/>
      <c r="Q321" s="74"/>
      <c r="R321" s="70">
        <v>0</v>
      </c>
      <c r="S321" s="19"/>
      <c r="T321" s="60"/>
      <c r="U321" s="59" t="s">
        <v>108</v>
      </c>
    </row>
    <row r="322" spans="1:21" ht="15" customHeight="1" x14ac:dyDescent="0.25">
      <c r="A322" s="1">
        <f t="shared" ca="1" si="18"/>
        <v>7248</v>
      </c>
      <c r="B322" s="29">
        <v>870</v>
      </c>
      <c r="C322" s="29">
        <v>30022</v>
      </c>
      <c r="D322" s="29">
        <v>275</v>
      </c>
      <c r="E322" s="29">
        <v>29747</v>
      </c>
      <c r="F322" s="29">
        <v>2983</v>
      </c>
      <c r="G322" s="39"/>
      <c r="H322" s="40"/>
      <c r="I322" s="52"/>
      <c r="J322" s="53"/>
      <c r="K322" s="17"/>
      <c r="L322" s="39">
        <v>874</v>
      </c>
      <c r="M322" s="43"/>
      <c r="N322" s="45" t="s">
        <v>106</v>
      </c>
      <c r="O322" s="55">
        <v>12</v>
      </c>
      <c r="P322" s="56"/>
      <c r="Q322" s="74"/>
      <c r="R322" s="70">
        <v>0</v>
      </c>
      <c r="S322" s="19"/>
      <c r="T322" s="60"/>
      <c r="U322" s="59" t="s">
        <v>108</v>
      </c>
    </row>
    <row r="323" spans="1:21" ht="15" customHeight="1" x14ac:dyDescent="0.25">
      <c r="A323" s="1">
        <f t="shared" ca="1" si="18"/>
        <v>7249</v>
      </c>
      <c r="B323" s="29">
        <v>865</v>
      </c>
      <c r="C323" s="29">
        <v>30024</v>
      </c>
      <c r="D323" s="29">
        <v>274</v>
      </c>
      <c r="E323" s="29">
        <v>29750</v>
      </c>
      <c r="F323" s="29">
        <v>2983</v>
      </c>
      <c r="G323" s="39"/>
      <c r="H323" s="40"/>
      <c r="I323" s="52"/>
      <c r="J323" s="53"/>
      <c r="K323" s="17"/>
      <c r="L323" s="39">
        <v>883</v>
      </c>
      <c r="M323" s="43"/>
      <c r="N323" s="45" t="s">
        <v>108</v>
      </c>
      <c r="O323" s="55">
        <v>9</v>
      </c>
      <c r="P323" s="56"/>
      <c r="Q323" s="74"/>
      <c r="R323" s="70">
        <v>0</v>
      </c>
      <c r="S323" s="19"/>
      <c r="T323" s="60"/>
      <c r="U323" s="59" t="s">
        <v>108</v>
      </c>
    </row>
    <row r="324" spans="1:21" ht="15" customHeight="1" x14ac:dyDescent="0.25">
      <c r="A324" s="1">
        <f t="shared" ca="1" si="18"/>
        <v>7250</v>
      </c>
      <c r="B324" s="29">
        <v>855</v>
      </c>
      <c r="C324" s="29">
        <v>29970</v>
      </c>
      <c r="D324" s="29">
        <v>269</v>
      </c>
      <c r="E324" s="29">
        <v>29701</v>
      </c>
      <c r="F324" s="29">
        <v>2978</v>
      </c>
      <c r="G324" s="39"/>
      <c r="H324" s="40"/>
      <c r="I324" s="52"/>
      <c r="J324" s="53"/>
      <c r="K324" s="17"/>
      <c r="L324" s="39">
        <v>862</v>
      </c>
      <c r="M324" s="43"/>
      <c r="N324" s="45" t="s">
        <v>108</v>
      </c>
      <c r="O324" s="55">
        <v>8</v>
      </c>
      <c r="P324" s="56"/>
      <c r="Q324" s="74"/>
      <c r="R324" s="70">
        <v>4</v>
      </c>
      <c r="S324" s="19"/>
      <c r="T324" s="60"/>
      <c r="U324" s="59" t="s">
        <v>108</v>
      </c>
    </row>
    <row r="325" spans="1:21" ht="15" customHeight="1" x14ac:dyDescent="0.25">
      <c r="A325" s="1">
        <f t="shared" ca="1" si="18"/>
        <v>7251</v>
      </c>
      <c r="B325" s="29">
        <v>860</v>
      </c>
      <c r="C325" s="29">
        <v>29948</v>
      </c>
      <c r="D325" s="29">
        <v>270</v>
      </c>
      <c r="E325" s="29">
        <v>29678</v>
      </c>
      <c r="F325" s="29">
        <v>2976</v>
      </c>
      <c r="G325" s="39"/>
      <c r="H325" s="40"/>
      <c r="I325" s="52"/>
      <c r="J325" s="53"/>
      <c r="K325" s="17"/>
      <c r="L325" s="39">
        <v>872</v>
      </c>
      <c r="M325" s="43"/>
      <c r="N325" s="45" t="s">
        <v>108</v>
      </c>
      <c r="O325" s="55">
        <v>9</v>
      </c>
      <c r="P325" s="56"/>
      <c r="Q325" s="74"/>
      <c r="R325" s="70">
        <v>0</v>
      </c>
      <c r="S325" s="19"/>
      <c r="T325" s="60"/>
      <c r="U325" s="59" t="s">
        <v>108</v>
      </c>
    </row>
    <row r="326" spans="1:21" ht="15" customHeight="1" x14ac:dyDescent="0.25">
      <c r="A326" s="1">
        <f t="shared" ca="1" si="18"/>
        <v>7252</v>
      </c>
      <c r="B326" s="29">
        <v>850</v>
      </c>
      <c r="C326" s="29">
        <v>29945</v>
      </c>
      <c r="D326" s="29">
        <v>267</v>
      </c>
      <c r="E326" s="29">
        <v>29678</v>
      </c>
      <c r="F326" s="29">
        <v>2976</v>
      </c>
      <c r="G326" s="39"/>
      <c r="H326" s="40"/>
      <c r="I326" s="52"/>
      <c r="J326" s="53"/>
      <c r="K326" s="17"/>
      <c r="L326" s="39">
        <v>862</v>
      </c>
      <c r="M326" s="43"/>
      <c r="N326" s="45" t="s">
        <v>108</v>
      </c>
      <c r="O326" s="55">
        <v>10</v>
      </c>
      <c r="P326" s="56"/>
      <c r="Q326" s="74"/>
      <c r="R326" s="70">
        <v>0</v>
      </c>
      <c r="S326" s="19"/>
      <c r="T326" s="60"/>
      <c r="U326" s="59" t="s">
        <v>108</v>
      </c>
    </row>
    <row r="327" spans="1:21" ht="15" customHeight="1" x14ac:dyDescent="0.25">
      <c r="A327" s="1">
        <f t="shared" ref="A327:A381" ca="1" si="22">IF(ISTEXT(A326),A325+1,IF(MONTH(A326+1)=MONTH(A326),A326+1,"Totaal"))</f>
        <v>7253</v>
      </c>
      <c r="B327" s="29">
        <v>855</v>
      </c>
      <c r="C327" s="29">
        <v>29944</v>
      </c>
      <c r="D327" s="29">
        <v>269</v>
      </c>
      <c r="E327" s="29">
        <v>29675</v>
      </c>
      <c r="F327" s="29">
        <v>2976</v>
      </c>
      <c r="G327" s="39"/>
      <c r="H327" s="40"/>
      <c r="I327" s="52"/>
      <c r="J327" s="53"/>
      <c r="K327" s="17"/>
      <c r="L327" s="39">
        <v>869</v>
      </c>
      <c r="M327" s="43"/>
      <c r="N327" s="45" t="s">
        <v>106</v>
      </c>
      <c r="O327" s="55">
        <v>8</v>
      </c>
      <c r="P327" s="56"/>
      <c r="Q327" s="74"/>
      <c r="R327" s="70">
        <v>0</v>
      </c>
      <c r="S327" s="19"/>
      <c r="T327" s="60"/>
      <c r="U327" s="59" t="s">
        <v>108</v>
      </c>
    </row>
    <row r="328" spans="1:21" ht="15" customHeight="1" x14ac:dyDescent="0.25">
      <c r="A328" s="1">
        <f t="shared" ca="1" si="22"/>
        <v>7254</v>
      </c>
      <c r="B328" s="29">
        <v>840</v>
      </c>
      <c r="C328" s="29">
        <v>29970</v>
      </c>
      <c r="D328" s="29">
        <v>267</v>
      </c>
      <c r="E328" s="29">
        <v>29703</v>
      </c>
      <c r="F328" s="29">
        <v>2978</v>
      </c>
      <c r="G328" s="39"/>
      <c r="H328" s="40"/>
      <c r="I328" s="52"/>
      <c r="J328" s="53"/>
      <c r="K328" s="17"/>
      <c r="L328" s="39">
        <v>862</v>
      </c>
      <c r="M328" s="43"/>
      <c r="N328" s="45" t="s">
        <v>108</v>
      </c>
      <c r="O328" s="55">
        <v>8</v>
      </c>
      <c r="P328" s="56"/>
      <c r="Q328" s="74"/>
      <c r="R328" s="70">
        <v>1</v>
      </c>
      <c r="S328" s="19"/>
      <c r="T328" s="60"/>
      <c r="U328" s="59" t="s">
        <v>108</v>
      </c>
    </row>
    <row r="329" spans="1:21" ht="15" customHeight="1" x14ac:dyDescent="0.25">
      <c r="A329" s="1">
        <f t="shared" ca="1" si="22"/>
        <v>7255</v>
      </c>
      <c r="B329" s="29">
        <v>875</v>
      </c>
      <c r="C329" s="29">
        <v>29948</v>
      </c>
      <c r="D329" s="29">
        <v>274</v>
      </c>
      <c r="E329" s="29">
        <v>29674</v>
      </c>
      <c r="F329" s="29">
        <v>2975</v>
      </c>
      <c r="G329" s="39"/>
      <c r="H329" s="40"/>
      <c r="I329" s="52"/>
      <c r="J329" s="53"/>
      <c r="K329" s="17"/>
      <c r="L329" s="39">
        <v>848</v>
      </c>
      <c r="M329" s="43"/>
      <c r="N329" s="45" t="s">
        <v>108</v>
      </c>
      <c r="O329" s="55">
        <v>8</v>
      </c>
      <c r="P329" s="56"/>
      <c r="Q329" s="74"/>
      <c r="R329" s="70">
        <v>114</v>
      </c>
      <c r="S329" s="19"/>
      <c r="T329" s="60"/>
      <c r="U329" s="59" t="s">
        <v>108</v>
      </c>
    </row>
    <row r="330" spans="1:21" ht="15" customHeight="1" x14ac:dyDescent="0.25">
      <c r="A330" s="1">
        <f t="shared" ca="1" si="22"/>
        <v>7256</v>
      </c>
      <c r="B330" s="29">
        <v>885</v>
      </c>
      <c r="C330" s="29">
        <v>29980</v>
      </c>
      <c r="D330" s="29">
        <v>276</v>
      </c>
      <c r="E330" s="29">
        <v>29704</v>
      </c>
      <c r="F330" s="29">
        <v>2978</v>
      </c>
      <c r="G330" s="39"/>
      <c r="H330" s="40"/>
      <c r="I330" s="52"/>
      <c r="J330" s="53"/>
      <c r="K330" s="17"/>
      <c r="L330" s="39">
        <v>852</v>
      </c>
      <c r="M330" s="43"/>
      <c r="N330" s="45" t="s">
        <v>106</v>
      </c>
      <c r="O330" s="55">
        <v>6</v>
      </c>
      <c r="P330" s="56"/>
      <c r="Q330" s="74"/>
      <c r="R330" s="70">
        <v>3</v>
      </c>
      <c r="S330" s="19"/>
      <c r="T330" s="60"/>
      <c r="U330" s="59" t="s">
        <v>108</v>
      </c>
    </row>
    <row r="331" spans="1:21" ht="15" customHeight="1" x14ac:dyDescent="0.25">
      <c r="A331" s="1">
        <f t="shared" ca="1" si="22"/>
        <v>7257</v>
      </c>
      <c r="B331" s="29">
        <v>830</v>
      </c>
      <c r="C331" s="29">
        <v>29938</v>
      </c>
      <c r="D331" s="29">
        <v>262</v>
      </c>
      <c r="E331" s="29">
        <v>29676</v>
      </c>
      <c r="F331" s="29">
        <v>2976</v>
      </c>
      <c r="G331" s="39"/>
      <c r="H331" s="40"/>
      <c r="I331" s="52"/>
      <c r="J331" s="53"/>
      <c r="K331" s="17"/>
      <c r="L331" s="39">
        <v>849</v>
      </c>
      <c r="M331" s="43"/>
      <c r="N331" s="45" t="s">
        <v>106</v>
      </c>
      <c r="O331" s="55">
        <v>8</v>
      </c>
      <c r="P331" s="56"/>
      <c r="Q331" s="74"/>
      <c r="R331" s="70">
        <v>0</v>
      </c>
      <c r="S331" s="19"/>
      <c r="T331" s="60"/>
      <c r="U331" s="59" t="s">
        <v>108</v>
      </c>
    </row>
    <row r="332" spans="1:21" ht="15" customHeight="1" x14ac:dyDescent="0.25">
      <c r="A332" s="1">
        <f t="shared" ca="1" si="22"/>
        <v>7258</v>
      </c>
      <c r="B332" s="29">
        <v>870</v>
      </c>
      <c r="C332" s="29">
        <v>29975</v>
      </c>
      <c r="D332" s="29">
        <v>272</v>
      </c>
      <c r="E332" s="29">
        <v>29703</v>
      </c>
      <c r="F332" s="29">
        <v>2978</v>
      </c>
      <c r="G332" s="39"/>
      <c r="H332" s="40"/>
      <c r="I332" s="52"/>
      <c r="J332" s="53"/>
      <c r="K332" s="17"/>
      <c r="L332" s="39">
        <v>848</v>
      </c>
      <c r="M332" s="43"/>
      <c r="N332" s="45" t="s">
        <v>106</v>
      </c>
      <c r="O332" s="55">
        <v>8</v>
      </c>
      <c r="P332" s="56"/>
      <c r="Q332" s="74"/>
      <c r="R332" s="70">
        <v>82</v>
      </c>
      <c r="S332" s="19"/>
      <c r="T332" s="60"/>
      <c r="U332" s="59" t="s">
        <v>108</v>
      </c>
    </row>
    <row r="333" spans="1:21" ht="15" customHeight="1" x14ac:dyDescent="0.25">
      <c r="A333" s="1">
        <f t="shared" ca="1" si="22"/>
        <v>7259</v>
      </c>
      <c r="B333" s="29">
        <v>830</v>
      </c>
      <c r="C333" s="29">
        <v>30020</v>
      </c>
      <c r="D333" s="29">
        <v>264</v>
      </c>
      <c r="E333" s="29">
        <v>29756</v>
      </c>
      <c r="F333" s="29">
        <v>2984</v>
      </c>
      <c r="G333" s="39"/>
      <c r="H333" s="40"/>
      <c r="I333" s="52"/>
      <c r="J333" s="53"/>
      <c r="K333" s="17"/>
      <c r="L333" s="39">
        <v>849</v>
      </c>
      <c r="M333" s="43"/>
      <c r="N333" s="45" t="s">
        <v>106</v>
      </c>
      <c r="O333" s="55">
        <v>6</v>
      </c>
      <c r="P333" s="56"/>
      <c r="Q333" s="74"/>
      <c r="R333" s="70">
        <v>20</v>
      </c>
      <c r="S333" s="19"/>
      <c r="T333" s="60"/>
      <c r="U333" s="59" t="s">
        <v>108</v>
      </c>
    </row>
    <row r="334" spans="1:21" ht="15" customHeight="1" x14ac:dyDescent="0.25">
      <c r="A334" s="1">
        <f t="shared" ca="1" si="22"/>
        <v>7260</v>
      </c>
      <c r="B334" s="29">
        <v>840</v>
      </c>
      <c r="C334" s="29">
        <v>30010</v>
      </c>
      <c r="D334" s="29">
        <v>267</v>
      </c>
      <c r="E334" s="29">
        <v>29743</v>
      </c>
      <c r="F334" s="29">
        <v>2982</v>
      </c>
      <c r="G334" s="39"/>
      <c r="H334" s="40"/>
      <c r="I334" s="52"/>
      <c r="J334" s="53"/>
      <c r="K334" s="17"/>
      <c r="L334" s="39">
        <v>873</v>
      </c>
      <c r="M334" s="43"/>
      <c r="N334" s="45" t="s">
        <v>106</v>
      </c>
      <c r="O334" s="55">
        <v>5</v>
      </c>
      <c r="P334" s="56"/>
      <c r="Q334" s="74"/>
      <c r="R334" s="70">
        <v>18</v>
      </c>
      <c r="S334" s="19"/>
      <c r="T334" s="60"/>
      <c r="U334" s="59" t="s">
        <v>108</v>
      </c>
    </row>
    <row r="335" spans="1:21" ht="15" customHeight="1" x14ac:dyDescent="0.25">
      <c r="A335" s="1">
        <f t="shared" ca="1" si="22"/>
        <v>7261</v>
      </c>
      <c r="B335" s="29">
        <v>875</v>
      </c>
      <c r="C335" s="29">
        <v>29943</v>
      </c>
      <c r="D335" s="29">
        <v>269</v>
      </c>
      <c r="E335" s="29">
        <v>29674</v>
      </c>
      <c r="F335" s="29">
        <v>2975</v>
      </c>
      <c r="G335" s="39"/>
      <c r="H335" s="40"/>
      <c r="I335" s="52"/>
      <c r="J335" s="53"/>
      <c r="K335" s="17"/>
      <c r="L335" s="39">
        <v>875</v>
      </c>
      <c r="M335" s="43"/>
      <c r="N335" s="45" t="s">
        <v>106</v>
      </c>
      <c r="O335" s="55">
        <v>7</v>
      </c>
      <c r="P335" s="56"/>
      <c r="Q335" s="74"/>
      <c r="R335" s="70">
        <v>0</v>
      </c>
      <c r="S335" s="19"/>
      <c r="T335" s="60"/>
      <c r="U335" s="59" t="s">
        <v>108</v>
      </c>
    </row>
    <row r="336" spans="1:21" ht="15" customHeight="1" x14ac:dyDescent="0.25">
      <c r="A336" s="1">
        <f t="shared" ca="1" si="22"/>
        <v>7262</v>
      </c>
      <c r="B336" s="29">
        <v>860</v>
      </c>
      <c r="C336" s="29">
        <v>29926</v>
      </c>
      <c r="D336" s="29">
        <v>270</v>
      </c>
      <c r="E336" s="29">
        <v>29656</v>
      </c>
      <c r="F336" s="29">
        <v>2974</v>
      </c>
      <c r="G336" s="39"/>
      <c r="H336" s="40"/>
      <c r="I336" s="52"/>
      <c r="J336" s="53"/>
      <c r="K336" s="17"/>
      <c r="L336" s="39">
        <v>862</v>
      </c>
      <c r="M336" s="43"/>
      <c r="N336" s="45" t="s">
        <v>108</v>
      </c>
      <c r="O336" s="55">
        <v>8</v>
      </c>
      <c r="P336" s="56"/>
      <c r="Q336" s="74"/>
      <c r="R336" s="70">
        <v>0</v>
      </c>
      <c r="S336" s="19"/>
      <c r="T336" s="60"/>
      <c r="U336" s="59" t="s">
        <v>108</v>
      </c>
    </row>
    <row r="337" spans="1:21" ht="15" customHeight="1" x14ac:dyDescent="0.25">
      <c r="A337" s="1">
        <f t="shared" ca="1" si="22"/>
        <v>7263</v>
      </c>
      <c r="B337" s="29">
        <v>850</v>
      </c>
      <c r="C337" s="29">
        <v>29974</v>
      </c>
      <c r="D337" s="29">
        <v>267</v>
      </c>
      <c r="E337" s="29">
        <v>29707</v>
      </c>
      <c r="F337" s="29">
        <v>2979</v>
      </c>
      <c r="G337" s="39"/>
      <c r="H337" s="40"/>
      <c r="I337" s="52"/>
      <c r="J337" s="53"/>
      <c r="K337" s="17"/>
      <c r="L337" s="39">
        <v>872</v>
      </c>
      <c r="M337" s="43"/>
      <c r="N337" s="45" t="s">
        <v>108</v>
      </c>
      <c r="O337" s="55">
        <v>6</v>
      </c>
      <c r="P337" s="56"/>
      <c r="Q337" s="74"/>
      <c r="R337" s="70">
        <v>3</v>
      </c>
      <c r="S337" s="19"/>
      <c r="T337" s="60"/>
      <c r="U337" s="59" t="s">
        <v>108</v>
      </c>
    </row>
    <row r="338" spans="1:21" ht="15" customHeight="1" x14ac:dyDescent="0.25">
      <c r="A338" s="1">
        <f t="shared" ca="1" si="22"/>
        <v>7264</v>
      </c>
      <c r="B338" s="29">
        <v>850</v>
      </c>
      <c r="C338" s="29">
        <v>30020</v>
      </c>
      <c r="D338" s="29">
        <v>270</v>
      </c>
      <c r="E338" s="29">
        <v>29750</v>
      </c>
      <c r="F338" s="29">
        <v>2983</v>
      </c>
      <c r="G338" s="39"/>
      <c r="H338" s="40"/>
      <c r="I338" s="52"/>
      <c r="J338" s="53"/>
      <c r="K338" s="17"/>
      <c r="L338" s="39">
        <v>872</v>
      </c>
      <c r="M338" s="43"/>
      <c r="N338" s="45" t="s">
        <v>108</v>
      </c>
      <c r="O338" s="55">
        <v>10</v>
      </c>
      <c r="P338" s="56"/>
      <c r="Q338" s="74"/>
      <c r="R338" s="70">
        <v>0</v>
      </c>
      <c r="S338" s="19"/>
      <c r="T338" s="60"/>
      <c r="U338" s="59" t="s">
        <v>108</v>
      </c>
    </row>
    <row r="339" spans="1:21" ht="15" customHeight="1" x14ac:dyDescent="0.25">
      <c r="A339" s="1">
        <f t="shared" ca="1" si="22"/>
        <v>7265</v>
      </c>
      <c r="B339" s="29">
        <v>850</v>
      </c>
      <c r="C339" s="29">
        <v>30014</v>
      </c>
      <c r="D339" s="29">
        <v>270</v>
      </c>
      <c r="E339" s="29">
        <v>29744</v>
      </c>
      <c r="F339" s="29">
        <v>2982</v>
      </c>
      <c r="G339" s="39"/>
      <c r="H339" s="40"/>
      <c r="I339" s="52"/>
      <c r="J339" s="53"/>
      <c r="K339" s="17"/>
      <c r="L339" s="39">
        <v>872</v>
      </c>
      <c r="M339" s="43"/>
      <c r="N339" s="45" t="s">
        <v>108</v>
      </c>
      <c r="O339" s="55">
        <v>9</v>
      </c>
      <c r="P339" s="56"/>
      <c r="Q339" s="74"/>
      <c r="R339" s="70">
        <v>0</v>
      </c>
      <c r="S339" s="19"/>
      <c r="T339" s="60"/>
      <c r="U339" s="59" t="s">
        <v>108</v>
      </c>
    </row>
    <row r="340" spans="1:21" ht="15" customHeight="1" x14ac:dyDescent="0.25">
      <c r="A340" s="1">
        <f t="shared" ca="1" si="22"/>
        <v>7266</v>
      </c>
      <c r="B340" s="29">
        <v>830</v>
      </c>
      <c r="C340" s="29">
        <v>29966</v>
      </c>
      <c r="D340" s="29">
        <v>262</v>
      </c>
      <c r="E340" s="29">
        <v>29704</v>
      </c>
      <c r="F340" s="29">
        <v>2978</v>
      </c>
      <c r="G340" s="39"/>
      <c r="H340" s="40"/>
      <c r="I340" s="52"/>
      <c r="J340" s="53"/>
      <c r="K340" s="17"/>
      <c r="L340" s="39">
        <v>854</v>
      </c>
      <c r="M340" s="43"/>
      <c r="N340" s="45" t="s">
        <v>104</v>
      </c>
      <c r="O340" s="55"/>
      <c r="P340" s="56"/>
      <c r="Q340" s="74"/>
      <c r="R340" s="70">
        <v>68</v>
      </c>
      <c r="S340" s="19"/>
      <c r="T340" s="60"/>
      <c r="U340" s="59"/>
    </row>
    <row r="341" spans="1:21" ht="15" customHeight="1" x14ac:dyDescent="0.25">
      <c r="A341" s="1">
        <f t="shared" ca="1" si="22"/>
        <v>7267</v>
      </c>
      <c r="B341" s="29">
        <v>840</v>
      </c>
      <c r="C341" s="29">
        <v>29948</v>
      </c>
      <c r="D341" s="29">
        <v>265</v>
      </c>
      <c r="E341" s="29">
        <v>29683</v>
      </c>
      <c r="F341" s="29">
        <v>2976</v>
      </c>
      <c r="G341" s="39"/>
      <c r="H341" s="40"/>
      <c r="I341" s="52"/>
      <c r="J341" s="53"/>
      <c r="K341" s="17"/>
      <c r="L341" s="39">
        <v>861</v>
      </c>
      <c r="M341" s="43"/>
      <c r="N341" s="45" t="s">
        <v>108</v>
      </c>
      <c r="O341" s="55">
        <v>6</v>
      </c>
      <c r="P341" s="56"/>
      <c r="Q341" s="74"/>
      <c r="R341" s="70">
        <v>0</v>
      </c>
      <c r="S341" s="19"/>
      <c r="T341" s="60"/>
      <c r="U341" s="59" t="s">
        <v>108</v>
      </c>
    </row>
    <row r="342" spans="1:21" ht="15" customHeight="1" x14ac:dyDescent="0.25">
      <c r="A342" s="1">
        <f t="shared" ca="1" si="22"/>
        <v>7268</v>
      </c>
      <c r="B342" s="29">
        <v>855</v>
      </c>
      <c r="C342" s="29">
        <v>29992</v>
      </c>
      <c r="D342" s="29">
        <v>269</v>
      </c>
      <c r="E342" s="29">
        <v>29723</v>
      </c>
      <c r="F342" s="29">
        <v>2980</v>
      </c>
      <c r="G342" s="39"/>
      <c r="H342" s="40"/>
      <c r="I342" s="52"/>
      <c r="J342" s="53"/>
      <c r="K342" s="17"/>
      <c r="L342" s="39">
        <v>874</v>
      </c>
      <c r="M342" s="43"/>
      <c r="N342" s="45" t="s">
        <v>108</v>
      </c>
      <c r="O342" s="55">
        <v>8</v>
      </c>
      <c r="P342" s="56"/>
      <c r="Q342" s="74"/>
      <c r="R342" s="70">
        <v>0</v>
      </c>
      <c r="S342" s="19"/>
      <c r="T342" s="60"/>
      <c r="U342" s="59" t="s">
        <v>108</v>
      </c>
    </row>
    <row r="343" spans="1:21" ht="15" customHeight="1" x14ac:dyDescent="0.25">
      <c r="A343" s="1">
        <f t="shared" ca="1" si="22"/>
        <v>7269</v>
      </c>
      <c r="B343" s="29">
        <v>855</v>
      </c>
      <c r="C343" s="29">
        <v>30025</v>
      </c>
      <c r="D343" s="29">
        <v>271</v>
      </c>
      <c r="E343" s="29">
        <v>29754</v>
      </c>
      <c r="F343" s="29">
        <v>2983</v>
      </c>
      <c r="G343" s="39"/>
      <c r="H343" s="40"/>
      <c r="I343" s="52"/>
      <c r="J343" s="53"/>
      <c r="K343" s="17"/>
      <c r="L343" s="39">
        <v>880</v>
      </c>
      <c r="M343" s="43"/>
      <c r="N343" s="45" t="s">
        <v>108</v>
      </c>
      <c r="O343" s="55">
        <v>10</v>
      </c>
      <c r="P343" s="56"/>
      <c r="Q343" s="74"/>
      <c r="R343" s="70">
        <v>0</v>
      </c>
      <c r="S343" s="19"/>
      <c r="T343" s="60"/>
      <c r="U343" s="59" t="s">
        <v>108</v>
      </c>
    </row>
    <row r="344" spans="1:21" ht="15" customHeight="1" x14ac:dyDescent="0.25">
      <c r="A344" s="1">
        <f t="shared" ca="1" si="22"/>
        <v>7270</v>
      </c>
      <c r="B344" s="29">
        <v>810</v>
      </c>
      <c r="C344" s="29">
        <v>29970</v>
      </c>
      <c r="D344" s="29">
        <v>257</v>
      </c>
      <c r="E344" s="29">
        <v>29713</v>
      </c>
      <c r="F344" s="29">
        <v>2979</v>
      </c>
      <c r="G344" s="39"/>
      <c r="H344" s="40"/>
      <c r="I344" s="52"/>
      <c r="J344" s="53"/>
      <c r="K344" s="17"/>
      <c r="L344" s="39">
        <v>824</v>
      </c>
      <c r="M344" s="43"/>
      <c r="N344" s="45" t="s">
        <v>108</v>
      </c>
      <c r="O344" s="55">
        <v>12</v>
      </c>
      <c r="P344" s="56"/>
      <c r="Q344" s="74"/>
      <c r="R344" s="70">
        <v>16</v>
      </c>
      <c r="S344" s="19"/>
      <c r="T344" s="60"/>
      <c r="U344" s="59" t="s">
        <v>108</v>
      </c>
    </row>
    <row r="345" spans="1:21" ht="15" customHeight="1" x14ac:dyDescent="0.25">
      <c r="A345" s="1">
        <f t="shared" ca="1" si="22"/>
        <v>7271</v>
      </c>
      <c r="B345" s="29">
        <v>835</v>
      </c>
      <c r="C345" s="29">
        <v>29920</v>
      </c>
      <c r="D345" s="29">
        <v>263</v>
      </c>
      <c r="E345" s="29">
        <v>29657</v>
      </c>
      <c r="F345" s="29">
        <v>2974</v>
      </c>
      <c r="G345" s="39"/>
      <c r="H345" s="40"/>
      <c r="I345" s="52"/>
      <c r="J345" s="53"/>
      <c r="K345" s="17"/>
      <c r="L345" s="39">
        <v>849</v>
      </c>
      <c r="M345" s="43"/>
      <c r="N345" s="45" t="s">
        <v>106</v>
      </c>
      <c r="O345" s="55">
        <v>8</v>
      </c>
      <c r="P345" s="56"/>
      <c r="Q345" s="74"/>
      <c r="R345" s="70">
        <v>0</v>
      </c>
      <c r="S345" s="19"/>
      <c r="T345" s="60"/>
      <c r="U345" s="59" t="s">
        <v>108</v>
      </c>
    </row>
    <row r="346" spans="1:21" ht="15" customHeight="1" x14ac:dyDescent="0.25">
      <c r="A346" s="1">
        <f t="shared" ca="1" si="22"/>
        <v>7272</v>
      </c>
      <c r="B346" s="29">
        <v>835</v>
      </c>
      <c r="C346" s="29">
        <v>29900</v>
      </c>
      <c r="D346" s="29">
        <v>263</v>
      </c>
      <c r="E346" s="29">
        <v>29637</v>
      </c>
      <c r="F346" s="29">
        <v>2972</v>
      </c>
      <c r="G346" s="39"/>
      <c r="H346" s="40"/>
      <c r="I346" s="52"/>
      <c r="J346" s="53"/>
      <c r="K346" s="17"/>
      <c r="L346" s="39">
        <v>852</v>
      </c>
      <c r="M346" s="43"/>
      <c r="N346" s="45" t="s">
        <v>108</v>
      </c>
      <c r="O346" s="55">
        <v>8</v>
      </c>
      <c r="P346" s="56"/>
      <c r="Q346" s="74"/>
      <c r="R346" s="70">
        <v>5</v>
      </c>
      <c r="S346" s="19"/>
      <c r="T346" s="60"/>
      <c r="U346" s="59" t="s">
        <v>108</v>
      </c>
    </row>
    <row r="347" spans="1:21" ht="15" customHeight="1" x14ac:dyDescent="0.25">
      <c r="A347" s="1">
        <f t="shared" ca="1" si="22"/>
        <v>7273</v>
      </c>
      <c r="B347" s="29">
        <v>850</v>
      </c>
      <c r="C347" s="29">
        <v>29890</v>
      </c>
      <c r="D347" s="29">
        <v>267</v>
      </c>
      <c r="E347" s="29">
        <v>29623</v>
      </c>
      <c r="F347" s="29">
        <v>2970</v>
      </c>
      <c r="G347" s="39"/>
      <c r="H347" s="40"/>
      <c r="I347" s="52"/>
      <c r="J347" s="53"/>
      <c r="K347" s="17"/>
      <c r="L347" s="39">
        <v>862</v>
      </c>
      <c r="M347" s="43"/>
      <c r="N347" s="45" t="s">
        <v>106</v>
      </c>
      <c r="O347" s="55">
        <v>8</v>
      </c>
      <c r="P347" s="56"/>
      <c r="Q347" s="74"/>
      <c r="R347" s="70">
        <v>0</v>
      </c>
      <c r="S347" s="19"/>
      <c r="T347" s="60"/>
      <c r="U347" s="59" t="s">
        <v>108</v>
      </c>
    </row>
    <row r="348" spans="1:21" ht="15" customHeight="1" x14ac:dyDescent="0.25">
      <c r="A348" s="1">
        <f t="shared" ca="1" si="22"/>
        <v>7274</v>
      </c>
      <c r="B348" s="29">
        <v>830</v>
      </c>
      <c r="C348" s="29">
        <v>29906</v>
      </c>
      <c r="D348" s="29">
        <v>262</v>
      </c>
      <c r="E348" s="29">
        <v>29644</v>
      </c>
      <c r="F348" s="29">
        <v>2972</v>
      </c>
      <c r="G348" s="39"/>
      <c r="H348" s="40"/>
      <c r="I348" s="52"/>
      <c r="J348" s="53"/>
      <c r="K348" s="17"/>
      <c r="L348" s="39">
        <v>821</v>
      </c>
      <c r="M348" s="43"/>
      <c r="N348" s="45" t="s">
        <v>110</v>
      </c>
      <c r="O348" s="55">
        <v>4</v>
      </c>
      <c r="P348" s="56"/>
      <c r="Q348" s="74"/>
      <c r="R348" s="70">
        <v>3</v>
      </c>
      <c r="S348" s="19"/>
      <c r="T348" s="60"/>
      <c r="U348" s="59" t="s">
        <v>110</v>
      </c>
    </row>
    <row r="349" spans="1:21" x14ac:dyDescent="0.25">
      <c r="A349" s="1" t="str">
        <f t="shared" ca="1" si="22"/>
        <v>Totaal</v>
      </c>
      <c r="B349" s="61">
        <f>IF(COUNT(B319:B348)&gt;0,AVERAGE(B319:B348)/10,"")</f>
        <v>85.05</v>
      </c>
      <c r="C349" s="62">
        <f>IF(COUNT(C319:C348)&gt;0,AVERAGE(C319:C348)/1000,"")</f>
        <v>29.971599999999999</v>
      </c>
      <c r="D349" s="62">
        <f>IF(COUNT(D319:D348)&gt;0,AVERAGE(D319:D348)/1000,"")</f>
        <v>0.26813333333333333</v>
      </c>
      <c r="E349" s="62">
        <f>IF(COUNT(E319:E348)&gt;0,AVERAGE(E319:E348)/1000,"")</f>
        <v>29.703466666666667</v>
      </c>
      <c r="F349" s="62">
        <f>IF(COUNT(F319:F348)&gt;0,AVERAGE(F319:F348)/100,"")</f>
        <v>29.782666666666668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86.273333333333341</v>
      </c>
      <c r="M349" s="44" t="str">
        <f>IF(COUNT(M319:M348)&gt;0,AVERAGE(M319:M348)/10,"")</f>
        <v/>
      </c>
      <c r="N349" s="46"/>
      <c r="O349" s="57">
        <f>IF(COUNT(O319:O348)&gt;0,AVERAGE(O319:O348),"")</f>
        <v>7.9655172413793105</v>
      </c>
      <c r="P349" s="58" t="str">
        <f>IF(COUNT(P319:P348)&gt;0,AVERAGE(P319:P348),"")</f>
        <v/>
      </c>
      <c r="Q349" s="47"/>
      <c r="R349" s="68">
        <f>IF(COUNT(R319:R348)&gt;0,SUM(R319:R348)/100,"")</f>
        <v>3.41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7275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7276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7277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7278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7279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7280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7281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7282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7283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7284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7285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7286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7287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7288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7289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7290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7291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7292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7293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7294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7295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7296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7297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7298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7299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7300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7301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7302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7303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7304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7305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600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19190101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19190102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19190103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19190104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19190105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19190106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19190107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19190108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19190109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19190110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19190111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19190112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19190113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19190114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19190115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19190116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19190117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19190118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19190119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19190120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19190121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19190122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19190123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19190124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19190125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19190126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19190127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19190128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19190129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19190130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19190131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19190201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19190202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19190203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19190204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19190205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19190206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19190207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19190208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19190209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19190210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19190211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19190212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19190213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19190214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19190215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19190216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19190217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19190218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19190219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19190220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19190221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19190222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19190223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19190224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19190225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19190226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19190227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19190228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19190301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19190302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19190303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19190304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19190305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19190306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19190307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19190308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19190309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19190310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19190311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19190312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19190313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19190314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19190315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19190316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19190317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19190318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19190319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19190320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19190321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19190322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19190323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19190324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19190325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19190326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19190327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19190328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19190329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19190330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19190331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19190401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19190402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19190403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19190404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19190405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19190406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19190407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19190408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19190409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19190410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19190411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19190412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19190413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19190414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19190415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19190416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19190417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19190418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19190419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19190420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19190421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19190422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19190423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19190424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19190425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19190426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19190427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19190428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19190429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19190430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19190501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19190502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19190503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19190504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19190505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19190506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19190507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19190508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19190509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19190510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19190511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19190512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19190513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19190514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19190515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19190516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19190517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19190518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19190519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19190520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19190521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19190522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19190523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19190524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19190525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19190526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19190527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19190528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19190529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19190530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19190531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19190601</v>
      </c>
      <c r="C153" s="5">
        <v>1</v>
      </c>
      <c r="D153" s="69">
        <f t="shared" ca="1" si="4"/>
        <v>0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19190602</v>
      </c>
      <c r="C154" s="5">
        <v>1</v>
      </c>
      <c r="D154" s="69">
        <f t="shared" ca="1" si="4"/>
        <v>0</v>
      </c>
      <c r="E154" s="10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19190603</v>
      </c>
      <c r="C155" s="5">
        <v>1</v>
      </c>
      <c r="D155" s="69">
        <f t="shared" ca="1" si="4"/>
        <v>0</v>
      </c>
      <c r="E155" s="10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19190604</v>
      </c>
      <c r="C156" s="5">
        <v>1</v>
      </c>
      <c r="D156" s="69">
        <f t="shared" ca="1" si="4"/>
        <v>0</v>
      </c>
      <c r="E156" s="10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19190605</v>
      </c>
      <c r="C157" s="5">
        <v>1</v>
      </c>
      <c r="D157" s="69">
        <f t="shared" ca="1" si="4"/>
        <v>0</v>
      </c>
      <c r="E157" s="10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19190606</v>
      </c>
      <c r="C158" s="5">
        <v>1</v>
      </c>
      <c r="D158" s="69">
        <f t="shared" ca="1" si="4"/>
        <v>0</v>
      </c>
      <c r="E158" s="10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19190607</v>
      </c>
      <c r="C159" s="5">
        <v>1</v>
      </c>
      <c r="D159" s="69">
        <f t="shared" ca="1" si="4"/>
        <v>0</v>
      </c>
      <c r="E159" s="10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19190608</v>
      </c>
      <c r="C160" s="5">
        <v>1</v>
      </c>
      <c r="D160" s="69">
        <f t="shared" ca="1" si="4"/>
        <v>0</v>
      </c>
      <c r="E160" s="10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19190609</v>
      </c>
      <c r="C161" s="5">
        <v>1</v>
      </c>
      <c r="D161" s="69">
        <f t="shared" ca="1" si="4"/>
        <v>0</v>
      </c>
      <c r="E161" s="10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19190610</v>
      </c>
      <c r="C162" s="5">
        <v>1</v>
      </c>
      <c r="D162" s="69">
        <f t="shared" ca="1" si="4"/>
        <v>0.8</v>
      </c>
      <c r="E162" s="10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19190611</v>
      </c>
      <c r="C163" s="5">
        <v>1</v>
      </c>
      <c r="D163" s="69">
        <f t="shared" ca="1" si="4"/>
        <v>0</v>
      </c>
      <c r="E163" s="10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19190612</v>
      </c>
      <c r="C164" s="5">
        <v>1</v>
      </c>
      <c r="D164" s="69">
        <f t="shared" ca="1" si="4"/>
        <v>0</v>
      </c>
      <c r="E164" s="10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19190613</v>
      </c>
      <c r="C165" s="5">
        <v>1</v>
      </c>
      <c r="D165" s="69">
        <f t="shared" ca="1" si="4"/>
        <v>0</v>
      </c>
      <c r="E165" s="10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19190614</v>
      </c>
      <c r="C166" s="5">
        <v>1</v>
      </c>
      <c r="D166" s="69">
        <f t="shared" ca="1" si="4"/>
        <v>0</v>
      </c>
      <c r="E166" s="10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19190615</v>
      </c>
      <c r="C167" s="5">
        <v>1</v>
      </c>
      <c r="D167" s="69">
        <f t="shared" ca="1" si="4"/>
        <v>0</v>
      </c>
      <c r="E167" s="10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19190616</v>
      </c>
      <c r="C168" s="5">
        <v>1</v>
      </c>
      <c r="D168" s="69">
        <f t="shared" ca="1" si="4"/>
        <v>0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19190617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19190618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19190619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19190620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19190621</v>
      </c>
      <c r="C173" s="5">
        <v>1</v>
      </c>
      <c r="D173" s="69">
        <f t="shared" ca="1" si="4"/>
        <v>0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19190622</v>
      </c>
      <c r="C174" s="5">
        <v>1</v>
      </c>
      <c r="D174" s="69">
        <f t="shared" ca="1" si="4"/>
        <v>0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19190623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19190624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19190625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19190626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19190627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19190628</v>
      </c>
      <c r="C180" s="5">
        <v>1</v>
      </c>
      <c r="D180" s="69">
        <f t="shared" ca="1" si="4"/>
        <v>0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19190629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19190630</v>
      </c>
      <c r="C182" s="5">
        <v>1</v>
      </c>
      <c r="D182" s="69">
        <f t="shared" ca="1" si="4"/>
        <v>0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19190701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19190702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19190703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19190704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19190705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19190706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19190707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19190708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19190709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19190710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19190711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19190712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19190713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19190714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19190715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19190716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19190717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19190718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19190719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19190720</v>
      </c>
      <c r="C202" s="5">
        <v>1</v>
      </c>
      <c r="D202" s="69">
        <f t="shared" ca="1" si="6"/>
        <v>0.3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19190721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19190722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19190723</v>
      </c>
      <c r="C205" s="5">
        <v>1</v>
      </c>
      <c r="D205" s="69">
        <f t="shared" ca="1" si="6"/>
        <v>7.4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19190724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19190725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19190726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19190727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19190728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19190729</v>
      </c>
      <c r="C211" s="5">
        <v>1</v>
      </c>
      <c r="D211" s="69">
        <f t="shared" ca="1" si="6"/>
        <v>0.3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19190730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19190731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19190801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19190802</v>
      </c>
      <c r="C215" s="5">
        <v>1</v>
      </c>
      <c r="D215" s="69">
        <f t="shared" ca="1" si="6"/>
        <v>0.3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19190803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19190804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19190805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19190806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19190807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19190808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19190809</v>
      </c>
      <c r="C222" s="5">
        <v>1</v>
      </c>
      <c r="D222" s="69">
        <f t="shared" ca="1" si="6"/>
        <v>2.2999999999999998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19190810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19190811</v>
      </c>
      <c r="C224" s="5">
        <v>1</v>
      </c>
      <c r="D224" s="69">
        <f t="shared" ca="1" si="6"/>
        <v>1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19190812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19190813</v>
      </c>
      <c r="C226" s="5">
        <v>1</v>
      </c>
      <c r="D226" s="69">
        <f t="shared" ca="1" si="6"/>
        <v>2.2999999999999998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19190814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19190815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19190816</v>
      </c>
      <c r="C229" s="5">
        <v>1</v>
      </c>
      <c r="D229" s="69">
        <f t="shared" ca="1" si="6"/>
        <v>0.5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19190817</v>
      </c>
      <c r="C230" s="5">
        <v>1</v>
      </c>
      <c r="D230" s="69">
        <f t="shared" ca="1" si="6"/>
        <v>2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19190818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19190819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19190820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19190821</v>
      </c>
      <c r="C234" s="5">
        <v>1</v>
      </c>
      <c r="D234" s="69">
        <f t="shared" ca="1" si="6"/>
        <v>8.1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19190822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19190823</v>
      </c>
      <c r="C236" s="5">
        <v>1</v>
      </c>
      <c r="D236" s="69">
        <f t="shared" ca="1" si="6"/>
        <v>0.8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19190824</v>
      </c>
      <c r="C237" s="5">
        <v>1</v>
      </c>
      <c r="D237" s="69">
        <f t="shared" ca="1" si="6"/>
        <v>4.0999999999999996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19190825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19190826</v>
      </c>
      <c r="C239" s="5">
        <v>1</v>
      </c>
      <c r="D239" s="69">
        <f t="shared" ca="1" si="6"/>
        <v>0.5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19190827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19190828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19190829</v>
      </c>
      <c r="C242" s="5">
        <v>1</v>
      </c>
      <c r="D242" s="69">
        <f t="shared" ca="1" si="6"/>
        <v>0.8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19190830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19190831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19190901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19190902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19190903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19190904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19190905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19190906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19190907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19190908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19190909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19190910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19190911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19190912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19190913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19190914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19190915</v>
      </c>
      <c r="C259" s="5">
        <v>1</v>
      </c>
      <c r="D259" s="69">
        <f t="shared" ca="1" si="8"/>
        <v>4.5999999999999996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19190916</v>
      </c>
      <c r="C260" s="5">
        <v>1</v>
      </c>
      <c r="D260" s="69">
        <f t="shared" ca="1" si="8"/>
        <v>0.5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19190917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19190918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19190919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19190920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19190921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19190922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19190923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19190924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19190925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19190926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19190927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19190928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19190929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19190930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19191001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19191002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19191003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19191004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19191005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19191006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19191007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19191008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19191009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19191010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19191011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19191012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19191013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19191014</v>
      </c>
      <c r="C288" s="5">
        <v>1</v>
      </c>
      <c r="D288" s="69">
        <f t="shared" ca="1" si="8"/>
        <v>0.8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19191015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19191016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19191017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19191018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19191019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19191020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19191021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19191022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19191023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19191024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19191025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19191026</v>
      </c>
      <c r="C300" s="5">
        <v>1</v>
      </c>
      <c r="D300" s="69">
        <f t="shared" ca="1" si="8"/>
        <v>9.6999999999999993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19191027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19191028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19191029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19191030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19191031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19191101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19191102</v>
      </c>
      <c r="C307" s="5">
        <v>1</v>
      </c>
      <c r="D307" s="69">
        <f t="shared" ca="1" si="8"/>
        <v>1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19191103</v>
      </c>
      <c r="C308" s="5">
        <v>1</v>
      </c>
      <c r="D308" s="69">
        <f t="shared" ca="1" si="8"/>
        <v>0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19191104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19191105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19191106</v>
      </c>
      <c r="C311" s="5">
        <v>1</v>
      </c>
      <c r="D311" s="69">
        <f t="shared" ca="1" si="8"/>
        <v>1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19191107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19191108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19191109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19191110</v>
      </c>
      <c r="C315" s="5">
        <v>1</v>
      </c>
      <c r="D315" s="69">
        <f t="shared" ca="1" si="8"/>
        <v>0.3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19191111</v>
      </c>
      <c r="C316" s="5">
        <v>1</v>
      </c>
      <c r="D316" s="69">
        <f t="shared" ca="1" si="8"/>
        <v>29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19191112</v>
      </c>
      <c r="C317" s="5">
        <v>1</v>
      </c>
      <c r="D317" s="69">
        <f t="shared" ca="1" si="8"/>
        <v>0.8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19191113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19191114</v>
      </c>
      <c r="C319" s="5">
        <v>1</v>
      </c>
      <c r="D319" s="69">
        <f t="shared" ca="1" si="8"/>
        <v>20.8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19191115</v>
      </c>
      <c r="C320" s="5">
        <v>1</v>
      </c>
      <c r="D320" s="69">
        <f t="shared" ca="1" si="8"/>
        <v>5.0999999999999996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19191116</v>
      </c>
      <c r="C321" s="5">
        <v>1</v>
      </c>
      <c r="D321" s="69">
        <f t="shared" ca="1" si="8"/>
        <v>4.5999999999999996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19191117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19191118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19191119</v>
      </c>
      <c r="C324" s="5">
        <v>1</v>
      </c>
      <c r="D324" s="69">
        <f t="shared" ca="1" si="10"/>
        <v>0.8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19191120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19191121</v>
      </c>
      <c r="C326" s="5">
        <v>1</v>
      </c>
      <c r="D326" s="69">
        <f t="shared" ca="1" si="10"/>
        <v>0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19191122</v>
      </c>
      <c r="C327" s="5">
        <v>1</v>
      </c>
      <c r="D327" s="69">
        <f t="shared" ca="1" si="10"/>
        <v>17.3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19191123</v>
      </c>
      <c r="C328" s="5">
        <v>1</v>
      </c>
      <c r="D328" s="69">
        <f t="shared" ca="1" si="10"/>
        <v>0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19191124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19191125</v>
      </c>
      <c r="C330" s="5">
        <v>1</v>
      </c>
      <c r="D330" s="69">
        <f t="shared" ca="1" si="10"/>
        <v>0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19191126</v>
      </c>
      <c r="C331" s="5">
        <v>1</v>
      </c>
      <c r="D331" s="69">
        <f t="shared" ca="1" si="10"/>
        <v>4.0999999999999996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19191127</v>
      </c>
      <c r="C332" s="5">
        <v>1</v>
      </c>
      <c r="D332" s="69">
        <f t="shared" ca="1" si="10"/>
        <v>0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19191128</v>
      </c>
      <c r="C333" s="5">
        <v>1</v>
      </c>
      <c r="D333" s="69">
        <f t="shared" ca="1" si="10"/>
        <v>1.3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19191129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19191130</v>
      </c>
      <c r="C335" s="5">
        <v>1</v>
      </c>
      <c r="D335" s="69">
        <f t="shared" ca="1" si="10"/>
        <v>0.8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19191201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19191202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19191203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19191204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19191205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19191206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19191207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19191208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19191209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19191210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19191211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19191212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19191213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19191214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19191215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19191216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19191217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19191218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19191219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19191220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19191221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19191222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19191223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19191224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19191225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19191226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19191227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19191228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19191229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19191230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19191231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19190101</v>
      </c>
      <c r="C2" s="72">
        <f t="shared" ref="C2:C65" si="1">Tijd</f>
        <v>600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19190102</v>
      </c>
      <c r="C3" s="72">
        <f t="shared" si="1"/>
        <v>600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19190103</v>
      </c>
      <c r="C4" s="72">
        <f t="shared" si="1"/>
        <v>600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19190104</v>
      </c>
      <c r="C5" s="72">
        <f t="shared" si="1"/>
        <v>600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19190105</v>
      </c>
      <c r="C6" s="72">
        <f t="shared" si="1"/>
        <v>600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19190106</v>
      </c>
      <c r="C7" s="72">
        <f t="shared" si="1"/>
        <v>600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19190107</v>
      </c>
      <c r="C8" s="72">
        <f t="shared" si="1"/>
        <v>600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19190108</v>
      </c>
      <c r="C9" s="72">
        <f t="shared" si="1"/>
        <v>600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19190109</v>
      </c>
      <c r="C10" s="72">
        <f t="shared" si="1"/>
        <v>600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19190110</v>
      </c>
      <c r="C11" s="72">
        <f t="shared" si="1"/>
        <v>600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19190111</v>
      </c>
      <c r="C12" s="72">
        <f t="shared" si="1"/>
        <v>600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19190112</v>
      </c>
      <c r="C13" s="72">
        <f t="shared" si="1"/>
        <v>600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19190113</v>
      </c>
      <c r="C14" s="72">
        <f t="shared" si="1"/>
        <v>600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19190114</v>
      </c>
      <c r="C15" s="72">
        <f t="shared" si="1"/>
        <v>600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19190115</v>
      </c>
      <c r="C16" s="72">
        <f t="shared" si="1"/>
        <v>600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19190116</v>
      </c>
      <c r="C17" s="72">
        <f t="shared" si="1"/>
        <v>600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19190117</v>
      </c>
      <c r="C18" s="72">
        <f t="shared" si="1"/>
        <v>600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19190118</v>
      </c>
      <c r="C19" s="72">
        <f t="shared" si="1"/>
        <v>600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19190119</v>
      </c>
      <c r="C20" s="72">
        <f t="shared" si="1"/>
        <v>600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19190120</v>
      </c>
      <c r="C21" s="72">
        <f t="shared" si="1"/>
        <v>600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19190121</v>
      </c>
      <c r="C22" s="72">
        <f t="shared" si="1"/>
        <v>600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19190122</v>
      </c>
      <c r="C23" s="72">
        <f t="shared" si="1"/>
        <v>600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19190123</v>
      </c>
      <c r="C24" s="72">
        <f t="shared" si="1"/>
        <v>600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19190124</v>
      </c>
      <c r="C25" s="72">
        <f t="shared" si="1"/>
        <v>600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19190125</v>
      </c>
      <c r="C26" s="72">
        <f t="shared" si="1"/>
        <v>600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19190126</v>
      </c>
      <c r="C27" s="72">
        <f t="shared" si="1"/>
        <v>600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19190127</v>
      </c>
      <c r="C28" s="72">
        <f t="shared" si="1"/>
        <v>600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19190128</v>
      </c>
      <c r="C29" s="72">
        <f t="shared" si="1"/>
        <v>600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19190129</v>
      </c>
      <c r="C30" s="72">
        <f t="shared" si="1"/>
        <v>600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19190130</v>
      </c>
      <c r="C31" s="72">
        <f t="shared" si="1"/>
        <v>600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19190131</v>
      </c>
      <c r="C32" s="72">
        <f t="shared" si="1"/>
        <v>600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19190201</v>
      </c>
      <c r="C33" s="72">
        <f t="shared" si="1"/>
        <v>600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19190202</v>
      </c>
      <c r="C34" s="72">
        <f t="shared" si="1"/>
        <v>600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19190203</v>
      </c>
      <c r="C35" s="72">
        <f t="shared" si="1"/>
        <v>600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19190204</v>
      </c>
      <c r="C36" s="72">
        <f t="shared" si="1"/>
        <v>600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19190205</v>
      </c>
      <c r="C37" s="72">
        <f t="shared" si="1"/>
        <v>600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19190206</v>
      </c>
      <c r="C38" s="72">
        <f t="shared" si="1"/>
        <v>600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19190207</v>
      </c>
      <c r="C39" s="72">
        <f t="shared" si="1"/>
        <v>600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19190208</v>
      </c>
      <c r="C40" s="72">
        <f t="shared" si="1"/>
        <v>600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19190209</v>
      </c>
      <c r="C41" s="72">
        <f t="shared" si="1"/>
        <v>600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19190210</v>
      </c>
      <c r="C42" s="72">
        <f t="shared" si="1"/>
        <v>600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19190211</v>
      </c>
      <c r="C43" s="72">
        <f t="shared" si="1"/>
        <v>600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19190212</v>
      </c>
      <c r="C44" s="72">
        <f t="shared" si="1"/>
        <v>600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19190213</v>
      </c>
      <c r="C45" s="72">
        <f t="shared" si="1"/>
        <v>600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19190214</v>
      </c>
      <c r="C46" s="72">
        <f t="shared" si="1"/>
        <v>600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19190215</v>
      </c>
      <c r="C47" s="72">
        <f t="shared" si="1"/>
        <v>600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19190216</v>
      </c>
      <c r="C48" s="72">
        <f t="shared" si="1"/>
        <v>600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19190217</v>
      </c>
      <c r="C49" s="72">
        <f t="shared" si="1"/>
        <v>600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19190218</v>
      </c>
      <c r="C50" s="72">
        <f t="shared" si="1"/>
        <v>600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19190219</v>
      </c>
      <c r="C51" s="72">
        <f t="shared" si="1"/>
        <v>600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19190220</v>
      </c>
      <c r="C52" s="72">
        <f t="shared" si="1"/>
        <v>600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19190221</v>
      </c>
      <c r="C53" s="72">
        <f t="shared" si="1"/>
        <v>600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19190222</v>
      </c>
      <c r="C54" s="72">
        <f t="shared" si="1"/>
        <v>600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19190223</v>
      </c>
      <c r="C55" s="72">
        <f t="shared" si="1"/>
        <v>600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19190224</v>
      </c>
      <c r="C56" s="72">
        <f t="shared" si="1"/>
        <v>600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19190225</v>
      </c>
      <c r="C57" s="72">
        <f t="shared" si="1"/>
        <v>600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19190226</v>
      </c>
      <c r="C58" s="72">
        <f t="shared" si="1"/>
        <v>600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19190227</v>
      </c>
      <c r="C59" s="72">
        <f t="shared" si="1"/>
        <v>600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19190228</v>
      </c>
      <c r="C60" s="72">
        <f t="shared" si="1"/>
        <v>600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19190301</v>
      </c>
      <c r="C61" s="72">
        <f t="shared" si="1"/>
        <v>600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19190302</v>
      </c>
      <c r="C62" s="72">
        <f t="shared" si="1"/>
        <v>600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19190303</v>
      </c>
      <c r="C63" s="72">
        <f t="shared" si="1"/>
        <v>600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19190304</v>
      </c>
      <c r="C64" s="72">
        <f t="shared" si="1"/>
        <v>600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19190305</v>
      </c>
      <c r="C65" s="72">
        <f t="shared" si="1"/>
        <v>600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19190306</v>
      </c>
      <c r="C66" s="72">
        <f t="shared" ref="C66:C129" si="41">Tijd</f>
        <v>600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19190307</v>
      </c>
      <c r="C67" s="72">
        <f t="shared" si="41"/>
        <v>600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19190308</v>
      </c>
      <c r="C68" s="72">
        <f t="shared" si="41"/>
        <v>600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19190309</v>
      </c>
      <c r="C69" s="72">
        <f t="shared" si="41"/>
        <v>600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19190310</v>
      </c>
      <c r="C70" s="72">
        <f t="shared" si="41"/>
        <v>600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19190311</v>
      </c>
      <c r="C71" s="72">
        <f t="shared" si="41"/>
        <v>600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19190312</v>
      </c>
      <c r="C72" s="72">
        <f t="shared" si="41"/>
        <v>600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19190313</v>
      </c>
      <c r="C73" s="72">
        <f t="shared" si="41"/>
        <v>600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19190314</v>
      </c>
      <c r="C74" s="72">
        <f t="shared" si="41"/>
        <v>600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19190315</v>
      </c>
      <c r="C75" s="72">
        <f t="shared" si="41"/>
        <v>600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19190316</v>
      </c>
      <c r="C76" s="72">
        <f t="shared" si="41"/>
        <v>600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19190317</v>
      </c>
      <c r="C77" s="72">
        <f t="shared" si="41"/>
        <v>600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19190318</v>
      </c>
      <c r="C78" s="72">
        <f t="shared" si="41"/>
        <v>600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19190319</v>
      </c>
      <c r="C79" s="72">
        <f t="shared" si="41"/>
        <v>600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19190320</v>
      </c>
      <c r="C80" s="72">
        <f t="shared" si="41"/>
        <v>600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19190321</v>
      </c>
      <c r="C81" s="72">
        <f t="shared" si="41"/>
        <v>600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19190322</v>
      </c>
      <c r="C82" s="72">
        <f t="shared" si="41"/>
        <v>600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19190323</v>
      </c>
      <c r="C83" s="72">
        <f t="shared" si="41"/>
        <v>600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19190324</v>
      </c>
      <c r="C84" s="72">
        <f t="shared" si="41"/>
        <v>600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19190325</v>
      </c>
      <c r="C85" s="72">
        <f t="shared" si="41"/>
        <v>600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19190326</v>
      </c>
      <c r="C86" s="72">
        <f t="shared" si="41"/>
        <v>600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19190327</v>
      </c>
      <c r="C87" s="72">
        <f t="shared" si="41"/>
        <v>600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19190328</v>
      </c>
      <c r="C88" s="72">
        <f t="shared" si="41"/>
        <v>600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19190329</v>
      </c>
      <c r="C89" s="72">
        <f t="shared" si="41"/>
        <v>600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19190330</v>
      </c>
      <c r="C90" s="72">
        <f t="shared" si="41"/>
        <v>600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19190331</v>
      </c>
      <c r="C91" s="72">
        <f t="shared" si="41"/>
        <v>600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19190401</v>
      </c>
      <c r="C92" s="72">
        <f t="shared" si="41"/>
        <v>600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19190402</v>
      </c>
      <c r="C93" s="72">
        <f t="shared" si="41"/>
        <v>600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19190403</v>
      </c>
      <c r="C94" s="72">
        <f t="shared" si="41"/>
        <v>600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19190404</v>
      </c>
      <c r="C95" s="72">
        <f t="shared" si="41"/>
        <v>600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19190405</v>
      </c>
      <c r="C96" s="72">
        <f t="shared" si="41"/>
        <v>600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19190406</v>
      </c>
      <c r="C97" s="72">
        <f t="shared" si="41"/>
        <v>600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19190407</v>
      </c>
      <c r="C98" s="72">
        <f t="shared" si="41"/>
        <v>600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19190408</v>
      </c>
      <c r="C99" s="72">
        <f t="shared" si="41"/>
        <v>600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19190409</v>
      </c>
      <c r="C100" s="72">
        <f t="shared" si="41"/>
        <v>600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19190410</v>
      </c>
      <c r="C101" s="72">
        <f t="shared" si="41"/>
        <v>600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19190411</v>
      </c>
      <c r="C102" s="72">
        <f t="shared" si="41"/>
        <v>600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19190412</v>
      </c>
      <c r="C103" s="72">
        <f t="shared" si="41"/>
        <v>600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19190413</v>
      </c>
      <c r="C104" s="72">
        <f t="shared" si="41"/>
        <v>600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19190414</v>
      </c>
      <c r="C105" s="72">
        <f t="shared" si="41"/>
        <v>600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19190415</v>
      </c>
      <c r="C106" s="72">
        <f t="shared" si="41"/>
        <v>600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19190416</v>
      </c>
      <c r="C107" s="72">
        <f t="shared" si="41"/>
        <v>600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19190417</v>
      </c>
      <c r="C108" s="72">
        <f t="shared" si="41"/>
        <v>600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19190418</v>
      </c>
      <c r="C109" s="72">
        <f t="shared" si="41"/>
        <v>600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19190419</v>
      </c>
      <c r="C110" s="72">
        <f t="shared" si="41"/>
        <v>600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19190420</v>
      </c>
      <c r="C111" s="72">
        <f t="shared" si="41"/>
        <v>600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19190421</v>
      </c>
      <c r="C112" s="72">
        <f t="shared" si="41"/>
        <v>600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19190422</v>
      </c>
      <c r="C113" s="72">
        <f t="shared" si="41"/>
        <v>600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19190423</v>
      </c>
      <c r="C114" s="72">
        <f t="shared" si="41"/>
        <v>600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19190424</v>
      </c>
      <c r="C115" s="72">
        <f t="shared" si="41"/>
        <v>600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19190425</v>
      </c>
      <c r="C116" s="72">
        <f t="shared" si="41"/>
        <v>600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19190426</v>
      </c>
      <c r="C117" s="72">
        <f t="shared" si="41"/>
        <v>600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19190427</v>
      </c>
      <c r="C118" s="72">
        <f t="shared" si="41"/>
        <v>600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19190428</v>
      </c>
      <c r="C119" s="72">
        <f t="shared" si="41"/>
        <v>600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19190429</v>
      </c>
      <c r="C120" s="72">
        <f t="shared" si="41"/>
        <v>600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19190430</v>
      </c>
      <c r="C121" s="72">
        <f t="shared" si="41"/>
        <v>600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19190501</v>
      </c>
      <c r="C122" s="72">
        <f t="shared" si="41"/>
        <v>600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19190502</v>
      </c>
      <c r="C123" s="72">
        <f t="shared" si="41"/>
        <v>600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19190503</v>
      </c>
      <c r="C124" s="72">
        <f t="shared" si="41"/>
        <v>600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19190504</v>
      </c>
      <c r="C125" s="72">
        <f t="shared" si="41"/>
        <v>600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19190505</v>
      </c>
      <c r="C126" s="72">
        <f t="shared" si="41"/>
        <v>600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19190506</v>
      </c>
      <c r="C127" s="72">
        <f t="shared" si="41"/>
        <v>600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19190507</v>
      </c>
      <c r="C128" s="72">
        <f t="shared" si="41"/>
        <v>600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19190508</v>
      </c>
      <c r="C129" s="72">
        <f t="shared" si="41"/>
        <v>600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19190509</v>
      </c>
      <c r="C130" s="72">
        <f t="shared" ref="C130:C193" si="81">Tijd</f>
        <v>600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19190510</v>
      </c>
      <c r="C131" s="72">
        <f t="shared" si="81"/>
        <v>600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19190511</v>
      </c>
      <c r="C132" s="72">
        <f t="shared" si="81"/>
        <v>600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19190512</v>
      </c>
      <c r="C133" s="72">
        <f t="shared" si="81"/>
        <v>600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19190513</v>
      </c>
      <c r="C134" s="72">
        <f t="shared" si="81"/>
        <v>600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19190514</v>
      </c>
      <c r="C135" s="72">
        <f t="shared" si="81"/>
        <v>600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19190515</v>
      </c>
      <c r="C136" s="72">
        <f t="shared" si="81"/>
        <v>600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19190516</v>
      </c>
      <c r="C137" s="72">
        <f t="shared" si="81"/>
        <v>600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19190517</v>
      </c>
      <c r="C138" s="72">
        <f t="shared" si="81"/>
        <v>600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19190518</v>
      </c>
      <c r="C139" s="72">
        <f t="shared" si="81"/>
        <v>600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19190519</v>
      </c>
      <c r="C140" s="72">
        <f t="shared" si="81"/>
        <v>600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19190520</v>
      </c>
      <c r="C141" s="72">
        <f t="shared" si="81"/>
        <v>600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19190521</v>
      </c>
      <c r="C142" s="72">
        <f t="shared" si="81"/>
        <v>600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19190522</v>
      </c>
      <c r="C143" s="72">
        <f t="shared" si="81"/>
        <v>600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19190523</v>
      </c>
      <c r="C144" s="72">
        <f t="shared" si="81"/>
        <v>600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19190524</v>
      </c>
      <c r="C145" s="72">
        <f t="shared" si="81"/>
        <v>600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19190525</v>
      </c>
      <c r="C146" s="72">
        <f t="shared" si="81"/>
        <v>600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19190526</v>
      </c>
      <c r="C147" s="72">
        <f t="shared" si="81"/>
        <v>600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19190527</v>
      </c>
      <c r="C148" s="72">
        <f t="shared" si="81"/>
        <v>600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19190528</v>
      </c>
      <c r="C149" s="72">
        <f t="shared" si="81"/>
        <v>600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19190529</v>
      </c>
      <c r="C150" s="72">
        <f t="shared" si="81"/>
        <v>600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19190530</v>
      </c>
      <c r="C151" s="72">
        <f t="shared" si="81"/>
        <v>600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19190531</v>
      </c>
      <c r="C152" s="72">
        <f t="shared" si="81"/>
        <v>600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19190601</v>
      </c>
      <c r="C153" s="72">
        <f t="shared" si="81"/>
        <v>600</v>
      </c>
      <c r="D153" s="16">
        <f t="shared" ca="1" si="82"/>
        <v>30</v>
      </c>
      <c r="E153" s="15">
        <f t="shared" ca="1" si="83"/>
        <v>0</v>
      </c>
      <c r="F153" s="73">
        <f t="shared" ca="1" si="84"/>
        <v>760.98</v>
      </c>
      <c r="G153" s="15">
        <f t="shared" ca="1" si="85"/>
        <v>0</v>
      </c>
      <c r="H153" s="73">
        <f t="shared" ca="1" si="86"/>
        <v>6.91</v>
      </c>
      <c r="I153" s="15">
        <f t="shared" ca="1" si="87"/>
        <v>0</v>
      </c>
      <c r="J153" s="73">
        <f t="shared" ca="1" si="88"/>
        <v>754.08</v>
      </c>
      <c r="K153" s="15">
        <f t="shared" ca="1" si="89"/>
        <v>0</v>
      </c>
      <c r="L153" s="16">
        <f t="shared" ca="1" si="90"/>
        <v>756.2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>
        <f t="shared" ca="1" si="102"/>
        <v>31.7</v>
      </c>
      <c r="Y153" s="15">
        <f t="shared" ca="1" si="103"/>
        <v>0</v>
      </c>
      <c r="Z153" s="16" t="str">
        <f t="shared" ca="1" si="104"/>
        <v>—</v>
      </c>
      <c r="AA153" s="15">
        <f t="shared" ca="1" si="105"/>
        <v>7</v>
      </c>
      <c r="AB153" s="9">
        <f t="shared" ca="1" si="106"/>
        <v>90</v>
      </c>
      <c r="AC153" s="15">
        <f t="shared" ca="1" si="107"/>
        <v>0</v>
      </c>
      <c r="AD153" s="76">
        <f t="shared" ca="1" si="108"/>
        <v>6.2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>
        <f t="shared" ca="1" si="118"/>
        <v>90</v>
      </c>
      <c r="AO153" s="15">
        <f t="shared" ca="1" si="119"/>
        <v>0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19190602</v>
      </c>
      <c r="C154" s="72">
        <f t="shared" si="81"/>
        <v>600</v>
      </c>
      <c r="D154" s="16">
        <f t="shared" ca="1" si="82"/>
        <v>29.2</v>
      </c>
      <c r="E154" s="15">
        <f t="shared" ca="1" si="83"/>
        <v>0</v>
      </c>
      <c r="F154" s="73">
        <f t="shared" ca="1" si="84"/>
        <v>762</v>
      </c>
      <c r="G154" s="15">
        <f t="shared" ca="1" si="85"/>
        <v>0</v>
      </c>
      <c r="H154" s="73">
        <f t="shared" ca="1" si="86"/>
        <v>6.81</v>
      </c>
      <c r="I154" s="15">
        <f t="shared" ca="1" si="87"/>
        <v>0</v>
      </c>
      <c r="J154" s="73">
        <f t="shared" ca="1" si="88"/>
        <v>755.19</v>
      </c>
      <c r="K154" s="15">
        <f t="shared" ca="1" si="89"/>
        <v>0</v>
      </c>
      <c r="L154" s="16">
        <f t="shared" ca="1" si="90"/>
        <v>757.2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>
        <f t="shared" ca="1" si="102"/>
        <v>31.2</v>
      </c>
      <c r="Y154" s="15">
        <f t="shared" ca="1" si="103"/>
        <v>0</v>
      </c>
      <c r="Z154" s="16" t="str">
        <f t="shared" ca="1" si="104"/>
        <v>—</v>
      </c>
      <c r="AA154" s="15">
        <f t="shared" ca="1" si="105"/>
        <v>7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7.7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>
        <f t="shared" ca="1" si="118"/>
        <v>90</v>
      </c>
      <c r="AO154" s="15">
        <f t="shared" ca="1" si="119"/>
        <v>0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19190603</v>
      </c>
      <c r="C155" s="72">
        <f t="shared" si="81"/>
        <v>600</v>
      </c>
      <c r="D155" s="16">
        <f t="shared" ca="1" si="82"/>
        <v>29.2</v>
      </c>
      <c r="E155" s="15">
        <f t="shared" ca="1" si="83"/>
        <v>0</v>
      </c>
      <c r="F155" s="73">
        <f t="shared" ca="1" si="84"/>
        <v>762.43</v>
      </c>
      <c r="G155" s="15">
        <f t="shared" ca="1" si="85"/>
        <v>0</v>
      </c>
      <c r="H155" s="73">
        <f t="shared" ca="1" si="86"/>
        <v>6.81</v>
      </c>
      <c r="I155" s="15">
        <f t="shared" ca="1" si="87"/>
        <v>0</v>
      </c>
      <c r="J155" s="73">
        <f t="shared" ca="1" si="88"/>
        <v>755.62</v>
      </c>
      <c r="K155" s="15">
        <f t="shared" ca="1" si="89"/>
        <v>0</v>
      </c>
      <c r="L155" s="16">
        <f t="shared" ca="1" si="90"/>
        <v>757.7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>
        <f t="shared" ca="1" si="102"/>
        <v>30.6</v>
      </c>
      <c r="Y155" s="15">
        <f t="shared" ca="1" si="103"/>
        <v>0</v>
      </c>
      <c r="Z155" s="16" t="str">
        <f t="shared" ca="1" si="104"/>
        <v>—</v>
      </c>
      <c r="AA155" s="15">
        <f t="shared" ca="1" si="105"/>
        <v>7</v>
      </c>
      <c r="AB155" s="9">
        <f t="shared" ca="1" si="106"/>
        <v>90</v>
      </c>
      <c r="AC155" s="15">
        <f t="shared" ca="1" si="107"/>
        <v>0</v>
      </c>
      <c r="AD155" s="76">
        <f t="shared" ca="1" si="108"/>
        <v>7.7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>
        <f t="shared" ca="1" si="118"/>
        <v>90</v>
      </c>
      <c r="AO155" s="15">
        <f t="shared" ca="1" si="119"/>
        <v>0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19190604</v>
      </c>
      <c r="C156" s="72">
        <f t="shared" si="81"/>
        <v>600</v>
      </c>
      <c r="D156" s="16">
        <f t="shared" ca="1" si="82"/>
        <v>29.2</v>
      </c>
      <c r="E156" s="15">
        <f t="shared" ca="1" si="83"/>
        <v>0</v>
      </c>
      <c r="F156" s="73">
        <f t="shared" ca="1" si="84"/>
        <v>763.55</v>
      </c>
      <c r="G156" s="15">
        <f t="shared" ca="1" si="85"/>
        <v>0</v>
      </c>
      <c r="H156" s="73">
        <f t="shared" ca="1" si="86"/>
        <v>6.81</v>
      </c>
      <c r="I156" s="15">
        <f t="shared" ca="1" si="87"/>
        <v>0</v>
      </c>
      <c r="J156" s="73">
        <f t="shared" ca="1" si="88"/>
        <v>756.74</v>
      </c>
      <c r="K156" s="15">
        <f t="shared" ca="1" si="89"/>
        <v>0</v>
      </c>
      <c r="L156" s="16">
        <f t="shared" ca="1" si="90"/>
        <v>758.7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>
        <f t="shared" ca="1" si="102"/>
        <v>30.8</v>
      </c>
      <c r="Y156" s="15">
        <f t="shared" ca="1" si="103"/>
        <v>0</v>
      </c>
      <c r="Z156" s="16" t="str">
        <f t="shared" ca="1" si="104"/>
        <v>—</v>
      </c>
      <c r="AA156" s="15">
        <f t="shared" ca="1" si="105"/>
        <v>7</v>
      </c>
      <c r="AB156" s="9">
        <f t="shared" ca="1" si="106"/>
        <v>90</v>
      </c>
      <c r="AC156" s="15">
        <f t="shared" ca="1" si="107"/>
        <v>0</v>
      </c>
      <c r="AD156" s="76">
        <f t="shared" ca="1" si="108"/>
        <v>7.7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>
        <f t="shared" ca="1" si="118"/>
        <v>90</v>
      </c>
      <c r="AO156" s="15">
        <f t="shared" ca="1" si="119"/>
        <v>0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19190605</v>
      </c>
      <c r="C157" s="72">
        <f t="shared" si="81"/>
        <v>600</v>
      </c>
      <c r="D157" s="16">
        <f t="shared" ca="1" si="82"/>
        <v>28.9</v>
      </c>
      <c r="E157" s="15">
        <f t="shared" ca="1" si="83"/>
        <v>0</v>
      </c>
      <c r="F157" s="73">
        <f t="shared" ca="1" si="84"/>
        <v>763.47</v>
      </c>
      <c r="G157" s="15">
        <f t="shared" ca="1" si="85"/>
        <v>0</v>
      </c>
      <c r="H157" s="73">
        <f t="shared" ca="1" si="86"/>
        <v>6.78</v>
      </c>
      <c r="I157" s="15">
        <f t="shared" ca="1" si="87"/>
        <v>0</v>
      </c>
      <c r="J157" s="73">
        <f t="shared" ca="1" si="88"/>
        <v>756.69</v>
      </c>
      <c r="K157" s="15">
        <f t="shared" ca="1" si="89"/>
        <v>0</v>
      </c>
      <c r="L157" s="16">
        <f t="shared" ca="1" si="90"/>
        <v>758.7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>
        <f t="shared" ca="1" si="102"/>
        <v>30.7</v>
      </c>
      <c r="Y157" s="15">
        <f t="shared" ca="1" si="103"/>
        <v>0</v>
      </c>
      <c r="Z157" s="16" t="str">
        <f t="shared" ca="1" si="104"/>
        <v>—</v>
      </c>
      <c r="AA157" s="15">
        <f t="shared" ca="1" si="105"/>
        <v>7</v>
      </c>
      <c r="AB157" s="9">
        <f t="shared" ca="1" si="106"/>
        <v>90</v>
      </c>
      <c r="AC157" s="15">
        <f t="shared" ca="1" si="107"/>
        <v>0</v>
      </c>
      <c r="AD157" s="76">
        <f t="shared" ca="1" si="108"/>
        <v>6.2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>
        <f t="shared" ca="1" si="118"/>
        <v>90</v>
      </c>
      <c r="AO157" s="15">
        <f t="shared" ca="1" si="119"/>
        <v>0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19190606</v>
      </c>
      <c r="C158" s="72">
        <f t="shared" si="81"/>
        <v>600</v>
      </c>
      <c r="D158" s="16">
        <f t="shared" ca="1" si="82"/>
        <v>29.2</v>
      </c>
      <c r="E158" s="15">
        <f t="shared" ca="1" si="83"/>
        <v>0</v>
      </c>
      <c r="F158" s="73">
        <f t="shared" ca="1" si="84"/>
        <v>763.98</v>
      </c>
      <c r="G158" s="15">
        <f t="shared" ca="1" si="85"/>
        <v>0</v>
      </c>
      <c r="H158" s="73">
        <f t="shared" ca="1" si="86"/>
        <v>6.81</v>
      </c>
      <c r="I158" s="15">
        <f t="shared" ca="1" si="87"/>
        <v>0</v>
      </c>
      <c r="J158" s="73">
        <f t="shared" ca="1" si="88"/>
        <v>757.17</v>
      </c>
      <c r="K158" s="15">
        <f t="shared" ca="1" si="89"/>
        <v>0</v>
      </c>
      <c r="L158" s="16">
        <f t="shared" ca="1" si="90"/>
        <v>759.2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>
        <f t="shared" ca="1" si="102"/>
        <v>30.3</v>
      </c>
      <c r="Y158" s="15">
        <f t="shared" ca="1" si="103"/>
        <v>0</v>
      </c>
      <c r="Z158" s="16" t="str">
        <f t="shared" ca="1" si="104"/>
        <v>—</v>
      </c>
      <c r="AA158" s="15">
        <f t="shared" ca="1" si="105"/>
        <v>7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5.0999999999999996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>
        <f t="shared" ca="1" si="118"/>
        <v>90</v>
      </c>
      <c r="AO158" s="15">
        <f t="shared" ca="1" si="119"/>
        <v>0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19190607</v>
      </c>
      <c r="C159" s="72">
        <f t="shared" si="81"/>
        <v>600</v>
      </c>
      <c r="D159" s="16">
        <f t="shared" ca="1" si="82"/>
        <v>29.2</v>
      </c>
      <c r="E159" s="15">
        <f t="shared" ca="1" si="83"/>
        <v>0</v>
      </c>
      <c r="F159" s="73">
        <f t="shared" ca="1" si="84"/>
        <v>764.18</v>
      </c>
      <c r="G159" s="15">
        <f t="shared" ca="1" si="85"/>
        <v>0</v>
      </c>
      <c r="H159" s="73">
        <f t="shared" ca="1" si="86"/>
        <v>6.81</v>
      </c>
      <c r="I159" s="15">
        <f t="shared" ca="1" si="87"/>
        <v>0</v>
      </c>
      <c r="J159" s="73">
        <f t="shared" ca="1" si="88"/>
        <v>757.38</v>
      </c>
      <c r="K159" s="15">
        <f t="shared" ca="1" si="89"/>
        <v>0</v>
      </c>
      <c r="L159" s="16">
        <f t="shared" ca="1" si="90"/>
        <v>759.5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>
        <f t="shared" ca="1" si="102"/>
        <v>30.3</v>
      </c>
      <c r="Y159" s="15">
        <f t="shared" ca="1" si="103"/>
        <v>0</v>
      </c>
      <c r="Z159" s="16" t="str">
        <f t="shared" ca="1" si="104"/>
        <v>—</v>
      </c>
      <c r="AA159" s="15">
        <f t="shared" ca="1" si="105"/>
        <v>7</v>
      </c>
      <c r="AB159" s="9">
        <f t="shared" ca="1" si="106"/>
        <v>90</v>
      </c>
      <c r="AC159" s="15">
        <f t="shared" ca="1" si="107"/>
        <v>0</v>
      </c>
      <c r="AD159" s="76">
        <f t="shared" ca="1" si="108"/>
        <v>6.2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>
        <f t="shared" ca="1" si="118"/>
        <v>90</v>
      </c>
      <c r="AO159" s="15">
        <f t="shared" ca="1" si="119"/>
        <v>0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19190608</v>
      </c>
      <c r="C160" s="72">
        <f t="shared" si="81"/>
        <v>600</v>
      </c>
      <c r="D160" s="16">
        <f t="shared" ca="1" si="82"/>
        <v>28.9</v>
      </c>
      <c r="E160" s="15">
        <f t="shared" ca="1" si="83"/>
        <v>0</v>
      </c>
      <c r="F160" s="73">
        <f t="shared" ca="1" si="84"/>
        <v>764.16</v>
      </c>
      <c r="G160" s="15">
        <f t="shared" ca="1" si="85"/>
        <v>0</v>
      </c>
      <c r="H160" s="73">
        <f t="shared" ca="1" si="86"/>
        <v>6.78</v>
      </c>
      <c r="I160" s="15">
        <f t="shared" ca="1" si="87"/>
        <v>0</v>
      </c>
      <c r="J160" s="73">
        <f t="shared" ca="1" si="88"/>
        <v>757.38</v>
      </c>
      <c r="K160" s="15">
        <f t="shared" ca="1" si="89"/>
        <v>0</v>
      </c>
      <c r="L160" s="16">
        <f t="shared" ca="1" si="90"/>
        <v>759.5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>
        <f t="shared" ca="1" si="102"/>
        <v>30.2</v>
      </c>
      <c r="Y160" s="15">
        <f t="shared" ca="1" si="103"/>
        <v>0</v>
      </c>
      <c r="Z160" s="16" t="str">
        <f t="shared" ca="1" si="104"/>
        <v>—</v>
      </c>
      <c r="AA160" s="15">
        <f t="shared" ca="1" si="105"/>
        <v>7</v>
      </c>
      <c r="AB160" s="9">
        <f t="shared" ca="1" si="106"/>
        <v>135</v>
      </c>
      <c r="AC160" s="15">
        <f t="shared" ca="1" si="107"/>
        <v>0</v>
      </c>
      <c r="AD160" s="76">
        <f t="shared" ca="1" si="108"/>
        <v>6.2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>
        <f t="shared" ca="1" si="118"/>
        <v>135</v>
      </c>
      <c r="AO160" s="15">
        <f t="shared" ca="1" si="119"/>
        <v>0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19190609</v>
      </c>
      <c r="C161" s="72">
        <f t="shared" si="81"/>
        <v>600</v>
      </c>
      <c r="D161" s="16">
        <f t="shared" ca="1" si="82"/>
        <v>29.2</v>
      </c>
      <c r="E161" s="15">
        <f t="shared" ca="1" si="83"/>
        <v>0</v>
      </c>
      <c r="F161" s="73">
        <f t="shared" ca="1" si="84"/>
        <v>763.04</v>
      </c>
      <c r="G161" s="15">
        <f t="shared" ca="1" si="85"/>
        <v>0</v>
      </c>
      <c r="H161" s="73">
        <f t="shared" ca="1" si="86"/>
        <v>6.81</v>
      </c>
      <c r="I161" s="15">
        <f t="shared" ca="1" si="87"/>
        <v>0</v>
      </c>
      <c r="J161" s="73">
        <f t="shared" ca="1" si="88"/>
        <v>756.23</v>
      </c>
      <c r="K161" s="15">
        <f t="shared" ca="1" si="89"/>
        <v>0</v>
      </c>
      <c r="L161" s="16">
        <f t="shared" ca="1" si="90"/>
        <v>758.2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>
        <f t="shared" ca="1" si="102"/>
        <v>30.2</v>
      </c>
      <c r="Y161" s="15">
        <f t="shared" ca="1" si="103"/>
        <v>0</v>
      </c>
      <c r="Z161" s="16" t="str">
        <f t="shared" ca="1" si="104"/>
        <v>—</v>
      </c>
      <c r="AA161" s="15">
        <f t="shared" ca="1" si="105"/>
        <v>7</v>
      </c>
      <c r="AB161" s="9">
        <f t="shared" ca="1" si="106"/>
        <v>45</v>
      </c>
      <c r="AC161" s="15">
        <f t="shared" ca="1" si="107"/>
        <v>0</v>
      </c>
      <c r="AD161" s="76">
        <f t="shared" ca="1" si="108"/>
        <v>6.2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>
        <f t="shared" ca="1" si="118"/>
        <v>90</v>
      </c>
      <c r="AO161" s="15">
        <f t="shared" ca="1" si="119"/>
        <v>0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19190610</v>
      </c>
      <c r="C162" s="72">
        <f t="shared" si="81"/>
        <v>600</v>
      </c>
      <c r="D162" s="16">
        <f t="shared" ca="1" si="82"/>
        <v>29.2</v>
      </c>
      <c r="E162" s="15">
        <f t="shared" ca="1" si="83"/>
        <v>0</v>
      </c>
      <c r="F162" s="73">
        <f t="shared" ca="1" si="84"/>
        <v>762.43</v>
      </c>
      <c r="G162" s="15">
        <f t="shared" ca="1" si="85"/>
        <v>0</v>
      </c>
      <c r="H162" s="73">
        <f t="shared" ca="1" si="86"/>
        <v>6.81</v>
      </c>
      <c r="I162" s="15">
        <f t="shared" ca="1" si="87"/>
        <v>0</v>
      </c>
      <c r="J162" s="73">
        <f t="shared" ca="1" si="88"/>
        <v>755.62</v>
      </c>
      <c r="K162" s="15">
        <f t="shared" ca="1" si="89"/>
        <v>0</v>
      </c>
      <c r="L162" s="16">
        <f t="shared" ca="1" si="90"/>
        <v>757.7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>
        <f t="shared" ca="1" si="102"/>
        <v>30.3</v>
      </c>
      <c r="Y162" s="15">
        <f t="shared" ca="1" si="103"/>
        <v>0</v>
      </c>
      <c r="Z162" s="16" t="str">
        <f t="shared" ca="1" si="104"/>
        <v>—</v>
      </c>
      <c r="AA162" s="15">
        <f t="shared" ca="1" si="105"/>
        <v>7</v>
      </c>
      <c r="AB162" s="9">
        <f t="shared" ca="1" si="106"/>
        <v>90</v>
      </c>
      <c r="AC162" s="15">
        <f t="shared" ca="1" si="107"/>
        <v>0</v>
      </c>
      <c r="AD162" s="76">
        <f t="shared" ca="1" si="108"/>
        <v>6.2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>
        <f t="shared" ca="1" si="118"/>
        <v>90</v>
      </c>
      <c r="AO162" s="15">
        <f t="shared" ca="1" si="119"/>
        <v>0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19190611</v>
      </c>
      <c r="C163" s="72">
        <f t="shared" si="81"/>
        <v>600</v>
      </c>
      <c r="D163" s="16">
        <f t="shared" ca="1" si="82"/>
        <v>29.2</v>
      </c>
      <c r="E163" s="15">
        <f t="shared" ca="1" si="83"/>
        <v>0</v>
      </c>
      <c r="F163" s="73">
        <f t="shared" ca="1" si="84"/>
        <v>761.54</v>
      </c>
      <c r="G163" s="15">
        <f t="shared" ca="1" si="85"/>
        <v>0</v>
      </c>
      <c r="H163" s="73">
        <f t="shared" ca="1" si="86"/>
        <v>6.76</v>
      </c>
      <c r="I163" s="15">
        <f t="shared" ca="1" si="87"/>
        <v>0</v>
      </c>
      <c r="J163" s="73">
        <f t="shared" ca="1" si="88"/>
        <v>754.79</v>
      </c>
      <c r="K163" s="15">
        <f t="shared" ca="1" si="89"/>
        <v>0</v>
      </c>
      <c r="L163" s="16">
        <f t="shared" ca="1" si="90"/>
        <v>756.9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>
        <f t="shared" ca="1" si="102"/>
        <v>30.1</v>
      </c>
      <c r="Y163" s="15">
        <f t="shared" ca="1" si="103"/>
        <v>0</v>
      </c>
      <c r="Z163" s="16" t="str">
        <f t="shared" ca="1" si="104"/>
        <v>—</v>
      </c>
      <c r="AA163" s="15">
        <f t="shared" ca="1" si="105"/>
        <v>7</v>
      </c>
      <c r="AB163" s="9">
        <f t="shared" ca="1" si="106"/>
        <v>90</v>
      </c>
      <c r="AC163" s="15">
        <f t="shared" ca="1" si="107"/>
        <v>0</v>
      </c>
      <c r="AD163" s="76">
        <f t="shared" ca="1" si="108"/>
        <v>6.2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>
        <f t="shared" ca="1" si="118"/>
        <v>90</v>
      </c>
      <c r="AO163" s="15">
        <f t="shared" ca="1" si="119"/>
        <v>0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19190612</v>
      </c>
      <c r="C164" s="72">
        <f t="shared" si="81"/>
        <v>600</v>
      </c>
      <c r="D164" s="16">
        <f t="shared" ca="1" si="82"/>
        <v>29.4</v>
      </c>
      <c r="E164" s="15">
        <f t="shared" ca="1" si="83"/>
        <v>0</v>
      </c>
      <c r="F164" s="73">
        <f t="shared" ca="1" si="84"/>
        <v>761.8</v>
      </c>
      <c r="G164" s="15">
        <f t="shared" ca="1" si="85"/>
        <v>0</v>
      </c>
      <c r="H164" s="73">
        <f t="shared" ca="1" si="86"/>
        <v>6.78</v>
      </c>
      <c r="I164" s="15">
        <f t="shared" ca="1" si="87"/>
        <v>0</v>
      </c>
      <c r="J164" s="73">
        <f t="shared" ca="1" si="88"/>
        <v>755.02</v>
      </c>
      <c r="K164" s="15">
        <f t="shared" ca="1" si="89"/>
        <v>0</v>
      </c>
      <c r="L164" s="16">
        <f t="shared" ca="1" si="90"/>
        <v>757.2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>
        <f t="shared" ca="1" si="102"/>
        <v>30.8</v>
      </c>
      <c r="Y164" s="15">
        <f t="shared" ca="1" si="103"/>
        <v>0</v>
      </c>
      <c r="Z164" s="16" t="str">
        <f t="shared" ca="1" si="104"/>
        <v>—</v>
      </c>
      <c r="AA164" s="15">
        <f t="shared" ca="1" si="105"/>
        <v>7</v>
      </c>
      <c r="AB164" s="9">
        <f t="shared" ca="1" si="106"/>
        <v>90</v>
      </c>
      <c r="AC164" s="15">
        <f t="shared" ca="1" si="107"/>
        <v>0</v>
      </c>
      <c r="AD164" s="76">
        <f t="shared" ca="1" si="108"/>
        <v>6.2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>
        <f t="shared" ca="1" si="118"/>
        <v>90</v>
      </c>
      <c r="AO164" s="15">
        <f t="shared" ca="1" si="119"/>
        <v>0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19190613</v>
      </c>
      <c r="C165" s="72">
        <f t="shared" si="81"/>
        <v>600</v>
      </c>
      <c r="D165" s="16">
        <f t="shared" ca="1" si="82"/>
        <v>29.4</v>
      </c>
      <c r="E165" s="15">
        <f t="shared" ca="1" si="83"/>
        <v>0</v>
      </c>
      <c r="F165" s="73">
        <f t="shared" ca="1" si="84"/>
        <v>762</v>
      </c>
      <c r="G165" s="15">
        <f t="shared" ca="1" si="85"/>
        <v>0</v>
      </c>
      <c r="H165" s="73">
        <f t="shared" ca="1" si="86"/>
        <v>6.86</v>
      </c>
      <c r="I165" s="15">
        <f t="shared" ca="1" si="87"/>
        <v>0</v>
      </c>
      <c r="J165" s="73">
        <f t="shared" ca="1" si="88"/>
        <v>755.14</v>
      </c>
      <c r="K165" s="15">
        <f t="shared" ca="1" si="89"/>
        <v>0</v>
      </c>
      <c r="L165" s="16">
        <f t="shared" ca="1" si="90"/>
        <v>757.2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>
        <f t="shared" ca="1" si="102"/>
        <v>30.8</v>
      </c>
      <c r="Y165" s="15">
        <f t="shared" ca="1" si="103"/>
        <v>0</v>
      </c>
      <c r="Z165" s="16" t="str">
        <f t="shared" ca="1" si="104"/>
        <v>—</v>
      </c>
      <c r="AA165" s="15">
        <f t="shared" ca="1" si="105"/>
        <v>7</v>
      </c>
      <c r="AB165" s="9">
        <f t="shared" ca="1" si="106"/>
        <v>90</v>
      </c>
      <c r="AC165" s="15">
        <f t="shared" ca="1" si="107"/>
        <v>0</v>
      </c>
      <c r="AD165" s="76">
        <f t="shared" ca="1" si="108"/>
        <v>6.2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>
        <f t="shared" ca="1" si="118"/>
        <v>90</v>
      </c>
      <c r="AO165" s="15">
        <f t="shared" ca="1" si="119"/>
        <v>0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19190614</v>
      </c>
      <c r="C166" s="72">
        <f t="shared" si="81"/>
        <v>600</v>
      </c>
      <c r="D166" s="16">
        <f t="shared" ca="1" si="82"/>
        <v>29.4</v>
      </c>
      <c r="E166" s="15">
        <f t="shared" ca="1" si="83"/>
        <v>0</v>
      </c>
      <c r="F166" s="73">
        <f t="shared" ca="1" si="84"/>
        <v>761.95</v>
      </c>
      <c r="G166" s="15">
        <f t="shared" ca="1" si="85"/>
        <v>0</v>
      </c>
      <c r="H166" s="73">
        <f t="shared" ca="1" si="86"/>
        <v>6.78</v>
      </c>
      <c r="I166" s="15">
        <f t="shared" ca="1" si="87"/>
        <v>0</v>
      </c>
      <c r="J166" s="73">
        <f t="shared" ca="1" si="88"/>
        <v>755.17</v>
      </c>
      <c r="K166" s="15">
        <f t="shared" ca="1" si="89"/>
        <v>0</v>
      </c>
      <c r="L166" s="16">
        <f t="shared" ca="1" si="90"/>
        <v>757.2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>
        <f t="shared" ca="1" si="102"/>
        <v>30.9</v>
      </c>
      <c r="Y166" s="15">
        <f t="shared" ca="1" si="103"/>
        <v>0</v>
      </c>
      <c r="Z166" s="16" t="str">
        <f t="shared" ca="1" si="104"/>
        <v>—</v>
      </c>
      <c r="AA166" s="15">
        <f t="shared" ca="1" si="105"/>
        <v>7</v>
      </c>
      <c r="AB166" s="9">
        <f t="shared" ca="1" si="106"/>
        <v>135</v>
      </c>
      <c r="AC166" s="15">
        <f t="shared" ca="1" si="107"/>
        <v>0</v>
      </c>
      <c r="AD166" s="76">
        <f t="shared" ca="1" si="108"/>
        <v>7.7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>
        <f t="shared" ca="1" si="118"/>
        <v>90</v>
      </c>
      <c r="AO166" s="15">
        <f t="shared" ca="1" si="119"/>
        <v>0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19190615</v>
      </c>
      <c r="C167" s="72">
        <f t="shared" si="81"/>
        <v>600</v>
      </c>
      <c r="D167" s="16">
        <f t="shared" ca="1" si="82"/>
        <v>24.4</v>
      </c>
      <c r="E167" s="15">
        <f t="shared" ca="1" si="83"/>
        <v>0</v>
      </c>
      <c r="F167" s="73">
        <f t="shared" ca="1" si="84"/>
        <v>761.44</v>
      </c>
      <c r="G167" s="15">
        <f t="shared" ca="1" si="85"/>
        <v>0</v>
      </c>
      <c r="H167" s="73">
        <f t="shared" ca="1" si="86"/>
        <v>6.86</v>
      </c>
      <c r="I167" s="15">
        <f t="shared" ca="1" si="87"/>
        <v>0</v>
      </c>
      <c r="J167" s="73">
        <f t="shared" ca="1" si="88"/>
        <v>754.58</v>
      </c>
      <c r="K167" s="15">
        <f t="shared" ca="1" si="89"/>
        <v>0</v>
      </c>
      <c r="L167" s="16">
        <f t="shared" ca="1" si="90"/>
        <v>756.7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>
        <f t="shared" ca="1" si="102"/>
        <v>31.2</v>
      </c>
      <c r="Y167" s="15">
        <f t="shared" ca="1" si="103"/>
        <v>0</v>
      </c>
      <c r="Z167" s="16" t="str">
        <f t="shared" ca="1" si="104"/>
        <v>—</v>
      </c>
      <c r="AA167" s="15">
        <f t="shared" ca="1" si="105"/>
        <v>7</v>
      </c>
      <c r="AB167" s="9">
        <f t="shared" ca="1" si="106"/>
        <v>90</v>
      </c>
      <c r="AC167" s="15">
        <f t="shared" ca="1" si="107"/>
        <v>0</v>
      </c>
      <c r="AD167" s="76">
        <f t="shared" ca="1" si="108"/>
        <v>6.2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>
        <f t="shared" ca="1" si="118"/>
        <v>90</v>
      </c>
      <c r="AO167" s="15">
        <f t="shared" ca="1" si="119"/>
        <v>0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19190616</v>
      </c>
      <c r="C168" s="72">
        <f t="shared" si="81"/>
        <v>600</v>
      </c>
      <c r="D168" s="16">
        <f t="shared" ca="1" si="82"/>
        <v>24.4</v>
      </c>
      <c r="E168" s="15">
        <f t="shared" ca="1" si="83"/>
        <v>0</v>
      </c>
      <c r="F168" s="73">
        <f t="shared" ca="1" si="84"/>
        <v>762.46</v>
      </c>
      <c r="G168" s="15">
        <f t="shared" ca="1" si="85"/>
        <v>0</v>
      </c>
      <c r="H168" s="73">
        <f t="shared" ca="1" si="86"/>
        <v>6.91</v>
      </c>
      <c r="I168" s="15">
        <f t="shared" ca="1" si="87"/>
        <v>0</v>
      </c>
      <c r="J168" s="73">
        <f t="shared" ca="1" si="88"/>
        <v>755.55</v>
      </c>
      <c r="K168" s="15">
        <f t="shared" ca="1" si="89"/>
        <v>0</v>
      </c>
      <c r="L168" s="16">
        <f t="shared" ca="1" si="90"/>
        <v>757.7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>
        <f t="shared" ca="1" si="102"/>
        <v>30.9</v>
      </c>
      <c r="Y168" s="15">
        <f t="shared" ca="1" si="103"/>
        <v>0</v>
      </c>
      <c r="Z168" s="16" t="str">
        <f t="shared" ca="1" si="104"/>
        <v>—</v>
      </c>
      <c r="AA168" s="15">
        <f t="shared" ca="1" si="105"/>
        <v>7</v>
      </c>
      <c r="AB168" s="9">
        <f t="shared" ca="1" si="106"/>
        <v>90</v>
      </c>
      <c r="AC168" s="15">
        <f t="shared" ca="1" si="107"/>
        <v>0</v>
      </c>
      <c r="AD168" s="76">
        <f t="shared" ca="1" si="108"/>
        <v>6.2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>
        <f t="shared" ca="1" si="118"/>
        <v>90</v>
      </c>
      <c r="AO168" s="15">
        <f t="shared" ca="1" si="119"/>
        <v>0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19190617</v>
      </c>
      <c r="C169" s="72">
        <f t="shared" si="81"/>
        <v>600</v>
      </c>
      <c r="D169" s="16">
        <f t="shared" ca="1" si="82"/>
        <v>23.9</v>
      </c>
      <c r="E169" s="15">
        <f t="shared" ca="1" si="83"/>
        <v>0</v>
      </c>
      <c r="F169" s="73">
        <f t="shared" ca="1" si="84"/>
        <v>762.76</v>
      </c>
      <c r="G169" s="15">
        <f t="shared" ca="1" si="85"/>
        <v>0</v>
      </c>
      <c r="H169" s="73">
        <f t="shared" ca="1" si="86"/>
        <v>6.86</v>
      </c>
      <c r="I169" s="15">
        <f t="shared" ca="1" si="87"/>
        <v>0</v>
      </c>
      <c r="J169" s="73">
        <f t="shared" ca="1" si="88"/>
        <v>755.9</v>
      </c>
      <c r="K169" s="15">
        <f t="shared" ca="1" si="89"/>
        <v>0</v>
      </c>
      <c r="L169" s="16">
        <f t="shared" ca="1" si="90"/>
        <v>757.9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>
        <f t="shared" ca="1" si="102"/>
        <v>30.9</v>
      </c>
      <c r="Y169" s="15">
        <f t="shared" ca="1" si="103"/>
        <v>0</v>
      </c>
      <c r="Z169" s="16" t="str">
        <f t="shared" ca="1" si="104"/>
        <v>—</v>
      </c>
      <c r="AA169" s="15">
        <f t="shared" ca="1" si="105"/>
        <v>7</v>
      </c>
      <c r="AB169" s="9">
        <f t="shared" ca="1" si="106"/>
        <v>90</v>
      </c>
      <c r="AC169" s="15">
        <f t="shared" ca="1" si="107"/>
        <v>0</v>
      </c>
      <c r="AD169" s="76">
        <f t="shared" ca="1" si="108"/>
        <v>6.2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>
        <f t="shared" ca="1" si="118"/>
        <v>90</v>
      </c>
      <c r="AO169" s="15">
        <f t="shared" ca="1" si="119"/>
        <v>0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19190618</v>
      </c>
      <c r="C170" s="72">
        <f t="shared" si="81"/>
        <v>600</v>
      </c>
      <c r="D170" s="16">
        <f t="shared" ca="1" si="82"/>
        <v>23.9</v>
      </c>
      <c r="E170" s="15">
        <f t="shared" ca="1" si="83"/>
        <v>0</v>
      </c>
      <c r="F170" s="73">
        <f t="shared" ca="1" si="84"/>
        <v>763.8</v>
      </c>
      <c r="G170" s="15">
        <f t="shared" ca="1" si="85"/>
        <v>0</v>
      </c>
      <c r="H170" s="73">
        <f t="shared" ca="1" si="86"/>
        <v>6.86</v>
      </c>
      <c r="I170" s="15">
        <f t="shared" ca="1" si="87"/>
        <v>0</v>
      </c>
      <c r="J170" s="73">
        <f t="shared" ca="1" si="88"/>
        <v>756.95</v>
      </c>
      <c r="K170" s="15">
        <f t="shared" ca="1" si="89"/>
        <v>0</v>
      </c>
      <c r="L170" s="16">
        <f t="shared" ca="1" si="90"/>
        <v>759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>
        <f t="shared" ca="1" si="102"/>
        <v>30.1</v>
      </c>
      <c r="Y170" s="15">
        <f t="shared" ca="1" si="103"/>
        <v>0</v>
      </c>
      <c r="Z170" s="16" t="str">
        <f t="shared" ca="1" si="104"/>
        <v>—</v>
      </c>
      <c r="AA170" s="15">
        <f t="shared" ca="1" si="105"/>
        <v>7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6.2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>
        <f t="shared" ca="1" si="118"/>
        <v>90</v>
      </c>
      <c r="AO170" s="15">
        <f t="shared" ca="1" si="119"/>
        <v>0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19190619</v>
      </c>
      <c r="C171" s="72">
        <f t="shared" si="81"/>
        <v>600</v>
      </c>
      <c r="D171" s="16">
        <f t="shared" ca="1" si="82"/>
        <v>24.2</v>
      </c>
      <c r="E171" s="15">
        <f t="shared" ca="1" si="83"/>
        <v>0</v>
      </c>
      <c r="F171" s="73">
        <f t="shared" ca="1" si="84"/>
        <v>763.85</v>
      </c>
      <c r="G171" s="15">
        <f t="shared" ca="1" si="85"/>
        <v>0</v>
      </c>
      <c r="H171" s="73">
        <f t="shared" ca="1" si="86"/>
        <v>6.88</v>
      </c>
      <c r="I171" s="15">
        <f t="shared" ca="1" si="87"/>
        <v>0</v>
      </c>
      <c r="J171" s="73">
        <f t="shared" ca="1" si="88"/>
        <v>756.97</v>
      </c>
      <c r="K171" s="15">
        <f t="shared" ca="1" si="89"/>
        <v>0</v>
      </c>
      <c r="L171" s="16">
        <f t="shared" ca="1" si="90"/>
        <v>759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>
        <f t="shared" ca="1" si="102"/>
        <v>30.8</v>
      </c>
      <c r="Y171" s="15">
        <f t="shared" ca="1" si="103"/>
        <v>0</v>
      </c>
      <c r="Z171" s="16" t="str">
        <f t="shared" ca="1" si="104"/>
        <v>—</v>
      </c>
      <c r="AA171" s="15">
        <f t="shared" ca="1" si="105"/>
        <v>7</v>
      </c>
      <c r="AB171" s="9">
        <f t="shared" ca="1" si="106"/>
        <v>45</v>
      </c>
      <c r="AC171" s="15">
        <f t="shared" ca="1" si="107"/>
        <v>0</v>
      </c>
      <c r="AD171" s="76">
        <f t="shared" ca="1" si="108"/>
        <v>5.0999999999999996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>
        <f t="shared" ca="1" si="118"/>
        <v>360</v>
      </c>
      <c r="AO171" s="15">
        <f t="shared" ca="1" si="119"/>
        <v>0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19190620</v>
      </c>
      <c r="C172" s="72">
        <f t="shared" si="81"/>
        <v>600</v>
      </c>
      <c r="D172" s="16">
        <f t="shared" ca="1" si="82"/>
        <v>29.2</v>
      </c>
      <c r="E172" s="15">
        <f t="shared" ca="1" si="83"/>
        <v>0</v>
      </c>
      <c r="F172" s="73">
        <f t="shared" ca="1" si="84"/>
        <v>763.75</v>
      </c>
      <c r="G172" s="15">
        <f t="shared" ca="1" si="85"/>
        <v>0</v>
      </c>
      <c r="H172" s="73">
        <f t="shared" ca="1" si="86"/>
        <v>6.81</v>
      </c>
      <c r="I172" s="15">
        <f t="shared" ca="1" si="87"/>
        <v>0</v>
      </c>
      <c r="J172" s="73">
        <f t="shared" ca="1" si="88"/>
        <v>756.95</v>
      </c>
      <c r="K172" s="15">
        <f t="shared" ca="1" si="89"/>
        <v>0</v>
      </c>
      <c r="L172" s="16">
        <f t="shared" ca="1" si="90"/>
        <v>759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>
        <f t="shared" ca="1" si="102"/>
        <v>30.2</v>
      </c>
      <c r="Y172" s="15">
        <f t="shared" ca="1" si="103"/>
        <v>0</v>
      </c>
      <c r="Z172" s="16" t="str">
        <f t="shared" ca="1" si="104"/>
        <v>—</v>
      </c>
      <c r="AA172" s="15">
        <f t="shared" ca="1" si="105"/>
        <v>7</v>
      </c>
      <c r="AB172" s="9">
        <f t="shared" ca="1" si="106"/>
        <v>135</v>
      </c>
      <c r="AC172" s="15">
        <f t="shared" ca="1" si="107"/>
        <v>0</v>
      </c>
      <c r="AD172" s="76">
        <f t="shared" ca="1" si="108"/>
        <v>6.2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>
        <f t="shared" ca="1" si="118"/>
        <v>135</v>
      </c>
      <c r="AO172" s="15">
        <f t="shared" ca="1" si="119"/>
        <v>0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19190621</v>
      </c>
      <c r="C173" s="72">
        <f t="shared" si="81"/>
        <v>600</v>
      </c>
      <c r="D173" s="16">
        <f t="shared" ca="1" si="82"/>
        <v>29.4</v>
      </c>
      <c r="E173" s="15">
        <f t="shared" ca="1" si="83"/>
        <v>0</v>
      </c>
      <c r="F173" s="73">
        <f t="shared" ca="1" si="84"/>
        <v>762.51</v>
      </c>
      <c r="G173" s="15">
        <f t="shared" ca="1" si="85"/>
        <v>0</v>
      </c>
      <c r="H173" s="73">
        <f t="shared" ca="1" si="86"/>
        <v>6.86</v>
      </c>
      <c r="I173" s="15">
        <f t="shared" ca="1" si="87"/>
        <v>0</v>
      </c>
      <c r="J173" s="73">
        <f t="shared" ca="1" si="88"/>
        <v>755.65</v>
      </c>
      <c r="K173" s="15">
        <f t="shared" ca="1" si="89"/>
        <v>0</v>
      </c>
      <c r="L173" s="16">
        <f t="shared" ca="1" si="90"/>
        <v>757.7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>
        <f t="shared" ca="1" si="102"/>
        <v>30.3</v>
      </c>
      <c r="Y173" s="15">
        <f t="shared" ca="1" si="103"/>
        <v>0</v>
      </c>
      <c r="Z173" s="16" t="str">
        <f t="shared" ca="1" si="104"/>
        <v>—</v>
      </c>
      <c r="AA173" s="15">
        <f t="shared" ca="1" si="105"/>
        <v>7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7.7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>
        <f t="shared" ca="1" si="118"/>
        <v>90</v>
      </c>
      <c r="AO173" s="15">
        <f t="shared" ca="1" si="119"/>
        <v>0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19190622</v>
      </c>
      <c r="C174" s="72">
        <f t="shared" si="81"/>
        <v>600</v>
      </c>
      <c r="D174" s="16">
        <f t="shared" ca="1" si="82"/>
        <v>28.6</v>
      </c>
      <c r="E174" s="15">
        <f t="shared" ca="1" si="83"/>
        <v>0</v>
      </c>
      <c r="F174" s="73">
        <f t="shared" ca="1" si="84"/>
        <v>763.32</v>
      </c>
      <c r="G174" s="15">
        <f t="shared" ca="1" si="85"/>
        <v>0</v>
      </c>
      <c r="H174" s="73">
        <f t="shared" ca="1" si="86"/>
        <v>6.76</v>
      </c>
      <c r="I174" s="15">
        <f t="shared" ca="1" si="87"/>
        <v>0</v>
      </c>
      <c r="J174" s="73">
        <f t="shared" ca="1" si="88"/>
        <v>756.56</v>
      </c>
      <c r="K174" s="15">
        <f t="shared" ca="1" si="89"/>
        <v>0</v>
      </c>
      <c r="L174" s="16">
        <f t="shared" ca="1" si="90"/>
        <v>758.7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>
        <f t="shared" ca="1" si="102"/>
        <v>30</v>
      </c>
      <c r="Y174" s="15">
        <f t="shared" ca="1" si="103"/>
        <v>0</v>
      </c>
      <c r="Z174" s="16" t="str">
        <f t="shared" ca="1" si="104"/>
        <v>—</v>
      </c>
      <c r="AA174" s="15">
        <f t="shared" ca="1" si="105"/>
        <v>7</v>
      </c>
      <c r="AB174" s="9">
        <f t="shared" ca="1" si="106"/>
        <v>45</v>
      </c>
      <c r="AC174" s="15">
        <f t="shared" ca="1" si="107"/>
        <v>0</v>
      </c>
      <c r="AD174" s="76">
        <f t="shared" ca="1" si="108"/>
        <v>7.7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>
        <f t="shared" ca="1" si="118"/>
        <v>90</v>
      </c>
      <c r="AO174" s="15">
        <f t="shared" ca="1" si="119"/>
        <v>0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19190623</v>
      </c>
      <c r="C175" s="72">
        <f t="shared" si="81"/>
        <v>600</v>
      </c>
      <c r="D175" s="16">
        <f t="shared" ca="1" si="82"/>
        <v>29.2</v>
      </c>
      <c r="E175" s="15">
        <f t="shared" ca="1" si="83"/>
        <v>0</v>
      </c>
      <c r="F175" s="73">
        <f t="shared" ca="1" si="84"/>
        <v>763.12</v>
      </c>
      <c r="G175" s="15">
        <f t="shared" ca="1" si="85"/>
        <v>0</v>
      </c>
      <c r="H175" s="73">
        <f t="shared" ca="1" si="86"/>
        <v>6.81</v>
      </c>
      <c r="I175" s="15">
        <f t="shared" ca="1" si="87"/>
        <v>0</v>
      </c>
      <c r="J175" s="73">
        <f t="shared" ca="1" si="88"/>
        <v>756.31</v>
      </c>
      <c r="K175" s="15">
        <f t="shared" ca="1" si="89"/>
        <v>0</v>
      </c>
      <c r="L175" s="16">
        <f t="shared" ca="1" si="90"/>
        <v>758.4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>
        <f t="shared" ca="1" si="102"/>
        <v>29.6</v>
      </c>
      <c r="Y175" s="15">
        <f t="shared" ca="1" si="103"/>
        <v>0</v>
      </c>
      <c r="Z175" s="16" t="str">
        <f t="shared" ca="1" si="104"/>
        <v>—</v>
      </c>
      <c r="AA175" s="15">
        <f t="shared" ca="1" si="105"/>
        <v>7</v>
      </c>
      <c r="AB175" s="9">
        <f t="shared" ca="1" si="106"/>
        <v>90</v>
      </c>
      <c r="AC175" s="15">
        <f t="shared" ca="1" si="107"/>
        <v>0</v>
      </c>
      <c r="AD175" s="76">
        <f t="shared" ca="1" si="108"/>
        <v>7.7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>
        <f t="shared" ca="1" si="118"/>
        <v>90</v>
      </c>
      <c r="AO175" s="15">
        <f t="shared" ca="1" si="119"/>
        <v>0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19190624</v>
      </c>
      <c r="C176" s="72">
        <f t="shared" si="81"/>
        <v>600</v>
      </c>
      <c r="D176" s="16">
        <f t="shared" ca="1" si="82"/>
        <v>27.8</v>
      </c>
      <c r="E176" s="15">
        <f t="shared" ca="1" si="83"/>
        <v>0</v>
      </c>
      <c r="F176" s="73">
        <f t="shared" ca="1" si="84"/>
        <v>762.41</v>
      </c>
      <c r="G176" s="15">
        <f t="shared" ca="1" si="85"/>
        <v>0</v>
      </c>
      <c r="H176" s="73">
        <f t="shared" ca="1" si="86"/>
        <v>6.65</v>
      </c>
      <c r="I176" s="15">
        <f t="shared" ca="1" si="87"/>
        <v>0</v>
      </c>
      <c r="J176" s="73">
        <f t="shared" ca="1" si="88"/>
        <v>755.75</v>
      </c>
      <c r="K176" s="15">
        <f t="shared" ca="1" si="89"/>
        <v>0</v>
      </c>
      <c r="L176" s="16">
        <f t="shared" ca="1" si="90"/>
        <v>757.7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>
        <f t="shared" ca="1" si="102"/>
        <v>29.2</v>
      </c>
      <c r="Y176" s="15">
        <f t="shared" ca="1" si="103"/>
        <v>0</v>
      </c>
      <c r="Z176" s="16" t="str">
        <f t="shared" ca="1" si="104"/>
        <v>—</v>
      </c>
      <c r="AA176" s="15">
        <f t="shared" ca="1" si="105"/>
        <v>7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5.0999999999999996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>
        <f t="shared" ca="1" si="118"/>
        <v>90</v>
      </c>
      <c r="AO176" s="15">
        <f t="shared" ca="1" si="119"/>
        <v>0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19190625</v>
      </c>
      <c r="C177" s="72">
        <f t="shared" si="81"/>
        <v>600</v>
      </c>
      <c r="D177" s="16">
        <f t="shared" ca="1" si="82"/>
        <v>28.6</v>
      </c>
      <c r="E177" s="15">
        <f t="shared" ca="1" si="83"/>
        <v>0</v>
      </c>
      <c r="F177" s="73">
        <f t="shared" ca="1" si="84"/>
        <v>762.48</v>
      </c>
      <c r="G177" s="15">
        <f t="shared" ca="1" si="85"/>
        <v>0</v>
      </c>
      <c r="H177" s="73">
        <f t="shared" ca="1" si="86"/>
        <v>6.76</v>
      </c>
      <c r="I177" s="15">
        <f t="shared" ca="1" si="87"/>
        <v>0</v>
      </c>
      <c r="J177" s="73">
        <f t="shared" ca="1" si="88"/>
        <v>755.73</v>
      </c>
      <c r="K177" s="15">
        <f t="shared" ca="1" si="89"/>
        <v>0</v>
      </c>
      <c r="L177" s="16">
        <f t="shared" ca="1" si="90"/>
        <v>757.7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30.1</v>
      </c>
      <c r="Y177" s="15">
        <f t="shared" ca="1" si="103"/>
        <v>0</v>
      </c>
      <c r="Z177" s="16" t="str">
        <f t="shared" ca="1" si="104"/>
        <v>—</v>
      </c>
      <c r="AA177" s="15">
        <f t="shared" ca="1" si="105"/>
        <v>7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6.2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>
        <f t="shared" ca="1" si="118"/>
        <v>90</v>
      </c>
      <c r="AO177" s="15">
        <f t="shared" ca="1" si="119"/>
        <v>0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19190626</v>
      </c>
      <c r="C178" s="72">
        <f t="shared" si="81"/>
        <v>600</v>
      </c>
      <c r="D178" s="16">
        <f t="shared" ca="1" si="82"/>
        <v>28.9</v>
      </c>
      <c r="E178" s="15">
        <f t="shared" ca="1" si="83"/>
        <v>0</v>
      </c>
      <c r="F178" s="73">
        <f t="shared" ca="1" si="84"/>
        <v>762.51</v>
      </c>
      <c r="G178" s="15">
        <f t="shared" ca="1" si="85"/>
        <v>0</v>
      </c>
      <c r="H178" s="73">
        <f t="shared" ca="1" si="86"/>
        <v>6.78</v>
      </c>
      <c r="I178" s="15">
        <f t="shared" ca="1" si="87"/>
        <v>0</v>
      </c>
      <c r="J178" s="73">
        <f t="shared" ca="1" si="88"/>
        <v>755.73</v>
      </c>
      <c r="K178" s="15">
        <f t="shared" ca="1" si="89"/>
        <v>0</v>
      </c>
      <c r="L178" s="16">
        <f t="shared" ca="1" si="90"/>
        <v>757.7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30.4</v>
      </c>
      <c r="Y178" s="15">
        <f t="shared" ca="1" si="103"/>
        <v>0</v>
      </c>
      <c r="Z178" s="16" t="str">
        <f t="shared" ca="1" si="104"/>
        <v>—</v>
      </c>
      <c r="AA178" s="15">
        <f t="shared" ca="1" si="105"/>
        <v>7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6.2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>
        <f t="shared" ca="1" si="118"/>
        <v>90</v>
      </c>
      <c r="AO178" s="15">
        <f t="shared" ca="1" si="119"/>
        <v>0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19190627</v>
      </c>
      <c r="C179" s="72">
        <f t="shared" si="81"/>
        <v>600</v>
      </c>
      <c r="D179" s="16">
        <f t="shared" ca="1" si="82"/>
        <v>28.6</v>
      </c>
      <c r="E179" s="15">
        <f t="shared" ca="1" si="83"/>
        <v>0</v>
      </c>
      <c r="F179" s="73">
        <f t="shared" ca="1" si="84"/>
        <v>762.3</v>
      </c>
      <c r="G179" s="15">
        <f t="shared" ca="1" si="85"/>
        <v>0</v>
      </c>
      <c r="H179" s="73">
        <f t="shared" ca="1" si="86"/>
        <v>6.76</v>
      </c>
      <c r="I179" s="15">
        <f t="shared" ca="1" si="87"/>
        <v>0</v>
      </c>
      <c r="J179" s="73">
        <f t="shared" ca="1" si="88"/>
        <v>755.55</v>
      </c>
      <c r="K179" s="15">
        <f t="shared" ca="1" si="89"/>
        <v>0</v>
      </c>
      <c r="L179" s="16">
        <f t="shared" ca="1" si="90"/>
        <v>757.7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29.8</v>
      </c>
      <c r="Y179" s="15">
        <f t="shared" ca="1" si="103"/>
        <v>0</v>
      </c>
      <c r="Z179" s="16" t="str">
        <f t="shared" ca="1" si="104"/>
        <v>—</v>
      </c>
      <c r="AA179" s="15">
        <f t="shared" ca="1" si="105"/>
        <v>7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7.2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>
        <f t="shared" ca="1" si="118"/>
        <v>90</v>
      </c>
      <c r="AO179" s="15">
        <f t="shared" ca="1" si="119"/>
        <v>0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19190628</v>
      </c>
      <c r="C180" s="72">
        <f t="shared" si="81"/>
        <v>600</v>
      </c>
      <c r="D180" s="16">
        <f t="shared" ca="1" si="82"/>
        <v>29.2</v>
      </c>
      <c r="E180" s="15">
        <f t="shared" ca="1" si="83"/>
        <v>0</v>
      </c>
      <c r="F180" s="73">
        <f t="shared" ca="1" si="84"/>
        <v>761.8</v>
      </c>
      <c r="G180" s="15">
        <f t="shared" ca="1" si="85"/>
        <v>0</v>
      </c>
      <c r="H180" s="73">
        <f t="shared" ca="1" si="86"/>
        <v>6.81</v>
      </c>
      <c r="I180" s="15">
        <f t="shared" ca="1" si="87"/>
        <v>0</v>
      </c>
      <c r="J180" s="73">
        <f t="shared" ca="1" si="88"/>
        <v>754.99</v>
      </c>
      <c r="K180" s="15">
        <f t="shared" ca="1" si="89"/>
        <v>0</v>
      </c>
      <c r="L180" s="16">
        <f t="shared" ca="1" si="90"/>
        <v>756.9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30</v>
      </c>
      <c r="Y180" s="15">
        <f t="shared" ca="1" si="103"/>
        <v>0</v>
      </c>
      <c r="Z180" s="16" t="str">
        <f t="shared" ca="1" si="104"/>
        <v>—</v>
      </c>
      <c r="AA180" s="15">
        <f t="shared" ca="1" si="105"/>
        <v>7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7.7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>
        <f t="shared" ca="1" si="118"/>
        <v>90</v>
      </c>
      <c r="AO180" s="15">
        <f t="shared" ca="1" si="119"/>
        <v>0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19190629</v>
      </c>
      <c r="C181" s="72">
        <f t="shared" si="81"/>
        <v>600</v>
      </c>
      <c r="D181" s="16">
        <f t="shared" ca="1" si="82"/>
        <v>29.2</v>
      </c>
      <c r="E181" s="15">
        <f t="shared" ca="1" si="83"/>
        <v>0</v>
      </c>
      <c r="F181" s="73">
        <f t="shared" ca="1" si="84"/>
        <v>764.13</v>
      </c>
      <c r="G181" s="15">
        <f t="shared" ca="1" si="85"/>
        <v>0</v>
      </c>
      <c r="H181" s="73">
        <f t="shared" ca="1" si="86"/>
        <v>6.81</v>
      </c>
      <c r="I181" s="15">
        <f t="shared" ca="1" si="87"/>
        <v>0</v>
      </c>
      <c r="J181" s="73">
        <f t="shared" ca="1" si="88"/>
        <v>756.56</v>
      </c>
      <c r="K181" s="15">
        <f t="shared" ca="1" si="89"/>
        <v>0</v>
      </c>
      <c r="L181" s="16">
        <f t="shared" ca="1" si="90"/>
        <v>758.7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31.2</v>
      </c>
      <c r="Y181" s="15">
        <f t="shared" ca="1" si="103"/>
        <v>0</v>
      </c>
      <c r="Z181" s="16" t="str">
        <f t="shared" ca="1" si="104"/>
        <v>—</v>
      </c>
      <c r="AA181" s="15">
        <f t="shared" ca="1" si="105"/>
        <v>7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6.2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>
        <f t="shared" ca="1" si="118"/>
        <v>90</v>
      </c>
      <c r="AO181" s="15">
        <f t="shared" ca="1" si="119"/>
        <v>0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19190630</v>
      </c>
      <c r="C182" s="72">
        <f t="shared" si="81"/>
        <v>600</v>
      </c>
      <c r="D182" s="16">
        <f t="shared" ca="1" si="82"/>
        <v>28.9</v>
      </c>
      <c r="E182" s="15">
        <f t="shared" ca="1" si="83"/>
        <v>0</v>
      </c>
      <c r="F182" s="73">
        <f t="shared" ca="1" si="84"/>
        <v>763.96</v>
      </c>
      <c r="G182" s="15">
        <f t="shared" ca="1" si="85"/>
        <v>0</v>
      </c>
      <c r="H182" s="73">
        <f t="shared" ca="1" si="86"/>
        <v>6.78</v>
      </c>
      <c r="I182" s="15">
        <f t="shared" ca="1" si="87"/>
        <v>0</v>
      </c>
      <c r="J182" s="73">
        <f t="shared" ca="1" si="88"/>
        <v>757.17</v>
      </c>
      <c r="K182" s="15">
        <f t="shared" ca="1" si="89"/>
        <v>0</v>
      </c>
      <c r="L182" s="16">
        <f t="shared" ca="1" si="90"/>
        <v>759.2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30.1</v>
      </c>
      <c r="Y182" s="15">
        <f t="shared" ca="1" si="103"/>
        <v>0</v>
      </c>
      <c r="Z182" s="16" t="str">
        <f t="shared" ca="1" si="104"/>
        <v>—</v>
      </c>
      <c r="AA182" s="15">
        <f t="shared" ca="1" si="105"/>
        <v>7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5.0999999999999996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>
        <f t="shared" ca="1" si="118"/>
        <v>90</v>
      </c>
      <c r="AO182" s="15">
        <f t="shared" ca="1" si="119"/>
        <v>0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19190701</v>
      </c>
      <c r="C183" s="72">
        <f t="shared" si="81"/>
        <v>600</v>
      </c>
      <c r="D183" s="16">
        <f t="shared" ca="1" si="82"/>
        <v>28.9</v>
      </c>
      <c r="E183" s="15">
        <f t="shared" ca="1" si="83"/>
        <v>0</v>
      </c>
      <c r="F183" s="73">
        <f t="shared" ca="1" si="84"/>
        <v>763.32</v>
      </c>
      <c r="G183" s="15">
        <f t="shared" ca="1" si="85"/>
        <v>0</v>
      </c>
      <c r="H183" s="73">
        <f t="shared" ca="1" si="86"/>
        <v>6.78</v>
      </c>
      <c r="I183" s="15">
        <f t="shared" ca="1" si="87"/>
        <v>0</v>
      </c>
      <c r="J183" s="73">
        <f t="shared" ca="1" si="88"/>
        <v>756.54</v>
      </c>
      <c r="K183" s="15">
        <f t="shared" ca="1" si="89"/>
        <v>0</v>
      </c>
      <c r="L183" s="16">
        <f t="shared" ca="1" si="90"/>
        <v>758.7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29.6</v>
      </c>
      <c r="Y183" s="15">
        <f t="shared" ca="1" si="103"/>
        <v>0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5.0999999999999996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>
        <f t="shared" ca="1" si="118"/>
        <v>90</v>
      </c>
      <c r="AO183" s="15">
        <f t="shared" ca="1" si="119"/>
        <v>0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19190702</v>
      </c>
      <c r="C184" s="72">
        <f t="shared" si="81"/>
        <v>600</v>
      </c>
      <c r="D184" s="16">
        <f t="shared" ca="1" si="82"/>
        <v>29.4</v>
      </c>
      <c r="E184" s="15">
        <f t="shared" ca="1" si="83"/>
        <v>0</v>
      </c>
      <c r="F184" s="73">
        <f t="shared" ca="1" si="84"/>
        <v>762.91</v>
      </c>
      <c r="G184" s="15">
        <f t="shared" ca="1" si="85"/>
        <v>0</v>
      </c>
      <c r="H184" s="73">
        <f t="shared" ca="1" si="86"/>
        <v>6.86</v>
      </c>
      <c r="I184" s="15">
        <f t="shared" ca="1" si="87"/>
        <v>0</v>
      </c>
      <c r="J184" s="73">
        <f t="shared" ca="1" si="88"/>
        <v>756.06</v>
      </c>
      <c r="K184" s="15">
        <f t="shared" ca="1" si="89"/>
        <v>0</v>
      </c>
      <c r="L184" s="16">
        <f t="shared" ca="1" si="90"/>
        <v>758.2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29.9</v>
      </c>
      <c r="Y184" s="15">
        <f t="shared" ca="1" si="103"/>
        <v>0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6.2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>
        <f t="shared" ca="1" si="118"/>
        <v>90</v>
      </c>
      <c r="AO184" s="15">
        <f t="shared" ca="1" si="119"/>
        <v>0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19190703</v>
      </c>
      <c r="C185" s="72">
        <f t="shared" si="81"/>
        <v>600</v>
      </c>
      <c r="D185" s="16">
        <f t="shared" ca="1" si="82"/>
        <v>29.4</v>
      </c>
      <c r="E185" s="15">
        <f t="shared" ca="1" si="83"/>
        <v>0</v>
      </c>
      <c r="F185" s="73">
        <f t="shared" ca="1" si="84"/>
        <v>763.27</v>
      </c>
      <c r="G185" s="15">
        <f t="shared" ca="1" si="85"/>
        <v>0</v>
      </c>
      <c r="H185" s="73">
        <f t="shared" ca="1" si="86"/>
        <v>6.86</v>
      </c>
      <c r="I185" s="15">
        <f t="shared" ca="1" si="87"/>
        <v>0</v>
      </c>
      <c r="J185" s="73">
        <f t="shared" ca="1" si="88"/>
        <v>756.41</v>
      </c>
      <c r="K185" s="15">
        <f t="shared" ca="1" si="89"/>
        <v>0</v>
      </c>
      <c r="L185" s="16">
        <f t="shared" ca="1" si="90"/>
        <v>758.4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30.4</v>
      </c>
      <c r="Y185" s="15">
        <f t="shared" ca="1" si="103"/>
        <v>0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6.2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>
        <f t="shared" ca="1" si="118"/>
        <v>90</v>
      </c>
      <c r="AO185" s="15">
        <f t="shared" ca="1" si="119"/>
        <v>0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19190704</v>
      </c>
      <c r="C186" s="72">
        <f t="shared" si="81"/>
        <v>600</v>
      </c>
      <c r="D186" s="16">
        <f t="shared" ca="1" si="82"/>
        <v>29.4</v>
      </c>
      <c r="E186" s="15">
        <f t="shared" ca="1" si="83"/>
        <v>0</v>
      </c>
      <c r="F186" s="73">
        <f t="shared" ca="1" si="84"/>
        <v>763.52</v>
      </c>
      <c r="G186" s="15">
        <f t="shared" ca="1" si="85"/>
        <v>0</v>
      </c>
      <c r="H186" s="73">
        <f t="shared" ca="1" si="86"/>
        <v>6.86</v>
      </c>
      <c r="I186" s="15">
        <f t="shared" ca="1" si="87"/>
        <v>0</v>
      </c>
      <c r="J186" s="73">
        <f t="shared" ca="1" si="88"/>
        <v>756.67</v>
      </c>
      <c r="K186" s="15">
        <f t="shared" ca="1" si="89"/>
        <v>0</v>
      </c>
      <c r="L186" s="16">
        <f t="shared" ca="1" si="90"/>
        <v>758.7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30.1</v>
      </c>
      <c r="Y186" s="15">
        <f t="shared" ca="1" si="103"/>
        <v>0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6.2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>
        <f t="shared" ca="1" si="118"/>
        <v>90</v>
      </c>
      <c r="AO186" s="15">
        <f t="shared" ca="1" si="119"/>
        <v>0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19190705</v>
      </c>
      <c r="C187" s="72">
        <f t="shared" si="81"/>
        <v>600</v>
      </c>
      <c r="D187" s="16">
        <f t="shared" ca="1" si="82"/>
        <v>26.7</v>
      </c>
      <c r="E187" s="15">
        <f t="shared" ca="1" si="83"/>
        <v>0</v>
      </c>
      <c r="F187" s="73">
        <f t="shared" ca="1" si="84"/>
        <v>762.08</v>
      </c>
      <c r="G187" s="15">
        <f t="shared" ca="1" si="85"/>
        <v>0</v>
      </c>
      <c r="H187" s="73">
        <f t="shared" ca="1" si="86"/>
        <v>6.5</v>
      </c>
      <c r="I187" s="15">
        <f t="shared" ca="1" si="87"/>
        <v>0</v>
      </c>
      <c r="J187" s="73">
        <f t="shared" ca="1" si="88"/>
        <v>755.57</v>
      </c>
      <c r="K187" s="15">
        <f t="shared" ca="1" si="89"/>
        <v>0</v>
      </c>
      <c r="L187" s="16">
        <f t="shared" ca="1" si="90"/>
        <v>757.7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31.3</v>
      </c>
      <c r="Y187" s="15">
        <f t="shared" ca="1" si="103"/>
        <v>0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45</v>
      </c>
      <c r="AC187" s="15">
        <f t="shared" ca="1" si="107"/>
        <v>0</v>
      </c>
      <c r="AD187" s="76">
        <f t="shared" ca="1" si="108"/>
        <v>6.2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>
        <f t="shared" ca="1" si="118"/>
        <v>45</v>
      </c>
      <c r="AO187" s="15">
        <f t="shared" ca="1" si="119"/>
        <v>0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19190706</v>
      </c>
      <c r="C188" s="72">
        <f t="shared" si="81"/>
        <v>600</v>
      </c>
      <c r="D188" s="16">
        <f t="shared" ca="1" si="82"/>
        <v>26.4</v>
      </c>
      <c r="E188" s="15">
        <f t="shared" ca="1" si="83"/>
        <v>0</v>
      </c>
      <c r="F188" s="73">
        <f t="shared" ca="1" si="84"/>
        <v>762.61</v>
      </c>
      <c r="G188" s="15">
        <f t="shared" ca="1" si="85"/>
        <v>0</v>
      </c>
      <c r="H188" s="73">
        <f t="shared" ca="1" si="86"/>
        <v>6.48</v>
      </c>
      <c r="I188" s="15">
        <f t="shared" ca="1" si="87"/>
        <v>0</v>
      </c>
      <c r="J188" s="73">
        <f t="shared" ca="1" si="88"/>
        <v>756.13</v>
      </c>
      <c r="K188" s="15">
        <f t="shared" ca="1" si="89"/>
        <v>0</v>
      </c>
      <c r="L188" s="16">
        <f t="shared" ca="1" si="90"/>
        <v>758.2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30.3</v>
      </c>
      <c r="Y188" s="15">
        <f t="shared" ca="1" si="103"/>
        <v>0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6.2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>
        <f t="shared" ca="1" si="118"/>
        <v>90</v>
      </c>
      <c r="AO188" s="15">
        <f t="shared" ca="1" si="119"/>
        <v>0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19190707</v>
      </c>
      <c r="C189" s="72">
        <f t="shared" si="81"/>
        <v>600</v>
      </c>
      <c r="D189" s="16">
        <f t="shared" ca="1" si="82"/>
        <v>28.6</v>
      </c>
      <c r="E189" s="15">
        <f t="shared" ca="1" si="83"/>
        <v>0</v>
      </c>
      <c r="F189" s="73">
        <f t="shared" ca="1" si="84"/>
        <v>763.32</v>
      </c>
      <c r="G189" s="15">
        <f t="shared" ca="1" si="85"/>
        <v>0</v>
      </c>
      <c r="H189" s="73">
        <f t="shared" ca="1" si="86"/>
        <v>6.76</v>
      </c>
      <c r="I189" s="15">
        <f t="shared" ca="1" si="87"/>
        <v>0</v>
      </c>
      <c r="J189" s="73">
        <f t="shared" ca="1" si="88"/>
        <v>756.56</v>
      </c>
      <c r="K189" s="15">
        <f t="shared" ca="1" si="89"/>
        <v>0</v>
      </c>
      <c r="L189" s="16">
        <f t="shared" ca="1" si="90"/>
        <v>758.7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30.1</v>
      </c>
      <c r="Y189" s="15">
        <f t="shared" ca="1" si="103"/>
        <v>0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6.2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>
        <f t="shared" ca="1" si="118"/>
        <v>90</v>
      </c>
      <c r="AO189" s="15">
        <f t="shared" ca="1" si="119"/>
        <v>0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19190708</v>
      </c>
      <c r="C190" s="72">
        <f t="shared" si="81"/>
        <v>600</v>
      </c>
      <c r="D190" s="16">
        <f t="shared" ca="1" si="82"/>
        <v>29.4</v>
      </c>
      <c r="E190" s="15">
        <f t="shared" ca="1" si="83"/>
        <v>0</v>
      </c>
      <c r="F190" s="73">
        <f t="shared" ca="1" si="84"/>
        <v>765.1</v>
      </c>
      <c r="G190" s="15">
        <f t="shared" ca="1" si="85"/>
        <v>0</v>
      </c>
      <c r="H190" s="73">
        <f t="shared" ca="1" si="86"/>
        <v>6.86</v>
      </c>
      <c r="I190" s="15">
        <f t="shared" ca="1" si="87"/>
        <v>0</v>
      </c>
      <c r="J190" s="73">
        <f t="shared" ca="1" si="88"/>
        <v>758.24</v>
      </c>
      <c r="K190" s="15">
        <f t="shared" ca="1" si="89"/>
        <v>0</v>
      </c>
      <c r="L190" s="16">
        <f t="shared" ca="1" si="90"/>
        <v>760.2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30.8</v>
      </c>
      <c r="Y190" s="15">
        <f t="shared" ca="1" si="103"/>
        <v>0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5.0999999999999996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>
        <f t="shared" ca="1" si="118"/>
        <v>90</v>
      </c>
      <c r="AO190" s="15">
        <f t="shared" ca="1" si="119"/>
        <v>0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19190709</v>
      </c>
      <c r="C191" s="72">
        <f t="shared" si="81"/>
        <v>600</v>
      </c>
      <c r="D191" s="16">
        <f t="shared" ca="1" si="82"/>
        <v>29.4</v>
      </c>
      <c r="E191" s="15">
        <f t="shared" ca="1" si="83"/>
        <v>0</v>
      </c>
      <c r="F191" s="73">
        <f t="shared" ca="1" si="84"/>
        <v>764.24</v>
      </c>
      <c r="G191" s="15">
        <f t="shared" ca="1" si="85"/>
        <v>0</v>
      </c>
      <c r="H191" s="73">
        <f t="shared" ca="1" si="86"/>
        <v>6.86</v>
      </c>
      <c r="I191" s="15">
        <f t="shared" ca="1" si="87"/>
        <v>0</v>
      </c>
      <c r="J191" s="73">
        <f t="shared" ca="1" si="88"/>
        <v>757.38</v>
      </c>
      <c r="K191" s="15">
        <f t="shared" ca="1" si="89"/>
        <v>0</v>
      </c>
      <c r="L191" s="16">
        <f t="shared" ca="1" si="90"/>
        <v>759.5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31.2</v>
      </c>
      <c r="Y191" s="15">
        <f t="shared" ca="1" si="103"/>
        <v>0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5.0999999999999996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>
        <f t="shared" ca="1" si="118"/>
        <v>90</v>
      </c>
      <c r="AO191" s="15">
        <f t="shared" ca="1" si="119"/>
        <v>0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19190710</v>
      </c>
      <c r="C192" s="72">
        <f t="shared" si="81"/>
        <v>600</v>
      </c>
      <c r="D192" s="16">
        <f t="shared" ca="1" si="82"/>
        <v>29.4</v>
      </c>
      <c r="E192" s="15">
        <f t="shared" ca="1" si="83"/>
        <v>0</v>
      </c>
      <c r="F192" s="73">
        <f t="shared" ca="1" si="84"/>
        <v>763.83</v>
      </c>
      <c r="G192" s="15">
        <f t="shared" ca="1" si="85"/>
        <v>0</v>
      </c>
      <c r="H192" s="73">
        <f t="shared" ca="1" si="86"/>
        <v>6.86</v>
      </c>
      <c r="I192" s="15">
        <f t="shared" ca="1" si="87"/>
        <v>0</v>
      </c>
      <c r="J192" s="73">
        <f t="shared" ca="1" si="88"/>
        <v>756.97</v>
      </c>
      <c r="K192" s="15">
        <f t="shared" ca="1" si="89"/>
        <v>0</v>
      </c>
      <c r="L192" s="16">
        <f t="shared" ca="1" si="90"/>
        <v>759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30.6</v>
      </c>
      <c r="Y192" s="15">
        <f t="shared" ca="1" si="103"/>
        <v>0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5.0999999999999996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>
        <f t="shared" ca="1" si="118"/>
        <v>90</v>
      </c>
      <c r="AO192" s="15">
        <f t="shared" ca="1" si="119"/>
        <v>0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19190711</v>
      </c>
      <c r="C193" s="72">
        <f t="shared" si="81"/>
        <v>600</v>
      </c>
      <c r="D193" s="16">
        <f t="shared" ca="1" si="82"/>
        <v>29.4</v>
      </c>
      <c r="E193" s="15">
        <f t="shared" ca="1" si="83"/>
        <v>0</v>
      </c>
      <c r="F193" s="73">
        <f t="shared" ca="1" si="84"/>
        <v>763.83</v>
      </c>
      <c r="G193" s="15">
        <f t="shared" ca="1" si="85"/>
        <v>0</v>
      </c>
      <c r="H193" s="73">
        <f t="shared" ca="1" si="86"/>
        <v>6.86</v>
      </c>
      <c r="I193" s="15">
        <f t="shared" ca="1" si="87"/>
        <v>0</v>
      </c>
      <c r="J193" s="73">
        <f t="shared" ca="1" si="88"/>
        <v>756.97</v>
      </c>
      <c r="K193" s="15">
        <f t="shared" ca="1" si="89"/>
        <v>0</v>
      </c>
      <c r="L193" s="16">
        <f t="shared" ca="1" si="90"/>
        <v>759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30.8</v>
      </c>
      <c r="Y193" s="15">
        <f t="shared" ca="1" si="103"/>
        <v>0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5.0999999999999996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>
        <f t="shared" ca="1" si="118"/>
        <v>90</v>
      </c>
      <c r="AO193" s="15">
        <f t="shared" ca="1" si="119"/>
        <v>0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19190712</v>
      </c>
      <c r="C194" s="72">
        <f t="shared" ref="C194:C257" si="121">Tijd</f>
        <v>600</v>
      </c>
      <c r="D194" s="16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29.4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94" s="73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764.59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94" s="73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6.86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94" s="73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757.73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759.7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30.9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19190713</v>
      </c>
      <c r="C195" s="72">
        <f t="shared" si="121"/>
        <v>600</v>
      </c>
      <c r="D195" s="16">
        <f t="shared" ca="1" si="122"/>
        <v>29.2</v>
      </c>
      <c r="E195" s="15">
        <f t="shared" ca="1" si="123"/>
        <v>0</v>
      </c>
      <c r="F195" s="73">
        <f t="shared" ca="1" si="124"/>
        <v>764.29</v>
      </c>
      <c r="G195" s="15">
        <f t="shared" ca="1" si="125"/>
        <v>0</v>
      </c>
      <c r="H195" s="73">
        <f t="shared" ca="1" si="126"/>
        <v>6.81</v>
      </c>
      <c r="I195" s="15">
        <f t="shared" ca="1" si="127"/>
        <v>0</v>
      </c>
      <c r="J195" s="73">
        <f t="shared" ca="1" si="128"/>
        <v>757.48</v>
      </c>
      <c r="K195" s="15">
        <f t="shared" ca="1" si="129"/>
        <v>0</v>
      </c>
      <c r="L195" s="16">
        <f t="shared" ca="1" si="130"/>
        <v>759.5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30.3</v>
      </c>
      <c r="Y195" s="15">
        <f t="shared" ca="1" si="143"/>
        <v>0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4.0999999999999996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>
        <f t="shared" ca="1" si="158"/>
        <v>90</v>
      </c>
      <c r="AO195" s="15">
        <f t="shared" ca="1" si="159"/>
        <v>0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19190714</v>
      </c>
      <c r="C196" s="72">
        <f t="shared" si="121"/>
        <v>600</v>
      </c>
      <c r="D196" s="16">
        <f t="shared" ca="1" si="122"/>
        <v>29.4</v>
      </c>
      <c r="E196" s="15">
        <f t="shared" ca="1" si="123"/>
        <v>0</v>
      </c>
      <c r="F196" s="73">
        <f t="shared" ca="1" si="124"/>
        <v>762.56</v>
      </c>
      <c r="G196" s="15">
        <f t="shared" ca="1" si="125"/>
        <v>0</v>
      </c>
      <c r="H196" s="73">
        <f t="shared" ca="1" si="126"/>
        <v>6.86</v>
      </c>
      <c r="I196" s="15">
        <f t="shared" ca="1" si="127"/>
        <v>0</v>
      </c>
      <c r="J196" s="73">
        <f t="shared" ca="1" si="128"/>
        <v>755.7</v>
      </c>
      <c r="K196" s="15">
        <f t="shared" ca="1" si="129"/>
        <v>0</v>
      </c>
      <c r="L196" s="16">
        <f t="shared" ca="1" si="130"/>
        <v>757.7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29.7</v>
      </c>
      <c r="Y196" s="15">
        <f t="shared" ca="1" si="143"/>
        <v>0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4.0999999999999996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>
        <f t="shared" ca="1" si="158"/>
        <v>90</v>
      </c>
      <c r="AO196" s="15">
        <f t="shared" ca="1" si="159"/>
        <v>0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19190715</v>
      </c>
      <c r="C197" s="72">
        <f t="shared" si="121"/>
        <v>600</v>
      </c>
      <c r="D197" s="16">
        <f t="shared" ca="1" si="122"/>
        <v>29.4</v>
      </c>
      <c r="E197" s="15">
        <f t="shared" ca="1" si="123"/>
        <v>0</v>
      </c>
      <c r="F197" s="73">
        <f t="shared" ca="1" si="124"/>
        <v>762.61</v>
      </c>
      <c r="G197" s="15">
        <f t="shared" ca="1" si="125"/>
        <v>0</v>
      </c>
      <c r="H197" s="73">
        <f t="shared" ca="1" si="126"/>
        <v>6.86</v>
      </c>
      <c r="I197" s="15">
        <f t="shared" ca="1" si="127"/>
        <v>0</v>
      </c>
      <c r="J197" s="73">
        <f t="shared" ca="1" si="128"/>
        <v>755.7</v>
      </c>
      <c r="K197" s="15">
        <f t="shared" ca="1" si="129"/>
        <v>0</v>
      </c>
      <c r="L197" s="16">
        <f t="shared" ca="1" si="130"/>
        <v>757.7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30.1</v>
      </c>
      <c r="Y197" s="15">
        <f t="shared" ca="1" si="143"/>
        <v>0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5.0999999999999996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>
        <f t="shared" ca="1" si="158"/>
        <v>90</v>
      </c>
      <c r="AO197" s="15">
        <f t="shared" ca="1" si="159"/>
        <v>0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19190716</v>
      </c>
      <c r="C198" s="72">
        <f t="shared" si="121"/>
        <v>600</v>
      </c>
      <c r="D198" s="16">
        <f t="shared" ca="1" si="122"/>
        <v>29.4</v>
      </c>
      <c r="E198" s="15">
        <f t="shared" ca="1" si="123"/>
        <v>0</v>
      </c>
      <c r="F198" s="73">
        <f t="shared" ca="1" si="124"/>
        <v>763.24</v>
      </c>
      <c r="G198" s="15">
        <f t="shared" ca="1" si="125"/>
        <v>0</v>
      </c>
      <c r="H198" s="73">
        <f t="shared" ca="1" si="126"/>
        <v>6.86</v>
      </c>
      <c r="I198" s="15">
        <f t="shared" ca="1" si="127"/>
        <v>0</v>
      </c>
      <c r="J198" s="73">
        <f t="shared" ca="1" si="128"/>
        <v>756.39</v>
      </c>
      <c r="K198" s="15">
        <f t="shared" ca="1" si="129"/>
        <v>0</v>
      </c>
      <c r="L198" s="16">
        <f t="shared" ca="1" si="130"/>
        <v>758.4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30.5</v>
      </c>
      <c r="Y198" s="15">
        <f t="shared" ca="1" si="143"/>
        <v>0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>
        <f t="shared" ca="1" si="158"/>
        <v>90</v>
      </c>
      <c r="AO198" s="15">
        <f t="shared" ca="1" si="159"/>
        <v>0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19190717</v>
      </c>
      <c r="C199" s="72">
        <f t="shared" si="121"/>
        <v>600</v>
      </c>
      <c r="D199" s="16">
        <f t="shared" ca="1" si="122"/>
        <v>29.2</v>
      </c>
      <c r="E199" s="15">
        <f t="shared" ca="1" si="123"/>
        <v>0</v>
      </c>
      <c r="F199" s="73">
        <f t="shared" ca="1" si="124"/>
        <v>763.88</v>
      </c>
      <c r="G199" s="15">
        <f t="shared" ca="1" si="125"/>
        <v>0</v>
      </c>
      <c r="H199" s="73">
        <f t="shared" ca="1" si="126"/>
        <v>6.81</v>
      </c>
      <c r="I199" s="15">
        <f t="shared" ca="1" si="127"/>
        <v>0</v>
      </c>
      <c r="J199" s="73">
        <f t="shared" ca="1" si="128"/>
        <v>757.07</v>
      </c>
      <c r="K199" s="15">
        <f t="shared" ca="1" si="129"/>
        <v>0</v>
      </c>
      <c r="L199" s="16">
        <f t="shared" ca="1" si="130"/>
        <v>759.2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30.2</v>
      </c>
      <c r="Y199" s="15">
        <f t="shared" ca="1" si="143"/>
        <v>0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6.2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>
        <f t="shared" ca="1" si="158"/>
        <v>90</v>
      </c>
      <c r="AO199" s="15">
        <f t="shared" ca="1" si="159"/>
        <v>0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19190718</v>
      </c>
      <c r="C200" s="72">
        <f t="shared" si="121"/>
        <v>600</v>
      </c>
      <c r="D200" s="16">
        <f t="shared" ca="1" si="122"/>
        <v>29.4</v>
      </c>
      <c r="E200" s="15">
        <f t="shared" ca="1" si="123"/>
        <v>0</v>
      </c>
      <c r="F200" s="73">
        <f t="shared" ca="1" si="124"/>
        <v>763.85</v>
      </c>
      <c r="G200" s="15">
        <f t="shared" ca="1" si="125"/>
        <v>0</v>
      </c>
      <c r="H200" s="73">
        <f t="shared" ca="1" si="126"/>
        <v>6.86</v>
      </c>
      <c r="I200" s="15">
        <f t="shared" ca="1" si="127"/>
        <v>0</v>
      </c>
      <c r="J200" s="73">
        <f t="shared" ca="1" si="128"/>
        <v>757</v>
      </c>
      <c r="K200" s="15">
        <f t="shared" ca="1" si="129"/>
        <v>0</v>
      </c>
      <c r="L200" s="16">
        <f t="shared" ca="1" si="130"/>
        <v>759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30.3</v>
      </c>
      <c r="Y200" s="15">
        <f t="shared" ca="1" si="143"/>
        <v>0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6.2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>
        <f t="shared" ca="1" si="158"/>
        <v>90</v>
      </c>
      <c r="AO200" s="15">
        <f t="shared" ca="1" si="159"/>
        <v>0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19190719</v>
      </c>
      <c r="C201" s="72">
        <f t="shared" si="121"/>
        <v>600</v>
      </c>
      <c r="D201" s="16">
        <f t="shared" ca="1" si="122"/>
        <v>28.9</v>
      </c>
      <c r="E201" s="15">
        <f t="shared" ca="1" si="123"/>
        <v>0</v>
      </c>
      <c r="F201" s="73">
        <f t="shared" ca="1" si="124"/>
        <v>763.22</v>
      </c>
      <c r="G201" s="15">
        <f t="shared" ca="1" si="125"/>
        <v>0</v>
      </c>
      <c r="H201" s="73">
        <f t="shared" ca="1" si="126"/>
        <v>6.78</v>
      </c>
      <c r="I201" s="15">
        <f t="shared" ca="1" si="127"/>
        <v>0</v>
      </c>
      <c r="J201" s="73">
        <f t="shared" ca="1" si="128"/>
        <v>756.44</v>
      </c>
      <c r="K201" s="15">
        <f t="shared" ca="1" si="129"/>
        <v>0</v>
      </c>
      <c r="L201" s="16">
        <f t="shared" ca="1" si="130"/>
        <v>758.4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30.4</v>
      </c>
      <c r="Y201" s="15">
        <f t="shared" ca="1" si="143"/>
        <v>0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6.2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>
        <f t="shared" ca="1" si="158"/>
        <v>135</v>
      </c>
      <c r="AO201" s="15">
        <f t="shared" ca="1" si="159"/>
        <v>0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19190720</v>
      </c>
      <c r="C202" s="72">
        <f t="shared" si="121"/>
        <v>600</v>
      </c>
      <c r="D202" s="16">
        <f t="shared" ca="1" si="122"/>
        <v>29.7</v>
      </c>
      <c r="E202" s="15">
        <f t="shared" ca="1" si="123"/>
        <v>0</v>
      </c>
      <c r="F202" s="73">
        <f t="shared" ca="1" si="124"/>
        <v>762.58</v>
      </c>
      <c r="G202" s="15">
        <f t="shared" ca="1" si="125"/>
        <v>0</v>
      </c>
      <c r="H202" s="73">
        <f t="shared" ca="1" si="126"/>
        <v>6.88</v>
      </c>
      <c r="I202" s="15">
        <f t="shared" ca="1" si="127"/>
        <v>0</v>
      </c>
      <c r="J202" s="73">
        <f t="shared" ca="1" si="128"/>
        <v>755.7</v>
      </c>
      <c r="K202" s="15">
        <f t="shared" ca="1" si="129"/>
        <v>0</v>
      </c>
      <c r="L202" s="16">
        <f t="shared" ca="1" si="130"/>
        <v>757.7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30.6</v>
      </c>
      <c r="Y202" s="15">
        <f t="shared" ca="1" si="143"/>
        <v>0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6.2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>
        <f t="shared" ca="1" si="158"/>
        <v>90</v>
      </c>
      <c r="AO202" s="15">
        <f t="shared" ca="1" si="159"/>
        <v>0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19190721</v>
      </c>
      <c r="C203" s="72">
        <f t="shared" si="121"/>
        <v>600</v>
      </c>
      <c r="D203" s="16">
        <f t="shared" ca="1" si="122"/>
        <v>29.4</v>
      </c>
      <c r="E203" s="15">
        <f t="shared" ca="1" si="123"/>
        <v>0</v>
      </c>
      <c r="F203" s="73">
        <f t="shared" ca="1" si="124"/>
        <v>762.76</v>
      </c>
      <c r="G203" s="15">
        <f t="shared" ca="1" si="125"/>
        <v>0</v>
      </c>
      <c r="H203" s="73">
        <f t="shared" ca="1" si="126"/>
        <v>6.86</v>
      </c>
      <c r="I203" s="15">
        <f t="shared" ca="1" si="127"/>
        <v>0</v>
      </c>
      <c r="J203" s="73">
        <f t="shared" ca="1" si="128"/>
        <v>755.9</v>
      </c>
      <c r="K203" s="15">
        <f t="shared" ca="1" si="129"/>
        <v>0</v>
      </c>
      <c r="L203" s="16">
        <f t="shared" ca="1" si="130"/>
        <v>757.9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30.6</v>
      </c>
      <c r="Y203" s="15">
        <f t="shared" ca="1" si="143"/>
        <v>0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>
        <f t="shared" ca="1" si="158"/>
        <v>90</v>
      </c>
      <c r="AO203" s="15">
        <f t="shared" ca="1" si="159"/>
        <v>0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19190722</v>
      </c>
      <c r="C204" s="72">
        <f t="shared" si="121"/>
        <v>600</v>
      </c>
      <c r="D204" s="16">
        <f t="shared" ca="1" si="122"/>
        <v>30</v>
      </c>
      <c r="E204" s="15">
        <f t="shared" ca="1" si="123"/>
        <v>0</v>
      </c>
      <c r="F204" s="73">
        <f t="shared" ca="1" si="124"/>
        <v>763.02</v>
      </c>
      <c r="G204" s="15">
        <f t="shared" ca="1" si="125"/>
        <v>0</v>
      </c>
      <c r="H204" s="73">
        <f t="shared" ca="1" si="126"/>
        <v>6.91</v>
      </c>
      <c r="I204" s="15">
        <f t="shared" ca="1" si="127"/>
        <v>0</v>
      </c>
      <c r="J204" s="73">
        <f t="shared" ca="1" si="128"/>
        <v>756.11</v>
      </c>
      <c r="K204" s="15">
        <f t="shared" ca="1" si="129"/>
        <v>0</v>
      </c>
      <c r="L204" s="16">
        <f t="shared" ca="1" si="130"/>
        <v>758.2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30.8</v>
      </c>
      <c r="Y204" s="15">
        <f t="shared" ca="1" si="143"/>
        <v>0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45</v>
      </c>
      <c r="AC204" s="15">
        <f t="shared" ca="1" si="147"/>
        <v>0</v>
      </c>
      <c r="AD204" s="76">
        <f t="shared" ca="1" si="148"/>
        <v>5.0999999999999996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>
        <f t="shared" ca="1" si="158"/>
        <v>90</v>
      </c>
      <c r="AO204" s="15">
        <f t="shared" ca="1" si="159"/>
        <v>0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19190723</v>
      </c>
      <c r="C205" s="72">
        <f t="shared" si="121"/>
        <v>600</v>
      </c>
      <c r="D205" s="16">
        <f t="shared" ca="1" si="122"/>
        <v>29.2</v>
      </c>
      <c r="E205" s="15">
        <f t="shared" ca="1" si="123"/>
        <v>0</v>
      </c>
      <c r="F205" s="73">
        <f t="shared" ca="1" si="124"/>
        <v>762.25</v>
      </c>
      <c r="G205" s="15">
        <f t="shared" ca="1" si="125"/>
        <v>0</v>
      </c>
      <c r="H205" s="73">
        <f t="shared" ca="1" si="126"/>
        <v>6.81</v>
      </c>
      <c r="I205" s="15">
        <f t="shared" ca="1" si="127"/>
        <v>0</v>
      </c>
      <c r="J205" s="73">
        <f t="shared" ca="1" si="128"/>
        <v>755.45</v>
      </c>
      <c r="K205" s="15">
        <f t="shared" ca="1" si="129"/>
        <v>0</v>
      </c>
      <c r="L205" s="16">
        <f t="shared" ca="1" si="130"/>
        <v>757.4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29.6</v>
      </c>
      <c r="Y205" s="15">
        <f t="shared" ca="1" si="143"/>
        <v>0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7.7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>
        <f t="shared" ca="1" si="158"/>
        <v>90</v>
      </c>
      <c r="AO205" s="15">
        <f t="shared" ca="1" si="159"/>
        <v>0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19190724</v>
      </c>
      <c r="C206" s="72">
        <f t="shared" si="121"/>
        <v>600</v>
      </c>
      <c r="D206" s="16">
        <f t="shared" ca="1" si="122"/>
        <v>29.7</v>
      </c>
      <c r="E206" s="15">
        <f t="shared" ca="1" si="123"/>
        <v>0</v>
      </c>
      <c r="F206" s="73">
        <f t="shared" ca="1" si="124"/>
        <v>762.61</v>
      </c>
      <c r="G206" s="15">
        <f t="shared" ca="1" si="125"/>
        <v>0</v>
      </c>
      <c r="H206" s="73">
        <f t="shared" ca="1" si="126"/>
        <v>6.88</v>
      </c>
      <c r="I206" s="15">
        <f t="shared" ca="1" si="127"/>
        <v>0</v>
      </c>
      <c r="J206" s="73">
        <f t="shared" ca="1" si="128"/>
        <v>755.73</v>
      </c>
      <c r="K206" s="15">
        <f t="shared" ca="1" si="129"/>
        <v>0</v>
      </c>
      <c r="L206" s="16">
        <f t="shared" ca="1" si="130"/>
        <v>757.7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30.5</v>
      </c>
      <c r="Y206" s="15">
        <f t="shared" ca="1" si="143"/>
        <v>0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5.0999999999999996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>
        <f t="shared" ca="1" si="158"/>
        <v>90</v>
      </c>
      <c r="AO206" s="15">
        <f t="shared" ca="1" si="159"/>
        <v>0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19190725</v>
      </c>
      <c r="C207" s="72">
        <f t="shared" si="121"/>
        <v>600</v>
      </c>
      <c r="D207" s="16">
        <f t="shared" ca="1" si="122"/>
        <v>29.7</v>
      </c>
      <c r="E207" s="15">
        <f t="shared" ca="1" si="123"/>
        <v>0</v>
      </c>
      <c r="F207" s="73">
        <f t="shared" ca="1" si="124"/>
        <v>761.72</v>
      </c>
      <c r="G207" s="15">
        <f t="shared" ca="1" si="125"/>
        <v>0</v>
      </c>
      <c r="H207" s="73">
        <f t="shared" ca="1" si="126"/>
        <v>6.88</v>
      </c>
      <c r="I207" s="15">
        <f t="shared" ca="1" si="127"/>
        <v>0</v>
      </c>
      <c r="J207" s="73">
        <f t="shared" ca="1" si="128"/>
        <v>754.84</v>
      </c>
      <c r="K207" s="15">
        <f t="shared" ca="1" si="129"/>
        <v>0</v>
      </c>
      <c r="L207" s="16">
        <f t="shared" ca="1" si="130"/>
        <v>759.2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30.7</v>
      </c>
      <c r="Y207" s="15">
        <f t="shared" ca="1" si="143"/>
        <v>0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7.2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>
        <f t="shared" ca="1" si="158"/>
        <v>90</v>
      </c>
      <c r="AO207" s="15">
        <f t="shared" ca="1" si="159"/>
        <v>0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19190726</v>
      </c>
      <c r="C208" s="72">
        <f t="shared" si="121"/>
        <v>600</v>
      </c>
      <c r="D208" s="16">
        <f t="shared" ca="1" si="122"/>
        <v>30</v>
      </c>
      <c r="E208" s="15">
        <f t="shared" ca="1" si="123"/>
        <v>0</v>
      </c>
      <c r="F208" s="73">
        <f t="shared" ca="1" si="124"/>
        <v>761.54</v>
      </c>
      <c r="G208" s="15">
        <f t="shared" ca="1" si="125"/>
        <v>0</v>
      </c>
      <c r="H208" s="73">
        <f t="shared" ca="1" si="126"/>
        <v>6.86</v>
      </c>
      <c r="I208" s="15">
        <f t="shared" ca="1" si="127"/>
        <v>0</v>
      </c>
      <c r="J208" s="73">
        <f t="shared" ca="1" si="128"/>
        <v>754.68</v>
      </c>
      <c r="K208" s="15">
        <f t="shared" ca="1" si="129"/>
        <v>0</v>
      </c>
      <c r="L208" s="16">
        <f t="shared" ca="1" si="130"/>
        <v>756.7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31</v>
      </c>
      <c r="Y208" s="15">
        <f t="shared" ca="1" si="143"/>
        <v>0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7.7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>
        <f t="shared" ca="1" si="158"/>
        <v>90</v>
      </c>
      <c r="AO208" s="15">
        <f t="shared" ca="1" si="159"/>
        <v>0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19190727</v>
      </c>
      <c r="C209" s="72">
        <f t="shared" si="121"/>
        <v>600</v>
      </c>
      <c r="D209" s="16">
        <f t="shared" ca="1" si="122"/>
        <v>30</v>
      </c>
      <c r="E209" s="15">
        <f t="shared" ca="1" si="123"/>
        <v>0</v>
      </c>
      <c r="F209" s="73">
        <f t="shared" ca="1" si="124"/>
        <v>763.37</v>
      </c>
      <c r="G209" s="15">
        <f t="shared" ca="1" si="125"/>
        <v>0</v>
      </c>
      <c r="H209" s="73">
        <f t="shared" ca="1" si="126"/>
        <v>6.91</v>
      </c>
      <c r="I209" s="15">
        <f t="shared" ca="1" si="127"/>
        <v>0</v>
      </c>
      <c r="J209" s="73">
        <f t="shared" ca="1" si="128"/>
        <v>756.46</v>
      </c>
      <c r="K209" s="15">
        <f t="shared" ca="1" si="129"/>
        <v>0</v>
      </c>
      <c r="L209" s="16">
        <f t="shared" ca="1" si="130"/>
        <v>758.4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30.9</v>
      </c>
      <c r="Y209" s="15">
        <f t="shared" ca="1" si="143"/>
        <v>0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7.7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>
        <f t="shared" ca="1" si="158"/>
        <v>90</v>
      </c>
      <c r="AO209" s="15">
        <f t="shared" ca="1" si="159"/>
        <v>0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19190728</v>
      </c>
      <c r="C210" s="72">
        <f t="shared" si="121"/>
        <v>600</v>
      </c>
      <c r="D210" s="16">
        <f t="shared" ca="1" si="122"/>
        <v>30</v>
      </c>
      <c r="E210" s="15">
        <f t="shared" ca="1" si="123"/>
        <v>0</v>
      </c>
      <c r="F210" s="73">
        <f t="shared" ca="1" si="124"/>
        <v>762.2</v>
      </c>
      <c r="G210" s="15">
        <f t="shared" ca="1" si="125"/>
        <v>0</v>
      </c>
      <c r="H210" s="73">
        <f t="shared" ca="1" si="126"/>
        <v>6.91</v>
      </c>
      <c r="I210" s="15">
        <f t="shared" ca="1" si="127"/>
        <v>0</v>
      </c>
      <c r="J210" s="73">
        <f t="shared" ca="1" si="128"/>
        <v>755.29</v>
      </c>
      <c r="K210" s="15">
        <f t="shared" ca="1" si="129"/>
        <v>0</v>
      </c>
      <c r="L210" s="16">
        <f t="shared" ca="1" si="130"/>
        <v>757.4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30.9</v>
      </c>
      <c r="Y210" s="15">
        <f t="shared" ca="1" si="143"/>
        <v>0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6.2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>
        <f t="shared" ca="1" si="158"/>
        <v>90</v>
      </c>
      <c r="AO210" s="15">
        <f t="shared" ca="1" si="159"/>
        <v>0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19190729</v>
      </c>
      <c r="C211" s="72">
        <f t="shared" si="121"/>
        <v>600</v>
      </c>
      <c r="D211" s="16">
        <f t="shared" ca="1" si="122"/>
        <v>30</v>
      </c>
      <c r="E211" s="15">
        <f t="shared" ca="1" si="123"/>
        <v>0</v>
      </c>
      <c r="F211" s="73">
        <f t="shared" ca="1" si="124"/>
        <v>762.08</v>
      </c>
      <c r="G211" s="15">
        <f t="shared" ca="1" si="125"/>
        <v>0</v>
      </c>
      <c r="H211" s="73">
        <f t="shared" ca="1" si="126"/>
        <v>6.91</v>
      </c>
      <c r="I211" s="15">
        <f t="shared" ca="1" si="127"/>
        <v>0</v>
      </c>
      <c r="J211" s="73">
        <f t="shared" ca="1" si="128"/>
        <v>755.17</v>
      </c>
      <c r="K211" s="15">
        <f t="shared" ca="1" si="129"/>
        <v>0</v>
      </c>
      <c r="L211" s="16">
        <f t="shared" ca="1" si="130"/>
        <v>757.2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31.3</v>
      </c>
      <c r="Y211" s="15">
        <f t="shared" ca="1" si="143"/>
        <v>0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5.0999999999999996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>
        <f t="shared" ca="1" si="158"/>
        <v>90</v>
      </c>
      <c r="AO211" s="15">
        <f t="shared" ca="1" si="159"/>
        <v>0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19190730</v>
      </c>
      <c r="C212" s="72">
        <f t="shared" si="121"/>
        <v>600</v>
      </c>
      <c r="D212" s="16">
        <f t="shared" ca="1" si="122"/>
        <v>29.4</v>
      </c>
      <c r="E212" s="15">
        <f t="shared" ca="1" si="123"/>
        <v>0</v>
      </c>
      <c r="F212" s="73">
        <f t="shared" ca="1" si="124"/>
        <v>763.83</v>
      </c>
      <c r="G212" s="15">
        <f t="shared" ca="1" si="125"/>
        <v>0</v>
      </c>
      <c r="H212" s="73">
        <f t="shared" ca="1" si="126"/>
        <v>6.86</v>
      </c>
      <c r="I212" s="15">
        <f t="shared" ca="1" si="127"/>
        <v>0</v>
      </c>
      <c r="J212" s="73">
        <f t="shared" ca="1" si="128"/>
        <v>756.97</v>
      </c>
      <c r="K212" s="15">
        <f t="shared" ca="1" si="129"/>
        <v>0</v>
      </c>
      <c r="L212" s="16">
        <f t="shared" ca="1" si="130"/>
        <v>759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31.3</v>
      </c>
      <c r="Y212" s="15">
        <f t="shared" ca="1" si="143"/>
        <v>0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6.2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>
        <f t="shared" ca="1" si="158"/>
        <v>90</v>
      </c>
      <c r="AO212" s="15">
        <f t="shared" ca="1" si="159"/>
        <v>0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19190731</v>
      </c>
      <c r="C213" s="72">
        <f t="shared" si="121"/>
        <v>600</v>
      </c>
      <c r="D213" s="16">
        <f t="shared" ca="1" si="122"/>
        <v>30</v>
      </c>
      <c r="E213" s="15">
        <f t="shared" ca="1" si="123"/>
        <v>0</v>
      </c>
      <c r="F213" s="73">
        <f t="shared" ca="1" si="124"/>
        <v>763.88</v>
      </c>
      <c r="G213" s="15">
        <f t="shared" ca="1" si="125"/>
        <v>0</v>
      </c>
      <c r="H213" s="73">
        <f t="shared" ca="1" si="126"/>
        <v>6.91</v>
      </c>
      <c r="I213" s="15">
        <f t="shared" ca="1" si="127"/>
        <v>0</v>
      </c>
      <c r="J213" s="73">
        <f t="shared" ca="1" si="128"/>
        <v>756.97</v>
      </c>
      <c r="K213" s="15">
        <f t="shared" ca="1" si="129"/>
        <v>0</v>
      </c>
      <c r="L213" s="16">
        <f t="shared" ca="1" si="130"/>
        <v>759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31.4</v>
      </c>
      <c r="Y213" s="15">
        <f t="shared" ca="1" si="143"/>
        <v>0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>
        <f t="shared" ca="1" si="158"/>
        <v>90</v>
      </c>
      <c r="AO213" s="15">
        <f t="shared" ca="1" si="159"/>
        <v>0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19190801</v>
      </c>
      <c r="C214" s="72">
        <f t="shared" si="121"/>
        <v>600</v>
      </c>
      <c r="D214" s="16">
        <f t="shared" ca="1" si="122"/>
        <v>29.7</v>
      </c>
      <c r="E214" s="15">
        <f t="shared" ca="1" si="123"/>
        <v>0</v>
      </c>
      <c r="F214" s="73">
        <f t="shared" ca="1" si="124"/>
        <v>763.88</v>
      </c>
      <c r="G214" s="15">
        <f t="shared" ca="1" si="125"/>
        <v>0</v>
      </c>
      <c r="H214" s="73">
        <f t="shared" ca="1" si="126"/>
        <v>6.88</v>
      </c>
      <c r="I214" s="15">
        <f t="shared" ca="1" si="127"/>
        <v>0</v>
      </c>
      <c r="J214" s="73">
        <f t="shared" ca="1" si="128"/>
        <v>757</v>
      </c>
      <c r="K214" s="15">
        <f t="shared" ca="1" si="129"/>
        <v>0</v>
      </c>
      <c r="L214" s="16">
        <f t="shared" ca="1" si="130"/>
        <v>759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31.2</v>
      </c>
      <c r="Y214" s="15">
        <f t="shared" ca="1" si="143"/>
        <v>0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7.7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>
        <f t="shared" ca="1" si="158"/>
        <v>90</v>
      </c>
      <c r="AO214" s="15">
        <f t="shared" ca="1" si="159"/>
        <v>0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19190802</v>
      </c>
      <c r="C215" s="72">
        <f t="shared" si="121"/>
        <v>600</v>
      </c>
      <c r="D215" s="16">
        <f t="shared" ca="1" si="122"/>
        <v>30.3</v>
      </c>
      <c r="E215" s="15">
        <f t="shared" ca="1" si="123"/>
        <v>0</v>
      </c>
      <c r="F215" s="73">
        <f t="shared" ca="1" si="124"/>
        <v>763.68</v>
      </c>
      <c r="G215" s="15">
        <f t="shared" ca="1" si="125"/>
        <v>0</v>
      </c>
      <c r="H215" s="73">
        <f t="shared" ca="1" si="126"/>
        <v>6.96</v>
      </c>
      <c r="I215" s="15">
        <f t="shared" ca="1" si="127"/>
        <v>0</v>
      </c>
      <c r="J215" s="73">
        <f t="shared" ca="1" si="128"/>
        <v>756.72</v>
      </c>
      <c r="K215" s="15">
        <f t="shared" ca="1" si="129"/>
        <v>0</v>
      </c>
      <c r="L215" s="16">
        <f t="shared" ca="1" si="130"/>
        <v>758.7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31.3</v>
      </c>
      <c r="Y215" s="15">
        <f t="shared" ca="1" si="143"/>
        <v>0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7.7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>
        <f t="shared" ca="1" si="158"/>
        <v>90</v>
      </c>
      <c r="AO215" s="15">
        <f t="shared" ca="1" si="159"/>
        <v>0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19190803</v>
      </c>
      <c r="C216" s="72">
        <f t="shared" si="121"/>
        <v>600</v>
      </c>
      <c r="D216" s="16">
        <f t="shared" ca="1" si="122"/>
        <v>30.3</v>
      </c>
      <c r="E216" s="15">
        <f t="shared" ca="1" si="123"/>
        <v>0</v>
      </c>
      <c r="F216" s="73">
        <f t="shared" ca="1" si="124"/>
        <v>762.41</v>
      </c>
      <c r="G216" s="15">
        <f t="shared" ca="1" si="125"/>
        <v>0</v>
      </c>
      <c r="H216" s="73">
        <f t="shared" ca="1" si="126"/>
        <v>6.96</v>
      </c>
      <c r="I216" s="15">
        <f t="shared" ca="1" si="127"/>
        <v>0</v>
      </c>
      <c r="J216" s="73">
        <f t="shared" ca="1" si="128"/>
        <v>755.45</v>
      </c>
      <c r="K216" s="15">
        <f t="shared" ca="1" si="129"/>
        <v>0</v>
      </c>
      <c r="L216" s="16">
        <f t="shared" ca="1" si="130"/>
        <v>757.4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31.3</v>
      </c>
      <c r="Y216" s="15">
        <f t="shared" ca="1" si="143"/>
        <v>0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7.7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>
        <f t="shared" ca="1" si="158"/>
        <v>90</v>
      </c>
      <c r="AO216" s="15">
        <f t="shared" ca="1" si="159"/>
        <v>0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19190804</v>
      </c>
      <c r="C217" s="72">
        <f t="shared" si="121"/>
        <v>600</v>
      </c>
      <c r="D217" s="16">
        <f t="shared" ca="1" si="122"/>
        <v>30.3</v>
      </c>
      <c r="E217" s="15">
        <f t="shared" ca="1" si="123"/>
        <v>0</v>
      </c>
      <c r="F217" s="73">
        <f t="shared" ca="1" si="124"/>
        <v>762.41</v>
      </c>
      <c r="G217" s="15">
        <f t="shared" ca="1" si="125"/>
        <v>0</v>
      </c>
      <c r="H217" s="73">
        <f t="shared" ca="1" si="126"/>
        <v>6.96</v>
      </c>
      <c r="I217" s="15">
        <f t="shared" ca="1" si="127"/>
        <v>0</v>
      </c>
      <c r="J217" s="73">
        <f t="shared" ca="1" si="128"/>
        <v>755.45</v>
      </c>
      <c r="K217" s="15">
        <f t="shared" ca="1" si="129"/>
        <v>0</v>
      </c>
      <c r="L217" s="16">
        <f t="shared" ca="1" si="130"/>
        <v>757.4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30.8</v>
      </c>
      <c r="Y217" s="15">
        <f t="shared" ca="1" si="143"/>
        <v>0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6.2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>
        <f t="shared" ca="1" si="158"/>
        <v>90</v>
      </c>
      <c r="AO217" s="15">
        <f t="shared" ca="1" si="159"/>
        <v>0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19190805</v>
      </c>
      <c r="C218" s="72">
        <f t="shared" si="121"/>
        <v>600</v>
      </c>
      <c r="D218" s="16">
        <f t="shared" ca="1" si="122"/>
        <v>30.3</v>
      </c>
      <c r="E218" s="15">
        <f t="shared" ca="1" si="123"/>
        <v>0</v>
      </c>
      <c r="F218" s="73">
        <f t="shared" ca="1" si="124"/>
        <v>762.64</v>
      </c>
      <c r="G218" s="15">
        <f t="shared" ca="1" si="125"/>
        <v>0</v>
      </c>
      <c r="H218" s="73">
        <f t="shared" ca="1" si="126"/>
        <v>6.96</v>
      </c>
      <c r="I218" s="15">
        <f t="shared" ca="1" si="127"/>
        <v>0</v>
      </c>
      <c r="J218" s="73">
        <f t="shared" ca="1" si="128"/>
        <v>755.68</v>
      </c>
      <c r="K218" s="15">
        <f t="shared" ca="1" si="129"/>
        <v>0</v>
      </c>
      <c r="L218" s="16">
        <f t="shared" ca="1" si="130"/>
        <v>757.7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31.2</v>
      </c>
      <c r="Y218" s="15">
        <f t="shared" ca="1" si="143"/>
        <v>0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6.2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>
        <f t="shared" ca="1" si="158"/>
        <v>90</v>
      </c>
      <c r="AO218" s="15">
        <f t="shared" ca="1" si="159"/>
        <v>0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19190806</v>
      </c>
      <c r="C219" s="72">
        <f t="shared" si="121"/>
        <v>600</v>
      </c>
      <c r="D219" s="16">
        <f t="shared" ca="1" si="122"/>
        <v>29.7</v>
      </c>
      <c r="E219" s="15">
        <f t="shared" ca="1" si="123"/>
        <v>0</v>
      </c>
      <c r="F219" s="73">
        <f t="shared" ca="1" si="124"/>
        <v>763.02</v>
      </c>
      <c r="G219" s="15">
        <f t="shared" ca="1" si="125"/>
        <v>0</v>
      </c>
      <c r="H219" s="73">
        <f t="shared" ca="1" si="126"/>
        <v>6.88</v>
      </c>
      <c r="I219" s="15">
        <f t="shared" ca="1" si="127"/>
        <v>0</v>
      </c>
      <c r="J219" s="73">
        <f t="shared" ca="1" si="128"/>
        <v>756.13</v>
      </c>
      <c r="K219" s="15">
        <f t="shared" ca="1" si="129"/>
        <v>0</v>
      </c>
      <c r="L219" s="16">
        <f t="shared" ca="1" si="130"/>
        <v>758.2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30.6</v>
      </c>
      <c r="Y219" s="15">
        <f t="shared" ca="1" si="143"/>
        <v>0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4.0999999999999996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>
        <f t="shared" ca="1" si="158"/>
        <v>90</v>
      </c>
      <c r="AO219" s="15">
        <f t="shared" ca="1" si="159"/>
        <v>0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19190807</v>
      </c>
      <c r="C220" s="72">
        <f t="shared" si="121"/>
        <v>600</v>
      </c>
      <c r="D220" s="16">
        <f t="shared" ca="1" si="122"/>
        <v>30.3</v>
      </c>
      <c r="E220" s="15">
        <f t="shared" ca="1" si="123"/>
        <v>0</v>
      </c>
      <c r="F220" s="73">
        <f t="shared" ca="1" si="124"/>
        <v>762.66</v>
      </c>
      <c r="G220" s="15">
        <f t="shared" ca="1" si="125"/>
        <v>0</v>
      </c>
      <c r="H220" s="73">
        <f t="shared" ca="1" si="126"/>
        <v>6.96</v>
      </c>
      <c r="I220" s="15">
        <f t="shared" ca="1" si="127"/>
        <v>0</v>
      </c>
      <c r="J220" s="73">
        <f t="shared" ca="1" si="128"/>
        <v>755.7</v>
      </c>
      <c r="K220" s="15">
        <f t="shared" ca="1" si="129"/>
        <v>0</v>
      </c>
      <c r="L220" s="16">
        <f t="shared" ca="1" si="130"/>
        <v>757.7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31.2</v>
      </c>
      <c r="Y220" s="15">
        <f t="shared" ca="1" si="143"/>
        <v>0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>
        <f t="shared" ca="1" si="158"/>
        <v>90</v>
      </c>
      <c r="AO220" s="15">
        <f t="shared" ca="1" si="159"/>
        <v>0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19190808</v>
      </c>
      <c r="C221" s="72">
        <f t="shared" si="121"/>
        <v>600</v>
      </c>
      <c r="D221" s="16">
        <f t="shared" ca="1" si="122"/>
        <v>30</v>
      </c>
      <c r="E221" s="15">
        <f t="shared" ca="1" si="123"/>
        <v>0</v>
      </c>
      <c r="F221" s="73">
        <f t="shared" ca="1" si="124"/>
        <v>762.61</v>
      </c>
      <c r="G221" s="15">
        <f t="shared" ca="1" si="125"/>
        <v>0</v>
      </c>
      <c r="H221" s="73">
        <f t="shared" ca="1" si="126"/>
        <v>6.91</v>
      </c>
      <c r="I221" s="15">
        <f t="shared" ca="1" si="127"/>
        <v>0</v>
      </c>
      <c r="J221" s="73">
        <f t="shared" ca="1" si="128"/>
        <v>755.7</v>
      </c>
      <c r="K221" s="15">
        <f t="shared" ca="1" si="129"/>
        <v>0</v>
      </c>
      <c r="L221" s="16">
        <f t="shared" ca="1" si="130"/>
        <v>757.7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30.7</v>
      </c>
      <c r="Y221" s="15">
        <f t="shared" ca="1" si="143"/>
        <v>0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45</v>
      </c>
      <c r="AC221" s="15">
        <f t="shared" ca="1" si="147"/>
        <v>0</v>
      </c>
      <c r="AD221" s="76">
        <f t="shared" ca="1" si="148"/>
        <v>4.0999999999999996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>
        <f t="shared" ca="1" si="158"/>
        <v>90</v>
      </c>
      <c r="AO221" s="15">
        <f t="shared" ca="1" si="159"/>
        <v>0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19190809</v>
      </c>
      <c r="C222" s="72">
        <f t="shared" si="121"/>
        <v>600</v>
      </c>
      <c r="D222" s="16">
        <f t="shared" ca="1" si="122"/>
        <v>30</v>
      </c>
      <c r="E222" s="15">
        <f t="shared" ca="1" si="123"/>
        <v>0</v>
      </c>
      <c r="F222" s="73">
        <f t="shared" ca="1" si="124"/>
        <v>763.37</v>
      </c>
      <c r="G222" s="15">
        <f t="shared" ca="1" si="125"/>
        <v>0</v>
      </c>
      <c r="H222" s="73">
        <f t="shared" ca="1" si="126"/>
        <v>6.91</v>
      </c>
      <c r="I222" s="15">
        <f t="shared" ca="1" si="127"/>
        <v>0</v>
      </c>
      <c r="J222" s="73">
        <f t="shared" ca="1" si="128"/>
        <v>756.46</v>
      </c>
      <c r="K222" s="15">
        <f t="shared" ca="1" si="129"/>
        <v>0</v>
      </c>
      <c r="L222" s="16">
        <f t="shared" ca="1" si="130"/>
        <v>758.4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30.9</v>
      </c>
      <c r="Y222" s="15">
        <f t="shared" ca="1" si="143"/>
        <v>0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5.0999999999999996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>
        <f t="shared" ca="1" si="158"/>
        <v>90</v>
      </c>
      <c r="AO222" s="15">
        <f t="shared" ca="1" si="159"/>
        <v>0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19190810</v>
      </c>
      <c r="C223" s="72">
        <f t="shared" si="121"/>
        <v>600</v>
      </c>
      <c r="D223" s="16">
        <f t="shared" ca="1" si="122"/>
        <v>30.3</v>
      </c>
      <c r="E223" s="15">
        <f t="shared" ca="1" si="123"/>
        <v>0</v>
      </c>
      <c r="F223" s="73">
        <f t="shared" ca="1" si="124"/>
        <v>763.24</v>
      </c>
      <c r="G223" s="15">
        <f t="shared" ca="1" si="125"/>
        <v>0</v>
      </c>
      <c r="H223" s="73">
        <f t="shared" ca="1" si="126"/>
        <v>6.96</v>
      </c>
      <c r="I223" s="15">
        <f t="shared" ca="1" si="127"/>
        <v>0</v>
      </c>
      <c r="J223" s="73">
        <f t="shared" ca="1" si="128"/>
        <v>756.29</v>
      </c>
      <c r="K223" s="15">
        <f t="shared" ca="1" si="129"/>
        <v>0</v>
      </c>
      <c r="L223" s="16">
        <f t="shared" ca="1" si="130"/>
        <v>758.4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29.5</v>
      </c>
      <c r="Y223" s="15">
        <f t="shared" ca="1" si="143"/>
        <v>0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45</v>
      </c>
      <c r="AC223" s="15">
        <f t="shared" ca="1" si="147"/>
        <v>0</v>
      </c>
      <c r="AD223" s="76">
        <f t="shared" ca="1" si="148"/>
        <v>6.2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>
        <f t="shared" ca="1" si="158"/>
        <v>45</v>
      </c>
      <c r="AO223" s="15">
        <f t="shared" ca="1" si="159"/>
        <v>0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19190811</v>
      </c>
      <c r="C224" s="72">
        <f t="shared" si="121"/>
        <v>600</v>
      </c>
      <c r="D224" s="16">
        <f t="shared" ca="1" si="122"/>
        <v>30.3</v>
      </c>
      <c r="E224" s="15">
        <f t="shared" ca="1" si="123"/>
        <v>0</v>
      </c>
      <c r="F224" s="73">
        <f t="shared" ca="1" si="124"/>
        <v>763.68</v>
      </c>
      <c r="G224" s="15">
        <f t="shared" ca="1" si="125"/>
        <v>0</v>
      </c>
      <c r="H224" s="73">
        <f t="shared" ca="1" si="126"/>
        <v>6.96</v>
      </c>
      <c r="I224" s="15">
        <f t="shared" ca="1" si="127"/>
        <v>0</v>
      </c>
      <c r="J224" s="73">
        <f t="shared" ca="1" si="128"/>
        <v>756.72</v>
      </c>
      <c r="K224" s="15">
        <f t="shared" ca="1" si="129"/>
        <v>0</v>
      </c>
      <c r="L224" s="16">
        <f t="shared" ca="1" si="130"/>
        <v>758.7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30.8</v>
      </c>
      <c r="Y224" s="15">
        <f t="shared" ca="1" si="143"/>
        <v>0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6.2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>
        <f t="shared" ca="1" si="158"/>
        <v>90</v>
      </c>
      <c r="AO224" s="15">
        <f t="shared" ca="1" si="159"/>
        <v>0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19190812</v>
      </c>
      <c r="C225" s="72">
        <f t="shared" si="121"/>
        <v>600</v>
      </c>
      <c r="D225" s="16">
        <f t="shared" ca="1" si="122"/>
        <v>30</v>
      </c>
      <c r="E225" s="15">
        <f t="shared" ca="1" si="123"/>
        <v>0</v>
      </c>
      <c r="F225" s="73">
        <f t="shared" ca="1" si="124"/>
        <v>762.76</v>
      </c>
      <c r="G225" s="15">
        <f t="shared" ca="1" si="125"/>
        <v>0</v>
      </c>
      <c r="H225" s="73">
        <f t="shared" ca="1" si="126"/>
        <v>6.91</v>
      </c>
      <c r="I225" s="15">
        <f t="shared" ca="1" si="127"/>
        <v>0</v>
      </c>
      <c r="J225" s="73">
        <f t="shared" ca="1" si="128"/>
        <v>755.85</v>
      </c>
      <c r="K225" s="15">
        <f t="shared" ca="1" si="129"/>
        <v>0</v>
      </c>
      <c r="L225" s="16">
        <f t="shared" ca="1" si="130"/>
        <v>757.9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31.4</v>
      </c>
      <c r="Y225" s="15">
        <f t="shared" ca="1" si="143"/>
        <v>0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7.2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>
        <f t="shared" ca="1" si="158"/>
        <v>90</v>
      </c>
      <c r="AO225" s="15">
        <f t="shared" ca="1" si="159"/>
        <v>0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19190813</v>
      </c>
      <c r="C226" s="72">
        <f t="shared" si="121"/>
        <v>600</v>
      </c>
      <c r="D226" s="16">
        <f t="shared" ca="1" si="122"/>
        <v>29.7</v>
      </c>
      <c r="E226" s="15">
        <f t="shared" ca="1" si="123"/>
        <v>0</v>
      </c>
      <c r="F226" s="73">
        <f t="shared" ca="1" si="124"/>
        <v>762.69</v>
      </c>
      <c r="G226" s="15">
        <f t="shared" ca="1" si="125"/>
        <v>0</v>
      </c>
      <c r="H226" s="73">
        <f t="shared" ca="1" si="126"/>
        <v>6.88</v>
      </c>
      <c r="I226" s="15">
        <f t="shared" ca="1" si="127"/>
        <v>0</v>
      </c>
      <c r="J226" s="73">
        <f t="shared" ca="1" si="128"/>
        <v>755.8</v>
      </c>
      <c r="K226" s="15">
        <f t="shared" ca="1" si="129"/>
        <v>0</v>
      </c>
      <c r="L226" s="16">
        <f t="shared" ca="1" si="130"/>
        <v>757.9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30.8</v>
      </c>
      <c r="Y226" s="15">
        <f t="shared" ca="1" si="143"/>
        <v>0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5.0999999999999996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>
        <f t="shared" ca="1" si="158"/>
        <v>90</v>
      </c>
      <c r="AO226" s="15">
        <f t="shared" ca="1" si="159"/>
        <v>0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19190814</v>
      </c>
      <c r="C227" s="72">
        <f t="shared" si="121"/>
        <v>600</v>
      </c>
      <c r="D227" s="16">
        <f t="shared" ca="1" si="122"/>
        <v>30</v>
      </c>
      <c r="E227" s="15">
        <f t="shared" ca="1" si="123"/>
        <v>0</v>
      </c>
      <c r="F227" s="73">
        <f t="shared" ca="1" si="124"/>
        <v>763.88</v>
      </c>
      <c r="G227" s="15">
        <f t="shared" ca="1" si="125"/>
        <v>0</v>
      </c>
      <c r="H227" s="73">
        <f t="shared" ca="1" si="126"/>
        <v>6.91</v>
      </c>
      <c r="I227" s="15">
        <f t="shared" ca="1" si="127"/>
        <v>0</v>
      </c>
      <c r="J227" s="73">
        <f t="shared" ca="1" si="128"/>
        <v>756.97</v>
      </c>
      <c r="K227" s="15">
        <f t="shared" ca="1" si="129"/>
        <v>0</v>
      </c>
      <c r="L227" s="16">
        <f t="shared" ca="1" si="130"/>
        <v>759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31.2</v>
      </c>
      <c r="Y227" s="15">
        <f t="shared" ca="1" si="143"/>
        <v>0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6.2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>
        <f t="shared" ca="1" si="158"/>
        <v>90</v>
      </c>
      <c r="AO227" s="15">
        <f t="shared" ca="1" si="159"/>
        <v>0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19190815</v>
      </c>
      <c r="C228" s="72">
        <f t="shared" si="121"/>
        <v>600</v>
      </c>
      <c r="D228" s="16">
        <f t="shared" ca="1" si="122"/>
        <v>30.6</v>
      </c>
      <c r="E228" s="15">
        <f t="shared" ca="1" si="123"/>
        <v>0</v>
      </c>
      <c r="F228" s="73">
        <f t="shared" ca="1" si="124"/>
        <v>764.24</v>
      </c>
      <c r="G228" s="15">
        <f t="shared" ca="1" si="125"/>
        <v>0</v>
      </c>
      <c r="H228" s="73">
        <f t="shared" ca="1" si="126"/>
        <v>6.99</v>
      </c>
      <c r="I228" s="15">
        <f t="shared" ca="1" si="127"/>
        <v>0</v>
      </c>
      <c r="J228" s="73">
        <f t="shared" ca="1" si="128"/>
        <v>757.25</v>
      </c>
      <c r="K228" s="15">
        <f t="shared" ca="1" si="129"/>
        <v>0</v>
      </c>
      <c r="L228" s="16">
        <f t="shared" ca="1" si="130"/>
        <v>759.2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31.8</v>
      </c>
      <c r="Y228" s="15">
        <f t="shared" ca="1" si="143"/>
        <v>0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5.0999999999999996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>
        <f t="shared" ca="1" si="158"/>
        <v>90</v>
      </c>
      <c r="AO228" s="15">
        <f t="shared" ca="1" si="159"/>
        <v>0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19190816</v>
      </c>
      <c r="C229" s="72">
        <f t="shared" si="121"/>
        <v>600</v>
      </c>
      <c r="D229" s="16">
        <f t="shared" ca="1" si="122"/>
        <v>30.6</v>
      </c>
      <c r="E229" s="15">
        <f t="shared" ca="1" si="123"/>
        <v>0</v>
      </c>
      <c r="F229" s="73">
        <f t="shared" ca="1" si="124"/>
        <v>764.49</v>
      </c>
      <c r="G229" s="15">
        <f t="shared" ca="1" si="125"/>
        <v>0</v>
      </c>
      <c r="H229" s="73">
        <f t="shared" ca="1" si="126"/>
        <v>6.99</v>
      </c>
      <c r="I229" s="15">
        <f t="shared" ca="1" si="127"/>
        <v>0</v>
      </c>
      <c r="J229" s="73">
        <f t="shared" ca="1" si="128"/>
        <v>757.5</v>
      </c>
      <c r="K229" s="15">
        <f t="shared" ca="1" si="129"/>
        <v>0</v>
      </c>
      <c r="L229" s="16">
        <f t="shared" ca="1" si="130"/>
        <v>759.5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31.7</v>
      </c>
      <c r="Y229" s="15">
        <f t="shared" ca="1" si="143"/>
        <v>0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6.2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>
        <f t="shared" ca="1" si="158"/>
        <v>90</v>
      </c>
      <c r="AO229" s="15">
        <f t="shared" ca="1" si="159"/>
        <v>0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19190817</v>
      </c>
      <c r="C230" s="72">
        <f t="shared" si="121"/>
        <v>600</v>
      </c>
      <c r="D230" s="16">
        <f t="shared" ca="1" si="122"/>
        <v>29.4</v>
      </c>
      <c r="E230" s="15">
        <f t="shared" ca="1" si="123"/>
        <v>0</v>
      </c>
      <c r="F230" s="73">
        <f t="shared" ca="1" si="124"/>
        <v>763.93</v>
      </c>
      <c r="G230" s="15">
        <f t="shared" ca="1" si="125"/>
        <v>0</v>
      </c>
      <c r="H230" s="73">
        <f t="shared" ca="1" si="126"/>
        <v>6.86</v>
      </c>
      <c r="I230" s="15">
        <f t="shared" ca="1" si="127"/>
        <v>0</v>
      </c>
      <c r="J230" s="73">
        <f t="shared" ca="1" si="128"/>
        <v>757.07</v>
      </c>
      <c r="K230" s="15">
        <f t="shared" ca="1" si="129"/>
        <v>0</v>
      </c>
      <c r="L230" s="16">
        <f t="shared" ca="1" si="130"/>
        <v>759.2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30.2</v>
      </c>
      <c r="Y230" s="15">
        <f t="shared" ca="1" si="143"/>
        <v>0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4.0999999999999996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>
        <f t="shared" ca="1" si="158"/>
        <v>90</v>
      </c>
      <c r="AO230" s="15">
        <f t="shared" ca="1" si="159"/>
        <v>0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19190818</v>
      </c>
      <c r="C231" s="72">
        <f t="shared" si="121"/>
        <v>600</v>
      </c>
      <c r="D231" s="16">
        <f t="shared" ca="1" si="122"/>
        <v>30.3</v>
      </c>
      <c r="E231" s="15">
        <f t="shared" ca="1" si="123"/>
        <v>0</v>
      </c>
      <c r="F231" s="73">
        <f t="shared" ca="1" si="124"/>
        <v>764.79</v>
      </c>
      <c r="G231" s="15">
        <f t="shared" ca="1" si="125"/>
        <v>0</v>
      </c>
      <c r="H231" s="73">
        <f t="shared" ca="1" si="126"/>
        <v>6.96</v>
      </c>
      <c r="I231" s="15">
        <f t="shared" ca="1" si="127"/>
        <v>0</v>
      </c>
      <c r="J231" s="73">
        <f t="shared" ca="1" si="128"/>
        <v>757.83</v>
      </c>
      <c r="K231" s="15">
        <f t="shared" ca="1" si="129"/>
        <v>0</v>
      </c>
      <c r="L231" s="16">
        <f t="shared" ca="1" si="130"/>
        <v>760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31.3</v>
      </c>
      <c r="Y231" s="15">
        <f t="shared" ca="1" si="143"/>
        <v>0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6.2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>
        <f t="shared" ca="1" si="158"/>
        <v>90</v>
      </c>
      <c r="AO231" s="15">
        <f t="shared" ca="1" si="159"/>
        <v>0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19190819</v>
      </c>
      <c r="C232" s="72">
        <f t="shared" si="121"/>
        <v>600</v>
      </c>
      <c r="D232" s="16">
        <f t="shared" ca="1" si="122"/>
        <v>30</v>
      </c>
      <c r="E232" s="15">
        <f t="shared" ca="1" si="123"/>
        <v>0</v>
      </c>
      <c r="F232" s="73">
        <f t="shared" ca="1" si="124"/>
        <v>765.71</v>
      </c>
      <c r="G232" s="15">
        <f t="shared" ca="1" si="125"/>
        <v>0</v>
      </c>
      <c r="H232" s="73">
        <f t="shared" ca="1" si="126"/>
        <v>6.91</v>
      </c>
      <c r="I232" s="15">
        <f t="shared" ca="1" si="127"/>
        <v>0</v>
      </c>
      <c r="J232" s="73">
        <f t="shared" ca="1" si="128"/>
        <v>758.8</v>
      </c>
      <c r="K232" s="15">
        <f t="shared" ca="1" si="129"/>
        <v>0</v>
      </c>
      <c r="L232" s="16">
        <f t="shared" ca="1" si="130"/>
        <v>760.7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30.8</v>
      </c>
      <c r="Y232" s="15">
        <f t="shared" ca="1" si="143"/>
        <v>0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6.2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>
        <f t="shared" ca="1" si="158"/>
        <v>90</v>
      </c>
      <c r="AO232" s="15">
        <f t="shared" ca="1" si="159"/>
        <v>0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19190820</v>
      </c>
      <c r="C233" s="72">
        <f t="shared" si="121"/>
        <v>600</v>
      </c>
      <c r="D233" s="16">
        <f t="shared" ca="1" si="122"/>
        <v>30.3</v>
      </c>
      <c r="E233" s="15">
        <f t="shared" ca="1" si="123"/>
        <v>0</v>
      </c>
      <c r="F233" s="73">
        <f t="shared" ca="1" si="124"/>
        <v>765.18</v>
      </c>
      <c r="G233" s="15">
        <f t="shared" ca="1" si="125"/>
        <v>0</v>
      </c>
      <c r="H233" s="73">
        <f t="shared" ca="1" si="126"/>
        <v>6.96</v>
      </c>
      <c r="I233" s="15">
        <f t="shared" ca="1" si="127"/>
        <v>0</v>
      </c>
      <c r="J233" s="73">
        <f t="shared" ca="1" si="128"/>
        <v>758.22</v>
      </c>
      <c r="K233" s="15">
        <f t="shared" ca="1" si="129"/>
        <v>0</v>
      </c>
      <c r="L233" s="16">
        <f t="shared" ca="1" si="130"/>
        <v>760.2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31.1</v>
      </c>
      <c r="Y233" s="15">
        <f t="shared" ca="1" si="143"/>
        <v>0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6.2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>
        <f t="shared" ca="1" si="158"/>
        <v>90</v>
      </c>
      <c r="AO233" s="15">
        <f t="shared" ca="1" si="159"/>
        <v>0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19190821</v>
      </c>
      <c r="C234" s="72">
        <f t="shared" si="121"/>
        <v>600</v>
      </c>
      <c r="D234" s="16">
        <f t="shared" ca="1" si="122"/>
        <v>29.7</v>
      </c>
      <c r="E234" s="15">
        <f t="shared" ca="1" si="123"/>
        <v>0</v>
      </c>
      <c r="F234" s="73">
        <f t="shared" ca="1" si="124"/>
        <v>764.03</v>
      </c>
      <c r="G234" s="15">
        <f t="shared" ca="1" si="125"/>
        <v>0</v>
      </c>
      <c r="H234" s="73">
        <f t="shared" ca="1" si="126"/>
        <v>6.88</v>
      </c>
      <c r="I234" s="15">
        <f t="shared" ca="1" si="127"/>
        <v>0</v>
      </c>
      <c r="J234" s="73">
        <f t="shared" ca="1" si="128"/>
        <v>757.15</v>
      </c>
      <c r="K234" s="15">
        <f t="shared" ca="1" si="129"/>
        <v>0</v>
      </c>
      <c r="L234" s="16">
        <f t="shared" ca="1" si="130"/>
        <v>759.2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30.8</v>
      </c>
      <c r="Y234" s="15">
        <f t="shared" ca="1" si="143"/>
        <v>0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45</v>
      </c>
      <c r="AC234" s="15">
        <f t="shared" ca="1" si="147"/>
        <v>0</v>
      </c>
      <c r="AD234" s="76">
        <f t="shared" ca="1" si="148"/>
        <v>5.0999999999999996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>
        <f t="shared" ca="1" si="158"/>
        <v>90</v>
      </c>
      <c r="AO234" s="15">
        <f t="shared" ca="1" si="159"/>
        <v>0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19190822</v>
      </c>
      <c r="C235" s="72">
        <f t="shared" si="121"/>
        <v>600</v>
      </c>
      <c r="D235" s="16">
        <f t="shared" ca="1" si="122"/>
        <v>30.6</v>
      </c>
      <c r="E235" s="15">
        <f t="shared" ca="1" si="123"/>
        <v>0</v>
      </c>
      <c r="F235" s="73">
        <f t="shared" ca="1" si="124"/>
        <v>763.47</v>
      </c>
      <c r="G235" s="15">
        <f t="shared" ca="1" si="125"/>
        <v>0</v>
      </c>
      <c r="H235" s="73">
        <f t="shared" ca="1" si="126"/>
        <v>6.99</v>
      </c>
      <c r="I235" s="15">
        <f t="shared" ca="1" si="127"/>
        <v>0</v>
      </c>
      <c r="J235" s="73">
        <f t="shared" ca="1" si="128"/>
        <v>756.49</v>
      </c>
      <c r="K235" s="15">
        <f t="shared" ca="1" si="129"/>
        <v>0</v>
      </c>
      <c r="L235" s="16">
        <f t="shared" ca="1" si="130"/>
        <v>758.4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31.1</v>
      </c>
      <c r="Y235" s="15">
        <f t="shared" ca="1" si="143"/>
        <v>0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4.0999999999999996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>
        <f t="shared" ca="1" si="158"/>
        <v>90</v>
      </c>
      <c r="AO235" s="15">
        <f t="shared" ca="1" si="159"/>
        <v>0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19190823</v>
      </c>
      <c r="C236" s="72">
        <f t="shared" si="121"/>
        <v>600</v>
      </c>
      <c r="D236" s="16">
        <f t="shared" ca="1" si="122"/>
        <v>30.3</v>
      </c>
      <c r="E236" s="15">
        <f t="shared" ca="1" si="123"/>
        <v>0</v>
      </c>
      <c r="F236" s="73">
        <f t="shared" ca="1" si="124"/>
        <v>763.47</v>
      </c>
      <c r="G236" s="15">
        <f t="shared" ca="1" si="125"/>
        <v>0</v>
      </c>
      <c r="H236" s="73">
        <f t="shared" ca="1" si="126"/>
        <v>6.96</v>
      </c>
      <c r="I236" s="15">
        <f t="shared" ca="1" si="127"/>
        <v>0</v>
      </c>
      <c r="J236" s="73">
        <f t="shared" ca="1" si="128"/>
        <v>756.51</v>
      </c>
      <c r="K236" s="15">
        <f t="shared" ca="1" si="129"/>
        <v>0</v>
      </c>
      <c r="L236" s="16">
        <f t="shared" ca="1" si="130"/>
        <v>758.4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31.2</v>
      </c>
      <c r="Y236" s="15">
        <f t="shared" ca="1" si="143"/>
        <v>0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5.0999999999999996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>
        <f t="shared" ca="1" si="158"/>
        <v>90</v>
      </c>
      <c r="AO236" s="15">
        <f t="shared" ca="1" si="159"/>
        <v>0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19190824</v>
      </c>
      <c r="C237" s="72">
        <f t="shared" si="121"/>
        <v>600</v>
      </c>
      <c r="D237" s="16">
        <f t="shared" ca="1" si="122"/>
        <v>28.9</v>
      </c>
      <c r="E237" s="15">
        <f t="shared" ca="1" si="123"/>
        <v>0</v>
      </c>
      <c r="F237" s="73">
        <f t="shared" ca="1" si="124"/>
        <v>763.24</v>
      </c>
      <c r="G237" s="15">
        <f t="shared" ca="1" si="125"/>
        <v>0</v>
      </c>
      <c r="H237" s="73">
        <f t="shared" ca="1" si="126"/>
        <v>6.78</v>
      </c>
      <c r="I237" s="15">
        <f t="shared" ca="1" si="127"/>
        <v>0</v>
      </c>
      <c r="J237" s="73">
        <f t="shared" ca="1" si="128"/>
        <v>756.46</v>
      </c>
      <c r="K237" s="15">
        <f t="shared" ca="1" si="129"/>
        <v>0</v>
      </c>
      <c r="L237" s="16">
        <f t="shared" ca="1" si="130"/>
        <v>758.4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30.6</v>
      </c>
      <c r="Y237" s="15">
        <f t="shared" ca="1" si="143"/>
        <v>0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>
        <f t="shared" ca="1" si="158"/>
        <v>90</v>
      </c>
      <c r="AO237" s="15">
        <f t="shared" ca="1" si="159"/>
        <v>0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19190825</v>
      </c>
      <c r="C238" s="72">
        <f t="shared" si="121"/>
        <v>600</v>
      </c>
      <c r="D238" s="16">
        <f t="shared" ca="1" si="122"/>
        <v>30</v>
      </c>
      <c r="E238" s="15">
        <f t="shared" ca="1" si="123"/>
        <v>0</v>
      </c>
      <c r="F238" s="73">
        <f t="shared" ca="1" si="124"/>
        <v>762.66</v>
      </c>
      <c r="G238" s="15">
        <f t="shared" ca="1" si="125"/>
        <v>0</v>
      </c>
      <c r="H238" s="73">
        <f t="shared" ca="1" si="126"/>
        <v>6.91</v>
      </c>
      <c r="I238" s="15">
        <f t="shared" ca="1" si="127"/>
        <v>0</v>
      </c>
      <c r="J238" s="73">
        <f t="shared" ca="1" si="128"/>
        <v>755.75</v>
      </c>
      <c r="K238" s="15">
        <f t="shared" ca="1" si="129"/>
        <v>0</v>
      </c>
      <c r="L238" s="16">
        <f t="shared" ca="1" si="130"/>
        <v>757.7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31.2</v>
      </c>
      <c r="Y238" s="15">
        <f t="shared" ca="1" si="143"/>
        <v>0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45</v>
      </c>
      <c r="AC238" s="15">
        <f t="shared" ca="1" si="147"/>
        <v>0</v>
      </c>
      <c r="AD238" s="76">
        <f t="shared" ca="1" si="148"/>
        <v>6.2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>
        <f t="shared" ca="1" si="158"/>
        <v>90</v>
      </c>
      <c r="AO238" s="15">
        <f t="shared" ca="1" si="159"/>
        <v>0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19190826</v>
      </c>
      <c r="C239" s="72">
        <f t="shared" si="121"/>
        <v>600</v>
      </c>
      <c r="D239" s="16">
        <f t="shared" ca="1" si="122"/>
        <v>30.3</v>
      </c>
      <c r="E239" s="15">
        <f t="shared" ca="1" si="123"/>
        <v>0</v>
      </c>
      <c r="F239" s="73">
        <f t="shared" ca="1" si="124"/>
        <v>762.71</v>
      </c>
      <c r="G239" s="15">
        <f t="shared" ca="1" si="125"/>
        <v>0</v>
      </c>
      <c r="H239" s="73">
        <f t="shared" ca="1" si="126"/>
        <v>6.96</v>
      </c>
      <c r="I239" s="15">
        <f t="shared" ca="1" si="127"/>
        <v>0</v>
      </c>
      <c r="J239" s="73">
        <f t="shared" ca="1" si="128"/>
        <v>755.75</v>
      </c>
      <c r="K239" s="15">
        <f t="shared" ca="1" si="129"/>
        <v>0</v>
      </c>
      <c r="L239" s="16">
        <f t="shared" ca="1" si="130"/>
        <v>757.7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30.9</v>
      </c>
      <c r="Y239" s="15">
        <f t="shared" ca="1" si="143"/>
        <v>0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5.0999999999999996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>
        <f t="shared" ca="1" si="158"/>
        <v>90</v>
      </c>
      <c r="AO239" s="15">
        <f t="shared" ca="1" si="159"/>
        <v>0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19190827</v>
      </c>
      <c r="C240" s="72">
        <f t="shared" si="121"/>
        <v>600</v>
      </c>
      <c r="D240" s="16">
        <f t="shared" ca="1" si="122"/>
        <v>30.6</v>
      </c>
      <c r="E240" s="15">
        <f t="shared" ca="1" si="123"/>
        <v>0</v>
      </c>
      <c r="F240" s="73">
        <f t="shared" ca="1" si="124"/>
        <v>762.18</v>
      </c>
      <c r="G240" s="15">
        <f t="shared" ca="1" si="125"/>
        <v>0</v>
      </c>
      <c r="H240" s="73">
        <f t="shared" ca="1" si="126"/>
        <v>6.99</v>
      </c>
      <c r="I240" s="15">
        <f t="shared" ca="1" si="127"/>
        <v>0</v>
      </c>
      <c r="J240" s="73">
        <f t="shared" ca="1" si="128"/>
        <v>755.19</v>
      </c>
      <c r="K240" s="15">
        <f t="shared" ca="1" si="129"/>
        <v>0</v>
      </c>
      <c r="L240" s="16">
        <f t="shared" ca="1" si="130"/>
        <v>757.2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30.9</v>
      </c>
      <c r="Y240" s="15">
        <f t="shared" ca="1" si="143"/>
        <v>0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5.0999999999999996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>
        <f t="shared" ca="1" si="158"/>
        <v>90</v>
      </c>
      <c r="AO240" s="15">
        <f t="shared" ca="1" si="159"/>
        <v>0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19190828</v>
      </c>
      <c r="C241" s="72">
        <f t="shared" si="121"/>
        <v>600</v>
      </c>
      <c r="D241" s="16">
        <f t="shared" ca="1" si="122"/>
        <v>30.6</v>
      </c>
      <c r="E241" s="15">
        <f t="shared" ca="1" si="123"/>
        <v>0</v>
      </c>
      <c r="F241" s="73">
        <f t="shared" ca="1" si="124"/>
        <v>761.64</v>
      </c>
      <c r="G241" s="15">
        <f t="shared" ca="1" si="125"/>
        <v>0</v>
      </c>
      <c r="H241" s="73">
        <f t="shared" ca="1" si="126"/>
        <v>6.93</v>
      </c>
      <c r="I241" s="15">
        <f t="shared" ca="1" si="127"/>
        <v>0</v>
      </c>
      <c r="J241" s="73">
        <f t="shared" ca="1" si="128"/>
        <v>754.71</v>
      </c>
      <c r="K241" s="15">
        <f t="shared" ca="1" si="129"/>
        <v>0</v>
      </c>
      <c r="L241" s="16">
        <f t="shared" ca="1" si="130"/>
        <v>756.7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32</v>
      </c>
      <c r="Y241" s="15">
        <f t="shared" ca="1" si="143"/>
        <v>0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6.2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>
        <f t="shared" ca="1" si="158"/>
        <v>90</v>
      </c>
      <c r="AO241" s="15">
        <f t="shared" ca="1" si="159"/>
        <v>0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19190829</v>
      </c>
      <c r="C242" s="72">
        <f t="shared" si="121"/>
        <v>600</v>
      </c>
      <c r="D242" s="16">
        <f t="shared" ca="1" si="122"/>
        <v>30.3</v>
      </c>
      <c r="E242" s="15">
        <f t="shared" ca="1" si="123"/>
        <v>0</v>
      </c>
      <c r="F242" s="73">
        <f t="shared" ca="1" si="124"/>
        <v>762.66</v>
      </c>
      <c r="G242" s="15">
        <f t="shared" ca="1" si="125"/>
        <v>0</v>
      </c>
      <c r="H242" s="73">
        <f t="shared" ca="1" si="126"/>
        <v>6.96</v>
      </c>
      <c r="I242" s="15">
        <f t="shared" ca="1" si="127"/>
        <v>0</v>
      </c>
      <c r="J242" s="73">
        <f t="shared" ca="1" si="128"/>
        <v>755.7</v>
      </c>
      <c r="K242" s="15">
        <f t="shared" ca="1" si="129"/>
        <v>0</v>
      </c>
      <c r="L242" s="16">
        <f t="shared" ca="1" si="130"/>
        <v>757.7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31.2</v>
      </c>
      <c r="Y242" s="15">
        <f t="shared" ca="1" si="143"/>
        <v>0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6.2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>
        <f t="shared" ca="1" si="158"/>
        <v>90</v>
      </c>
      <c r="AO242" s="15">
        <f t="shared" ca="1" si="159"/>
        <v>0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19190830</v>
      </c>
      <c r="C243" s="72">
        <f t="shared" si="121"/>
        <v>600</v>
      </c>
      <c r="D243" s="16">
        <f t="shared" ca="1" si="122"/>
        <v>29.4</v>
      </c>
      <c r="E243" s="15">
        <f t="shared" ca="1" si="123"/>
        <v>0</v>
      </c>
      <c r="F243" s="73">
        <f t="shared" ca="1" si="124"/>
        <v>762.05</v>
      </c>
      <c r="G243" s="15">
        <f t="shared" ca="1" si="125"/>
        <v>0</v>
      </c>
      <c r="H243" s="73">
        <f t="shared" ca="1" si="126"/>
        <v>6.86</v>
      </c>
      <c r="I243" s="15">
        <f t="shared" ca="1" si="127"/>
        <v>0</v>
      </c>
      <c r="J243" s="73">
        <f t="shared" ca="1" si="128"/>
        <v>755.7</v>
      </c>
      <c r="K243" s="15">
        <f t="shared" ca="1" si="129"/>
        <v>0</v>
      </c>
      <c r="L243" s="16">
        <f t="shared" ca="1" si="130"/>
        <v>757.2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30.9</v>
      </c>
      <c r="Y243" s="15">
        <f t="shared" ca="1" si="143"/>
        <v>0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5.0999999999999996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>
        <f t="shared" ca="1" si="158"/>
        <v>90</v>
      </c>
      <c r="AO243" s="15">
        <f t="shared" ca="1" si="159"/>
        <v>0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19190831</v>
      </c>
      <c r="C244" s="72">
        <f t="shared" si="121"/>
        <v>600</v>
      </c>
      <c r="D244" s="16">
        <f t="shared" ca="1" si="122"/>
        <v>30.6</v>
      </c>
      <c r="E244" s="15">
        <f t="shared" ca="1" si="123"/>
        <v>0</v>
      </c>
      <c r="F244" s="73">
        <f t="shared" ca="1" si="124"/>
        <v>761.49</v>
      </c>
      <c r="G244" s="15">
        <f t="shared" ca="1" si="125"/>
        <v>0</v>
      </c>
      <c r="H244" s="73">
        <f t="shared" ca="1" si="126"/>
        <v>6.91</v>
      </c>
      <c r="I244" s="15">
        <f t="shared" ca="1" si="127"/>
        <v>0</v>
      </c>
      <c r="J244" s="73">
        <f t="shared" ca="1" si="128"/>
        <v>754.58</v>
      </c>
      <c r="K244" s="15">
        <f t="shared" ca="1" si="129"/>
        <v>0</v>
      </c>
      <c r="L244" s="16">
        <f t="shared" ca="1" si="130"/>
        <v>756.7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30.8</v>
      </c>
      <c r="Y244" s="15">
        <f t="shared" ca="1" si="143"/>
        <v>0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5.0999999999999996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>
        <f t="shared" ca="1" si="158"/>
        <v>90</v>
      </c>
      <c r="AO244" s="15">
        <f t="shared" ca="1" si="159"/>
        <v>0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19190901</v>
      </c>
      <c r="C245" s="72">
        <f t="shared" si="121"/>
        <v>600</v>
      </c>
      <c r="D245" s="16">
        <f t="shared" ca="1" si="122"/>
        <v>30.8</v>
      </c>
      <c r="E245" s="15">
        <f t="shared" ca="1" si="123"/>
        <v>0</v>
      </c>
      <c r="F245" s="73">
        <f t="shared" ca="1" si="124"/>
        <v>761.49</v>
      </c>
      <c r="G245" s="15">
        <f t="shared" ca="1" si="125"/>
        <v>0</v>
      </c>
      <c r="H245" s="73">
        <f t="shared" ca="1" si="126"/>
        <v>6.96</v>
      </c>
      <c r="I245" s="15">
        <f t="shared" ca="1" si="127"/>
        <v>0</v>
      </c>
      <c r="J245" s="73">
        <f t="shared" ca="1" si="128"/>
        <v>754.53</v>
      </c>
      <c r="K245" s="15">
        <f t="shared" ca="1" si="129"/>
        <v>0</v>
      </c>
      <c r="L245" s="16">
        <f t="shared" ca="1" si="130"/>
        <v>756.7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31.2</v>
      </c>
      <c r="Y245" s="15">
        <f t="shared" ca="1" si="143"/>
        <v>0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6.2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>
        <f t="shared" ca="1" si="158"/>
        <v>90</v>
      </c>
      <c r="AO245" s="15">
        <f t="shared" ca="1" si="159"/>
        <v>0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19190902</v>
      </c>
      <c r="C246" s="72">
        <f t="shared" si="121"/>
        <v>600</v>
      </c>
      <c r="D246" s="16">
        <f t="shared" ca="1" si="122"/>
        <v>30</v>
      </c>
      <c r="E246" s="15">
        <f t="shared" ca="1" si="123"/>
        <v>0</v>
      </c>
      <c r="F246" s="73">
        <f t="shared" ca="1" si="124"/>
        <v>761.29</v>
      </c>
      <c r="G246" s="15">
        <f t="shared" ca="1" si="125"/>
        <v>0</v>
      </c>
      <c r="H246" s="73">
        <f t="shared" ca="1" si="126"/>
        <v>6.86</v>
      </c>
      <c r="I246" s="15">
        <f t="shared" ca="1" si="127"/>
        <v>0</v>
      </c>
      <c r="J246" s="73">
        <f t="shared" ca="1" si="128"/>
        <v>754.43</v>
      </c>
      <c r="K246" s="15">
        <f t="shared" ca="1" si="129"/>
        <v>0</v>
      </c>
      <c r="L246" s="16">
        <f t="shared" ca="1" si="130"/>
        <v>756.4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30.9</v>
      </c>
      <c r="Y246" s="15">
        <f t="shared" ca="1" si="143"/>
        <v>0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45</v>
      </c>
      <c r="AC246" s="15">
        <f t="shared" ca="1" si="147"/>
        <v>0</v>
      </c>
      <c r="AD246" s="76">
        <f t="shared" ca="1" si="148"/>
        <v>4.0999999999999996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>
        <f t="shared" ca="1" si="158"/>
        <v>90</v>
      </c>
      <c r="AO246" s="15">
        <f t="shared" ca="1" si="159"/>
        <v>0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19190903</v>
      </c>
      <c r="C247" s="72">
        <f t="shared" si="121"/>
        <v>600</v>
      </c>
      <c r="D247" s="16">
        <f t="shared" ca="1" si="122"/>
        <v>30.3</v>
      </c>
      <c r="E247" s="15">
        <f t="shared" ca="1" si="123"/>
        <v>0</v>
      </c>
      <c r="F247" s="73">
        <f t="shared" ca="1" si="124"/>
        <v>760.48</v>
      </c>
      <c r="G247" s="15">
        <f t="shared" ca="1" si="125"/>
        <v>0</v>
      </c>
      <c r="H247" s="73">
        <f t="shared" ca="1" si="126"/>
        <v>6.91</v>
      </c>
      <c r="I247" s="15">
        <f t="shared" ca="1" si="127"/>
        <v>0</v>
      </c>
      <c r="J247" s="73">
        <f t="shared" ca="1" si="128"/>
        <v>753.57</v>
      </c>
      <c r="K247" s="15">
        <f t="shared" ca="1" si="129"/>
        <v>0</v>
      </c>
      <c r="L247" s="16">
        <f t="shared" ca="1" si="130"/>
        <v>755.7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31.2</v>
      </c>
      <c r="Y247" s="15">
        <f t="shared" ca="1" si="143"/>
        <v>0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6.2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>
        <f t="shared" ca="1" si="158"/>
        <v>90</v>
      </c>
      <c r="AO247" s="15">
        <f t="shared" ca="1" si="159"/>
        <v>0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19190904</v>
      </c>
      <c r="C248" s="72">
        <f t="shared" si="121"/>
        <v>600</v>
      </c>
      <c r="D248" s="16">
        <f t="shared" ca="1" si="122"/>
        <v>30.8</v>
      </c>
      <c r="E248" s="15">
        <f t="shared" ca="1" si="123"/>
        <v>0</v>
      </c>
      <c r="F248" s="73">
        <f t="shared" ca="1" si="124"/>
        <v>760.22</v>
      </c>
      <c r="G248" s="15">
        <f t="shared" ca="1" si="125"/>
        <v>0</v>
      </c>
      <c r="H248" s="73">
        <f t="shared" ca="1" si="126"/>
        <v>6.96</v>
      </c>
      <c r="I248" s="15">
        <f t="shared" ca="1" si="127"/>
        <v>0</v>
      </c>
      <c r="J248" s="73">
        <f t="shared" ca="1" si="128"/>
        <v>753.26</v>
      </c>
      <c r="K248" s="15">
        <f t="shared" ca="1" si="129"/>
        <v>0</v>
      </c>
      <c r="L248" s="16">
        <f t="shared" ca="1" si="130"/>
        <v>755.4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31.8</v>
      </c>
      <c r="Y248" s="15">
        <f t="shared" ca="1" si="143"/>
        <v>0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6.2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>
        <f t="shared" ca="1" si="158"/>
        <v>90</v>
      </c>
      <c r="AO248" s="15">
        <f t="shared" ca="1" si="159"/>
        <v>0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19190905</v>
      </c>
      <c r="C249" s="72">
        <f t="shared" si="121"/>
        <v>600</v>
      </c>
      <c r="D249" s="16">
        <f t="shared" ca="1" si="122"/>
        <v>30.8</v>
      </c>
      <c r="E249" s="15">
        <f t="shared" ca="1" si="123"/>
        <v>0</v>
      </c>
      <c r="F249" s="73">
        <f t="shared" ca="1" si="124"/>
        <v>761.49</v>
      </c>
      <c r="G249" s="15">
        <f t="shared" ca="1" si="125"/>
        <v>0</v>
      </c>
      <c r="H249" s="73">
        <f t="shared" ca="1" si="126"/>
        <v>6.96</v>
      </c>
      <c r="I249" s="15">
        <f t="shared" ca="1" si="127"/>
        <v>0</v>
      </c>
      <c r="J249" s="73">
        <f t="shared" ca="1" si="128"/>
        <v>754.53</v>
      </c>
      <c r="K249" s="15">
        <f t="shared" ca="1" si="129"/>
        <v>0</v>
      </c>
      <c r="L249" s="16">
        <f t="shared" ca="1" si="130"/>
        <v>756.7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32.299999999999997</v>
      </c>
      <c r="Y249" s="15">
        <f t="shared" ca="1" si="143"/>
        <v>0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45</v>
      </c>
      <c r="AC249" s="15">
        <f t="shared" ca="1" si="147"/>
        <v>0</v>
      </c>
      <c r="AD249" s="76">
        <f t="shared" ca="1" si="148"/>
        <v>5.0999999999999996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>
        <f t="shared" ca="1" si="158"/>
        <v>90</v>
      </c>
      <c r="AO249" s="15">
        <f t="shared" ca="1" si="159"/>
        <v>0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19190906</v>
      </c>
      <c r="C250" s="72">
        <f t="shared" si="121"/>
        <v>600</v>
      </c>
      <c r="D250" s="16">
        <f t="shared" ca="1" si="122"/>
        <v>30.8</v>
      </c>
      <c r="E250" s="15">
        <f t="shared" ca="1" si="123"/>
        <v>0</v>
      </c>
      <c r="F250" s="73">
        <f t="shared" ca="1" si="124"/>
        <v>761.03</v>
      </c>
      <c r="G250" s="15">
        <f t="shared" ca="1" si="125"/>
        <v>0</v>
      </c>
      <c r="H250" s="73">
        <f t="shared" ca="1" si="126"/>
        <v>6.96</v>
      </c>
      <c r="I250" s="15">
        <f t="shared" ca="1" si="127"/>
        <v>0</v>
      </c>
      <c r="J250" s="73">
        <f t="shared" ca="1" si="128"/>
        <v>754.08</v>
      </c>
      <c r="K250" s="15">
        <f t="shared" ca="1" si="129"/>
        <v>0</v>
      </c>
      <c r="L250" s="16">
        <f t="shared" ca="1" si="130"/>
        <v>756.2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31.3</v>
      </c>
      <c r="Y250" s="15">
        <f t="shared" ca="1" si="143"/>
        <v>0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45</v>
      </c>
      <c r="AC250" s="15">
        <f t="shared" ca="1" si="147"/>
        <v>0</v>
      </c>
      <c r="AD250" s="76">
        <f t="shared" ca="1" si="148"/>
        <v>5.0999999999999996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>
        <f t="shared" ca="1" si="158"/>
        <v>90</v>
      </c>
      <c r="AO250" s="15">
        <f t="shared" ca="1" si="159"/>
        <v>0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19190907</v>
      </c>
      <c r="C251" s="72">
        <f t="shared" si="121"/>
        <v>600</v>
      </c>
      <c r="D251" s="16">
        <f t="shared" ca="1" si="122"/>
        <v>30.8</v>
      </c>
      <c r="E251" s="15">
        <f t="shared" ca="1" si="123"/>
        <v>0</v>
      </c>
      <c r="F251" s="73">
        <f t="shared" ca="1" si="124"/>
        <v>760.15</v>
      </c>
      <c r="G251" s="15">
        <f t="shared" ca="1" si="125"/>
        <v>0</v>
      </c>
      <c r="H251" s="73">
        <f t="shared" ca="1" si="126"/>
        <v>6.96</v>
      </c>
      <c r="I251" s="15">
        <f t="shared" ca="1" si="127"/>
        <v>0</v>
      </c>
      <c r="J251" s="73">
        <f t="shared" ca="1" si="128"/>
        <v>753.19</v>
      </c>
      <c r="K251" s="15">
        <f t="shared" ca="1" si="129"/>
        <v>0</v>
      </c>
      <c r="L251" s="16">
        <f t="shared" ca="1" si="130"/>
        <v>755.1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32.299999999999997</v>
      </c>
      <c r="Y251" s="15">
        <f t="shared" ca="1" si="143"/>
        <v>0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135</v>
      </c>
      <c r="AC251" s="15">
        <f t="shared" ca="1" si="147"/>
        <v>0</v>
      </c>
      <c r="AD251" s="76">
        <f t="shared" ca="1" si="148"/>
        <v>6.2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>
        <f t="shared" ca="1" si="158"/>
        <v>90</v>
      </c>
      <c r="AO251" s="15">
        <f t="shared" ca="1" si="159"/>
        <v>0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19190908</v>
      </c>
      <c r="C252" s="72">
        <f t="shared" si="121"/>
        <v>600</v>
      </c>
      <c r="D252" s="16">
        <f t="shared" ca="1" si="122"/>
        <v>30.6</v>
      </c>
      <c r="E252" s="15">
        <f t="shared" ca="1" si="123"/>
        <v>0</v>
      </c>
      <c r="F252" s="73">
        <f t="shared" ca="1" si="124"/>
        <v>759.92</v>
      </c>
      <c r="G252" s="15">
        <f t="shared" ca="1" si="125"/>
        <v>0</v>
      </c>
      <c r="H252" s="73">
        <f t="shared" ca="1" si="126"/>
        <v>6.91</v>
      </c>
      <c r="I252" s="15">
        <f t="shared" ca="1" si="127"/>
        <v>0</v>
      </c>
      <c r="J252" s="73">
        <f t="shared" ca="1" si="128"/>
        <v>753.01</v>
      </c>
      <c r="K252" s="15">
        <f t="shared" ca="1" si="129"/>
        <v>0</v>
      </c>
      <c r="L252" s="16">
        <f t="shared" ca="1" si="130"/>
        <v>755.1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31.7</v>
      </c>
      <c r="Y252" s="15">
        <f t="shared" ca="1" si="143"/>
        <v>0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5.0999999999999996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>
        <f t="shared" ca="1" si="158"/>
        <v>90</v>
      </c>
      <c r="AO252" s="15">
        <f t="shared" ca="1" si="159"/>
        <v>0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19190909</v>
      </c>
      <c r="C253" s="72">
        <f t="shared" si="121"/>
        <v>600</v>
      </c>
      <c r="D253" s="16">
        <f t="shared" ca="1" si="122"/>
        <v>31.1</v>
      </c>
      <c r="E253" s="15">
        <f t="shared" ca="1" si="123"/>
        <v>0</v>
      </c>
      <c r="F253" s="73">
        <f t="shared" ca="1" si="124"/>
        <v>759.66</v>
      </c>
      <c r="G253" s="15">
        <f t="shared" ca="1" si="125"/>
        <v>0</v>
      </c>
      <c r="H253" s="73">
        <f t="shared" ca="1" si="126"/>
        <v>6.99</v>
      </c>
      <c r="I253" s="15">
        <f t="shared" ca="1" si="127"/>
        <v>0</v>
      </c>
      <c r="J253" s="73">
        <f t="shared" ca="1" si="128"/>
        <v>752.68</v>
      </c>
      <c r="K253" s="15">
        <f t="shared" ca="1" si="129"/>
        <v>0</v>
      </c>
      <c r="L253" s="16">
        <f t="shared" ca="1" si="130"/>
        <v>754.6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31.7</v>
      </c>
      <c r="Y253" s="15">
        <f t="shared" ca="1" si="143"/>
        <v>0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6.2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>
        <f t="shared" ca="1" si="158"/>
        <v>90</v>
      </c>
      <c r="AO253" s="15">
        <f t="shared" ca="1" si="159"/>
        <v>0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19190910</v>
      </c>
      <c r="C254" s="72">
        <f t="shared" si="121"/>
        <v>600</v>
      </c>
      <c r="D254" s="16">
        <f t="shared" ca="1" si="122"/>
        <v>31.1</v>
      </c>
      <c r="E254" s="15">
        <f t="shared" ca="1" si="123"/>
        <v>0</v>
      </c>
      <c r="F254" s="73">
        <f t="shared" ca="1" si="124"/>
        <v>760.7</v>
      </c>
      <c r="G254" s="15">
        <f t="shared" ca="1" si="125"/>
        <v>0</v>
      </c>
      <c r="H254" s="73">
        <f t="shared" ca="1" si="126"/>
        <v>6.99</v>
      </c>
      <c r="I254" s="15">
        <f t="shared" ca="1" si="127"/>
        <v>0</v>
      </c>
      <c r="J254" s="73">
        <f t="shared" ca="1" si="128"/>
        <v>753.72</v>
      </c>
      <c r="K254" s="15">
        <f t="shared" ca="1" si="129"/>
        <v>0</v>
      </c>
      <c r="L254" s="16">
        <f t="shared" ca="1" si="130"/>
        <v>755.7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31.4</v>
      </c>
      <c r="Y254" s="15">
        <f t="shared" ca="1" si="143"/>
        <v>0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4.0999999999999996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>
        <f t="shared" ca="1" si="158"/>
        <v>90</v>
      </c>
      <c r="AO254" s="15">
        <f t="shared" ca="1" si="159"/>
        <v>0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19190911</v>
      </c>
      <c r="C255" s="72">
        <f t="shared" si="121"/>
        <v>600</v>
      </c>
      <c r="D255" s="16">
        <f t="shared" ca="1" si="122"/>
        <v>31.1</v>
      </c>
      <c r="E255" s="15">
        <f t="shared" ca="1" si="123"/>
        <v>0</v>
      </c>
      <c r="F255" s="73">
        <f t="shared" ca="1" si="124"/>
        <v>761.44</v>
      </c>
      <c r="G255" s="15">
        <f t="shared" ca="1" si="125"/>
        <v>0</v>
      </c>
      <c r="H255" s="73">
        <f t="shared" ca="1" si="126"/>
        <v>6.99</v>
      </c>
      <c r="I255" s="15">
        <f t="shared" ca="1" si="127"/>
        <v>0</v>
      </c>
      <c r="J255" s="73">
        <f t="shared" ca="1" si="128"/>
        <v>754.46</v>
      </c>
      <c r="K255" s="15">
        <f t="shared" ca="1" si="129"/>
        <v>0</v>
      </c>
      <c r="L255" s="16">
        <f t="shared" ca="1" si="130"/>
        <v>756.4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31.7</v>
      </c>
      <c r="Y255" s="15">
        <f t="shared" ca="1" si="143"/>
        <v>0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4.5999999999999996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>
        <f t="shared" ca="1" si="158"/>
        <v>90</v>
      </c>
      <c r="AO255" s="15">
        <f t="shared" ca="1" si="159"/>
        <v>0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19190912</v>
      </c>
      <c r="C256" s="72">
        <f t="shared" si="121"/>
        <v>600</v>
      </c>
      <c r="D256" s="16">
        <f t="shared" ca="1" si="122"/>
        <v>30.8</v>
      </c>
      <c r="E256" s="15">
        <f t="shared" ca="1" si="123"/>
        <v>0</v>
      </c>
      <c r="F256" s="73">
        <f t="shared" ca="1" si="124"/>
        <v>760.37</v>
      </c>
      <c r="G256" s="15">
        <f t="shared" ca="1" si="125"/>
        <v>0</v>
      </c>
      <c r="H256" s="73">
        <f t="shared" ca="1" si="126"/>
        <v>6.96</v>
      </c>
      <c r="I256" s="15">
        <f t="shared" ca="1" si="127"/>
        <v>0</v>
      </c>
      <c r="J256" s="73">
        <f t="shared" ca="1" si="128"/>
        <v>751.89</v>
      </c>
      <c r="K256" s="15">
        <f t="shared" ca="1" si="129"/>
        <v>0</v>
      </c>
      <c r="L256" s="16">
        <f t="shared" ca="1" si="130"/>
        <v>755.4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31.7</v>
      </c>
      <c r="Y256" s="15">
        <f t="shared" ca="1" si="143"/>
        <v>0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5.0999999999999996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>
        <f t="shared" ca="1" si="158"/>
        <v>90</v>
      </c>
      <c r="AO256" s="15">
        <f t="shared" ca="1" si="159"/>
        <v>0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19190913</v>
      </c>
      <c r="C257" s="72">
        <f t="shared" si="121"/>
        <v>600</v>
      </c>
      <c r="D257" s="16">
        <f t="shared" ca="1" si="122"/>
        <v>30.8</v>
      </c>
      <c r="E257" s="15">
        <f t="shared" ca="1" si="123"/>
        <v>0</v>
      </c>
      <c r="F257" s="73">
        <f t="shared" ca="1" si="124"/>
        <v>760.63</v>
      </c>
      <c r="G257" s="15">
        <f t="shared" ca="1" si="125"/>
        <v>0</v>
      </c>
      <c r="H257" s="73">
        <f t="shared" ca="1" si="126"/>
        <v>6.96</v>
      </c>
      <c r="I257" s="15">
        <f t="shared" ca="1" si="127"/>
        <v>0</v>
      </c>
      <c r="J257" s="73">
        <f t="shared" ca="1" si="128"/>
        <v>753.67</v>
      </c>
      <c r="K257" s="15">
        <f t="shared" ca="1" si="129"/>
        <v>0</v>
      </c>
      <c r="L257" s="16">
        <f t="shared" ca="1" si="130"/>
        <v>755.7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30.9</v>
      </c>
      <c r="Y257" s="15">
        <f t="shared" ca="1" si="143"/>
        <v>0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45</v>
      </c>
      <c r="AC257" s="15">
        <f t="shared" ca="1" si="147"/>
        <v>0</v>
      </c>
      <c r="AD257" s="76">
        <f t="shared" ca="1" si="148"/>
        <v>4.0999999999999996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>
        <f t="shared" ca="1" si="158"/>
        <v>90</v>
      </c>
      <c r="AO257" s="15">
        <f t="shared" ca="1" si="159"/>
        <v>0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19190914</v>
      </c>
      <c r="C258" s="72">
        <f t="shared" ref="C258:C321" si="161">Tijd</f>
        <v>600</v>
      </c>
      <c r="D258" s="16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31.1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58" s="73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760.12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58" s="73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6.99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58" s="73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753.03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755.1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31.4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5.0999999999999996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19190915</v>
      </c>
      <c r="C259" s="72">
        <f t="shared" si="161"/>
        <v>600</v>
      </c>
      <c r="D259" s="16">
        <f t="shared" ca="1" si="162"/>
        <v>30</v>
      </c>
      <c r="E259" s="15">
        <f t="shared" ca="1" si="163"/>
        <v>0</v>
      </c>
      <c r="F259" s="73">
        <f t="shared" ca="1" si="164"/>
        <v>761.01</v>
      </c>
      <c r="G259" s="15">
        <f t="shared" ca="1" si="165"/>
        <v>0</v>
      </c>
      <c r="H259" s="73">
        <f t="shared" ca="1" si="166"/>
        <v>6.86</v>
      </c>
      <c r="I259" s="15">
        <f t="shared" ca="1" si="167"/>
        <v>0</v>
      </c>
      <c r="J259" s="73">
        <f t="shared" ca="1" si="168"/>
        <v>754.15</v>
      </c>
      <c r="K259" s="15">
        <f t="shared" ca="1" si="169"/>
        <v>0</v>
      </c>
      <c r="L259" s="16">
        <f t="shared" ca="1" si="170"/>
        <v>756.2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30.8</v>
      </c>
      <c r="Y259" s="15">
        <f t="shared" ca="1" si="183"/>
        <v>0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45</v>
      </c>
      <c r="AC259" s="15">
        <f t="shared" ca="1" si="187"/>
        <v>0</v>
      </c>
      <c r="AD259" s="76">
        <f t="shared" ca="1" si="188"/>
        <v>6.2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>
        <f t="shared" ca="1" si="198"/>
        <v>90</v>
      </c>
      <c r="AO259" s="15">
        <f t="shared" ca="1" si="199"/>
        <v>0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19190916</v>
      </c>
      <c r="C260" s="72">
        <f t="shared" si="161"/>
        <v>600</v>
      </c>
      <c r="D260" s="16">
        <f t="shared" ca="1" si="162"/>
        <v>29.7</v>
      </c>
      <c r="E260" s="15">
        <f t="shared" ca="1" si="163"/>
        <v>0</v>
      </c>
      <c r="F260" s="73">
        <f t="shared" ca="1" si="164"/>
        <v>762.1</v>
      </c>
      <c r="G260" s="15">
        <f t="shared" ca="1" si="165"/>
        <v>0</v>
      </c>
      <c r="H260" s="73">
        <f t="shared" ca="1" si="166"/>
        <v>6.88</v>
      </c>
      <c r="I260" s="15">
        <f t="shared" ca="1" si="167"/>
        <v>0</v>
      </c>
      <c r="J260" s="73">
        <f t="shared" ca="1" si="168"/>
        <v>755.22</v>
      </c>
      <c r="K260" s="15">
        <f t="shared" ca="1" si="169"/>
        <v>0</v>
      </c>
      <c r="L260" s="16">
        <f t="shared" ca="1" si="170"/>
        <v>757.2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30.9</v>
      </c>
      <c r="Y260" s="15">
        <f t="shared" ca="1" si="183"/>
        <v>0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45</v>
      </c>
      <c r="AC260" s="15">
        <f t="shared" ca="1" si="187"/>
        <v>0</v>
      </c>
      <c r="AD260" s="76">
        <f t="shared" ca="1" si="188"/>
        <v>7.7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>
        <f t="shared" ca="1" si="198"/>
        <v>90</v>
      </c>
      <c r="AO260" s="15">
        <f t="shared" ca="1" si="199"/>
        <v>0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19190917</v>
      </c>
      <c r="C261" s="72">
        <f t="shared" si="161"/>
        <v>600</v>
      </c>
      <c r="D261" s="16">
        <f t="shared" ca="1" si="162"/>
        <v>30.3</v>
      </c>
      <c r="E261" s="15">
        <f t="shared" ca="1" si="163"/>
        <v>0</v>
      </c>
      <c r="F261" s="73">
        <f t="shared" ca="1" si="164"/>
        <v>761.09</v>
      </c>
      <c r="G261" s="15">
        <f t="shared" ca="1" si="165"/>
        <v>0</v>
      </c>
      <c r="H261" s="73">
        <f t="shared" ca="1" si="166"/>
        <v>6.88</v>
      </c>
      <c r="I261" s="15">
        <f t="shared" ca="1" si="167"/>
        <v>0</v>
      </c>
      <c r="J261" s="73">
        <f t="shared" ca="1" si="168"/>
        <v>754.2</v>
      </c>
      <c r="K261" s="15">
        <f t="shared" ca="1" si="169"/>
        <v>0</v>
      </c>
      <c r="L261" s="16">
        <f t="shared" ca="1" si="170"/>
        <v>756.2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31.5</v>
      </c>
      <c r="Y261" s="15">
        <f t="shared" ca="1" si="183"/>
        <v>0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4.0999999999999996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>
        <f t="shared" ca="1" si="198"/>
        <v>90</v>
      </c>
      <c r="AO261" s="15">
        <f t="shared" ca="1" si="199"/>
        <v>0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19190918</v>
      </c>
      <c r="C262" s="72">
        <f t="shared" si="161"/>
        <v>600</v>
      </c>
      <c r="D262" s="16">
        <f t="shared" ca="1" si="162"/>
        <v>31.1</v>
      </c>
      <c r="E262" s="15">
        <f t="shared" ca="1" si="163"/>
        <v>0</v>
      </c>
      <c r="F262" s="73">
        <f t="shared" ca="1" si="164"/>
        <v>760.93</v>
      </c>
      <c r="G262" s="15">
        <f t="shared" ca="1" si="165"/>
        <v>0</v>
      </c>
      <c r="H262" s="73">
        <f t="shared" ca="1" si="166"/>
        <v>6.99</v>
      </c>
      <c r="I262" s="15">
        <f t="shared" ca="1" si="167"/>
        <v>0</v>
      </c>
      <c r="J262" s="73">
        <f t="shared" ca="1" si="168"/>
        <v>753.95</v>
      </c>
      <c r="K262" s="15">
        <f t="shared" ca="1" si="169"/>
        <v>0</v>
      </c>
      <c r="L262" s="16">
        <f t="shared" ca="1" si="170"/>
        <v>755.9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35.799999999999997</v>
      </c>
      <c r="Y262" s="15">
        <f t="shared" ca="1" si="183"/>
        <v>0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6.2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>
        <f t="shared" ca="1" si="198"/>
        <v>90</v>
      </c>
      <c r="AO262" s="15">
        <f t="shared" ca="1" si="199"/>
        <v>0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19190919</v>
      </c>
      <c r="C263" s="72">
        <f t="shared" si="161"/>
        <v>600</v>
      </c>
      <c r="D263" s="16">
        <f t="shared" ca="1" si="162"/>
        <v>30.8</v>
      </c>
      <c r="E263" s="15">
        <f t="shared" ca="1" si="163"/>
        <v>0</v>
      </c>
      <c r="F263" s="73">
        <f t="shared" ca="1" si="164"/>
        <v>762.3</v>
      </c>
      <c r="G263" s="15">
        <f t="shared" ca="1" si="165"/>
        <v>0</v>
      </c>
      <c r="H263" s="73">
        <f t="shared" ca="1" si="166"/>
        <v>7.01</v>
      </c>
      <c r="I263" s="15">
        <f t="shared" ca="1" si="167"/>
        <v>0</v>
      </c>
      <c r="J263" s="73">
        <f t="shared" ca="1" si="168"/>
        <v>755.29</v>
      </c>
      <c r="K263" s="15">
        <f t="shared" ca="1" si="169"/>
        <v>0</v>
      </c>
      <c r="L263" s="16">
        <f t="shared" ca="1" si="170"/>
        <v>757.4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31.5</v>
      </c>
      <c r="Y263" s="15">
        <f t="shared" ca="1" si="183"/>
        <v>0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7.7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>
        <f t="shared" ca="1" si="198"/>
        <v>90</v>
      </c>
      <c r="AO263" s="15">
        <f t="shared" ca="1" si="199"/>
        <v>0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19190920</v>
      </c>
      <c r="C264" s="72">
        <f t="shared" si="161"/>
        <v>600</v>
      </c>
      <c r="D264" s="16">
        <f t="shared" ca="1" si="162"/>
        <v>30.6</v>
      </c>
      <c r="E264" s="15">
        <f t="shared" ca="1" si="163"/>
        <v>0</v>
      </c>
      <c r="F264" s="73">
        <f t="shared" ca="1" si="164"/>
        <v>762.18</v>
      </c>
      <c r="G264" s="15">
        <f t="shared" ca="1" si="165"/>
        <v>0</v>
      </c>
      <c r="H264" s="73">
        <f t="shared" ca="1" si="166"/>
        <v>6.99</v>
      </c>
      <c r="I264" s="15">
        <f t="shared" ca="1" si="167"/>
        <v>0</v>
      </c>
      <c r="J264" s="73">
        <f t="shared" ca="1" si="168"/>
        <v>755.19</v>
      </c>
      <c r="K264" s="15">
        <f t="shared" ca="1" si="169"/>
        <v>0</v>
      </c>
      <c r="L264" s="16">
        <f t="shared" ca="1" si="170"/>
        <v>757.2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30.9</v>
      </c>
      <c r="Y264" s="15">
        <f t="shared" ca="1" si="183"/>
        <v>0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5.0999999999999996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>
        <f t="shared" ca="1" si="198"/>
        <v>90</v>
      </c>
      <c r="AO264" s="15">
        <f t="shared" ca="1" si="199"/>
        <v>0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19190921</v>
      </c>
      <c r="C265" s="72">
        <f t="shared" si="161"/>
        <v>600</v>
      </c>
      <c r="D265" s="16">
        <f t="shared" ca="1" si="162"/>
        <v>30.8</v>
      </c>
      <c r="E265" s="15">
        <f t="shared" ca="1" si="163"/>
        <v>0</v>
      </c>
      <c r="F265" s="73">
        <f t="shared" ca="1" si="164"/>
        <v>761.44</v>
      </c>
      <c r="G265" s="15">
        <f t="shared" ca="1" si="165"/>
        <v>0</v>
      </c>
      <c r="H265" s="73">
        <f t="shared" ca="1" si="166"/>
        <v>6.96</v>
      </c>
      <c r="I265" s="15">
        <f t="shared" ca="1" si="167"/>
        <v>0</v>
      </c>
      <c r="J265" s="73">
        <f t="shared" ca="1" si="168"/>
        <v>754.48</v>
      </c>
      <c r="K265" s="15">
        <f t="shared" ca="1" si="169"/>
        <v>0</v>
      </c>
      <c r="L265" s="16">
        <f t="shared" ca="1" si="170"/>
        <v>756.4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30.8</v>
      </c>
      <c r="Y265" s="15">
        <f t="shared" ca="1" si="183"/>
        <v>0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4.0999999999999996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>
        <f t="shared" ca="1" si="198"/>
        <v>90</v>
      </c>
      <c r="AO265" s="15">
        <f t="shared" ca="1" si="199"/>
        <v>0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19190922</v>
      </c>
      <c r="C266" s="72">
        <f t="shared" si="161"/>
        <v>600</v>
      </c>
      <c r="D266" s="16">
        <f t="shared" ca="1" si="162"/>
        <v>30.6</v>
      </c>
      <c r="E266" s="15">
        <f t="shared" ca="1" si="163"/>
        <v>0</v>
      </c>
      <c r="F266" s="73">
        <f t="shared" ca="1" si="164"/>
        <v>761.34</v>
      </c>
      <c r="G266" s="15">
        <f t="shared" ca="1" si="165"/>
        <v>0</v>
      </c>
      <c r="H266" s="73">
        <f t="shared" ca="1" si="166"/>
        <v>6.91</v>
      </c>
      <c r="I266" s="15">
        <f t="shared" ca="1" si="167"/>
        <v>0</v>
      </c>
      <c r="J266" s="73">
        <f t="shared" ca="1" si="168"/>
        <v>754.43</v>
      </c>
      <c r="K266" s="15">
        <f t="shared" ca="1" si="169"/>
        <v>0</v>
      </c>
      <c r="L266" s="16">
        <f t="shared" ca="1" si="170"/>
        <v>756.4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30.2</v>
      </c>
      <c r="Y266" s="15">
        <f t="shared" ca="1" si="183"/>
        <v>0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4.0999999999999996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>
        <f t="shared" ca="1" si="198"/>
        <v>135</v>
      </c>
      <c r="AO266" s="15">
        <f t="shared" ca="1" si="199"/>
        <v>0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19190923</v>
      </c>
      <c r="C267" s="72">
        <f t="shared" si="161"/>
        <v>600</v>
      </c>
      <c r="D267" s="16">
        <f t="shared" ca="1" si="162"/>
        <v>31.1</v>
      </c>
      <c r="E267" s="15">
        <f t="shared" ca="1" si="163"/>
        <v>0</v>
      </c>
      <c r="F267" s="73">
        <f t="shared" ca="1" si="164"/>
        <v>760.93</v>
      </c>
      <c r="G267" s="15">
        <f t="shared" ca="1" si="165"/>
        <v>0</v>
      </c>
      <c r="H267" s="73">
        <f t="shared" ca="1" si="166"/>
        <v>6.99</v>
      </c>
      <c r="I267" s="15">
        <f t="shared" ca="1" si="167"/>
        <v>0</v>
      </c>
      <c r="J267" s="73">
        <f t="shared" ca="1" si="168"/>
        <v>753.95</v>
      </c>
      <c r="K267" s="15">
        <f t="shared" ca="1" si="169"/>
        <v>0</v>
      </c>
      <c r="L267" s="16">
        <f t="shared" ca="1" si="170"/>
        <v>755.9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32.6</v>
      </c>
      <c r="Y267" s="15">
        <f t="shared" ca="1" si="183"/>
        <v>0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45</v>
      </c>
      <c r="AC267" s="15">
        <f t="shared" ca="1" si="187"/>
        <v>0</v>
      </c>
      <c r="AD267" s="76">
        <f t="shared" ca="1" si="188"/>
        <v>5.0999999999999996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>
        <f t="shared" ca="1" si="198"/>
        <v>90</v>
      </c>
      <c r="AO267" s="15">
        <f t="shared" ca="1" si="199"/>
        <v>0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19190924</v>
      </c>
      <c r="C268" s="72">
        <f t="shared" si="161"/>
        <v>600</v>
      </c>
      <c r="D268" s="16">
        <f t="shared" ca="1" si="162"/>
        <v>31.4</v>
      </c>
      <c r="E268" s="15">
        <f t="shared" ca="1" si="163"/>
        <v>0</v>
      </c>
      <c r="F268" s="73">
        <f t="shared" ca="1" si="164"/>
        <v>760.78</v>
      </c>
      <c r="G268" s="15">
        <f t="shared" ca="1" si="165"/>
        <v>0</v>
      </c>
      <c r="H268" s="73">
        <f t="shared" ca="1" si="166"/>
        <v>7.01</v>
      </c>
      <c r="I268" s="15">
        <f t="shared" ca="1" si="167"/>
        <v>0</v>
      </c>
      <c r="J268" s="73">
        <f t="shared" ca="1" si="168"/>
        <v>753.77</v>
      </c>
      <c r="K268" s="15">
        <f t="shared" ca="1" si="169"/>
        <v>0</v>
      </c>
      <c r="L268" s="16">
        <f t="shared" ca="1" si="170"/>
        <v>755.4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32.9</v>
      </c>
      <c r="Y268" s="15">
        <f t="shared" ca="1" si="183"/>
        <v>0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5.0999999999999996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>
        <f t="shared" ca="1" si="198"/>
        <v>90</v>
      </c>
      <c r="AO268" s="15">
        <f t="shared" ca="1" si="199"/>
        <v>0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19190925</v>
      </c>
      <c r="C269" s="72">
        <f t="shared" si="161"/>
        <v>600</v>
      </c>
      <c r="D269" s="16">
        <f t="shared" ca="1" si="162"/>
        <v>31.4</v>
      </c>
      <c r="E269" s="15">
        <f t="shared" ca="1" si="163"/>
        <v>0</v>
      </c>
      <c r="F269" s="73">
        <f t="shared" ca="1" si="164"/>
        <v>760.96</v>
      </c>
      <c r="G269" s="15">
        <f t="shared" ca="1" si="165"/>
        <v>0</v>
      </c>
      <c r="H269" s="73">
        <f t="shared" ca="1" si="166"/>
        <v>7.01</v>
      </c>
      <c r="I269" s="15">
        <f t="shared" ca="1" si="167"/>
        <v>0</v>
      </c>
      <c r="J269" s="73">
        <f t="shared" ca="1" si="168"/>
        <v>753.95</v>
      </c>
      <c r="K269" s="15">
        <f t="shared" ca="1" si="169"/>
        <v>0</v>
      </c>
      <c r="L269" s="16">
        <f t="shared" ca="1" si="170"/>
        <v>755.9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32</v>
      </c>
      <c r="Y269" s="15">
        <f t="shared" ca="1" si="183"/>
        <v>0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45</v>
      </c>
      <c r="AC269" s="15">
        <f t="shared" ca="1" si="187"/>
        <v>0</v>
      </c>
      <c r="AD269" s="76">
        <f t="shared" ca="1" si="188"/>
        <v>5.0999999999999996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>
        <f t="shared" ca="1" si="198"/>
        <v>90</v>
      </c>
      <c r="AO269" s="15">
        <f t="shared" ca="1" si="199"/>
        <v>0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19190926</v>
      </c>
      <c r="C270" s="72">
        <f t="shared" si="161"/>
        <v>600</v>
      </c>
      <c r="D270" s="16">
        <f t="shared" ca="1" si="162"/>
        <v>30.8</v>
      </c>
      <c r="E270" s="15">
        <f t="shared" ca="1" si="163"/>
        <v>0</v>
      </c>
      <c r="F270" s="73">
        <f t="shared" ca="1" si="164"/>
        <v>761.64</v>
      </c>
      <c r="G270" s="15">
        <f t="shared" ca="1" si="165"/>
        <v>0</v>
      </c>
      <c r="H270" s="73">
        <f t="shared" ca="1" si="166"/>
        <v>6.96</v>
      </c>
      <c r="I270" s="15">
        <f t="shared" ca="1" si="167"/>
        <v>0</v>
      </c>
      <c r="J270" s="73">
        <f t="shared" ca="1" si="168"/>
        <v>754.68</v>
      </c>
      <c r="K270" s="15">
        <f t="shared" ca="1" si="169"/>
        <v>0</v>
      </c>
      <c r="L270" s="16">
        <f t="shared" ca="1" si="170"/>
        <v>756.7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31.7</v>
      </c>
      <c r="Y270" s="15">
        <f t="shared" ca="1" si="183"/>
        <v>0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4.0999999999999996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>
        <f t="shared" ca="1" si="198"/>
        <v>90</v>
      </c>
      <c r="AO270" s="15">
        <f t="shared" ca="1" si="199"/>
        <v>0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19190927</v>
      </c>
      <c r="C271" s="72">
        <f t="shared" si="161"/>
        <v>600</v>
      </c>
      <c r="D271" s="16">
        <f t="shared" ca="1" si="162"/>
        <v>30.8</v>
      </c>
      <c r="E271" s="15">
        <f t="shared" ca="1" si="163"/>
        <v>0</v>
      </c>
      <c r="F271" s="73">
        <f t="shared" ca="1" si="164"/>
        <v>761.44</v>
      </c>
      <c r="G271" s="15">
        <f t="shared" ca="1" si="165"/>
        <v>0</v>
      </c>
      <c r="H271" s="73">
        <f t="shared" ca="1" si="166"/>
        <v>6.96</v>
      </c>
      <c r="I271" s="15">
        <f t="shared" ca="1" si="167"/>
        <v>0</v>
      </c>
      <c r="J271" s="73">
        <f t="shared" ca="1" si="168"/>
        <v>754.48</v>
      </c>
      <c r="K271" s="15">
        <f t="shared" ca="1" si="169"/>
        <v>0</v>
      </c>
      <c r="L271" s="16">
        <f t="shared" ca="1" si="170"/>
        <v>756.4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31.3</v>
      </c>
      <c r="Y271" s="15">
        <f t="shared" ca="1" si="183"/>
        <v>0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>
        <f t="shared" ca="1" si="198"/>
        <v>90</v>
      </c>
      <c r="AO271" s="15">
        <f t="shared" ca="1" si="199"/>
        <v>0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19190928</v>
      </c>
      <c r="C272" s="72">
        <f t="shared" si="161"/>
        <v>600</v>
      </c>
      <c r="D272" s="16">
        <f t="shared" ca="1" si="162"/>
        <v>30.6</v>
      </c>
      <c r="E272" s="15">
        <f t="shared" ca="1" si="163"/>
        <v>0</v>
      </c>
      <c r="F272" s="73">
        <f t="shared" ca="1" si="164"/>
        <v>760.63</v>
      </c>
      <c r="G272" s="15">
        <f t="shared" ca="1" si="165"/>
        <v>0</v>
      </c>
      <c r="H272" s="73">
        <f t="shared" ca="1" si="166"/>
        <v>6.91</v>
      </c>
      <c r="I272" s="15">
        <f t="shared" ca="1" si="167"/>
        <v>0</v>
      </c>
      <c r="J272" s="73">
        <f t="shared" ca="1" si="168"/>
        <v>753.72</v>
      </c>
      <c r="K272" s="15">
        <f t="shared" ca="1" si="169"/>
        <v>0</v>
      </c>
      <c r="L272" s="16">
        <f t="shared" ca="1" si="170"/>
        <v>755.7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31.1</v>
      </c>
      <c r="Y272" s="15">
        <f t="shared" ca="1" si="183"/>
        <v>0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45</v>
      </c>
      <c r="AC272" s="15">
        <f t="shared" ca="1" si="187"/>
        <v>0</v>
      </c>
      <c r="AD272" s="76">
        <f t="shared" ca="1" si="188"/>
        <v>5.0999999999999996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>
        <f t="shared" ca="1" si="198"/>
        <v>90</v>
      </c>
      <c r="AO272" s="15">
        <f t="shared" ca="1" si="199"/>
        <v>0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19190929</v>
      </c>
      <c r="C273" s="72">
        <f t="shared" si="161"/>
        <v>600</v>
      </c>
      <c r="D273" s="16">
        <f t="shared" ca="1" si="162"/>
        <v>30.3</v>
      </c>
      <c r="E273" s="15">
        <f t="shared" ca="1" si="163"/>
        <v>0</v>
      </c>
      <c r="F273" s="73">
        <f t="shared" ca="1" si="164"/>
        <v>761.49</v>
      </c>
      <c r="G273" s="15">
        <f t="shared" ca="1" si="165"/>
        <v>0</v>
      </c>
      <c r="H273" s="73">
        <f t="shared" ca="1" si="166"/>
        <v>6.88</v>
      </c>
      <c r="I273" s="15">
        <f t="shared" ca="1" si="167"/>
        <v>0</v>
      </c>
      <c r="J273" s="73">
        <f t="shared" ca="1" si="168"/>
        <v>754.61</v>
      </c>
      <c r="K273" s="15">
        <f t="shared" ca="1" si="169"/>
        <v>0</v>
      </c>
      <c r="L273" s="16">
        <f t="shared" ca="1" si="170"/>
        <v>756.7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30.9</v>
      </c>
      <c r="Y273" s="15">
        <f t="shared" ca="1" si="183"/>
        <v>0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45</v>
      </c>
      <c r="AC273" s="15">
        <f t="shared" ca="1" si="187"/>
        <v>0</v>
      </c>
      <c r="AD273" s="76">
        <f t="shared" ca="1" si="188"/>
        <v>5.0999999999999996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>
        <f t="shared" ca="1" si="198"/>
        <v>90</v>
      </c>
      <c r="AO273" s="15">
        <f t="shared" ca="1" si="199"/>
        <v>0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19190930</v>
      </c>
      <c r="C274" s="72">
        <f t="shared" si="161"/>
        <v>600</v>
      </c>
      <c r="D274" s="16">
        <f t="shared" ca="1" si="162"/>
        <v>30.6</v>
      </c>
      <c r="E274" s="15">
        <f t="shared" ca="1" si="163"/>
        <v>0</v>
      </c>
      <c r="F274" s="73">
        <f t="shared" ca="1" si="164"/>
        <v>762.18</v>
      </c>
      <c r="G274" s="15">
        <f t="shared" ca="1" si="165"/>
        <v>0</v>
      </c>
      <c r="H274" s="73">
        <f t="shared" ca="1" si="166"/>
        <v>6.99</v>
      </c>
      <c r="I274" s="15">
        <f t="shared" ca="1" si="167"/>
        <v>0</v>
      </c>
      <c r="J274" s="73">
        <f t="shared" ca="1" si="168"/>
        <v>755.19</v>
      </c>
      <c r="K274" s="15">
        <f t="shared" ca="1" si="169"/>
        <v>0</v>
      </c>
      <c r="L274" s="16">
        <f t="shared" ca="1" si="170"/>
        <v>757.2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31.6</v>
      </c>
      <c r="Y274" s="15">
        <f t="shared" ca="1" si="183"/>
        <v>0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6.2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>
        <f t="shared" ca="1" si="198"/>
        <v>90</v>
      </c>
      <c r="AO274" s="15">
        <f t="shared" ca="1" si="199"/>
        <v>0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19191001</v>
      </c>
      <c r="C275" s="72">
        <f t="shared" si="161"/>
        <v>600</v>
      </c>
      <c r="D275" s="16">
        <f t="shared" ca="1" si="162"/>
        <v>30.8</v>
      </c>
      <c r="E275" s="15">
        <f t="shared" ca="1" si="163"/>
        <v>0</v>
      </c>
      <c r="F275" s="73">
        <f t="shared" ca="1" si="164"/>
        <v>761.34</v>
      </c>
      <c r="G275" s="15">
        <f t="shared" ca="1" si="165"/>
        <v>0</v>
      </c>
      <c r="H275" s="73">
        <f t="shared" ca="1" si="166"/>
        <v>6.96</v>
      </c>
      <c r="I275" s="15">
        <f t="shared" ca="1" si="167"/>
        <v>0</v>
      </c>
      <c r="J275" s="73">
        <f t="shared" ca="1" si="168"/>
        <v>754.38</v>
      </c>
      <c r="K275" s="15">
        <f t="shared" ca="1" si="169"/>
        <v>0</v>
      </c>
      <c r="L275" s="16">
        <f t="shared" ca="1" si="170"/>
        <v>756.4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31.3</v>
      </c>
      <c r="Y275" s="15">
        <f t="shared" ca="1" si="183"/>
        <v>0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6.2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>
        <f t="shared" ca="1" si="198"/>
        <v>90</v>
      </c>
      <c r="AO275" s="15">
        <f t="shared" ca="1" si="199"/>
        <v>0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19191002</v>
      </c>
      <c r="C276" s="72">
        <f t="shared" si="161"/>
        <v>600</v>
      </c>
      <c r="D276" s="16">
        <f t="shared" ca="1" si="162"/>
        <v>31.1</v>
      </c>
      <c r="E276" s="15">
        <f t="shared" ca="1" si="163"/>
        <v>0</v>
      </c>
      <c r="F276" s="73">
        <f t="shared" ca="1" si="164"/>
        <v>761.92</v>
      </c>
      <c r="G276" s="15">
        <f t="shared" ca="1" si="165"/>
        <v>0</v>
      </c>
      <c r="H276" s="73">
        <f t="shared" ca="1" si="166"/>
        <v>6.99</v>
      </c>
      <c r="I276" s="15">
        <f t="shared" ca="1" si="167"/>
        <v>0</v>
      </c>
      <c r="J276" s="73">
        <f t="shared" ca="1" si="168"/>
        <v>754.94</v>
      </c>
      <c r="K276" s="15">
        <f t="shared" ca="1" si="169"/>
        <v>0</v>
      </c>
      <c r="L276" s="16">
        <f t="shared" ca="1" si="170"/>
        <v>756.9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31.9</v>
      </c>
      <c r="Y276" s="15">
        <f t="shared" ca="1" si="183"/>
        <v>0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4.5999999999999996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>
        <f t="shared" ca="1" si="198"/>
        <v>90</v>
      </c>
      <c r="AO276" s="15">
        <f t="shared" ca="1" si="199"/>
        <v>0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19191003</v>
      </c>
      <c r="C277" s="72">
        <f t="shared" si="161"/>
        <v>600</v>
      </c>
      <c r="D277" s="16">
        <f t="shared" ca="1" si="162"/>
        <v>31.1</v>
      </c>
      <c r="E277" s="15">
        <f t="shared" ca="1" si="163"/>
        <v>0</v>
      </c>
      <c r="F277" s="73">
        <f t="shared" ca="1" si="164"/>
        <v>761.29</v>
      </c>
      <c r="G277" s="15">
        <f t="shared" ca="1" si="165"/>
        <v>0</v>
      </c>
      <c r="H277" s="73">
        <f t="shared" ca="1" si="166"/>
        <v>6.99</v>
      </c>
      <c r="I277" s="15">
        <f t="shared" ca="1" si="167"/>
        <v>0</v>
      </c>
      <c r="J277" s="73">
        <f t="shared" ca="1" si="168"/>
        <v>754.3</v>
      </c>
      <c r="K277" s="15">
        <f t="shared" ca="1" si="169"/>
        <v>0</v>
      </c>
      <c r="L277" s="16">
        <f t="shared" ca="1" si="170"/>
        <v>756.4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31.3</v>
      </c>
      <c r="Y277" s="15">
        <f t="shared" ca="1" si="183"/>
        <v>0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45</v>
      </c>
      <c r="AC277" s="15">
        <f t="shared" ca="1" si="187"/>
        <v>0</v>
      </c>
      <c r="AD277" s="76">
        <f t="shared" ca="1" si="188"/>
        <v>5.0999999999999996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>
        <f t="shared" ca="1" si="198"/>
        <v>90</v>
      </c>
      <c r="AO277" s="15">
        <f t="shared" ca="1" si="199"/>
        <v>0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19191004</v>
      </c>
      <c r="C278" s="72">
        <f t="shared" si="161"/>
        <v>600</v>
      </c>
      <c r="D278" s="16">
        <f t="shared" ca="1" si="162"/>
        <v>31.1</v>
      </c>
      <c r="E278" s="15">
        <f t="shared" ca="1" si="163"/>
        <v>0</v>
      </c>
      <c r="F278" s="73">
        <f t="shared" ca="1" si="164"/>
        <v>760.12</v>
      </c>
      <c r="G278" s="15">
        <f t="shared" ca="1" si="165"/>
        <v>0</v>
      </c>
      <c r="H278" s="73">
        <f t="shared" ca="1" si="166"/>
        <v>6.99</v>
      </c>
      <c r="I278" s="15">
        <f t="shared" ca="1" si="167"/>
        <v>0</v>
      </c>
      <c r="J278" s="73">
        <f t="shared" ca="1" si="168"/>
        <v>753.14</v>
      </c>
      <c r="K278" s="15">
        <f t="shared" ca="1" si="169"/>
        <v>0</v>
      </c>
      <c r="L278" s="16">
        <f t="shared" ca="1" si="170"/>
        <v>755.1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31.2</v>
      </c>
      <c r="Y278" s="15">
        <f t="shared" ca="1" si="183"/>
        <v>0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45</v>
      </c>
      <c r="AC278" s="15">
        <f t="shared" ca="1" si="187"/>
        <v>0</v>
      </c>
      <c r="AD278" s="76">
        <f t="shared" ca="1" si="188"/>
        <v>4.0999999999999996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>
        <f t="shared" ca="1" si="198"/>
        <v>90</v>
      </c>
      <c r="AO278" s="15">
        <f t="shared" ca="1" si="199"/>
        <v>0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19191005</v>
      </c>
      <c r="C279" s="72">
        <f t="shared" si="161"/>
        <v>600</v>
      </c>
      <c r="D279" s="16">
        <f t="shared" ca="1" si="162"/>
        <v>31.1</v>
      </c>
      <c r="E279" s="15">
        <f t="shared" ca="1" si="163"/>
        <v>0</v>
      </c>
      <c r="F279" s="73">
        <f t="shared" ca="1" si="164"/>
        <v>760.68</v>
      </c>
      <c r="G279" s="15">
        <f t="shared" ca="1" si="165"/>
        <v>0</v>
      </c>
      <c r="H279" s="73">
        <f t="shared" ca="1" si="166"/>
        <v>6.99</v>
      </c>
      <c r="I279" s="15">
        <f t="shared" ca="1" si="167"/>
        <v>0</v>
      </c>
      <c r="J279" s="73">
        <f t="shared" ca="1" si="168"/>
        <v>753.69</v>
      </c>
      <c r="K279" s="15">
        <f t="shared" ca="1" si="169"/>
        <v>0</v>
      </c>
      <c r="L279" s="16">
        <f t="shared" ca="1" si="170"/>
        <v>755.7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31.9</v>
      </c>
      <c r="Y279" s="15">
        <f t="shared" ca="1" si="183"/>
        <v>0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5.0999999999999996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>
        <f t="shared" ca="1" si="198"/>
        <v>90</v>
      </c>
      <c r="AO279" s="15">
        <f t="shared" ca="1" si="199"/>
        <v>0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19191006</v>
      </c>
      <c r="C280" s="72">
        <f t="shared" si="161"/>
        <v>600</v>
      </c>
      <c r="D280" s="16">
        <f t="shared" ca="1" si="162"/>
        <v>30.8</v>
      </c>
      <c r="E280" s="15">
        <f t="shared" ca="1" si="163"/>
        <v>0</v>
      </c>
      <c r="F280" s="73">
        <f t="shared" ca="1" si="164"/>
        <v>760.63</v>
      </c>
      <c r="G280" s="15">
        <f t="shared" ca="1" si="165"/>
        <v>0</v>
      </c>
      <c r="H280" s="73">
        <f t="shared" ca="1" si="166"/>
        <v>6.96</v>
      </c>
      <c r="I280" s="15">
        <f t="shared" ca="1" si="167"/>
        <v>0</v>
      </c>
      <c r="J280" s="73">
        <f t="shared" ca="1" si="168"/>
        <v>753.67</v>
      </c>
      <c r="K280" s="15">
        <f t="shared" ca="1" si="169"/>
        <v>0</v>
      </c>
      <c r="L280" s="16">
        <f t="shared" ca="1" si="170"/>
        <v>755.7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31.2</v>
      </c>
      <c r="Y280" s="15">
        <f t="shared" ca="1" si="183"/>
        <v>0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6.2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>
        <f t="shared" ca="1" si="198"/>
        <v>90</v>
      </c>
      <c r="AO280" s="15">
        <f t="shared" ca="1" si="199"/>
        <v>0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19191007</v>
      </c>
      <c r="C281" s="72">
        <f t="shared" si="161"/>
        <v>600</v>
      </c>
      <c r="D281" s="16">
        <f t="shared" ca="1" si="162"/>
        <v>30.6</v>
      </c>
      <c r="E281" s="15">
        <f t="shared" ca="1" si="163"/>
        <v>0</v>
      </c>
      <c r="F281" s="73">
        <f t="shared" ca="1" si="164"/>
        <v>759.28</v>
      </c>
      <c r="G281" s="15">
        <f t="shared" ca="1" si="165"/>
        <v>0</v>
      </c>
      <c r="H281" s="73">
        <f t="shared" ca="1" si="166"/>
        <v>6.91</v>
      </c>
      <c r="I281" s="15">
        <f t="shared" ca="1" si="167"/>
        <v>0</v>
      </c>
      <c r="J281" s="73">
        <f t="shared" ca="1" si="168"/>
        <v>752.37</v>
      </c>
      <c r="K281" s="15">
        <f t="shared" ca="1" si="169"/>
        <v>0</v>
      </c>
      <c r="L281" s="16">
        <f t="shared" ca="1" si="170"/>
        <v>754.4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31.3</v>
      </c>
      <c r="Y281" s="15">
        <f t="shared" ca="1" si="183"/>
        <v>0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45</v>
      </c>
      <c r="AC281" s="15">
        <f t="shared" ca="1" si="187"/>
        <v>0</v>
      </c>
      <c r="AD281" s="76">
        <f t="shared" ca="1" si="188"/>
        <v>5.0999999999999996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>
        <f t="shared" ca="1" si="198"/>
        <v>90</v>
      </c>
      <c r="AO281" s="15">
        <f t="shared" ca="1" si="199"/>
        <v>0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19191008</v>
      </c>
      <c r="C282" s="72">
        <f t="shared" si="161"/>
        <v>600</v>
      </c>
      <c r="D282" s="16">
        <f t="shared" ca="1" si="162"/>
        <v>30</v>
      </c>
      <c r="E282" s="15">
        <f t="shared" ca="1" si="163"/>
        <v>0</v>
      </c>
      <c r="F282" s="73">
        <f t="shared" ca="1" si="164"/>
        <v>760.53</v>
      </c>
      <c r="G282" s="15">
        <f t="shared" ca="1" si="165"/>
        <v>0</v>
      </c>
      <c r="H282" s="73">
        <f t="shared" ca="1" si="166"/>
        <v>6.86</v>
      </c>
      <c r="I282" s="15">
        <f t="shared" ca="1" si="167"/>
        <v>0</v>
      </c>
      <c r="J282" s="73">
        <f t="shared" ca="1" si="168"/>
        <v>753.67</v>
      </c>
      <c r="K282" s="15">
        <f t="shared" ca="1" si="169"/>
        <v>0</v>
      </c>
      <c r="L282" s="16">
        <f t="shared" ca="1" si="170"/>
        <v>755.7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31.9</v>
      </c>
      <c r="Y282" s="15">
        <f t="shared" ca="1" si="183"/>
        <v>0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135</v>
      </c>
      <c r="AC282" s="15">
        <f t="shared" ca="1" si="187"/>
        <v>0</v>
      </c>
      <c r="AD282" s="76">
        <f t="shared" ca="1" si="188"/>
        <v>6.2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>
        <f t="shared" ca="1" si="198"/>
        <v>90</v>
      </c>
      <c r="AO282" s="15">
        <f t="shared" ca="1" si="199"/>
        <v>0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19191009</v>
      </c>
      <c r="C283" s="72">
        <f t="shared" si="161"/>
        <v>600</v>
      </c>
      <c r="D283" s="16">
        <f t="shared" ca="1" si="162"/>
        <v>31.1</v>
      </c>
      <c r="E283" s="15">
        <f t="shared" ca="1" si="163"/>
        <v>0</v>
      </c>
      <c r="F283" s="73">
        <f t="shared" ca="1" si="164"/>
        <v>760.68</v>
      </c>
      <c r="G283" s="15">
        <f t="shared" ca="1" si="165"/>
        <v>0</v>
      </c>
      <c r="H283" s="73">
        <f t="shared" ca="1" si="166"/>
        <v>6.99</v>
      </c>
      <c r="I283" s="15">
        <f t="shared" ca="1" si="167"/>
        <v>0</v>
      </c>
      <c r="J283" s="73">
        <f t="shared" ca="1" si="168"/>
        <v>753.69</v>
      </c>
      <c r="K283" s="15">
        <f t="shared" ca="1" si="169"/>
        <v>0</v>
      </c>
      <c r="L283" s="16">
        <f t="shared" ca="1" si="170"/>
        <v>755.7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31.7</v>
      </c>
      <c r="Y283" s="15">
        <f t="shared" ca="1" si="183"/>
        <v>0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6.2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>
        <f t="shared" ca="1" si="198"/>
        <v>90</v>
      </c>
      <c r="AO283" s="15">
        <f t="shared" ca="1" si="199"/>
        <v>0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19191010</v>
      </c>
      <c r="C284" s="72">
        <f t="shared" si="161"/>
        <v>600</v>
      </c>
      <c r="D284" s="16">
        <f t="shared" ca="1" si="162"/>
        <v>30.8</v>
      </c>
      <c r="E284" s="15">
        <f t="shared" ca="1" si="163"/>
        <v>0</v>
      </c>
      <c r="F284" s="73">
        <f t="shared" ca="1" si="164"/>
        <v>761.34</v>
      </c>
      <c r="G284" s="15">
        <f t="shared" ca="1" si="165"/>
        <v>0</v>
      </c>
      <c r="H284" s="73">
        <f t="shared" ca="1" si="166"/>
        <v>6.96</v>
      </c>
      <c r="I284" s="15">
        <f t="shared" ca="1" si="167"/>
        <v>0</v>
      </c>
      <c r="J284" s="73">
        <f t="shared" ca="1" si="168"/>
        <v>754.38</v>
      </c>
      <c r="K284" s="15">
        <f t="shared" ca="1" si="169"/>
        <v>0</v>
      </c>
      <c r="L284" s="16">
        <f t="shared" ca="1" si="170"/>
        <v>756.4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32.200000000000003</v>
      </c>
      <c r="Y284" s="15">
        <f t="shared" ca="1" si="183"/>
        <v>0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45</v>
      </c>
      <c r="AC284" s="15">
        <f t="shared" ca="1" si="187"/>
        <v>0</v>
      </c>
      <c r="AD284" s="76">
        <f t="shared" ca="1" si="188"/>
        <v>4.0999999999999996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>
        <f t="shared" ca="1" si="198"/>
        <v>90</v>
      </c>
      <c r="AO284" s="15">
        <f t="shared" ca="1" si="199"/>
        <v>0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19191011</v>
      </c>
      <c r="C285" s="72">
        <f t="shared" si="161"/>
        <v>600</v>
      </c>
      <c r="D285" s="16">
        <f t="shared" ca="1" si="162"/>
        <v>30</v>
      </c>
      <c r="E285" s="15">
        <f t="shared" ca="1" si="163"/>
        <v>0</v>
      </c>
      <c r="F285" s="73">
        <f t="shared" ca="1" si="164"/>
        <v>760.3</v>
      </c>
      <c r="G285" s="15">
        <f t="shared" ca="1" si="165"/>
        <v>0</v>
      </c>
      <c r="H285" s="73">
        <f t="shared" ca="1" si="166"/>
        <v>6.86</v>
      </c>
      <c r="I285" s="15">
        <f t="shared" ca="1" si="167"/>
        <v>0</v>
      </c>
      <c r="J285" s="73">
        <f t="shared" ca="1" si="168"/>
        <v>753.44</v>
      </c>
      <c r="K285" s="15">
        <f t="shared" ca="1" si="169"/>
        <v>0</v>
      </c>
      <c r="L285" s="16">
        <f t="shared" ca="1" si="170"/>
        <v>755.4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31.4</v>
      </c>
      <c r="Y285" s="15">
        <f t="shared" ca="1" si="183"/>
        <v>0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45</v>
      </c>
      <c r="AC285" s="15">
        <f t="shared" ca="1" si="187"/>
        <v>0</v>
      </c>
      <c r="AD285" s="76">
        <f t="shared" ca="1" si="188"/>
        <v>3.1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>
        <f t="shared" ca="1" si="198"/>
        <v>90</v>
      </c>
      <c r="AO285" s="15">
        <f t="shared" ca="1" si="199"/>
        <v>0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19191012</v>
      </c>
      <c r="C286" s="72">
        <f t="shared" si="161"/>
        <v>600</v>
      </c>
      <c r="D286" s="16">
        <f t="shared" ca="1" si="162"/>
        <v>30.8</v>
      </c>
      <c r="E286" s="15">
        <f t="shared" ca="1" si="163"/>
        <v>0</v>
      </c>
      <c r="F286" s="73">
        <f t="shared" ca="1" si="164"/>
        <v>760.22</v>
      </c>
      <c r="G286" s="15">
        <f t="shared" ca="1" si="165"/>
        <v>0</v>
      </c>
      <c r="H286" s="73">
        <f t="shared" ca="1" si="166"/>
        <v>6.96</v>
      </c>
      <c r="I286" s="15">
        <f t="shared" ca="1" si="167"/>
        <v>0</v>
      </c>
      <c r="J286" s="73">
        <f t="shared" ca="1" si="168"/>
        <v>753.26</v>
      </c>
      <c r="K286" s="15">
        <f t="shared" ca="1" si="169"/>
        <v>0</v>
      </c>
      <c r="L286" s="16">
        <f t="shared" ca="1" si="170"/>
        <v>755.4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</v>
      </c>
      <c r="Y286" s="15">
        <f t="shared" ca="1" si="183"/>
        <v>0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45</v>
      </c>
      <c r="AC286" s="15">
        <f t="shared" ca="1" si="187"/>
        <v>0</v>
      </c>
      <c r="AD286" s="76">
        <f t="shared" ca="1" si="188"/>
        <v>2.6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>
        <f t="shared" ca="1" si="198"/>
        <v>45</v>
      </c>
      <c r="AO286" s="15">
        <f t="shared" ca="1" si="199"/>
        <v>0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19191013</v>
      </c>
      <c r="C287" s="72">
        <f t="shared" si="161"/>
        <v>600</v>
      </c>
      <c r="D287" s="16">
        <f t="shared" ca="1" si="162"/>
        <v>30.3</v>
      </c>
      <c r="E287" s="15">
        <f t="shared" ca="1" si="163"/>
        <v>0</v>
      </c>
      <c r="F287" s="73">
        <f t="shared" ca="1" si="164"/>
        <v>759.92</v>
      </c>
      <c r="G287" s="15">
        <f t="shared" ca="1" si="165"/>
        <v>0</v>
      </c>
      <c r="H287" s="73">
        <f t="shared" ca="1" si="166"/>
        <v>6.96</v>
      </c>
      <c r="I287" s="15">
        <f t="shared" ca="1" si="167"/>
        <v>0</v>
      </c>
      <c r="J287" s="73">
        <f t="shared" ca="1" si="168"/>
        <v>753.03</v>
      </c>
      <c r="K287" s="15">
        <f t="shared" ca="1" si="169"/>
        <v>0</v>
      </c>
      <c r="L287" s="16">
        <f t="shared" ca="1" si="170"/>
        <v>755.1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30.7</v>
      </c>
      <c r="Y287" s="15">
        <f t="shared" ca="1" si="183"/>
        <v>0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45</v>
      </c>
      <c r="AC287" s="15">
        <f t="shared" ca="1" si="187"/>
        <v>0</v>
      </c>
      <c r="AD287" s="76">
        <f t="shared" ca="1" si="188"/>
        <v>4.5999999999999996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>
        <f t="shared" ca="1" si="198"/>
        <v>90</v>
      </c>
      <c r="AO287" s="15">
        <f t="shared" ca="1" si="199"/>
        <v>0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19191014</v>
      </c>
      <c r="C288" s="72">
        <f t="shared" si="161"/>
        <v>600</v>
      </c>
      <c r="D288" s="16">
        <f t="shared" ca="1" si="162"/>
        <v>30.3</v>
      </c>
      <c r="E288" s="15">
        <f t="shared" ca="1" si="163"/>
        <v>0</v>
      </c>
      <c r="F288" s="73">
        <f t="shared" ca="1" si="164"/>
        <v>760.02</v>
      </c>
      <c r="G288" s="15">
        <f t="shared" ca="1" si="165"/>
        <v>0</v>
      </c>
      <c r="H288" s="73">
        <f t="shared" ca="1" si="166"/>
        <v>6.88</v>
      </c>
      <c r="I288" s="15">
        <f t="shared" ca="1" si="167"/>
        <v>0</v>
      </c>
      <c r="J288" s="73">
        <f t="shared" ca="1" si="168"/>
        <v>753.14</v>
      </c>
      <c r="K288" s="15">
        <f t="shared" ca="1" si="169"/>
        <v>0</v>
      </c>
      <c r="L288" s="16">
        <f t="shared" ca="1" si="170"/>
        <v>755.1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30.7</v>
      </c>
      <c r="Y288" s="15">
        <f t="shared" ca="1" si="183"/>
        <v>0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5.0999999999999996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>
        <f t="shared" ca="1" si="198"/>
        <v>90</v>
      </c>
      <c r="AO288" s="15">
        <f t="shared" ca="1" si="199"/>
        <v>0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19191015</v>
      </c>
      <c r="C289" s="72">
        <f t="shared" si="161"/>
        <v>600</v>
      </c>
      <c r="D289" s="16">
        <f t="shared" ca="1" si="162"/>
        <v>30.3</v>
      </c>
      <c r="E289" s="15">
        <f t="shared" ca="1" si="163"/>
        <v>0</v>
      </c>
      <c r="F289" s="73">
        <f t="shared" ca="1" si="164"/>
        <v>761.85</v>
      </c>
      <c r="G289" s="15">
        <f t="shared" ca="1" si="165"/>
        <v>0</v>
      </c>
      <c r="H289" s="73">
        <f t="shared" ca="1" si="166"/>
        <v>6.88</v>
      </c>
      <c r="I289" s="15">
        <f t="shared" ca="1" si="167"/>
        <v>0</v>
      </c>
      <c r="J289" s="73">
        <f t="shared" ca="1" si="168"/>
        <v>754.96</v>
      </c>
      <c r="K289" s="15">
        <f t="shared" ca="1" si="169"/>
        <v>0</v>
      </c>
      <c r="L289" s="16">
        <f t="shared" ca="1" si="170"/>
        <v>756.9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30.8</v>
      </c>
      <c r="Y289" s="15">
        <f t="shared" ca="1" si="183"/>
        <v>0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5.0999999999999996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>
        <f t="shared" ca="1" si="198"/>
        <v>90</v>
      </c>
      <c r="AO289" s="15">
        <f t="shared" ca="1" si="199"/>
        <v>0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19191016</v>
      </c>
      <c r="C290" s="72">
        <f t="shared" si="161"/>
        <v>600</v>
      </c>
      <c r="D290" s="16">
        <f t="shared" ca="1" si="162"/>
        <v>31.1</v>
      </c>
      <c r="E290" s="15">
        <f t="shared" ca="1" si="163"/>
        <v>0</v>
      </c>
      <c r="F290" s="73">
        <f t="shared" ca="1" si="164"/>
        <v>761.39</v>
      </c>
      <c r="G290" s="15">
        <f t="shared" ca="1" si="165"/>
        <v>0</v>
      </c>
      <c r="H290" s="73">
        <f t="shared" ca="1" si="166"/>
        <v>6.99</v>
      </c>
      <c r="I290" s="15">
        <f t="shared" ca="1" si="167"/>
        <v>0</v>
      </c>
      <c r="J290" s="73">
        <f t="shared" ca="1" si="168"/>
        <v>754.41</v>
      </c>
      <c r="K290" s="15">
        <f t="shared" ca="1" si="169"/>
        <v>0</v>
      </c>
      <c r="L290" s="16">
        <f t="shared" ca="1" si="170"/>
        <v>756.4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31.4</v>
      </c>
      <c r="Y290" s="15">
        <f t="shared" ca="1" si="183"/>
        <v>0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6.2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>
        <f t="shared" ca="1" si="198"/>
        <v>90</v>
      </c>
      <c r="AO290" s="15">
        <f t="shared" ca="1" si="199"/>
        <v>0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19191017</v>
      </c>
      <c r="C291" s="72">
        <f t="shared" si="161"/>
        <v>600</v>
      </c>
      <c r="D291" s="16">
        <f t="shared" ca="1" si="162"/>
        <v>31.1</v>
      </c>
      <c r="E291" s="15">
        <f t="shared" ca="1" si="163"/>
        <v>0</v>
      </c>
      <c r="F291" s="73">
        <f t="shared" ca="1" si="164"/>
        <v>760.68</v>
      </c>
      <c r="G291" s="15">
        <f t="shared" ca="1" si="165"/>
        <v>0</v>
      </c>
      <c r="H291" s="73">
        <f t="shared" ca="1" si="166"/>
        <v>6.99</v>
      </c>
      <c r="I291" s="15">
        <f t="shared" ca="1" si="167"/>
        <v>0</v>
      </c>
      <c r="J291" s="73">
        <f t="shared" ca="1" si="168"/>
        <v>753.69</v>
      </c>
      <c r="K291" s="15">
        <f t="shared" ca="1" si="169"/>
        <v>0</v>
      </c>
      <c r="L291" s="16">
        <f t="shared" ca="1" si="170"/>
        <v>755.7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31.7</v>
      </c>
      <c r="Y291" s="15">
        <f t="shared" ca="1" si="183"/>
        <v>0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6.2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>
        <f t="shared" ca="1" si="198"/>
        <v>90</v>
      </c>
      <c r="AO291" s="15">
        <f t="shared" ca="1" si="199"/>
        <v>0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19191018</v>
      </c>
      <c r="C292" s="72">
        <f t="shared" si="161"/>
        <v>600</v>
      </c>
      <c r="D292" s="16">
        <f t="shared" ca="1" si="162"/>
        <v>30.8</v>
      </c>
      <c r="E292" s="15">
        <f t="shared" ca="1" si="163"/>
        <v>0</v>
      </c>
      <c r="F292" s="73">
        <f t="shared" ca="1" si="164"/>
        <v>762</v>
      </c>
      <c r="G292" s="15">
        <f t="shared" ca="1" si="165"/>
        <v>0</v>
      </c>
      <c r="H292" s="73">
        <f t="shared" ca="1" si="166"/>
        <v>7.01</v>
      </c>
      <c r="I292" s="15">
        <f t="shared" ca="1" si="167"/>
        <v>0</v>
      </c>
      <c r="J292" s="73">
        <f t="shared" ca="1" si="168"/>
        <v>754.99</v>
      </c>
      <c r="K292" s="15">
        <f t="shared" ca="1" si="169"/>
        <v>0</v>
      </c>
      <c r="L292" s="16">
        <f t="shared" ca="1" si="170"/>
        <v>756.9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31.2</v>
      </c>
      <c r="Y292" s="15">
        <f t="shared" ca="1" si="183"/>
        <v>0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45</v>
      </c>
      <c r="AC292" s="15">
        <f t="shared" ca="1" si="187"/>
        <v>0</v>
      </c>
      <c r="AD292" s="76">
        <f t="shared" ca="1" si="188"/>
        <v>4.5999999999999996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>
        <f t="shared" ca="1" si="198"/>
        <v>90</v>
      </c>
      <c r="AO292" s="15">
        <f t="shared" ca="1" si="199"/>
        <v>0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19191019</v>
      </c>
      <c r="C293" s="72">
        <f t="shared" si="161"/>
        <v>600</v>
      </c>
      <c r="D293" s="16">
        <f t="shared" ca="1" si="162"/>
        <v>30.3</v>
      </c>
      <c r="E293" s="15">
        <f t="shared" ca="1" si="163"/>
        <v>0</v>
      </c>
      <c r="F293" s="73">
        <f t="shared" ca="1" si="164"/>
        <v>761.92</v>
      </c>
      <c r="G293" s="15">
        <f t="shared" ca="1" si="165"/>
        <v>0</v>
      </c>
      <c r="H293" s="73">
        <f t="shared" ca="1" si="166"/>
        <v>6.88</v>
      </c>
      <c r="I293" s="15">
        <f t="shared" ca="1" si="167"/>
        <v>0</v>
      </c>
      <c r="J293" s="73">
        <f t="shared" ca="1" si="168"/>
        <v>755.04</v>
      </c>
      <c r="K293" s="15">
        <f t="shared" ca="1" si="169"/>
        <v>0</v>
      </c>
      <c r="L293" s="16">
        <f t="shared" ca="1" si="170"/>
        <v>757.2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31.6</v>
      </c>
      <c r="Y293" s="15">
        <f t="shared" ca="1" si="183"/>
        <v>0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6.2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>
        <f t="shared" ca="1" si="198"/>
        <v>90</v>
      </c>
      <c r="AO293" s="15">
        <f t="shared" ca="1" si="199"/>
        <v>0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19191020</v>
      </c>
      <c r="C294" s="72">
        <f t="shared" si="161"/>
        <v>600</v>
      </c>
      <c r="D294" s="16">
        <f t="shared" ca="1" si="162"/>
        <v>30.3</v>
      </c>
      <c r="E294" s="15">
        <f t="shared" ca="1" si="163"/>
        <v>0</v>
      </c>
      <c r="F294" s="73">
        <f t="shared" ca="1" si="164"/>
        <v>761.57</v>
      </c>
      <c r="G294" s="15">
        <f t="shared" ca="1" si="165"/>
        <v>0</v>
      </c>
      <c r="H294" s="73">
        <f t="shared" ca="1" si="166"/>
        <v>6.88</v>
      </c>
      <c r="I294" s="15">
        <f t="shared" ca="1" si="167"/>
        <v>0</v>
      </c>
      <c r="J294" s="73">
        <f t="shared" ca="1" si="168"/>
        <v>754.68</v>
      </c>
      <c r="K294" s="15">
        <f t="shared" ca="1" si="169"/>
        <v>0</v>
      </c>
      <c r="L294" s="16">
        <f t="shared" ca="1" si="170"/>
        <v>756.7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31.6</v>
      </c>
      <c r="Y294" s="15">
        <f t="shared" ca="1" si="183"/>
        <v>0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5.0999999999999996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>
        <f t="shared" ca="1" si="198"/>
        <v>90</v>
      </c>
      <c r="AO294" s="15">
        <f t="shared" ca="1" si="199"/>
        <v>0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19191021</v>
      </c>
      <c r="C295" s="72">
        <f t="shared" si="161"/>
        <v>600</v>
      </c>
      <c r="D295" s="16">
        <f t="shared" ca="1" si="162"/>
        <v>30.8</v>
      </c>
      <c r="E295" s="15">
        <f t="shared" ca="1" si="163"/>
        <v>0</v>
      </c>
      <c r="F295" s="73">
        <f t="shared" ca="1" si="164"/>
        <v>761.39</v>
      </c>
      <c r="G295" s="15">
        <f t="shared" ca="1" si="165"/>
        <v>0</v>
      </c>
      <c r="H295" s="73">
        <f t="shared" ca="1" si="166"/>
        <v>6.96</v>
      </c>
      <c r="I295" s="15">
        <f t="shared" ca="1" si="167"/>
        <v>0</v>
      </c>
      <c r="J295" s="73">
        <f t="shared" ca="1" si="168"/>
        <v>754.43</v>
      </c>
      <c r="K295" s="15">
        <f t="shared" ca="1" si="169"/>
        <v>0</v>
      </c>
      <c r="L295" s="16">
        <f t="shared" ca="1" si="170"/>
        <v>756.4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31.8</v>
      </c>
      <c r="Y295" s="15">
        <f t="shared" ca="1" si="183"/>
        <v>0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45</v>
      </c>
      <c r="AC295" s="15">
        <f t="shared" ca="1" si="187"/>
        <v>0</v>
      </c>
      <c r="AD295" s="76">
        <f t="shared" ca="1" si="188"/>
        <v>6.2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>
        <f t="shared" ca="1" si="198"/>
        <v>90</v>
      </c>
      <c r="AO295" s="15">
        <f t="shared" ca="1" si="199"/>
        <v>0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19191022</v>
      </c>
      <c r="C296" s="72">
        <f t="shared" si="161"/>
        <v>600</v>
      </c>
      <c r="D296" s="16">
        <f t="shared" ca="1" si="162"/>
        <v>31.1</v>
      </c>
      <c r="E296" s="15">
        <f t="shared" ca="1" si="163"/>
        <v>0</v>
      </c>
      <c r="F296" s="73">
        <f t="shared" ca="1" si="164"/>
        <v>763.02</v>
      </c>
      <c r="G296" s="15">
        <f t="shared" ca="1" si="165"/>
        <v>0</v>
      </c>
      <c r="H296" s="73">
        <f t="shared" ca="1" si="166"/>
        <v>7.04</v>
      </c>
      <c r="I296" s="15">
        <f t="shared" ca="1" si="167"/>
        <v>0</v>
      </c>
      <c r="J296" s="73">
        <f t="shared" ca="1" si="168"/>
        <v>755.98</v>
      </c>
      <c r="K296" s="15">
        <f t="shared" ca="1" si="169"/>
        <v>0</v>
      </c>
      <c r="L296" s="16">
        <f t="shared" ca="1" si="170"/>
        <v>757.9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31.7</v>
      </c>
      <c r="Y296" s="15">
        <f t="shared" ca="1" si="183"/>
        <v>0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5.0999999999999996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>
        <f t="shared" ca="1" si="198"/>
        <v>90</v>
      </c>
      <c r="AO296" s="15">
        <f t="shared" ca="1" si="199"/>
        <v>0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19191023</v>
      </c>
      <c r="C297" s="72">
        <f t="shared" si="161"/>
        <v>600</v>
      </c>
      <c r="D297" s="16">
        <f t="shared" ca="1" si="162"/>
        <v>31.1</v>
      </c>
      <c r="E297" s="15">
        <f t="shared" ca="1" si="163"/>
        <v>0</v>
      </c>
      <c r="F297" s="73">
        <f t="shared" ca="1" si="164"/>
        <v>762.76</v>
      </c>
      <c r="G297" s="15">
        <f t="shared" ca="1" si="165"/>
        <v>0</v>
      </c>
      <c r="H297" s="73">
        <f t="shared" ca="1" si="166"/>
        <v>7.04</v>
      </c>
      <c r="I297" s="15">
        <f t="shared" ca="1" si="167"/>
        <v>0</v>
      </c>
      <c r="J297" s="73">
        <f t="shared" ca="1" si="168"/>
        <v>755.73</v>
      </c>
      <c r="K297" s="15">
        <f t="shared" ca="1" si="169"/>
        <v>0</v>
      </c>
      <c r="L297" s="16">
        <f t="shared" ca="1" si="170"/>
        <v>757.7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30.9</v>
      </c>
      <c r="Y297" s="15">
        <f t="shared" ca="1" si="183"/>
        <v>0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45</v>
      </c>
      <c r="AC297" s="15">
        <f t="shared" ca="1" si="187"/>
        <v>0</v>
      </c>
      <c r="AD297" s="76">
        <f t="shared" ca="1" si="188"/>
        <v>5.0999999999999996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>
        <f t="shared" ca="1" si="198"/>
        <v>90</v>
      </c>
      <c r="AO297" s="15">
        <f t="shared" ca="1" si="199"/>
        <v>0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19191024</v>
      </c>
      <c r="C298" s="72">
        <f t="shared" si="161"/>
        <v>600</v>
      </c>
      <c r="D298" s="16">
        <f t="shared" ca="1" si="162"/>
        <v>30.6</v>
      </c>
      <c r="E298" s="15">
        <f t="shared" ca="1" si="163"/>
        <v>0</v>
      </c>
      <c r="F298" s="73">
        <f t="shared" ca="1" si="164"/>
        <v>760.88</v>
      </c>
      <c r="G298" s="15">
        <f t="shared" ca="1" si="165"/>
        <v>0</v>
      </c>
      <c r="H298" s="73">
        <f t="shared" ca="1" si="166"/>
        <v>6.91</v>
      </c>
      <c r="I298" s="15">
        <f t="shared" ca="1" si="167"/>
        <v>0</v>
      </c>
      <c r="J298" s="73">
        <f t="shared" ca="1" si="168"/>
        <v>753.97</v>
      </c>
      <c r="K298" s="15">
        <f t="shared" ca="1" si="169"/>
        <v>0</v>
      </c>
      <c r="L298" s="16">
        <f t="shared" ca="1" si="170"/>
        <v>755.9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31.3</v>
      </c>
      <c r="Y298" s="15">
        <f t="shared" ca="1" si="183"/>
        <v>0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6.2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>
        <f t="shared" ca="1" si="198"/>
        <v>90</v>
      </c>
      <c r="AO298" s="15">
        <f t="shared" ca="1" si="199"/>
        <v>0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19191025</v>
      </c>
      <c r="C299" s="72">
        <f t="shared" si="161"/>
        <v>600</v>
      </c>
      <c r="D299" s="16">
        <f t="shared" ca="1" si="162"/>
        <v>30</v>
      </c>
      <c r="E299" s="15">
        <f t="shared" ca="1" si="163"/>
        <v>0</v>
      </c>
      <c r="F299" s="73">
        <f t="shared" ca="1" si="164"/>
        <v>761.44</v>
      </c>
      <c r="G299" s="15">
        <f t="shared" ca="1" si="165"/>
        <v>0</v>
      </c>
      <c r="H299" s="73">
        <f t="shared" ca="1" si="166"/>
        <v>6.86</v>
      </c>
      <c r="I299" s="15">
        <f t="shared" ca="1" si="167"/>
        <v>0</v>
      </c>
      <c r="J299" s="73">
        <f t="shared" ca="1" si="168"/>
        <v>754.58</v>
      </c>
      <c r="K299" s="15">
        <f t="shared" ca="1" si="169"/>
        <v>0</v>
      </c>
      <c r="L299" s="16">
        <f t="shared" ca="1" si="170"/>
        <v>756.7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30.1</v>
      </c>
      <c r="Y299" s="15">
        <f t="shared" ca="1" si="183"/>
        <v>0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4.0999999999999996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>
        <f t="shared" ca="1" si="198"/>
        <v>90</v>
      </c>
      <c r="AO299" s="15">
        <f t="shared" ca="1" si="199"/>
        <v>0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19191026</v>
      </c>
      <c r="C300" s="72">
        <f t="shared" si="161"/>
        <v>600</v>
      </c>
      <c r="D300" s="16">
        <f t="shared" ca="1" si="162"/>
        <v>30</v>
      </c>
      <c r="E300" s="15">
        <f t="shared" ca="1" si="163"/>
        <v>0</v>
      </c>
      <c r="F300" s="73">
        <f t="shared" ca="1" si="164"/>
        <v>761.34</v>
      </c>
      <c r="G300" s="15">
        <f t="shared" ca="1" si="165"/>
        <v>0</v>
      </c>
      <c r="H300" s="73">
        <f t="shared" ca="1" si="166"/>
        <v>6.86</v>
      </c>
      <c r="I300" s="15">
        <f t="shared" ca="1" si="167"/>
        <v>0</v>
      </c>
      <c r="J300" s="73">
        <f t="shared" ca="1" si="168"/>
        <v>754.99</v>
      </c>
      <c r="K300" s="15">
        <f t="shared" ca="1" si="169"/>
        <v>0</v>
      </c>
      <c r="L300" s="16">
        <f t="shared" ca="1" si="170"/>
        <v>756.9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30.1</v>
      </c>
      <c r="Y300" s="15">
        <f t="shared" ca="1" si="183"/>
        <v>0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2.6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>
        <f t="shared" ca="1" si="198"/>
        <v>90</v>
      </c>
      <c r="AO300" s="15">
        <f t="shared" ca="1" si="199"/>
        <v>0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19191027</v>
      </c>
      <c r="C301" s="72">
        <f t="shared" si="161"/>
        <v>600</v>
      </c>
      <c r="D301" s="16">
        <f t="shared" ca="1" si="162"/>
        <v>30</v>
      </c>
      <c r="E301" s="15">
        <f t="shared" ca="1" si="163"/>
        <v>0</v>
      </c>
      <c r="F301" s="73">
        <f t="shared" ca="1" si="164"/>
        <v>761.14</v>
      </c>
      <c r="G301" s="15">
        <f t="shared" ca="1" si="165"/>
        <v>0</v>
      </c>
      <c r="H301" s="73">
        <f t="shared" ca="1" si="166"/>
        <v>6.86</v>
      </c>
      <c r="I301" s="15">
        <f t="shared" ca="1" si="167"/>
        <v>0</v>
      </c>
      <c r="J301" s="73">
        <f t="shared" ca="1" si="168"/>
        <v>754.28</v>
      </c>
      <c r="K301" s="15">
        <f t="shared" ca="1" si="169"/>
        <v>0</v>
      </c>
      <c r="L301" s="16">
        <f t="shared" ca="1" si="170"/>
        <v>756.4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31.3</v>
      </c>
      <c r="Y301" s="15">
        <f t="shared" ca="1" si="183"/>
        <v>0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4.0999999999999996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>
        <f t="shared" ca="1" si="198"/>
        <v>90</v>
      </c>
      <c r="AO301" s="15">
        <f t="shared" ca="1" si="199"/>
        <v>0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19191028</v>
      </c>
      <c r="C302" s="72">
        <f t="shared" si="161"/>
        <v>600</v>
      </c>
      <c r="D302" s="16">
        <f t="shared" ca="1" si="162"/>
        <v>30</v>
      </c>
      <c r="E302" s="15">
        <f t="shared" ca="1" si="163"/>
        <v>0</v>
      </c>
      <c r="F302" s="73">
        <f t="shared" ca="1" si="164"/>
        <v>760.78</v>
      </c>
      <c r="G302" s="15">
        <f t="shared" ca="1" si="165"/>
        <v>0</v>
      </c>
      <c r="H302" s="73">
        <f t="shared" ca="1" si="166"/>
        <v>6.86</v>
      </c>
      <c r="I302" s="15">
        <f t="shared" ca="1" si="167"/>
        <v>0</v>
      </c>
      <c r="J302" s="73">
        <f t="shared" ca="1" si="168"/>
        <v>753.92</v>
      </c>
      <c r="K302" s="15">
        <f t="shared" ca="1" si="169"/>
        <v>0</v>
      </c>
      <c r="L302" s="16">
        <f t="shared" ca="1" si="170"/>
        <v>755.9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31.4</v>
      </c>
      <c r="Y302" s="15">
        <f t="shared" ca="1" si="183"/>
        <v>0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4.5999999999999996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>
        <f t="shared" ca="1" si="198"/>
        <v>90</v>
      </c>
      <c r="AO302" s="15">
        <f t="shared" ca="1" si="199"/>
        <v>0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19191029</v>
      </c>
      <c r="C303" s="72">
        <f t="shared" si="161"/>
        <v>600</v>
      </c>
      <c r="D303" s="16">
        <f t="shared" ca="1" si="162"/>
        <v>30.6</v>
      </c>
      <c r="E303" s="15">
        <f t="shared" ca="1" si="163"/>
        <v>0</v>
      </c>
      <c r="F303" s="73">
        <f t="shared" ca="1" si="164"/>
        <v>762.71</v>
      </c>
      <c r="G303" s="15">
        <f t="shared" ca="1" si="165"/>
        <v>0</v>
      </c>
      <c r="H303" s="73">
        <f t="shared" ca="1" si="166"/>
        <v>6.99</v>
      </c>
      <c r="I303" s="15">
        <f t="shared" ca="1" si="167"/>
        <v>0</v>
      </c>
      <c r="J303" s="73">
        <f t="shared" ca="1" si="168"/>
        <v>755.73</v>
      </c>
      <c r="K303" s="15">
        <f t="shared" ca="1" si="169"/>
        <v>0</v>
      </c>
      <c r="L303" s="16">
        <f t="shared" ca="1" si="170"/>
        <v>757.7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31.7</v>
      </c>
      <c r="Y303" s="15">
        <f t="shared" ca="1" si="183"/>
        <v>0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5.0999999999999996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>
        <f t="shared" ca="1" si="198"/>
        <v>90</v>
      </c>
      <c r="AO303" s="15">
        <f t="shared" ca="1" si="199"/>
        <v>0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19191030</v>
      </c>
      <c r="C304" s="72">
        <f t="shared" si="161"/>
        <v>600</v>
      </c>
      <c r="D304" s="16">
        <f t="shared" ca="1" si="162"/>
        <v>30</v>
      </c>
      <c r="E304" s="15">
        <f t="shared" ca="1" si="163"/>
        <v>0</v>
      </c>
      <c r="F304" s="73">
        <f t="shared" ca="1" si="164"/>
        <v>762.58</v>
      </c>
      <c r="G304" s="15">
        <f t="shared" ca="1" si="165"/>
        <v>0</v>
      </c>
      <c r="H304" s="73">
        <f t="shared" ca="1" si="166"/>
        <v>6.91</v>
      </c>
      <c r="I304" s="15">
        <f t="shared" ca="1" si="167"/>
        <v>0</v>
      </c>
      <c r="J304" s="73">
        <f t="shared" ca="1" si="168"/>
        <v>755.68</v>
      </c>
      <c r="K304" s="15">
        <f t="shared" ca="1" si="169"/>
        <v>0</v>
      </c>
      <c r="L304" s="16">
        <f t="shared" ca="1" si="170"/>
        <v>757.7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30.9</v>
      </c>
      <c r="Y304" s="15">
        <f t="shared" ca="1" si="183"/>
        <v>0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5.0999999999999996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>
        <f t="shared" ca="1" si="198"/>
        <v>90</v>
      </c>
      <c r="AO304" s="15">
        <f t="shared" ca="1" si="199"/>
        <v>0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19191031</v>
      </c>
      <c r="C305" s="72">
        <f t="shared" si="161"/>
        <v>600</v>
      </c>
      <c r="D305" s="16">
        <f t="shared" ca="1" si="162"/>
        <v>30</v>
      </c>
      <c r="E305" s="15">
        <f t="shared" ca="1" si="163"/>
        <v>0</v>
      </c>
      <c r="F305" s="73">
        <f t="shared" ca="1" si="164"/>
        <v>761.75</v>
      </c>
      <c r="G305" s="15">
        <f t="shared" ca="1" si="165"/>
        <v>0</v>
      </c>
      <c r="H305" s="73">
        <f t="shared" ca="1" si="166"/>
        <v>6.86</v>
      </c>
      <c r="I305" s="15">
        <f t="shared" ca="1" si="167"/>
        <v>0</v>
      </c>
      <c r="J305" s="73">
        <f t="shared" ca="1" si="168"/>
        <v>754.89</v>
      </c>
      <c r="K305" s="15">
        <f t="shared" ca="1" si="169"/>
        <v>0</v>
      </c>
      <c r="L305" s="16">
        <f t="shared" ca="1" si="170"/>
        <v>756.9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31.2</v>
      </c>
      <c r="Y305" s="15">
        <f t="shared" ca="1" si="183"/>
        <v>0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4.0999999999999996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>
        <f t="shared" ca="1" si="198"/>
        <v>90</v>
      </c>
      <c r="AO305" s="15">
        <f t="shared" ca="1" si="199"/>
        <v>0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19191101</v>
      </c>
      <c r="C306" s="72">
        <f t="shared" si="161"/>
        <v>600</v>
      </c>
      <c r="D306" s="16">
        <f t="shared" ca="1" si="162"/>
        <v>30</v>
      </c>
      <c r="E306" s="15">
        <f t="shared" ca="1" si="163"/>
        <v>0</v>
      </c>
      <c r="F306" s="73">
        <f t="shared" ca="1" si="164"/>
        <v>762.61</v>
      </c>
      <c r="G306" s="15">
        <f t="shared" ca="1" si="165"/>
        <v>0</v>
      </c>
      <c r="H306" s="73">
        <f t="shared" ca="1" si="166"/>
        <v>6.91</v>
      </c>
      <c r="I306" s="15">
        <f t="shared" ca="1" si="167"/>
        <v>0</v>
      </c>
      <c r="J306" s="73">
        <f t="shared" ca="1" si="168"/>
        <v>755.7</v>
      </c>
      <c r="K306" s="15">
        <f t="shared" ca="1" si="169"/>
        <v>0</v>
      </c>
      <c r="L306" s="16">
        <f t="shared" ca="1" si="170"/>
        <v>757.7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30.6</v>
      </c>
      <c r="Y306" s="15">
        <f t="shared" ca="1" si="183"/>
        <v>0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4.0999999999999996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>
        <f t="shared" ca="1" si="198"/>
        <v>90</v>
      </c>
      <c r="AO306" s="15">
        <f t="shared" ca="1" si="199"/>
        <v>0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19191102</v>
      </c>
      <c r="C307" s="72">
        <f t="shared" si="161"/>
        <v>600</v>
      </c>
      <c r="D307" s="16">
        <f t="shared" ca="1" si="162"/>
        <v>29.7</v>
      </c>
      <c r="E307" s="15">
        <f t="shared" ca="1" si="163"/>
        <v>0</v>
      </c>
      <c r="F307" s="73">
        <f t="shared" ca="1" si="164"/>
        <v>762.36</v>
      </c>
      <c r="G307" s="15">
        <f t="shared" ca="1" si="165"/>
        <v>0</v>
      </c>
      <c r="H307" s="73">
        <f t="shared" ca="1" si="166"/>
        <v>6.88</v>
      </c>
      <c r="I307" s="15">
        <f t="shared" ca="1" si="167"/>
        <v>0</v>
      </c>
      <c r="J307" s="73">
        <f t="shared" ca="1" si="168"/>
        <v>755.47</v>
      </c>
      <c r="K307" s="15">
        <f t="shared" ca="1" si="169"/>
        <v>0</v>
      </c>
      <c r="L307" s="16">
        <f t="shared" ca="1" si="170"/>
        <v>757.4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32.4</v>
      </c>
      <c r="Y307" s="15">
        <f t="shared" ca="1" si="183"/>
        <v>0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3.1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>
        <f t="shared" ca="1" si="198"/>
        <v>90</v>
      </c>
      <c r="AO307" s="15">
        <f t="shared" ca="1" si="199"/>
        <v>0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19191103</v>
      </c>
      <c r="C308" s="72">
        <f t="shared" si="161"/>
        <v>600</v>
      </c>
      <c r="D308" s="16">
        <f t="shared" ca="1" si="162"/>
        <v>29.4</v>
      </c>
      <c r="E308" s="15">
        <f t="shared" ca="1" si="163"/>
        <v>0</v>
      </c>
      <c r="F308" s="73">
        <f t="shared" ca="1" si="164"/>
        <v>762.56</v>
      </c>
      <c r="G308" s="15">
        <f t="shared" ca="1" si="165"/>
        <v>0</v>
      </c>
      <c r="H308" s="73">
        <f t="shared" ca="1" si="166"/>
        <v>6.86</v>
      </c>
      <c r="I308" s="15">
        <f t="shared" ca="1" si="167"/>
        <v>0</v>
      </c>
      <c r="J308" s="73">
        <f t="shared" ca="1" si="168"/>
        <v>755.7</v>
      </c>
      <c r="K308" s="15">
        <f t="shared" ca="1" si="169"/>
        <v>0</v>
      </c>
      <c r="L308" s="16">
        <f t="shared" ca="1" si="170"/>
        <v>757.7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30.9</v>
      </c>
      <c r="Y308" s="15">
        <f t="shared" ca="1" si="183"/>
        <v>0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4.0999999999999996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>
        <f t="shared" ca="1" si="198"/>
        <v>90</v>
      </c>
      <c r="AO308" s="15">
        <f t="shared" ca="1" si="199"/>
        <v>0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19191104</v>
      </c>
      <c r="C309" s="72">
        <f t="shared" si="161"/>
        <v>600</v>
      </c>
      <c r="D309" s="16">
        <f t="shared" ca="1" si="162"/>
        <v>30.6</v>
      </c>
      <c r="E309" s="15">
        <f t="shared" ca="1" si="163"/>
        <v>0</v>
      </c>
      <c r="F309" s="73">
        <f t="shared" ca="1" si="164"/>
        <v>762.56</v>
      </c>
      <c r="G309" s="15">
        <f t="shared" ca="1" si="165"/>
        <v>0</v>
      </c>
      <c r="H309" s="73">
        <f t="shared" ca="1" si="166"/>
        <v>6.99</v>
      </c>
      <c r="I309" s="15">
        <f t="shared" ca="1" si="167"/>
        <v>0</v>
      </c>
      <c r="J309" s="73">
        <f t="shared" ca="1" si="168"/>
        <v>755.57</v>
      </c>
      <c r="K309" s="15">
        <f t="shared" ca="1" si="169"/>
        <v>0</v>
      </c>
      <c r="L309" s="16">
        <f t="shared" ca="1" si="170"/>
        <v>757.7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30.8</v>
      </c>
      <c r="Y309" s="15">
        <f t="shared" ca="1" si="183"/>
        <v>0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45</v>
      </c>
      <c r="AC309" s="15">
        <f t="shared" ca="1" si="187"/>
        <v>0</v>
      </c>
      <c r="AD309" s="76">
        <f t="shared" ca="1" si="188"/>
        <v>6.2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>
        <f t="shared" ca="1" si="198"/>
        <v>90</v>
      </c>
      <c r="AO309" s="15">
        <f t="shared" ca="1" si="199"/>
        <v>0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19191105</v>
      </c>
      <c r="C310" s="72">
        <f t="shared" si="161"/>
        <v>600</v>
      </c>
      <c r="D310" s="16">
        <f t="shared" ca="1" si="162"/>
        <v>30.3</v>
      </c>
      <c r="E310" s="15">
        <f t="shared" ca="1" si="163"/>
        <v>0</v>
      </c>
      <c r="F310" s="73">
        <f t="shared" ca="1" si="164"/>
        <v>762.61</v>
      </c>
      <c r="G310" s="15">
        <f t="shared" ca="1" si="165"/>
        <v>0</v>
      </c>
      <c r="H310" s="73">
        <f t="shared" ca="1" si="166"/>
        <v>6.96</v>
      </c>
      <c r="I310" s="15">
        <f t="shared" ca="1" si="167"/>
        <v>0</v>
      </c>
      <c r="J310" s="73">
        <f t="shared" ca="1" si="168"/>
        <v>755.65</v>
      </c>
      <c r="K310" s="15">
        <f t="shared" ca="1" si="169"/>
        <v>0</v>
      </c>
      <c r="L310" s="16">
        <f t="shared" ca="1" si="170"/>
        <v>757.7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31.3</v>
      </c>
      <c r="Y310" s="15">
        <f t="shared" ca="1" si="183"/>
        <v>0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4.5999999999999996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>
        <f t="shared" ca="1" si="198"/>
        <v>90</v>
      </c>
      <c r="AO310" s="15">
        <f t="shared" ca="1" si="199"/>
        <v>0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19191106</v>
      </c>
      <c r="C311" s="72">
        <f t="shared" si="161"/>
        <v>600</v>
      </c>
      <c r="D311" s="16">
        <f t="shared" ca="1" si="162"/>
        <v>29.7</v>
      </c>
      <c r="E311" s="15">
        <f t="shared" ca="1" si="163"/>
        <v>0</v>
      </c>
      <c r="F311" s="73">
        <f t="shared" ca="1" si="164"/>
        <v>761.24</v>
      </c>
      <c r="G311" s="15">
        <f t="shared" ca="1" si="165"/>
        <v>0</v>
      </c>
      <c r="H311" s="73">
        <f t="shared" ca="1" si="166"/>
        <v>6.83</v>
      </c>
      <c r="I311" s="15">
        <f t="shared" ca="1" si="167"/>
        <v>0</v>
      </c>
      <c r="J311" s="73">
        <f t="shared" ca="1" si="168"/>
        <v>754.41</v>
      </c>
      <c r="K311" s="15">
        <f t="shared" ca="1" si="169"/>
        <v>0</v>
      </c>
      <c r="L311" s="16">
        <f t="shared" ca="1" si="170"/>
        <v>756.4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30.1</v>
      </c>
      <c r="Y311" s="15">
        <f t="shared" ca="1" si="183"/>
        <v>0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4.0999999999999996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>
        <f t="shared" ca="1" si="198"/>
        <v>90</v>
      </c>
      <c r="AO311" s="15">
        <f t="shared" ca="1" si="199"/>
        <v>0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19191107</v>
      </c>
      <c r="C312" s="72">
        <f t="shared" si="161"/>
        <v>600</v>
      </c>
      <c r="D312" s="16">
        <f t="shared" ca="1" si="162"/>
        <v>30</v>
      </c>
      <c r="E312" s="15">
        <f t="shared" ca="1" si="163"/>
        <v>0</v>
      </c>
      <c r="F312" s="73">
        <f t="shared" ca="1" si="164"/>
        <v>760.68</v>
      </c>
      <c r="G312" s="15">
        <f t="shared" ca="1" si="165"/>
        <v>0</v>
      </c>
      <c r="H312" s="73">
        <f t="shared" ca="1" si="166"/>
        <v>6.86</v>
      </c>
      <c r="I312" s="15">
        <f t="shared" ca="1" si="167"/>
        <v>0</v>
      </c>
      <c r="J312" s="73">
        <f t="shared" ca="1" si="168"/>
        <v>753.82</v>
      </c>
      <c r="K312" s="15">
        <f t="shared" ca="1" si="169"/>
        <v>0</v>
      </c>
      <c r="L312" s="16">
        <f t="shared" ca="1" si="170"/>
        <v>755.9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30.7</v>
      </c>
      <c r="Y312" s="15">
        <f t="shared" ca="1" si="183"/>
        <v>0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4.5999999999999996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>
        <f t="shared" ca="1" si="198"/>
        <v>90</v>
      </c>
      <c r="AO312" s="15">
        <f t="shared" ca="1" si="199"/>
        <v>0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19191108</v>
      </c>
      <c r="C313" s="72">
        <f t="shared" si="161"/>
        <v>600</v>
      </c>
      <c r="D313" s="16">
        <f t="shared" ca="1" si="162"/>
        <v>29.4</v>
      </c>
      <c r="E313" s="15">
        <f t="shared" ca="1" si="163"/>
        <v>0</v>
      </c>
      <c r="F313" s="73">
        <f t="shared" ca="1" si="164"/>
        <v>760.6</v>
      </c>
      <c r="G313" s="15">
        <f t="shared" ca="1" si="165"/>
        <v>0</v>
      </c>
      <c r="H313" s="73">
        <f t="shared" ca="1" si="166"/>
        <v>6.78</v>
      </c>
      <c r="I313" s="15">
        <f t="shared" ca="1" si="167"/>
        <v>0</v>
      </c>
      <c r="J313" s="73">
        <f t="shared" ca="1" si="168"/>
        <v>753.82</v>
      </c>
      <c r="K313" s="15">
        <f t="shared" ca="1" si="169"/>
        <v>0</v>
      </c>
      <c r="L313" s="16">
        <f t="shared" ca="1" si="170"/>
        <v>755.9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30.1</v>
      </c>
      <c r="Y313" s="15">
        <f t="shared" ca="1" si="183"/>
        <v>0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5.0999999999999996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>
        <f t="shared" ca="1" si="198"/>
        <v>90</v>
      </c>
      <c r="AO313" s="15">
        <f t="shared" ca="1" si="199"/>
        <v>0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19191109</v>
      </c>
      <c r="C314" s="72">
        <f t="shared" si="161"/>
        <v>600</v>
      </c>
      <c r="D314" s="16">
        <f t="shared" ca="1" si="162"/>
        <v>29.7</v>
      </c>
      <c r="E314" s="15">
        <f t="shared" ca="1" si="163"/>
        <v>0</v>
      </c>
      <c r="F314" s="73">
        <f t="shared" ca="1" si="164"/>
        <v>760.58</v>
      </c>
      <c r="G314" s="15">
        <f t="shared" ca="1" si="165"/>
        <v>0</v>
      </c>
      <c r="H314" s="73">
        <f t="shared" ca="1" si="166"/>
        <v>6.83</v>
      </c>
      <c r="I314" s="15">
        <f t="shared" ca="1" si="167"/>
        <v>0</v>
      </c>
      <c r="J314" s="73">
        <f t="shared" ca="1" si="168"/>
        <v>753.75</v>
      </c>
      <c r="K314" s="15">
        <f t="shared" ca="1" si="169"/>
        <v>0</v>
      </c>
      <c r="L314" s="16">
        <f t="shared" ca="1" si="170"/>
        <v>755.9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30.5</v>
      </c>
      <c r="Y314" s="15">
        <f t="shared" ca="1" si="183"/>
        <v>0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45</v>
      </c>
      <c r="AC314" s="15">
        <f t="shared" ca="1" si="187"/>
        <v>0</v>
      </c>
      <c r="AD314" s="76">
        <f t="shared" ca="1" si="188"/>
        <v>4.0999999999999996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>
        <f t="shared" ca="1" si="198"/>
        <v>90</v>
      </c>
      <c r="AO314" s="15">
        <f t="shared" ca="1" si="199"/>
        <v>0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19191110</v>
      </c>
      <c r="C315" s="72">
        <f t="shared" si="161"/>
        <v>600</v>
      </c>
      <c r="D315" s="16">
        <f t="shared" ca="1" si="162"/>
        <v>28.9</v>
      </c>
      <c r="E315" s="15">
        <f t="shared" ca="1" si="163"/>
        <v>0</v>
      </c>
      <c r="F315" s="73">
        <f t="shared" ca="1" si="164"/>
        <v>761.24</v>
      </c>
      <c r="G315" s="15">
        <f t="shared" ca="1" si="165"/>
        <v>0</v>
      </c>
      <c r="H315" s="73">
        <f t="shared" ca="1" si="166"/>
        <v>6.78</v>
      </c>
      <c r="I315" s="15">
        <f t="shared" ca="1" si="167"/>
        <v>0</v>
      </c>
      <c r="J315" s="73">
        <f t="shared" ca="1" si="168"/>
        <v>754.46</v>
      </c>
      <c r="K315" s="15">
        <f t="shared" ca="1" si="169"/>
        <v>0</v>
      </c>
      <c r="L315" s="16">
        <f t="shared" ca="1" si="170"/>
        <v>756.4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30.1</v>
      </c>
      <c r="Y315" s="15">
        <f t="shared" ca="1" si="183"/>
        <v>0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4.0999999999999996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>
        <f t="shared" ca="1" si="198"/>
        <v>90</v>
      </c>
      <c r="AO315" s="15">
        <f t="shared" ca="1" si="199"/>
        <v>0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19191111</v>
      </c>
      <c r="C316" s="72">
        <f t="shared" si="161"/>
        <v>600</v>
      </c>
      <c r="D316" s="16">
        <f t="shared" ca="1" si="162"/>
        <v>30.8</v>
      </c>
      <c r="E316" s="15">
        <f t="shared" ca="1" si="163"/>
        <v>0</v>
      </c>
      <c r="F316" s="73">
        <f t="shared" ca="1" si="164"/>
        <v>760.68</v>
      </c>
      <c r="G316" s="15">
        <f t="shared" ca="1" si="165"/>
        <v>0</v>
      </c>
      <c r="H316" s="73">
        <f t="shared" ca="1" si="166"/>
        <v>6.96</v>
      </c>
      <c r="I316" s="15">
        <f t="shared" ca="1" si="167"/>
        <v>0</v>
      </c>
      <c r="J316" s="73">
        <f t="shared" ca="1" si="168"/>
        <v>753.72</v>
      </c>
      <c r="K316" s="15">
        <f t="shared" ca="1" si="169"/>
        <v>0</v>
      </c>
      <c r="L316" s="16">
        <f t="shared" ca="1" si="170"/>
        <v>755.7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29.3</v>
      </c>
      <c r="Y316" s="15">
        <f t="shared" ca="1" si="183"/>
        <v>0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4.0999999999999996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>
        <f t="shared" ca="1" si="198"/>
        <v>90</v>
      </c>
      <c r="AO316" s="15">
        <f t="shared" ca="1" si="199"/>
        <v>0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19191112</v>
      </c>
      <c r="C317" s="72">
        <f t="shared" si="161"/>
        <v>600</v>
      </c>
      <c r="D317" s="16">
        <f t="shared" ca="1" si="162"/>
        <v>31.4</v>
      </c>
      <c r="E317" s="15">
        <f t="shared" ca="1" si="163"/>
        <v>0</v>
      </c>
      <c r="F317" s="73">
        <f t="shared" ca="1" si="164"/>
        <v>761.49</v>
      </c>
      <c r="G317" s="15">
        <f t="shared" ca="1" si="165"/>
        <v>0</v>
      </c>
      <c r="H317" s="73">
        <f t="shared" ca="1" si="166"/>
        <v>7.01</v>
      </c>
      <c r="I317" s="15">
        <f t="shared" ca="1" si="167"/>
        <v>0</v>
      </c>
      <c r="J317" s="73">
        <f t="shared" ca="1" si="168"/>
        <v>754.48</v>
      </c>
      <c r="K317" s="15">
        <f t="shared" ca="1" si="169"/>
        <v>0</v>
      </c>
      <c r="L317" s="16">
        <f t="shared" ca="1" si="170"/>
        <v>756.4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29.6</v>
      </c>
      <c r="Y317" s="15">
        <f t="shared" ca="1" si="183"/>
        <v>0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45</v>
      </c>
      <c r="AC317" s="15">
        <f t="shared" ca="1" si="187"/>
        <v>0</v>
      </c>
      <c r="AD317" s="76">
        <f t="shared" ca="1" si="188"/>
        <v>3.1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>
        <f t="shared" ca="1" si="198"/>
        <v>90</v>
      </c>
      <c r="AO317" s="15">
        <f t="shared" ca="1" si="199"/>
        <v>0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19191113</v>
      </c>
      <c r="C318" s="72">
        <f t="shared" si="161"/>
        <v>600</v>
      </c>
      <c r="D318" s="16">
        <f t="shared" ca="1" si="162"/>
        <v>28.3</v>
      </c>
      <c r="E318" s="15">
        <f t="shared" ca="1" si="163"/>
        <v>0</v>
      </c>
      <c r="F318" s="73">
        <f t="shared" ca="1" si="164"/>
        <v>760.43</v>
      </c>
      <c r="G318" s="15">
        <f t="shared" ca="1" si="165"/>
        <v>0</v>
      </c>
      <c r="H318" s="73">
        <f t="shared" ca="1" si="166"/>
        <v>6.65</v>
      </c>
      <c r="I318" s="15">
        <f t="shared" ca="1" si="167"/>
        <v>0</v>
      </c>
      <c r="J318" s="73">
        <f t="shared" ca="1" si="168"/>
        <v>753.77</v>
      </c>
      <c r="K318" s="15">
        <f t="shared" ca="1" si="169"/>
        <v>0</v>
      </c>
      <c r="L318" s="16">
        <f t="shared" ca="1" si="170"/>
        <v>755.9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29.4</v>
      </c>
      <c r="Y318" s="15">
        <f t="shared" ca="1" si="183"/>
        <v>0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45</v>
      </c>
      <c r="AC318" s="15">
        <f t="shared" ca="1" si="187"/>
        <v>0</v>
      </c>
      <c r="AD318" s="76">
        <f t="shared" ca="1" si="188"/>
        <v>4.0999999999999996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>
        <f t="shared" ca="1" si="198"/>
        <v>90</v>
      </c>
      <c r="AO318" s="15">
        <f t="shared" ca="1" si="199"/>
        <v>0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19191114</v>
      </c>
      <c r="C319" s="72">
        <f t="shared" si="161"/>
        <v>600</v>
      </c>
      <c r="D319" s="16">
        <f t="shared" ca="1" si="162"/>
        <v>30.6</v>
      </c>
      <c r="E319" s="15">
        <f t="shared" ca="1" si="163"/>
        <v>0</v>
      </c>
      <c r="F319" s="73">
        <f t="shared" ca="1" si="164"/>
        <v>761.37</v>
      </c>
      <c r="G319" s="15">
        <f t="shared" ca="1" si="165"/>
        <v>0</v>
      </c>
      <c r="H319" s="73">
        <f t="shared" ca="1" si="166"/>
        <v>6.91</v>
      </c>
      <c r="I319" s="15">
        <f t="shared" ca="1" si="167"/>
        <v>0</v>
      </c>
      <c r="J319" s="73">
        <f t="shared" ca="1" si="168"/>
        <v>754.46</v>
      </c>
      <c r="K319" s="15">
        <f t="shared" ca="1" si="169"/>
        <v>0</v>
      </c>
      <c r="L319" s="16">
        <f t="shared" ca="1" si="170"/>
        <v>756.4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29.3</v>
      </c>
      <c r="Y319" s="15">
        <f t="shared" ca="1" si="183"/>
        <v>0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45</v>
      </c>
      <c r="AC319" s="15">
        <f t="shared" ca="1" si="187"/>
        <v>0</v>
      </c>
      <c r="AD319" s="76">
        <f t="shared" ca="1" si="188"/>
        <v>4.0999999999999996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>
        <f t="shared" ca="1" si="198"/>
        <v>90</v>
      </c>
      <c r="AO319" s="15">
        <f t="shared" ca="1" si="199"/>
        <v>0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19191115</v>
      </c>
      <c r="C320" s="72">
        <f t="shared" si="161"/>
        <v>600</v>
      </c>
      <c r="D320" s="16">
        <f t="shared" ca="1" si="162"/>
        <v>28.3</v>
      </c>
      <c r="E320" s="15">
        <f t="shared" ca="1" si="163"/>
        <v>0</v>
      </c>
      <c r="F320" s="73">
        <f t="shared" ca="1" si="164"/>
        <v>762.51</v>
      </c>
      <c r="G320" s="15">
        <f t="shared" ca="1" si="165"/>
        <v>0</v>
      </c>
      <c r="H320" s="73">
        <f t="shared" ca="1" si="166"/>
        <v>6.71</v>
      </c>
      <c r="I320" s="15">
        <f t="shared" ca="1" si="167"/>
        <v>0</v>
      </c>
      <c r="J320" s="73">
        <f t="shared" ca="1" si="168"/>
        <v>755.8</v>
      </c>
      <c r="K320" s="15">
        <f t="shared" ca="1" si="169"/>
        <v>0</v>
      </c>
      <c r="L320" s="16">
        <f t="shared" ca="1" si="170"/>
        <v>757.9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29.4</v>
      </c>
      <c r="Y320" s="15">
        <f t="shared" ca="1" si="183"/>
        <v>0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45</v>
      </c>
      <c r="AC320" s="15">
        <f t="shared" ca="1" si="187"/>
        <v>0</v>
      </c>
      <c r="AD320" s="76">
        <f t="shared" ca="1" si="188"/>
        <v>3.1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>
        <f t="shared" ca="1" si="198"/>
        <v>90</v>
      </c>
      <c r="AO320" s="15">
        <f t="shared" ca="1" si="199"/>
        <v>0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19191116</v>
      </c>
      <c r="C321" s="72">
        <f t="shared" si="161"/>
        <v>600</v>
      </c>
      <c r="D321" s="16">
        <f t="shared" ca="1" si="162"/>
        <v>28.9</v>
      </c>
      <c r="E321" s="15">
        <f t="shared" ca="1" si="163"/>
        <v>0</v>
      </c>
      <c r="F321" s="73">
        <f t="shared" ca="1" si="164"/>
        <v>762.25</v>
      </c>
      <c r="G321" s="15">
        <f t="shared" ca="1" si="165"/>
        <v>0</v>
      </c>
      <c r="H321" s="73">
        <f t="shared" ca="1" si="166"/>
        <v>6.78</v>
      </c>
      <c r="I321" s="15">
        <f t="shared" ca="1" si="167"/>
        <v>0</v>
      </c>
      <c r="J321" s="73">
        <f t="shared" ca="1" si="168"/>
        <v>755.47</v>
      </c>
      <c r="K321" s="15">
        <f t="shared" ca="1" si="169"/>
        <v>0</v>
      </c>
      <c r="L321" s="16">
        <f t="shared" ca="1" si="170"/>
        <v>757.4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30.7</v>
      </c>
      <c r="Y321" s="15">
        <f t="shared" ca="1" si="183"/>
        <v>0</v>
      </c>
      <c r="Z321" s="16" t="str">
        <f t="shared" ca="1" si="184"/>
        <v>—</v>
      </c>
      <c r="AA321" s="15">
        <f t="shared" ca="1" si="185"/>
        <v>7</v>
      </c>
      <c r="AB321" s="9">
        <f t="shared" ca="1" si="186"/>
        <v>45</v>
      </c>
      <c r="AC321" s="15">
        <f t="shared" ca="1" si="187"/>
        <v>0</v>
      </c>
      <c r="AD321" s="76">
        <f t="shared" ca="1" si="188"/>
        <v>2.6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>
        <f t="shared" ca="1" si="198"/>
        <v>90</v>
      </c>
      <c r="AO321" s="15">
        <f t="shared" ca="1" si="199"/>
        <v>0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19191117</v>
      </c>
      <c r="C322" s="72">
        <f t="shared" ref="C322:C366" si="201">Tijd</f>
        <v>600</v>
      </c>
      <c r="D322" s="16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30.8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322" s="73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760.55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322" s="73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6.83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322" s="73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753.72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755.7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30.8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45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3.6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19191118</v>
      </c>
      <c r="C323" s="72">
        <f t="shared" si="201"/>
        <v>600</v>
      </c>
      <c r="D323" s="16">
        <f t="shared" ca="1" si="202"/>
        <v>30</v>
      </c>
      <c r="E323" s="15">
        <f t="shared" ca="1" si="203"/>
        <v>0</v>
      </c>
      <c r="F323" s="73">
        <f t="shared" ca="1" si="204"/>
        <v>760.12</v>
      </c>
      <c r="G323" s="15">
        <f t="shared" ca="1" si="205"/>
        <v>0</v>
      </c>
      <c r="H323" s="73">
        <f t="shared" ca="1" si="206"/>
        <v>6.86</v>
      </c>
      <c r="I323" s="15">
        <f t="shared" ca="1" si="207"/>
        <v>0</v>
      </c>
      <c r="J323" s="73">
        <f t="shared" ca="1" si="208"/>
        <v>753.26</v>
      </c>
      <c r="K323" s="15">
        <f t="shared" ca="1" si="209"/>
        <v>0</v>
      </c>
      <c r="L323" s="16">
        <f t="shared" ca="1" si="210"/>
        <v>755.4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>
        <f t="shared" ca="1" si="222"/>
        <v>30.1</v>
      </c>
      <c r="Y323" s="15">
        <f t="shared" ca="1" si="223"/>
        <v>0</v>
      </c>
      <c r="Z323" s="16" t="str">
        <f t="shared" ca="1" si="224"/>
        <v>—</v>
      </c>
      <c r="AA323" s="15">
        <f t="shared" ca="1" si="225"/>
        <v>7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4.0999999999999996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>
        <f t="shared" ca="1" si="238"/>
        <v>90</v>
      </c>
      <c r="AO323" s="15">
        <f t="shared" ca="1" si="239"/>
        <v>0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19191119</v>
      </c>
      <c r="C324" s="72">
        <f t="shared" si="201"/>
        <v>600</v>
      </c>
      <c r="D324" s="16">
        <f t="shared" ca="1" si="202"/>
        <v>29.4</v>
      </c>
      <c r="E324" s="15">
        <f t="shared" ca="1" si="203"/>
        <v>0</v>
      </c>
      <c r="F324" s="73">
        <f t="shared" ca="1" si="204"/>
        <v>761.34</v>
      </c>
      <c r="G324" s="15">
        <f t="shared" ca="1" si="205"/>
        <v>0</v>
      </c>
      <c r="H324" s="73">
        <f t="shared" ca="1" si="206"/>
        <v>6.78</v>
      </c>
      <c r="I324" s="15">
        <f t="shared" ca="1" si="207"/>
        <v>0</v>
      </c>
      <c r="J324" s="73">
        <f t="shared" ca="1" si="208"/>
        <v>754.56</v>
      </c>
      <c r="K324" s="15">
        <f t="shared" ca="1" si="209"/>
        <v>0</v>
      </c>
      <c r="L324" s="16">
        <f t="shared" ca="1" si="210"/>
        <v>756.7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>
        <f t="shared" ca="1" si="222"/>
        <v>30.7</v>
      </c>
      <c r="Y324" s="15">
        <f t="shared" ca="1" si="223"/>
        <v>0</v>
      </c>
      <c r="Z324" s="16" t="str">
        <f t="shared" ca="1" si="224"/>
        <v>—</v>
      </c>
      <c r="AA324" s="15">
        <f t="shared" ca="1" si="225"/>
        <v>7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3.1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>
        <f t="shared" ca="1" si="238"/>
        <v>90</v>
      </c>
      <c r="AO324" s="15">
        <f t="shared" ca="1" si="239"/>
        <v>0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19191120</v>
      </c>
      <c r="C325" s="72">
        <f t="shared" si="201"/>
        <v>600</v>
      </c>
      <c r="D325" s="16">
        <f t="shared" ca="1" si="202"/>
        <v>29.4</v>
      </c>
      <c r="E325" s="15">
        <f t="shared" ca="1" si="203"/>
        <v>0</v>
      </c>
      <c r="F325" s="73">
        <f t="shared" ca="1" si="204"/>
        <v>762.51</v>
      </c>
      <c r="G325" s="15">
        <f t="shared" ca="1" si="205"/>
        <v>0</v>
      </c>
      <c r="H325" s="73">
        <f t="shared" ca="1" si="206"/>
        <v>6.86</v>
      </c>
      <c r="I325" s="15">
        <f t="shared" ca="1" si="207"/>
        <v>0</v>
      </c>
      <c r="J325" s="73">
        <f t="shared" ca="1" si="208"/>
        <v>755.65</v>
      </c>
      <c r="K325" s="15">
        <f t="shared" ca="1" si="209"/>
        <v>0</v>
      </c>
      <c r="L325" s="16">
        <f t="shared" ca="1" si="210"/>
        <v>757.7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>
        <f t="shared" ca="1" si="222"/>
        <v>30.7</v>
      </c>
      <c r="Y325" s="15">
        <f t="shared" ca="1" si="223"/>
        <v>0</v>
      </c>
      <c r="Z325" s="16" t="str">
        <f t="shared" ca="1" si="224"/>
        <v>—</v>
      </c>
      <c r="AA325" s="15">
        <f t="shared" ca="1" si="225"/>
        <v>7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5.0999999999999996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>
        <f t="shared" ca="1" si="238"/>
        <v>90</v>
      </c>
      <c r="AO325" s="15">
        <f t="shared" ca="1" si="239"/>
        <v>0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19191121</v>
      </c>
      <c r="C326" s="72">
        <f t="shared" si="201"/>
        <v>600</v>
      </c>
      <c r="D326" s="16">
        <f t="shared" ca="1" si="202"/>
        <v>29.4</v>
      </c>
      <c r="E326" s="15">
        <f t="shared" ca="1" si="203"/>
        <v>0</v>
      </c>
      <c r="F326" s="73">
        <f t="shared" ca="1" si="204"/>
        <v>762.36</v>
      </c>
      <c r="G326" s="15">
        <f t="shared" ca="1" si="205"/>
        <v>0</v>
      </c>
      <c r="H326" s="73">
        <f t="shared" ca="1" si="206"/>
        <v>6.86</v>
      </c>
      <c r="I326" s="15">
        <f t="shared" ca="1" si="207"/>
        <v>0</v>
      </c>
      <c r="J326" s="73">
        <f t="shared" ca="1" si="208"/>
        <v>755.5</v>
      </c>
      <c r="K326" s="15">
        <f t="shared" ca="1" si="209"/>
        <v>0</v>
      </c>
      <c r="L326" s="16">
        <f t="shared" ca="1" si="210"/>
        <v>757.4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>
        <f t="shared" ca="1" si="222"/>
        <v>30.7</v>
      </c>
      <c r="Y326" s="15">
        <f t="shared" ca="1" si="223"/>
        <v>0</v>
      </c>
      <c r="Z326" s="16" t="str">
        <f t="shared" ca="1" si="224"/>
        <v>—</v>
      </c>
      <c r="AA326" s="15">
        <f t="shared" ca="1" si="225"/>
        <v>7</v>
      </c>
      <c r="AB326" s="9">
        <f t="shared" ca="1" si="226"/>
        <v>90</v>
      </c>
      <c r="AC326" s="15">
        <f t="shared" ca="1" si="227"/>
        <v>0</v>
      </c>
      <c r="AD326" s="76">
        <f t="shared" ca="1" si="228"/>
        <v>4.5999999999999996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>
        <f t="shared" ca="1" si="238"/>
        <v>90</v>
      </c>
      <c r="AO326" s="15">
        <f t="shared" ca="1" si="239"/>
        <v>0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19191122</v>
      </c>
      <c r="C327" s="72">
        <f t="shared" si="201"/>
        <v>600</v>
      </c>
      <c r="D327" s="16">
        <f t="shared" ca="1" si="202"/>
        <v>28.3</v>
      </c>
      <c r="E327" s="15">
        <f t="shared" ca="1" si="203"/>
        <v>0</v>
      </c>
      <c r="F327" s="73">
        <f t="shared" ca="1" si="204"/>
        <v>761.14</v>
      </c>
      <c r="G327" s="15">
        <f t="shared" ca="1" si="205"/>
        <v>0</v>
      </c>
      <c r="H327" s="73">
        <f t="shared" ca="1" si="206"/>
        <v>6.65</v>
      </c>
      <c r="I327" s="15">
        <f t="shared" ca="1" si="207"/>
        <v>0</v>
      </c>
      <c r="J327" s="73">
        <f t="shared" ca="1" si="208"/>
        <v>754.48</v>
      </c>
      <c r="K327" s="15">
        <f t="shared" ca="1" si="209"/>
        <v>0</v>
      </c>
      <c r="L327" s="16">
        <f t="shared" ca="1" si="210"/>
        <v>756.4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>
        <f t="shared" ca="1" si="222"/>
        <v>29.7</v>
      </c>
      <c r="Y327" s="15">
        <f t="shared" ca="1" si="223"/>
        <v>0</v>
      </c>
      <c r="Z327" s="16" t="str">
        <f t="shared" ca="1" si="224"/>
        <v>—</v>
      </c>
      <c r="AA327" s="15">
        <f t="shared" ca="1" si="225"/>
        <v>7</v>
      </c>
      <c r="AB327" s="9">
        <f t="shared" ca="1" si="226"/>
        <v>0</v>
      </c>
      <c r="AC327" s="15">
        <f t="shared" ca="1" si="227"/>
        <v>0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19191123</v>
      </c>
      <c r="C328" s="72">
        <f t="shared" si="201"/>
        <v>600</v>
      </c>
      <c r="D328" s="16">
        <f t="shared" ca="1" si="202"/>
        <v>28.9</v>
      </c>
      <c r="E328" s="15">
        <f t="shared" ca="1" si="203"/>
        <v>0</v>
      </c>
      <c r="F328" s="73">
        <f t="shared" ca="1" si="204"/>
        <v>760.68</v>
      </c>
      <c r="G328" s="15">
        <f t="shared" ca="1" si="205"/>
        <v>0</v>
      </c>
      <c r="H328" s="73">
        <f t="shared" ca="1" si="206"/>
        <v>6.73</v>
      </c>
      <c r="I328" s="15">
        <f t="shared" ca="1" si="207"/>
        <v>0</v>
      </c>
      <c r="J328" s="73">
        <f t="shared" ca="1" si="208"/>
        <v>753.95</v>
      </c>
      <c r="K328" s="15">
        <f t="shared" ca="1" si="209"/>
        <v>0</v>
      </c>
      <c r="L328" s="16">
        <f t="shared" ca="1" si="210"/>
        <v>755.9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>
        <f t="shared" ca="1" si="222"/>
        <v>30.1</v>
      </c>
      <c r="Y328" s="15">
        <f t="shared" ca="1" si="223"/>
        <v>0</v>
      </c>
      <c r="Z328" s="16" t="str">
        <f t="shared" ca="1" si="224"/>
        <v>—</v>
      </c>
      <c r="AA328" s="15">
        <f t="shared" ca="1" si="225"/>
        <v>7</v>
      </c>
      <c r="AB328" s="9">
        <f t="shared" ca="1" si="226"/>
        <v>90</v>
      </c>
      <c r="AC328" s="15">
        <f t="shared" ca="1" si="227"/>
        <v>0</v>
      </c>
      <c r="AD328" s="76">
        <f t="shared" ca="1" si="228"/>
        <v>3.1</v>
      </c>
      <c r="AE328" s="15">
        <f t="shared" ca="1" si="229"/>
        <v>0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>
        <f t="shared" ca="1" si="238"/>
        <v>90</v>
      </c>
      <c r="AO328" s="15">
        <f t="shared" ca="1" si="239"/>
        <v>0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19191124</v>
      </c>
      <c r="C329" s="72">
        <f t="shared" si="201"/>
        <v>600</v>
      </c>
      <c r="D329" s="16">
        <f t="shared" ca="1" si="202"/>
        <v>29.7</v>
      </c>
      <c r="E329" s="15">
        <f t="shared" ca="1" si="203"/>
        <v>0</v>
      </c>
      <c r="F329" s="73">
        <f t="shared" ca="1" si="204"/>
        <v>761.8</v>
      </c>
      <c r="G329" s="15">
        <f t="shared" ca="1" si="205"/>
        <v>0</v>
      </c>
      <c r="H329" s="73">
        <f t="shared" ca="1" si="206"/>
        <v>6.83</v>
      </c>
      <c r="I329" s="15">
        <f t="shared" ca="1" si="207"/>
        <v>0</v>
      </c>
      <c r="J329" s="73">
        <f t="shared" ca="1" si="208"/>
        <v>754.96</v>
      </c>
      <c r="K329" s="15">
        <f t="shared" ca="1" si="209"/>
        <v>0</v>
      </c>
      <c r="L329" s="16">
        <f t="shared" ca="1" si="210"/>
        <v>756.9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>
        <f t="shared" ca="1" si="222"/>
        <v>30.8</v>
      </c>
      <c r="Y329" s="15">
        <f t="shared" ca="1" si="223"/>
        <v>0</v>
      </c>
      <c r="Z329" s="16" t="str">
        <f t="shared" ca="1" si="224"/>
        <v>—</v>
      </c>
      <c r="AA329" s="15">
        <f t="shared" ca="1" si="225"/>
        <v>7</v>
      </c>
      <c r="AB329" s="9">
        <f t="shared" ca="1" si="226"/>
        <v>90</v>
      </c>
      <c r="AC329" s="15">
        <f t="shared" ca="1" si="227"/>
        <v>0</v>
      </c>
      <c r="AD329" s="76">
        <f t="shared" ca="1" si="228"/>
        <v>4.0999999999999996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>
        <f t="shared" ca="1" si="238"/>
        <v>90</v>
      </c>
      <c r="AO329" s="15">
        <f t="shared" ca="1" si="239"/>
        <v>0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19191125</v>
      </c>
      <c r="C330" s="72">
        <f t="shared" si="201"/>
        <v>600</v>
      </c>
      <c r="D330" s="16">
        <f t="shared" ca="1" si="202"/>
        <v>29.7</v>
      </c>
      <c r="E330" s="15">
        <f t="shared" ca="1" si="203"/>
        <v>0</v>
      </c>
      <c r="F330" s="73">
        <f t="shared" ca="1" si="204"/>
        <v>762.64</v>
      </c>
      <c r="G330" s="15">
        <f t="shared" ca="1" si="205"/>
        <v>0</v>
      </c>
      <c r="H330" s="73">
        <f t="shared" ca="1" si="206"/>
        <v>6.88</v>
      </c>
      <c r="I330" s="15">
        <f t="shared" ca="1" si="207"/>
        <v>0</v>
      </c>
      <c r="J330" s="73">
        <f t="shared" ca="1" si="208"/>
        <v>755.75</v>
      </c>
      <c r="K330" s="15">
        <f t="shared" ca="1" si="209"/>
        <v>0</v>
      </c>
      <c r="L330" s="16">
        <f t="shared" ca="1" si="210"/>
        <v>757.7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>
        <f t="shared" ca="1" si="222"/>
        <v>31.1</v>
      </c>
      <c r="Y330" s="15">
        <f t="shared" ca="1" si="223"/>
        <v>0</v>
      </c>
      <c r="Z330" s="16" t="str">
        <f t="shared" ca="1" si="224"/>
        <v>—</v>
      </c>
      <c r="AA330" s="15">
        <f t="shared" ca="1" si="225"/>
        <v>7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5.0999999999999996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>
        <f t="shared" ca="1" si="238"/>
        <v>90</v>
      </c>
      <c r="AO330" s="15">
        <f t="shared" ca="1" si="239"/>
        <v>0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19191126</v>
      </c>
      <c r="C331" s="72">
        <f t="shared" si="201"/>
        <v>600</v>
      </c>
      <c r="D331" s="16">
        <f t="shared" ca="1" si="202"/>
        <v>27.2</v>
      </c>
      <c r="E331" s="15">
        <f t="shared" ca="1" si="203"/>
        <v>0</v>
      </c>
      <c r="F331" s="73">
        <f t="shared" ca="1" si="204"/>
        <v>761.24</v>
      </c>
      <c r="G331" s="15">
        <f t="shared" ca="1" si="205"/>
        <v>0</v>
      </c>
      <c r="H331" s="73">
        <f t="shared" ca="1" si="206"/>
        <v>6.53</v>
      </c>
      <c r="I331" s="15">
        <f t="shared" ca="1" si="207"/>
        <v>0</v>
      </c>
      <c r="J331" s="73">
        <f t="shared" ca="1" si="208"/>
        <v>754.71</v>
      </c>
      <c r="K331" s="15">
        <f t="shared" ca="1" si="209"/>
        <v>0</v>
      </c>
      <c r="L331" s="16">
        <f t="shared" ca="1" si="210"/>
        <v>756.7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>
        <f t="shared" ca="1" si="222"/>
        <v>28</v>
      </c>
      <c r="Y331" s="15">
        <f t="shared" ca="1" si="223"/>
        <v>0</v>
      </c>
      <c r="Z331" s="16" t="str">
        <f t="shared" ca="1" si="224"/>
        <v>—</v>
      </c>
      <c r="AA331" s="15">
        <f t="shared" ca="1" si="225"/>
        <v>7</v>
      </c>
      <c r="AB331" s="9">
        <f t="shared" ca="1" si="226"/>
        <v>90</v>
      </c>
      <c r="AC331" s="15">
        <f t="shared" ca="1" si="227"/>
        <v>0</v>
      </c>
      <c r="AD331" s="76">
        <f t="shared" ca="1" si="228"/>
        <v>6.2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>
        <f t="shared" ca="1" si="238"/>
        <v>90</v>
      </c>
      <c r="AO331" s="15">
        <f t="shared" ca="1" si="239"/>
        <v>0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19191127</v>
      </c>
      <c r="C332" s="72">
        <f t="shared" si="201"/>
        <v>600</v>
      </c>
      <c r="D332" s="16">
        <f t="shared" ca="1" si="202"/>
        <v>28.6</v>
      </c>
      <c r="E332" s="15">
        <f t="shared" ca="1" si="203"/>
        <v>0</v>
      </c>
      <c r="F332" s="73">
        <f t="shared" ca="1" si="204"/>
        <v>759.97</v>
      </c>
      <c r="G332" s="15">
        <f t="shared" ca="1" si="205"/>
        <v>0</v>
      </c>
      <c r="H332" s="73">
        <f t="shared" ca="1" si="206"/>
        <v>6.68</v>
      </c>
      <c r="I332" s="15">
        <f t="shared" ca="1" si="207"/>
        <v>0</v>
      </c>
      <c r="J332" s="73">
        <f t="shared" ca="1" si="208"/>
        <v>753.29</v>
      </c>
      <c r="K332" s="15">
        <f t="shared" ca="1" si="209"/>
        <v>0</v>
      </c>
      <c r="L332" s="16">
        <f t="shared" ca="1" si="210"/>
        <v>755.4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>
        <f t="shared" ca="1" si="222"/>
        <v>29.4</v>
      </c>
      <c r="Y332" s="15">
        <f t="shared" ca="1" si="223"/>
        <v>0</v>
      </c>
      <c r="Z332" s="16" t="str">
        <f t="shared" ca="1" si="224"/>
        <v>—</v>
      </c>
      <c r="AA332" s="15">
        <f t="shared" ca="1" si="225"/>
        <v>7</v>
      </c>
      <c r="AB332" s="9">
        <f t="shared" ca="1" si="226"/>
        <v>45</v>
      </c>
      <c r="AC332" s="15">
        <f t="shared" ca="1" si="227"/>
        <v>0</v>
      </c>
      <c r="AD332" s="76">
        <f t="shared" ca="1" si="228"/>
        <v>4.0999999999999996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>
        <f t="shared" ca="1" si="238"/>
        <v>90</v>
      </c>
      <c r="AO332" s="15">
        <f t="shared" ca="1" si="239"/>
        <v>0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19191128</v>
      </c>
      <c r="C333" s="72">
        <f t="shared" si="201"/>
        <v>600</v>
      </c>
      <c r="D333" s="16">
        <f t="shared" ca="1" si="202"/>
        <v>28.6</v>
      </c>
      <c r="E333" s="15">
        <f t="shared" ca="1" si="203"/>
        <v>0</v>
      </c>
      <c r="F333" s="73">
        <f t="shared" ca="1" si="204"/>
        <v>759.46</v>
      </c>
      <c r="G333" s="15">
        <f t="shared" ca="1" si="205"/>
        <v>0</v>
      </c>
      <c r="H333" s="73">
        <f t="shared" ca="1" si="206"/>
        <v>6.68</v>
      </c>
      <c r="I333" s="15">
        <f t="shared" ca="1" si="207"/>
        <v>0</v>
      </c>
      <c r="J333" s="73">
        <f t="shared" ca="1" si="208"/>
        <v>752.78</v>
      </c>
      <c r="K333" s="15">
        <f t="shared" ca="1" si="209"/>
        <v>0</v>
      </c>
      <c r="L333" s="16">
        <f t="shared" ca="1" si="210"/>
        <v>754.9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>
        <f t="shared" ca="1" si="222"/>
        <v>29.6</v>
      </c>
      <c r="Y333" s="15">
        <f t="shared" ca="1" si="223"/>
        <v>0</v>
      </c>
      <c r="Z333" s="16" t="str">
        <f t="shared" ca="1" si="224"/>
        <v>—</v>
      </c>
      <c r="AA333" s="15">
        <f t="shared" ca="1" si="225"/>
        <v>7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4.0999999999999996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>
        <f t="shared" ca="1" si="238"/>
        <v>90</v>
      </c>
      <c r="AO333" s="15">
        <f t="shared" ca="1" si="239"/>
        <v>0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19191129</v>
      </c>
      <c r="C334" s="72">
        <f t="shared" si="201"/>
        <v>600</v>
      </c>
      <c r="D334" s="16">
        <f t="shared" ca="1" si="202"/>
        <v>29.4</v>
      </c>
      <c r="E334" s="15">
        <f t="shared" ca="1" si="203"/>
        <v>0</v>
      </c>
      <c r="F334" s="73">
        <f t="shared" ca="1" si="204"/>
        <v>759.21</v>
      </c>
      <c r="G334" s="15">
        <f t="shared" ca="1" si="205"/>
        <v>0</v>
      </c>
      <c r="H334" s="73">
        <f t="shared" ca="1" si="206"/>
        <v>6.78</v>
      </c>
      <c r="I334" s="15">
        <f t="shared" ca="1" si="207"/>
        <v>0</v>
      </c>
      <c r="J334" s="73">
        <f t="shared" ca="1" si="208"/>
        <v>752.42</v>
      </c>
      <c r="K334" s="15">
        <f t="shared" ca="1" si="209"/>
        <v>0</v>
      </c>
      <c r="L334" s="16">
        <f t="shared" ca="1" si="210"/>
        <v>754.4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>
        <f t="shared" ca="1" si="222"/>
        <v>30.1</v>
      </c>
      <c r="Y334" s="15">
        <f t="shared" ca="1" si="223"/>
        <v>0</v>
      </c>
      <c r="Z334" s="16" t="str">
        <f t="shared" ca="1" si="224"/>
        <v>—</v>
      </c>
      <c r="AA334" s="15">
        <f t="shared" ca="1" si="225"/>
        <v>7</v>
      </c>
      <c r="AB334" s="9">
        <f t="shared" ca="1" si="226"/>
        <v>45</v>
      </c>
      <c r="AC334" s="15">
        <f t="shared" ca="1" si="227"/>
        <v>0</v>
      </c>
      <c r="AD334" s="76">
        <f t="shared" ca="1" si="228"/>
        <v>4.0999999999999996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>
        <f t="shared" ca="1" si="238"/>
        <v>90</v>
      </c>
      <c r="AO334" s="15">
        <f t="shared" ca="1" si="239"/>
        <v>0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19191130</v>
      </c>
      <c r="C335" s="72">
        <f t="shared" si="201"/>
        <v>600</v>
      </c>
      <c r="D335" s="16">
        <f t="shared" ca="1" si="202"/>
        <v>28.3</v>
      </c>
      <c r="E335" s="15">
        <f t="shared" ca="1" si="203"/>
        <v>0</v>
      </c>
      <c r="F335" s="73">
        <f t="shared" ca="1" si="204"/>
        <v>759.61</v>
      </c>
      <c r="G335" s="15">
        <f t="shared" ca="1" si="205"/>
        <v>0</v>
      </c>
      <c r="H335" s="73">
        <f t="shared" ca="1" si="206"/>
        <v>6.65</v>
      </c>
      <c r="I335" s="15">
        <f t="shared" ca="1" si="207"/>
        <v>0</v>
      </c>
      <c r="J335" s="73">
        <f t="shared" ca="1" si="208"/>
        <v>752.96</v>
      </c>
      <c r="K335" s="15">
        <f t="shared" ca="1" si="209"/>
        <v>0</v>
      </c>
      <c r="L335" s="16">
        <f t="shared" ca="1" si="210"/>
        <v>754.9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>
        <f t="shared" ca="1" si="222"/>
        <v>27.8</v>
      </c>
      <c r="Y335" s="15">
        <f t="shared" ca="1" si="223"/>
        <v>0</v>
      </c>
      <c r="Z335" s="16" t="str">
        <f t="shared" ca="1" si="224"/>
        <v>—</v>
      </c>
      <c r="AA335" s="15">
        <f t="shared" ca="1" si="225"/>
        <v>7</v>
      </c>
      <c r="AB335" s="9">
        <f t="shared" ca="1" si="226"/>
        <v>135</v>
      </c>
      <c r="AC335" s="15">
        <f t="shared" ca="1" si="227"/>
        <v>0</v>
      </c>
      <c r="AD335" s="76">
        <f t="shared" ca="1" si="228"/>
        <v>2.1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>
        <f t="shared" ca="1" si="238"/>
        <v>135</v>
      </c>
      <c r="AO335" s="15">
        <f t="shared" ca="1" si="239"/>
        <v>0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19191201</v>
      </c>
      <c r="C336" s="72">
        <f t="shared" si="201"/>
        <v>600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19191202</v>
      </c>
      <c r="C337" s="72">
        <f t="shared" si="201"/>
        <v>600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19191203</v>
      </c>
      <c r="C338" s="72">
        <f t="shared" si="201"/>
        <v>600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19191204</v>
      </c>
      <c r="C339" s="72">
        <f t="shared" si="201"/>
        <v>600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19191205</v>
      </c>
      <c r="C340" s="72">
        <f t="shared" si="201"/>
        <v>600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19191206</v>
      </c>
      <c r="C341" s="72">
        <f t="shared" si="201"/>
        <v>600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19191207</v>
      </c>
      <c r="C342" s="72">
        <f t="shared" si="201"/>
        <v>600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19191208</v>
      </c>
      <c r="C343" s="72">
        <f t="shared" si="201"/>
        <v>600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19191209</v>
      </c>
      <c r="C344" s="72">
        <f t="shared" si="201"/>
        <v>600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19191210</v>
      </c>
      <c r="C345" s="72">
        <f t="shared" si="201"/>
        <v>600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19191211</v>
      </c>
      <c r="C346" s="72">
        <f t="shared" si="201"/>
        <v>600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19191212</v>
      </c>
      <c r="C347" s="72">
        <f t="shared" si="201"/>
        <v>600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19191213</v>
      </c>
      <c r="C348" s="72">
        <f t="shared" si="201"/>
        <v>600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19191214</v>
      </c>
      <c r="C349" s="72">
        <f t="shared" si="201"/>
        <v>600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19191215</v>
      </c>
      <c r="C350" s="72">
        <f t="shared" si="201"/>
        <v>600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19191216</v>
      </c>
      <c r="C351" s="72">
        <f t="shared" si="201"/>
        <v>600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19191217</v>
      </c>
      <c r="C352" s="72">
        <f t="shared" si="201"/>
        <v>600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19191218</v>
      </c>
      <c r="C353" s="72">
        <f t="shared" si="201"/>
        <v>600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19191219</v>
      </c>
      <c r="C354" s="72">
        <f t="shared" si="201"/>
        <v>600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19191220</v>
      </c>
      <c r="C355" s="72">
        <f t="shared" si="201"/>
        <v>600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19191221</v>
      </c>
      <c r="C356" s="72">
        <f t="shared" si="201"/>
        <v>600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19191222</v>
      </c>
      <c r="C357" s="72">
        <f t="shared" si="201"/>
        <v>600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19191223</v>
      </c>
      <c r="C358" s="72">
        <f t="shared" si="201"/>
        <v>600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19191224</v>
      </c>
      <c r="C359" s="72">
        <f t="shared" si="201"/>
        <v>600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19191225</v>
      </c>
      <c r="C360" s="72">
        <f t="shared" si="201"/>
        <v>600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19191226</v>
      </c>
      <c r="C361" s="72">
        <f t="shared" si="201"/>
        <v>600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19191227</v>
      </c>
      <c r="C362" s="72">
        <f t="shared" si="201"/>
        <v>600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19191228</v>
      </c>
      <c r="C363" s="72">
        <f t="shared" si="201"/>
        <v>600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19191229</v>
      </c>
      <c r="C364" s="72">
        <f t="shared" si="201"/>
        <v>600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19191230</v>
      </c>
      <c r="C365" s="72">
        <f t="shared" si="201"/>
        <v>600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19191231</v>
      </c>
      <c r="C366" s="72">
        <f t="shared" si="201"/>
        <v>600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19190101,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19190102,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19190103,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19190104,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19190105,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19190106,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19190107,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19190108,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19190109,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19190110,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19190111,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19190112,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19190113,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19190114,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19190115,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19190116,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19190117,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19190118,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19190119,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19190120,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19190121,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19190122,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19190123,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19190124,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19190125,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19190126,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19190127,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19190128,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19190129,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19190130,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19190131,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19190201,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19190202,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19190203,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19190204,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19190205,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19190206,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19190207,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19190208,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19190209,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19190210,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19190211,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19190212,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19190213,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19190214,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19190215,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19190216,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19190217,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19190218,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19190219,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19190220,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19190221,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19190222,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19190223,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19190224,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19190225,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19190226,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19190227,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19190228,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19190301,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19190302,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19190303,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19190304,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19190305,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19190306,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19190307,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19190308,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19190309,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19190310,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19190311,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19190312,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19190313,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19190314,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19190315,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19190316,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19190317,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19190318,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19190319,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19190320,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19190321,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19190322,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19190323,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19190324,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19190325,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19190326,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19190327,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19190328,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19190329,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19190330,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19190331,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19190401,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19190402,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19190403,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19190404,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19190405,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19190406,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19190407,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19190408,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19190409,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19190410,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19190411,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19190412,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19190413,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19190414,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19190415,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19190416,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19190417,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19190418,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19190419,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19190420,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19190421,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19190422,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19190423,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19190424,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19190425,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19190426,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19190427,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19190428,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19190429,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19190430,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19190501,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19190502,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19190503,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19190504,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19190505,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19190506,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19190507,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19190508,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19190509,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19190510,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19190511,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19190512,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19190513,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19190514,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19190515,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19190516,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19190517,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19190518,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19190519,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19190520,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19190521,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19190522,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19190523,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19190524,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19190525,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19190526,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19190527,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19190528,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19190529,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19190530,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19190531,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78989, 19190601, 1,    0, 00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78989, 19190602, 1,    0, 00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78989, 19190603, 1,    0, 00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78989, 19190604, 1,    0, 00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78989, 19190605, 1,    0, 00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78989, 19190606, 1,    0, 00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78989, 19190607, 1,    0, 00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78989, 19190608, 1,    0, 00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78989, 19190609, 1,    0, 00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78989, 19190610, 1,    8, 00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78989, 19190611, 1,    0, 00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78989, 19190612, 1,    0, 00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78989, 19190613, 1,    0, 00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78989, 19190614, 1,    0, 00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78989, 19190615, 1,    0, 00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78989, 19190616, 1,    0, 00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78989, 19190617, 1,    0, 00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78989, 19190618, 1,    0, 00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78989, 19190619, 1,    0, 00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78989, 19190620, 1,    0, 00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78989, 19190621, 1,    0, 00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78989, 19190622, 1,    0, 00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78989, 19190623, 1,    0, 00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78989, 19190624, 1,    0, 00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78989, 19190625, 1,    0, 00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78989, 19190626, 1,    0, 00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78989, 19190627, 1,    0, 00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78989, 19190628, 1,    0, 00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78989, 19190629, 1,    0, 00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78989, 19190630, 1,    0, 00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78989, 19190701, 1,    0, 00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78989, 19190702, 1,    0, 00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78989, 19190703, 1,    0, 00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78989, 19190704, 1,    0, 00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78989, 19190705, 1,    0, 00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78989, 19190706, 1,    0, 00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78989, 19190707, 1,    0, 00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78989, 19190708, 1,    0, 00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78989, 19190709, 1,    0, 00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78989, 19190710, 1,    0, 00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78989, 19190711, 1,    0, 00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78989, 19190712, 1,    0, 00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78989, 19190713, 1,    0, 00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78989, 19190714, 1,    0, 00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78989, 19190715, 1,    0, 00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78989, 19190716, 1,    0, 00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78989, 19190717, 1,    0, 00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78989, 19190718, 1,    0, 00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78989, 19190719, 1,    0, 00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78989, 19190720, 1,    3, 00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78989, 19190721, 1,    0, 00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78989, 19190722, 1,    0, 00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78989, 19190723, 1,   74, 00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78989, 19190724, 1,    0, 00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78989, 19190725, 1,    0, 00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78989, 19190726, 1,    0, 00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78989, 19190727, 1,    0, 00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78989, 19190728, 1,    0, 00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78989, 19190729, 1,    3, 00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78989, 19190730, 1,    0, 00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78989, 19190731, 1,    0, 00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78989, 19190801, 1,    0, 00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78989, 19190802, 1,    3, 00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78989, 19190803, 1,    0, 00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78989, 19190804, 1,    0, 00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78989, 19190805, 1,    0, 00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78989, 19190806, 1,    0, 00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78989, 19190807, 1,    0, 00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78989, 19190808, 1,    0, 00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78989, 19190809, 1,   23, 00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78989, 19190810, 1,    0, 00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78989, 19190811, 1,   10, 00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78989, 19190812, 1,    0, 00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78989, 19190813, 1,   23, 00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78989, 19190814, 1,    0, 00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78989, 19190815, 1,    0, 00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78989, 19190816, 1,    5, 00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78989, 19190817, 1,   20, 00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78989, 19190818, 1,    0, 00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78989, 19190819, 1,    0, 00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78989, 19190820, 1,    0, 00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78989, 19190821, 1,   81, 00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78989, 19190822, 1,    0, 00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78989, 19190823, 1,    8, 00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78989, 19190824, 1,   41, 00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78989, 19190825, 1,    0, 00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78989, 19190826, 1,    5, 00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78989, 19190827, 1,    0, 00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78989, 19190828, 1,    0, 00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78989, 19190829, 1,    8, 00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78989, 19190830, 1,    0, 00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78989, 19190831, 1,    0, 00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78989, 19190901, 1,    0, 00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78989, 19190902, 1,    0, 00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78989, 19190903, 1,    0, 00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78989, 19190904, 1,    0, 00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78989, 19190905, 1,    0, 00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78989, 19190906, 1,    0, 00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78989, 19190907, 1,    0, 00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78989, 19190908, 1,    0, 00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78989, 19190909, 1,    0, 00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78989, 19190910, 1,    0, 00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78989, 19190911, 1,    0, 00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78989, 19190912, 1,    0, 00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78989, 19190913, 1,    0, 00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78989, 19190914, 1,    0, 00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78989, 19190915, 1,   46, 00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78989, 19190916, 1,    5, 00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78989, 19190917, 1,    0, 00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78989, 19190918, 1,    0, 00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78989, 19190919, 1,    0, 00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78989, 19190920, 1,    0, 00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78989, 19190921, 1,    0, 00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78989, 19190922, 1,    0, 00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78989, 19190923, 1,    0, 00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78989, 19190924, 1,    0, 00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78989, 19190925, 1,    0, 00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78989, 19190926, 1,    0, 00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78989, 19190927, 1,    0, 00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78989, 19190928, 1,    0, 00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78989, 19190929, 1,    0, 00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78989, 19190930, 1,    0, 00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78989, 19191001, 1,    0, 00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78989, 19191002, 1,    0, 00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78989, 19191003, 1,    0, 00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78989, 19191004, 1,    0, 00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78989, 19191005, 1,    0, 00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78989, 19191006, 1,    0, 00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78989, 19191007, 1,    0, 00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78989, 19191008, 1,    0, 00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78989, 19191009, 1,    0, 00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78989, 19191010, 1,    0, 00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78989, 19191011, 1,    0, 00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78989, 19191012, 1,    0, 00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78989, 19191013, 1,    0, 00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78989, 19191014, 1,    8, 00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78989, 19191015, 1,    0, 00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78989, 19191016, 1,    0, 00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78989, 19191017, 1,    0, 00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78989, 19191018, 1,    0, 00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78989, 19191019, 1,    0, 00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78989, 19191020, 1,    0, 00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78989, 19191021, 1,    0, 00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78989, 19191022, 1,    0, 00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78989, 19191023, 1,    0, 00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78989, 19191024, 1,    0, 00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78989, 19191025, 1,    0, 00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78989, 19191026, 1,   97, 00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78989, 19191027, 1,    0, 00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78989, 19191028, 1,    0, 00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78989, 19191029, 1,    0, 00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78989, 19191030, 1,    0, 00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78989, 19191031, 1,    0, 00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78989, 19191101, 1,    0, 00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78989, 19191102, 1,   10, 00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78989, 19191103, 1,    0, 00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78989, 19191104, 1,    0, 00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78989, 19191105, 1,    0, 00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78989, 19191106, 1,   10, 00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78989, 19191107, 1,    0, 00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78989, 19191108, 1,    0, 00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78989, 19191109, 1,    0, 00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78989, 19191110, 1,    3, 00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78989, 19191111, 1,  290, 00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78989, 19191112, 1,    8, 00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78989, 19191113, 1,    0, 00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78989, 19191114, 1,  208, 00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78989, 19191115, 1,   51, 00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78989, 19191116, 1,   46, 00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78989, 19191117, 1,    0, 00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78989, 19191118, 1,    0, 00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78989, 19191119, 1,    8, 00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78989, 19191120, 1,    0, 00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78989, 19191121, 1,    0, 00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78989, 19191122, 1,  173, 00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78989, 19191123, 1,    0, 00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78989, 19191124, 1,    0, 00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78989, 19191125, 1,    0, 00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78989, 19191126, 1,   41, 00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78989, 19191127, 1,    0, 00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78989, 19191128, 1,   13, 00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78989, 19191129, 1,    0, 00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78989, 19191130, 1,    8, 00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19191201,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19191202,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19191203,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19191204,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19191205,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19191206,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19191207,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19191208,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19191209,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19191210,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19191211,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19191212,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19191213,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19191214,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19191215,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19191216,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19191217,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19191218,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19191219,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19191220,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19191221,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19191222,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19191223,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19191224,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19191225,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19191226,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19191227,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19191228,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19191229,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19191230,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19191231,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19190101, 0600,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19190102, 0600,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19190103, 0600,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19190104, 0600,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19190105, 0600,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19190106, 0600,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19190107, 0600,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19190108, 0600,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19190109, 0600,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19190110, 0600,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19190111, 0600,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19190112, 0600,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19190113, 0600,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19190114, 0600,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19190115, 0600,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19190116, 0600,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19190117, 0600,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19190118, 0600,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19190119, 0600,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19190120, 0600,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19190121, 0600,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19190122, 0600,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19190123, 0600,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19190124, 0600,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19190125, 0600,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19190126, 0600,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19190127, 0600,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19190128, 0600,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19190129, 0600,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19190130, 0600,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19190131, 0600,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19190201, 0600,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19190202, 0600,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19190203, 0600,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19190204, 0600,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19190205, 0600,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19190206, 0600,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19190207, 0600,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19190208, 0600,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19190209, 0600,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19190210, 0600,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19190211, 0600,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19190212, 0600,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19190213, 0600,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19190214, 0600,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19190215, 0600,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19190216, 0600,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19190217, 0600,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19190218, 0600,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19190219, 0600,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19190220, 0600,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19190221, 0600,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19190222, 0600,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19190223, 0600,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19190224, 0600,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19190225, 0600,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19190226, 0600,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19190227, 0600,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19190228, 0600,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19190301, 0600,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19190302, 0600,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19190303, 0600,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19190304, 0600,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19190305, 0600,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19190306, 0600,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19190307, 0600,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19190308, 0600,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19190309, 0600,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19190310, 0600,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19190311, 0600,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19190312, 0600,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19190313, 0600,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19190314, 0600,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19190315, 0600,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19190316, 0600,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19190317, 0600,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19190318, 0600,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19190319, 0600,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19190320, 0600,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19190321, 0600,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19190322, 0600,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19190323, 0600,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19190324, 0600,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19190325, 0600,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19190326, 0600,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19190327, 0600,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19190328, 0600,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19190329, 0600,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19190330, 0600,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19190331, 0600,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19190401, 0600,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19190402, 0600,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19190403, 0600,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19190404, 0600,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19190405, 0600,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19190406, 0600,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19190407, 0600,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19190408, 0600,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19190409, 0600,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19190410, 0600,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19190411, 0600,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19190412, 0600,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19190413, 0600,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19190414, 0600,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19190415, 0600,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19190416, 0600,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19190417, 0600,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19190418, 0600,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19190419, 0600,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19190420, 0600,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19190421, 0600,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19190422, 0600,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19190423, 0600,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19190424, 0600,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19190425, 0600,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19190426, 0600,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19190427, 0600,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19190428, 0600,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19190429, 0600,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19190430, 0600,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19190501, 0600,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19190502, 0600,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19190503, 0600,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19190504, 0600,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19190505, 0600,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19190506, 0600,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19190507, 0600,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19190508, 0600,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19190509, 0600,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19190510, 0600,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19190511, 0600,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19190512, 0600,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19190513, 0600,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19190514, 0600,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19190515, 0600,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19190516, 0600,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19190517, 0600,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19190518, 0600,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19190519, 0600,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19190520, 0600,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19190521, 0600,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19190522, 0600,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19190523, 0600,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19190524, 0600,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19190525, 0600,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19190526, 0600,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19190527, 0600,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19190528, 0600,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19190529, 0600,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19190530, 0600,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19190531, 0600,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19190601, 0600,  300, 00, 76098, 00,  691, 00, 75408, 00, 7562, 00, ////, 07, ////, 07, ////, 07, ///, 07, ///, 07,  317, 00, ////, 07,  90, 00,   62, 00, ////, 07, ///, 07, //, 07, ////////////, 07,  90, 00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19190602, 0600,  292, 00, 76200, 00,  681, 00, 75519, 00, 7572, 00, ////, 07, ////, 07, ////, 07, ///, 07, ///, 07,  312, 00, ////, 07,  90, 00,   77, 00, ////, 07, ///, 07, //, 07, ////////////, 07,  90, 00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19190603, 0600,  292, 00, 76243, 00,  681, 00, 75562, 00, 7577, 00, ////, 07, ////, 07, ////, 07, ///, 07, ///, 07,  306, 00, ////, 07,  90, 00,   77, 00, ////, 07, ///, 07, //, 07, ////////////, 07,  90, 00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19190604, 0600,  292, 00, 76355, 00,  681, 00, 75674, 00, 7587, 00, ////, 07, ////, 07, ////, 07, ///, 07, ///, 07,  308, 00, ////, 07,  90, 00,   77, 00, ////, 07, ///, 07, //, 07, ////////////, 07,  90, 00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19190605, 0600,  289, 00, 76347, 00,  678, 00, 75669, 00, 7587, 00, ////, 07, ////, 07, ////, 07, ///, 07, ///, 07,  307, 00, ////, 07,  90, 00,   62, 00, ////, 07, ///, 07, //, 07, ////////////, 07,  90, 00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19190606, 0600,  292, 00, 76398, 00,  681, 00, 75717, 00, 7592, 00, ////, 07, ////, 07, ////, 07, ///, 07, ///, 07,  303, 00, ////, 07,  90, 00,   51, 00, ////, 07, ///, 07, //, 07, ////////////, 07,  90, 00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19190607, 0600,  292, 00, 76418, 00,  681, 00, 75738, 00, 7595, 00, ////, 07, ////, 07, ////, 07, ///, 07, ///, 07,  303, 00, ////, 07,  90, 00,   62, 00, ////, 07, ///, 07, //, 07, ////////////, 07,  90, 00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19190608, 0600,  289, 00, 76416, 00,  678, 00, 75738, 00, 7595, 00, ////, 07, ////, 07, ////, 07, ///, 07, ///, 07,  302, 00, ////, 07, 135, 00,   62, 00, ////, 07, ///, 07, //, 07, ////////////, 07, 135, 00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19190609, 0600,  292, 00, 76304, 00,  681, 00, 75623, 00, 7582, 00, ////, 07, ////, 07, ////, 07, ///, 07, ///, 07,  302, 00, ////, 07,  45, 00,   62, 00, ////, 07, ///, 07, //, 07, ////////////, 07,  90, 00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19190610, 0600,  292, 00, 76243, 00,  681, 00, 75562, 00, 7577, 00, ////, 07, ////, 07, ////, 07, ///, 07, ///, 07,  303, 00, ////, 07,  90, 00,   62, 00, ////, 07, ///, 07, //, 07, ////////////, 07,  90, 00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19190611, 0600,  292, 00, 76154, 00,  676, 00, 75479, 00, 7569, 00, ////, 07, ////, 07, ////, 07, ///, 07, ///, 07,  301, 00, ////, 07,  90, 00,   62, 00, ////, 07, ///, 07, //, 07, ////////////, 07,  90, 00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19190612, 0600,  294, 00, 76180, 00,  678, 00, 75502, 00, 7572, 00, ////, 07, ////, 07, ////, 07, ///, 07, ///, 07,  308, 00, ////, 07,  90, 00,   62, 00, ////, 07, ///, 07, //, 07, ////////////, 07,  90, 00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19190613, 0600,  294, 00, 76200, 00,  686, 00, 75514, 00, 7572, 00, ////, 07, ////, 07, ////, 07, ///, 07, ///, 07,  308, 00, ////, 07,  90, 00,   62, 00, ////, 07, ///, 07, //, 07, ////////////, 07,  90, 00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19190614, 0600,  294, 00, 76195, 00,  678, 00, 75517, 00, 7572, 00, ////, 07, ////, 07, ////, 07, ///, 07, ///, 07,  309, 00, ////, 07, 135, 00,   77, 00, ////, 07, ///, 07, //, 07, ////////////, 07,  90, 00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19190615, 0600,  244, 00, 76144, 00,  686, 00, 75458, 00, 7567, 00, ////, 07, ////, 07, ////, 07, ///, 07, ///, 07,  312, 00, ////, 07,  90, 00,   62, 00, ////, 07, ///, 07, //, 07, ////////////, 07,  90, 00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19190616, 0600,  244, 00, 76246, 00,  691, 00, 75555, 00, 7577, 00, ////, 07, ////, 07, ////, 07, ///, 07, ///, 07,  309, 00, ////, 07,  90, 00,   62, 00, ////, 07, ///, 07, //, 07, ////////////, 07,  90, 00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19190617, 0600,  239, 00, 76276, 00,  686, 00, 75590, 00, 7579, 00, ////, 07, ////, 07, ////, 07, ///, 07, ///, 07,  309, 00, ////, 07,  90, 00,   62, 00, ////, 07, ///, 07, //, 07, ////////////, 07,  90, 00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19190618, 0600,  239, 00, 76380, 00,  686, 00, 75695, 00, 7590, 00, ////, 07, ////, 07, ////, 07, ///, 07, ///, 07,  301, 00, ////, 07,  90, 00,   62, 00, ////, 07, ///, 07, //, 07, ////////////, 07,  90, 00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19190619, 0600,  242, 00, 76385, 00,  688, 00, 75697, 00, 7590, 00, ////, 07, ////, 07, ////, 07, ///, 07, ///, 07,  308, 00, ////, 07,  45, 00,   51, 00, ////, 07, ///, 07, //, 07, ////////////, 07, 360, 00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19190620, 0600,  292, 00, 76375, 00,  681, 00, 75695, 00, 7590, 00, ////, 07, ////, 07, ////, 07, ///, 07, ///, 07,  302, 00, ////, 07, 135, 00,   62, 00, ////, 07, ///, 07, //, 07, ////////////, 07, 135, 00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19190621, 0600,  294, 00, 76251, 00,  686, 00, 75565, 00, 7577, 00, ////, 07, ////, 07, ////, 07, ///, 07, ///, 07,  303, 00, ////, 07,  90, 00,   77, 00, ////, 07, ///, 07, //, 07, ////////////, 07,  90, 00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19190622, 0600,  286, 00, 76332, 00,  676, 00, 75656, 00, 7587, 00, ////, 07, ////, 07, ////, 07, ///, 07, ///, 07,  300, 00, ////, 07,  45, 00,   77, 00, ////, 07, ///, 07, //, 07, ////////////, 07,  90, 00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19190623, 0600,  292, 00, 76312, 00,  681, 00, 75631, 00, 7584, 00, ////, 07, ////, 07, ////, 07, ///, 07, ///, 07,  296, 00, ////, 07,  90, 00,   77, 00, ////, 07, ///, 07, //, 07, ////////////, 07,  90, 00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19190624, 0600,  278, 00, 76241, 00,  665, 00, 75575, 00, 7577, 00, ////, 07, ////, 07, ////, 07, ///, 07, ///, 07,  292, 00, ////, 07,  90, 00,   51, 00, ////, 07, ///, 07, //, 07, ////////////, 07,  90, 00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19190625, 0600,  286, 00, 76248, 00,  676, 00, 75573, 00, 7577, 00, ////, 07, ////, 07, ////, 07, ///, 07, ///, 07,  301, 00, ////, 07,  90, 00,   62, 00, ////, 07, ///, 07, //, 07, ////////////, 07,  90, 00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19190626, 0600,  289, 00, 76251, 00,  678, 00, 75573, 00, 7577, 00, ////, 07, ////, 07, ////, 07, ///, 07, ///, 07,  304, 00, ////, 07,  90, 00,   62, 00, ////, 07, ///, 07, //, 07, ////////////, 07,  90, 00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19190627, 0600,  286, 00, 76230, 00,  676, 00, 75555, 00, 7577, 00, ////, 07, ////, 07, ////, 07, ///, 07, ///, 07,  298, 00, ////, 07,  90, 00,   72, 00, ////, 07, ///, 07, //, 07, ////////////, 07,  90, 00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19190628, 0600,  292, 00, 76180, 00,  681, 00, 75499, 00, 7569, 00, ////, 07, ////, 07, ////, 07, ///, 07, ///, 07,  300, 00, ////, 07,  90, 00,   77, 00, ////, 07, ///, 07, //, 07, ////////////, 07,  90, 00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19190629, 0600,  292, 00, 76413, 00,  681, 00, 75656, 00, 7587, 00, ////, 07, ////, 07, ////, 07, ///, 07, ///, 07,  312, 00, ////, 07,  90, 00,   62, 00, ////, 07, ///, 07, //, 07, ////////////, 07,  90, 00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19190630, 0600,  289, 00, 76396, 00,  678, 00, 75717, 00, 7592, 00, ////, 07, ////, 07, ////, 07, ///, 07, ///, 07,  301, 00, ////, 07,  90, 00,   51, 00, ////, 07, ///, 07, //, 07, ////////////, 07,  90, 00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19190701, 0600,  289, 00, 76332, 00,  678, 00, 75654, 00, 7587, 00, ////, 07, ////, 07, ////, 07, ///, 07, ///, 07,  296, 00, ////, 07,  90, 00,   51, 00, ////, 07, ///, 07, //, 07, ////////////, 07,  90, 00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19190702, 0600,  294, 00, 76291, 00,  686, 00, 75606, 00, 7582, 00, ////, 07, ////, 07, ////, 07, ///, 07, ///, 07,  299, 00, ////, 07,  90, 00,   62, 00, ////, 07, ///, 07, //, 07, ////////////, 07,  90, 00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19190703, 0600,  294, 00, 76327, 00,  686, 00, 75641, 00, 7584, 00, ////, 07, ////, 07, ////, 07, ///, 07, ///, 07,  304, 00, ////, 07,  90, 00,   62, 00, ////, 07, ///, 07, //, 07, ////////////, 07,  90, 00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19190704, 0600,  294, 00, 76352, 00,  686, 00, 75667, 00, 7587, 00, ////, 07, ////, 07, ////, 07, ///, 07, ///, 07,  301, 00, ////, 07,  90, 00,   62, 00, ////, 07, ///, 07, //, 07, ////////////, 07,  90, 00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19190705, 0600,  267, 00, 76208, 00,  650, 00, 75557, 00, 7577, 00, ////, 07, ////, 07, ////, 07, ///, 07, ///, 07,  313, 00, ////, 07,  45, 00,   62, 00, ////, 07, ///, 07, //, 07, ////////////, 07,  45, 00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19190706, 0600,  264, 00, 76261, 00,  648, 00, 75613, 00, 7582, 00, ////, 07, ////, 07, ////, 07, ///, 07, ///, 07,  303, 00, ////, 07,  90, 00,   62, 00, ////, 07, ///, 07, //, 07, ////////////, 07,  90, 00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19190707, 0600,  286, 00, 76332, 00,  676, 00, 75656, 00, 7587, 00, ////, 07, ////, 07, ////, 07, ///, 07, ///, 07,  301, 00, ////, 07,  90, 00,   62, 00, ////, 07, ///, 07, //, 07, ////////////, 07,  90, 00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19190708, 0600,  294, 00, 76510, 00,  686, 00, 75824, 00, 7602, 00, ////, 07, ////, 07, ////, 07, ///, 07, ///, 07,  308, 00, ////, 07,  90, 00,   51, 00, ////, 07, ///, 07, //, 07, ////////////, 07,  90, 00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19190709, 0600,  294, 00, 76424, 00,  686, 00, 75738, 00, 7595, 00, ////, 07, ////, 07, ////, 07, ///, 07, ///, 07,  312, 00, ////, 07,  90, 00,   51, 00, ////, 07, ///, 07, //, 07, ////////////, 07,  90, 00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19190710, 0600,  294, 00, 76383, 00,  686, 00, 75697, 00, 7590, 00, ////, 07, ////, 07, ////, 07, ///, 07, ///, 07,  306, 00, ////, 07,  90, 00,   51, 00, ////, 07, ///, 07, //, 07, ////////////, 07,  90, 00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19190711, 0600,  294, 00, 76383, 00,  686, 00, 75697, 00, 7590, 00, ////, 07, ////, 07, ////, 07, ///, 07, ///, 07,  308, 00, ////, 07,  90, 00,   51, 00, ////, 07, ///, 07, //, 07, ////////////, 07,  90, 00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19190712, 0600,  294, 00, 76459, 00,  686, 00, 75773, 00, 7597, 00, ////, 07, ////, 07, ////, 07, ///, 07, ///, 07,  309, 00, ////, 07,  90, 00,   62, 00, ////, 07, ///, 07, //, 07, ////////////, 07,  90, 00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19190713, 0600,  292, 00, 76429, 00,  681, 00, 75748, 00, 7595, 00, ////, 07, ////, 07, ////, 07, ///, 07, ///, 07,  303, 00, ////, 07,  90, 00,   41, 00, ////, 07, ///, 07, //, 07, ////////////, 07,  90, 00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19190714, 0600,  294, 00, 76256, 00,  686, 00, 75570, 00, 7577, 00, ////, 07, ////, 07, ////, 07, ///, 07, ///, 07,  297, 00, ////, 07,  90, 00,   41, 00, ////, 07, ///, 07, //, 07, ////////////, 07,  90, 00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19190715, 0600,  294, 00, 76261, 00,  686, 00, 75570, 00, 7577, 00, ////, 07, ////, 07, ////, 07, ///, 07, ///, 07,  301, 00, ////, 07,  90, 00,   51, 00, ////, 07, ///, 07, //, 07, ////////////, 07,  90, 00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19190716, 0600,  294, 00, 76324, 00,  686, 00, 75639, 00, 7584, 00, ////, 07, ////, 07, ////, 07, ///, 07, ///, 07,  305, 00, ////, 07,  90, 00,   62, 00, ////, 07, ///, 07, //, 07, ////////////, 07,  90, 00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19190717, 0600,  292, 00, 76388, 00,  681, 00, 75707, 00, 7592, 00, ////, 07, ////, 07, ////, 07, ///, 07, ///, 07,  302, 00, ////, 07,  90, 00,   62, 00, ////, 07, ///, 07, //, 07, ////////////, 07,  90, 00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19190718, 0600,  294, 00, 76385, 00,  686, 00, 75700, 00, 7590, 00, ////, 07, ////, 07, ////, 07, ///, 07, ///, 07,  303, 00, ////, 07,  90, 00,   62, 00, ////, 07, ///, 07, //, 07, ////////////, 07,  90, 00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19190719, 0600,  289, 00, 76322, 00,  678, 00, 75644, 00, 7584, 00, ////, 07, ////, 07, ////, 07, ///, 07, ///, 07,  304, 00, ////, 07, 135, 00,   62, 00, ////, 07, ///, 07, //, 07, ////////////, 07, 135, 00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19190720, 0600,  297, 00, 76258, 00,  688, 00, 75570, 00, 7577, 00, ////, 07, ////, 07, ////, 07, ///, 07, ///, 07,  306, 00, ////, 07,  90, 00,   62, 00, ////, 07, ///, 07, //, 07, ////////////, 07,  90, 00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19190721, 0600,  294, 00, 76276, 00,  686, 00, 75590, 00, 7579, 00, ////, 07, ////, 07, ////, 07, ///, 07, ///, 07,  306, 00, ////, 07,  90, 00,   62, 00, ////, 07, ///, 07, //, 07, ////////////, 07,  90, 00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19190722, 0600,  300, 00, 76302, 00,  691, 00, 75611, 00, 7582, 00, ////, 07, ////, 07, ////, 07, ///, 07, ///, 07,  308, 00, ////, 07,  45, 00,   51, 00, ////, 07, ///, 07, //, 07, ////////////, 07,  90, 00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19190723, 0600,  292, 00, 76225, 00,  681, 00, 75545, 00, 7574, 00, ////, 07, ////, 07, ////, 07, ///, 07, ///, 07,  296, 00, ////, 07,  90, 00,   77, 00, ////, 07, ///, 07, //, 07, ////////////, 07,  90, 00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19190724, 0600,  297, 00, 76261, 00,  688, 00, 75573, 00, 7577, 00, ////, 07, ////, 07, ////, 07, ///, 07, ///, 07,  305, 00, ////, 07,  90, 00,   51, 00, ////, 07, ///, 07, //, 07, ////////////, 07,  90, 00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19190725, 0600,  297, 00, 76172, 00,  688, 00, 75484, 00, 7592, 00, ////, 07, ////, 07, ////, 07, ///, 07, ///, 07,  307, 00, ////, 07,  90, 00,   72, 00, ////, 07, ///, 07, //, 07, ////////////, 07,  90, 00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19190726, 0600,  300, 00, 76154, 00,  686, 00, 75468, 00, 7567, 00, ////, 07, ////, 07, ////, 07, ///, 07, ///, 07,  310, 00, ////, 07,  90, 00,   77, 00, ////, 07, ///, 07, //, 07, ////////////, 07,  90, 00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19190727, 0600,  300, 00, 76337, 00,  691, 00, 75646, 00, 7584, 00, ////, 07, ////, 07, ////, 07, ///, 07, ///, 07,  309, 00, ////, 07,  90, 00,   77, 00, ////, 07, ///, 07, //, 07, ////////////, 07,  90, 00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19190728, 0600,  300, 00, 76220, 00,  691, 00, 75529, 00, 7574, 00, ////, 07, ////, 07, ////, 07, ///, 07, ///, 07,  309, 00, ////, 07,  90, 00,   62, 00, ////, 07, ///, 07, //, 07, ////////////, 07,  90, 00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19190729, 0600,  300, 00, 76208, 00,  691, 00, 75517, 00, 7572, 00, ////, 07, ////, 07, ////, 07, ///, 07, ///, 07,  313, 00, ////, 07,  90, 00,   51, 00, ////, 07, ///, 07, //, 07, ////////////, 07,  90, 00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19190730, 0600,  294, 00, 76383, 00,  686, 00, 75697, 00, 7590, 00, ////, 07, ////, 07, ////, 07, ///, 07, ///, 07,  313, 00, ////, 07,  90, 00,   62, 00, ////, 07, ///, 07, //, 07, ////////////, 07,  90, 00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19190731, 0600,  300, 00, 76388, 00,  691, 00, 75697, 00, 7590, 00, ////, 07, ////, 07, ////, 07, ///, 07, ///, 07,  314, 00, ////, 07,  90, 00,   51, 00, ////, 07, ///, 07, //, 07, ////////////, 07,  90, 00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19190801, 0600,  297, 00, 76388, 00,  688, 00, 75700, 00, 7590, 00, ////, 07, ////, 07, ////, 07, ///, 07, ///, 07,  312, 00, ////, 07,  90, 00,   77, 00, ////, 07, ///, 07, //, 07, ////////////, 07,  90, 00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19190802, 0600,  303, 00, 76368, 00,  696, 00, 75672, 00, 7587, 00, ////, 07, ////, 07, ////, 07, ///, 07, ///, 07,  313, 00, ////, 07,  90, 00,   77, 00, ////, 07, ///, 07, //, 07, ////////////, 07,  90, 00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19190803, 0600,  303, 00, 76241, 00,  696, 00, 75545, 00, 7574, 00, ////, 07, ////, 07, ////, 07, ///, 07, ///, 07,  313, 00, ////, 07,  90, 00,   77, 00, ////, 07, ///, 07, //, 07, ////////////, 07,  90, 00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19190804, 0600,  303, 00, 76241, 00,  696, 00, 75545, 00, 7574, 00, ////, 07, ////, 07, ////, 07, ///, 07, ///, 07,  308, 00, ////, 07,  90, 00,   62, 00, ////, 07, ///, 07, //, 07, ////////////, 07,  90, 00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19190805, 0600,  303, 00, 76264, 00,  696, 00, 75568, 00, 7577, 00, ////, 07, ////, 07, ////, 07, ///, 07, ///, 07,  312, 00, ////, 07,  90, 00,   62, 00, ////, 07, ///, 07, //, 07, ////////////, 07,  90, 00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19190806, 0600,  297, 00, 76302, 00,  688, 00, 75613, 00, 7582, 00, ////, 07, ////, 07, ////, 07, ///, 07, ///, 07,  306, 00, ////, 07,  90, 00,   41, 00, ////, 07, ///, 07, //, 07, ////////////, 07,  90, 00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19190807, 0600,  303, 00, 76266, 00,  696, 00, 75570, 00, 7577, 00, ////, 07, ////, 07, ////, 07, ///, 07, ///, 07,  312, 00, ////, 07,  90, 00,   62, 00, ////, 07, ///, 07, //, 07, ////////////, 07,  90, 00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19190808, 0600,  300, 00, 76261, 00,  691, 00, 75570, 00, 7577, 00, ////, 07, ////, 07, ////, 07, ///, 07, ///, 07,  307, 00, ////, 07,  45, 00,   41, 00, ////, 07, ///, 07, //, 07, ////////////, 07,  90, 00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19190809, 0600,  300, 00, 76337, 00,  691, 00, 75646, 00, 7584, 00, ////, 07, ////, 07, ////, 07, ///, 07, ///, 07,  309, 00, ////, 07,  90, 00,   51, 00, ////, 07, ///, 07, //, 07, ////////////, 07,  90, 00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19190810, 0600,  303, 00, 76324, 00,  696, 00, 75629, 00, 7584, 00, ////, 07, ////, 07, ////, 07, ///, 07, ///, 07,  295, 00, ////, 07,  45, 00,   62, 00, ////, 07, ///, 07, //, 07, ////////////, 07,  45, 00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19190811, 0600,  303, 00, 76368, 00,  696, 00, 75672, 00, 7587, 00, ////, 07, ////, 07, ////, 07, ///, 07, ///, 07,  308, 00, ////, 07,  90, 00,   62, 00, ////, 07, ///, 07, //, 07, ////////////, 07,  90, 00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19190812, 0600,  300, 00, 76276, 00,  691, 00, 75585, 00, 7579, 00, ////, 07, ////, 07, ////, 07, ///, 07, ///, 07,  314, 00, ////, 07,  90, 00,   72, 00, ////, 07, ///, 07, //, 07, ////////////, 07,  90, 00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19190813, 0600,  297, 00, 76269, 00,  688, 00, 75580, 00, 7579, 00, ////, 07, ////, 07, ////, 07, ///, 07, ///, 07,  308, 00, ////, 07,  90, 00,   51, 00, ////, 07, ///, 07, //, 07, ////////////, 07,  90, 00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19190814, 0600,  300, 00, 76388, 00,  691, 00, 75697, 00, 7590, 00, ////, 07, ////, 07, ////, 07, ///, 07, ///, 07,  312, 00, ////, 07,  90, 00,   62, 00, ////, 07, ///, 07, //, 07, ////////////, 07,  90, 00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19190815, 0600,  306, 00, 76424, 00,  699, 00, 75725, 00, 7592, 00, ////, 07, ////, 07, ////, 07, ///, 07, ///, 07,  318, 00, ////, 07,  90, 00,   51, 00, ////, 07, ///, 07, //, 07, ////////////, 07,  90, 00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19190816, 0600,  306, 00, 76449, 00,  699, 00, 75750, 00, 7595, 00, ////, 07, ////, 07, ////, 07, ///, 07, ///, 07,  317, 00, ////, 07,  90, 00,   62, 00, ////, 07, ///, 07, //, 07, ////////////, 07,  90, 00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19190817, 0600,  294, 00, 76393, 00,  686, 00, 75707, 00, 7592, 00, ////, 07, ////, 07, ////, 07, ///, 07, ///, 07,  302, 00, ////, 07,  90, 00,   41, 00, ////, 07, ///, 07, //, 07, ////////////, 07,  90, 00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19190818, 0600,  303, 00, 76479, 00,  696, 00, 75783, 00, 7600, 00, ////, 07, ////, 07, ////, 07, ///, 07, ///, 07,  313, 00, ////, 07,  90, 00,   62, 00, ////, 07, ///, 07, //, 07, ////////////, 07,  90, 00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19190819, 0600,  300, 00, 76571, 00,  691, 00, 75880, 00, 7607, 00, ////, 07, ////, 07, ////, 07, ///, 07, ///, 07,  308, 00, ////, 07,  90, 00,   62, 00, ////, 07, ///, 07, //, 07, ////////////, 07,  90, 00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19190820, 0600,  303, 00, 76518, 00,  696, 00, 75822, 00, 7602, 00, ////, 07, ////, 07, ////, 07, ///, 07, ///, 07,  311, 00, ////, 07,  90, 00,   62, 00, ////, 07, ///, 07, //, 07, ////////////, 07,  90, 00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19190821, 0600,  297, 00, 76403, 00,  688, 00, 75715, 00, 7592, 00, ////, 07, ////, 07, ////, 07, ///, 07, ///, 07,  308, 00, ////, 07,  45, 00,   51, 00, ////, 07, ///, 07, //, 07, ////////////, 07,  90, 00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19190822, 0600,  306, 00, 76347, 00,  699, 00, 75649, 00, 7584, 00, ////, 07, ////, 07, ////, 07, ///, 07, ///, 07,  311, 00, ////, 07,  90, 00,   41, 00, ////, 07, ///, 07, //, 07, ////////////, 07,  90, 00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19190823, 0600,  303, 00, 76347, 00,  696, 00, 75651, 00, 7584, 00, ////, 07, ////, 07, ////, 07, ///, 07, ///, 07,  312, 00, ////, 07,  90, 00,   51, 00, ////, 07, ///, 07, //, 07, ////////////, 07,  90, 00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19190824, 0600,  289, 00, 76324, 00,  678, 00, 75646, 00, 7584, 00, ////, 07, ////, 07, ////, 07, ///, 07, ///, 07,  306, 00, ////, 07,  90, 00,   62, 00, ////, 07, ///, 07, //, 07, ////////////, 07,  90, 00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19190825, 0600,  300, 00, 76266, 00,  691, 00, 75575, 00, 7577, 00, ////, 07, ////, 07, ////, 07, ///, 07, ///, 07,  312, 00, ////, 07,  45, 00,   62, 00, ////, 07, ///, 07, //, 07, ////////////, 07,  90, 00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19190826, 0600,  303, 00, 76271, 00,  696, 00, 75575, 00, 7577, 00, ////, 07, ////, 07, ////, 07, ///, 07, ///, 07,  309, 00, ////, 07,  90, 00,   51, 00, ////, 07, ///, 07, //, 07, ////////////, 07,  90, 00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19190827, 0600,  306, 00, 76218, 00,  699, 00, 75519, 00, 7572, 00, ////, 07, ////, 07, ////, 07, ///, 07, ///, 07,  309, 00, ////, 07,  90, 00,   51, 00, ////, 07, ///, 07, //, 07, ////////////, 07,  90, 00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19190828, 0600,  306, 00, 76164, 00,  693, 00, 75471, 00, 7567, 00, ////, 07, ////, 07, ////, 07, ///, 07, ///, 07,  320, 00, ////, 07,  90, 00,   62, 00, ////, 07, ///, 07, //, 07, ////////////, 07,  90, 00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19190829, 0600,  303, 00, 76266, 00,  696, 00, 75570, 00, 7577, 00, ////, 07, ////, 07, ////, 07, ///, 07, ///, 07,  312, 00, ////, 07,  90, 00,   62, 00, ////, 07, ///, 07, //, 07, ////////////, 07,  90, 00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19190830, 0600,  294, 00, 76205, 00,  686, 00, 75570, 00, 7572, 00, ////, 07, ////, 07, ////, 07, ///, 07, ///, 07,  309, 00, ////, 07,  90, 00,   51, 00, ////, 07, ///, 07, //, 07, ////////////, 07,  90, 00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19190831, 0600,  306, 00, 76149, 00,  691, 00, 75458, 00, 7567, 00, ////, 07, ////, 07, ////, 07, ///, 07, ///, 07,  308, 00, ////, 07,  90, 00,   51, 00, ////, 07, ///, 07, //, 07, ////////////, 07,  90, 00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19190901, 0600,  308, 00, 76149, 00,  696, 00, 75453, 00, 7567, 00, ////, 07, ////, 07, ////, 07, ///, 07, ///, 07,  312, 00, ////, 07,  90, 00,   62, 00, ////, 07, ///, 07, //, 07, ////////////, 07,  90, 00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19190902, 0600,  300, 00, 76129, 00,  686, 00, 75443, 00, 7564, 00, ////, 07, ////, 07, ////, 07, ///, 07, ///, 07,  309, 00, ////, 07,  45, 00,   41, 00, ////, 07, ///, 07, //, 07, ////////////, 07,  90, 00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19190903, 0600,  303, 00, 76048, 00,  691, 00, 75357, 00, 7557, 00, ////, 07, ////, 07, ////, 07, ///, 07, ///, 07,  312, 00, ////, 07,  90, 00,   62, 00, ////, 07, ///, 07, //, 07, ////////////, 07,  90, 00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19190904, 0600,  308, 00, 76022, 00,  696, 00, 75326, 00, 7554, 00, ////, 07, ////, 07, ////, 07, ///, 07, ///, 07,  318, 00, ////, 07,  90, 00,   62, 00, ////, 07, ///, 07, //, 07, ////////////, 07,  90, 00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19190905, 0600,  308, 00, 76149, 00,  696, 00, 75453, 00, 7567, 00, ////, 07, ////, 07, ////, 07, ///, 07, ///, 07,  323, 00, ////, 07,  45, 00,   51, 00, ////, 07, ///, 07, //, 07, ////////////, 07,  90, 00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19190906, 0600,  308, 00, 76103, 00,  696, 00, 75408, 00, 7562, 00, ////, 07, ////, 07, ////, 07, ///, 07, ///, 07,  313, 00, ////, 07,  45, 00,   51, 00, ////, 07, ///, 07, //, 07, ////////////, 07,  90, 00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19190907, 0600,  308, 00, 76015, 00,  696, 00, 75319, 00, 7551, 00, ////, 07, ////, 07, ////, 07, ///, 07, ///, 07,  323, 00, ////, 07, 135, 00,   62, 00, ////, 07, ///, 07, //, 07, ////////////, 07,  90, 00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19190908, 0600,  306, 00, 75992, 00,  691, 00, 75301, 00, 7551, 00, ////, 07, ////, 07, ////, 07, ///, 07, ///, 07,  317, 00, ////, 07,  90, 00,   51, 00, ////, 07, ///, 07, //, 07, ////////////, 07,  90, 00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19190909, 0600,  311, 00, 75966, 00,  699, 00, 75268, 00, 7546, 00, ////, 07, ////, 07, ////, 07, ///, 07, ///, 07,  317, 00, ////, 07,  90, 00,   62, 00, ////, 07, ///, 07, //, 07, ////////////, 07,  90, 00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19190910, 0600,  311, 00, 76070, 00,  699, 00, 75372, 00, 7557, 00, ////, 07, ////, 07, ////, 07, ///, 07, ///, 07,  314, 00, ////, 07,  90, 00,   41, 00, ////, 07, ///, 07, //, 07, ////////////, 07,  90, 00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19190911, 0600,  311, 00, 76144, 00,  699, 00, 75446, 00, 7564, 00, ////, 07, ////, 07, ////, 07, ///, 07, ///, 07,  317, 00, ////, 07,  90, 00,   46, 00, ////, 07, ///, 07, //, 07, ////////////, 07,  90, 00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19190912, 0600,  308, 00, 76037, 00,  696, 00, 75189, 00, 7554, 00, ////, 07, ////, 07, ////, 07, ///, 07, ///, 07,  317, 00, ////, 07,  90, 00,   51, 00, ////, 07, ///, 07, //, 07, ////////////, 07,  90, 00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19190913, 0600,  308, 00, 76063, 00,  696, 00, 75367, 00, 7557, 00, ////, 07, ////, 07, ////, 07, ///, 07, ///, 07,  309, 00, ////, 07,  45, 00,   41, 00, ////, 07, ///, 07, //, 07, ////////////, 07,  90, 00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19190914, 0600,  311, 00, 76012, 00,  699, 00, 75303, 00, 7551, 00, ////, 07, ////, 07, ////, 07, ///, 07, ///, 07,  314, 00, ////, 07,  90, 00,   51, 00, ////, 07, ///, 07, //, 07, ////////////, 07,  90, 00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19190915, 0600,  300, 00, 76101, 00,  686, 00, 75415, 00, 7562, 00, ////, 07, ////, 07, ////, 07, ///, 07, ///, 07,  308, 00, ////, 07,  45, 00,   62, 00, ////, 07, ///, 07, //, 07, ////////////, 07,  90, 00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19190916, 0600,  297, 00, 76210, 00,  688, 00, 75522, 00, 7572, 00, ////, 07, ////, 07, ////, 07, ///, 07, ///, 07,  309, 00, ////, 07,  45, 00,   77, 00, ////, 07, ///, 07, //, 07, ////////////, 07,  90, 00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19190917, 0600,  303, 00, 76109, 00,  688, 00, 75420, 00, 7562, 00, ////, 07, ////, 07, ////, 07, ///, 07, ///, 07,  315, 00, ////, 07,  90, 00,   41, 00, ////, 07, ///, 07, //, 07, ////////////, 07,  90, 00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19190918, 0600,  311, 00, 76093, 00,  699, 00, 75395, 00, 7559, 00, ////, 07, ////, 07, ////, 07, ///, 07, ///, 07,  358, 00, ////, 07,  90, 00,   62, 00, ////, 07, ///, 07, //, 07, ////////////, 07,  90, 00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19190919, 0600,  308, 00, 76230, 00,  701, 00, 75529, 00, 7574, 00, ////, 07, ////, 07, ////, 07, ///, 07, ///, 07,  315, 00, ////, 07,  90, 00,   77, 00, ////, 07, ///, 07, //, 07, ////////////, 07,  90, 00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19190920, 0600,  306, 00, 76218, 00,  699, 00, 75519, 00, 7572, 00, ////, 07, ////, 07, ////, 07, ///, 07, ///, 07,  309, 00, ////, 07,  90, 00,   51, 00, ////, 07, ///, 07, //, 07, ////////////, 07,  90, 00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19190921, 0600,  308, 00, 76144, 00,  696, 00, 75448, 00, 7564, 00, ////, 07, ////, 07, ////, 07, ///, 07, ///, 07,  308, 00, ////, 07,  90, 00,   41, 00, ////, 07, ///, 07, //, 07, ////////////, 07,  90, 00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19190922, 0600,  306, 00, 76134, 00,  691, 00, 75443, 00, 7564, 00, ////, 07, ////, 07, ////, 07, ///, 07, ///, 07,  302, 00, ////, 07, 135, 00,   41, 00, ////, 07, ///, 07, //, 07, ////////////, 07, 135, 00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19190923, 0600,  311, 00, 76093, 00,  699, 00, 75395, 00, 7559, 00, ////, 07, ////, 07, ////, 07, ///, 07, ///, 07,  326, 00, ////, 07,  45, 00,   51, 00, ////, 07, ///, 07, //, 07, ////////////, 07,  90, 00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19190924, 0600,  314, 00, 76078, 00,  701, 00, 75377, 00, 7554, 00, ////, 07, ////, 07, ////, 07, ///, 07, ///, 07,  329, 00, ////, 07,  90, 00,   51, 00, ////, 07, ///, 07, //, 07, ////////////, 07,  90, 00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19190925, 0600,  314, 00, 76096, 00,  701, 00, 75395, 00, 7559, 00, ////, 07, ////, 07, ////, 07, ///, 07, ///, 07,  320, 00, ////, 07,  45, 00,   51, 00, ////, 07, ///, 07, //, 07, ////////////, 07,  90, 00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19190926, 0600,  308, 00, 76164, 00,  696, 00, 75468, 00, 7567, 00, ////, 07, ////, 07, ////, 07, ///, 07, ///, 07,  317, 00, ////, 07,  90, 00,   41, 00, ////, 07, ///, 07, //, 07, ////////////, 07,  90, 00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19190927, 0600,  308, 00, 76144, 00,  696, 00, 75448, 00, 7564, 00, ////, 07, ////, 07, ////, 07, ///, 07, ///, 07,  313, 00, ////, 07,  90, 00,   51, 00, ////, 07, ///, 07, //, 07, ////////////, 07,  90, 00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19190928, 0600,  306, 00, 76063, 00,  691, 00, 75372, 00, 7557, 00, ////, 07, ////, 07, ////, 07, ///, 07, ///, 07,  311, 00, ////, 07,  45, 00,   51, 00, ////, 07, ///, 07, //, 07, ////////////, 07,  90, 00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19190929, 0600,  303, 00, 76149, 00,  688, 00, 75461, 00, 7567, 00, ////, 07, ////, 07, ////, 07, ///, 07, ///, 07,  309, 00, ////, 07,  45, 00,   51, 00, ////, 07, ///, 07, //, 07, ////////////, 07,  90, 00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19190930, 0600,  306, 00, 76218, 00,  699, 00, 75519, 00, 7572, 00, ////, 07, ////, 07, ////, 07, ///, 07, ///, 07,  316, 00, ////, 07,  90, 00,   62, 00, ////, 07, ///, 07, //, 07, ////////////, 07,  90, 00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19191001, 0600,  308, 00, 76134, 00,  696, 00, 75438, 00, 7564, 00, ////, 07, ////, 07, ////, 07, ///, 07, ///, 07,  313, 00, ////, 07,  90, 00,   62, 00, ////, 07, ///, 07, //, 07, ////////////, 07,  90, 00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19191002, 0600,  311, 00, 76192, 00,  699, 00, 75494, 00, 7569, 00, ////, 07, ////, 07, ////, 07, ///, 07, ///, 07,  319, 00, ////, 07,  90, 00,   46, 00, ////, 07, ///, 07, //, 07, ////////////, 07,  90, 00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19191003, 0600,  311, 00, 76129, 00,  699, 00, 75430, 00, 7564, 00, ////, 07, ////, 07, ////, 07, ///, 07, ///, 07,  313, 00, ////, 07,  45, 00,   51, 00, ////, 07, ///, 07, //, 07, ////////////, 07,  90, 00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19191004, 0600,  311, 00, 76012, 00,  699, 00, 75314, 00, 7551, 00, ////, 07, ////, 07, ////, 07, ///, 07, ///, 07,  312, 00, ////, 07,  45, 00,   41, 00, ////, 07, ///, 07, //, 07, ////////////, 07,  90, 00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19191005, 0600,  311, 00, 76068, 00,  699, 00, 75369, 00, 7557, 00, ////, 07, ////, 07, ////, 07, ///, 07, ///, 07,  319, 00, ////, 07,  90, 00,   51, 00, ////, 07, ///, 07, //, 07, ////////////, 07,  90, 00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19191006, 0600,  308, 00, 76063, 00,  696, 00, 75367, 00, 7557, 00, ////, 07, ////, 07, ////, 07, ///, 07, ///, 07,  312, 00, ////, 07,  90, 00,   62, 00, ////, 07, ///, 07, //, 07, ////////////, 07,  90, 00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19191007, 0600,  306, 00, 75928, 00,  691, 00, 75237, 00, 7544, 00, ////, 07, ////, 07, ////, 07, ///, 07, ///, 07,  313, 00, ////, 07,  45, 00,   51, 00, ////, 07, ///, 07, //, 07, ////////////, 07,  90, 00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19191008, 0600,  300, 00, 76053, 00,  686, 00, 75367, 00, 7557, 00, ////, 07, ////, 07, ////, 07, ///, 07, ///, 07,  319, 00, ////, 07, 135, 00,   62, 00, ////, 07, ///, 07, //, 07, ////////////, 07,  90, 00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19191009, 0600,  311, 00, 76068, 00,  699, 00, 75369, 00, 7557, 00, ////, 07, ////, 07, ////, 07, ///, 07, ///, 07,  317, 00, ////, 07,  90, 00,   62, 00, ////, 07, ///, 07, //, 07, ////////////, 07,  90, 00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19191010, 0600,  308, 00, 76134, 00,  696, 00, 75438, 00, 7564, 00, ////, 07, ////, 07, ////, 07, ///, 07, ///, 07,  322, 00, ////, 07,  45, 00,   41, 00, ////, 07, ///, 07, //, 07, ////////////, 07,  90, 00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19191011, 0600,  300, 00, 76030, 00,  686, 00, 75344, 00, 7554, 00, ////, 07, ////, 07, ////, 07, ///, 07, ///, 07,  314, 00, ////, 07,  45, 00,   31, 00, ////, 07, ///, 07, //, 07, ////////////, 07,  90, 00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19191012, 0600,  308, 00, 76022, 00,  696, 00, 75326, 00, 7554, 00, ////, 07, ////, 07, ////, 07, ///, 07, ///, 07,  310, 00, ////, 07,  45, 00,   26, 00, ////, 07, ///, 07, //, 07, ////////////, 07,  45, 00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19191013, 0600,  303, 00, 75992, 00,  696, 00, 75303, 00, 7551, 00, ////, 07, ////, 07, ////, 07, ///, 07, ///, 07,  307, 00, ////, 07,  45, 00,   46, 00, ////, 07, ///, 07, //, 07, ////////////, 07,  90, 00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19191014, 0600,  303, 00, 76002, 00,  688, 00, 75314, 00, 7551, 00, ////, 07, ////, 07, ////, 07, ///, 07, ///, 07,  307, 00, ////, 07,  90, 00,   51, 00, ////, 07, ///, 07, //, 07, ////////////, 07,  90, 00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19191015, 0600,  303, 00, 76185, 00,  688, 00, 75496, 00, 7569, 00, ////, 07, ////, 07, ////, 07, ///, 07, ///, 07,  308, 00, ////, 07,  90, 00,   51, 00, ////, 07, ///, 07, //, 07, ////////////, 07,  90, 00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19191016, 0600,  311, 00, 76139, 00,  699, 00, 75441, 00, 7564, 00, ////, 07, ////, 07, ////, 07, ///, 07, ///, 07,  314, 00, ////, 07,  90, 00,   62, 00, ////, 07, ///, 07, //, 07, ////////////, 07,  90, 00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19191017, 0600,  311, 00, 76068, 00,  699, 00, 75369, 00, 7557, 00, ////, 07, ////, 07, ////, 07, ///, 07, ///, 07,  317, 00, ////, 07,  90, 00,   62, 00, ////, 07, ///, 07, //, 07, ////////////, 07,  90, 00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19191018, 0600,  308, 00, 76200, 00,  701, 00, 75499, 00, 7569, 00, ////, 07, ////, 07, ////, 07, ///, 07, ///, 07,  312, 00, ////, 07,  45, 00,   46, 00, ////, 07, ///, 07, //, 07, ////////////, 07,  90, 00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19191019, 0600,  303, 00, 76192, 00,  688, 00, 75504, 00, 7572, 00, ////, 07, ////, 07, ////, 07, ///, 07, ///, 07,  316, 00, ////, 07,  90, 00,   62, 00, ////, 07, ///, 07, //, 07, ////////////, 07,  90, 00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19191020, 0600,  303, 00, 76157, 00,  688, 00, 75468, 00, 7567, 00, ////, 07, ////, 07, ////, 07, ///, 07, ///, 07,  316, 00, ////, 07,  90, 00,   51, 00, ////, 07, ///, 07, //, 07, ////////////, 07,  90, 00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19191021, 0600,  308, 00, 76139, 00,  696, 00, 75443, 00, 7564, 00, ////, 07, ////, 07, ////, 07, ///, 07, ///, 07,  318, 00, ////, 07,  45, 00,   62, 00, ////, 07, ///, 07, //, 07, ////////////, 07,  90, 00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19191022, 0600,  311, 00, 76302, 00,  704, 00, 75598, 00, 7579, 00, ////, 07, ////, 07, ////, 07, ///, 07, ///, 07,  317, 00, ////, 07,  90, 00,   51, 00, ////, 07, ///, 07, //, 07, ////////////, 07,  90, 00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19191023, 0600,  311, 00, 76276, 00,  704, 00, 75573, 00, 7577, 00, ////, 07, ////, 07, ////, 07, ///, 07, ///, 07,  309, 00, ////, 07,  45, 00,   51, 00, ////, 07, ///, 07, //, 07, ////////////, 07,  90, 00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19191024, 0600,  306, 00, 76088, 00,  691, 00, 75397, 00, 7559, 00, ////, 07, ////, 07, ////, 07, ///, 07, ///, 07,  313, 00, ////, 07,  90, 00,   62, 00, ////, 07, ///, 07, //, 07, ////////////, 07,  90, 00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19191025, 0600,  300, 00, 76144, 00,  686, 00, 75458, 00, 7567, 00, ////, 07, ////, 07, ////, 07, ///, 07, ///, 07,  301, 00, ////, 07,  90, 00,   41, 00, ////, 07, ///, 07, //, 07, ////////////, 07,  90, 00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19191026, 0600,  300, 00, 76134, 00,  686, 00, 75499, 00, 7569, 00, ////, 07, ////, 07, ////, 07, ///, 07, ///, 07,  301, 00, ////, 07,  90, 00,   26, 00, ////, 07, ///, 07, //, 07, ////////////, 07,  90, 00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19191027, 0600,  300, 00, 76114, 00,  686, 00, 75428, 00, 7564, 00, ////, 07, ////, 07, ////, 07, ///, 07, ///, 07,  313, 00, ////, 07,  90, 00,   41, 00, ////, 07, ///, 07, //, 07, ////////////, 07,  90, 00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19191028, 0600,  300, 00, 76078, 00,  686, 00, 75392, 00, 7559, 00, ////, 07, ////, 07, ////, 07, ///, 07, ///, 07,  314, 00, ////, 07,  90, 00,   46, 00, ////, 07, ///, 07, //, 07, ////////////, 07,  90, 00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19191029, 0600,  306, 00, 76271, 00,  699, 00, 75573, 00, 7577, 00, ////, 07, ////, 07, ////, 07, ///, 07, ///, 07,  317, 00, ////, 07,  90, 00,   51, 00, ////, 07, ///, 07, //, 07, ////////////, 07,  90, 00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19191030, 0600,  300, 00, 76258, 00,  691, 00, 75568, 00, 7577, 00, ////, 07, ////, 07, ////, 07, ///, 07, ///, 07,  309, 00, ////, 07,  90, 00,   51, 00, ////, 07, ///, 07, //, 07, ////////////, 07,  90, 00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19191031, 0600,  300, 00, 76175, 00,  686, 00, 75489, 00, 7569, 00, ////, 07, ////, 07, ////, 07, ///, 07, ///, 07,  312, 00, ////, 07,  90, 00,   41, 00, ////, 07, ///, 07, //, 07, ////////////, 07,  90, 00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19191101, 0600,  300, 00, 76261, 00,  691, 00, 75570, 00, 7577, 00, ////, 07, ////, 07, ////, 07, ///, 07, ///, 07,  306, 00, ////, 07,  90, 00,   41, 00, ////, 07, ///, 07, //, 07, ////////////, 07,  90, 00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19191102, 0600,  297, 00, 76236, 00,  688, 00, 75547, 00, 7574, 00, ////, 07, ////, 07, ////, 07, ///, 07, ///, 07,  324, 00, ////, 07,  90, 00,   31, 00, ////, 07, ///, 07, //, 07, ////////////, 07,  90, 00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19191103, 0600,  294, 00, 76256, 00,  686, 00, 75570, 00, 7577, 00, ////, 07, ////, 07, ////, 07, ///, 07, ///, 07,  309, 00, ////, 07,  90, 00,   41, 00, ////, 07, ///, 07, //, 07, ////////////, 07,  90, 00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19191104, 0600,  306, 00, 76256, 00,  699, 00, 75557, 00, 7577, 00, ////, 07, ////, 07, ////, 07, ///, 07, ///, 07,  308, 00, ////, 07,  45, 00,   62, 00, ////, 07, ///, 07, //, 07, ////////////, 07,  90, 00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19191105, 0600,  303, 00, 76261, 00,  696, 00, 75565, 00, 7577, 00, ////, 07, ////, 07, ////, 07, ///, 07, ///, 07,  313, 00, ////, 07,  90, 00,   46, 00, ////, 07, ///, 07, //, 07, ////////////, 07,  90, 00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19191106, 0600,  297, 00, 76124, 00,  683, 00, 75441, 00, 7564, 00, ////, 07, ////, 07, ////, 07, ///, 07, ///, 07,  301, 00, ////, 07,  90, 00,   41, 00, ////, 07, ///, 07, //, 07, ////////////, 07,  90, 00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19191107, 0600,  300, 00, 76068, 00,  686, 00, 75382, 00, 7559, 00, ////, 07, ////, 07, ////, 07, ///, 07, ///, 07,  307, 00, ////, 07,  90, 00,   46, 00, ////, 07, ///, 07, //, 07, ////////////, 07,  90, 00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19191108, 0600,  294, 00, 76060, 00,  678, 00, 75382, 00, 7559, 00, ////, 07, ////, 07, ////, 07, ///, 07, ///, 07,  301, 00, ////, 07,  90, 00,   51, 00, ////, 07, ///, 07, //, 07, ////////////, 07,  90, 00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19191109, 0600,  297, 00, 76058, 00,  683, 00, 75375, 00, 7559, 00, ////, 07, ////, 07, ////, 07, ///, 07, ///, 07,  305, 00, ////, 07,  45, 00,   41, 00, ////, 07, ///, 07, //, 07, ////////////, 07,  90, 00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19191110, 0600,  289, 00, 76124, 00,  678, 00, 75446, 00, 7564, 00, ////, 07, ////, 07, ////, 07, ///, 07, ///, 07,  301, 00, ////, 07,  90, 00,   41, 00, ////, 07, ///, 07, //, 07, ////////////, 07,  90, 00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19191111, 0600,  308, 00, 76068, 00,  696, 00, 75372, 00, 7557, 00, ////, 07, ////, 07, ////, 07, ///, 07, ///, 07,  293, 00, ////, 07,  90, 00,   41, 00, ////, 07, ///, 07, //, 07, ////////////, 07,  90, 00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19191112, 0600,  314, 00, 76149, 00,  701, 00, 75448, 00, 7564, 00, ////, 07, ////, 07, ////, 07, ///, 07, ///, 07,  296, 00, ////, 07,  45, 00,   31, 00, ////, 07, ///, 07, //, 07, ////////////, 07,  90, 00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19191113, 0600,  283, 00, 76043, 00,  665, 00, 75377, 00, 7559, 00, ////, 07, ////, 07, ////, 07, ///, 07, ///, 07,  294, 00, ////, 07,  45, 00,   41, 00, ////, 07, ///, 07, //, 07, ////////////, 07,  90, 00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19191114, 0600,  306, 00, 76137, 00,  691, 00, 75446, 00, 7564, 00, ////, 07, ////, 07, ////, 07, ///, 07, ///, 07,  293, 00, ////, 07,  45, 00,   41, 00, ////, 07, ///, 07, //, 07, ////////////, 07,  90, 00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19191115, 0600,  283, 00, 76251, 00,  671, 00, 75580, 00, 7579, 00, ////, 07, ////, 07, ////, 07, ///, 07, ///, 07,  294, 00, ////, 07,  45, 00,   31, 00, ////, 07, ///, 07, //, 07, ////////////, 07,  90, 00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19191116, 0600,  289, 00, 76225, 00,  678, 00, 75547, 00, 7574, 00, ////, 07, ////, 07, ////, 07, ///, 07, ///, 07,  307, 00, ////, 07,  45, 00,   26, 00, ////, 07, ///, 07, //, 07, ////////////, 07,  90, 00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19191117, 0600,  308, 00, 76055, 00,  683, 00, 75372, 00, 7557, 00, ////, 07, ////, 07, ////, 07, ///, 07, ///, 07,  308, 00, ////, 07,  45, 00,   36, 00, ////, 07, ///, 07, //, 07, ////////////, 07,  90, 00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19191118, 0600,  300, 00, 76012, 00,  686, 00, 75326, 00, 7554, 00, ////, 07, ////, 07, ////, 07, ///, 07, ///, 07,  301, 00, ////, 07,  90, 00,   41, 00, ////, 07, ///, 07, //, 07, ////////////, 07,  90, 00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19191119, 0600,  294, 00, 76134, 00,  678, 00, 75456, 00, 7567, 00, ////, 07, ////, 07, ////, 07, ///, 07, ///, 07,  307, 00, ////, 07,  90, 00,   31, 00, ////, 07, ///, 07, //, 07, ////////////, 07,  90, 00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19191120, 0600,  294, 00, 76251, 00,  686, 00, 75565, 00, 7577, 00, ////, 07, ////, 07, ////, 07, ///, 07, ///, 07,  307, 00, ////, 07,  90, 00,   51, 00, ////, 07, ///, 07, //, 07, ////////////, 07,  90, 00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19191121, 0600,  294, 00, 76236, 00,  686, 00, 75550, 00, 7574, 00, ////, 07, ////, 07, ////, 07, ///, 07, ///, 07,  307, 00, ////, 07,  90, 00,   46, 00, ////, 07, ///, 07, //, 07, ////////////, 07,  90, 00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19191122, 0600,  283, 00, 76114, 00,  665, 00, 75448, 00, 7564, 00, ////, 07, ////, 07, ////, 07, ///, 07, ///, 07,  297, 00, ////, 07,   0, 00,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19191123, 0600,  289, 00, 76068, 00,  673, 00, 75395, 00, 7559, 00, ////, 07, ////, 07, ////, 07, ///, 07, ///, 07,  301, 00, ////, 07,  90, 00,   31, 00, ////, 07, ///, 07, //, 07, ////////////, 07,  90, 00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19191124, 0600,  297, 00, 76180, 00,  683, 00, 75496, 00, 7569, 00, ////, 07, ////, 07, ////, 07, ///, 07, ///, 07,  308, 00, ////, 07,  90, 00,   41, 00, ////, 07, ///, 07, //, 07, ////////////, 07,  90, 00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19191125, 0600,  297, 00, 76264, 00,  688, 00, 75575, 00, 7577, 00, ////, 07, ////, 07, ////, 07, ///, 07, ///, 07,  311, 00, ////, 07,  90, 00,   51, 00, ////, 07, ///, 07, //, 07, ////////////, 07,  90, 00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19191126, 0600,  272, 00, 76124, 00,  653, 00, 75471, 00, 7567, 00, ////, 07, ////, 07, ////, 07, ///, 07, ///, 07,  280, 00, ////, 07,  90, 00,   62, 00, ////, 07, ///, 07, //, 07, ////////////, 07,  90, 00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19191127, 0600,  286, 00, 75997, 00,  668, 00, 75329, 00, 7554, 00, ////, 07, ////, 07, ////, 07, ///, 07, ///, 07,  294, 00, ////, 07,  45, 00,   41, 00, ////, 07, ///, 07, //, 07, ////////////, 07,  90, 00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19191128, 0600,  286, 00, 75946, 00,  668, 00, 75278, 00, 7549, 00, ////, 07, ////, 07, ////, 07, ///, 07, ///, 07,  296, 00, ////, 07,  90, 00,   41, 00, ////, 07, ///, 07, //, 07, ////////////, 07,  90, 00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19191129, 0600,  294, 00, 75921, 00,  678, 00, 75242, 00, 7544, 00, ////, 07, ////, 07, ////, 07, ///, 07, ///, 07,  301, 00, ////, 07,  45, 00,   41, 00, ////, 07, ///, 07, //, 07, ////////////, 07,  90, 00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19191130, 0600,  283, 00, 75961, 00,  665, 00, 75296, 00, 7549, 00, ////, 07, ////, 07, ////, 07, ///, 07, ///, 07,  278, 00, ////, 07, 135, 00,   21, 00, ////, 07, ///, 07, //, 07, ////////////, 07, 135, 00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19191201, 0600,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19191202, 0600,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19191203, 0600,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19191204, 0600,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19191205, 0600,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19191206, 0600,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19191207, 0600,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19191208, 0600,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19191209, 0600,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19191210, 0600,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19191211, 0600,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19191212, 0600,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19191213, 0600,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19191214, 0600,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19191215, 0600,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19191216, 0600,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19191217, 0600,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19191218, 0600,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19191219, 0600,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19191220, 0600,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19191221, 0600,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19191222, 0600,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19191223, 0600,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19191224, 0600,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19191225, 0600,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19191226, 0600,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19191227, 0600,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19191228, 0600,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19191229, 0600,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19191230, 0600,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19191231, 0600,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2016-02-10T09:51:09Z</dcterms:modified>
</cp:coreProperties>
</file>